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45995</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45995</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45995</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45995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45995</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45995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45995</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45995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45995</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45995</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45995</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45995</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45995</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45995</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45995</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45995</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45995</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45995</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45995</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45995</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45995</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45995</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25732-2025</t>
        </is>
      </c>
      <c r="B28" s="1" t="n">
        <v>45800</v>
      </c>
      <c r="C28" s="1" t="n">
        <v>45995</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45995</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45995</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45995</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45995</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45995</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45995</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45995</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45995</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45995</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72111-2021</t>
        </is>
      </c>
      <c r="B38" s="1" t="n">
        <v>44544</v>
      </c>
      <c r="C38" s="1" t="n">
        <v>45995</v>
      </c>
      <c r="D38" t="inlineStr">
        <is>
          <t>STOCKHOLMS LÄN</t>
        </is>
      </c>
      <c r="E38" t="inlineStr">
        <is>
          <t>NORRTÄLJE</t>
        </is>
      </c>
      <c r="G38" t="n">
        <v>5.1</v>
      </c>
      <c r="H38" t="n">
        <v>1</v>
      </c>
      <c r="I38" t="n">
        <v>3</v>
      </c>
      <c r="J38" t="n">
        <v>1</v>
      </c>
      <c r="K38" t="n">
        <v>0</v>
      </c>
      <c r="L38" t="n">
        <v>0</v>
      </c>
      <c r="M38" t="n">
        <v>0</v>
      </c>
      <c r="N38" t="n">
        <v>0</v>
      </c>
      <c r="O38" t="n">
        <v>1</v>
      </c>
      <c r="P38" t="n">
        <v>0</v>
      </c>
      <c r="Q38" t="n">
        <v>5</v>
      </c>
      <c r="R38" s="2" t="inlineStr">
        <is>
          <t>Lunglav
Scharlakansvårskål agg.
Sårläka
Vårärt
Blåsippa</t>
        </is>
      </c>
      <c r="S38">
        <f>HYPERLINK("https://klasma.github.io/Logging_0188/artfynd/A 72111-2021 artfynd.xlsx", "A 72111-2021")</f>
        <v/>
      </c>
      <c r="T38">
        <f>HYPERLINK("https://klasma.github.io/Logging_0188/kartor/A 72111-2021 karta.png", "A 72111-2021")</f>
        <v/>
      </c>
      <c r="V38">
        <f>HYPERLINK("https://klasma.github.io/Logging_0188/klagomål/A 72111-2021 FSC-klagomål.docx", "A 72111-2021")</f>
        <v/>
      </c>
      <c r="W38">
        <f>HYPERLINK("https://klasma.github.io/Logging_0188/klagomålsmail/A 72111-2021 FSC-klagomål mail.docx", "A 72111-2021")</f>
        <v/>
      </c>
      <c r="X38">
        <f>HYPERLINK("https://klasma.github.io/Logging_0188/tillsyn/A 72111-2021 tillsynsbegäran.docx", "A 72111-2021")</f>
        <v/>
      </c>
      <c r="Y38">
        <f>HYPERLINK("https://klasma.github.io/Logging_0188/tillsynsmail/A 72111-2021 tillsynsbegäran mail.docx", "A 72111-2021")</f>
        <v/>
      </c>
    </row>
    <row r="39" ht="15" customHeight="1">
      <c r="A39" t="inlineStr">
        <is>
          <t>A 21922-2023</t>
        </is>
      </c>
      <c r="B39" s="1" t="n">
        <v>45068</v>
      </c>
      <c r="C39" s="1" t="n">
        <v>45995</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30687-2025</t>
        </is>
      </c>
      <c r="B40" s="1" t="n">
        <v>45831.53390046296</v>
      </c>
      <c r="C40" s="1" t="n">
        <v>45995</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45995</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15804-2025</t>
        </is>
      </c>
      <c r="B42" s="1" t="n">
        <v>45748.6521875</v>
      </c>
      <c r="C42" s="1" t="n">
        <v>45995</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56791-2025</t>
        </is>
      </c>
      <c r="B43" s="1" t="n">
        <v>45978</v>
      </c>
      <c r="C43" s="1" t="n">
        <v>45995</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22071-2022</t>
        </is>
      </c>
      <c r="B44" s="1" t="n">
        <v>44711</v>
      </c>
      <c r="C44" s="1" t="n">
        <v>45995</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41276-2025</t>
        </is>
      </c>
      <c r="B45" s="1" t="n">
        <v>45898.62723379629</v>
      </c>
      <c r="C45" s="1" t="n">
        <v>45995</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45995</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47212-2025</t>
        </is>
      </c>
      <c r="B47" s="1" t="n">
        <v>45930</v>
      </c>
      <c r="C47" s="1" t="n">
        <v>45995</v>
      </c>
      <c r="D47" t="inlineStr">
        <is>
          <t>STOCKHOLMS LÄN</t>
        </is>
      </c>
      <c r="E47" t="inlineStr">
        <is>
          <t>NORRTÄLJE</t>
        </is>
      </c>
      <c r="G47" t="n">
        <v>5.5</v>
      </c>
      <c r="H47" t="n">
        <v>2</v>
      </c>
      <c r="I47" t="n">
        <v>2</v>
      </c>
      <c r="J47" t="n">
        <v>0</v>
      </c>
      <c r="K47" t="n">
        <v>0</v>
      </c>
      <c r="L47" t="n">
        <v>0</v>
      </c>
      <c r="M47" t="n">
        <v>0</v>
      </c>
      <c r="N47" t="n">
        <v>0</v>
      </c>
      <c r="O47" t="n">
        <v>0</v>
      </c>
      <c r="P47" t="n">
        <v>0</v>
      </c>
      <c r="Q47" t="n">
        <v>4</v>
      </c>
      <c r="R47" s="2" t="inlineStr">
        <is>
          <t>Grönpyrola
Skarp dropptaggsvamp
Kungsfågel
Blåsippa</t>
        </is>
      </c>
      <c r="S47">
        <f>HYPERLINK("https://klasma.github.io/Logging_0188/artfynd/A 47212-2025 artfynd.xlsx", "A 47212-2025")</f>
        <v/>
      </c>
      <c r="T47">
        <f>HYPERLINK("https://klasma.github.io/Logging_0188/kartor/A 47212-2025 karta.png", "A 47212-2025")</f>
        <v/>
      </c>
      <c r="V47">
        <f>HYPERLINK("https://klasma.github.io/Logging_0188/klagomål/A 47212-2025 FSC-klagomål.docx", "A 47212-2025")</f>
        <v/>
      </c>
      <c r="W47">
        <f>HYPERLINK("https://klasma.github.io/Logging_0188/klagomålsmail/A 47212-2025 FSC-klagomål mail.docx", "A 47212-2025")</f>
        <v/>
      </c>
      <c r="X47">
        <f>HYPERLINK("https://klasma.github.io/Logging_0188/tillsyn/A 47212-2025 tillsynsbegäran.docx", "A 47212-2025")</f>
        <v/>
      </c>
      <c r="Y47">
        <f>HYPERLINK("https://klasma.github.io/Logging_0188/tillsynsmail/A 47212-2025 tillsynsbegäran mail.docx", "A 47212-2025")</f>
        <v/>
      </c>
      <c r="Z47">
        <f>HYPERLINK("https://klasma.github.io/Logging_0188/fåglar/A 47212-2025 prioriterade fågelarter.docx", "A 47212-2025")</f>
        <v/>
      </c>
    </row>
    <row r="48" ht="15" customHeight="1">
      <c r="A48" t="inlineStr">
        <is>
          <t>A 72305-2021</t>
        </is>
      </c>
      <c r="B48" s="1" t="n">
        <v>44545</v>
      </c>
      <c r="C48" s="1" t="n">
        <v>45995</v>
      </c>
      <c r="D48" t="inlineStr">
        <is>
          <t>STOCKHOLMS LÄN</t>
        </is>
      </c>
      <c r="E48" t="inlineStr">
        <is>
          <t>NORRTÄLJE</t>
        </is>
      </c>
      <c r="G48" t="n">
        <v>1.5</v>
      </c>
      <c r="H48" t="n">
        <v>1</v>
      </c>
      <c r="I48" t="n">
        <v>3</v>
      </c>
      <c r="J48" t="n">
        <v>0</v>
      </c>
      <c r="K48" t="n">
        <v>0</v>
      </c>
      <c r="L48" t="n">
        <v>0</v>
      </c>
      <c r="M48" t="n">
        <v>0</v>
      </c>
      <c r="N48" t="n">
        <v>0</v>
      </c>
      <c r="O48" t="n">
        <v>0</v>
      </c>
      <c r="P48" t="n">
        <v>0</v>
      </c>
      <c r="Q48" t="n">
        <v>4</v>
      </c>
      <c r="R48" s="2" t="inlineStr">
        <is>
          <t>Svart trolldruva
Sårläka
Vårärt
Blåsippa</t>
        </is>
      </c>
      <c r="S48">
        <f>HYPERLINK("https://klasma.github.io/Logging_0188/artfynd/A 72305-2021 artfynd.xlsx", "A 72305-2021")</f>
        <v/>
      </c>
      <c r="T48">
        <f>HYPERLINK("https://klasma.github.io/Logging_0188/kartor/A 72305-2021 karta.png", "A 72305-2021")</f>
        <v/>
      </c>
      <c r="V48">
        <f>HYPERLINK("https://klasma.github.io/Logging_0188/klagomål/A 72305-2021 FSC-klagomål.docx", "A 72305-2021")</f>
        <v/>
      </c>
      <c r="W48">
        <f>HYPERLINK("https://klasma.github.io/Logging_0188/klagomålsmail/A 72305-2021 FSC-klagomål mail.docx", "A 72305-2021")</f>
        <v/>
      </c>
      <c r="X48">
        <f>HYPERLINK("https://klasma.github.io/Logging_0188/tillsyn/A 72305-2021 tillsynsbegäran.docx", "A 72305-2021")</f>
        <v/>
      </c>
      <c r="Y48">
        <f>HYPERLINK("https://klasma.github.io/Logging_0188/tillsynsmail/A 72305-2021 tillsynsbegäran mail.docx", "A 72305-2021")</f>
        <v/>
      </c>
    </row>
    <row r="49" ht="15" customHeight="1">
      <c r="A49" t="inlineStr">
        <is>
          <t>A 21730-2025</t>
        </is>
      </c>
      <c r="B49" s="1" t="n">
        <v>45783.58123842593</v>
      </c>
      <c r="C49" s="1" t="n">
        <v>45995</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24052-2021</t>
        </is>
      </c>
      <c r="B50" s="1" t="n">
        <v>44336</v>
      </c>
      <c r="C50" s="1" t="n">
        <v>45995</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25687-2025</t>
        </is>
      </c>
      <c r="B51" s="1" t="n">
        <v>45800</v>
      </c>
      <c r="C51" s="1" t="n">
        <v>45995</v>
      </c>
      <c r="D51" t="inlineStr">
        <is>
          <t>STOCKHOLMS LÄN</t>
        </is>
      </c>
      <c r="E51" t="inlineStr">
        <is>
          <t>NORRTÄLJE</t>
        </is>
      </c>
      <c r="G51" t="n">
        <v>15.7</v>
      </c>
      <c r="H51" t="n">
        <v>2</v>
      </c>
      <c r="I51" t="n">
        <v>1</v>
      </c>
      <c r="J51" t="n">
        <v>2</v>
      </c>
      <c r="K51" t="n">
        <v>0</v>
      </c>
      <c r="L51" t="n">
        <v>0</v>
      </c>
      <c r="M51" t="n">
        <v>0</v>
      </c>
      <c r="N51" t="n">
        <v>0</v>
      </c>
      <c r="O51" t="n">
        <v>2</v>
      </c>
      <c r="P51" t="n">
        <v>0</v>
      </c>
      <c r="Q51" t="n">
        <v>4</v>
      </c>
      <c r="R51" s="2" t="inlineStr">
        <is>
          <t>Spillkråka
Ullticka
Grönpyrola
Kungsfågel</t>
        </is>
      </c>
      <c r="S51">
        <f>HYPERLINK("https://klasma.github.io/Logging_0188/artfynd/A 25687-2025 artfynd.xlsx", "A 25687-2025")</f>
        <v/>
      </c>
      <c r="T51">
        <f>HYPERLINK("https://klasma.github.io/Logging_0188/kartor/A 25687-2025 karta.png", "A 25687-2025")</f>
        <v/>
      </c>
      <c r="V51">
        <f>HYPERLINK("https://klasma.github.io/Logging_0188/klagomål/A 25687-2025 FSC-klagomål.docx", "A 25687-2025")</f>
        <v/>
      </c>
      <c r="W51">
        <f>HYPERLINK("https://klasma.github.io/Logging_0188/klagomålsmail/A 25687-2025 FSC-klagomål mail.docx", "A 25687-2025")</f>
        <v/>
      </c>
      <c r="X51">
        <f>HYPERLINK("https://klasma.github.io/Logging_0188/tillsyn/A 25687-2025 tillsynsbegäran.docx", "A 25687-2025")</f>
        <v/>
      </c>
      <c r="Y51">
        <f>HYPERLINK("https://klasma.github.io/Logging_0188/tillsynsmail/A 25687-2025 tillsynsbegäran mail.docx", "A 25687-2025")</f>
        <v/>
      </c>
      <c r="Z51">
        <f>HYPERLINK("https://klasma.github.io/Logging_0188/fåglar/A 25687-2025 prioriterade fågelarter.docx", "A 25687-2025")</f>
        <v/>
      </c>
    </row>
    <row r="52" ht="15" customHeight="1">
      <c r="A52" t="inlineStr">
        <is>
          <t>A 44709-2022</t>
        </is>
      </c>
      <c r="B52" s="1" t="n">
        <v>44839</v>
      </c>
      <c r="C52" s="1" t="n">
        <v>45995</v>
      </c>
      <c r="D52" t="inlineStr">
        <is>
          <t>STOCKHOLMS LÄN</t>
        </is>
      </c>
      <c r="E52" t="inlineStr">
        <is>
          <t>NORRTÄLJE</t>
        </is>
      </c>
      <c r="G52" t="n">
        <v>16.3</v>
      </c>
      <c r="H52" t="n">
        <v>3</v>
      </c>
      <c r="I52" t="n">
        <v>0</v>
      </c>
      <c r="J52" t="n">
        <v>2</v>
      </c>
      <c r="K52" t="n">
        <v>0</v>
      </c>
      <c r="L52" t="n">
        <v>0</v>
      </c>
      <c r="M52" t="n">
        <v>0</v>
      </c>
      <c r="N52" t="n">
        <v>0</v>
      </c>
      <c r="O52" t="n">
        <v>2</v>
      </c>
      <c r="P52" t="n">
        <v>0</v>
      </c>
      <c r="Q52" t="n">
        <v>4</v>
      </c>
      <c r="R52" s="2" t="inlineStr">
        <is>
          <t>Asppraktbagge
Spillkråka
Enkelbeckasin
Orre</t>
        </is>
      </c>
      <c r="S52">
        <f>HYPERLINK("https://klasma.github.io/Logging_0188/artfynd/A 44709-2022 artfynd.xlsx", "A 44709-2022")</f>
        <v/>
      </c>
      <c r="T52">
        <f>HYPERLINK("https://klasma.github.io/Logging_0188/kartor/A 44709-2022 karta.png", "A 44709-2022")</f>
        <v/>
      </c>
      <c r="V52">
        <f>HYPERLINK("https://klasma.github.io/Logging_0188/klagomål/A 44709-2022 FSC-klagomål.docx", "A 44709-2022")</f>
        <v/>
      </c>
      <c r="W52">
        <f>HYPERLINK("https://klasma.github.io/Logging_0188/klagomålsmail/A 44709-2022 FSC-klagomål mail.docx", "A 44709-2022")</f>
        <v/>
      </c>
      <c r="X52">
        <f>HYPERLINK("https://klasma.github.io/Logging_0188/tillsyn/A 44709-2022 tillsynsbegäran.docx", "A 44709-2022")</f>
        <v/>
      </c>
      <c r="Y52">
        <f>HYPERLINK("https://klasma.github.io/Logging_0188/tillsynsmail/A 44709-2022 tillsynsbegäran mail.docx", "A 44709-2022")</f>
        <v/>
      </c>
      <c r="Z52">
        <f>HYPERLINK("https://klasma.github.io/Logging_0188/fåglar/A 44709-2022 prioriterade fågelarter.docx", "A 44709-2022")</f>
        <v/>
      </c>
    </row>
    <row r="53" ht="15" customHeight="1">
      <c r="A53" t="inlineStr">
        <is>
          <t>A 34521-2025</t>
        </is>
      </c>
      <c r="B53" s="1" t="n">
        <v>45847.47052083333</v>
      </c>
      <c r="C53" s="1" t="n">
        <v>45995</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17673-2021</t>
        </is>
      </c>
      <c r="B54" s="1" t="n">
        <v>44300</v>
      </c>
      <c r="C54" s="1" t="n">
        <v>45995</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14560-2021</t>
        </is>
      </c>
      <c r="B55" s="1" t="n">
        <v>44279</v>
      </c>
      <c r="C55" s="1" t="n">
        <v>45995</v>
      </c>
      <c r="D55" t="inlineStr">
        <is>
          <t>STOCKHOLMS LÄN</t>
        </is>
      </c>
      <c r="E55" t="inlineStr">
        <is>
          <t>NORRTÄLJE</t>
        </is>
      </c>
      <c r="G55" t="n">
        <v>1.8</v>
      </c>
      <c r="H55" t="n">
        <v>0</v>
      </c>
      <c r="I55" t="n">
        <v>2</v>
      </c>
      <c r="J55" t="n">
        <v>1</v>
      </c>
      <c r="K55" t="n">
        <v>0</v>
      </c>
      <c r="L55" t="n">
        <v>0</v>
      </c>
      <c r="M55" t="n">
        <v>0</v>
      </c>
      <c r="N55" t="n">
        <v>0</v>
      </c>
      <c r="O55" t="n">
        <v>1</v>
      </c>
      <c r="P55" t="n">
        <v>0</v>
      </c>
      <c r="Q55" t="n">
        <v>3</v>
      </c>
      <c r="R55" s="2" t="inlineStr">
        <is>
          <t>Vit vedfingersvamp
Stor aspticka
Vedticka</t>
        </is>
      </c>
      <c r="S55">
        <f>HYPERLINK("https://klasma.github.io/Logging_0188/artfynd/A 14560-2021 artfynd.xlsx", "A 14560-2021")</f>
        <v/>
      </c>
      <c r="T55">
        <f>HYPERLINK("https://klasma.github.io/Logging_0188/kartor/A 14560-2021 karta.png", "A 14560-2021")</f>
        <v/>
      </c>
      <c r="V55">
        <f>HYPERLINK("https://klasma.github.io/Logging_0188/klagomål/A 14560-2021 FSC-klagomål.docx", "A 14560-2021")</f>
        <v/>
      </c>
      <c r="W55">
        <f>HYPERLINK("https://klasma.github.io/Logging_0188/klagomålsmail/A 14560-2021 FSC-klagomål mail.docx", "A 14560-2021")</f>
        <v/>
      </c>
      <c r="X55">
        <f>HYPERLINK("https://klasma.github.io/Logging_0188/tillsyn/A 14560-2021 tillsynsbegäran.docx", "A 14560-2021")</f>
        <v/>
      </c>
      <c r="Y55">
        <f>HYPERLINK("https://klasma.github.io/Logging_0188/tillsynsmail/A 14560-2021 tillsynsbegäran mail.docx", "A 14560-2021")</f>
        <v/>
      </c>
    </row>
    <row r="56" ht="15" customHeight="1">
      <c r="A56" t="inlineStr">
        <is>
          <t>A 28836-2022</t>
        </is>
      </c>
      <c r="B56" s="1" t="n">
        <v>44749</v>
      </c>
      <c r="C56" s="1" t="n">
        <v>45995</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45113-2022</t>
        </is>
      </c>
      <c r="B57" s="1" t="n">
        <v>44843</v>
      </c>
      <c r="C57" s="1" t="n">
        <v>45995</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2851-2023</t>
        </is>
      </c>
      <c r="B58" s="1" t="n">
        <v>44945</v>
      </c>
      <c r="C58" s="1" t="n">
        <v>45995</v>
      </c>
      <c r="D58" t="inlineStr">
        <is>
          <t>STOCKHOLMS LÄN</t>
        </is>
      </c>
      <c r="E58" t="inlineStr">
        <is>
          <t>NORRTÄLJE</t>
        </is>
      </c>
      <c r="G58" t="n">
        <v>5.8</v>
      </c>
      <c r="H58" t="n">
        <v>1</v>
      </c>
      <c r="I58" t="n">
        <v>1</v>
      </c>
      <c r="J58" t="n">
        <v>2</v>
      </c>
      <c r="K58" t="n">
        <v>0</v>
      </c>
      <c r="L58" t="n">
        <v>0</v>
      </c>
      <c r="M58" t="n">
        <v>0</v>
      </c>
      <c r="N58" t="n">
        <v>0</v>
      </c>
      <c r="O58" t="n">
        <v>2</v>
      </c>
      <c r="P58" t="n">
        <v>0</v>
      </c>
      <c r="Q58" t="n">
        <v>3</v>
      </c>
      <c r="R58" s="2" t="inlineStr">
        <is>
          <t>Gulsparv
Vedflikmossa
Terpentinmossa</t>
        </is>
      </c>
      <c r="S58">
        <f>HYPERLINK("https://klasma.github.io/Logging_0188/artfynd/A 2851-2023 artfynd.xlsx", "A 2851-2023")</f>
        <v/>
      </c>
      <c r="T58">
        <f>HYPERLINK("https://klasma.github.io/Logging_0188/kartor/A 2851-2023 karta.png", "A 2851-2023")</f>
        <v/>
      </c>
      <c r="V58">
        <f>HYPERLINK("https://klasma.github.io/Logging_0188/klagomål/A 2851-2023 FSC-klagomål.docx", "A 2851-2023")</f>
        <v/>
      </c>
      <c r="W58">
        <f>HYPERLINK("https://klasma.github.io/Logging_0188/klagomålsmail/A 2851-2023 FSC-klagomål mail.docx", "A 2851-2023")</f>
        <v/>
      </c>
      <c r="X58">
        <f>HYPERLINK("https://klasma.github.io/Logging_0188/tillsyn/A 2851-2023 tillsynsbegäran.docx", "A 2851-2023")</f>
        <v/>
      </c>
      <c r="Y58">
        <f>HYPERLINK("https://klasma.github.io/Logging_0188/tillsynsmail/A 2851-2023 tillsynsbegäran mail.docx", "A 2851-2023")</f>
        <v/>
      </c>
      <c r="Z58">
        <f>HYPERLINK("https://klasma.github.io/Logging_0188/fåglar/A 2851-2023 prioriterade fågelarter.docx", "A 2851-2023")</f>
        <v/>
      </c>
    </row>
    <row r="59" ht="15" customHeight="1">
      <c r="A59" t="inlineStr">
        <is>
          <t>A 20185-2022</t>
        </is>
      </c>
      <c r="B59" s="1" t="n">
        <v>44698</v>
      </c>
      <c r="C59" s="1" t="n">
        <v>45995</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53065-2024</t>
        </is>
      </c>
      <c r="B60" s="1" t="n">
        <v>45611.47233796296</v>
      </c>
      <c r="C60" s="1" t="n">
        <v>45995</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52726-2025</t>
        </is>
      </c>
      <c r="B61" s="1" t="n">
        <v>45957.34722222222</v>
      </c>
      <c r="C61" s="1" t="n">
        <v>45995</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50618-2022</t>
        </is>
      </c>
      <c r="B62" s="1" t="n">
        <v>44866</v>
      </c>
      <c r="C62" s="1" t="n">
        <v>45995</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54110-2024</t>
        </is>
      </c>
      <c r="B63" s="1" t="n">
        <v>45616.54866898148</v>
      </c>
      <c r="C63" s="1" t="n">
        <v>45995</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45995</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45995</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27870-2022</t>
        </is>
      </c>
      <c r="B66" s="1" t="n">
        <v>44743.64592592593</v>
      </c>
      <c r="C66" s="1" t="n">
        <v>45995</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34524-2025</t>
        </is>
      </c>
      <c r="B67" s="1" t="n">
        <v>45847.47685185185</v>
      </c>
      <c r="C67" s="1" t="n">
        <v>45995</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52133-2022</t>
        </is>
      </c>
      <c r="B68" s="1" t="n">
        <v>44868</v>
      </c>
      <c r="C68" s="1" t="n">
        <v>45995</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45995</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4634-2021</t>
        </is>
      </c>
      <c r="B70" s="1" t="n">
        <v>44224</v>
      </c>
      <c r="C70" s="1" t="n">
        <v>45995</v>
      </c>
      <c r="D70" t="inlineStr">
        <is>
          <t>STOCKHOLMS LÄN</t>
        </is>
      </c>
      <c r="E70" t="inlineStr">
        <is>
          <t>NORRTÄLJE</t>
        </is>
      </c>
      <c r="G70" t="n">
        <v>3.7</v>
      </c>
      <c r="H70" t="n">
        <v>2</v>
      </c>
      <c r="I70" t="n">
        <v>1</v>
      </c>
      <c r="J70" t="n">
        <v>0</v>
      </c>
      <c r="K70" t="n">
        <v>0</v>
      </c>
      <c r="L70" t="n">
        <v>0</v>
      </c>
      <c r="M70" t="n">
        <v>0</v>
      </c>
      <c r="N70" t="n">
        <v>0</v>
      </c>
      <c r="O70" t="n">
        <v>0</v>
      </c>
      <c r="P70" t="n">
        <v>0</v>
      </c>
      <c r="Q70" t="n">
        <v>2</v>
      </c>
      <c r="R70" s="2" t="inlineStr">
        <is>
          <t>Grön sköldmossa
Tjäder</t>
        </is>
      </c>
      <c r="S70">
        <f>HYPERLINK("https://klasma.github.io/Logging_0188/artfynd/A 4634-2021 artfynd.xlsx", "A 4634-2021")</f>
        <v/>
      </c>
      <c r="T70">
        <f>HYPERLINK("https://klasma.github.io/Logging_0188/kartor/A 4634-2021 karta.png", "A 4634-2021")</f>
        <v/>
      </c>
      <c r="V70">
        <f>HYPERLINK("https://klasma.github.io/Logging_0188/klagomål/A 4634-2021 FSC-klagomål.docx", "A 4634-2021")</f>
        <v/>
      </c>
      <c r="W70">
        <f>HYPERLINK("https://klasma.github.io/Logging_0188/klagomålsmail/A 4634-2021 FSC-klagomål mail.docx", "A 4634-2021")</f>
        <v/>
      </c>
      <c r="X70">
        <f>HYPERLINK("https://klasma.github.io/Logging_0188/tillsyn/A 4634-2021 tillsynsbegäran.docx", "A 4634-2021")</f>
        <v/>
      </c>
      <c r="Y70">
        <f>HYPERLINK("https://klasma.github.io/Logging_0188/tillsynsmail/A 4634-2021 tillsynsbegäran mail.docx", "A 4634-2021")</f>
        <v/>
      </c>
      <c r="Z70">
        <f>HYPERLINK("https://klasma.github.io/Logging_0188/fåglar/A 4634-2021 prioriterade fågelarter.docx", "A 4634-2021")</f>
        <v/>
      </c>
    </row>
    <row r="71" ht="15" customHeight="1">
      <c r="A71" t="inlineStr">
        <is>
          <t>A 58676-2021</t>
        </is>
      </c>
      <c r="B71" s="1" t="n">
        <v>44489</v>
      </c>
      <c r="C71" s="1" t="n">
        <v>45995</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45995</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22190-2024</t>
        </is>
      </c>
      <c r="B73" s="1" t="n">
        <v>45446.35888888889</v>
      </c>
      <c r="C73" s="1" t="n">
        <v>45995</v>
      </c>
      <c r="D73" t="inlineStr">
        <is>
          <t>STOCKHOLMS LÄN</t>
        </is>
      </c>
      <c r="E73" t="inlineStr">
        <is>
          <t>NORRTÄLJE</t>
        </is>
      </c>
      <c r="G73" t="n">
        <v>2.8</v>
      </c>
      <c r="H73" t="n">
        <v>2</v>
      </c>
      <c r="I73" t="n">
        <v>1</v>
      </c>
      <c r="J73" t="n">
        <v>0</v>
      </c>
      <c r="K73" t="n">
        <v>0</v>
      </c>
      <c r="L73" t="n">
        <v>0</v>
      </c>
      <c r="M73" t="n">
        <v>0</v>
      </c>
      <c r="N73" t="n">
        <v>0</v>
      </c>
      <c r="O73" t="n">
        <v>0</v>
      </c>
      <c r="P73" t="n">
        <v>0</v>
      </c>
      <c r="Q73" t="n">
        <v>2</v>
      </c>
      <c r="R73" s="2" t="inlineStr">
        <is>
          <t>Skogsknipprot
Vanlig groda</t>
        </is>
      </c>
      <c r="S73">
        <f>HYPERLINK("https://klasma.github.io/Logging_0188/artfynd/A 22190-2024 artfynd.xlsx", "A 22190-2024")</f>
        <v/>
      </c>
      <c r="T73">
        <f>HYPERLINK("https://klasma.github.io/Logging_0188/kartor/A 22190-2024 karta.png", "A 22190-2024")</f>
        <v/>
      </c>
      <c r="V73">
        <f>HYPERLINK("https://klasma.github.io/Logging_0188/klagomål/A 22190-2024 FSC-klagomål.docx", "A 22190-2024")</f>
        <v/>
      </c>
      <c r="W73">
        <f>HYPERLINK("https://klasma.github.io/Logging_0188/klagomålsmail/A 22190-2024 FSC-klagomål mail.docx", "A 22190-2024")</f>
        <v/>
      </c>
      <c r="X73">
        <f>HYPERLINK("https://klasma.github.io/Logging_0188/tillsyn/A 22190-2024 tillsynsbegäran.docx", "A 22190-2024")</f>
        <v/>
      </c>
      <c r="Y73">
        <f>HYPERLINK("https://klasma.github.io/Logging_0188/tillsynsmail/A 22190-2024 tillsynsbegäran mail.docx", "A 22190-2024")</f>
        <v/>
      </c>
    </row>
    <row r="74" ht="15" customHeight="1">
      <c r="A74" t="inlineStr">
        <is>
          <t>A 51220-2023</t>
        </is>
      </c>
      <c r="B74" s="1" t="n">
        <v>45219</v>
      </c>
      <c r="C74" s="1" t="n">
        <v>45995</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45995</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45995</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51980-2022</t>
        </is>
      </c>
      <c r="B77" s="1" t="n">
        <v>44872</v>
      </c>
      <c r="C77" s="1" t="n">
        <v>45995</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52360-2024</t>
        </is>
      </c>
      <c r="B78" s="1" t="n">
        <v>45609.37094907407</v>
      </c>
      <c r="C78" s="1" t="n">
        <v>45995</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16260-2022</t>
        </is>
      </c>
      <c r="B79" s="1" t="n">
        <v>44670</v>
      </c>
      <c r="C79" s="1" t="n">
        <v>45995</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53608-2025</t>
        </is>
      </c>
      <c r="B80" s="1" t="n">
        <v>45960</v>
      </c>
      <c r="C80" s="1" t="n">
        <v>45995</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50697-2025</t>
        </is>
      </c>
      <c r="B81" s="1" t="n">
        <v>45945.90854166666</v>
      </c>
      <c r="C81" s="1" t="n">
        <v>45995</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52825-2023</t>
        </is>
      </c>
      <c r="B82" s="1" t="n">
        <v>45226</v>
      </c>
      <c r="C82" s="1" t="n">
        <v>45995</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52124-2022</t>
        </is>
      </c>
      <c r="B83" s="1" t="n">
        <v>44868</v>
      </c>
      <c r="C83" s="1" t="n">
        <v>45995</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1547-2022</t>
        </is>
      </c>
      <c r="B84" s="1" t="n">
        <v>44573</v>
      </c>
      <c r="C84" s="1" t="n">
        <v>45995</v>
      </c>
      <c r="D84" t="inlineStr">
        <is>
          <t>STOCKHOLMS LÄN</t>
        </is>
      </c>
      <c r="E84" t="inlineStr">
        <is>
          <t>NORRTÄLJE</t>
        </is>
      </c>
      <c r="G84" t="n">
        <v>1.8</v>
      </c>
      <c r="H84" t="n">
        <v>1</v>
      </c>
      <c r="I84" t="n">
        <v>0</v>
      </c>
      <c r="J84" t="n">
        <v>0</v>
      </c>
      <c r="K84" t="n">
        <v>1</v>
      </c>
      <c r="L84" t="n">
        <v>0</v>
      </c>
      <c r="M84" t="n">
        <v>0</v>
      </c>
      <c r="N84" t="n">
        <v>0</v>
      </c>
      <c r="O84" t="n">
        <v>1</v>
      </c>
      <c r="P84" t="n">
        <v>1</v>
      </c>
      <c r="Q84" t="n">
        <v>1</v>
      </c>
      <c r="R84" s="2" t="inlineStr">
        <is>
          <t>Hällebräcka</t>
        </is>
      </c>
      <c r="S84">
        <f>HYPERLINK("https://klasma.github.io/Logging_0188/artfynd/A 1547-2022 artfynd.xlsx", "A 1547-2022")</f>
        <v/>
      </c>
      <c r="T84">
        <f>HYPERLINK("https://klasma.github.io/Logging_0188/kartor/A 1547-2022 karta.png", "A 1547-2022")</f>
        <v/>
      </c>
      <c r="V84">
        <f>HYPERLINK("https://klasma.github.io/Logging_0188/klagomål/A 1547-2022 FSC-klagomål.docx", "A 1547-2022")</f>
        <v/>
      </c>
      <c r="W84">
        <f>HYPERLINK("https://klasma.github.io/Logging_0188/klagomålsmail/A 1547-2022 FSC-klagomål mail.docx", "A 1547-2022")</f>
        <v/>
      </c>
      <c r="X84">
        <f>HYPERLINK("https://klasma.github.io/Logging_0188/tillsyn/A 1547-2022 tillsynsbegäran.docx", "A 1547-2022")</f>
        <v/>
      </c>
      <c r="Y84">
        <f>HYPERLINK("https://klasma.github.io/Logging_0188/tillsynsmail/A 1547-2022 tillsynsbegäran mail.docx", "A 1547-2022")</f>
        <v/>
      </c>
    </row>
    <row r="85" ht="15" customHeight="1">
      <c r="A85" t="inlineStr">
        <is>
          <t>A 188-2022</t>
        </is>
      </c>
      <c r="B85" s="1" t="n">
        <v>44564.66387731482</v>
      </c>
      <c r="C85" s="1" t="n">
        <v>45995</v>
      </c>
      <c r="D85" t="inlineStr">
        <is>
          <t>STOCKHOLMS LÄN</t>
        </is>
      </c>
      <c r="E85" t="inlineStr">
        <is>
          <t>NORRTÄLJE</t>
        </is>
      </c>
      <c r="G85" t="n">
        <v>4.1</v>
      </c>
      <c r="H85" t="n">
        <v>0</v>
      </c>
      <c r="I85" t="n">
        <v>1</v>
      </c>
      <c r="J85" t="n">
        <v>0</v>
      </c>
      <c r="K85" t="n">
        <v>0</v>
      </c>
      <c r="L85" t="n">
        <v>0</v>
      </c>
      <c r="M85" t="n">
        <v>0</v>
      </c>
      <c r="N85" t="n">
        <v>0</v>
      </c>
      <c r="O85" t="n">
        <v>0</v>
      </c>
      <c r="P85" t="n">
        <v>0</v>
      </c>
      <c r="Q85" t="n">
        <v>1</v>
      </c>
      <c r="R85" s="2" t="inlineStr">
        <is>
          <t>Svart trolldruva</t>
        </is>
      </c>
      <c r="S85">
        <f>HYPERLINK("https://klasma.github.io/Logging_0188/artfynd/A 188-2022 artfynd.xlsx", "A 188-2022")</f>
        <v/>
      </c>
      <c r="T85">
        <f>HYPERLINK("https://klasma.github.io/Logging_0188/kartor/A 188-2022 karta.png", "A 188-2022")</f>
        <v/>
      </c>
      <c r="V85">
        <f>HYPERLINK("https://klasma.github.io/Logging_0188/klagomål/A 188-2022 FSC-klagomål.docx", "A 188-2022")</f>
        <v/>
      </c>
      <c r="W85">
        <f>HYPERLINK("https://klasma.github.io/Logging_0188/klagomålsmail/A 188-2022 FSC-klagomål mail.docx", "A 188-2022")</f>
        <v/>
      </c>
      <c r="X85">
        <f>HYPERLINK("https://klasma.github.io/Logging_0188/tillsyn/A 188-2022 tillsynsbegäran.docx", "A 188-2022")</f>
        <v/>
      </c>
      <c r="Y85">
        <f>HYPERLINK("https://klasma.github.io/Logging_0188/tillsynsmail/A 188-2022 tillsynsbegäran mail.docx", "A 188-2022")</f>
        <v/>
      </c>
    </row>
    <row r="86" ht="15" customHeight="1">
      <c r="A86" t="inlineStr">
        <is>
          <t>A 30138-2021</t>
        </is>
      </c>
      <c r="B86" s="1" t="n">
        <v>44363</v>
      </c>
      <c r="C86" s="1" t="n">
        <v>45995</v>
      </c>
      <c r="D86" t="inlineStr">
        <is>
          <t>STOCKHOLMS LÄN</t>
        </is>
      </c>
      <c r="E86" t="inlineStr">
        <is>
          <t>NORRTÄLJE</t>
        </is>
      </c>
      <c r="G86" t="n">
        <v>4.5</v>
      </c>
      <c r="H86" t="n">
        <v>0</v>
      </c>
      <c r="I86" t="n">
        <v>1</v>
      </c>
      <c r="J86" t="n">
        <v>0</v>
      </c>
      <c r="K86" t="n">
        <v>0</v>
      </c>
      <c r="L86" t="n">
        <v>0</v>
      </c>
      <c r="M86" t="n">
        <v>0</v>
      </c>
      <c r="N86" t="n">
        <v>0</v>
      </c>
      <c r="O86" t="n">
        <v>0</v>
      </c>
      <c r="P86" t="n">
        <v>0</v>
      </c>
      <c r="Q86" t="n">
        <v>1</v>
      </c>
      <c r="R86" s="2" t="inlineStr">
        <is>
          <t>Vårärt</t>
        </is>
      </c>
      <c r="S86">
        <f>HYPERLINK("https://klasma.github.io/Logging_0188/artfynd/A 30138-2021 artfynd.xlsx", "A 30138-2021")</f>
        <v/>
      </c>
      <c r="T86">
        <f>HYPERLINK("https://klasma.github.io/Logging_0188/kartor/A 30138-2021 karta.png", "A 30138-2021")</f>
        <v/>
      </c>
      <c r="V86">
        <f>HYPERLINK("https://klasma.github.io/Logging_0188/klagomål/A 30138-2021 FSC-klagomål.docx", "A 30138-2021")</f>
        <v/>
      </c>
      <c r="W86">
        <f>HYPERLINK("https://klasma.github.io/Logging_0188/klagomålsmail/A 30138-2021 FSC-klagomål mail.docx", "A 30138-2021")</f>
        <v/>
      </c>
      <c r="X86">
        <f>HYPERLINK("https://klasma.github.io/Logging_0188/tillsyn/A 30138-2021 tillsynsbegäran.docx", "A 30138-2021")</f>
        <v/>
      </c>
      <c r="Y86">
        <f>HYPERLINK("https://klasma.github.io/Logging_0188/tillsynsmail/A 30138-2021 tillsynsbegäran mail.docx", "A 30138-2021")</f>
        <v/>
      </c>
    </row>
    <row r="87" ht="15" customHeight="1">
      <c r="A87" t="inlineStr">
        <is>
          <t>A 17629-2022</t>
        </is>
      </c>
      <c r="B87" s="1" t="n">
        <v>44680</v>
      </c>
      <c r="C87" s="1" t="n">
        <v>45995</v>
      </c>
      <c r="D87" t="inlineStr">
        <is>
          <t>STOCKHOLMS LÄN</t>
        </is>
      </c>
      <c r="E87" t="inlineStr">
        <is>
          <t>NORRTÄLJE</t>
        </is>
      </c>
      <c r="G87" t="n">
        <v>0.6</v>
      </c>
      <c r="H87" t="n">
        <v>1</v>
      </c>
      <c r="I87" t="n">
        <v>0</v>
      </c>
      <c r="J87" t="n">
        <v>1</v>
      </c>
      <c r="K87" t="n">
        <v>0</v>
      </c>
      <c r="L87" t="n">
        <v>0</v>
      </c>
      <c r="M87" t="n">
        <v>0</v>
      </c>
      <c r="N87" t="n">
        <v>0</v>
      </c>
      <c r="O87" t="n">
        <v>1</v>
      </c>
      <c r="P87" t="n">
        <v>0</v>
      </c>
      <c r="Q87" t="n">
        <v>1</v>
      </c>
      <c r="R87" s="2" t="inlineStr">
        <is>
          <t>Hornuggla</t>
        </is>
      </c>
      <c r="S87">
        <f>HYPERLINK("https://klasma.github.io/Logging_0188/artfynd/A 17629-2022 artfynd.xlsx", "A 17629-2022")</f>
        <v/>
      </c>
      <c r="T87">
        <f>HYPERLINK("https://klasma.github.io/Logging_0188/kartor/A 17629-2022 karta.png", "A 17629-2022")</f>
        <v/>
      </c>
      <c r="V87">
        <f>HYPERLINK("https://klasma.github.io/Logging_0188/klagomål/A 17629-2022 FSC-klagomål.docx", "A 17629-2022")</f>
        <v/>
      </c>
      <c r="W87">
        <f>HYPERLINK("https://klasma.github.io/Logging_0188/klagomålsmail/A 17629-2022 FSC-klagomål mail.docx", "A 17629-2022")</f>
        <v/>
      </c>
      <c r="X87">
        <f>HYPERLINK("https://klasma.github.io/Logging_0188/tillsyn/A 17629-2022 tillsynsbegäran.docx", "A 17629-2022")</f>
        <v/>
      </c>
      <c r="Y87">
        <f>HYPERLINK("https://klasma.github.io/Logging_0188/tillsynsmail/A 17629-2022 tillsynsbegäran mail.docx", "A 17629-2022")</f>
        <v/>
      </c>
      <c r="Z87">
        <f>HYPERLINK("https://klasma.github.io/Logging_0188/fåglar/A 17629-2022 prioriterade fågelarter.docx", "A 17629-2022")</f>
        <v/>
      </c>
    </row>
    <row r="88" ht="15" customHeight="1">
      <c r="A88" t="inlineStr">
        <is>
          <t>A 33477-2022</t>
        </is>
      </c>
      <c r="B88" s="1" t="n">
        <v>44788.70217592592</v>
      </c>
      <c r="C88" s="1" t="n">
        <v>45995</v>
      </c>
      <c r="D88" t="inlineStr">
        <is>
          <t>STOCKHOLMS LÄN</t>
        </is>
      </c>
      <c r="E88" t="inlineStr">
        <is>
          <t>NORRTÄLJE</t>
        </is>
      </c>
      <c r="G88" t="n">
        <v>5.7</v>
      </c>
      <c r="H88" t="n">
        <v>1</v>
      </c>
      <c r="I88" t="n">
        <v>1</v>
      </c>
      <c r="J88" t="n">
        <v>0</v>
      </c>
      <c r="K88" t="n">
        <v>0</v>
      </c>
      <c r="L88" t="n">
        <v>0</v>
      </c>
      <c r="M88" t="n">
        <v>0</v>
      </c>
      <c r="N88" t="n">
        <v>0</v>
      </c>
      <c r="O88" t="n">
        <v>0</v>
      </c>
      <c r="P88" t="n">
        <v>0</v>
      </c>
      <c r="Q88" t="n">
        <v>1</v>
      </c>
      <c r="R88" s="2" t="inlineStr">
        <is>
          <t>Nästrot</t>
        </is>
      </c>
      <c r="S88">
        <f>HYPERLINK("https://klasma.github.io/Logging_0188/artfynd/A 33477-2022 artfynd.xlsx", "A 33477-2022")</f>
        <v/>
      </c>
      <c r="T88">
        <f>HYPERLINK("https://klasma.github.io/Logging_0188/kartor/A 33477-2022 karta.png", "A 33477-2022")</f>
        <v/>
      </c>
      <c r="V88">
        <f>HYPERLINK("https://klasma.github.io/Logging_0188/klagomål/A 33477-2022 FSC-klagomål.docx", "A 33477-2022")</f>
        <v/>
      </c>
      <c r="W88">
        <f>HYPERLINK("https://klasma.github.io/Logging_0188/klagomålsmail/A 33477-2022 FSC-klagomål mail.docx", "A 33477-2022")</f>
        <v/>
      </c>
      <c r="X88">
        <f>HYPERLINK("https://klasma.github.io/Logging_0188/tillsyn/A 33477-2022 tillsynsbegäran.docx", "A 33477-2022")</f>
        <v/>
      </c>
      <c r="Y88">
        <f>HYPERLINK("https://klasma.github.io/Logging_0188/tillsynsmail/A 33477-2022 tillsynsbegäran mail.docx", "A 33477-2022")</f>
        <v/>
      </c>
    </row>
    <row r="89" ht="15" customHeight="1">
      <c r="A89" t="inlineStr">
        <is>
          <t>A 52508-2023</t>
        </is>
      </c>
      <c r="B89" s="1" t="n">
        <v>45225</v>
      </c>
      <c r="C89" s="1" t="n">
        <v>45995</v>
      </c>
      <c r="D89" t="inlineStr">
        <is>
          <t>STOCKHOLMS LÄN</t>
        </is>
      </c>
      <c r="E89" t="inlineStr">
        <is>
          <t>NORRTÄLJE</t>
        </is>
      </c>
      <c r="G89" t="n">
        <v>19.7</v>
      </c>
      <c r="H89" t="n">
        <v>1</v>
      </c>
      <c r="I89" t="n">
        <v>0</v>
      </c>
      <c r="J89" t="n">
        <v>0</v>
      </c>
      <c r="K89" t="n">
        <v>1</v>
      </c>
      <c r="L89" t="n">
        <v>0</v>
      </c>
      <c r="M89" t="n">
        <v>0</v>
      </c>
      <c r="N89" t="n">
        <v>0</v>
      </c>
      <c r="O89" t="n">
        <v>1</v>
      </c>
      <c r="P89" t="n">
        <v>1</v>
      </c>
      <c r="Q89" t="n">
        <v>1</v>
      </c>
      <c r="R89" s="2" t="inlineStr">
        <is>
          <t>Svärta</t>
        </is>
      </c>
      <c r="S89">
        <f>HYPERLINK("https://klasma.github.io/Logging_0188/artfynd/A 52508-2023 artfynd.xlsx", "A 52508-2023")</f>
        <v/>
      </c>
      <c r="T89">
        <f>HYPERLINK("https://klasma.github.io/Logging_0188/kartor/A 52508-2023 karta.png", "A 52508-2023")</f>
        <v/>
      </c>
      <c r="V89">
        <f>HYPERLINK("https://klasma.github.io/Logging_0188/klagomål/A 52508-2023 FSC-klagomål.docx", "A 52508-2023")</f>
        <v/>
      </c>
      <c r="W89">
        <f>HYPERLINK("https://klasma.github.io/Logging_0188/klagomålsmail/A 52508-2023 FSC-klagomål mail.docx", "A 52508-2023")</f>
        <v/>
      </c>
      <c r="X89">
        <f>HYPERLINK("https://klasma.github.io/Logging_0188/tillsyn/A 52508-2023 tillsynsbegäran.docx", "A 52508-2023")</f>
        <v/>
      </c>
      <c r="Y89">
        <f>HYPERLINK("https://klasma.github.io/Logging_0188/tillsynsmail/A 52508-2023 tillsynsbegäran mail.docx", "A 52508-2023")</f>
        <v/>
      </c>
    </row>
    <row r="90" ht="15" customHeight="1">
      <c r="A90" t="inlineStr">
        <is>
          <t>A 32111-2022</t>
        </is>
      </c>
      <c r="B90" s="1" t="n">
        <v>44778.92797453704</v>
      </c>
      <c r="C90" s="1" t="n">
        <v>45995</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21744-2023</t>
        </is>
      </c>
      <c r="B91" s="1" t="n">
        <v>45065</v>
      </c>
      <c r="C91" s="1" t="n">
        <v>45995</v>
      </c>
      <c r="D91" t="inlineStr">
        <is>
          <t>STOCKHOLMS LÄN</t>
        </is>
      </c>
      <c r="E91" t="inlineStr">
        <is>
          <t>NORRTÄLJE</t>
        </is>
      </c>
      <c r="F91" t="inlineStr">
        <is>
          <t>Holmen skog AB</t>
        </is>
      </c>
      <c r="G91" t="n">
        <v>4.2</v>
      </c>
      <c r="H91" t="n">
        <v>0</v>
      </c>
      <c r="I91" t="n">
        <v>1</v>
      </c>
      <c r="J91" t="n">
        <v>0</v>
      </c>
      <c r="K91" t="n">
        <v>0</v>
      </c>
      <c r="L91" t="n">
        <v>0</v>
      </c>
      <c r="M91" t="n">
        <v>0</v>
      </c>
      <c r="N91" t="n">
        <v>0</v>
      </c>
      <c r="O91" t="n">
        <v>0</v>
      </c>
      <c r="P91" t="n">
        <v>0</v>
      </c>
      <c r="Q91" t="n">
        <v>1</v>
      </c>
      <c r="R91" s="2" t="inlineStr">
        <is>
          <t>Korallblylav</t>
        </is>
      </c>
      <c r="S91">
        <f>HYPERLINK("https://klasma.github.io/Logging_0188/artfynd/A 21744-2023 artfynd.xlsx", "A 21744-2023")</f>
        <v/>
      </c>
      <c r="T91">
        <f>HYPERLINK("https://klasma.github.io/Logging_0188/kartor/A 21744-2023 karta.png", "A 21744-2023")</f>
        <v/>
      </c>
      <c r="V91">
        <f>HYPERLINK("https://klasma.github.io/Logging_0188/klagomål/A 21744-2023 FSC-klagomål.docx", "A 21744-2023")</f>
        <v/>
      </c>
      <c r="W91">
        <f>HYPERLINK("https://klasma.github.io/Logging_0188/klagomålsmail/A 21744-2023 FSC-klagomål mail.docx", "A 21744-2023")</f>
        <v/>
      </c>
      <c r="X91">
        <f>HYPERLINK("https://klasma.github.io/Logging_0188/tillsyn/A 21744-2023 tillsynsbegäran.docx", "A 21744-2023")</f>
        <v/>
      </c>
      <c r="Y91">
        <f>HYPERLINK("https://klasma.github.io/Logging_0188/tillsynsmail/A 21744-2023 tillsynsbegäran mail.docx", "A 21744-2023")</f>
        <v/>
      </c>
    </row>
    <row r="92" ht="15" customHeight="1">
      <c r="A92" t="inlineStr">
        <is>
          <t>A 17952-2022</t>
        </is>
      </c>
      <c r="B92" s="1" t="n">
        <v>44683</v>
      </c>
      <c r="C92" s="1" t="n">
        <v>45995</v>
      </c>
      <c r="D92" t="inlineStr">
        <is>
          <t>STOCKHOLMS LÄN</t>
        </is>
      </c>
      <c r="E92" t="inlineStr">
        <is>
          <t>NORRTÄLJE</t>
        </is>
      </c>
      <c r="G92" t="n">
        <v>51.1</v>
      </c>
      <c r="H92" t="n">
        <v>0</v>
      </c>
      <c r="I92" t="n">
        <v>0</v>
      </c>
      <c r="J92" t="n">
        <v>0</v>
      </c>
      <c r="K92" t="n">
        <v>1</v>
      </c>
      <c r="L92" t="n">
        <v>0</v>
      </c>
      <c r="M92" t="n">
        <v>0</v>
      </c>
      <c r="N92" t="n">
        <v>0</v>
      </c>
      <c r="O92" t="n">
        <v>1</v>
      </c>
      <c r="P92" t="n">
        <v>1</v>
      </c>
      <c r="Q92" t="n">
        <v>1</v>
      </c>
      <c r="R92" s="2" t="inlineStr">
        <is>
          <t>Kattunvisslare</t>
        </is>
      </c>
      <c r="S92">
        <f>HYPERLINK("https://klasma.github.io/Logging_0188/artfynd/A 17952-2022 artfynd.xlsx", "A 17952-2022")</f>
        <v/>
      </c>
      <c r="T92">
        <f>HYPERLINK("https://klasma.github.io/Logging_0188/kartor/A 17952-2022 karta.png", "A 17952-2022")</f>
        <v/>
      </c>
      <c r="V92">
        <f>HYPERLINK("https://klasma.github.io/Logging_0188/klagomål/A 17952-2022 FSC-klagomål.docx", "A 17952-2022")</f>
        <v/>
      </c>
      <c r="W92">
        <f>HYPERLINK("https://klasma.github.io/Logging_0188/klagomålsmail/A 17952-2022 FSC-klagomål mail.docx", "A 17952-2022")</f>
        <v/>
      </c>
      <c r="X92">
        <f>HYPERLINK("https://klasma.github.io/Logging_0188/tillsyn/A 17952-2022 tillsynsbegäran.docx", "A 17952-2022")</f>
        <v/>
      </c>
      <c r="Y92">
        <f>HYPERLINK("https://klasma.github.io/Logging_0188/tillsynsmail/A 17952-2022 tillsynsbegäran mail.docx", "A 17952-2022")</f>
        <v/>
      </c>
    </row>
    <row r="93" ht="15" customHeight="1">
      <c r="A93" t="inlineStr">
        <is>
          <t>A 23146-2024</t>
        </is>
      </c>
      <c r="B93" s="1" t="n">
        <v>45450.63958333333</v>
      </c>
      <c r="C93" s="1" t="n">
        <v>45995</v>
      </c>
      <c r="D93" t="inlineStr">
        <is>
          <t>STOCKHOLMS LÄN</t>
        </is>
      </c>
      <c r="E93" t="inlineStr">
        <is>
          <t>NORRTÄLJE</t>
        </is>
      </c>
      <c r="F93" t="inlineStr">
        <is>
          <t>Kommuner</t>
        </is>
      </c>
      <c r="G93" t="n">
        <v>6</v>
      </c>
      <c r="H93" t="n">
        <v>0</v>
      </c>
      <c r="I93" t="n">
        <v>0</v>
      </c>
      <c r="J93" t="n">
        <v>1</v>
      </c>
      <c r="K93" t="n">
        <v>0</v>
      </c>
      <c r="L93" t="n">
        <v>0</v>
      </c>
      <c r="M93" t="n">
        <v>0</v>
      </c>
      <c r="N93" t="n">
        <v>0</v>
      </c>
      <c r="O93" t="n">
        <v>1</v>
      </c>
      <c r="P93" t="n">
        <v>0</v>
      </c>
      <c r="Q93" t="n">
        <v>1</v>
      </c>
      <c r="R93" s="2" t="inlineStr">
        <is>
          <t>Motaggsvamp</t>
        </is>
      </c>
      <c r="S93">
        <f>HYPERLINK("https://klasma.github.io/Logging_0188/artfynd/A 23146-2024 artfynd.xlsx", "A 23146-2024")</f>
        <v/>
      </c>
      <c r="T93">
        <f>HYPERLINK("https://klasma.github.io/Logging_0188/kartor/A 23146-2024 karta.png", "A 23146-2024")</f>
        <v/>
      </c>
      <c r="V93">
        <f>HYPERLINK("https://klasma.github.io/Logging_0188/klagomål/A 23146-2024 FSC-klagomål.docx", "A 23146-2024")</f>
        <v/>
      </c>
      <c r="W93">
        <f>HYPERLINK("https://klasma.github.io/Logging_0188/klagomålsmail/A 23146-2024 FSC-klagomål mail.docx", "A 23146-2024")</f>
        <v/>
      </c>
      <c r="X93">
        <f>HYPERLINK("https://klasma.github.io/Logging_0188/tillsyn/A 23146-2024 tillsynsbegäran.docx", "A 23146-2024")</f>
        <v/>
      </c>
      <c r="Y93">
        <f>HYPERLINK("https://klasma.github.io/Logging_0188/tillsynsmail/A 23146-2024 tillsynsbegäran mail.docx", "A 23146-2024")</f>
        <v/>
      </c>
    </row>
    <row r="94" ht="15" customHeight="1">
      <c r="A94" t="inlineStr">
        <is>
          <t>A 47898-2022</t>
        </is>
      </c>
      <c r="B94" s="1" t="n">
        <v>44855</v>
      </c>
      <c r="C94" s="1" t="n">
        <v>45995</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45995</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27538-2024</t>
        </is>
      </c>
      <c r="B96" s="1" t="n">
        <v>45474</v>
      </c>
      <c r="C96" s="1" t="n">
        <v>45995</v>
      </c>
      <c r="D96" t="inlineStr">
        <is>
          <t>STOCKHOLMS LÄN</t>
        </is>
      </c>
      <c r="E96" t="inlineStr">
        <is>
          <t>NORRTÄLJE</t>
        </is>
      </c>
      <c r="G96" t="n">
        <v>1.5</v>
      </c>
      <c r="H96" t="n">
        <v>1</v>
      </c>
      <c r="I96" t="n">
        <v>1</v>
      </c>
      <c r="J96" t="n">
        <v>0</v>
      </c>
      <c r="K96" t="n">
        <v>0</v>
      </c>
      <c r="L96" t="n">
        <v>0</v>
      </c>
      <c r="M96" t="n">
        <v>0</v>
      </c>
      <c r="N96" t="n">
        <v>0</v>
      </c>
      <c r="O96" t="n">
        <v>0</v>
      </c>
      <c r="P96" t="n">
        <v>0</v>
      </c>
      <c r="Q96" t="n">
        <v>1</v>
      </c>
      <c r="R96" s="2" t="inlineStr">
        <is>
          <t>Skogsknipprot</t>
        </is>
      </c>
      <c r="S96">
        <f>HYPERLINK("https://klasma.github.io/Logging_0188/artfynd/A 27538-2024 artfynd.xlsx", "A 27538-2024")</f>
        <v/>
      </c>
      <c r="T96">
        <f>HYPERLINK("https://klasma.github.io/Logging_0188/kartor/A 27538-2024 karta.png", "A 27538-2024")</f>
        <v/>
      </c>
      <c r="V96">
        <f>HYPERLINK("https://klasma.github.io/Logging_0188/klagomål/A 27538-2024 FSC-klagomål.docx", "A 27538-2024")</f>
        <v/>
      </c>
      <c r="W96">
        <f>HYPERLINK("https://klasma.github.io/Logging_0188/klagomålsmail/A 27538-2024 FSC-klagomål mail.docx", "A 27538-2024")</f>
        <v/>
      </c>
      <c r="X96">
        <f>HYPERLINK("https://klasma.github.io/Logging_0188/tillsyn/A 27538-2024 tillsynsbegäran.docx", "A 27538-2024")</f>
        <v/>
      </c>
      <c r="Y96">
        <f>HYPERLINK("https://klasma.github.io/Logging_0188/tillsynsmail/A 27538-2024 tillsynsbegäran mail.docx", "A 27538-2024")</f>
        <v/>
      </c>
    </row>
    <row r="97" ht="15" customHeight="1">
      <c r="A97" t="inlineStr">
        <is>
          <t>A 40861-2025</t>
        </is>
      </c>
      <c r="B97" s="1" t="n">
        <v>45897.56356481482</v>
      </c>
      <c r="C97" s="1" t="n">
        <v>45995</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4385-2023</t>
        </is>
      </c>
      <c r="B98" s="1" t="n">
        <v>44955.71322916666</v>
      </c>
      <c r="C98" s="1" t="n">
        <v>45995</v>
      </c>
      <c r="D98" t="inlineStr">
        <is>
          <t>STOCKHOLMS LÄN</t>
        </is>
      </c>
      <c r="E98" t="inlineStr">
        <is>
          <t>NORRTÄLJE</t>
        </is>
      </c>
      <c r="G98" t="n">
        <v>7.8</v>
      </c>
      <c r="H98" t="n">
        <v>1</v>
      </c>
      <c r="I98" t="n">
        <v>1</v>
      </c>
      <c r="J98" t="n">
        <v>0</v>
      </c>
      <c r="K98" t="n">
        <v>0</v>
      </c>
      <c r="L98" t="n">
        <v>0</v>
      </c>
      <c r="M98" t="n">
        <v>0</v>
      </c>
      <c r="N98" t="n">
        <v>0</v>
      </c>
      <c r="O98" t="n">
        <v>0</v>
      </c>
      <c r="P98" t="n">
        <v>0</v>
      </c>
      <c r="Q98" t="n">
        <v>1</v>
      </c>
      <c r="R98" s="2" t="inlineStr">
        <is>
          <t>Skogsknipprot</t>
        </is>
      </c>
      <c r="S98">
        <f>HYPERLINK("https://klasma.github.io/Logging_0188/artfynd/A 4385-2023 artfynd.xlsx", "A 4385-2023")</f>
        <v/>
      </c>
      <c r="T98">
        <f>HYPERLINK("https://klasma.github.io/Logging_0188/kartor/A 4385-2023 karta.png", "A 4385-2023")</f>
        <v/>
      </c>
      <c r="V98">
        <f>HYPERLINK("https://klasma.github.io/Logging_0188/klagomål/A 4385-2023 FSC-klagomål.docx", "A 4385-2023")</f>
        <v/>
      </c>
      <c r="W98">
        <f>HYPERLINK("https://klasma.github.io/Logging_0188/klagomålsmail/A 4385-2023 FSC-klagomål mail.docx", "A 4385-2023")</f>
        <v/>
      </c>
      <c r="X98">
        <f>HYPERLINK("https://klasma.github.io/Logging_0188/tillsyn/A 4385-2023 tillsynsbegäran.docx", "A 4385-2023")</f>
        <v/>
      </c>
      <c r="Y98">
        <f>HYPERLINK("https://klasma.github.io/Logging_0188/tillsynsmail/A 4385-2023 tillsynsbegäran mail.docx", "A 4385-2023")</f>
        <v/>
      </c>
    </row>
    <row r="99" ht="15" customHeight="1">
      <c r="A99" t="inlineStr">
        <is>
          <t>A 13271-2025</t>
        </is>
      </c>
      <c r="B99" s="1" t="n">
        <v>45735.54510416667</v>
      </c>
      <c r="C99" s="1" t="n">
        <v>45995</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42313-2025</t>
        </is>
      </c>
      <c r="B100" s="1" t="n">
        <v>45904.6575</v>
      </c>
      <c r="C100" s="1" t="n">
        <v>45995</v>
      </c>
      <c r="D100" t="inlineStr">
        <is>
          <t>STOCKHOLMS LÄN</t>
        </is>
      </c>
      <c r="E100" t="inlineStr">
        <is>
          <t>NORRTÄLJE</t>
        </is>
      </c>
      <c r="G100" t="n">
        <v>1.7</v>
      </c>
      <c r="H100" t="n">
        <v>1</v>
      </c>
      <c r="I100" t="n">
        <v>0</v>
      </c>
      <c r="J100" t="n">
        <v>0</v>
      </c>
      <c r="K100" t="n">
        <v>0</v>
      </c>
      <c r="L100" t="n">
        <v>0</v>
      </c>
      <c r="M100" t="n">
        <v>0</v>
      </c>
      <c r="N100" t="n">
        <v>0</v>
      </c>
      <c r="O100" t="n">
        <v>0</v>
      </c>
      <c r="P100" t="n">
        <v>0</v>
      </c>
      <c r="Q100" t="n">
        <v>1</v>
      </c>
      <c r="R100" s="2" t="inlineStr">
        <is>
          <t>Vanlig padda</t>
        </is>
      </c>
      <c r="S100">
        <f>HYPERLINK("https://klasma.github.io/Logging_0188/artfynd/A 42313-2025 artfynd.xlsx", "A 42313-2025")</f>
        <v/>
      </c>
      <c r="T100">
        <f>HYPERLINK("https://klasma.github.io/Logging_0188/kartor/A 42313-2025 karta.png", "A 42313-2025")</f>
        <v/>
      </c>
      <c r="V100">
        <f>HYPERLINK("https://klasma.github.io/Logging_0188/klagomål/A 42313-2025 FSC-klagomål.docx", "A 42313-2025")</f>
        <v/>
      </c>
      <c r="W100">
        <f>HYPERLINK("https://klasma.github.io/Logging_0188/klagomålsmail/A 42313-2025 FSC-klagomål mail.docx", "A 42313-2025")</f>
        <v/>
      </c>
      <c r="X100">
        <f>HYPERLINK("https://klasma.github.io/Logging_0188/tillsyn/A 42313-2025 tillsynsbegäran.docx", "A 42313-2025")</f>
        <v/>
      </c>
      <c r="Y100">
        <f>HYPERLINK("https://klasma.github.io/Logging_0188/tillsynsmail/A 42313-2025 tillsynsbegäran mail.docx", "A 42313-2025")</f>
        <v/>
      </c>
    </row>
    <row r="101" ht="15" customHeight="1">
      <c r="A101" t="inlineStr">
        <is>
          <t>A 48131-2023</t>
        </is>
      </c>
      <c r="B101" s="1" t="n">
        <v>45205</v>
      </c>
      <c r="C101" s="1" t="n">
        <v>45995</v>
      </c>
      <c r="D101" t="inlineStr">
        <is>
          <t>STOCKHOLMS LÄN</t>
        </is>
      </c>
      <c r="E101" t="inlineStr">
        <is>
          <t>NORRTÄLJE</t>
        </is>
      </c>
      <c r="G101" t="n">
        <v>2.3</v>
      </c>
      <c r="H101" t="n">
        <v>0</v>
      </c>
      <c r="I101" t="n">
        <v>0</v>
      </c>
      <c r="J101" t="n">
        <v>1</v>
      </c>
      <c r="K101" t="n">
        <v>0</v>
      </c>
      <c r="L101" t="n">
        <v>0</v>
      </c>
      <c r="M101" t="n">
        <v>0</v>
      </c>
      <c r="N101" t="n">
        <v>0</v>
      </c>
      <c r="O101" t="n">
        <v>1</v>
      </c>
      <c r="P101" t="n">
        <v>0</v>
      </c>
      <c r="Q101" t="n">
        <v>1</v>
      </c>
      <c r="R101" s="2" t="inlineStr">
        <is>
          <t>Slåtterfibbla</t>
        </is>
      </c>
      <c r="S101">
        <f>HYPERLINK("https://klasma.github.io/Logging_0188/artfynd/A 48131-2023 artfynd.xlsx", "A 48131-2023")</f>
        <v/>
      </c>
      <c r="T101">
        <f>HYPERLINK("https://klasma.github.io/Logging_0188/kartor/A 48131-2023 karta.png", "A 48131-2023")</f>
        <v/>
      </c>
      <c r="V101">
        <f>HYPERLINK("https://klasma.github.io/Logging_0188/klagomål/A 48131-2023 FSC-klagomål.docx", "A 48131-2023")</f>
        <v/>
      </c>
      <c r="W101">
        <f>HYPERLINK("https://klasma.github.io/Logging_0188/klagomålsmail/A 48131-2023 FSC-klagomål mail.docx", "A 48131-2023")</f>
        <v/>
      </c>
      <c r="X101">
        <f>HYPERLINK("https://klasma.github.io/Logging_0188/tillsyn/A 48131-2023 tillsynsbegäran.docx", "A 48131-2023")</f>
        <v/>
      </c>
      <c r="Y101">
        <f>HYPERLINK("https://klasma.github.io/Logging_0188/tillsynsmail/A 48131-2023 tillsynsbegäran mail.docx", "A 48131-2023")</f>
        <v/>
      </c>
    </row>
    <row r="102" ht="15" customHeight="1">
      <c r="A102" t="inlineStr">
        <is>
          <t>A 4860-2022</t>
        </is>
      </c>
      <c r="B102" s="1" t="n">
        <v>44592</v>
      </c>
      <c r="C102" s="1" t="n">
        <v>45995</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24330-2023</t>
        </is>
      </c>
      <c r="B103" s="1" t="n">
        <v>45081</v>
      </c>
      <c r="C103" s="1" t="n">
        <v>45995</v>
      </c>
      <c r="D103" t="inlineStr">
        <is>
          <t>STOCKHOLMS LÄN</t>
        </is>
      </c>
      <c r="E103" t="inlineStr">
        <is>
          <t>NORRTÄLJE</t>
        </is>
      </c>
      <c r="G103" t="n">
        <v>5</v>
      </c>
      <c r="H103" t="n">
        <v>1</v>
      </c>
      <c r="I103" t="n">
        <v>0</v>
      </c>
      <c r="J103" t="n">
        <v>1</v>
      </c>
      <c r="K103" t="n">
        <v>0</v>
      </c>
      <c r="L103" t="n">
        <v>0</v>
      </c>
      <c r="M103" t="n">
        <v>0</v>
      </c>
      <c r="N103" t="n">
        <v>0</v>
      </c>
      <c r="O103" t="n">
        <v>1</v>
      </c>
      <c r="P103" t="n">
        <v>0</v>
      </c>
      <c r="Q103" t="n">
        <v>1</v>
      </c>
      <c r="R103" s="2" t="inlineStr">
        <is>
          <t>Mindre hackspett</t>
        </is>
      </c>
      <c r="S103">
        <f>HYPERLINK("https://klasma.github.io/Logging_0188/artfynd/A 24330-2023 artfynd.xlsx", "A 24330-2023")</f>
        <v/>
      </c>
      <c r="T103">
        <f>HYPERLINK("https://klasma.github.io/Logging_0188/kartor/A 24330-2023 karta.png", "A 24330-2023")</f>
        <v/>
      </c>
      <c r="V103">
        <f>HYPERLINK("https://klasma.github.io/Logging_0188/klagomål/A 24330-2023 FSC-klagomål.docx", "A 24330-2023")</f>
        <v/>
      </c>
      <c r="W103">
        <f>HYPERLINK("https://klasma.github.io/Logging_0188/klagomålsmail/A 24330-2023 FSC-klagomål mail.docx", "A 24330-2023")</f>
        <v/>
      </c>
      <c r="X103">
        <f>HYPERLINK("https://klasma.github.io/Logging_0188/tillsyn/A 24330-2023 tillsynsbegäran.docx", "A 24330-2023")</f>
        <v/>
      </c>
      <c r="Y103">
        <f>HYPERLINK("https://klasma.github.io/Logging_0188/tillsynsmail/A 24330-2023 tillsynsbegäran mail.docx", "A 24330-2023")</f>
        <v/>
      </c>
      <c r="Z103">
        <f>HYPERLINK("https://klasma.github.io/Logging_0188/fåglar/A 24330-2023 prioriterade fågelarter.docx", "A 24330-2023")</f>
        <v/>
      </c>
    </row>
    <row r="104" ht="15" customHeight="1">
      <c r="A104" t="inlineStr">
        <is>
          <t>A 24535-2023</t>
        </is>
      </c>
      <c r="B104" s="1" t="n">
        <v>45082</v>
      </c>
      <c r="C104" s="1" t="n">
        <v>45995</v>
      </c>
      <c r="D104" t="inlineStr">
        <is>
          <t>STOCKHOLMS LÄN</t>
        </is>
      </c>
      <c r="E104" t="inlineStr">
        <is>
          <t>NORRTÄLJE</t>
        </is>
      </c>
      <c r="F104" t="inlineStr">
        <is>
          <t>Kommuner</t>
        </is>
      </c>
      <c r="G104" t="n">
        <v>2</v>
      </c>
      <c r="H104" t="n">
        <v>1</v>
      </c>
      <c r="I104" t="n">
        <v>0</v>
      </c>
      <c r="J104" t="n">
        <v>0</v>
      </c>
      <c r="K104" t="n">
        <v>0</v>
      </c>
      <c r="L104" t="n">
        <v>0</v>
      </c>
      <c r="M104" t="n">
        <v>0</v>
      </c>
      <c r="N104" t="n">
        <v>0</v>
      </c>
      <c r="O104" t="n">
        <v>0</v>
      </c>
      <c r="P104" t="n">
        <v>0</v>
      </c>
      <c r="Q104" t="n">
        <v>1</v>
      </c>
      <c r="R104" s="2" t="inlineStr">
        <is>
          <t>Blåsippa</t>
        </is>
      </c>
      <c r="S104">
        <f>HYPERLINK("https://klasma.github.io/Logging_0188/artfynd/A 24535-2023 artfynd.xlsx", "A 24535-2023")</f>
        <v/>
      </c>
      <c r="T104">
        <f>HYPERLINK("https://klasma.github.io/Logging_0188/kartor/A 24535-2023 karta.png", "A 24535-2023")</f>
        <v/>
      </c>
      <c r="V104">
        <f>HYPERLINK("https://klasma.github.io/Logging_0188/klagomål/A 24535-2023 FSC-klagomål.docx", "A 24535-2023")</f>
        <v/>
      </c>
      <c r="W104">
        <f>HYPERLINK("https://klasma.github.io/Logging_0188/klagomålsmail/A 24535-2023 FSC-klagomål mail.docx", "A 24535-2023")</f>
        <v/>
      </c>
      <c r="X104">
        <f>HYPERLINK("https://klasma.github.io/Logging_0188/tillsyn/A 24535-2023 tillsynsbegäran.docx", "A 24535-2023")</f>
        <v/>
      </c>
      <c r="Y104">
        <f>HYPERLINK("https://klasma.github.io/Logging_0188/tillsynsmail/A 24535-2023 tillsynsbegäran mail.docx", "A 24535-2023")</f>
        <v/>
      </c>
    </row>
    <row r="105" ht="15" customHeight="1">
      <c r="A105" t="inlineStr">
        <is>
          <t>A 26635-2023</t>
        </is>
      </c>
      <c r="B105" s="1" t="n">
        <v>45092</v>
      </c>
      <c r="C105" s="1" t="n">
        <v>45995</v>
      </c>
      <c r="D105" t="inlineStr">
        <is>
          <t>STOCKHOLMS LÄN</t>
        </is>
      </c>
      <c r="E105" t="inlineStr">
        <is>
          <t>NORRTÄLJE</t>
        </is>
      </c>
      <c r="G105" t="n">
        <v>3.1</v>
      </c>
      <c r="H105" t="n">
        <v>1</v>
      </c>
      <c r="I105" t="n">
        <v>0</v>
      </c>
      <c r="J105" t="n">
        <v>0</v>
      </c>
      <c r="K105" t="n">
        <v>0</v>
      </c>
      <c r="L105" t="n">
        <v>0</v>
      </c>
      <c r="M105" t="n">
        <v>0</v>
      </c>
      <c r="N105" t="n">
        <v>0</v>
      </c>
      <c r="O105" t="n">
        <v>0</v>
      </c>
      <c r="P105" t="n">
        <v>0</v>
      </c>
      <c r="Q105" t="n">
        <v>1</v>
      </c>
      <c r="R105" s="2" t="inlineStr">
        <is>
          <t>Fläcknycklar</t>
        </is>
      </c>
      <c r="S105">
        <f>HYPERLINK("https://klasma.github.io/Logging_0188/artfynd/A 26635-2023 artfynd.xlsx", "A 26635-2023")</f>
        <v/>
      </c>
      <c r="T105">
        <f>HYPERLINK("https://klasma.github.io/Logging_0188/kartor/A 26635-2023 karta.png", "A 26635-2023")</f>
        <v/>
      </c>
      <c r="V105">
        <f>HYPERLINK("https://klasma.github.io/Logging_0188/klagomål/A 26635-2023 FSC-klagomål.docx", "A 26635-2023")</f>
        <v/>
      </c>
      <c r="W105">
        <f>HYPERLINK("https://klasma.github.io/Logging_0188/klagomålsmail/A 26635-2023 FSC-klagomål mail.docx", "A 26635-2023")</f>
        <v/>
      </c>
      <c r="X105">
        <f>HYPERLINK("https://klasma.github.io/Logging_0188/tillsyn/A 26635-2023 tillsynsbegäran.docx", "A 26635-2023")</f>
        <v/>
      </c>
      <c r="Y105">
        <f>HYPERLINK("https://klasma.github.io/Logging_0188/tillsynsmail/A 26635-2023 tillsynsbegäran mail.docx", "A 26635-2023")</f>
        <v/>
      </c>
    </row>
    <row r="106" ht="15" customHeight="1">
      <c r="A106" t="inlineStr">
        <is>
          <t>A 52775-2025</t>
        </is>
      </c>
      <c r="B106" s="1" t="n">
        <v>45957.41608796296</v>
      </c>
      <c r="C106" s="1" t="n">
        <v>45995</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19829-2022</t>
        </is>
      </c>
      <c r="B107" s="1" t="n">
        <v>44695.43527777777</v>
      </c>
      <c r="C107" s="1" t="n">
        <v>45995</v>
      </c>
      <c r="D107" t="inlineStr">
        <is>
          <t>STOCKHOLMS LÄN</t>
        </is>
      </c>
      <c r="E107" t="inlineStr">
        <is>
          <t>NORRTÄLJE</t>
        </is>
      </c>
      <c r="G107" t="n">
        <v>2</v>
      </c>
      <c r="H107" t="n">
        <v>1</v>
      </c>
      <c r="I107" t="n">
        <v>1</v>
      </c>
      <c r="J107" t="n">
        <v>0</v>
      </c>
      <c r="K107" t="n">
        <v>0</v>
      </c>
      <c r="L107" t="n">
        <v>0</v>
      </c>
      <c r="M107" t="n">
        <v>0</v>
      </c>
      <c r="N107" t="n">
        <v>0</v>
      </c>
      <c r="O107" t="n">
        <v>0</v>
      </c>
      <c r="P107" t="n">
        <v>0</v>
      </c>
      <c r="Q107" t="n">
        <v>1</v>
      </c>
      <c r="R107" s="2" t="inlineStr">
        <is>
          <t>Guckusko</t>
        </is>
      </c>
      <c r="S107">
        <f>HYPERLINK("https://klasma.github.io/Logging_0188/artfynd/A 19829-2022 artfynd.xlsx", "A 19829-2022")</f>
        <v/>
      </c>
      <c r="T107">
        <f>HYPERLINK("https://klasma.github.io/Logging_0188/kartor/A 19829-2022 karta.png", "A 19829-2022")</f>
        <v/>
      </c>
      <c r="V107">
        <f>HYPERLINK("https://klasma.github.io/Logging_0188/klagomål/A 19829-2022 FSC-klagomål.docx", "A 19829-2022")</f>
        <v/>
      </c>
      <c r="W107">
        <f>HYPERLINK("https://klasma.github.io/Logging_0188/klagomålsmail/A 19829-2022 FSC-klagomål mail.docx", "A 19829-2022")</f>
        <v/>
      </c>
      <c r="X107">
        <f>HYPERLINK("https://klasma.github.io/Logging_0188/tillsyn/A 19829-2022 tillsynsbegäran.docx", "A 19829-2022")</f>
        <v/>
      </c>
      <c r="Y107">
        <f>HYPERLINK("https://klasma.github.io/Logging_0188/tillsynsmail/A 19829-2022 tillsynsbegäran mail.docx", "A 19829-2022")</f>
        <v/>
      </c>
    </row>
    <row r="108" ht="15" customHeight="1">
      <c r="A108" t="inlineStr">
        <is>
          <t>A 53716-2025</t>
        </is>
      </c>
      <c r="B108" s="1" t="n">
        <v>45960.61782407408</v>
      </c>
      <c r="C108" s="1" t="n">
        <v>45995</v>
      </c>
      <c r="D108" t="inlineStr">
        <is>
          <t>STOCKHOLMS LÄN</t>
        </is>
      </c>
      <c r="E108" t="inlineStr">
        <is>
          <t>NORRTÄLJE</t>
        </is>
      </c>
      <c r="G108" t="n">
        <v>3.4</v>
      </c>
      <c r="H108" t="n">
        <v>0</v>
      </c>
      <c r="I108" t="n">
        <v>0</v>
      </c>
      <c r="J108" t="n">
        <v>0</v>
      </c>
      <c r="K108" t="n">
        <v>0</v>
      </c>
      <c r="L108" t="n">
        <v>1</v>
      </c>
      <c r="M108" t="n">
        <v>0</v>
      </c>
      <c r="N108" t="n">
        <v>0</v>
      </c>
      <c r="O108" t="n">
        <v>1</v>
      </c>
      <c r="P108" t="n">
        <v>1</v>
      </c>
      <c r="Q108" t="n">
        <v>1</v>
      </c>
      <c r="R108" s="2" t="inlineStr">
        <is>
          <t>Fältgentiana</t>
        </is>
      </c>
      <c r="S108">
        <f>HYPERLINK("https://klasma.github.io/Logging_0188/artfynd/A 53716-2025 artfynd.xlsx", "A 53716-2025")</f>
        <v/>
      </c>
      <c r="T108">
        <f>HYPERLINK("https://klasma.github.io/Logging_0188/kartor/A 53716-2025 karta.png", "A 53716-2025")</f>
        <v/>
      </c>
      <c r="V108">
        <f>HYPERLINK("https://klasma.github.io/Logging_0188/klagomål/A 53716-2025 FSC-klagomål.docx", "A 53716-2025")</f>
        <v/>
      </c>
      <c r="W108">
        <f>HYPERLINK("https://klasma.github.io/Logging_0188/klagomålsmail/A 53716-2025 FSC-klagomål mail.docx", "A 53716-2025")</f>
        <v/>
      </c>
      <c r="X108">
        <f>HYPERLINK("https://klasma.github.io/Logging_0188/tillsyn/A 53716-2025 tillsynsbegäran.docx", "A 53716-2025")</f>
        <v/>
      </c>
      <c r="Y108">
        <f>HYPERLINK("https://klasma.github.io/Logging_0188/tillsynsmail/A 53716-2025 tillsynsbegäran mail.docx", "A 53716-2025")</f>
        <v/>
      </c>
    </row>
    <row r="109" ht="15" customHeight="1">
      <c r="A109" t="inlineStr">
        <is>
          <t>A 35691-2023</t>
        </is>
      </c>
      <c r="B109" s="1" t="n">
        <v>45147.65222222222</v>
      </c>
      <c r="C109" s="1" t="n">
        <v>45995</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45995</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27827-2022</t>
        </is>
      </c>
      <c r="B111" s="1" t="n">
        <v>44743.59504629629</v>
      </c>
      <c r="C111" s="1" t="n">
        <v>45995</v>
      </c>
      <c r="D111" t="inlineStr">
        <is>
          <t>STOCKHOLMS LÄN</t>
        </is>
      </c>
      <c r="E111" t="inlineStr">
        <is>
          <t>NORRTÄLJE</t>
        </is>
      </c>
      <c r="F111" t="inlineStr">
        <is>
          <t>Holmen skog AB</t>
        </is>
      </c>
      <c r="G111" t="n">
        <v>4.7</v>
      </c>
      <c r="H111" t="n">
        <v>1</v>
      </c>
      <c r="I111" t="n">
        <v>0</v>
      </c>
      <c r="J111" t="n">
        <v>1</v>
      </c>
      <c r="K111" t="n">
        <v>0</v>
      </c>
      <c r="L111" t="n">
        <v>0</v>
      </c>
      <c r="M111" t="n">
        <v>0</v>
      </c>
      <c r="N111" t="n">
        <v>0</v>
      </c>
      <c r="O111" t="n">
        <v>1</v>
      </c>
      <c r="P111" t="n">
        <v>0</v>
      </c>
      <c r="Q111" t="n">
        <v>1</v>
      </c>
      <c r="R111" s="2" t="inlineStr">
        <is>
          <t>Nordfladdermus</t>
        </is>
      </c>
      <c r="S111">
        <f>HYPERLINK("https://klasma.github.io/Logging_0188/artfynd/A 27827-2022 artfynd.xlsx", "A 27827-2022")</f>
        <v/>
      </c>
      <c r="T111">
        <f>HYPERLINK("https://klasma.github.io/Logging_0188/kartor/A 27827-2022 karta.png", "A 27827-2022")</f>
        <v/>
      </c>
      <c r="V111">
        <f>HYPERLINK("https://klasma.github.io/Logging_0188/klagomål/A 27827-2022 FSC-klagomål.docx", "A 27827-2022")</f>
        <v/>
      </c>
      <c r="W111">
        <f>HYPERLINK("https://klasma.github.io/Logging_0188/klagomålsmail/A 27827-2022 FSC-klagomål mail.docx", "A 27827-2022")</f>
        <v/>
      </c>
      <c r="X111">
        <f>HYPERLINK("https://klasma.github.io/Logging_0188/tillsyn/A 27827-2022 tillsynsbegäran.docx", "A 27827-2022")</f>
        <v/>
      </c>
      <c r="Y111">
        <f>HYPERLINK("https://klasma.github.io/Logging_0188/tillsynsmail/A 27827-2022 tillsynsbegäran mail.docx", "A 27827-2022")</f>
        <v/>
      </c>
    </row>
    <row r="112" ht="15" customHeight="1">
      <c r="A112" t="inlineStr">
        <is>
          <t>A 58888-2021</t>
        </is>
      </c>
      <c r="B112" s="1" t="n">
        <v>44489</v>
      </c>
      <c r="C112" s="1" t="n">
        <v>45995</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39158-2025</t>
        </is>
      </c>
      <c r="B113" s="1" t="n">
        <v>45888</v>
      </c>
      <c r="C113" s="1" t="n">
        <v>45995</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9955-2022</t>
        </is>
      </c>
      <c r="B114" s="1" t="n">
        <v>44620</v>
      </c>
      <c r="C114" s="1" t="n">
        <v>45995</v>
      </c>
      <c r="D114" t="inlineStr">
        <is>
          <t>STOCKHOLMS LÄN</t>
        </is>
      </c>
      <c r="E114" t="inlineStr">
        <is>
          <t>NORRTÄLJE</t>
        </is>
      </c>
      <c r="G114" t="n">
        <v>7.8</v>
      </c>
      <c r="H114" t="n">
        <v>1</v>
      </c>
      <c r="I114" t="n">
        <v>0</v>
      </c>
      <c r="J114" t="n">
        <v>0</v>
      </c>
      <c r="K114" t="n">
        <v>0</v>
      </c>
      <c r="L114" t="n">
        <v>0</v>
      </c>
      <c r="M114" t="n">
        <v>0</v>
      </c>
      <c r="N114" t="n">
        <v>0</v>
      </c>
      <c r="O114" t="n">
        <v>0</v>
      </c>
      <c r="P114" t="n">
        <v>0</v>
      </c>
      <c r="Q114" t="n">
        <v>1</v>
      </c>
      <c r="R114" s="2" t="inlineStr">
        <is>
          <t>Åkergroda</t>
        </is>
      </c>
      <c r="S114">
        <f>HYPERLINK("https://klasma.github.io/Logging_0188/artfynd/A 9955-2022 artfynd.xlsx", "A 9955-2022")</f>
        <v/>
      </c>
      <c r="T114">
        <f>HYPERLINK("https://klasma.github.io/Logging_0188/kartor/A 9955-2022 karta.png", "A 9955-2022")</f>
        <v/>
      </c>
      <c r="V114">
        <f>HYPERLINK("https://klasma.github.io/Logging_0188/klagomål/A 9955-2022 FSC-klagomål.docx", "A 9955-2022")</f>
        <v/>
      </c>
      <c r="W114">
        <f>HYPERLINK("https://klasma.github.io/Logging_0188/klagomålsmail/A 9955-2022 FSC-klagomål mail.docx", "A 9955-2022")</f>
        <v/>
      </c>
      <c r="X114">
        <f>HYPERLINK("https://klasma.github.io/Logging_0188/tillsyn/A 9955-2022 tillsynsbegäran.docx", "A 9955-2022")</f>
        <v/>
      </c>
      <c r="Y114">
        <f>HYPERLINK("https://klasma.github.io/Logging_0188/tillsynsmail/A 9955-2022 tillsynsbegäran mail.docx", "A 9955-2022")</f>
        <v/>
      </c>
    </row>
    <row r="115" ht="15" customHeight="1">
      <c r="A115" t="inlineStr">
        <is>
          <t>A 4532-2025</t>
        </is>
      </c>
      <c r="B115" s="1" t="n">
        <v>45687.34177083334</v>
      </c>
      <c r="C115" s="1" t="n">
        <v>45995</v>
      </c>
      <c r="D115" t="inlineStr">
        <is>
          <t>STOCKHOLMS LÄN</t>
        </is>
      </c>
      <c r="E115" t="inlineStr">
        <is>
          <t>NORRTÄLJE</t>
        </is>
      </c>
      <c r="F115" t="inlineStr">
        <is>
          <t>Holmen skog AB</t>
        </is>
      </c>
      <c r="G115" t="n">
        <v>6.4</v>
      </c>
      <c r="H115" t="n">
        <v>1</v>
      </c>
      <c r="I115" t="n">
        <v>0</v>
      </c>
      <c r="J115" t="n">
        <v>0</v>
      </c>
      <c r="K115" t="n">
        <v>0</v>
      </c>
      <c r="L115" t="n">
        <v>1</v>
      </c>
      <c r="M115" t="n">
        <v>0</v>
      </c>
      <c r="N115" t="n">
        <v>0</v>
      </c>
      <c r="O115" t="n">
        <v>1</v>
      </c>
      <c r="P115" t="n">
        <v>1</v>
      </c>
      <c r="Q115" t="n">
        <v>1</v>
      </c>
      <c r="R115" s="2" t="inlineStr">
        <is>
          <t>Asknätfjäril</t>
        </is>
      </c>
      <c r="S115">
        <f>HYPERLINK("https://klasma.github.io/Logging_0188/artfynd/A 4532-2025 artfynd.xlsx", "A 4532-2025")</f>
        <v/>
      </c>
      <c r="T115">
        <f>HYPERLINK("https://klasma.github.io/Logging_0188/kartor/A 4532-2025 karta.png", "A 4532-2025")</f>
        <v/>
      </c>
      <c r="V115">
        <f>HYPERLINK("https://klasma.github.io/Logging_0188/klagomål/A 4532-2025 FSC-klagomål.docx", "A 4532-2025")</f>
        <v/>
      </c>
      <c r="W115">
        <f>HYPERLINK("https://klasma.github.io/Logging_0188/klagomålsmail/A 4532-2025 FSC-klagomål mail.docx", "A 4532-2025")</f>
        <v/>
      </c>
      <c r="X115">
        <f>HYPERLINK("https://klasma.github.io/Logging_0188/tillsyn/A 4532-2025 tillsynsbegäran.docx", "A 4532-2025")</f>
        <v/>
      </c>
      <c r="Y115">
        <f>HYPERLINK("https://klasma.github.io/Logging_0188/tillsynsmail/A 4532-2025 tillsynsbegäran mail.docx", "A 4532-2025")</f>
        <v/>
      </c>
    </row>
    <row r="116" ht="15" customHeight="1">
      <c r="A116" t="inlineStr">
        <is>
          <t>A 23905-2025</t>
        </is>
      </c>
      <c r="B116" s="1" t="n">
        <v>45794.63298611111</v>
      </c>
      <c r="C116" s="1" t="n">
        <v>45995</v>
      </c>
      <c r="D116" t="inlineStr">
        <is>
          <t>STOCKHOLMS LÄN</t>
        </is>
      </c>
      <c r="E116" t="inlineStr">
        <is>
          <t>NORRTÄLJE</t>
        </is>
      </c>
      <c r="G116" t="n">
        <v>8.4</v>
      </c>
      <c r="H116" t="n">
        <v>1</v>
      </c>
      <c r="I116" t="n">
        <v>0</v>
      </c>
      <c r="J116" t="n">
        <v>0</v>
      </c>
      <c r="K116" t="n">
        <v>0</v>
      </c>
      <c r="L116" t="n">
        <v>0</v>
      </c>
      <c r="M116" t="n">
        <v>0</v>
      </c>
      <c r="N116" t="n">
        <v>0</v>
      </c>
      <c r="O116" t="n">
        <v>0</v>
      </c>
      <c r="P116" t="n">
        <v>0</v>
      </c>
      <c r="Q116" t="n">
        <v>1</v>
      </c>
      <c r="R116" s="2" t="inlineStr">
        <is>
          <t>Blåsippa</t>
        </is>
      </c>
      <c r="S116">
        <f>HYPERLINK("https://klasma.github.io/Logging_0188/artfynd/A 23905-2025 artfynd.xlsx", "A 23905-2025")</f>
        <v/>
      </c>
      <c r="T116">
        <f>HYPERLINK("https://klasma.github.io/Logging_0188/kartor/A 23905-2025 karta.png", "A 23905-2025")</f>
        <v/>
      </c>
      <c r="V116">
        <f>HYPERLINK("https://klasma.github.io/Logging_0188/klagomål/A 23905-2025 FSC-klagomål.docx", "A 23905-2025")</f>
        <v/>
      </c>
      <c r="W116">
        <f>HYPERLINK("https://klasma.github.io/Logging_0188/klagomålsmail/A 23905-2025 FSC-klagomål mail.docx", "A 23905-2025")</f>
        <v/>
      </c>
      <c r="X116">
        <f>HYPERLINK("https://klasma.github.io/Logging_0188/tillsyn/A 23905-2025 tillsynsbegäran.docx", "A 23905-2025")</f>
        <v/>
      </c>
      <c r="Y116">
        <f>HYPERLINK("https://klasma.github.io/Logging_0188/tillsynsmail/A 23905-2025 tillsynsbegäran mail.docx", "A 23905-2025")</f>
        <v/>
      </c>
    </row>
    <row r="117" ht="15" customHeight="1">
      <c r="A117" t="inlineStr">
        <is>
          <t>A 59682-2025</t>
        </is>
      </c>
      <c r="B117" s="1" t="n">
        <v>45992.47116898148</v>
      </c>
      <c r="C117" s="1" t="n">
        <v>45995</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16870-2025</t>
        </is>
      </c>
      <c r="B118" s="1" t="n">
        <v>45754</v>
      </c>
      <c r="C118" s="1" t="n">
        <v>45995</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14365-2025</t>
        </is>
      </c>
      <c r="B119" s="1" t="n">
        <v>45741.38688657407</v>
      </c>
      <c r="C119" s="1" t="n">
        <v>45995</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21150-2022</t>
        </is>
      </c>
      <c r="B120" s="1" t="n">
        <v>44704</v>
      </c>
      <c r="C120" s="1" t="n">
        <v>45995</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35649-2023</t>
        </is>
      </c>
      <c r="B121" s="1" t="n">
        <v>45146</v>
      </c>
      <c r="C121" s="1" t="n">
        <v>45995</v>
      </c>
      <c r="D121" t="inlineStr">
        <is>
          <t>STOCKHOLMS LÄN</t>
        </is>
      </c>
      <c r="E121" t="inlineStr">
        <is>
          <t>NORRTÄLJE</t>
        </is>
      </c>
      <c r="G121" t="n">
        <v>25.1</v>
      </c>
      <c r="H121" t="n">
        <v>0</v>
      </c>
      <c r="I121" t="n">
        <v>0</v>
      </c>
      <c r="J121" t="n">
        <v>1</v>
      </c>
      <c r="K121" t="n">
        <v>0</v>
      </c>
      <c r="L121" t="n">
        <v>0</v>
      </c>
      <c r="M121" t="n">
        <v>0</v>
      </c>
      <c r="N121" t="n">
        <v>0</v>
      </c>
      <c r="O121" t="n">
        <v>1</v>
      </c>
      <c r="P121" t="n">
        <v>0</v>
      </c>
      <c r="Q121" t="n">
        <v>1</v>
      </c>
      <c r="R121" s="2" t="inlineStr">
        <is>
          <t>Månlåsbräken</t>
        </is>
      </c>
      <c r="S121">
        <f>HYPERLINK("https://klasma.github.io/Logging_0188/artfynd/A 35649-2023 artfynd.xlsx", "A 35649-2023")</f>
        <v/>
      </c>
      <c r="T121">
        <f>HYPERLINK("https://klasma.github.io/Logging_0188/kartor/A 35649-2023 karta.png", "A 35649-2023")</f>
        <v/>
      </c>
      <c r="V121">
        <f>HYPERLINK("https://klasma.github.io/Logging_0188/klagomål/A 35649-2023 FSC-klagomål.docx", "A 35649-2023")</f>
        <v/>
      </c>
      <c r="W121">
        <f>HYPERLINK("https://klasma.github.io/Logging_0188/klagomålsmail/A 35649-2023 FSC-klagomål mail.docx", "A 35649-2023")</f>
        <v/>
      </c>
      <c r="X121">
        <f>HYPERLINK("https://klasma.github.io/Logging_0188/tillsyn/A 35649-2023 tillsynsbegäran.docx", "A 35649-2023")</f>
        <v/>
      </c>
      <c r="Y121">
        <f>HYPERLINK("https://klasma.github.io/Logging_0188/tillsynsmail/A 35649-2023 tillsynsbegäran mail.docx", "A 35649-2023")</f>
        <v/>
      </c>
    </row>
    <row r="122" ht="15" customHeight="1">
      <c r="A122" t="inlineStr">
        <is>
          <t>A 35764-2024</t>
        </is>
      </c>
      <c r="B122" s="1" t="n">
        <v>45532</v>
      </c>
      <c r="C122" s="1" t="n">
        <v>45995</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45995</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1162-2021</t>
        </is>
      </c>
      <c r="B124" s="1" t="n">
        <v>44207</v>
      </c>
      <c r="C124" s="1" t="n">
        <v>45995</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26120-2024</t>
        </is>
      </c>
      <c r="B125" s="1" t="n">
        <v>45468.45995370371</v>
      </c>
      <c r="C125" s="1" t="n">
        <v>45995</v>
      </c>
      <c r="D125" t="inlineStr">
        <is>
          <t>STOCKHOLMS LÄN</t>
        </is>
      </c>
      <c r="E125" t="inlineStr">
        <is>
          <t>NORRTÄLJE</t>
        </is>
      </c>
      <c r="G125" t="n">
        <v>1.8</v>
      </c>
      <c r="H125" t="n">
        <v>0</v>
      </c>
      <c r="I125" t="n">
        <v>0</v>
      </c>
      <c r="J125" t="n">
        <v>1</v>
      </c>
      <c r="K125" t="n">
        <v>0</v>
      </c>
      <c r="L125" t="n">
        <v>0</v>
      </c>
      <c r="M125" t="n">
        <v>0</v>
      </c>
      <c r="N125" t="n">
        <v>0</v>
      </c>
      <c r="O125" t="n">
        <v>1</v>
      </c>
      <c r="P125" t="n">
        <v>0</v>
      </c>
      <c r="Q125" t="n">
        <v>1</v>
      </c>
      <c r="R125" s="2" t="inlineStr">
        <is>
          <t>Majviva</t>
        </is>
      </c>
      <c r="S125">
        <f>HYPERLINK("https://klasma.github.io/Logging_0188/artfynd/A 26120-2024 artfynd.xlsx", "A 26120-2024")</f>
        <v/>
      </c>
      <c r="T125">
        <f>HYPERLINK("https://klasma.github.io/Logging_0188/kartor/A 26120-2024 karta.png", "A 26120-2024")</f>
        <v/>
      </c>
      <c r="V125">
        <f>HYPERLINK("https://klasma.github.io/Logging_0188/klagomål/A 26120-2024 FSC-klagomål.docx", "A 26120-2024")</f>
        <v/>
      </c>
      <c r="W125">
        <f>HYPERLINK("https://klasma.github.io/Logging_0188/klagomålsmail/A 26120-2024 FSC-klagomål mail.docx", "A 26120-2024")</f>
        <v/>
      </c>
      <c r="X125">
        <f>HYPERLINK("https://klasma.github.io/Logging_0188/tillsyn/A 26120-2024 tillsynsbegäran.docx", "A 26120-2024")</f>
        <v/>
      </c>
      <c r="Y125">
        <f>HYPERLINK("https://klasma.github.io/Logging_0188/tillsynsmail/A 26120-2024 tillsynsbegäran mail.docx", "A 26120-2024")</f>
        <v/>
      </c>
    </row>
    <row r="126" ht="15" customHeight="1">
      <c r="A126" t="inlineStr">
        <is>
          <t>A 6381-2023</t>
        </is>
      </c>
      <c r="B126" s="1" t="n">
        <v>44965</v>
      </c>
      <c r="C126" s="1" t="n">
        <v>45995</v>
      </c>
      <c r="D126" t="inlineStr">
        <is>
          <t>STOCKHOLMS LÄN</t>
        </is>
      </c>
      <c r="E126" t="inlineStr">
        <is>
          <t>NORRTÄLJE</t>
        </is>
      </c>
      <c r="G126" t="n">
        <v>3.5</v>
      </c>
      <c r="H126" t="n">
        <v>1</v>
      </c>
      <c r="I126" t="n">
        <v>1</v>
      </c>
      <c r="J126" t="n">
        <v>0</v>
      </c>
      <c r="K126" t="n">
        <v>0</v>
      </c>
      <c r="L126" t="n">
        <v>0</v>
      </c>
      <c r="M126" t="n">
        <v>0</v>
      </c>
      <c r="N126" t="n">
        <v>0</v>
      </c>
      <c r="O126" t="n">
        <v>0</v>
      </c>
      <c r="P126" t="n">
        <v>0</v>
      </c>
      <c r="Q126" t="n">
        <v>1</v>
      </c>
      <c r="R126" s="2" t="inlineStr">
        <is>
          <t>Guckusko</t>
        </is>
      </c>
      <c r="S126">
        <f>HYPERLINK("https://klasma.github.io/Logging_0188/artfynd/A 6381-2023 artfynd.xlsx", "A 6381-2023")</f>
        <v/>
      </c>
      <c r="T126">
        <f>HYPERLINK("https://klasma.github.io/Logging_0188/kartor/A 6381-2023 karta.png", "A 6381-2023")</f>
        <v/>
      </c>
      <c r="V126">
        <f>HYPERLINK("https://klasma.github.io/Logging_0188/klagomål/A 6381-2023 FSC-klagomål.docx", "A 6381-2023")</f>
        <v/>
      </c>
      <c r="W126">
        <f>HYPERLINK("https://klasma.github.io/Logging_0188/klagomålsmail/A 6381-2023 FSC-klagomål mail.docx", "A 6381-2023")</f>
        <v/>
      </c>
      <c r="X126">
        <f>HYPERLINK("https://klasma.github.io/Logging_0188/tillsyn/A 6381-2023 tillsynsbegäran.docx", "A 6381-2023")</f>
        <v/>
      </c>
      <c r="Y126">
        <f>HYPERLINK("https://klasma.github.io/Logging_0188/tillsynsmail/A 6381-2023 tillsynsbegäran mail.docx", "A 6381-2023")</f>
        <v/>
      </c>
    </row>
    <row r="127" ht="15" customHeight="1">
      <c r="A127" t="inlineStr">
        <is>
          <t>A 11429-2023</t>
        </is>
      </c>
      <c r="B127" s="1" t="n">
        <v>44993</v>
      </c>
      <c r="C127" s="1" t="n">
        <v>45995</v>
      </c>
      <c r="D127" t="inlineStr">
        <is>
          <t>STOCKHOLMS LÄN</t>
        </is>
      </c>
      <c r="E127" t="inlineStr">
        <is>
          <t>NORRTÄLJE</t>
        </is>
      </c>
      <c r="G127" t="n">
        <v>2</v>
      </c>
      <c r="H127" t="n">
        <v>0</v>
      </c>
      <c r="I127" t="n">
        <v>0</v>
      </c>
      <c r="J127" t="n">
        <v>1</v>
      </c>
      <c r="K127" t="n">
        <v>0</v>
      </c>
      <c r="L127" t="n">
        <v>0</v>
      </c>
      <c r="M127" t="n">
        <v>0</v>
      </c>
      <c r="N127" t="n">
        <v>0</v>
      </c>
      <c r="O127" t="n">
        <v>1</v>
      </c>
      <c r="P127" t="n">
        <v>0</v>
      </c>
      <c r="Q127" t="n">
        <v>1</v>
      </c>
      <c r="R127" s="2" t="inlineStr">
        <is>
          <t>Skogsklocka</t>
        </is>
      </c>
      <c r="S127">
        <f>HYPERLINK("https://klasma.github.io/Logging_0188/artfynd/A 11429-2023 artfynd.xlsx", "A 11429-2023")</f>
        <v/>
      </c>
      <c r="T127">
        <f>HYPERLINK("https://klasma.github.io/Logging_0188/kartor/A 11429-2023 karta.png", "A 11429-2023")</f>
        <v/>
      </c>
      <c r="V127">
        <f>HYPERLINK("https://klasma.github.io/Logging_0188/klagomål/A 11429-2023 FSC-klagomål.docx", "A 11429-2023")</f>
        <v/>
      </c>
      <c r="W127">
        <f>HYPERLINK("https://klasma.github.io/Logging_0188/klagomålsmail/A 11429-2023 FSC-klagomål mail.docx", "A 11429-2023")</f>
        <v/>
      </c>
      <c r="X127">
        <f>HYPERLINK("https://klasma.github.io/Logging_0188/tillsyn/A 11429-2023 tillsynsbegäran.docx", "A 11429-2023")</f>
        <v/>
      </c>
      <c r="Y127">
        <f>HYPERLINK("https://klasma.github.io/Logging_0188/tillsynsmail/A 11429-2023 tillsynsbegäran mail.docx", "A 11429-2023")</f>
        <v/>
      </c>
    </row>
    <row r="128" ht="15" customHeight="1">
      <c r="A128" t="inlineStr">
        <is>
          <t>A 29946-2025</t>
        </is>
      </c>
      <c r="B128" s="1" t="n">
        <v>45826.46392361111</v>
      </c>
      <c r="C128" s="1" t="n">
        <v>45995</v>
      </c>
      <c r="D128" t="inlineStr">
        <is>
          <t>STOCKHOLMS LÄN</t>
        </is>
      </c>
      <c r="E128" t="inlineStr">
        <is>
          <t>NORRTÄLJE</t>
        </is>
      </c>
      <c r="F128" t="inlineStr">
        <is>
          <t>Holmen skog AB</t>
        </is>
      </c>
      <c r="G128" t="n">
        <v>3.6</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29946-2025 artfynd.xlsx", "A 29946-2025")</f>
        <v/>
      </c>
      <c r="T128">
        <f>HYPERLINK("https://klasma.github.io/Logging_0188/kartor/A 29946-2025 karta.png", "A 29946-2025")</f>
        <v/>
      </c>
      <c r="V128">
        <f>HYPERLINK("https://klasma.github.io/Logging_0188/klagomål/A 29946-2025 FSC-klagomål.docx", "A 29946-2025")</f>
        <v/>
      </c>
      <c r="W128">
        <f>HYPERLINK("https://klasma.github.io/Logging_0188/klagomålsmail/A 29946-2025 FSC-klagomål mail.docx", "A 29946-2025")</f>
        <v/>
      </c>
      <c r="X128">
        <f>HYPERLINK("https://klasma.github.io/Logging_0188/tillsyn/A 29946-2025 tillsynsbegäran.docx", "A 29946-2025")</f>
        <v/>
      </c>
      <c r="Y128">
        <f>HYPERLINK("https://klasma.github.io/Logging_0188/tillsynsmail/A 29946-2025 tillsynsbegäran mail.docx", "A 29946-2025")</f>
        <v/>
      </c>
    </row>
    <row r="129" ht="15" customHeight="1">
      <c r="A129" t="inlineStr">
        <is>
          <t>A 50854-2022</t>
        </is>
      </c>
      <c r="B129" s="1" t="n">
        <v>44863</v>
      </c>
      <c r="C129" s="1" t="n">
        <v>45995</v>
      </c>
      <c r="D129" t="inlineStr">
        <is>
          <t>STOCKHOLMS LÄN</t>
        </is>
      </c>
      <c r="E129" t="inlineStr">
        <is>
          <t>NORRTÄLJE</t>
        </is>
      </c>
      <c r="G129" t="n">
        <v>2.9</v>
      </c>
      <c r="H129" t="n">
        <v>0</v>
      </c>
      <c r="I129" t="n">
        <v>1</v>
      </c>
      <c r="J129" t="n">
        <v>0</v>
      </c>
      <c r="K129" t="n">
        <v>0</v>
      </c>
      <c r="L129" t="n">
        <v>0</v>
      </c>
      <c r="M129" t="n">
        <v>0</v>
      </c>
      <c r="N129" t="n">
        <v>0</v>
      </c>
      <c r="O129" t="n">
        <v>0</v>
      </c>
      <c r="P129" t="n">
        <v>0</v>
      </c>
      <c r="Q129" t="n">
        <v>1</v>
      </c>
      <c r="R129" s="2" t="inlineStr">
        <is>
          <t>Tibast</t>
        </is>
      </c>
      <c r="S129">
        <f>HYPERLINK("https://klasma.github.io/Logging_0188/artfynd/A 50854-2022 artfynd.xlsx", "A 50854-2022")</f>
        <v/>
      </c>
      <c r="T129">
        <f>HYPERLINK("https://klasma.github.io/Logging_0188/kartor/A 50854-2022 karta.png", "A 50854-2022")</f>
        <v/>
      </c>
      <c r="V129">
        <f>HYPERLINK("https://klasma.github.io/Logging_0188/klagomål/A 50854-2022 FSC-klagomål.docx", "A 50854-2022")</f>
        <v/>
      </c>
      <c r="W129">
        <f>HYPERLINK("https://klasma.github.io/Logging_0188/klagomålsmail/A 50854-2022 FSC-klagomål mail.docx", "A 50854-2022")</f>
        <v/>
      </c>
      <c r="X129">
        <f>HYPERLINK("https://klasma.github.io/Logging_0188/tillsyn/A 50854-2022 tillsynsbegäran.docx", "A 50854-2022")</f>
        <v/>
      </c>
      <c r="Y129">
        <f>HYPERLINK("https://klasma.github.io/Logging_0188/tillsynsmail/A 50854-2022 tillsynsbegäran mail.docx", "A 50854-2022")</f>
        <v/>
      </c>
    </row>
    <row r="130" ht="15" customHeight="1">
      <c r="A130" t="inlineStr">
        <is>
          <t>A 64456-2023</t>
        </is>
      </c>
      <c r="B130" s="1" t="n">
        <v>45280</v>
      </c>
      <c r="C130" s="1" t="n">
        <v>45995</v>
      </c>
      <c r="D130" t="inlineStr">
        <is>
          <t>STOCKHOLMS LÄN</t>
        </is>
      </c>
      <c r="E130" t="inlineStr">
        <is>
          <t>NORRTÄLJE</t>
        </is>
      </c>
      <c r="G130" t="n">
        <v>2.5</v>
      </c>
      <c r="H130" t="n">
        <v>0</v>
      </c>
      <c r="I130" t="n">
        <v>1</v>
      </c>
      <c r="J130" t="n">
        <v>0</v>
      </c>
      <c r="K130" t="n">
        <v>0</v>
      </c>
      <c r="L130" t="n">
        <v>0</v>
      </c>
      <c r="M130" t="n">
        <v>0</v>
      </c>
      <c r="N130" t="n">
        <v>0</v>
      </c>
      <c r="O130" t="n">
        <v>0</v>
      </c>
      <c r="P130" t="n">
        <v>0</v>
      </c>
      <c r="Q130" t="n">
        <v>1</v>
      </c>
      <c r="R130" s="2" t="inlineStr">
        <is>
          <t>Rödgul trumpetsvamp</t>
        </is>
      </c>
      <c r="S130">
        <f>HYPERLINK("https://klasma.github.io/Logging_0188/artfynd/A 64456-2023 artfynd.xlsx", "A 64456-2023")</f>
        <v/>
      </c>
      <c r="T130">
        <f>HYPERLINK("https://klasma.github.io/Logging_0188/kartor/A 64456-2023 karta.png", "A 64456-2023")</f>
        <v/>
      </c>
      <c r="V130">
        <f>HYPERLINK("https://klasma.github.io/Logging_0188/klagomål/A 64456-2023 FSC-klagomål.docx", "A 64456-2023")</f>
        <v/>
      </c>
      <c r="W130">
        <f>HYPERLINK("https://klasma.github.io/Logging_0188/klagomålsmail/A 64456-2023 FSC-klagomål mail.docx", "A 64456-2023")</f>
        <v/>
      </c>
      <c r="X130">
        <f>HYPERLINK("https://klasma.github.io/Logging_0188/tillsyn/A 64456-2023 tillsynsbegäran.docx", "A 64456-2023")</f>
        <v/>
      </c>
      <c r="Y130">
        <f>HYPERLINK("https://klasma.github.io/Logging_0188/tillsynsmail/A 64456-2023 tillsynsbegäran mail.docx", "A 64456-2023")</f>
        <v/>
      </c>
    </row>
    <row r="131" ht="15" customHeight="1">
      <c r="A131" t="inlineStr">
        <is>
          <t>A 33548-2025</t>
        </is>
      </c>
      <c r="B131" s="1" t="n">
        <v>45841.5721875</v>
      </c>
      <c r="C131" s="1" t="n">
        <v>45995</v>
      </c>
      <c r="D131" t="inlineStr">
        <is>
          <t>STOCKHOLMS LÄN</t>
        </is>
      </c>
      <c r="E131" t="inlineStr">
        <is>
          <t>NORRTÄLJE</t>
        </is>
      </c>
      <c r="G131" t="n">
        <v>12.2</v>
      </c>
      <c r="H131" t="n">
        <v>0</v>
      </c>
      <c r="I131" t="n">
        <v>0</v>
      </c>
      <c r="J131" t="n">
        <v>1</v>
      </c>
      <c r="K131" t="n">
        <v>0</v>
      </c>
      <c r="L131" t="n">
        <v>0</v>
      </c>
      <c r="M131" t="n">
        <v>0</v>
      </c>
      <c r="N131" t="n">
        <v>0</v>
      </c>
      <c r="O131" t="n">
        <v>1</v>
      </c>
      <c r="P131" t="n">
        <v>0</v>
      </c>
      <c r="Q131" t="n">
        <v>1</v>
      </c>
      <c r="R131" s="2" t="inlineStr">
        <is>
          <t>Dofttaggsvamp</t>
        </is>
      </c>
      <c r="S131">
        <f>HYPERLINK("https://klasma.github.io/Logging_0188/artfynd/A 33548-2025 artfynd.xlsx", "A 33548-2025")</f>
        <v/>
      </c>
      <c r="T131">
        <f>HYPERLINK("https://klasma.github.io/Logging_0188/kartor/A 33548-2025 karta.png", "A 33548-2025")</f>
        <v/>
      </c>
      <c r="V131">
        <f>HYPERLINK("https://klasma.github.io/Logging_0188/klagomål/A 33548-2025 FSC-klagomål.docx", "A 33548-2025")</f>
        <v/>
      </c>
      <c r="W131">
        <f>HYPERLINK("https://klasma.github.io/Logging_0188/klagomålsmail/A 33548-2025 FSC-klagomål mail.docx", "A 33548-2025")</f>
        <v/>
      </c>
      <c r="X131">
        <f>HYPERLINK("https://klasma.github.io/Logging_0188/tillsyn/A 33548-2025 tillsynsbegäran.docx", "A 33548-2025")</f>
        <v/>
      </c>
      <c r="Y131">
        <f>HYPERLINK("https://klasma.github.io/Logging_0188/tillsynsmail/A 33548-2025 tillsynsbegäran mail.docx", "A 33548-2025")</f>
        <v/>
      </c>
    </row>
    <row r="132" ht="15" customHeight="1">
      <c r="A132" t="inlineStr">
        <is>
          <t>A 33546-2025</t>
        </is>
      </c>
      <c r="B132" s="1" t="n">
        <v>45841.56996527778</v>
      </c>
      <c r="C132" s="1" t="n">
        <v>45995</v>
      </c>
      <c r="D132" t="inlineStr">
        <is>
          <t>STOCKHOLMS LÄN</t>
        </is>
      </c>
      <c r="E132" t="inlineStr">
        <is>
          <t>NORRTÄLJE</t>
        </is>
      </c>
      <c r="G132" t="n">
        <v>7.2</v>
      </c>
      <c r="H132" t="n">
        <v>1</v>
      </c>
      <c r="I132" t="n">
        <v>1</v>
      </c>
      <c r="J132" t="n">
        <v>0</v>
      </c>
      <c r="K132" t="n">
        <v>0</v>
      </c>
      <c r="L132" t="n">
        <v>0</v>
      </c>
      <c r="M132" t="n">
        <v>0</v>
      </c>
      <c r="N132" t="n">
        <v>0</v>
      </c>
      <c r="O132" t="n">
        <v>0</v>
      </c>
      <c r="P132" t="n">
        <v>0</v>
      </c>
      <c r="Q132" t="n">
        <v>1</v>
      </c>
      <c r="R132" s="2" t="inlineStr">
        <is>
          <t>Nästrot</t>
        </is>
      </c>
      <c r="S132">
        <f>HYPERLINK("https://klasma.github.io/Logging_0188/artfynd/A 33546-2025 artfynd.xlsx", "A 33546-2025")</f>
        <v/>
      </c>
      <c r="T132">
        <f>HYPERLINK("https://klasma.github.io/Logging_0188/kartor/A 33546-2025 karta.png", "A 33546-2025")</f>
        <v/>
      </c>
      <c r="V132">
        <f>HYPERLINK("https://klasma.github.io/Logging_0188/klagomål/A 33546-2025 FSC-klagomål.docx", "A 33546-2025")</f>
        <v/>
      </c>
      <c r="W132">
        <f>HYPERLINK("https://klasma.github.io/Logging_0188/klagomålsmail/A 33546-2025 FSC-klagomål mail.docx", "A 33546-2025")</f>
        <v/>
      </c>
      <c r="X132">
        <f>HYPERLINK("https://klasma.github.io/Logging_0188/tillsyn/A 33546-2025 tillsynsbegäran.docx", "A 33546-2025")</f>
        <v/>
      </c>
      <c r="Y132">
        <f>HYPERLINK("https://klasma.github.io/Logging_0188/tillsynsmail/A 33546-2025 tillsynsbegäran mail.docx", "A 33546-2025")</f>
        <v/>
      </c>
    </row>
    <row r="133" ht="15" customHeight="1">
      <c r="A133" t="inlineStr">
        <is>
          <t>A 52611-2024</t>
        </is>
      </c>
      <c r="B133" s="1" t="n">
        <v>45609.83747685186</v>
      </c>
      <c r="C133" s="1" t="n">
        <v>45995</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8371-2025</t>
        </is>
      </c>
      <c r="B134" s="1" t="n">
        <v>45708</v>
      </c>
      <c r="C134" s="1" t="n">
        <v>45995</v>
      </c>
      <c r="D134" t="inlineStr">
        <is>
          <t>STOCKHOLMS LÄN</t>
        </is>
      </c>
      <c r="E134" t="inlineStr">
        <is>
          <t>NORRTÄLJE</t>
        </is>
      </c>
      <c r="F134" t="inlineStr">
        <is>
          <t>Övriga Aktiebolag</t>
        </is>
      </c>
      <c r="G134" t="n">
        <v>2.9</v>
      </c>
      <c r="H134" t="n">
        <v>1</v>
      </c>
      <c r="I134" t="n">
        <v>0</v>
      </c>
      <c r="J134" t="n">
        <v>1</v>
      </c>
      <c r="K134" t="n">
        <v>0</v>
      </c>
      <c r="L134" t="n">
        <v>0</v>
      </c>
      <c r="M134" t="n">
        <v>0</v>
      </c>
      <c r="N134" t="n">
        <v>0</v>
      </c>
      <c r="O134" t="n">
        <v>1</v>
      </c>
      <c r="P134" t="n">
        <v>0</v>
      </c>
      <c r="Q134" t="n">
        <v>1</v>
      </c>
      <c r="R134" s="2" t="inlineStr">
        <is>
          <t>Spillkråka</t>
        </is>
      </c>
      <c r="S134">
        <f>HYPERLINK("https://klasma.github.io/Logging_0188/artfynd/A 8371-2025 artfynd.xlsx", "A 8371-2025")</f>
        <v/>
      </c>
      <c r="T134">
        <f>HYPERLINK("https://klasma.github.io/Logging_0188/kartor/A 8371-2025 karta.png", "A 8371-2025")</f>
        <v/>
      </c>
      <c r="V134">
        <f>HYPERLINK("https://klasma.github.io/Logging_0188/klagomål/A 8371-2025 FSC-klagomål.docx", "A 8371-2025")</f>
        <v/>
      </c>
      <c r="W134">
        <f>HYPERLINK("https://klasma.github.io/Logging_0188/klagomålsmail/A 8371-2025 FSC-klagomål mail.docx", "A 8371-2025")</f>
        <v/>
      </c>
      <c r="X134">
        <f>HYPERLINK("https://klasma.github.io/Logging_0188/tillsyn/A 8371-2025 tillsynsbegäran.docx", "A 8371-2025")</f>
        <v/>
      </c>
      <c r="Y134">
        <f>HYPERLINK("https://klasma.github.io/Logging_0188/tillsynsmail/A 8371-2025 tillsynsbegäran mail.docx", "A 8371-2025")</f>
        <v/>
      </c>
      <c r="Z134">
        <f>HYPERLINK("https://klasma.github.io/Logging_0188/fåglar/A 8371-2025 prioriterade fågelarter.docx", "A 8371-2025")</f>
        <v/>
      </c>
    </row>
    <row r="135" ht="15" customHeight="1">
      <c r="A135" t="inlineStr">
        <is>
          <t>A 1970-2021</t>
        </is>
      </c>
      <c r="B135" s="1" t="n">
        <v>44210</v>
      </c>
      <c r="C135" s="1" t="n">
        <v>45995</v>
      </c>
      <c r="D135" t="inlineStr">
        <is>
          <t>STOCKHOLMS LÄN</t>
        </is>
      </c>
      <c r="E135" t="inlineStr">
        <is>
          <t>NORRTÄLJE</t>
        </is>
      </c>
      <c r="G135" t="n">
        <v>3.1</v>
      </c>
      <c r="H135" t="n">
        <v>0</v>
      </c>
      <c r="I135" t="n">
        <v>0</v>
      </c>
      <c r="J135" t="n">
        <v>0</v>
      </c>
      <c r="K135" t="n">
        <v>0</v>
      </c>
      <c r="L135" t="n">
        <v>0</v>
      </c>
      <c r="M135" t="n">
        <v>0</v>
      </c>
      <c r="N135" t="n">
        <v>0</v>
      </c>
      <c r="O135" t="n">
        <v>0</v>
      </c>
      <c r="P135" t="n">
        <v>0</v>
      </c>
      <c r="Q135" t="n">
        <v>0</v>
      </c>
      <c r="R135" s="2" t="inlineStr"/>
    </row>
    <row r="136" ht="15" customHeight="1">
      <c r="A136" t="inlineStr">
        <is>
          <t>A 1637-2021</t>
        </is>
      </c>
      <c r="B136" s="1" t="n">
        <v>44209</v>
      </c>
      <c r="C136" s="1" t="n">
        <v>45995</v>
      </c>
      <c r="D136" t="inlineStr">
        <is>
          <t>STOCKHOLMS LÄN</t>
        </is>
      </c>
      <c r="E136" t="inlineStr">
        <is>
          <t>NORRTÄLJE</t>
        </is>
      </c>
      <c r="G136" t="n">
        <v>1.6</v>
      </c>
      <c r="H136" t="n">
        <v>0</v>
      </c>
      <c r="I136" t="n">
        <v>0</v>
      </c>
      <c r="J136" t="n">
        <v>0</v>
      </c>
      <c r="K136" t="n">
        <v>0</v>
      </c>
      <c r="L136" t="n">
        <v>0</v>
      </c>
      <c r="M136" t="n">
        <v>0</v>
      </c>
      <c r="N136" t="n">
        <v>0</v>
      </c>
      <c r="O136" t="n">
        <v>0</v>
      </c>
      <c r="P136" t="n">
        <v>0</v>
      </c>
      <c r="Q136" t="n">
        <v>0</v>
      </c>
      <c r="R136" s="2" t="inlineStr"/>
    </row>
    <row r="137" ht="15" customHeight="1">
      <c r="A137" t="inlineStr">
        <is>
          <t>A 18580-2021</t>
        </is>
      </c>
      <c r="B137" s="1" t="n">
        <v>44306</v>
      </c>
      <c r="C137" s="1" t="n">
        <v>45995</v>
      </c>
      <c r="D137" t="inlineStr">
        <is>
          <t>STOCKHOLMS LÄN</t>
        </is>
      </c>
      <c r="E137" t="inlineStr">
        <is>
          <t>NORRTÄLJE</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12877-2022</t>
        </is>
      </c>
      <c r="B138" s="1" t="n">
        <v>44642</v>
      </c>
      <c r="C138" s="1" t="n">
        <v>45995</v>
      </c>
      <c r="D138" t="inlineStr">
        <is>
          <t>STOCKHOLMS LÄN</t>
        </is>
      </c>
      <c r="E138" t="inlineStr">
        <is>
          <t>NORRTÄLJE</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71543-2021</t>
        </is>
      </c>
      <c r="B139" s="1" t="n">
        <v>44540</v>
      </c>
      <c r="C139" s="1" t="n">
        <v>45995</v>
      </c>
      <c r="D139" t="inlineStr">
        <is>
          <t>STOCKHOLMS LÄN</t>
        </is>
      </c>
      <c r="E139" t="inlineStr">
        <is>
          <t>NORRTÄLJE</t>
        </is>
      </c>
      <c r="G139" t="n">
        <v>1.8</v>
      </c>
      <c r="H139" t="n">
        <v>0</v>
      </c>
      <c r="I139" t="n">
        <v>0</v>
      </c>
      <c r="J139" t="n">
        <v>0</v>
      </c>
      <c r="K139" t="n">
        <v>0</v>
      </c>
      <c r="L139" t="n">
        <v>0</v>
      </c>
      <c r="M139" t="n">
        <v>0</v>
      </c>
      <c r="N139" t="n">
        <v>0</v>
      </c>
      <c r="O139" t="n">
        <v>0</v>
      </c>
      <c r="P139" t="n">
        <v>0</v>
      </c>
      <c r="Q139" t="n">
        <v>0</v>
      </c>
      <c r="R139" s="2" t="inlineStr"/>
    </row>
    <row r="140" ht="15" customHeight="1">
      <c r="A140" t="inlineStr">
        <is>
          <t>A 14036-2022</t>
        </is>
      </c>
      <c r="B140" s="1" t="n">
        <v>44650.8699537037</v>
      </c>
      <c r="C140" s="1" t="n">
        <v>45995</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47344-2021</t>
        </is>
      </c>
      <c r="B141" s="1" t="n">
        <v>44447</v>
      </c>
      <c r="C141" s="1" t="n">
        <v>45995</v>
      </c>
      <c r="D141" t="inlineStr">
        <is>
          <t>STOCKHOLMS LÄN</t>
        </is>
      </c>
      <c r="E141" t="inlineStr">
        <is>
          <t>NORRTÄLJE</t>
        </is>
      </c>
      <c r="G141" t="n">
        <v>3.3</v>
      </c>
      <c r="H141" t="n">
        <v>0</v>
      </c>
      <c r="I141" t="n">
        <v>0</v>
      </c>
      <c r="J141" t="n">
        <v>0</v>
      </c>
      <c r="K141" t="n">
        <v>0</v>
      </c>
      <c r="L141" t="n">
        <v>0</v>
      </c>
      <c r="M141" t="n">
        <v>0</v>
      </c>
      <c r="N141" t="n">
        <v>0</v>
      </c>
      <c r="O141" t="n">
        <v>0</v>
      </c>
      <c r="P141" t="n">
        <v>0</v>
      </c>
      <c r="Q141" t="n">
        <v>0</v>
      </c>
      <c r="R141" s="2" t="inlineStr"/>
    </row>
    <row r="142" ht="15" customHeight="1">
      <c r="A142" t="inlineStr">
        <is>
          <t>A 43036-2022</t>
        </is>
      </c>
      <c r="B142" s="1" t="n">
        <v>44833</v>
      </c>
      <c r="C142" s="1" t="n">
        <v>45995</v>
      </c>
      <c r="D142" t="inlineStr">
        <is>
          <t>STOCKHOLMS LÄN</t>
        </is>
      </c>
      <c r="E142" t="inlineStr">
        <is>
          <t>NORRTÄLJE</t>
        </is>
      </c>
      <c r="F142" t="inlineStr">
        <is>
          <t>Kyrkan</t>
        </is>
      </c>
      <c r="G142" t="n">
        <v>1.7</v>
      </c>
      <c r="H142" t="n">
        <v>0</v>
      </c>
      <c r="I142" t="n">
        <v>0</v>
      </c>
      <c r="J142" t="n">
        <v>0</v>
      </c>
      <c r="K142" t="n">
        <v>0</v>
      </c>
      <c r="L142" t="n">
        <v>0</v>
      </c>
      <c r="M142" t="n">
        <v>0</v>
      </c>
      <c r="N142" t="n">
        <v>0</v>
      </c>
      <c r="O142" t="n">
        <v>0</v>
      </c>
      <c r="P142" t="n">
        <v>0</v>
      </c>
      <c r="Q142" t="n">
        <v>0</v>
      </c>
      <c r="R142" s="2" t="inlineStr"/>
    </row>
    <row r="143" ht="15" customHeight="1">
      <c r="A143" t="inlineStr">
        <is>
          <t>A 15289-2021</t>
        </is>
      </c>
      <c r="B143" s="1" t="n">
        <v>44284.59546296296</v>
      </c>
      <c r="C143" s="1" t="n">
        <v>45995</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40542-2021</t>
        </is>
      </c>
      <c r="B144" s="1" t="n">
        <v>44420</v>
      </c>
      <c r="C144" s="1" t="n">
        <v>45995</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40546-2021</t>
        </is>
      </c>
      <c r="B145" s="1" t="n">
        <v>44420</v>
      </c>
      <c r="C145" s="1" t="n">
        <v>45995</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23096-2021</t>
        </is>
      </c>
      <c r="B146" s="1" t="n">
        <v>44330</v>
      </c>
      <c r="C146" s="1" t="n">
        <v>45995</v>
      </c>
      <c r="D146" t="inlineStr">
        <is>
          <t>STOCKHOLMS LÄN</t>
        </is>
      </c>
      <c r="E146" t="inlineStr">
        <is>
          <t>NORRTÄLJE</t>
        </is>
      </c>
      <c r="G146" t="n">
        <v>0.3</v>
      </c>
      <c r="H146" t="n">
        <v>0</v>
      </c>
      <c r="I146" t="n">
        <v>0</v>
      </c>
      <c r="J146" t="n">
        <v>0</v>
      </c>
      <c r="K146" t="n">
        <v>0</v>
      </c>
      <c r="L146" t="n">
        <v>0</v>
      </c>
      <c r="M146" t="n">
        <v>0</v>
      </c>
      <c r="N146" t="n">
        <v>0</v>
      </c>
      <c r="O146" t="n">
        <v>0</v>
      </c>
      <c r="P146" t="n">
        <v>0</v>
      </c>
      <c r="Q146" t="n">
        <v>0</v>
      </c>
      <c r="R146" s="2" t="inlineStr"/>
    </row>
    <row r="147" ht="15" customHeight="1">
      <c r="A147" t="inlineStr">
        <is>
          <t>A 24977-2022</t>
        </is>
      </c>
      <c r="B147" s="1" t="n">
        <v>44728.73465277778</v>
      </c>
      <c r="C147" s="1" t="n">
        <v>45995</v>
      </c>
      <c r="D147" t="inlineStr">
        <is>
          <t>STOCKHOLMS LÄN</t>
        </is>
      </c>
      <c r="E147" t="inlineStr">
        <is>
          <t>NORRTÄLJE</t>
        </is>
      </c>
      <c r="F147" t="inlineStr">
        <is>
          <t>Kyrkan</t>
        </is>
      </c>
      <c r="G147" t="n">
        <v>1</v>
      </c>
      <c r="H147" t="n">
        <v>0</v>
      </c>
      <c r="I147" t="n">
        <v>0</v>
      </c>
      <c r="J147" t="n">
        <v>0</v>
      </c>
      <c r="K147" t="n">
        <v>0</v>
      </c>
      <c r="L147" t="n">
        <v>0</v>
      </c>
      <c r="M147" t="n">
        <v>0</v>
      </c>
      <c r="N147" t="n">
        <v>0</v>
      </c>
      <c r="O147" t="n">
        <v>0</v>
      </c>
      <c r="P147" t="n">
        <v>0</v>
      </c>
      <c r="Q147" t="n">
        <v>0</v>
      </c>
      <c r="R147" s="2" t="inlineStr"/>
    </row>
    <row r="148" ht="15" customHeight="1">
      <c r="A148" t="inlineStr">
        <is>
          <t>A 31934-2022</t>
        </is>
      </c>
      <c r="B148" s="1" t="n">
        <v>44777</v>
      </c>
      <c r="C148" s="1" t="n">
        <v>45995</v>
      </c>
      <c r="D148" t="inlineStr">
        <is>
          <t>STOCKHOLMS LÄN</t>
        </is>
      </c>
      <c r="E148" t="inlineStr">
        <is>
          <t>NORRTÄLJE</t>
        </is>
      </c>
      <c r="G148" t="n">
        <v>1.2</v>
      </c>
      <c r="H148" t="n">
        <v>0</v>
      </c>
      <c r="I148" t="n">
        <v>0</v>
      </c>
      <c r="J148" t="n">
        <v>0</v>
      </c>
      <c r="K148" t="n">
        <v>0</v>
      </c>
      <c r="L148" t="n">
        <v>0</v>
      </c>
      <c r="M148" t="n">
        <v>0</v>
      </c>
      <c r="N148" t="n">
        <v>0</v>
      </c>
      <c r="O148" t="n">
        <v>0</v>
      </c>
      <c r="P148" t="n">
        <v>0</v>
      </c>
      <c r="Q148" t="n">
        <v>0</v>
      </c>
      <c r="R148" s="2" t="inlineStr"/>
    </row>
    <row r="149" ht="15" customHeight="1">
      <c r="A149" t="inlineStr">
        <is>
          <t>A 37815-2022</t>
        </is>
      </c>
      <c r="B149" s="1" t="n">
        <v>44810.85092592592</v>
      </c>
      <c r="C149" s="1" t="n">
        <v>45995</v>
      </c>
      <c r="D149" t="inlineStr">
        <is>
          <t>STOCKHOLMS LÄN</t>
        </is>
      </c>
      <c r="E149" t="inlineStr">
        <is>
          <t>NORRTÄLJE</t>
        </is>
      </c>
      <c r="G149" t="n">
        <v>1.3</v>
      </c>
      <c r="H149" t="n">
        <v>0</v>
      </c>
      <c r="I149" t="n">
        <v>0</v>
      </c>
      <c r="J149" t="n">
        <v>0</v>
      </c>
      <c r="K149" t="n">
        <v>0</v>
      </c>
      <c r="L149" t="n">
        <v>0</v>
      </c>
      <c r="M149" t="n">
        <v>0</v>
      </c>
      <c r="N149" t="n">
        <v>0</v>
      </c>
      <c r="O149" t="n">
        <v>0</v>
      </c>
      <c r="P149" t="n">
        <v>0</v>
      </c>
      <c r="Q149" t="n">
        <v>0</v>
      </c>
      <c r="R149" s="2" t="inlineStr"/>
    </row>
    <row r="150" ht="15" customHeight="1">
      <c r="A150" t="inlineStr">
        <is>
          <t>A 73855-2021</t>
        </is>
      </c>
      <c r="B150" s="1" t="n">
        <v>44552</v>
      </c>
      <c r="C150" s="1" t="n">
        <v>45995</v>
      </c>
      <c r="D150" t="inlineStr">
        <is>
          <t>STOCKHOLMS LÄN</t>
        </is>
      </c>
      <c r="E150" t="inlineStr">
        <is>
          <t>NORRTÄLJE</t>
        </is>
      </c>
      <c r="F150" t="inlineStr">
        <is>
          <t>Övriga Aktiebolag</t>
        </is>
      </c>
      <c r="G150" t="n">
        <v>4</v>
      </c>
      <c r="H150" t="n">
        <v>0</v>
      </c>
      <c r="I150" t="n">
        <v>0</v>
      </c>
      <c r="J150" t="n">
        <v>0</v>
      </c>
      <c r="K150" t="n">
        <v>0</v>
      </c>
      <c r="L150" t="n">
        <v>0</v>
      </c>
      <c r="M150" t="n">
        <v>0</v>
      </c>
      <c r="N150" t="n">
        <v>0</v>
      </c>
      <c r="O150" t="n">
        <v>0</v>
      </c>
      <c r="P150" t="n">
        <v>0</v>
      </c>
      <c r="Q150" t="n">
        <v>0</v>
      </c>
      <c r="R150" s="2" t="inlineStr"/>
    </row>
    <row r="151" ht="15" customHeight="1">
      <c r="A151" t="inlineStr">
        <is>
          <t>A 74468-2021</t>
        </is>
      </c>
      <c r="B151" s="1" t="n">
        <v>44560</v>
      </c>
      <c r="C151" s="1" t="n">
        <v>45995</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45995</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11821-2022</t>
        </is>
      </c>
      <c r="B153" s="1" t="n">
        <v>44634</v>
      </c>
      <c r="C153" s="1" t="n">
        <v>45995</v>
      </c>
      <c r="D153" t="inlineStr">
        <is>
          <t>STOCKHOLMS LÄN</t>
        </is>
      </c>
      <c r="E153" t="inlineStr">
        <is>
          <t>NORRTÄLJE</t>
        </is>
      </c>
      <c r="G153" t="n">
        <v>1.1</v>
      </c>
      <c r="H153" t="n">
        <v>0</v>
      </c>
      <c r="I153" t="n">
        <v>0</v>
      </c>
      <c r="J153" t="n">
        <v>0</v>
      </c>
      <c r="K153" t="n">
        <v>0</v>
      </c>
      <c r="L153" t="n">
        <v>0</v>
      </c>
      <c r="M153" t="n">
        <v>0</v>
      </c>
      <c r="N153" t="n">
        <v>0</v>
      </c>
      <c r="O153" t="n">
        <v>0</v>
      </c>
      <c r="P153" t="n">
        <v>0</v>
      </c>
      <c r="Q153" t="n">
        <v>0</v>
      </c>
      <c r="R153" s="2" t="inlineStr"/>
    </row>
    <row r="154" ht="15" customHeight="1">
      <c r="A154" t="inlineStr">
        <is>
          <t>A 2977-2022</t>
        </is>
      </c>
      <c r="B154" s="1" t="n">
        <v>44581.75819444445</v>
      </c>
      <c r="C154" s="1" t="n">
        <v>45995</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31283-2022</t>
        </is>
      </c>
      <c r="B155" s="1" t="n">
        <v>44771</v>
      </c>
      <c r="C155" s="1" t="n">
        <v>45995</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56225-2021</t>
        </is>
      </c>
      <c r="B156" s="1" t="n">
        <v>44477.94327546296</v>
      </c>
      <c r="C156" s="1" t="n">
        <v>45995</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34436-2021</t>
        </is>
      </c>
      <c r="B157" s="1" t="n">
        <v>44380</v>
      </c>
      <c r="C157" s="1" t="n">
        <v>45995</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67525-2021</t>
        </is>
      </c>
      <c r="B158" s="1" t="n">
        <v>44524</v>
      </c>
      <c r="C158" s="1" t="n">
        <v>45995</v>
      </c>
      <c r="D158" t="inlineStr">
        <is>
          <t>STOCKHOLMS LÄN</t>
        </is>
      </c>
      <c r="E158" t="inlineStr">
        <is>
          <t>NORRTÄLJE</t>
        </is>
      </c>
      <c r="G158" t="n">
        <v>0.8</v>
      </c>
      <c r="H158" t="n">
        <v>0</v>
      </c>
      <c r="I158" t="n">
        <v>0</v>
      </c>
      <c r="J158" t="n">
        <v>0</v>
      </c>
      <c r="K158" t="n">
        <v>0</v>
      </c>
      <c r="L158" t="n">
        <v>0</v>
      </c>
      <c r="M158" t="n">
        <v>0</v>
      </c>
      <c r="N158" t="n">
        <v>0</v>
      </c>
      <c r="O158" t="n">
        <v>0</v>
      </c>
      <c r="P158" t="n">
        <v>0</v>
      </c>
      <c r="Q158" t="n">
        <v>0</v>
      </c>
      <c r="R158" s="2" t="inlineStr"/>
    </row>
    <row r="159" ht="15" customHeight="1">
      <c r="A159" t="inlineStr">
        <is>
          <t>A 1704-2022</t>
        </is>
      </c>
      <c r="B159" s="1" t="n">
        <v>44574.42978009259</v>
      </c>
      <c r="C159" s="1" t="n">
        <v>45995</v>
      </c>
      <c r="D159" t="inlineStr">
        <is>
          <t>STOCKHOLMS LÄN</t>
        </is>
      </c>
      <c r="E159" t="inlineStr">
        <is>
          <t>NORRTÄLJE</t>
        </is>
      </c>
      <c r="G159" t="n">
        <v>6.2</v>
      </c>
      <c r="H159" t="n">
        <v>0</v>
      </c>
      <c r="I159" t="n">
        <v>0</v>
      </c>
      <c r="J159" t="n">
        <v>0</v>
      </c>
      <c r="K159" t="n">
        <v>0</v>
      </c>
      <c r="L159" t="n">
        <v>0</v>
      </c>
      <c r="M159" t="n">
        <v>0</v>
      </c>
      <c r="N159" t="n">
        <v>0</v>
      </c>
      <c r="O159" t="n">
        <v>0</v>
      </c>
      <c r="P159" t="n">
        <v>0</v>
      </c>
      <c r="Q159" t="n">
        <v>0</v>
      </c>
      <c r="R159" s="2" t="inlineStr"/>
    </row>
    <row r="160" ht="15" customHeight="1">
      <c r="A160" t="inlineStr">
        <is>
          <t>A 65737-2021</t>
        </is>
      </c>
      <c r="B160" s="1" t="n">
        <v>44516.72827546296</v>
      </c>
      <c r="C160" s="1" t="n">
        <v>45995</v>
      </c>
      <c r="D160" t="inlineStr">
        <is>
          <t>STOCKHOLMS LÄN</t>
        </is>
      </c>
      <c r="E160" t="inlineStr">
        <is>
          <t>NORRTÄLJE</t>
        </is>
      </c>
      <c r="G160" t="n">
        <v>3</v>
      </c>
      <c r="H160" t="n">
        <v>0</v>
      </c>
      <c r="I160" t="n">
        <v>0</v>
      </c>
      <c r="J160" t="n">
        <v>0</v>
      </c>
      <c r="K160" t="n">
        <v>0</v>
      </c>
      <c r="L160" t="n">
        <v>0</v>
      </c>
      <c r="M160" t="n">
        <v>0</v>
      </c>
      <c r="N160" t="n">
        <v>0</v>
      </c>
      <c r="O160" t="n">
        <v>0</v>
      </c>
      <c r="P160" t="n">
        <v>0</v>
      </c>
      <c r="Q160" t="n">
        <v>0</v>
      </c>
      <c r="R160" s="2" t="inlineStr"/>
    </row>
    <row r="161" ht="15" customHeight="1">
      <c r="A161" t="inlineStr">
        <is>
          <t>A 19283-2021</t>
        </is>
      </c>
      <c r="B161" s="1" t="n">
        <v>44309.47061342592</v>
      </c>
      <c r="C161" s="1" t="n">
        <v>45995</v>
      </c>
      <c r="D161" t="inlineStr">
        <is>
          <t>STOCKHOLMS LÄN</t>
        </is>
      </c>
      <c r="E161" t="inlineStr">
        <is>
          <t>NORRTÄLJE</t>
        </is>
      </c>
      <c r="F161" t="inlineStr">
        <is>
          <t>Holmen skog AB</t>
        </is>
      </c>
      <c r="G161" t="n">
        <v>0.6</v>
      </c>
      <c r="H161" t="n">
        <v>0</v>
      </c>
      <c r="I161" t="n">
        <v>0</v>
      </c>
      <c r="J161" t="n">
        <v>0</v>
      </c>
      <c r="K161" t="n">
        <v>0</v>
      </c>
      <c r="L161" t="n">
        <v>0</v>
      </c>
      <c r="M161" t="n">
        <v>0</v>
      </c>
      <c r="N161" t="n">
        <v>0</v>
      </c>
      <c r="O161" t="n">
        <v>0</v>
      </c>
      <c r="P161" t="n">
        <v>0</v>
      </c>
      <c r="Q161" t="n">
        <v>0</v>
      </c>
      <c r="R161" s="2" t="inlineStr"/>
    </row>
    <row r="162" ht="15" customHeight="1">
      <c r="A162" t="inlineStr">
        <is>
          <t>A 43374-2022</t>
        </is>
      </c>
      <c r="B162" s="1" t="n">
        <v>44834</v>
      </c>
      <c r="C162" s="1" t="n">
        <v>45995</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45995</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45995</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45995</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45995</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45995</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60822-2021</t>
        </is>
      </c>
      <c r="B168" s="1" t="n">
        <v>44496</v>
      </c>
      <c r="C168" s="1" t="n">
        <v>45995</v>
      </c>
      <c r="D168" t="inlineStr">
        <is>
          <t>STOCKHOLMS LÄN</t>
        </is>
      </c>
      <c r="E168" t="inlineStr">
        <is>
          <t>NORRTÄLJE</t>
        </is>
      </c>
      <c r="G168" t="n">
        <v>7.6</v>
      </c>
      <c r="H168" t="n">
        <v>0</v>
      </c>
      <c r="I168" t="n">
        <v>0</v>
      </c>
      <c r="J168" t="n">
        <v>0</v>
      </c>
      <c r="K168" t="n">
        <v>0</v>
      </c>
      <c r="L168" t="n">
        <v>0</v>
      </c>
      <c r="M168" t="n">
        <v>0</v>
      </c>
      <c r="N168" t="n">
        <v>0</v>
      </c>
      <c r="O168" t="n">
        <v>0</v>
      </c>
      <c r="P168" t="n">
        <v>0</v>
      </c>
      <c r="Q168" t="n">
        <v>0</v>
      </c>
      <c r="R168" s="2" t="inlineStr"/>
    </row>
    <row r="169" ht="15" customHeight="1">
      <c r="A169" t="inlineStr">
        <is>
          <t>A 18905-2022</t>
        </is>
      </c>
      <c r="B169" s="1" t="n">
        <v>44690</v>
      </c>
      <c r="C169" s="1" t="n">
        <v>45995</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10711-2022</t>
        </is>
      </c>
      <c r="B170" s="1" t="n">
        <v>44626</v>
      </c>
      <c r="C170" s="1" t="n">
        <v>45995</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45995</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45995</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45995</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45995</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45995</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45995</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45995</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45995</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45995</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45995</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45995</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60186-2021</t>
        </is>
      </c>
      <c r="B182" s="1" t="n">
        <v>44495</v>
      </c>
      <c r="C182" s="1" t="n">
        <v>45995</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28959-2022</t>
        </is>
      </c>
      <c r="B183" s="1" t="n">
        <v>44749.61980324074</v>
      </c>
      <c r="C183" s="1" t="n">
        <v>45995</v>
      </c>
      <c r="D183" t="inlineStr">
        <is>
          <t>STOCKHOLMS LÄN</t>
        </is>
      </c>
      <c r="E183" t="inlineStr">
        <is>
          <t>NORRTÄLJE</t>
        </is>
      </c>
      <c r="G183" t="n">
        <v>5.2</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45995</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45995</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45995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45995</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20073-2021</t>
        </is>
      </c>
      <c r="B188" s="1" t="n">
        <v>44314</v>
      </c>
      <c r="C188" s="1" t="n">
        <v>45995</v>
      </c>
      <c r="D188" t="inlineStr">
        <is>
          <t>STOCKHOLMS LÄN</t>
        </is>
      </c>
      <c r="E188" t="inlineStr">
        <is>
          <t>NORRTÄLJE</t>
        </is>
      </c>
      <c r="G188" t="n">
        <v>4.6</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45995</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45995</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45995</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16668-2021</t>
        </is>
      </c>
      <c r="B192" s="1" t="n">
        <v>44294</v>
      </c>
      <c r="C192" s="1" t="n">
        <v>45995</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45995</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45995</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45995</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45995</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23770-2022</t>
        </is>
      </c>
      <c r="B197" s="1" t="n">
        <v>44722</v>
      </c>
      <c r="C197" s="1" t="n">
        <v>45995</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45995</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45995</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45995</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45995</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45995</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45995</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45995</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45995</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348-2021</t>
        </is>
      </c>
      <c r="B206" s="1" t="n">
        <v>44201</v>
      </c>
      <c r="C206" s="1" t="n">
        <v>45995</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367-2021</t>
        </is>
      </c>
      <c r="B207" s="1" t="n">
        <v>44201</v>
      </c>
      <c r="C207" s="1" t="n">
        <v>45995</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45995</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64628-2021</t>
        </is>
      </c>
      <c r="B209" s="1" t="n">
        <v>44511</v>
      </c>
      <c r="C209" s="1" t="n">
        <v>45995</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45995</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45995</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45995</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45995</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45995</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45995</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45995</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45995</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45995</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45995</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45995</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45995</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45995</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45995</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45995</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45995</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45995</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45995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45995</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45995</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45995</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45995</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45995</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45995</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66372-2020</t>
        </is>
      </c>
      <c r="B234" s="1" t="n">
        <v>44176</v>
      </c>
      <c r="C234" s="1" t="n">
        <v>45995</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45995</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45995</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67598-2021</t>
        </is>
      </c>
      <c r="B237" s="1" t="n">
        <v>44524</v>
      </c>
      <c r="C237" s="1" t="n">
        <v>45995</v>
      </c>
      <c r="D237" t="inlineStr">
        <is>
          <t>STOCKHOLMS LÄN</t>
        </is>
      </c>
      <c r="E237" t="inlineStr">
        <is>
          <t>NORRTÄLJE</t>
        </is>
      </c>
      <c r="G237" t="n">
        <v>1.2</v>
      </c>
      <c r="H237" t="n">
        <v>0</v>
      </c>
      <c r="I237" t="n">
        <v>0</v>
      </c>
      <c r="J237" t="n">
        <v>0</v>
      </c>
      <c r="K237" t="n">
        <v>0</v>
      </c>
      <c r="L237" t="n">
        <v>0</v>
      </c>
      <c r="M237" t="n">
        <v>0</v>
      </c>
      <c r="N237" t="n">
        <v>0</v>
      </c>
      <c r="O237" t="n">
        <v>0</v>
      </c>
      <c r="P237" t="n">
        <v>0</v>
      </c>
      <c r="Q237" t="n">
        <v>0</v>
      </c>
      <c r="R237" s="2" t="inlineStr"/>
    </row>
    <row r="238" ht="15" customHeight="1">
      <c r="A238" t="inlineStr">
        <is>
          <t>A 34520-2021</t>
        </is>
      </c>
      <c r="B238" s="1" t="n">
        <v>44379</v>
      </c>
      <c r="C238" s="1" t="n">
        <v>45995</v>
      </c>
      <c r="D238" t="inlineStr">
        <is>
          <t>STOCKHOLMS LÄN</t>
        </is>
      </c>
      <c r="E238" t="inlineStr">
        <is>
          <t>NORRTÄLJE</t>
        </is>
      </c>
      <c r="G238" t="n">
        <v>1.7</v>
      </c>
      <c r="H238" t="n">
        <v>0</v>
      </c>
      <c r="I238" t="n">
        <v>0</v>
      </c>
      <c r="J238" t="n">
        <v>0</v>
      </c>
      <c r="K238" t="n">
        <v>0</v>
      </c>
      <c r="L238" t="n">
        <v>0</v>
      </c>
      <c r="M238" t="n">
        <v>0</v>
      </c>
      <c r="N238" t="n">
        <v>0</v>
      </c>
      <c r="O238" t="n">
        <v>0</v>
      </c>
      <c r="P238" t="n">
        <v>0</v>
      </c>
      <c r="Q238" t="n">
        <v>0</v>
      </c>
      <c r="R238" s="2" t="inlineStr"/>
    </row>
    <row r="239" ht="15" customHeight="1">
      <c r="A239" t="inlineStr">
        <is>
          <t>A 68273-2021</t>
        </is>
      </c>
      <c r="B239" s="1" t="n">
        <v>44526</v>
      </c>
      <c r="C239" s="1" t="n">
        <v>45995</v>
      </c>
      <c r="D239" t="inlineStr">
        <is>
          <t>STOCKHOLMS LÄN</t>
        </is>
      </c>
      <c r="E239" t="inlineStr">
        <is>
          <t>NORRTÄLJE</t>
        </is>
      </c>
      <c r="G239" t="n">
        <v>5.3</v>
      </c>
      <c r="H239" t="n">
        <v>0</v>
      </c>
      <c r="I239" t="n">
        <v>0</v>
      </c>
      <c r="J239" t="n">
        <v>0</v>
      </c>
      <c r="K239" t="n">
        <v>0</v>
      </c>
      <c r="L239" t="n">
        <v>0</v>
      </c>
      <c r="M239" t="n">
        <v>0</v>
      </c>
      <c r="N239" t="n">
        <v>0</v>
      </c>
      <c r="O239" t="n">
        <v>0</v>
      </c>
      <c r="P239" t="n">
        <v>0</v>
      </c>
      <c r="Q239" t="n">
        <v>0</v>
      </c>
      <c r="R239" s="2" t="inlineStr"/>
    </row>
    <row r="240" ht="15" customHeight="1">
      <c r="A240" t="inlineStr">
        <is>
          <t>A 5562-2021</t>
        </is>
      </c>
      <c r="B240" s="1" t="n">
        <v>44230</v>
      </c>
      <c r="C240" s="1" t="n">
        <v>45995</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5566-2021</t>
        </is>
      </c>
      <c r="B241" s="1" t="n">
        <v>44230</v>
      </c>
      <c r="C241" s="1" t="n">
        <v>45995</v>
      </c>
      <c r="D241" t="inlineStr">
        <is>
          <t>STOCKHOLMS LÄN</t>
        </is>
      </c>
      <c r="E241" t="inlineStr">
        <is>
          <t>NORRTÄLJE</t>
        </is>
      </c>
      <c r="G241" t="n">
        <v>3.1</v>
      </c>
      <c r="H241" t="n">
        <v>0</v>
      </c>
      <c r="I241" t="n">
        <v>0</v>
      </c>
      <c r="J241" t="n">
        <v>0</v>
      </c>
      <c r="K241" t="n">
        <v>0</v>
      </c>
      <c r="L241" t="n">
        <v>0</v>
      </c>
      <c r="M241" t="n">
        <v>0</v>
      </c>
      <c r="N241" t="n">
        <v>0</v>
      </c>
      <c r="O241" t="n">
        <v>0</v>
      </c>
      <c r="P241" t="n">
        <v>0</v>
      </c>
      <c r="Q241" t="n">
        <v>0</v>
      </c>
      <c r="R241" s="2" t="inlineStr"/>
    </row>
    <row r="242" ht="15" customHeight="1">
      <c r="A242" t="inlineStr">
        <is>
          <t>A 21158-2022</t>
        </is>
      </c>
      <c r="B242" s="1" t="n">
        <v>44704</v>
      </c>
      <c r="C242" s="1" t="n">
        <v>45995</v>
      </c>
      <c r="D242" t="inlineStr">
        <is>
          <t>STOCKHOLMS LÄN</t>
        </is>
      </c>
      <c r="E242" t="inlineStr">
        <is>
          <t>NORRTÄLJE</t>
        </is>
      </c>
      <c r="G242" t="n">
        <v>17.8</v>
      </c>
      <c r="H242" t="n">
        <v>0</v>
      </c>
      <c r="I242" t="n">
        <v>0</v>
      </c>
      <c r="J242" t="n">
        <v>0</v>
      </c>
      <c r="K242" t="n">
        <v>0</v>
      </c>
      <c r="L242" t="n">
        <v>0</v>
      </c>
      <c r="M242" t="n">
        <v>0</v>
      </c>
      <c r="N242" t="n">
        <v>0</v>
      </c>
      <c r="O242" t="n">
        <v>0</v>
      </c>
      <c r="P242" t="n">
        <v>0</v>
      </c>
      <c r="Q242" t="n">
        <v>0</v>
      </c>
      <c r="R242" s="2" t="inlineStr"/>
    </row>
    <row r="243" ht="15" customHeight="1">
      <c r="A243" t="inlineStr">
        <is>
          <t>A 15226-2022</t>
        </is>
      </c>
      <c r="B243" s="1" t="n">
        <v>44658</v>
      </c>
      <c r="C243" s="1" t="n">
        <v>45995</v>
      </c>
      <c r="D243" t="inlineStr">
        <is>
          <t>STOCKHOLMS LÄN</t>
        </is>
      </c>
      <c r="E243" t="inlineStr">
        <is>
          <t>NORRTÄLJE</t>
        </is>
      </c>
      <c r="G243" t="n">
        <v>1.1</v>
      </c>
      <c r="H243" t="n">
        <v>0</v>
      </c>
      <c r="I243" t="n">
        <v>0</v>
      </c>
      <c r="J243" t="n">
        <v>0</v>
      </c>
      <c r="K243" t="n">
        <v>0</v>
      </c>
      <c r="L243" t="n">
        <v>0</v>
      </c>
      <c r="M243" t="n">
        <v>0</v>
      </c>
      <c r="N243" t="n">
        <v>0</v>
      </c>
      <c r="O243" t="n">
        <v>0</v>
      </c>
      <c r="P243" t="n">
        <v>0</v>
      </c>
      <c r="Q243" t="n">
        <v>0</v>
      </c>
      <c r="R243" s="2" t="inlineStr"/>
    </row>
    <row r="244" ht="15" customHeight="1">
      <c r="A244" t="inlineStr">
        <is>
          <t>A 1968-2022</t>
        </is>
      </c>
      <c r="B244" s="1" t="n">
        <v>44575.52831018518</v>
      </c>
      <c r="C244" s="1" t="n">
        <v>45995</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3300-2022</t>
        </is>
      </c>
      <c r="B245" s="1" t="n">
        <v>44584.91538194445</v>
      </c>
      <c r="C245" s="1" t="n">
        <v>45995</v>
      </c>
      <c r="D245" t="inlineStr">
        <is>
          <t>STOCKHOLMS LÄN</t>
        </is>
      </c>
      <c r="E245" t="inlineStr">
        <is>
          <t>NORRTÄLJE</t>
        </is>
      </c>
      <c r="G245" t="n">
        <v>0.4</v>
      </c>
      <c r="H245" t="n">
        <v>0</v>
      </c>
      <c r="I245" t="n">
        <v>0</v>
      </c>
      <c r="J245" t="n">
        <v>0</v>
      </c>
      <c r="K245" t="n">
        <v>0</v>
      </c>
      <c r="L245" t="n">
        <v>0</v>
      </c>
      <c r="M245" t="n">
        <v>0</v>
      </c>
      <c r="N245" t="n">
        <v>0</v>
      </c>
      <c r="O245" t="n">
        <v>0</v>
      </c>
      <c r="P245" t="n">
        <v>0</v>
      </c>
      <c r="Q245" t="n">
        <v>0</v>
      </c>
      <c r="R245" s="2" t="inlineStr"/>
    </row>
    <row r="246" ht="15" customHeight="1">
      <c r="A246" t="inlineStr">
        <is>
          <t>A 17388-2022</t>
        </is>
      </c>
      <c r="B246" s="1" t="n">
        <v>44678</v>
      </c>
      <c r="C246" s="1" t="n">
        <v>45995</v>
      </c>
      <c r="D246" t="inlineStr">
        <is>
          <t>STOCKHOLMS LÄN</t>
        </is>
      </c>
      <c r="E246" t="inlineStr">
        <is>
          <t>NORRTÄLJE</t>
        </is>
      </c>
      <c r="G246" t="n">
        <v>2.4</v>
      </c>
      <c r="H246" t="n">
        <v>0</v>
      </c>
      <c r="I246" t="n">
        <v>0</v>
      </c>
      <c r="J246" t="n">
        <v>0</v>
      </c>
      <c r="K246" t="n">
        <v>0</v>
      </c>
      <c r="L246" t="n">
        <v>0</v>
      </c>
      <c r="M246" t="n">
        <v>0</v>
      </c>
      <c r="N246" t="n">
        <v>0</v>
      </c>
      <c r="O246" t="n">
        <v>0</v>
      </c>
      <c r="P246" t="n">
        <v>0</v>
      </c>
      <c r="Q246" t="n">
        <v>0</v>
      </c>
      <c r="R246" s="2" t="inlineStr"/>
    </row>
    <row r="247" ht="15" customHeight="1">
      <c r="A247" t="inlineStr">
        <is>
          <t>A 17771-2022</t>
        </is>
      </c>
      <c r="B247" s="1" t="n">
        <v>44682.75924768519</v>
      </c>
      <c r="C247" s="1" t="n">
        <v>45995</v>
      </c>
      <c r="D247" t="inlineStr">
        <is>
          <t>STOCKHOLMS LÄN</t>
        </is>
      </c>
      <c r="E247" t="inlineStr">
        <is>
          <t>NORRTÄLJE</t>
        </is>
      </c>
      <c r="G247" t="n">
        <v>13.3</v>
      </c>
      <c r="H247" t="n">
        <v>0</v>
      </c>
      <c r="I247" t="n">
        <v>0</v>
      </c>
      <c r="J247" t="n">
        <v>0</v>
      </c>
      <c r="K247" t="n">
        <v>0</v>
      </c>
      <c r="L247" t="n">
        <v>0</v>
      </c>
      <c r="M247" t="n">
        <v>0</v>
      </c>
      <c r="N247" t="n">
        <v>0</v>
      </c>
      <c r="O247" t="n">
        <v>0</v>
      </c>
      <c r="P247" t="n">
        <v>0</v>
      </c>
      <c r="Q247" t="n">
        <v>0</v>
      </c>
      <c r="R247" s="2" t="inlineStr"/>
    </row>
    <row r="248" ht="15" customHeight="1">
      <c r="A248" t="inlineStr">
        <is>
          <t>A 17773-2022</t>
        </is>
      </c>
      <c r="B248" s="1" t="n">
        <v>44682.77616898148</v>
      </c>
      <c r="C248" s="1" t="n">
        <v>45995</v>
      </c>
      <c r="D248" t="inlineStr">
        <is>
          <t>STOCKHOLMS LÄN</t>
        </is>
      </c>
      <c r="E248" t="inlineStr">
        <is>
          <t>NORRTÄLJE</t>
        </is>
      </c>
      <c r="G248" t="n">
        <v>10.8</v>
      </c>
      <c r="H248" t="n">
        <v>0</v>
      </c>
      <c r="I248" t="n">
        <v>0</v>
      </c>
      <c r="J248" t="n">
        <v>0</v>
      </c>
      <c r="K248" t="n">
        <v>0</v>
      </c>
      <c r="L248" t="n">
        <v>0</v>
      </c>
      <c r="M248" t="n">
        <v>0</v>
      </c>
      <c r="N248" t="n">
        <v>0</v>
      </c>
      <c r="O248" t="n">
        <v>0</v>
      </c>
      <c r="P248" t="n">
        <v>0</v>
      </c>
      <c r="Q248" t="n">
        <v>0</v>
      </c>
      <c r="R248" s="2" t="inlineStr"/>
    </row>
    <row r="249" ht="15" customHeight="1">
      <c r="A249" t="inlineStr">
        <is>
          <t>A 10521-2022</t>
        </is>
      </c>
      <c r="B249" s="1" t="n">
        <v>44623</v>
      </c>
      <c r="C249" s="1" t="n">
        <v>45995</v>
      </c>
      <c r="D249" t="inlineStr">
        <is>
          <t>STOCKHOLMS LÄN</t>
        </is>
      </c>
      <c r="E249" t="inlineStr">
        <is>
          <t>NORRTÄLJE</t>
        </is>
      </c>
      <c r="G249" t="n">
        <v>2.9</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45995</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15915-2023</t>
        </is>
      </c>
      <c r="B251" s="1" t="n">
        <v>45022</v>
      </c>
      <c r="C251" s="1" t="n">
        <v>45995</v>
      </c>
      <c r="D251" t="inlineStr">
        <is>
          <t>STOCKHOLMS LÄN</t>
        </is>
      </c>
      <c r="E251" t="inlineStr">
        <is>
          <t>NORRTÄLJE</t>
        </is>
      </c>
      <c r="G251" t="n">
        <v>2.9</v>
      </c>
      <c r="H251" t="n">
        <v>0</v>
      </c>
      <c r="I251" t="n">
        <v>0</v>
      </c>
      <c r="J251" t="n">
        <v>0</v>
      </c>
      <c r="K251" t="n">
        <v>0</v>
      </c>
      <c r="L251" t="n">
        <v>0</v>
      </c>
      <c r="M251" t="n">
        <v>0</v>
      </c>
      <c r="N251" t="n">
        <v>0</v>
      </c>
      <c r="O251" t="n">
        <v>0</v>
      </c>
      <c r="P251" t="n">
        <v>0</v>
      </c>
      <c r="Q251" t="n">
        <v>0</v>
      </c>
      <c r="R251" s="2" t="inlineStr"/>
    </row>
    <row r="252" ht="15" customHeight="1">
      <c r="A252" t="inlineStr">
        <is>
          <t>A 9446-2021</t>
        </is>
      </c>
      <c r="B252" s="1" t="n">
        <v>44251</v>
      </c>
      <c r="C252" s="1" t="n">
        <v>45995</v>
      </c>
      <c r="D252" t="inlineStr">
        <is>
          <t>STOCKHOLMS LÄN</t>
        </is>
      </c>
      <c r="E252" t="inlineStr">
        <is>
          <t>NORRTÄLJE</t>
        </is>
      </c>
      <c r="F252" t="inlineStr">
        <is>
          <t>Holmen skog AB</t>
        </is>
      </c>
      <c r="G252" t="n">
        <v>0.7</v>
      </c>
      <c r="H252" t="n">
        <v>0</v>
      </c>
      <c r="I252" t="n">
        <v>0</v>
      </c>
      <c r="J252" t="n">
        <v>0</v>
      </c>
      <c r="K252" t="n">
        <v>0</v>
      </c>
      <c r="L252" t="n">
        <v>0</v>
      </c>
      <c r="M252" t="n">
        <v>0</v>
      </c>
      <c r="N252" t="n">
        <v>0</v>
      </c>
      <c r="O252" t="n">
        <v>0</v>
      </c>
      <c r="P252" t="n">
        <v>0</v>
      </c>
      <c r="Q252" t="n">
        <v>0</v>
      </c>
      <c r="R252" s="2" t="inlineStr"/>
    </row>
    <row r="253" ht="15" customHeight="1">
      <c r="A253" t="inlineStr">
        <is>
          <t>A 58993-2022</t>
        </is>
      </c>
      <c r="B253" s="1" t="n">
        <v>44903</v>
      </c>
      <c r="C253" s="1" t="n">
        <v>45995</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39905-2023</t>
        </is>
      </c>
      <c r="B254" s="1" t="n">
        <v>45168.44489583333</v>
      </c>
      <c r="C254" s="1" t="n">
        <v>45995</v>
      </c>
      <c r="D254" t="inlineStr">
        <is>
          <t>STOCKHOLMS LÄN</t>
        </is>
      </c>
      <c r="E254" t="inlineStr">
        <is>
          <t>NORRTÄLJE</t>
        </is>
      </c>
      <c r="F254" t="inlineStr">
        <is>
          <t>Holmen skog AB</t>
        </is>
      </c>
      <c r="G254" t="n">
        <v>1.5</v>
      </c>
      <c r="H254" t="n">
        <v>0</v>
      </c>
      <c r="I254" t="n">
        <v>0</v>
      </c>
      <c r="J254" t="n">
        <v>0</v>
      </c>
      <c r="K254" t="n">
        <v>0</v>
      </c>
      <c r="L254" t="n">
        <v>0</v>
      </c>
      <c r="M254" t="n">
        <v>0</v>
      </c>
      <c r="N254" t="n">
        <v>0</v>
      </c>
      <c r="O254" t="n">
        <v>0</v>
      </c>
      <c r="P254" t="n">
        <v>0</v>
      </c>
      <c r="Q254" t="n">
        <v>0</v>
      </c>
      <c r="R254" s="2" t="inlineStr"/>
    </row>
    <row r="255" ht="15" customHeight="1">
      <c r="A255" t="inlineStr">
        <is>
          <t>A 17673-2021</t>
        </is>
      </c>
      <c r="B255" s="1" t="n">
        <v>44300</v>
      </c>
      <c r="C255" s="1" t="n">
        <v>45995</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27217-2021</t>
        </is>
      </c>
      <c r="B256" s="1" t="n">
        <v>44350</v>
      </c>
      <c r="C256" s="1" t="n">
        <v>45995</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33793-2022</t>
        </is>
      </c>
      <c r="B257" s="1" t="n">
        <v>44790</v>
      </c>
      <c r="C257" s="1" t="n">
        <v>45995</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45995</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16117-2022</t>
        </is>
      </c>
      <c r="B259" s="1" t="n">
        <v>44665.65474537037</v>
      </c>
      <c r="C259" s="1" t="n">
        <v>45995</v>
      </c>
      <c r="D259" t="inlineStr">
        <is>
          <t>STOCKHOLMS LÄN</t>
        </is>
      </c>
      <c r="E259" t="inlineStr">
        <is>
          <t>NORRTÄLJE</t>
        </is>
      </c>
      <c r="G259" t="n">
        <v>8.1</v>
      </c>
      <c r="H259" t="n">
        <v>0</v>
      </c>
      <c r="I259" t="n">
        <v>0</v>
      </c>
      <c r="J259" t="n">
        <v>0</v>
      </c>
      <c r="K259" t="n">
        <v>0</v>
      </c>
      <c r="L259" t="n">
        <v>0</v>
      </c>
      <c r="M259" t="n">
        <v>0</v>
      </c>
      <c r="N259" t="n">
        <v>0</v>
      </c>
      <c r="O259" t="n">
        <v>0</v>
      </c>
      <c r="P259" t="n">
        <v>0</v>
      </c>
      <c r="Q259" t="n">
        <v>0</v>
      </c>
      <c r="R259" s="2" t="inlineStr"/>
    </row>
    <row r="260" ht="15" customHeight="1">
      <c r="A260" t="inlineStr">
        <is>
          <t>A 16132-2022</t>
        </is>
      </c>
      <c r="B260" s="1" t="n">
        <v>44665.78351851852</v>
      </c>
      <c r="C260" s="1" t="n">
        <v>45995</v>
      </c>
      <c r="D260" t="inlineStr">
        <is>
          <t>STOCKHOLMS LÄN</t>
        </is>
      </c>
      <c r="E260" t="inlineStr">
        <is>
          <t>NORRTÄLJE</t>
        </is>
      </c>
      <c r="G260" t="n">
        <v>4.4</v>
      </c>
      <c r="H260" t="n">
        <v>0</v>
      </c>
      <c r="I260" t="n">
        <v>0</v>
      </c>
      <c r="J260" t="n">
        <v>0</v>
      </c>
      <c r="K260" t="n">
        <v>0</v>
      </c>
      <c r="L260" t="n">
        <v>0</v>
      </c>
      <c r="M260" t="n">
        <v>0</v>
      </c>
      <c r="N260" t="n">
        <v>0</v>
      </c>
      <c r="O260" t="n">
        <v>0</v>
      </c>
      <c r="P260" t="n">
        <v>0</v>
      </c>
      <c r="Q260" t="n">
        <v>0</v>
      </c>
      <c r="R260" s="2" t="inlineStr"/>
    </row>
    <row r="261" ht="15" customHeight="1">
      <c r="A261" t="inlineStr">
        <is>
          <t>A 12875-2022</t>
        </is>
      </c>
      <c r="B261" s="1" t="n">
        <v>44642.55565972222</v>
      </c>
      <c r="C261" s="1" t="n">
        <v>45995</v>
      </c>
      <c r="D261" t="inlineStr">
        <is>
          <t>STOCKHOLMS LÄN</t>
        </is>
      </c>
      <c r="E261" t="inlineStr">
        <is>
          <t>NORRTÄLJE</t>
        </is>
      </c>
      <c r="G261" t="n">
        <v>1.6</v>
      </c>
      <c r="H261" t="n">
        <v>0</v>
      </c>
      <c r="I261" t="n">
        <v>0</v>
      </c>
      <c r="J261" t="n">
        <v>0</v>
      </c>
      <c r="K261" t="n">
        <v>0</v>
      </c>
      <c r="L261" t="n">
        <v>0</v>
      </c>
      <c r="M261" t="n">
        <v>0</v>
      </c>
      <c r="N261" t="n">
        <v>0</v>
      </c>
      <c r="O261" t="n">
        <v>0</v>
      </c>
      <c r="P261" t="n">
        <v>0</v>
      </c>
      <c r="Q261" t="n">
        <v>0</v>
      </c>
      <c r="R261" s="2" t="inlineStr"/>
    </row>
    <row r="262" ht="15" customHeight="1">
      <c r="A262" t="inlineStr">
        <is>
          <t>A 1229-2022</t>
        </is>
      </c>
      <c r="B262" s="1" t="n">
        <v>44572</v>
      </c>
      <c r="C262" s="1" t="n">
        <v>45995</v>
      </c>
      <c r="D262" t="inlineStr">
        <is>
          <t>STOCKHOLMS LÄN</t>
        </is>
      </c>
      <c r="E262" t="inlineStr">
        <is>
          <t>NORRTÄLJE</t>
        </is>
      </c>
      <c r="G262" t="n">
        <v>11.5</v>
      </c>
      <c r="H262" t="n">
        <v>0</v>
      </c>
      <c r="I262" t="n">
        <v>0</v>
      </c>
      <c r="J262" t="n">
        <v>0</v>
      </c>
      <c r="K262" t="n">
        <v>0</v>
      </c>
      <c r="L262" t="n">
        <v>0</v>
      </c>
      <c r="M262" t="n">
        <v>0</v>
      </c>
      <c r="N262" t="n">
        <v>0</v>
      </c>
      <c r="O262" t="n">
        <v>0</v>
      </c>
      <c r="P262" t="n">
        <v>0</v>
      </c>
      <c r="Q262" t="n">
        <v>0</v>
      </c>
      <c r="R262" s="2" t="inlineStr"/>
    </row>
    <row r="263" ht="15" customHeight="1">
      <c r="A263" t="inlineStr">
        <is>
          <t>A 14051-2022</t>
        </is>
      </c>
      <c r="B263" s="1" t="n">
        <v>44650.92714120371</v>
      </c>
      <c r="C263" s="1" t="n">
        <v>45995</v>
      </c>
      <c r="D263" t="inlineStr">
        <is>
          <t>STOCKHOLMS LÄN</t>
        </is>
      </c>
      <c r="E263" t="inlineStr">
        <is>
          <t>NORRTÄLJE</t>
        </is>
      </c>
      <c r="G263" t="n">
        <v>2.3</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45995</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17304-2024</t>
        </is>
      </c>
      <c r="B265" s="1" t="n">
        <v>45414</v>
      </c>
      <c r="C265" s="1" t="n">
        <v>45995</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27214-2021</t>
        </is>
      </c>
      <c r="B266" s="1" t="n">
        <v>44350</v>
      </c>
      <c r="C266" s="1" t="n">
        <v>45995</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45995</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45995</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45995</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41822-2021</t>
        </is>
      </c>
      <c r="B270" s="1" t="n">
        <v>44425</v>
      </c>
      <c r="C270" s="1" t="n">
        <v>45995</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41823-2021</t>
        </is>
      </c>
      <c r="B271" s="1" t="n">
        <v>44425</v>
      </c>
      <c r="C271" s="1" t="n">
        <v>45995</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16852-2024</t>
        </is>
      </c>
      <c r="B272" s="1" t="n">
        <v>45411.54768518519</v>
      </c>
      <c r="C272" s="1" t="n">
        <v>45995</v>
      </c>
      <c r="D272" t="inlineStr">
        <is>
          <t>STOCKHOLMS LÄN</t>
        </is>
      </c>
      <c r="E272" t="inlineStr">
        <is>
          <t>NORRTÄLJE</t>
        </is>
      </c>
      <c r="F272" t="inlineStr">
        <is>
          <t>Holmen skog AB</t>
        </is>
      </c>
      <c r="G272" t="n">
        <v>1.2</v>
      </c>
      <c r="H272" t="n">
        <v>0</v>
      </c>
      <c r="I272" t="n">
        <v>0</v>
      </c>
      <c r="J272" t="n">
        <v>0</v>
      </c>
      <c r="K272" t="n">
        <v>0</v>
      </c>
      <c r="L272" t="n">
        <v>0</v>
      </c>
      <c r="M272" t="n">
        <v>0</v>
      </c>
      <c r="N272" t="n">
        <v>0</v>
      </c>
      <c r="O272" t="n">
        <v>0</v>
      </c>
      <c r="P272" t="n">
        <v>0</v>
      </c>
      <c r="Q272" t="n">
        <v>0</v>
      </c>
      <c r="R272" s="2" t="inlineStr"/>
    </row>
    <row r="273" ht="15" customHeight="1">
      <c r="A273" t="inlineStr">
        <is>
          <t>A 25463-2021</t>
        </is>
      </c>
      <c r="B273" s="1" t="n">
        <v>44342</v>
      </c>
      <c r="C273" s="1" t="n">
        <v>45995</v>
      </c>
      <c r="D273" t="inlineStr">
        <is>
          <t>STOCKHOLMS LÄN</t>
        </is>
      </c>
      <c r="E273" t="inlineStr">
        <is>
          <t>NORRTÄLJE</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4326-2023</t>
        </is>
      </c>
      <c r="B274" s="1" t="n">
        <v>44953.70481481482</v>
      </c>
      <c r="C274" s="1" t="n">
        <v>45995</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24167-2022</t>
        </is>
      </c>
      <c r="B275" s="1" t="n">
        <v>44725.49491898148</v>
      </c>
      <c r="C275" s="1" t="n">
        <v>45995</v>
      </c>
      <c r="D275" t="inlineStr">
        <is>
          <t>STOCKHOLMS LÄN</t>
        </is>
      </c>
      <c r="E275" t="inlineStr">
        <is>
          <t>NORRTÄLJE</t>
        </is>
      </c>
      <c r="G275" t="n">
        <v>3.4</v>
      </c>
      <c r="H275" t="n">
        <v>0</v>
      </c>
      <c r="I275" t="n">
        <v>0</v>
      </c>
      <c r="J275" t="n">
        <v>0</v>
      </c>
      <c r="K275" t="n">
        <v>0</v>
      </c>
      <c r="L275" t="n">
        <v>0</v>
      </c>
      <c r="M275" t="n">
        <v>0</v>
      </c>
      <c r="N275" t="n">
        <v>0</v>
      </c>
      <c r="O275" t="n">
        <v>0</v>
      </c>
      <c r="P275" t="n">
        <v>0</v>
      </c>
      <c r="Q275" t="n">
        <v>0</v>
      </c>
      <c r="R275" s="2" t="inlineStr"/>
    </row>
    <row r="276" ht="15" customHeight="1">
      <c r="A276" t="inlineStr">
        <is>
          <t>A 21102-2022</t>
        </is>
      </c>
      <c r="B276" s="1" t="n">
        <v>44704</v>
      </c>
      <c r="C276" s="1" t="n">
        <v>45995</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42396-2021</t>
        </is>
      </c>
      <c r="B277" s="1" t="n">
        <v>44427</v>
      </c>
      <c r="C277" s="1" t="n">
        <v>45995</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45995</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45995</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45995</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33385-2024</t>
        </is>
      </c>
      <c r="B281" s="1" t="n">
        <v>45519</v>
      </c>
      <c r="C281" s="1" t="n">
        <v>45995</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29714-2023</t>
        </is>
      </c>
      <c r="B282" s="1" t="n">
        <v>45107.42538194444</v>
      </c>
      <c r="C282" s="1" t="n">
        <v>45995</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45995</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30508-2023</t>
        </is>
      </c>
      <c r="B284" s="1" t="n">
        <v>45111</v>
      </c>
      <c r="C284" s="1" t="n">
        <v>45995</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45995</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45995</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45995</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45995</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30286-2022</t>
        </is>
      </c>
      <c r="B289" s="1" t="n">
        <v>44760</v>
      </c>
      <c r="C289" s="1" t="n">
        <v>45995</v>
      </c>
      <c r="D289" t="inlineStr">
        <is>
          <t>STOCKHOLMS LÄN</t>
        </is>
      </c>
      <c r="E289" t="inlineStr">
        <is>
          <t>NORRTÄLJE</t>
        </is>
      </c>
      <c r="G289" t="n">
        <v>0.3</v>
      </c>
      <c r="H289" t="n">
        <v>0</v>
      </c>
      <c r="I289" t="n">
        <v>0</v>
      </c>
      <c r="J289" t="n">
        <v>0</v>
      </c>
      <c r="K289" t="n">
        <v>0</v>
      </c>
      <c r="L289" t="n">
        <v>0</v>
      </c>
      <c r="M289" t="n">
        <v>0</v>
      </c>
      <c r="N289" t="n">
        <v>0</v>
      </c>
      <c r="O289" t="n">
        <v>0</v>
      </c>
      <c r="P289" t="n">
        <v>0</v>
      </c>
      <c r="Q289" t="n">
        <v>0</v>
      </c>
      <c r="R289" s="2" t="inlineStr"/>
    </row>
    <row r="290" ht="15" customHeight="1">
      <c r="A290" t="inlineStr">
        <is>
          <t>A 8160-2022</t>
        </is>
      </c>
      <c r="B290" s="1" t="n">
        <v>44609</v>
      </c>
      <c r="C290" s="1" t="n">
        <v>45995</v>
      </c>
      <c r="D290" t="inlineStr">
        <is>
          <t>STOCKHOLMS LÄN</t>
        </is>
      </c>
      <c r="E290" t="inlineStr">
        <is>
          <t>NORRTÄLJE</t>
        </is>
      </c>
      <c r="G290" t="n">
        <v>3.9</v>
      </c>
      <c r="H290" t="n">
        <v>0</v>
      </c>
      <c r="I290" t="n">
        <v>0</v>
      </c>
      <c r="J290" t="n">
        <v>0</v>
      </c>
      <c r="K290" t="n">
        <v>0</v>
      </c>
      <c r="L290" t="n">
        <v>0</v>
      </c>
      <c r="M290" t="n">
        <v>0</v>
      </c>
      <c r="N290" t="n">
        <v>0</v>
      </c>
      <c r="O290" t="n">
        <v>0</v>
      </c>
      <c r="P290" t="n">
        <v>0</v>
      </c>
      <c r="Q290" t="n">
        <v>0</v>
      </c>
      <c r="R290" s="2" t="inlineStr"/>
    </row>
    <row r="291" ht="15" customHeight="1">
      <c r="A291" t="inlineStr">
        <is>
          <t>A 12031-2021</t>
        </is>
      </c>
      <c r="B291" s="1" t="n">
        <v>44266</v>
      </c>
      <c r="C291" s="1" t="n">
        <v>45995</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39319-2022</t>
        </is>
      </c>
      <c r="B292" s="1" t="n">
        <v>44817.70516203704</v>
      </c>
      <c r="C292" s="1" t="n">
        <v>45995</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56219-2021</t>
        </is>
      </c>
      <c r="B293" s="1" t="n">
        <v>44477</v>
      </c>
      <c r="C293" s="1" t="n">
        <v>45995</v>
      </c>
      <c r="D293" t="inlineStr">
        <is>
          <t>STOCKHOLMS LÄN</t>
        </is>
      </c>
      <c r="E293" t="inlineStr">
        <is>
          <t>NORRTÄLJE</t>
        </is>
      </c>
      <c r="F293" t="inlineStr">
        <is>
          <t>Kommuner</t>
        </is>
      </c>
      <c r="G293" t="n">
        <v>2.3</v>
      </c>
      <c r="H293" t="n">
        <v>0</v>
      </c>
      <c r="I293" t="n">
        <v>0</v>
      </c>
      <c r="J293" t="n">
        <v>0</v>
      </c>
      <c r="K293" t="n">
        <v>0</v>
      </c>
      <c r="L293" t="n">
        <v>0</v>
      </c>
      <c r="M293" t="n">
        <v>0</v>
      </c>
      <c r="N293" t="n">
        <v>0</v>
      </c>
      <c r="O293" t="n">
        <v>0</v>
      </c>
      <c r="P293" t="n">
        <v>0</v>
      </c>
      <c r="Q293" t="n">
        <v>0</v>
      </c>
      <c r="R293" s="2" t="inlineStr"/>
    </row>
    <row r="294" ht="15" customHeight="1">
      <c r="A294" t="inlineStr">
        <is>
          <t>A 17348-2024</t>
        </is>
      </c>
      <c r="B294" s="1" t="n">
        <v>45414.58650462963</v>
      </c>
      <c r="C294" s="1" t="n">
        <v>45995</v>
      </c>
      <c r="D294" t="inlineStr">
        <is>
          <t>STOCKHOLMS LÄN</t>
        </is>
      </c>
      <c r="E294" t="inlineStr">
        <is>
          <t>NORRTÄLJE</t>
        </is>
      </c>
      <c r="G294" t="n">
        <v>2.3</v>
      </c>
      <c r="H294" t="n">
        <v>0</v>
      </c>
      <c r="I294" t="n">
        <v>0</v>
      </c>
      <c r="J294" t="n">
        <v>0</v>
      </c>
      <c r="K294" t="n">
        <v>0</v>
      </c>
      <c r="L294" t="n">
        <v>0</v>
      </c>
      <c r="M294" t="n">
        <v>0</v>
      </c>
      <c r="N294" t="n">
        <v>0</v>
      </c>
      <c r="O294" t="n">
        <v>0</v>
      </c>
      <c r="P294" t="n">
        <v>0</v>
      </c>
      <c r="Q294" t="n">
        <v>0</v>
      </c>
      <c r="R294" s="2" t="inlineStr"/>
    </row>
    <row r="295" ht="15" customHeight="1">
      <c r="A295" t="inlineStr">
        <is>
          <t>A 38591-2023</t>
        </is>
      </c>
      <c r="B295" s="1" t="n">
        <v>45162</v>
      </c>
      <c r="C295" s="1" t="n">
        <v>45995</v>
      </c>
      <c r="D295" t="inlineStr">
        <is>
          <t>STOCKHOLMS LÄN</t>
        </is>
      </c>
      <c r="E295" t="inlineStr">
        <is>
          <t>NORRTÄLJE</t>
        </is>
      </c>
      <c r="F295" t="inlineStr">
        <is>
          <t>Övriga Aktiebolag</t>
        </is>
      </c>
      <c r="G295" t="n">
        <v>3.1</v>
      </c>
      <c r="H295" t="n">
        <v>0</v>
      </c>
      <c r="I295" t="n">
        <v>0</v>
      </c>
      <c r="J295" t="n">
        <v>0</v>
      </c>
      <c r="K295" t="n">
        <v>0</v>
      </c>
      <c r="L295" t="n">
        <v>0</v>
      </c>
      <c r="M295" t="n">
        <v>0</v>
      </c>
      <c r="N295" t="n">
        <v>0</v>
      </c>
      <c r="O295" t="n">
        <v>0</v>
      </c>
      <c r="P295" t="n">
        <v>0</v>
      </c>
      <c r="Q295" t="n">
        <v>0</v>
      </c>
      <c r="R295" s="2" t="inlineStr"/>
    </row>
    <row r="296" ht="15" customHeight="1">
      <c r="A296" t="inlineStr">
        <is>
          <t>A 3273-2025</t>
        </is>
      </c>
      <c r="B296" s="1" t="n">
        <v>45679</v>
      </c>
      <c r="C296" s="1" t="n">
        <v>45995</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2732-2022</t>
        </is>
      </c>
      <c r="B297" s="1" t="n">
        <v>44580</v>
      </c>
      <c r="C297" s="1" t="n">
        <v>45995</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38721-2022</t>
        </is>
      </c>
      <c r="B298" s="1" t="n">
        <v>44815</v>
      </c>
      <c r="C298" s="1" t="n">
        <v>45995</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34461-2023</t>
        </is>
      </c>
      <c r="B299" s="1" t="n">
        <v>45139</v>
      </c>
      <c r="C299" s="1" t="n">
        <v>45995</v>
      </c>
      <c r="D299" t="inlineStr">
        <is>
          <t>STOCKHOLMS LÄN</t>
        </is>
      </c>
      <c r="E299" t="inlineStr">
        <is>
          <t>NORRTÄLJE</t>
        </is>
      </c>
      <c r="G299" t="n">
        <v>1.4</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45995</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16119-2022</t>
        </is>
      </c>
      <c r="B301" s="1" t="n">
        <v>44665.66407407408</v>
      </c>
      <c r="C301" s="1" t="n">
        <v>45995</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31924-2022</t>
        </is>
      </c>
      <c r="B302" s="1" t="n">
        <v>44777</v>
      </c>
      <c r="C302" s="1" t="n">
        <v>45995</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12270-2022</t>
        </is>
      </c>
      <c r="B303" s="1" t="n">
        <v>44637</v>
      </c>
      <c r="C303" s="1" t="n">
        <v>45995</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45995</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14543-2022</t>
        </is>
      </c>
      <c r="B305" s="1" t="n">
        <v>44655.45373842592</v>
      </c>
      <c r="C305" s="1" t="n">
        <v>45995</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8296-2023</t>
        </is>
      </c>
      <c r="B306" s="1" t="n">
        <v>44974</v>
      </c>
      <c r="C306" s="1" t="n">
        <v>45995</v>
      </c>
      <c r="D306" t="inlineStr">
        <is>
          <t>STOCKHOLMS LÄN</t>
        </is>
      </c>
      <c r="E306" t="inlineStr">
        <is>
          <t>NORRTÄLJE</t>
        </is>
      </c>
      <c r="G306" t="n">
        <v>3.8</v>
      </c>
      <c r="H306" t="n">
        <v>0</v>
      </c>
      <c r="I306" t="n">
        <v>0</v>
      </c>
      <c r="J306" t="n">
        <v>0</v>
      </c>
      <c r="K306" t="n">
        <v>0</v>
      </c>
      <c r="L306" t="n">
        <v>0</v>
      </c>
      <c r="M306" t="n">
        <v>0</v>
      </c>
      <c r="N306" t="n">
        <v>0</v>
      </c>
      <c r="O306" t="n">
        <v>0</v>
      </c>
      <c r="P306" t="n">
        <v>0</v>
      </c>
      <c r="Q306" t="n">
        <v>0</v>
      </c>
      <c r="R306" s="2" t="inlineStr"/>
    </row>
    <row r="307" ht="15" customHeight="1">
      <c r="A307" t="inlineStr">
        <is>
          <t>A 5513-2022</t>
        </is>
      </c>
      <c r="B307" s="1" t="n">
        <v>44595</v>
      </c>
      <c r="C307" s="1" t="n">
        <v>45995</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31236-2022</t>
        </is>
      </c>
      <c r="B308" s="1" t="n">
        <v>44771</v>
      </c>
      <c r="C308" s="1" t="n">
        <v>45995</v>
      </c>
      <c r="D308" t="inlineStr">
        <is>
          <t>STOCKHOLMS LÄN</t>
        </is>
      </c>
      <c r="E308" t="inlineStr">
        <is>
          <t>NORRTÄLJE</t>
        </is>
      </c>
      <c r="G308" t="n">
        <v>1.7</v>
      </c>
      <c r="H308" t="n">
        <v>0</v>
      </c>
      <c r="I308" t="n">
        <v>0</v>
      </c>
      <c r="J308" t="n">
        <v>0</v>
      </c>
      <c r="K308" t="n">
        <v>0</v>
      </c>
      <c r="L308" t="n">
        <v>0</v>
      </c>
      <c r="M308" t="n">
        <v>0</v>
      </c>
      <c r="N308" t="n">
        <v>0</v>
      </c>
      <c r="O308" t="n">
        <v>0</v>
      </c>
      <c r="P308" t="n">
        <v>0</v>
      </c>
      <c r="Q308" t="n">
        <v>0</v>
      </c>
      <c r="R308" s="2" t="inlineStr"/>
    </row>
    <row r="309" ht="15" customHeight="1">
      <c r="A309" t="inlineStr">
        <is>
          <t>A 12348-2025</t>
        </is>
      </c>
      <c r="B309" s="1" t="n">
        <v>45730.35026620371</v>
      </c>
      <c r="C309" s="1" t="n">
        <v>45995</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15217-2023</t>
        </is>
      </c>
      <c r="B310" s="1" t="n">
        <v>45019.28847222222</v>
      </c>
      <c r="C310" s="1" t="n">
        <v>45995</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13148-2021</t>
        </is>
      </c>
      <c r="B311" s="1" t="n">
        <v>44272</v>
      </c>
      <c r="C311" s="1" t="n">
        <v>45995</v>
      </c>
      <c r="D311" t="inlineStr">
        <is>
          <t>STOCKHOLMS LÄN</t>
        </is>
      </c>
      <c r="E311" t="inlineStr">
        <is>
          <t>NORRTÄLJE</t>
        </is>
      </c>
      <c r="G311" t="n">
        <v>12.4</v>
      </c>
      <c r="H311" t="n">
        <v>0</v>
      </c>
      <c r="I311" t="n">
        <v>0</v>
      </c>
      <c r="J311" t="n">
        <v>0</v>
      </c>
      <c r="K311" t="n">
        <v>0</v>
      </c>
      <c r="L311" t="n">
        <v>0</v>
      </c>
      <c r="M311" t="n">
        <v>0</v>
      </c>
      <c r="N311" t="n">
        <v>0</v>
      </c>
      <c r="O311" t="n">
        <v>0</v>
      </c>
      <c r="P311" t="n">
        <v>0</v>
      </c>
      <c r="Q311" t="n">
        <v>0</v>
      </c>
      <c r="R311" s="2" t="inlineStr"/>
    </row>
    <row r="312" ht="15" customHeight="1">
      <c r="A312" t="inlineStr">
        <is>
          <t>A 28042-2022</t>
        </is>
      </c>
      <c r="B312" s="1" t="n">
        <v>44744</v>
      </c>
      <c r="C312" s="1" t="n">
        <v>45995</v>
      </c>
      <c r="D312" t="inlineStr">
        <is>
          <t>STOCKHOLMS LÄN</t>
        </is>
      </c>
      <c r="E312" t="inlineStr">
        <is>
          <t>NORRTÄLJE</t>
        </is>
      </c>
      <c r="G312" t="n">
        <v>0.2</v>
      </c>
      <c r="H312" t="n">
        <v>0</v>
      </c>
      <c r="I312" t="n">
        <v>0</v>
      </c>
      <c r="J312" t="n">
        <v>0</v>
      </c>
      <c r="K312" t="n">
        <v>0</v>
      </c>
      <c r="L312" t="n">
        <v>0</v>
      </c>
      <c r="M312" t="n">
        <v>0</v>
      </c>
      <c r="N312" t="n">
        <v>0</v>
      </c>
      <c r="O312" t="n">
        <v>0</v>
      </c>
      <c r="P312" t="n">
        <v>0</v>
      </c>
      <c r="Q312" t="n">
        <v>0</v>
      </c>
      <c r="R312" s="2" t="inlineStr"/>
    </row>
    <row r="313" ht="15" customHeight="1">
      <c r="A313" t="inlineStr">
        <is>
          <t>A 27715-2022</t>
        </is>
      </c>
      <c r="B313" s="1" t="n">
        <v>44743.47407407407</v>
      </c>
      <c r="C313" s="1" t="n">
        <v>45995</v>
      </c>
      <c r="D313" t="inlineStr">
        <is>
          <t>STOCKHOLMS LÄN</t>
        </is>
      </c>
      <c r="E313" t="inlineStr">
        <is>
          <t>NORRTÄLJE</t>
        </is>
      </c>
      <c r="G313" t="n">
        <v>2.2</v>
      </c>
      <c r="H313" t="n">
        <v>0</v>
      </c>
      <c r="I313" t="n">
        <v>0</v>
      </c>
      <c r="J313" t="n">
        <v>0</v>
      </c>
      <c r="K313" t="n">
        <v>0</v>
      </c>
      <c r="L313" t="n">
        <v>0</v>
      </c>
      <c r="M313" t="n">
        <v>0</v>
      </c>
      <c r="N313" t="n">
        <v>0</v>
      </c>
      <c r="O313" t="n">
        <v>0</v>
      </c>
      <c r="P313" t="n">
        <v>0</v>
      </c>
      <c r="Q313" t="n">
        <v>0</v>
      </c>
      <c r="R313" s="2" t="inlineStr"/>
    </row>
    <row r="314" ht="15" customHeight="1">
      <c r="A314" t="inlineStr">
        <is>
          <t>A 52593-2024</t>
        </is>
      </c>
      <c r="B314" s="1" t="n">
        <v>45609.70778935185</v>
      </c>
      <c r="C314" s="1" t="n">
        <v>45995</v>
      </c>
      <c r="D314" t="inlineStr">
        <is>
          <t>STOCKHOLMS LÄN</t>
        </is>
      </c>
      <c r="E314" t="inlineStr">
        <is>
          <t>NORRTÄLJE</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52617-2024</t>
        </is>
      </c>
      <c r="B315" s="1" t="n">
        <v>45609.85146990741</v>
      </c>
      <c r="C315" s="1" t="n">
        <v>45995</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12111-2021</t>
        </is>
      </c>
      <c r="B316" s="1" t="n">
        <v>44266</v>
      </c>
      <c r="C316" s="1" t="n">
        <v>45995</v>
      </c>
      <c r="D316" t="inlineStr">
        <is>
          <t>STOCKHOLMS LÄN</t>
        </is>
      </c>
      <c r="E316" t="inlineStr">
        <is>
          <t>NORRTÄLJE</t>
        </is>
      </c>
      <c r="G316" t="n">
        <v>5.5</v>
      </c>
      <c r="H316" t="n">
        <v>0</v>
      </c>
      <c r="I316" t="n">
        <v>0</v>
      </c>
      <c r="J316" t="n">
        <v>0</v>
      </c>
      <c r="K316" t="n">
        <v>0</v>
      </c>
      <c r="L316" t="n">
        <v>0</v>
      </c>
      <c r="M316" t="n">
        <v>0</v>
      </c>
      <c r="N316" t="n">
        <v>0</v>
      </c>
      <c r="O316" t="n">
        <v>0</v>
      </c>
      <c r="P316" t="n">
        <v>0</v>
      </c>
      <c r="Q316" t="n">
        <v>0</v>
      </c>
      <c r="R316" s="2" t="inlineStr"/>
    </row>
    <row r="317" ht="15" customHeight="1">
      <c r="A317" t="inlineStr">
        <is>
          <t>A 33053-2021</t>
        </is>
      </c>
      <c r="B317" s="1" t="n">
        <v>44376</v>
      </c>
      <c r="C317" s="1" t="n">
        <v>45995</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27824-2022</t>
        </is>
      </c>
      <c r="B318" s="1" t="n">
        <v>44743.59331018518</v>
      </c>
      <c r="C318" s="1" t="n">
        <v>45995</v>
      </c>
      <c r="D318" t="inlineStr">
        <is>
          <t>STOCKHOLMS LÄN</t>
        </is>
      </c>
      <c r="E318" t="inlineStr">
        <is>
          <t>NORRTÄLJE</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41398-2022</t>
        </is>
      </c>
      <c r="B319" s="1" t="n">
        <v>44826</v>
      </c>
      <c r="C319" s="1" t="n">
        <v>45995</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22369-2021</t>
        </is>
      </c>
      <c r="B320" s="1" t="n">
        <v>44326</v>
      </c>
      <c r="C320" s="1" t="n">
        <v>45995</v>
      </c>
      <c r="D320" t="inlineStr">
        <is>
          <t>STOCKHOLMS LÄN</t>
        </is>
      </c>
      <c r="E320" t="inlineStr">
        <is>
          <t>NORRTÄLJE</t>
        </is>
      </c>
      <c r="F320" t="inlineStr">
        <is>
          <t>Holmen skog AB</t>
        </is>
      </c>
      <c r="G320" t="n">
        <v>3.4</v>
      </c>
      <c r="H320" t="n">
        <v>0</v>
      </c>
      <c r="I320" t="n">
        <v>0</v>
      </c>
      <c r="J320" t="n">
        <v>0</v>
      </c>
      <c r="K320" t="n">
        <v>0</v>
      </c>
      <c r="L320" t="n">
        <v>0</v>
      </c>
      <c r="M320" t="n">
        <v>0</v>
      </c>
      <c r="N320" t="n">
        <v>0</v>
      </c>
      <c r="O320" t="n">
        <v>0</v>
      </c>
      <c r="P320" t="n">
        <v>0</v>
      </c>
      <c r="Q320" t="n">
        <v>0</v>
      </c>
      <c r="R320" s="2" t="inlineStr"/>
    </row>
    <row r="321" ht="15" customHeight="1">
      <c r="A321" t="inlineStr">
        <is>
          <t>A 20013-2025</t>
        </is>
      </c>
      <c r="B321" s="1" t="n">
        <v>45772.30436342592</v>
      </c>
      <c r="C321" s="1" t="n">
        <v>45995</v>
      </c>
      <c r="D321" t="inlineStr">
        <is>
          <t>STOCKHOLMS LÄN</t>
        </is>
      </c>
      <c r="E321" t="inlineStr">
        <is>
          <t>NORRTÄLJE</t>
        </is>
      </c>
      <c r="G321" t="n">
        <v>2.3</v>
      </c>
      <c r="H321" t="n">
        <v>0</v>
      </c>
      <c r="I321" t="n">
        <v>0</v>
      </c>
      <c r="J321" t="n">
        <v>0</v>
      </c>
      <c r="K321" t="n">
        <v>0</v>
      </c>
      <c r="L321" t="n">
        <v>0</v>
      </c>
      <c r="M321" t="n">
        <v>0</v>
      </c>
      <c r="N321" t="n">
        <v>0</v>
      </c>
      <c r="O321" t="n">
        <v>0</v>
      </c>
      <c r="P321" t="n">
        <v>0</v>
      </c>
      <c r="Q321" t="n">
        <v>0</v>
      </c>
      <c r="R321" s="2" t="inlineStr"/>
    </row>
    <row r="322" ht="15" customHeight="1">
      <c r="A322" t="inlineStr">
        <is>
          <t>A 63161-2023</t>
        </is>
      </c>
      <c r="B322" s="1" t="n">
        <v>45273</v>
      </c>
      <c r="C322" s="1" t="n">
        <v>45995</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24522-2023</t>
        </is>
      </c>
      <c r="B323" s="1" t="n">
        <v>45082.69179398148</v>
      </c>
      <c r="C323" s="1" t="n">
        <v>45995</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23271-2023</t>
        </is>
      </c>
      <c r="B324" s="1" t="n">
        <v>45075.91362268518</v>
      </c>
      <c r="C324" s="1" t="n">
        <v>45995</v>
      </c>
      <c r="D324" t="inlineStr">
        <is>
          <t>STOCKHOLMS LÄN</t>
        </is>
      </c>
      <c r="E324" t="inlineStr">
        <is>
          <t>NORRTÄLJE</t>
        </is>
      </c>
      <c r="G324" t="n">
        <v>5.1</v>
      </c>
      <c r="H324" t="n">
        <v>0</v>
      </c>
      <c r="I324" t="n">
        <v>0</v>
      </c>
      <c r="J324" t="n">
        <v>0</v>
      </c>
      <c r="K324" t="n">
        <v>0</v>
      </c>
      <c r="L324" t="n">
        <v>0</v>
      </c>
      <c r="M324" t="n">
        <v>0</v>
      </c>
      <c r="N324" t="n">
        <v>0</v>
      </c>
      <c r="O324" t="n">
        <v>0</v>
      </c>
      <c r="P324" t="n">
        <v>0</v>
      </c>
      <c r="Q324" t="n">
        <v>0</v>
      </c>
      <c r="R324" s="2" t="inlineStr"/>
    </row>
    <row r="325" ht="15" customHeight="1">
      <c r="A325" t="inlineStr">
        <is>
          <t>A 23273-2023</t>
        </is>
      </c>
      <c r="B325" s="1" t="n">
        <v>45075.91971064815</v>
      </c>
      <c r="C325" s="1" t="n">
        <v>45995</v>
      </c>
      <c r="D325" t="inlineStr">
        <is>
          <t>STOCKHOLMS LÄN</t>
        </is>
      </c>
      <c r="E325" t="inlineStr">
        <is>
          <t>NORRTÄLJE</t>
        </is>
      </c>
      <c r="G325" t="n">
        <v>7.5</v>
      </c>
      <c r="H325" t="n">
        <v>0</v>
      </c>
      <c r="I325" t="n">
        <v>0</v>
      </c>
      <c r="J325" t="n">
        <v>0</v>
      </c>
      <c r="K325" t="n">
        <v>0</v>
      </c>
      <c r="L325" t="n">
        <v>0</v>
      </c>
      <c r="M325" t="n">
        <v>0</v>
      </c>
      <c r="N325" t="n">
        <v>0</v>
      </c>
      <c r="O325" t="n">
        <v>0</v>
      </c>
      <c r="P325" t="n">
        <v>0</v>
      </c>
      <c r="Q325" t="n">
        <v>0</v>
      </c>
      <c r="R325" s="2" t="inlineStr"/>
    </row>
    <row r="326" ht="15" customHeight="1">
      <c r="A326" t="inlineStr">
        <is>
          <t>A 30802-2022</t>
        </is>
      </c>
      <c r="B326" s="1" t="n">
        <v>44764</v>
      </c>
      <c r="C326" s="1" t="n">
        <v>45995</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19706-2023</t>
        </is>
      </c>
      <c r="B327" s="1" t="n">
        <v>45051.455</v>
      </c>
      <c r="C327" s="1" t="n">
        <v>45995</v>
      </c>
      <c r="D327" t="inlineStr">
        <is>
          <t>STOCKHOLMS LÄN</t>
        </is>
      </c>
      <c r="E327" t="inlineStr">
        <is>
          <t>NORRTÄLJE</t>
        </is>
      </c>
      <c r="G327" t="n">
        <v>0.2</v>
      </c>
      <c r="H327" t="n">
        <v>0</v>
      </c>
      <c r="I327" t="n">
        <v>0</v>
      </c>
      <c r="J327" t="n">
        <v>0</v>
      </c>
      <c r="K327" t="n">
        <v>0</v>
      </c>
      <c r="L327" t="n">
        <v>0</v>
      </c>
      <c r="M327" t="n">
        <v>0</v>
      </c>
      <c r="N327" t="n">
        <v>0</v>
      </c>
      <c r="O327" t="n">
        <v>0</v>
      </c>
      <c r="P327" t="n">
        <v>0</v>
      </c>
      <c r="Q327" t="n">
        <v>0</v>
      </c>
      <c r="R327" s="2" t="inlineStr"/>
    </row>
    <row r="328" ht="15" customHeight="1">
      <c r="A328" t="inlineStr">
        <is>
          <t>A 47521-2024</t>
        </is>
      </c>
      <c r="B328" s="1" t="n">
        <v>45587.62565972222</v>
      </c>
      <c r="C328" s="1" t="n">
        <v>45995</v>
      </c>
      <c r="D328" t="inlineStr">
        <is>
          <t>STOCKHOLMS LÄN</t>
        </is>
      </c>
      <c r="E328" t="inlineStr">
        <is>
          <t>NORRTÄLJE</t>
        </is>
      </c>
      <c r="G328" t="n">
        <v>4.7</v>
      </c>
      <c r="H328" t="n">
        <v>0</v>
      </c>
      <c r="I328" t="n">
        <v>0</v>
      </c>
      <c r="J328" t="n">
        <v>0</v>
      </c>
      <c r="K328" t="n">
        <v>0</v>
      </c>
      <c r="L328" t="n">
        <v>0</v>
      </c>
      <c r="M328" t="n">
        <v>0</v>
      </c>
      <c r="N328" t="n">
        <v>0</v>
      </c>
      <c r="O328" t="n">
        <v>0</v>
      </c>
      <c r="P328" t="n">
        <v>0</v>
      </c>
      <c r="Q328" t="n">
        <v>0</v>
      </c>
      <c r="R328" s="2" t="inlineStr"/>
    </row>
    <row r="329" ht="15" customHeight="1">
      <c r="A329" t="inlineStr">
        <is>
          <t>A 16008-2025</t>
        </is>
      </c>
      <c r="B329" s="1" t="n">
        <v>45749</v>
      </c>
      <c r="C329" s="1" t="n">
        <v>45995</v>
      </c>
      <c r="D329" t="inlineStr">
        <is>
          <t>STOCKHOLMS LÄN</t>
        </is>
      </c>
      <c r="E329" t="inlineStr">
        <is>
          <t>NORRTÄLJE</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19398-2021</t>
        </is>
      </c>
      <c r="B330" s="1" t="n">
        <v>44309</v>
      </c>
      <c r="C330" s="1" t="n">
        <v>45995</v>
      </c>
      <c r="D330" t="inlineStr">
        <is>
          <t>STOCKHOLMS LÄN</t>
        </is>
      </c>
      <c r="E330" t="inlineStr">
        <is>
          <t>NORRTÄLJE</t>
        </is>
      </c>
      <c r="F330" t="inlineStr">
        <is>
          <t>Kommuner</t>
        </is>
      </c>
      <c r="G330" t="n">
        <v>2.1</v>
      </c>
      <c r="H330" t="n">
        <v>0</v>
      </c>
      <c r="I330" t="n">
        <v>0</v>
      </c>
      <c r="J330" t="n">
        <v>0</v>
      </c>
      <c r="K330" t="n">
        <v>0</v>
      </c>
      <c r="L330" t="n">
        <v>0</v>
      </c>
      <c r="M330" t="n">
        <v>0</v>
      </c>
      <c r="N330" t="n">
        <v>0</v>
      </c>
      <c r="O330" t="n">
        <v>0</v>
      </c>
      <c r="P330" t="n">
        <v>0</v>
      </c>
      <c r="Q330" t="n">
        <v>0</v>
      </c>
      <c r="R330" s="2" t="inlineStr"/>
    </row>
    <row r="331" ht="15" customHeight="1">
      <c r="A331" t="inlineStr">
        <is>
          <t>A 9765-2024</t>
        </is>
      </c>
      <c r="B331" s="1" t="n">
        <v>45362.62811342593</v>
      </c>
      <c r="C331" s="1" t="n">
        <v>45995</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45541-2022</t>
        </is>
      </c>
      <c r="B332" s="1" t="n">
        <v>44845.47672453704</v>
      </c>
      <c r="C332" s="1" t="n">
        <v>45995</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12779-2021</t>
        </is>
      </c>
      <c r="B333" s="1" t="n">
        <v>44270</v>
      </c>
      <c r="C333" s="1" t="n">
        <v>45995</v>
      </c>
      <c r="D333" t="inlineStr">
        <is>
          <t>STOCKHOLMS LÄN</t>
        </is>
      </c>
      <c r="E333" t="inlineStr">
        <is>
          <t>NORRTÄLJE</t>
        </is>
      </c>
      <c r="G333" t="n">
        <v>10.8</v>
      </c>
      <c r="H333" t="n">
        <v>0</v>
      </c>
      <c r="I333" t="n">
        <v>0</v>
      </c>
      <c r="J333" t="n">
        <v>0</v>
      </c>
      <c r="K333" t="n">
        <v>0</v>
      </c>
      <c r="L333" t="n">
        <v>0</v>
      </c>
      <c r="M333" t="n">
        <v>0</v>
      </c>
      <c r="N333" t="n">
        <v>0</v>
      </c>
      <c r="O333" t="n">
        <v>0</v>
      </c>
      <c r="P333" t="n">
        <v>0</v>
      </c>
      <c r="Q333" t="n">
        <v>0</v>
      </c>
      <c r="R333" s="2" t="inlineStr"/>
    </row>
    <row r="334" ht="15" customHeight="1">
      <c r="A334" t="inlineStr">
        <is>
          <t>A 12782-2021</t>
        </is>
      </c>
      <c r="B334" s="1" t="n">
        <v>44270</v>
      </c>
      <c r="C334" s="1" t="n">
        <v>45995</v>
      </c>
      <c r="D334" t="inlineStr">
        <is>
          <t>STOCKHOLMS LÄN</t>
        </is>
      </c>
      <c r="E334" t="inlineStr">
        <is>
          <t>NORRTÄLJE</t>
        </is>
      </c>
      <c r="G334" t="n">
        <v>3.8</v>
      </c>
      <c r="H334" t="n">
        <v>0</v>
      </c>
      <c r="I334" t="n">
        <v>0</v>
      </c>
      <c r="J334" t="n">
        <v>0</v>
      </c>
      <c r="K334" t="n">
        <v>0</v>
      </c>
      <c r="L334" t="n">
        <v>0</v>
      </c>
      <c r="M334" t="n">
        <v>0</v>
      </c>
      <c r="N334" t="n">
        <v>0</v>
      </c>
      <c r="O334" t="n">
        <v>0</v>
      </c>
      <c r="P334" t="n">
        <v>0</v>
      </c>
      <c r="Q334" t="n">
        <v>0</v>
      </c>
      <c r="R334" s="2" t="inlineStr"/>
    </row>
    <row r="335" ht="15" customHeight="1">
      <c r="A335" t="inlineStr">
        <is>
          <t>A 50534-2024</t>
        </is>
      </c>
      <c r="B335" s="1" t="n">
        <v>45601.56726851852</v>
      </c>
      <c r="C335" s="1" t="n">
        <v>45995</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47694-2023</t>
        </is>
      </c>
      <c r="B336" s="1" t="n">
        <v>45203.63303240741</v>
      </c>
      <c r="C336" s="1" t="n">
        <v>45995</v>
      </c>
      <c r="D336" t="inlineStr">
        <is>
          <t>STOCKHOLMS LÄN</t>
        </is>
      </c>
      <c r="E336" t="inlineStr">
        <is>
          <t>NORRTÄLJE</t>
        </is>
      </c>
      <c r="G336" t="n">
        <v>5.2</v>
      </c>
      <c r="H336" t="n">
        <v>0</v>
      </c>
      <c r="I336" t="n">
        <v>0</v>
      </c>
      <c r="J336" t="n">
        <v>0</v>
      </c>
      <c r="K336" t="n">
        <v>0</v>
      </c>
      <c r="L336" t="n">
        <v>0</v>
      </c>
      <c r="M336" t="n">
        <v>0</v>
      </c>
      <c r="N336" t="n">
        <v>0</v>
      </c>
      <c r="O336" t="n">
        <v>0</v>
      </c>
      <c r="P336" t="n">
        <v>0</v>
      </c>
      <c r="Q336" t="n">
        <v>0</v>
      </c>
      <c r="R336" s="2" t="inlineStr"/>
    </row>
    <row r="337" ht="15" customHeight="1">
      <c r="A337" t="inlineStr">
        <is>
          <t>A 40656-2022</t>
        </is>
      </c>
      <c r="B337" s="1" t="n">
        <v>44824.36069444445</v>
      </c>
      <c r="C337" s="1" t="n">
        <v>45995</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42094-2023</t>
        </is>
      </c>
      <c r="B338" s="1" t="n">
        <v>45177.61498842593</v>
      </c>
      <c r="C338" s="1" t="n">
        <v>45995</v>
      </c>
      <c r="D338" t="inlineStr">
        <is>
          <t>STOCKHOLMS LÄN</t>
        </is>
      </c>
      <c r="E338" t="inlineStr">
        <is>
          <t>NORRTÄLJE</t>
        </is>
      </c>
      <c r="G338" t="n">
        <v>0.3</v>
      </c>
      <c r="H338" t="n">
        <v>0</v>
      </c>
      <c r="I338" t="n">
        <v>0</v>
      </c>
      <c r="J338" t="n">
        <v>0</v>
      </c>
      <c r="K338" t="n">
        <v>0</v>
      </c>
      <c r="L338" t="n">
        <v>0</v>
      </c>
      <c r="M338" t="n">
        <v>0</v>
      </c>
      <c r="N338" t="n">
        <v>0</v>
      </c>
      <c r="O338" t="n">
        <v>0</v>
      </c>
      <c r="P338" t="n">
        <v>0</v>
      </c>
      <c r="Q338" t="n">
        <v>0</v>
      </c>
      <c r="R338" s="2" t="inlineStr"/>
    </row>
    <row r="339" ht="15" customHeight="1">
      <c r="A339" t="inlineStr">
        <is>
          <t>A 58530-2024</t>
        </is>
      </c>
      <c r="B339" s="1" t="n">
        <v>45635.44788194444</v>
      </c>
      <c r="C339" s="1" t="n">
        <v>45995</v>
      </c>
      <c r="D339" t="inlineStr">
        <is>
          <t>STOCKHOLMS LÄN</t>
        </is>
      </c>
      <c r="E339" t="inlineStr">
        <is>
          <t>NORRTÄLJE</t>
        </is>
      </c>
      <c r="G339" t="n">
        <v>4.5</v>
      </c>
      <c r="H339" t="n">
        <v>0</v>
      </c>
      <c r="I339" t="n">
        <v>0</v>
      </c>
      <c r="J339" t="n">
        <v>0</v>
      </c>
      <c r="K339" t="n">
        <v>0</v>
      </c>
      <c r="L339" t="n">
        <v>0</v>
      </c>
      <c r="M339" t="n">
        <v>0</v>
      </c>
      <c r="N339" t="n">
        <v>0</v>
      </c>
      <c r="O339" t="n">
        <v>0</v>
      </c>
      <c r="P339" t="n">
        <v>0</v>
      </c>
      <c r="Q339" t="n">
        <v>0</v>
      </c>
      <c r="R339" s="2" t="inlineStr"/>
    </row>
    <row r="340" ht="15" customHeight="1">
      <c r="A340" t="inlineStr">
        <is>
          <t>A 30620-2022</t>
        </is>
      </c>
      <c r="B340" s="1" t="n">
        <v>44763.40914351852</v>
      </c>
      <c r="C340" s="1" t="n">
        <v>45995</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38593-2025</t>
        </is>
      </c>
      <c r="B341" s="1" t="n">
        <v>45884.48696759259</v>
      </c>
      <c r="C341" s="1" t="n">
        <v>45995</v>
      </c>
      <c r="D341" t="inlineStr">
        <is>
          <t>STOCKHOLMS LÄN</t>
        </is>
      </c>
      <c r="E341" t="inlineStr">
        <is>
          <t>NORRTÄLJE</t>
        </is>
      </c>
      <c r="G341" t="n">
        <v>3</v>
      </c>
      <c r="H341" t="n">
        <v>0</v>
      </c>
      <c r="I341" t="n">
        <v>0</v>
      </c>
      <c r="J341" t="n">
        <v>0</v>
      </c>
      <c r="K341" t="n">
        <v>0</v>
      </c>
      <c r="L341" t="n">
        <v>0</v>
      </c>
      <c r="M341" t="n">
        <v>0</v>
      </c>
      <c r="N341" t="n">
        <v>0</v>
      </c>
      <c r="O341" t="n">
        <v>0</v>
      </c>
      <c r="P341" t="n">
        <v>0</v>
      </c>
      <c r="Q341" t="n">
        <v>0</v>
      </c>
      <c r="R341" s="2" t="inlineStr"/>
    </row>
    <row r="342" ht="15" customHeight="1">
      <c r="A342" t="inlineStr">
        <is>
          <t>A 40425-2021</t>
        </is>
      </c>
      <c r="B342" s="1" t="n">
        <v>44419</v>
      </c>
      <c r="C342" s="1" t="n">
        <v>45995</v>
      </c>
      <c r="D342" t="inlineStr">
        <is>
          <t>STOCKHOLMS LÄN</t>
        </is>
      </c>
      <c r="E342" t="inlineStr">
        <is>
          <t>NORRTÄLJE</t>
        </is>
      </c>
      <c r="G342" t="n">
        <v>5</v>
      </c>
      <c r="H342" t="n">
        <v>0</v>
      </c>
      <c r="I342" t="n">
        <v>0</v>
      </c>
      <c r="J342" t="n">
        <v>0</v>
      </c>
      <c r="K342" t="n">
        <v>0</v>
      </c>
      <c r="L342" t="n">
        <v>0</v>
      </c>
      <c r="M342" t="n">
        <v>0</v>
      </c>
      <c r="N342" t="n">
        <v>0</v>
      </c>
      <c r="O342" t="n">
        <v>0</v>
      </c>
      <c r="P342" t="n">
        <v>0</v>
      </c>
      <c r="Q342" t="n">
        <v>0</v>
      </c>
      <c r="R342" s="2" t="inlineStr"/>
    </row>
    <row r="343" ht="15" customHeight="1">
      <c r="A343" t="inlineStr">
        <is>
          <t>A 20014-2025</t>
        </is>
      </c>
      <c r="B343" s="1" t="n">
        <v>45772.3078125</v>
      </c>
      <c r="C343" s="1" t="n">
        <v>45995</v>
      </c>
      <c r="D343" t="inlineStr">
        <is>
          <t>STOCKHOLMS LÄN</t>
        </is>
      </c>
      <c r="E343" t="inlineStr">
        <is>
          <t>NORRTÄLJE</t>
        </is>
      </c>
      <c r="G343" t="n">
        <v>4.4</v>
      </c>
      <c r="H343" t="n">
        <v>0</v>
      </c>
      <c r="I343" t="n">
        <v>0</v>
      </c>
      <c r="J343" t="n">
        <v>0</v>
      </c>
      <c r="K343" t="n">
        <v>0</v>
      </c>
      <c r="L343" t="n">
        <v>0</v>
      </c>
      <c r="M343" t="n">
        <v>0</v>
      </c>
      <c r="N343" t="n">
        <v>0</v>
      </c>
      <c r="O343" t="n">
        <v>0</v>
      </c>
      <c r="P343" t="n">
        <v>0</v>
      </c>
      <c r="Q343" t="n">
        <v>0</v>
      </c>
      <c r="R343" s="2" t="inlineStr"/>
    </row>
    <row r="344" ht="15" customHeight="1">
      <c r="A344" t="inlineStr">
        <is>
          <t>A 57602-2024</t>
        </is>
      </c>
      <c r="B344" s="1" t="n">
        <v>45630.52866898148</v>
      </c>
      <c r="C344" s="1" t="n">
        <v>45995</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29176-2024</t>
        </is>
      </c>
      <c r="B345" s="1" t="n">
        <v>45482.53388888889</v>
      </c>
      <c r="C345" s="1" t="n">
        <v>45995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56631-2024</t>
        </is>
      </c>
      <c r="B346" s="1" t="n">
        <v>45625</v>
      </c>
      <c r="C346" s="1" t="n">
        <v>45995</v>
      </c>
      <c r="D346" t="inlineStr">
        <is>
          <t>STOCKHOLMS LÄN</t>
        </is>
      </c>
      <c r="E346" t="inlineStr">
        <is>
          <t>NORRTÄLJE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48587-2023</t>
        </is>
      </c>
      <c r="B347" s="1" t="n">
        <v>45208</v>
      </c>
      <c r="C347" s="1" t="n">
        <v>45995</v>
      </c>
      <c r="D347" t="inlineStr">
        <is>
          <t>STOCKHOLMS LÄN</t>
        </is>
      </c>
      <c r="E347" t="inlineStr">
        <is>
          <t>NORRTÄLJE</t>
        </is>
      </c>
      <c r="G347" t="n">
        <v>7</v>
      </c>
      <c r="H347" t="n">
        <v>0</v>
      </c>
      <c r="I347" t="n">
        <v>0</v>
      </c>
      <c r="J347" t="n">
        <v>0</v>
      </c>
      <c r="K347" t="n">
        <v>0</v>
      </c>
      <c r="L347" t="n">
        <v>0</v>
      </c>
      <c r="M347" t="n">
        <v>0</v>
      </c>
      <c r="N347" t="n">
        <v>0</v>
      </c>
      <c r="O347" t="n">
        <v>0</v>
      </c>
      <c r="P347" t="n">
        <v>0</v>
      </c>
      <c r="Q347" t="n">
        <v>0</v>
      </c>
      <c r="R347" s="2" t="inlineStr"/>
    </row>
    <row r="348" ht="15" customHeight="1">
      <c r="A348" t="inlineStr">
        <is>
          <t>A 11854-2025</t>
        </is>
      </c>
      <c r="B348" s="1" t="n">
        <v>45728.38924768518</v>
      </c>
      <c r="C348" s="1" t="n">
        <v>45995</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53600-2022</t>
        </is>
      </c>
      <c r="B349" s="1" t="n">
        <v>44879.70518518519</v>
      </c>
      <c r="C349" s="1" t="n">
        <v>45995</v>
      </c>
      <c r="D349" t="inlineStr">
        <is>
          <t>STOCKHOLMS LÄN</t>
        </is>
      </c>
      <c r="E349" t="inlineStr">
        <is>
          <t>NORRTÄLJE</t>
        </is>
      </c>
      <c r="G349" t="n">
        <v>4.3</v>
      </c>
      <c r="H349" t="n">
        <v>0</v>
      </c>
      <c r="I349" t="n">
        <v>0</v>
      </c>
      <c r="J349" t="n">
        <v>0</v>
      </c>
      <c r="K349" t="n">
        <v>0</v>
      </c>
      <c r="L349" t="n">
        <v>0</v>
      </c>
      <c r="M349" t="n">
        <v>0</v>
      </c>
      <c r="N349" t="n">
        <v>0</v>
      </c>
      <c r="O349" t="n">
        <v>0</v>
      </c>
      <c r="P349" t="n">
        <v>0</v>
      </c>
      <c r="Q349" t="n">
        <v>0</v>
      </c>
      <c r="R349" s="2" t="inlineStr"/>
    </row>
    <row r="350" ht="15" customHeight="1">
      <c r="A350" t="inlineStr">
        <is>
          <t>A 1283-2025</t>
        </is>
      </c>
      <c r="B350" s="1" t="n">
        <v>45667.49878472222</v>
      </c>
      <c r="C350" s="1" t="n">
        <v>45995</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67921-2021</t>
        </is>
      </c>
      <c r="B351" s="1" t="n">
        <v>44525</v>
      </c>
      <c r="C351" s="1" t="n">
        <v>45995</v>
      </c>
      <c r="D351" t="inlineStr">
        <is>
          <t>STOCKHOLMS LÄN</t>
        </is>
      </c>
      <c r="E351" t="inlineStr">
        <is>
          <t>NORRTÄLJE</t>
        </is>
      </c>
      <c r="G351" t="n">
        <v>6.3</v>
      </c>
      <c r="H351" t="n">
        <v>0</v>
      </c>
      <c r="I351" t="n">
        <v>0</v>
      </c>
      <c r="J351" t="n">
        <v>0</v>
      </c>
      <c r="K351" t="n">
        <v>0</v>
      </c>
      <c r="L351" t="n">
        <v>0</v>
      </c>
      <c r="M351" t="n">
        <v>0</v>
      </c>
      <c r="N351" t="n">
        <v>0</v>
      </c>
      <c r="O351" t="n">
        <v>0</v>
      </c>
      <c r="P351" t="n">
        <v>0</v>
      </c>
      <c r="Q351" t="n">
        <v>0</v>
      </c>
      <c r="R351" s="2" t="inlineStr"/>
    </row>
    <row r="352" ht="15" customHeight="1">
      <c r="A352" t="inlineStr">
        <is>
          <t>A 60217-2021</t>
        </is>
      </c>
      <c r="B352" s="1" t="n">
        <v>44495.5893287037</v>
      </c>
      <c r="C352" s="1" t="n">
        <v>45995</v>
      </c>
      <c r="D352" t="inlineStr">
        <is>
          <t>STOCKHOLMS LÄN</t>
        </is>
      </c>
      <c r="E352" t="inlineStr">
        <is>
          <t>NORRTÄLJE</t>
        </is>
      </c>
      <c r="G352" t="n">
        <v>4.3</v>
      </c>
      <c r="H352" t="n">
        <v>0</v>
      </c>
      <c r="I352" t="n">
        <v>0</v>
      </c>
      <c r="J352" t="n">
        <v>0</v>
      </c>
      <c r="K352" t="n">
        <v>0</v>
      </c>
      <c r="L352" t="n">
        <v>0</v>
      </c>
      <c r="M352" t="n">
        <v>0</v>
      </c>
      <c r="N352" t="n">
        <v>0</v>
      </c>
      <c r="O352" t="n">
        <v>0</v>
      </c>
      <c r="P352" t="n">
        <v>0</v>
      </c>
      <c r="Q352" t="n">
        <v>0</v>
      </c>
      <c r="R352" s="2" t="inlineStr"/>
    </row>
    <row r="353" ht="15" customHeight="1">
      <c r="A353" t="inlineStr">
        <is>
          <t>A 42955-2022</t>
        </is>
      </c>
      <c r="B353" s="1" t="n">
        <v>44833.40876157407</v>
      </c>
      <c r="C353" s="1" t="n">
        <v>45995</v>
      </c>
      <c r="D353" t="inlineStr">
        <is>
          <t>STOCKHOLMS LÄN</t>
        </is>
      </c>
      <c r="E353" t="inlineStr">
        <is>
          <t>NORRTÄLJE</t>
        </is>
      </c>
      <c r="G353" t="n">
        <v>13.1</v>
      </c>
      <c r="H353" t="n">
        <v>0</v>
      </c>
      <c r="I353" t="n">
        <v>0</v>
      </c>
      <c r="J353" t="n">
        <v>0</v>
      </c>
      <c r="K353" t="n">
        <v>0</v>
      </c>
      <c r="L353" t="n">
        <v>0</v>
      </c>
      <c r="M353" t="n">
        <v>0</v>
      </c>
      <c r="N353" t="n">
        <v>0</v>
      </c>
      <c r="O353" t="n">
        <v>0</v>
      </c>
      <c r="P353" t="n">
        <v>0</v>
      </c>
      <c r="Q353" t="n">
        <v>0</v>
      </c>
      <c r="R353" s="2" t="inlineStr"/>
    </row>
    <row r="354" ht="15" customHeight="1">
      <c r="A354" t="inlineStr">
        <is>
          <t>A 28900-2022</t>
        </is>
      </c>
      <c r="B354" s="1" t="n">
        <v>44749.55258101852</v>
      </c>
      <c r="C354" s="1" t="n">
        <v>45995</v>
      </c>
      <c r="D354" t="inlineStr">
        <is>
          <t>STOCKHOLMS LÄN</t>
        </is>
      </c>
      <c r="E354" t="inlineStr">
        <is>
          <t>NORRTÄLJE</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32514-2022</t>
        </is>
      </c>
      <c r="B355" s="1" t="n">
        <v>44782</v>
      </c>
      <c r="C355" s="1" t="n">
        <v>45995</v>
      </c>
      <c r="D355" t="inlineStr">
        <is>
          <t>STOCKHOLMS LÄN</t>
        </is>
      </c>
      <c r="E355" t="inlineStr">
        <is>
          <t>NORRTÄLJE</t>
        </is>
      </c>
      <c r="G355" t="n">
        <v>5.1</v>
      </c>
      <c r="H355" t="n">
        <v>0</v>
      </c>
      <c r="I355" t="n">
        <v>0</v>
      </c>
      <c r="J355" t="n">
        <v>0</v>
      </c>
      <c r="K355" t="n">
        <v>0</v>
      </c>
      <c r="L355" t="n">
        <v>0</v>
      </c>
      <c r="M355" t="n">
        <v>0</v>
      </c>
      <c r="N355" t="n">
        <v>0</v>
      </c>
      <c r="O355" t="n">
        <v>0</v>
      </c>
      <c r="P355" t="n">
        <v>0</v>
      </c>
      <c r="Q355" t="n">
        <v>0</v>
      </c>
      <c r="R355" s="2" t="inlineStr"/>
    </row>
    <row r="356" ht="15" customHeight="1">
      <c r="A356" t="inlineStr">
        <is>
          <t>A 20136-2025</t>
        </is>
      </c>
      <c r="B356" s="1" t="n">
        <v>45772.51127314815</v>
      </c>
      <c r="C356" s="1" t="n">
        <v>45995</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15978-2024</t>
        </is>
      </c>
      <c r="B357" s="1" t="n">
        <v>45405.57927083333</v>
      </c>
      <c r="C357" s="1" t="n">
        <v>45995</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20473-2021</t>
        </is>
      </c>
      <c r="B358" s="1" t="n">
        <v>44315</v>
      </c>
      <c r="C358" s="1" t="n">
        <v>45995</v>
      </c>
      <c r="D358" t="inlineStr">
        <is>
          <t>STOCKHOLMS LÄN</t>
        </is>
      </c>
      <c r="E358" t="inlineStr">
        <is>
          <t>NORRTÄLJE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7603-2025</t>
        </is>
      </c>
      <c r="B359" s="1" t="n">
        <v>45705.66126157407</v>
      </c>
      <c r="C359" s="1" t="n">
        <v>45995</v>
      </c>
      <c r="D359" t="inlineStr">
        <is>
          <t>STOCKHOLMS LÄN</t>
        </is>
      </c>
      <c r="E359" t="inlineStr">
        <is>
          <t>NORRTÄLJE</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23125-2022</t>
        </is>
      </c>
      <c r="B360" s="1" t="n">
        <v>44719</v>
      </c>
      <c r="C360" s="1" t="n">
        <v>45995</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5158-2024</t>
        </is>
      </c>
      <c r="B361" s="1" t="n">
        <v>45330.50098379629</v>
      </c>
      <c r="C361" s="1" t="n">
        <v>45995</v>
      </c>
      <c r="D361" t="inlineStr">
        <is>
          <t>STOCKHOLMS LÄN</t>
        </is>
      </c>
      <c r="E361" t="inlineStr">
        <is>
          <t>NORRTÄLJE</t>
        </is>
      </c>
      <c r="G361" t="n">
        <v>0.8</v>
      </c>
      <c r="H361" t="n">
        <v>0</v>
      </c>
      <c r="I361" t="n">
        <v>0</v>
      </c>
      <c r="J361" t="n">
        <v>0</v>
      </c>
      <c r="K361" t="n">
        <v>0</v>
      </c>
      <c r="L361" t="n">
        <v>0</v>
      </c>
      <c r="M361" t="n">
        <v>0</v>
      </c>
      <c r="N361" t="n">
        <v>0</v>
      </c>
      <c r="O361" t="n">
        <v>0</v>
      </c>
      <c r="P361" t="n">
        <v>0</v>
      </c>
      <c r="Q361" t="n">
        <v>0</v>
      </c>
      <c r="R361" s="2" t="inlineStr"/>
    </row>
    <row r="362" ht="15" customHeight="1">
      <c r="A362" t="inlineStr">
        <is>
          <t>A 9329-2023</t>
        </is>
      </c>
      <c r="B362" s="1" t="n">
        <v>44980</v>
      </c>
      <c r="C362" s="1" t="n">
        <v>45995</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6855-2025</t>
        </is>
      </c>
      <c r="B363" s="1" t="n">
        <v>45700</v>
      </c>
      <c r="C363" s="1" t="n">
        <v>45995</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4596-2023</t>
        </is>
      </c>
      <c r="B364" s="1" t="n">
        <v>44956</v>
      </c>
      <c r="C364" s="1" t="n">
        <v>45995</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51046-2023</t>
        </is>
      </c>
      <c r="B365" s="1" t="n">
        <v>45218</v>
      </c>
      <c r="C365" s="1" t="n">
        <v>45995</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22816-2021</t>
        </is>
      </c>
      <c r="B366" s="1" t="n">
        <v>44325</v>
      </c>
      <c r="C366" s="1" t="n">
        <v>45995</v>
      </c>
      <c r="D366" t="inlineStr">
        <is>
          <t>STOCKHOLMS LÄN</t>
        </is>
      </c>
      <c r="E366" t="inlineStr">
        <is>
          <t>NORRTÄLJE</t>
        </is>
      </c>
      <c r="G366" t="n">
        <v>4.5</v>
      </c>
      <c r="H366" t="n">
        <v>0</v>
      </c>
      <c r="I366" t="n">
        <v>0</v>
      </c>
      <c r="J366" t="n">
        <v>0</v>
      </c>
      <c r="K366" t="n">
        <v>0</v>
      </c>
      <c r="L366" t="n">
        <v>0</v>
      </c>
      <c r="M366" t="n">
        <v>0</v>
      </c>
      <c r="N366" t="n">
        <v>0</v>
      </c>
      <c r="O366" t="n">
        <v>0</v>
      </c>
      <c r="P366" t="n">
        <v>0</v>
      </c>
      <c r="Q366" t="n">
        <v>0</v>
      </c>
      <c r="R366" s="2" t="inlineStr"/>
    </row>
    <row r="367" ht="15" customHeight="1">
      <c r="A367" t="inlineStr">
        <is>
          <t>A 14873-2025</t>
        </is>
      </c>
      <c r="B367" s="1" t="n">
        <v>45743.44953703704</v>
      </c>
      <c r="C367" s="1" t="n">
        <v>45995</v>
      </c>
      <c r="D367" t="inlineStr">
        <is>
          <t>STOCKHOLMS LÄN</t>
        </is>
      </c>
      <c r="E367" t="inlineStr">
        <is>
          <t>NORRTÄLJE</t>
        </is>
      </c>
      <c r="G367" t="n">
        <v>10.2</v>
      </c>
      <c r="H367" t="n">
        <v>0</v>
      </c>
      <c r="I367" t="n">
        <v>0</v>
      </c>
      <c r="J367" t="n">
        <v>0</v>
      </c>
      <c r="K367" t="n">
        <v>0</v>
      </c>
      <c r="L367" t="n">
        <v>0</v>
      </c>
      <c r="M367" t="n">
        <v>0</v>
      </c>
      <c r="N367" t="n">
        <v>0</v>
      </c>
      <c r="O367" t="n">
        <v>0</v>
      </c>
      <c r="P367" t="n">
        <v>0</v>
      </c>
      <c r="Q367" t="n">
        <v>0</v>
      </c>
      <c r="R367" s="2" t="inlineStr"/>
    </row>
    <row r="368" ht="15" customHeight="1">
      <c r="A368" t="inlineStr">
        <is>
          <t>A 8135-2025</t>
        </is>
      </c>
      <c r="B368" s="1" t="n">
        <v>45707.84997685185</v>
      </c>
      <c r="C368" s="1" t="n">
        <v>45995</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4438-2023</t>
        </is>
      </c>
      <c r="B369" s="1" t="n">
        <v>44956</v>
      </c>
      <c r="C369" s="1" t="n">
        <v>45995</v>
      </c>
      <c r="D369" t="inlineStr">
        <is>
          <t>STOCKHOLMS LÄN</t>
        </is>
      </c>
      <c r="E369" t="inlineStr">
        <is>
          <t>NORRTÄLJE</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65499-2021</t>
        </is>
      </c>
      <c r="B370" s="1" t="n">
        <v>44516</v>
      </c>
      <c r="C370" s="1" t="n">
        <v>45995</v>
      </c>
      <c r="D370" t="inlineStr">
        <is>
          <t>STOCKHOLMS LÄN</t>
        </is>
      </c>
      <c r="E370" t="inlineStr">
        <is>
          <t>NORRTÄLJE</t>
        </is>
      </c>
      <c r="F370" t="inlineStr">
        <is>
          <t>Kommuner</t>
        </is>
      </c>
      <c r="G370" t="n">
        <v>5.2</v>
      </c>
      <c r="H370" t="n">
        <v>0</v>
      </c>
      <c r="I370" t="n">
        <v>0</v>
      </c>
      <c r="J370" t="n">
        <v>0</v>
      </c>
      <c r="K370" t="n">
        <v>0</v>
      </c>
      <c r="L370" t="n">
        <v>0</v>
      </c>
      <c r="M370" t="n">
        <v>0</v>
      </c>
      <c r="N370" t="n">
        <v>0</v>
      </c>
      <c r="O370" t="n">
        <v>0</v>
      </c>
      <c r="P370" t="n">
        <v>0</v>
      </c>
      <c r="Q370" t="n">
        <v>0</v>
      </c>
      <c r="R370" s="2" t="inlineStr"/>
    </row>
    <row r="371" ht="15" customHeight="1">
      <c r="A371" t="inlineStr">
        <is>
          <t>A 8736-2024</t>
        </is>
      </c>
      <c r="B371" s="1" t="n">
        <v>45356.4722800926</v>
      </c>
      <c r="C371" s="1" t="n">
        <v>45995</v>
      </c>
      <c r="D371" t="inlineStr">
        <is>
          <t>STOCKHOLMS LÄN</t>
        </is>
      </c>
      <c r="E371" t="inlineStr">
        <is>
          <t>NORRTÄLJE</t>
        </is>
      </c>
      <c r="G371" t="n">
        <v>8.9</v>
      </c>
      <c r="H371" t="n">
        <v>0</v>
      </c>
      <c r="I371" t="n">
        <v>0</v>
      </c>
      <c r="J371" t="n">
        <v>0</v>
      </c>
      <c r="K371" t="n">
        <v>0</v>
      </c>
      <c r="L371" t="n">
        <v>0</v>
      </c>
      <c r="M371" t="n">
        <v>0</v>
      </c>
      <c r="N371" t="n">
        <v>0</v>
      </c>
      <c r="O371" t="n">
        <v>0</v>
      </c>
      <c r="P371" t="n">
        <v>0</v>
      </c>
      <c r="Q371" t="n">
        <v>0</v>
      </c>
      <c r="R371" s="2" t="inlineStr"/>
    </row>
    <row r="372" ht="15" customHeight="1">
      <c r="A372" t="inlineStr">
        <is>
          <t>A 31936-2022</t>
        </is>
      </c>
      <c r="B372" s="1" t="n">
        <v>44777</v>
      </c>
      <c r="C372" s="1" t="n">
        <v>45995</v>
      </c>
      <c r="D372" t="inlineStr">
        <is>
          <t>STOCKHOLMS LÄN</t>
        </is>
      </c>
      <c r="E372" t="inlineStr">
        <is>
          <t>NORRTÄLJE</t>
        </is>
      </c>
      <c r="G372" t="n">
        <v>5.2</v>
      </c>
      <c r="H372" t="n">
        <v>0</v>
      </c>
      <c r="I372" t="n">
        <v>0</v>
      </c>
      <c r="J372" t="n">
        <v>0</v>
      </c>
      <c r="K372" t="n">
        <v>0</v>
      </c>
      <c r="L372" t="n">
        <v>0</v>
      </c>
      <c r="M372" t="n">
        <v>0</v>
      </c>
      <c r="N372" t="n">
        <v>0</v>
      </c>
      <c r="O372" t="n">
        <v>0</v>
      </c>
      <c r="P372" t="n">
        <v>0</v>
      </c>
      <c r="Q372" t="n">
        <v>0</v>
      </c>
      <c r="R372" s="2" t="inlineStr"/>
    </row>
    <row r="373" ht="15" customHeight="1">
      <c r="A373" t="inlineStr">
        <is>
          <t>A 15552-2021</t>
        </is>
      </c>
      <c r="B373" s="1" t="n">
        <v>44285</v>
      </c>
      <c r="C373" s="1" t="n">
        <v>45995</v>
      </c>
      <c r="D373" t="inlineStr">
        <is>
          <t>STOCKHOLMS LÄN</t>
        </is>
      </c>
      <c r="E373" t="inlineStr">
        <is>
          <t>NORRTÄLJE</t>
        </is>
      </c>
      <c r="G373" t="n">
        <v>10</v>
      </c>
      <c r="H373" t="n">
        <v>0</v>
      </c>
      <c r="I373" t="n">
        <v>0</v>
      </c>
      <c r="J373" t="n">
        <v>0</v>
      </c>
      <c r="K373" t="n">
        <v>0</v>
      </c>
      <c r="L373" t="n">
        <v>0</v>
      </c>
      <c r="M373" t="n">
        <v>0</v>
      </c>
      <c r="N373" t="n">
        <v>0</v>
      </c>
      <c r="O373" t="n">
        <v>0</v>
      </c>
      <c r="P373" t="n">
        <v>0</v>
      </c>
      <c r="Q373" t="n">
        <v>0</v>
      </c>
      <c r="R373" s="2" t="inlineStr"/>
    </row>
    <row r="374" ht="15" customHeight="1">
      <c r="A374" t="inlineStr">
        <is>
          <t>A 24887-2023</t>
        </is>
      </c>
      <c r="B374" s="1" t="n">
        <v>45085</v>
      </c>
      <c r="C374" s="1" t="n">
        <v>45995</v>
      </c>
      <c r="D374" t="inlineStr">
        <is>
          <t>STOCKHOLMS LÄN</t>
        </is>
      </c>
      <c r="E374" t="inlineStr">
        <is>
          <t>NORRTÄLJE</t>
        </is>
      </c>
      <c r="G374" t="n">
        <v>13.9</v>
      </c>
      <c r="H374" t="n">
        <v>0</v>
      </c>
      <c r="I374" t="n">
        <v>0</v>
      </c>
      <c r="J374" t="n">
        <v>0</v>
      </c>
      <c r="K374" t="n">
        <v>0</v>
      </c>
      <c r="L374" t="n">
        <v>0</v>
      </c>
      <c r="M374" t="n">
        <v>0</v>
      </c>
      <c r="N374" t="n">
        <v>0</v>
      </c>
      <c r="O374" t="n">
        <v>0</v>
      </c>
      <c r="P374" t="n">
        <v>0</v>
      </c>
      <c r="Q374" t="n">
        <v>0</v>
      </c>
      <c r="R374" s="2" t="inlineStr"/>
    </row>
    <row r="375" ht="15" customHeight="1">
      <c r="A375" t="inlineStr">
        <is>
          <t>A 56428-2023</t>
        </is>
      </c>
      <c r="B375" s="1" t="n">
        <v>45243.45289351852</v>
      </c>
      <c r="C375" s="1" t="n">
        <v>45995</v>
      </c>
      <c r="D375" t="inlineStr">
        <is>
          <t>STOCKHOLMS LÄN</t>
        </is>
      </c>
      <c r="E375" t="inlineStr">
        <is>
          <t>NORRTÄLJE</t>
        </is>
      </c>
      <c r="F375" t="inlineStr">
        <is>
          <t>Kyrkan</t>
        </is>
      </c>
      <c r="G375" t="n">
        <v>1.3</v>
      </c>
      <c r="H375" t="n">
        <v>0</v>
      </c>
      <c r="I375" t="n">
        <v>0</v>
      </c>
      <c r="J375" t="n">
        <v>0</v>
      </c>
      <c r="K375" t="n">
        <v>0</v>
      </c>
      <c r="L375" t="n">
        <v>0</v>
      </c>
      <c r="M375" t="n">
        <v>0</v>
      </c>
      <c r="N375" t="n">
        <v>0</v>
      </c>
      <c r="O375" t="n">
        <v>0</v>
      </c>
      <c r="P375" t="n">
        <v>0</v>
      </c>
      <c r="Q375" t="n">
        <v>0</v>
      </c>
      <c r="R375" s="2" t="inlineStr"/>
    </row>
    <row r="376" ht="15" customHeight="1">
      <c r="A376" t="inlineStr">
        <is>
          <t>A 24727-2023</t>
        </is>
      </c>
      <c r="B376" s="1" t="n">
        <v>45084.57695601852</v>
      </c>
      <c r="C376" s="1" t="n">
        <v>45995</v>
      </c>
      <c r="D376" t="inlineStr">
        <is>
          <t>STOCKHOLMS LÄN</t>
        </is>
      </c>
      <c r="E376" t="inlineStr">
        <is>
          <t>NORRTÄLJE</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45255-2022</t>
        </is>
      </c>
      <c r="B377" s="1" t="n">
        <v>44840</v>
      </c>
      <c r="C377" s="1" t="n">
        <v>45995</v>
      </c>
      <c r="D377" t="inlineStr">
        <is>
          <t>STOCKHOLMS LÄN</t>
        </is>
      </c>
      <c r="E377" t="inlineStr">
        <is>
          <t>NORRTÄLJE</t>
        </is>
      </c>
      <c r="G377" t="n">
        <v>4.1</v>
      </c>
      <c r="H377" t="n">
        <v>0</v>
      </c>
      <c r="I377" t="n">
        <v>0</v>
      </c>
      <c r="J377" t="n">
        <v>0</v>
      </c>
      <c r="K377" t="n">
        <v>0</v>
      </c>
      <c r="L377" t="n">
        <v>0</v>
      </c>
      <c r="M377" t="n">
        <v>0</v>
      </c>
      <c r="N377" t="n">
        <v>0</v>
      </c>
      <c r="O377" t="n">
        <v>0</v>
      </c>
      <c r="P377" t="n">
        <v>0</v>
      </c>
      <c r="Q377" t="n">
        <v>0</v>
      </c>
      <c r="R377" s="2" t="inlineStr"/>
    </row>
    <row r="378" ht="15" customHeight="1">
      <c r="A378" t="inlineStr">
        <is>
          <t>A 19915-2024</t>
        </is>
      </c>
      <c r="B378" s="1" t="n">
        <v>45433.58431712963</v>
      </c>
      <c r="C378" s="1" t="n">
        <v>45995</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30338-2022</t>
        </is>
      </c>
      <c r="B379" s="1" t="n">
        <v>44760</v>
      </c>
      <c r="C379" s="1" t="n">
        <v>45995</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12629-2024</t>
        </is>
      </c>
      <c r="B380" s="1" t="n">
        <v>45383</v>
      </c>
      <c r="C380" s="1" t="n">
        <v>45995</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18541-2023</t>
        </is>
      </c>
      <c r="B381" s="1" t="n">
        <v>45042.74291666667</v>
      </c>
      <c r="C381" s="1" t="n">
        <v>45995</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20428-2024</t>
        </is>
      </c>
      <c r="B382" s="1" t="n">
        <v>45435</v>
      </c>
      <c r="C382" s="1" t="n">
        <v>45995</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32857-2021</t>
        </is>
      </c>
      <c r="B383" s="1" t="n">
        <v>44375</v>
      </c>
      <c r="C383" s="1" t="n">
        <v>45995</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51325-2023</t>
        </is>
      </c>
      <c r="B384" s="1" t="n">
        <v>45219</v>
      </c>
      <c r="C384" s="1" t="n">
        <v>45995</v>
      </c>
      <c r="D384" t="inlineStr">
        <is>
          <t>STOCKHOLMS LÄN</t>
        </is>
      </c>
      <c r="E384" t="inlineStr">
        <is>
          <t>NORRTÄLJE</t>
        </is>
      </c>
      <c r="G384" t="n">
        <v>2.2</v>
      </c>
      <c r="H384" t="n">
        <v>0</v>
      </c>
      <c r="I384" t="n">
        <v>0</v>
      </c>
      <c r="J384" t="n">
        <v>0</v>
      </c>
      <c r="K384" t="n">
        <v>0</v>
      </c>
      <c r="L384" t="n">
        <v>0</v>
      </c>
      <c r="M384" t="n">
        <v>0</v>
      </c>
      <c r="N384" t="n">
        <v>0</v>
      </c>
      <c r="O384" t="n">
        <v>0</v>
      </c>
      <c r="P384" t="n">
        <v>0</v>
      </c>
      <c r="Q384" t="n">
        <v>0</v>
      </c>
      <c r="R384" s="2" t="inlineStr"/>
    </row>
    <row r="385" ht="15" customHeight="1">
      <c r="A385" t="inlineStr">
        <is>
          <t>A 57037-2022</t>
        </is>
      </c>
      <c r="B385" s="1" t="n">
        <v>44895</v>
      </c>
      <c r="C385" s="1" t="n">
        <v>45995</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21729-2024</t>
        </is>
      </c>
      <c r="B386" s="1" t="n">
        <v>45442</v>
      </c>
      <c r="C386" s="1" t="n">
        <v>45995</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14762-2024</t>
        </is>
      </c>
      <c r="B387" s="1" t="n">
        <v>45397</v>
      </c>
      <c r="C387" s="1" t="n">
        <v>45995</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59904-2023</t>
        </is>
      </c>
      <c r="B388" s="1" t="n">
        <v>45257</v>
      </c>
      <c r="C388" s="1" t="n">
        <v>45995</v>
      </c>
      <c r="D388" t="inlineStr">
        <is>
          <t>STOCKHOLMS LÄN</t>
        </is>
      </c>
      <c r="E388" t="inlineStr">
        <is>
          <t>NORRTÄLJE</t>
        </is>
      </c>
      <c r="G388" t="n">
        <v>17.4</v>
      </c>
      <c r="H388" t="n">
        <v>0</v>
      </c>
      <c r="I388" t="n">
        <v>0</v>
      </c>
      <c r="J388" t="n">
        <v>0</v>
      </c>
      <c r="K388" t="n">
        <v>0</v>
      </c>
      <c r="L388" t="n">
        <v>0</v>
      </c>
      <c r="M388" t="n">
        <v>0</v>
      </c>
      <c r="N388" t="n">
        <v>0</v>
      </c>
      <c r="O388" t="n">
        <v>0</v>
      </c>
      <c r="P388" t="n">
        <v>0</v>
      </c>
      <c r="Q388" t="n">
        <v>0</v>
      </c>
      <c r="R388" s="2" t="inlineStr"/>
    </row>
    <row r="389" ht="15" customHeight="1">
      <c r="A389" t="inlineStr">
        <is>
          <t>A 36308-2022</t>
        </is>
      </c>
      <c r="B389" s="1" t="n">
        <v>44803</v>
      </c>
      <c r="C389" s="1" t="n">
        <v>45995</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21894-2023</t>
        </is>
      </c>
      <c r="B390" s="1" t="n">
        <v>45068.51783564815</v>
      </c>
      <c r="C390" s="1" t="n">
        <v>45995</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39149-2025</t>
        </is>
      </c>
      <c r="B391" s="1" t="n">
        <v>45888.60714120371</v>
      </c>
      <c r="C391" s="1" t="n">
        <v>45995</v>
      </c>
      <c r="D391" t="inlineStr">
        <is>
          <t>STOCKHOLMS LÄN</t>
        </is>
      </c>
      <c r="E391" t="inlineStr">
        <is>
          <t>NORRTÄLJE</t>
        </is>
      </c>
      <c r="G391" t="n">
        <v>3.5</v>
      </c>
      <c r="H391" t="n">
        <v>0</v>
      </c>
      <c r="I391" t="n">
        <v>0</v>
      </c>
      <c r="J391" t="n">
        <v>0</v>
      </c>
      <c r="K391" t="n">
        <v>0</v>
      </c>
      <c r="L391" t="n">
        <v>0</v>
      </c>
      <c r="M391" t="n">
        <v>0</v>
      </c>
      <c r="N391" t="n">
        <v>0</v>
      </c>
      <c r="O391" t="n">
        <v>0</v>
      </c>
      <c r="P391" t="n">
        <v>0</v>
      </c>
      <c r="Q391" t="n">
        <v>0</v>
      </c>
      <c r="R391" s="2" t="inlineStr"/>
    </row>
    <row r="392" ht="15" customHeight="1">
      <c r="A392" t="inlineStr">
        <is>
          <t>A 38720-2025</t>
        </is>
      </c>
      <c r="B392" s="1" t="n">
        <v>45886</v>
      </c>
      <c r="C392" s="1" t="n">
        <v>45995</v>
      </c>
      <c r="D392" t="inlineStr">
        <is>
          <t>STOCKHOLMS LÄN</t>
        </is>
      </c>
      <c r="E392" t="inlineStr">
        <is>
          <t>NORRTÄLJE</t>
        </is>
      </c>
      <c r="G392" t="n">
        <v>1.6</v>
      </c>
      <c r="H392" t="n">
        <v>0</v>
      </c>
      <c r="I392" t="n">
        <v>0</v>
      </c>
      <c r="J392" t="n">
        <v>0</v>
      </c>
      <c r="K392" t="n">
        <v>0</v>
      </c>
      <c r="L392" t="n">
        <v>0</v>
      </c>
      <c r="M392" t="n">
        <v>0</v>
      </c>
      <c r="N392" t="n">
        <v>0</v>
      </c>
      <c r="O392" t="n">
        <v>0</v>
      </c>
      <c r="P392" t="n">
        <v>0</v>
      </c>
      <c r="Q392" t="n">
        <v>0</v>
      </c>
      <c r="R392" s="2" t="inlineStr"/>
    </row>
    <row r="393" ht="15" customHeight="1">
      <c r="A393" t="inlineStr">
        <is>
          <t>A 23149-2024</t>
        </is>
      </c>
      <c r="B393" s="1" t="n">
        <v>45450.64208333333</v>
      </c>
      <c r="C393" s="1" t="n">
        <v>45995</v>
      </c>
      <c r="D393" t="inlineStr">
        <is>
          <t>STOCKHOLMS LÄN</t>
        </is>
      </c>
      <c r="E393" t="inlineStr">
        <is>
          <t>NORRTÄLJE</t>
        </is>
      </c>
      <c r="F393" t="inlineStr">
        <is>
          <t>Kommuner</t>
        </is>
      </c>
      <c r="G393" t="n">
        <v>1.3</v>
      </c>
      <c r="H393" t="n">
        <v>0</v>
      </c>
      <c r="I393" t="n">
        <v>0</v>
      </c>
      <c r="J393" t="n">
        <v>0</v>
      </c>
      <c r="K393" t="n">
        <v>0</v>
      </c>
      <c r="L393" t="n">
        <v>0</v>
      </c>
      <c r="M393" t="n">
        <v>0</v>
      </c>
      <c r="N393" t="n">
        <v>0</v>
      </c>
      <c r="O393" t="n">
        <v>0</v>
      </c>
      <c r="P393" t="n">
        <v>0</v>
      </c>
      <c r="Q393" t="n">
        <v>0</v>
      </c>
      <c r="R393" s="2" t="inlineStr"/>
    </row>
    <row r="394" ht="15" customHeight="1">
      <c r="A394" t="inlineStr">
        <is>
          <t>A 23151-2024</t>
        </is>
      </c>
      <c r="B394" s="1" t="n">
        <v>45450</v>
      </c>
      <c r="C394" s="1" t="n">
        <v>45995</v>
      </c>
      <c r="D394" t="inlineStr">
        <is>
          <t>STOCKHOLMS LÄN</t>
        </is>
      </c>
      <c r="E394" t="inlineStr">
        <is>
          <t>NORRTÄLJE</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16913-2025</t>
        </is>
      </c>
      <c r="B395" s="1" t="n">
        <v>45755.36583333334</v>
      </c>
      <c r="C395" s="1" t="n">
        <v>45995</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51978-2023</t>
        </is>
      </c>
      <c r="B396" s="1" t="n">
        <v>45223</v>
      </c>
      <c r="C396" s="1" t="n">
        <v>45995</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13051-2021</t>
        </is>
      </c>
      <c r="B397" s="1" t="n">
        <v>44272</v>
      </c>
      <c r="C397" s="1" t="n">
        <v>45995</v>
      </c>
      <c r="D397" t="inlineStr">
        <is>
          <t>STOCKHOLMS LÄN</t>
        </is>
      </c>
      <c r="E397" t="inlineStr">
        <is>
          <t>NORRTÄLJE</t>
        </is>
      </c>
      <c r="G397" t="n">
        <v>9.1</v>
      </c>
      <c r="H397" t="n">
        <v>0</v>
      </c>
      <c r="I397" t="n">
        <v>0</v>
      </c>
      <c r="J397" t="n">
        <v>0</v>
      </c>
      <c r="K397" t="n">
        <v>0</v>
      </c>
      <c r="L397" t="n">
        <v>0</v>
      </c>
      <c r="M397" t="n">
        <v>0</v>
      </c>
      <c r="N397" t="n">
        <v>0</v>
      </c>
      <c r="O397" t="n">
        <v>0</v>
      </c>
      <c r="P397" t="n">
        <v>0</v>
      </c>
      <c r="Q397" t="n">
        <v>0</v>
      </c>
      <c r="R397" s="2" t="inlineStr"/>
    </row>
    <row r="398" ht="15" customHeight="1">
      <c r="A398" t="inlineStr">
        <is>
          <t>A 55755-2023</t>
        </is>
      </c>
      <c r="B398" s="1" t="n">
        <v>45239</v>
      </c>
      <c r="C398" s="1" t="n">
        <v>45995</v>
      </c>
      <c r="D398" t="inlineStr">
        <is>
          <t>STOCKHOLMS LÄN</t>
        </is>
      </c>
      <c r="E398" t="inlineStr">
        <is>
          <t>NORRTÄLJE</t>
        </is>
      </c>
      <c r="G398" t="n">
        <v>0.6</v>
      </c>
      <c r="H398" t="n">
        <v>0</v>
      </c>
      <c r="I398" t="n">
        <v>0</v>
      </c>
      <c r="J398" t="n">
        <v>0</v>
      </c>
      <c r="K398" t="n">
        <v>0</v>
      </c>
      <c r="L398" t="n">
        <v>0</v>
      </c>
      <c r="M398" t="n">
        <v>0</v>
      </c>
      <c r="N398" t="n">
        <v>0</v>
      </c>
      <c r="O398" t="n">
        <v>0</v>
      </c>
      <c r="P398" t="n">
        <v>0</v>
      </c>
      <c r="Q398" t="n">
        <v>0</v>
      </c>
      <c r="R398" s="2" t="inlineStr"/>
    </row>
    <row r="399" ht="15" customHeight="1">
      <c r="A399" t="inlineStr">
        <is>
          <t>A 21732-2023</t>
        </is>
      </c>
      <c r="B399" s="1" t="n">
        <v>45063</v>
      </c>
      <c r="C399" s="1" t="n">
        <v>45995</v>
      </c>
      <c r="D399" t="inlineStr">
        <is>
          <t>STOCKHOLMS LÄN</t>
        </is>
      </c>
      <c r="E399" t="inlineStr">
        <is>
          <t>NORRTÄLJE</t>
        </is>
      </c>
      <c r="G399" t="n">
        <v>1.7</v>
      </c>
      <c r="H399" t="n">
        <v>0</v>
      </c>
      <c r="I399" t="n">
        <v>0</v>
      </c>
      <c r="J399" t="n">
        <v>0</v>
      </c>
      <c r="K399" t="n">
        <v>0</v>
      </c>
      <c r="L399" t="n">
        <v>0</v>
      </c>
      <c r="M399" t="n">
        <v>0</v>
      </c>
      <c r="N399" t="n">
        <v>0</v>
      </c>
      <c r="O399" t="n">
        <v>0</v>
      </c>
      <c r="P399" t="n">
        <v>0</v>
      </c>
      <c r="Q399" t="n">
        <v>0</v>
      </c>
      <c r="R399" s="2" t="inlineStr"/>
    </row>
    <row r="400" ht="15" customHeight="1">
      <c r="A400" t="inlineStr">
        <is>
          <t>A 39152-2025</t>
        </is>
      </c>
      <c r="B400" s="1" t="n">
        <v>45888</v>
      </c>
      <c r="C400" s="1" t="n">
        <v>45995</v>
      </c>
      <c r="D400" t="inlineStr">
        <is>
          <t>STOCKHOLMS LÄN</t>
        </is>
      </c>
      <c r="E400" t="inlineStr">
        <is>
          <t>NORRTÄLJE</t>
        </is>
      </c>
      <c r="G400" t="n">
        <v>4.6</v>
      </c>
      <c r="H400" t="n">
        <v>0</v>
      </c>
      <c r="I400" t="n">
        <v>0</v>
      </c>
      <c r="J400" t="n">
        <v>0</v>
      </c>
      <c r="K400" t="n">
        <v>0</v>
      </c>
      <c r="L400" t="n">
        <v>0</v>
      </c>
      <c r="M400" t="n">
        <v>0</v>
      </c>
      <c r="N400" t="n">
        <v>0</v>
      </c>
      <c r="O400" t="n">
        <v>0</v>
      </c>
      <c r="P400" t="n">
        <v>0</v>
      </c>
      <c r="Q400" t="n">
        <v>0</v>
      </c>
      <c r="R400" s="2" t="inlineStr"/>
    </row>
    <row r="401" ht="15" customHeight="1">
      <c r="A401" t="inlineStr">
        <is>
          <t>A 45549-2022</t>
        </is>
      </c>
      <c r="B401" s="1" t="n">
        <v>44845.48064814815</v>
      </c>
      <c r="C401" s="1" t="n">
        <v>45995</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40761-2024</t>
        </is>
      </c>
      <c r="B402" s="1" t="n">
        <v>45558.46283564815</v>
      </c>
      <c r="C402" s="1" t="n">
        <v>45995</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23692-2024</t>
        </is>
      </c>
      <c r="B403" s="1" t="n">
        <v>45454.65774305556</v>
      </c>
      <c r="C403" s="1" t="n">
        <v>45995</v>
      </c>
      <c r="D403" t="inlineStr">
        <is>
          <t>STOCKHOLMS LÄN</t>
        </is>
      </c>
      <c r="E403" t="inlineStr">
        <is>
          <t>NORRTÄLJE</t>
        </is>
      </c>
      <c r="G403" t="n">
        <v>3.7</v>
      </c>
      <c r="H403" t="n">
        <v>0</v>
      </c>
      <c r="I403" t="n">
        <v>0</v>
      </c>
      <c r="J403" t="n">
        <v>0</v>
      </c>
      <c r="K403" t="n">
        <v>0</v>
      </c>
      <c r="L403" t="n">
        <v>0</v>
      </c>
      <c r="M403" t="n">
        <v>0</v>
      </c>
      <c r="N403" t="n">
        <v>0</v>
      </c>
      <c r="O403" t="n">
        <v>0</v>
      </c>
      <c r="P403" t="n">
        <v>0</v>
      </c>
      <c r="Q403" t="n">
        <v>0</v>
      </c>
      <c r="R403" s="2" t="inlineStr"/>
    </row>
    <row r="404" ht="15" customHeight="1">
      <c r="A404" t="inlineStr">
        <is>
          <t>A 7806-2025</t>
        </is>
      </c>
      <c r="B404" s="1" t="n">
        <v>45706.61178240741</v>
      </c>
      <c r="C404" s="1" t="n">
        <v>45995</v>
      </c>
      <c r="D404" t="inlineStr">
        <is>
          <t>STOCKHOLMS LÄN</t>
        </is>
      </c>
      <c r="E404" t="inlineStr">
        <is>
          <t>NORRTÄLJE</t>
        </is>
      </c>
      <c r="F404" t="inlineStr">
        <is>
          <t>Holmen skog AB</t>
        </is>
      </c>
      <c r="G404" t="n">
        <v>3.5</v>
      </c>
      <c r="H404" t="n">
        <v>0</v>
      </c>
      <c r="I404" t="n">
        <v>0</v>
      </c>
      <c r="J404" t="n">
        <v>0</v>
      </c>
      <c r="K404" t="n">
        <v>0</v>
      </c>
      <c r="L404" t="n">
        <v>0</v>
      </c>
      <c r="M404" t="n">
        <v>0</v>
      </c>
      <c r="N404" t="n">
        <v>0</v>
      </c>
      <c r="O404" t="n">
        <v>0</v>
      </c>
      <c r="P404" t="n">
        <v>0</v>
      </c>
      <c r="Q404" t="n">
        <v>0</v>
      </c>
      <c r="R404" s="2" t="inlineStr"/>
    </row>
    <row r="405" ht="15" customHeight="1">
      <c r="A405" t="inlineStr">
        <is>
          <t>A 37444-2021</t>
        </is>
      </c>
      <c r="B405" s="1" t="n">
        <v>44398</v>
      </c>
      <c r="C405" s="1" t="n">
        <v>45995</v>
      </c>
      <c r="D405" t="inlineStr">
        <is>
          <t>STOCKHOLMS LÄN</t>
        </is>
      </c>
      <c r="E405" t="inlineStr">
        <is>
          <t>NORRTÄLJE</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37550-2022</t>
        </is>
      </c>
      <c r="B406" s="1" t="n">
        <v>44809</v>
      </c>
      <c r="C406" s="1" t="n">
        <v>45995</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47431-2023</t>
        </is>
      </c>
      <c r="B407" s="1" t="n">
        <v>45202</v>
      </c>
      <c r="C407" s="1" t="n">
        <v>45995</v>
      </c>
      <c r="D407" t="inlineStr">
        <is>
          <t>STOCKHOLMS LÄN</t>
        </is>
      </c>
      <c r="E407" t="inlineStr">
        <is>
          <t>NORRTÄLJE</t>
        </is>
      </c>
      <c r="F407" t="inlineStr">
        <is>
          <t>Naturvårdsverket</t>
        </is>
      </c>
      <c r="G407" t="n">
        <v>1.2</v>
      </c>
      <c r="H407" t="n">
        <v>0</v>
      </c>
      <c r="I407" t="n">
        <v>0</v>
      </c>
      <c r="J407" t="n">
        <v>0</v>
      </c>
      <c r="K407" t="n">
        <v>0</v>
      </c>
      <c r="L407" t="n">
        <v>0</v>
      </c>
      <c r="M407" t="n">
        <v>0</v>
      </c>
      <c r="N407" t="n">
        <v>0</v>
      </c>
      <c r="O407" t="n">
        <v>0</v>
      </c>
      <c r="P407" t="n">
        <v>0</v>
      </c>
      <c r="Q407" t="n">
        <v>0</v>
      </c>
      <c r="R407" s="2" t="inlineStr"/>
    </row>
    <row r="408" ht="15" customHeight="1">
      <c r="A408" t="inlineStr">
        <is>
          <t>A 23262-2023</t>
        </is>
      </c>
      <c r="B408" s="1" t="n">
        <v>45075.90270833333</v>
      </c>
      <c r="C408" s="1" t="n">
        <v>45995</v>
      </c>
      <c r="D408" t="inlineStr">
        <is>
          <t>STOCKHOLMS LÄN</t>
        </is>
      </c>
      <c r="E408" t="inlineStr">
        <is>
          <t>NORRTÄLJE</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23268-2023</t>
        </is>
      </c>
      <c r="B409" s="1" t="n">
        <v>45075.91042824074</v>
      </c>
      <c r="C409" s="1" t="n">
        <v>45995</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23270-2023</t>
        </is>
      </c>
      <c r="B410" s="1" t="n">
        <v>45075.91265046296</v>
      </c>
      <c r="C410" s="1" t="n">
        <v>45995</v>
      </c>
      <c r="D410" t="inlineStr">
        <is>
          <t>STOCKHOLMS LÄN</t>
        </is>
      </c>
      <c r="E410" t="inlineStr">
        <is>
          <t>NORRTÄLJE</t>
        </is>
      </c>
      <c r="G410" t="n">
        <v>12.3</v>
      </c>
      <c r="H410" t="n">
        <v>0</v>
      </c>
      <c r="I410" t="n">
        <v>0</v>
      </c>
      <c r="J410" t="n">
        <v>0</v>
      </c>
      <c r="K410" t="n">
        <v>0</v>
      </c>
      <c r="L410" t="n">
        <v>0</v>
      </c>
      <c r="M410" t="n">
        <v>0</v>
      </c>
      <c r="N410" t="n">
        <v>0</v>
      </c>
      <c r="O410" t="n">
        <v>0</v>
      </c>
      <c r="P410" t="n">
        <v>0</v>
      </c>
      <c r="Q410" t="n">
        <v>0</v>
      </c>
      <c r="R410" s="2" t="inlineStr"/>
    </row>
    <row r="411" ht="15" customHeight="1">
      <c r="A411" t="inlineStr">
        <is>
          <t>A 23274-2023</t>
        </is>
      </c>
      <c r="B411" s="1" t="n">
        <v>45075.92153935185</v>
      </c>
      <c r="C411" s="1" t="n">
        <v>45995</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39692-2025</t>
        </is>
      </c>
      <c r="B412" s="1" t="n">
        <v>45890.68083333333</v>
      </c>
      <c r="C412" s="1" t="n">
        <v>45995</v>
      </c>
      <c r="D412" t="inlineStr">
        <is>
          <t>STOCKHOLMS LÄN</t>
        </is>
      </c>
      <c r="E412" t="inlineStr">
        <is>
          <t>NORRTÄLJE</t>
        </is>
      </c>
      <c r="G412" t="n">
        <v>10.5</v>
      </c>
      <c r="H412" t="n">
        <v>0</v>
      </c>
      <c r="I412" t="n">
        <v>0</v>
      </c>
      <c r="J412" t="n">
        <v>0</v>
      </c>
      <c r="K412" t="n">
        <v>0</v>
      </c>
      <c r="L412" t="n">
        <v>0</v>
      </c>
      <c r="M412" t="n">
        <v>0</v>
      </c>
      <c r="N412" t="n">
        <v>0</v>
      </c>
      <c r="O412" t="n">
        <v>0</v>
      </c>
      <c r="P412" t="n">
        <v>0</v>
      </c>
      <c r="Q412" t="n">
        <v>0</v>
      </c>
      <c r="R412" s="2" t="inlineStr"/>
    </row>
    <row r="413" ht="15" customHeight="1">
      <c r="A413" t="inlineStr">
        <is>
          <t>A 5732-2023</t>
        </is>
      </c>
      <c r="B413" s="1" t="n">
        <v>44962</v>
      </c>
      <c r="C413" s="1" t="n">
        <v>45995</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45173-2023</t>
        </is>
      </c>
      <c r="B414" s="1" t="n">
        <v>45191</v>
      </c>
      <c r="C414" s="1" t="n">
        <v>45995</v>
      </c>
      <c r="D414" t="inlineStr">
        <is>
          <t>STOCKHOLMS LÄN</t>
        </is>
      </c>
      <c r="E414" t="inlineStr">
        <is>
          <t>NORRTÄLJE</t>
        </is>
      </c>
      <c r="F414" t="inlineStr">
        <is>
          <t>Sveaskog</t>
        </is>
      </c>
      <c r="G414" t="n">
        <v>3.6</v>
      </c>
      <c r="H414" t="n">
        <v>0</v>
      </c>
      <c r="I414" t="n">
        <v>0</v>
      </c>
      <c r="J414" t="n">
        <v>0</v>
      </c>
      <c r="K414" t="n">
        <v>0</v>
      </c>
      <c r="L414" t="n">
        <v>0</v>
      </c>
      <c r="M414" t="n">
        <v>0</v>
      </c>
      <c r="N414" t="n">
        <v>0</v>
      </c>
      <c r="O414" t="n">
        <v>0</v>
      </c>
      <c r="P414" t="n">
        <v>0</v>
      </c>
      <c r="Q414" t="n">
        <v>0</v>
      </c>
      <c r="R414" s="2" t="inlineStr"/>
    </row>
    <row r="415" ht="15" customHeight="1">
      <c r="A415" t="inlineStr">
        <is>
          <t>A 25609-2023</t>
        </is>
      </c>
      <c r="B415" s="1" t="n">
        <v>45089</v>
      </c>
      <c r="C415" s="1" t="n">
        <v>45995</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33569-2023</t>
        </is>
      </c>
      <c r="B416" s="1" t="n">
        <v>45131.666875</v>
      </c>
      <c r="C416" s="1" t="n">
        <v>45995</v>
      </c>
      <c r="D416" t="inlineStr">
        <is>
          <t>STOCKHOLMS LÄN</t>
        </is>
      </c>
      <c r="E416" t="inlineStr">
        <is>
          <t>NORRTÄLJE</t>
        </is>
      </c>
      <c r="G416" t="n">
        <v>2.3</v>
      </c>
      <c r="H416" t="n">
        <v>0</v>
      </c>
      <c r="I416" t="n">
        <v>0</v>
      </c>
      <c r="J416" t="n">
        <v>0</v>
      </c>
      <c r="K416" t="n">
        <v>0</v>
      </c>
      <c r="L416" t="n">
        <v>0</v>
      </c>
      <c r="M416" t="n">
        <v>0</v>
      </c>
      <c r="N416" t="n">
        <v>0</v>
      </c>
      <c r="O416" t="n">
        <v>0</v>
      </c>
      <c r="P416" t="n">
        <v>0</v>
      </c>
      <c r="Q416" t="n">
        <v>0</v>
      </c>
      <c r="R416" s="2" t="inlineStr"/>
    </row>
    <row r="417" ht="15" customHeight="1">
      <c r="A417" t="inlineStr">
        <is>
          <t>A 27677-2025</t>
        </is>
      </c>
      <c r="B417" s="1" t="n">
        <v>45813.63650462963</v>
      </c>
      <c r="C417" s="1" t="n">
        <v>45995</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50569-2022</t>
        </is>
      </c>
      <c r="B418" s="1" t="n">
        <v>44866.63775462963</v>
      </c>
      <c r="C418" s="1" t="n">
        <v>45995</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64137-2021</t>
        </is>
      </c>
      <c r="B419" s="1" t="n">
        <v>44510.51422453704</v>
      </c>
      <c r="C419" s="1" t="n">
        <v>45995</v>
      </c>
      <c r="D419" t="inlineStr">
        <is>
          <t>STOCKHOLMS LÄN</t>
        </is>
      </c>
      <c r="E419" t="inlineStr">
        <is>
          <t>NORRTÄLJE</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22833-2024</t>
        </is>
      </c>
      <c r="B420" s="1" t="n">
        <v>45448.56746527777</v>
      </c>
      <c r="C420" s="1" t="n">
        <v>45995</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38720-2022</t>
        </is>
      </c>
      <c r="B421" s="1" t="n">
        <v>44815.74539351852</v>
      </c>
      <c r="C421" s="1" t="n">
        <v>45995</v>
      </c>
      <c r="D421" t="inlineStr">
        <is>
          <t>STOCKHOLMS LÄN</t>
        </is>
      </c>
      <c r="E421" t="inlineStr">
        <is>
          <t>NORRTÄLJE</t>
        </is>
      </c>
      <c r="G421" t="n">
        <v>2.5</v>
      </c>
      <c r="H421" t="n">
        <v>0</v>
      </c>
      <c r="I421" t="n">
        <v>0</v>
      </c>
      <c r="J421" t="n">
        <v>0</v>
      </c>
      <c r="K421" t="n">
        <v>0</v>
      </c>
      <c r="L421" t="n">
        <v>0</v>
      </c>
      <c r="M421" t="n">
        <v>0</v>
      </c>
      <c r="N421" t="n">
        <v>0</v>
      </c>
      <c r="O421" t="n">
        <v>0</v>
      </c>
      <c r="P421" t="n">
        <v>0</v>
      </c>
      <c r="Q421" t="n">
        <v>0</v>
      </c>
      <c r="R421" s="2" t="inlineStr"/>
    </row>
    <row r="422" ht="15" customHeight="1">
      <c r="A422" t="inlineStr">
        <is>
          <t>A 60224-2023</t>
        </is>
      </c>
      <c r="B422" s="1" t="n">
        <v>45257</v>
      </c>
      <c r="C422" s="1" t="n">
        <v>45995</v>
      </c>
      <c r="D422" t="inlineStr">
        <is>
          <t>STOCKHOLMS LÄN</t>
        </is>
      </c>
      <c r="E422" t="inlineStr">
        <is>
          <t>NORRTÄLJE</t>
        </is>
      </c>
      <c r="G422" t="n">
        <v>8.1</v>
      </c>
      <c r="H422" t="n">
        <v>0</v>
      </c>
      <c r="I422" t="n">
        <v>0</v>
      </c>
      <c r="J422" t="n">
        <v>0</v>
      </c>
      <c r="K422" t="n">
        <v>0</v>
      </c>
      <c r="L422" t="n">
        <v>0</v>
      </c>
      <c r="M422" t="n">
        <v>0</v>
      </c>
      <c r="N422" t="n">
        <v>0</v>
      </c>
      <c r="O422" t="n">
        <v>0</v>
      </c>
      <c r="P422" t="n">
        <v>0</v>
      </c>
      <c r="Q422" t="n">
        <v>0</v>
      </c>
      <c r="R422" s="2" t="inlineStr"/>
    </row>
    <row r="423" ht="15" customHeight="1">
      <c r="A423" t="inlineStr">
        <is>
          <t>A 34432-2021</t>
        </is>
      </c>
      <c r="B423" s="1" t="n">
        <v>44380.77346064815</v>
      </c>
      <c r="C423" s="1" t="n">
        <v>45995</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17785-2024</t>
        </is>
      </c>
      <c r="B424" s="1" t="n">
        <v>45418.6968287037</v>
      </c>
      <c r="C424" s="1" t="n">
        <v>45995</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19911-2025</t>
        </is>
      </c>
      <c r="B425" s="1" t="n">
        <v>45771</v>
      </c>
      <c r="C425" s="1" t="n">
        <v>45995</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40230-2025</t>
        </is>
      </c>
      <c r="B426" s="1" t="n">
        <v>45894.71101851852</v>
      </c>
      <c r="C426" s="1" t="n">
        <v>45995</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29684-2021</t>
        </is>
      </c>
      <c r="B427" s="1" t="n">
        <v>44362.37172453704</v>
      </c>
      <c r="C427" s="1" t="n">
        <v>45995</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40228-2025</t>
        </is>
      </c>
      <c r="B428" s="1" t="n">
        <v>45894.70854166667</v>
      </c>
      <c r="C428" s="1" t="n">
        <v>45995</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35636-2025</t>
        </is>
      </c>
      <c r="B429" s="1" t="n">
        <v>45859</v>
      </c>
      <c r="C429" s="1" t="n">
        <v>45995</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21386-2023</t>
        </is>
      </c>
      <c r="B430" s="1" t="n">
        <v>45063.35880787037</v>
      </c>
      <c r="C430" s="1" t="n">
        <v>45995</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18787-2022</t>
        </is>
      </c>
      <c r="B431" s="1" t="n">
        <v>44687</v>
      </c>
      <c r="C431" s="1" t="n">
        <v>45995</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4593-2023</t>
        </is>
      </c>
      <c r="B432" s="1" t="n">
        <v>44956</v>
      </c>
      <c r="C432" s="1" t="n">
        <v>45995</v>
      </c>
      <c r="D432" t="inlineStr">
        <is>
          <t>STOCKHOLMS LÄN</t>
        </is>
      </c>
      <c r="E432" t="inlineStr">
        <is>
          <t>NORRTÄLJE</t>
        </is>
      </c>
      <c r="G432" t="n">
        <v>0.4</v>
      </c>
      <c r="H432" t="n">
        <v>0</v>
      </c>
      <c r="I432" t="n">
        <v>0</v>
      </c>
      <c r="J432" t="n">
        <v>0</v>
      </c>
      <c r="K432" t="n">
        <v>0</v>
      </c>
      <c r="L432" t="n">
        <v>0</v>
      </c>
      <c r="M432" t="n">
        <v>0</v>
      </c>
      <c r="N432" t="n">
        <v>0</v>
      </c>
      <c r="O432" t="n">
        <v>0</v>
      </c>
      <c r="P432" t="n">
        <v>0</v>
      </c>
      <c r="Q432" t="n">
        <v>0</v>
      </c>
      <c r="R432" s="2" t="inlineStr"/>
    </row>
    <row r="433" ht="15" customHeight="1">
      <c r="A433" t="inlineStr">
        <is>
          <t>A 40172-2025</t>
        </is>
      </c>
      <c r="B433" s="1" t="n">
        <v>45894.6353125</v>
      </c>
      <c r="C433" s="1" t="n">
        <v>45995</v>
      </c>
      <c r="D433" t="inlineStr">
        <is>
          <t>STOCKHOLMS LÄN</t>
        </is>
      </c>
      <c r="E433" t="inlineStr">
        <is>
          <t>NORRTÄLJE</t>
        </is>
      </c>
      <c r="G433" t="n">
        <v>6</v>
      </c>
      <c r="H433" t="n">
        <v>0</v>
      </c>
      <c r="I433" t="n">
        <v>0</v>
      </c>
      <c r="J433" t="n">
        <v>0</v>
      </c>
      <c r="K433" t="n">
        <v>0</v>
      </c>
      <c r="L433" t="n">
        <v>0</v>
      </c>
      <c r="M433" t="n">
        <v>0</v>
      </c>
      <c r="N433" t="n">
        <v>0</v>
      </c>
      <c r="O433" t="n">
        <v>0</v>
      </c>
      <c r="P433" t="n">
        <v>0</v>
      </c>
      <c r="Q433" t="n">
        <v>0</v>
      </c>
      <c r="R433" s="2" t="inlineStr"/>
    </row>
    <row r="434" ht="15" customHeight="1">
      <c r="A434" t="inlineStr">
        <is>
          <t>A 14130-2025</t>
        </is>
      </c>
      <c r="B434" s="1" t="n">
        <v>45740.47288194444</v>
      </c>
      <c r="C434" s="1" t="n">
        <v>45995</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40033-2025</t>
        </is>
      </c>
      <c r="B435" s="1" t="n">
        <v>45893</v>
      </c>
      <c r="C435" s="1" t="n">
        <v>45995</v>
      </c>
      <c r="D435" t="inlineStr">
        <is>
          <t>STOCKHOLMS LÄN</t>
        </is>
      </c>
      <c r="E435" t="inlineStr">
        <is>
          <t>NORRTÄLJE</t>
        </is>
      </c>
      <c r="G435" t="n">
        <v>1.7</v>
      </c>
      <c r="H435" t="n">
        <v>0</v>
      </c>
      <c r="I435" t="n">
        <v>0</v>
      </c>
      <c r="J435" t="n">
        <v>0</v>
      </c>
      <c r="K435" t="n">
        <v>0</v>
      </c>
      <c r="L435" t="n">
        <v>0</v>
      </c>
      <c r="M435" t="n">
        <v>0</v>
      </c>
      <c r="N435" t="n">
        <v>0</v>
      </c>
      <c r="O435" t="n">
        <v>0</v>
      </c>
      <c r="P435" t="n">
        <v>0</v>
      </c>
      <c r="Q435" t="n">
        <v>0</v>
      </c>
      <c r="R435" s="2" t="inlineStr"/>
    </row>
    <row r="436" ht="15" customHeight="1">
      <c r="A436" t="inlineStr">
        <is>
          <t>A 12532-2025</t>
        </is>
      </c>
      <c r="B436" s="1" t="n">
        <v>45730.69143518519</v>
      </c>
      <c r="C436" s="1" t="n">
        <v>45995</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54396-2021</t>
        </is>
      </c>
      <c r="B437" s="1" t="n">
        <v>44472</v>
      </c>
      <c r="C437" s="1" t="n">
        <v>45995</v>
      </c>
      <c r="D437" t="inlineStr">
        <is>
          <t>STOCKHOLMS LÄN</t>
        </is>
      </c>
      <c r="E437" t="inlineStr">
        <is>
          <t>NORRTÄLJE</t>
        </is>
      </c>
      <c r="G437" t="n">
        <v>2.6</v>
      </c>
      <c r="H437" t="n">
        <v>0</v>
      </c>
      <c r="I437" t="n">
        <v>0</v>
      </c>
      <c r="J437" t="n">
        <v>0</v>
      </c>
      <c r="K437" t="n">
        <v>0</v>
      </c>
      <c r="L437" t="n">
        <v>0</v>
      </c>
      <c r="M437" t="n">
        <v>0</v>
      </c>
      <c r="N437" t="n">
        <v>0</v>
      </c>
      <c r="O437" t="n">
        <v>0</v>
      </c>
      <c r="P437" t="n">
        <v>0</v>
      </c>
      <c r="Q437" t="n">
        <v>0</v>
      </c>
      <c r="R437" s="2" t="inlineStr"/>
    </row>
    <row r="438" ht="15" customHeight="1">
      <c r="A438" t="inlineStr">
        <is>
          <t>A 40217-2025</t>
        </is>
      </c>
      <c r="B438" s="1" t="n">
        <v>45894.68864583333</v>
      </c>
      <c r="C438" s="1" t="n">
        <v>45995</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35639-2025</t>
        </is>
      </c>
      <c r="B439" s="1" t="n">
        <v>45859</v>
      </c>
      <c r="C439" s="1" t="n">
        <v>45995</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40032-2025</t>
        </is>
      </c>
      <c r="B440" s="1" t="n">
        <v>45893</v>
      </c>
      <c r="C440" s="1" t="n">
        <v>45995</v>
      </c>
      <c r="D440" t="inlineStr">
        <is>
          <t>STOCKHOLMS LÄN</t>
        </is>
      </c>
      <c r="E440" t="inlineStr">
        <is>
          <t>NORRTÄLJE</t>
        </is>
      </c>
      <c r="G440" t="n">
        <v>2.6</v>
      </c>
      <c r="H440" t="n">
        <v>0</v>
      </c>
      <c r="I440" t="n">
        <v>0</v>
      </c>
      <c r="J440" t="n">
        <v>0</v>
      </c>
      <c r="K440" t="n">
        <v>0</v>
      </c>
      <c r="L440" t="n">
        <v>0</v>
      </c>
      <c r="M440" t="n">
        <v>0</v>
      </c>
      <c r="N440" t="n">
        <v>0</v>
      </c>
      <c r="O440" t="n">
        <v>0</v>
      </c>
      <c r="P440" t="n">
        <v>0</v>
      </c>
      <c r="Q440" t="n">
        <v>0</v>
      </c>
      <c r="R440" s="2" t="inlineStr"/>
    </row>
    <row r="441" ht="15" customHeight="1">
      <c r="A441" t="inlineStr">
        <is>
          <t>A 40097-2025</t>
        </is>
      </c>
      <c r="B441" s="1" t="n">
        <v>45894.48322916667</v>
      </c>
      <c r="C441" s="1" t="n">
        <v>45995</v>
      </c>
      <c r="D441" t="inlineStr">
        <is>
          <t>STOCKHOLMS LÄN</t>
        </is>
      </c>
      <c r="E441" t="inlineStr">
        <is>
          <t>NORRTÄLJE</t>
        </is>
      </c>
      <c r="G441" t="n">
        <v>3</v>
      </c>
      <c r="H441" t="n">
        <v>0</v>
      </c>
      <c r="I441" t="n">
        <v>0</v>
      </c>
      <c r="J441" t="n">
        <v>0</v>
      </c>
      <c r="K441" t="n">
        <v>0</v>
      </c>
      <c r="L441" t="n">
        <v>0</v>
      </c>
      <c r="M441" t="n">
        <v>0</v>
      </c>
      <c r="N441" t="n">
        <v>0</v>
      </c>
      <c r="O441" t="n">
        <v>0</v>
      </c>
      <c r="P441" t="n">
        <v>0</v>
      </c>
      <c r="Q441" t="n">
        <v>0</v>
      </c>
      <c r="R441" s="2" t="inlineStr"/>
    </row>
    <row r="442" ht="15" customHeight="1">
      <c r="A442" t="inlineStr">
        <is>
          <t>A 32071-2023</t>
        </is>
      </c>
      <c r="B442" s="1" t="n">
        <v>45119.57728009259</v>
      </c>
      <c r="C442" s="1" t="n">
        <v>45995</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25681-2024</t>
        </is>
      </c>
      <c r="B443" s="1" t="n">
        <v>45463.80486111111</v>
      </c>
      <c r="C443" s="1" t="n">
        <v>45995</v>
      </c>
      <c r="D443" t="inlineStr">
        <is>
          <t>STOCKHOLMS LÄN</t>
        </is>
      </c>
      <c r="E443" t="inlineStr">
        <is>
          <t>NORRTÄLJE</t>
        </is>
      </c>
      <c r="G443" t="n">
        <v>2.7</v>
      </c>
      <c r="H443" t="n">
        <v>0</v>
      </c>
      <c r="I443" t="n">
        <v>0</v>
      </c>
      <c r="J443" t="n">
        <v>0</v>
      </c>
      <c r="K443" t="n">
        <v>0</v>
      </c>
      <c r="L443" t="n">
        <v>0</v>
      </c>
      <c r="M443" t="n">
        <v>0</v>
      </c>
      <c r="N443" t="n">
        <v>0</v>
      </c>
      <c r="O443" t="n">
        <v>0</v>
      </c>
      <c r="P443" t="n">
        <v>0</v>
      </c>
      <c r="Q443" t="n">
        <v>0</v>
      </c>
      <c r="R443" s="2" t="inlineStr"/>
    </row>
    <row r="444" ht="15" customHeight="1">
      <c r="A444" t="inlineStr">
        <is>
          <t>A 40175-2024</t>
        </is>
      </c>
      <c r="B444" s="1" t="n">
        <v>45554.55707175926</v>
      </c>
      <c r="C444" s="1" t="n">
        <v>45995</v>
      </c>
      <c r="D444" t="inlineStr">
        <is>
          <t>STOCKHOLMS LÄN</t>
        </is>
      </c>
      <c r="E444" t="inlineStr">
        <is>
          <t>NORRTÄLJE</t>
        </is>
      </c>
      <c r="G444" t="n">
        <v>7.7</v>
      </c>
      <c r="H444" t="n">
        <v>0</v>
      </c>
      <c r="I444" t="n">
        <v>0</v>
      </c>
      <c r="J444" t="n">
        <v>0</v>
      </c>
      <c r="K444" t="n">
        <v>0</v>
      </c>
      <c r="L444" t="n">
        <v>0</v>
      </c>
      <c r="M444" t="n">
        <v>0</v>
      </c>
      <c r="N444" t="n">
        <v>0</v>
      </c>
      <c r="O444" t="n">
        <v>0</v>
      </c>
      <c r="P444" t="n">
        <v>0</v>
      </c>
      <c r="Q444" t="n">
        <v>0</v>
      </c>
      <c r="R444" s="2" t="inlineStr"/>
    </row>
    <row r="445" ht="15" customHeight="1">
      <c r="A445" t="inlineStr">
        <is>
          <t>A 16229-2022</t>
        </is>
      </c>
      <c r="B445" s="1" t="n">
        <v>44670.4190162037</v>
      </c>
      <c r="C445" s="1" t="n">
        <v>45995</v>
      </c>
      <c r="D445" t="inlineStr">
        <is>
          <t>STOCKHOLMS LÄN</t>
        </is>
      </c>
      <c r="E445" t="inlineStr">
        <is>
          <t>NORRTÄLJE</t>
        </is>
      </c>
      <c r="G445" t="n">
        <v>7.4</v>
      </c>
      <c r="H445" t="n">
        <v>0</v>
      </c>
      <c r="I445" t="n">
        <v>0</v>
      </c>
      <c r="J445" t="n">
        <v>0</v>
      </c>
      <c r="K445" t="n">
        <v>0</v>
      </c>
      <c r="L445" t="n">
        <v>0</v>
      </c>
      <c r="M445" t="n">
        <v>0</v>
      </c>
      <c r="N445" t="n">
        <v>0</v>
      </c>
      <c r="O445" t="n">
        <v>0</v>
      </c>
      <c r="P445" t="n">
        <v>0</v>
      </c>
      <c r="Q445" t="n">
        <v>0</v>
      </c>
      <c r="R445" s="2" t="inlineStr"/>
    </row>
    <row r="446" ht="15" customHeight="1">
      <c r="A446" t="inlineStr">
        <is>
          <t>A 24245-2024</t>
        </is>
      </c>
      <c r="B446" s="1" t="n">
        <v>45457</v>
      </c>
      <c r="C446" s="1" t="n">
        <v>45995</v>
      </c>
      <c r="D446" t="inlineStr">
        <is>
          <t>STOCKHOLMS LÄN</t>
        </is>
      </c>
      <c r="E446" t="inlineStr">
        <is>
          <t>NORRTÄLJE</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26115-2024</t>
        </is>
      </c>
      <c r="B447" s="1" t="n">
        <v>45468.45628472222</v>
      </c>
      <c r="C447" s="1" t="n">
        <v>45995</v>
      </c>
      <c r="D447" t="inlineStr">
        <is>
          <t>STOCKHOLMS LÄN</t>
        </is>
      </c>
      <c r="E447" t="inlineStr">
        <is>
          <t>NORRTÄLJE</t>
        </is>
      </c>
      <c r="G447" t="n">
        <v>0.3</v>
      </c>
      <c r="H447" t="n">
        <v>0</v>
      </c>
      <c r="I447" t="n">
        <v>0</v>
      </c>
      <c r="J447" t="n">
        <v>0</v>
      </c>
      <c r="K447" t="n">
        <v>0</v>
      </c>
      <c r="L447" t="n">
        <v>0</v>
      </c>
      <c r="M447" t="n">
        <v>0</v>
      </c>
      <c r="N447" t="n">
        <v>0</v>
      </c>
      <c r="O447" t="n">
        <v>0</v>
      </c>
      <c r="P447" t="n">
        <v>0</v>
      </c>
      <c r="Q447" t="n">
        <v>0</v>
      </c>
      <c r="R447" s="2" t="inlineStr"/>
    </row>
    <row r="448" ht="15" customHeight="1">
      <c r="A448" t="inlineStr">
        <is>
          <t>A 40529-2025</t>
        </is>
      </c>
      <c r="B448" s="1" t="n">
        <v>45896.38466435186</v>
      </c>
      <c r="C448" s="1" t="n">
        <v>45995</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46914-2022</t>
        </is>
      </c>
      <c r="B449" s="1" t="n">
        <v>44851</v>
      </c>
      <c r="C449" s="1" t="n">
        <v>45995</v>
      </c>
      <c r="D449" t="inlineStr">
        <is>
          <t>STOCKHOLMS LÄN</t>
        </is>
      </c>
      <c r="E449" t="inlineStr">
        <is>
          <t>NORRTÄLJE</t>
        </is>
      </c>
      <c r="G449" t="n">
        <v>2.4</v>
      </c>
      <c r="H449" t="n">
        <v>0</v>
      </c>
      <c r="I449" t="n">
        <v>0</v>
      </c>
      <c r="J449" t="n">
        <v>0</v>
      </c>
      <c r="K449" t="n">
        <v>0</v>
      </c>
      <c r="L449" t="n">
        <v>0</v>
      </c>
      <c r="M449" t="n">
        <v>0</v>
      </c>
      <c r="N449" t="n">
        <v>0</v>
      </c>
      <c r="O449" t="n">
        <v>0</v>
      </c>
      <c r="P449" t="n">
        <v>0</v>
      </c>
      <c r="Q449" t="n">
        <v>0</v>
      </c>
      <c r="R449" s="2" t="inlineStr"/>
    </row>
    <row r="450" ht="15" customHeight="1">
      <c r="A450" t="inlineStr">
        <is>
          <t>A 50108-2021</t>
        </is>
      </c>
      <c r="B450" s="1" t="n">
        <v>44456</v>
      </c>
      <c r="C450" s="1" t="n">
        <v>45995</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45995</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45995</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20244-2025</t>
        </is>
      </c>
      <c r="B453" s="1" t="n">
        <v>45772.71221064815</v>
      </c>
      <c r="C453" s="1" t="n">
        <v>45995</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50143-2023</t>
        </is>
      </c>
      <c r="B454" s="1" t="n">
        <v>45215</v>
      </c>
      <c r="C454" s="1" t="n">
        <v>45995</v>
      </c>
      <c r="D454" t="inlineStr">
        <is>
          <t>STOCKHOLMS LÄN</t>
        </is>
      </c>
      <c r="E454" t="inlineStr">
        <is>
          <t>NORRTÄLJE</t>
        </is>
      </c>
      <c r="G454" t="n">
        <v>10.3</v>
      </c>
      <c r="H454" t="n">
        <v>0</v>
      </c>
      <c r="I454" t="n">
        <v>0</v>
      </c>
      <c r="J454" t="n">
        <v>0</v>
      </c>
      <c r="K454" t="n">
        <v>0</v>
      </c>
      <c r="L454" t="n">
        <v>0</v>
      </c>
      <c r="M454" t="n">
        <v>0</v>
      </c>
      <c r="N454" t="n">
        <v>0</v>
      </c>
      <c r="O454" t="n">
        <v>0</v>
      </c>
      <c r="P454" t="n">
        <v>0</v>
      </c>
      <c r="Q454" t="n">
        <v>0</v>
      </c>
      <c r="R454" s="2" t="inlineStr"/>
    </row>
    <row r="455" ht="15" customHeight="1">
      <c r="A455" t="inlineStr">
        <is>
          <t>A 41275-2025</t>
        </is>
      </c>
      <c r="B455" s="1" t="n">
        <v>45898.62625</v>
      </c>
      <c r="C455" s="1" t="n">
        <v>45995</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54273-2021</t>
        </is>
      </c>
      <c r="B456" s="1" t="n">
        <v>44470.72987268519</v>
      </c>
      <c r="C456" s="1" t="n">
        <v>45995</v>
      </c>
      <c r="D456" t="inlineStr">
        <is>
          <t>STOCKHOLMS LÄN</t>
        </is>
      </c>
      <c r="E456" t="inlineStr">
        <is>
          <t>NORRTÄLJE</t>
        </is>
      </c>
      <c r="G456" t="n">
        <v>2.7</v>
      </c>
      <c r="H456" t="n">
        <v>0</v>
      </c>
      <c r="I456" t="n">
        <v>0</v>
      </c>
      <c r="J456" t="n">
        <v>0</v>
      </c>
      <c r="K456" t="n">
        <v>0</v>
      </c>
      <c r="L456" t="n">
        <v>0</v>
      </c>
      <c r="M456" t="n">
        <v>0</v>
      </c>
      <c r="N456" t="n">
        <v>0</v>
      </c>
      <c r="O456" t="n">
        <v>0</v>
      </c>
      <c r="P456" t="n">
        <v>0</v>
      </c>
      <c r="Q456" t="n">
        <v>0</v>
      </c>
      <c r="R456" s="2" t="inlineStr"/>
    </row>
    <row r="457" ht="15" customHeight="1">
      <c r="A457" t="inlineStr">
        <is>
          <t>A 43212-2022</t>
        </is>
      </c>
      <c r="B457" s="1" t="n">
        <v>44834.38636574074</v>
      </c>
      <c r="C457" s="1" t="n">
        <v>45995</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25621-2022</t>
        </is>
      </c>
      <c r="B458" s="1" t="n">
        <v>44732</v>
      </c>
      <c r="C458" s="1" t="n">
        <v>45995</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20304-2023</t>
        </is>
      </c>
      <c r="B459" s="1" t="n">
        <v>45056</v>
      </c>
      <c r="C459" s="1" t="n">
        <v>45995</v>
      </c>
      <c r="D459" t="inlineStr">
        <is>
          <t>STOCKHOLMS LÄN</t>
        </is>
      </c>
      <c r="E459" t="inlineStr">
        <is>
          <t>NORRTÄLJE</t>
        </is>
      </c>
      <c r="G459" t="n">
        <v>1.5</v>
      </c>
      <c r="H459" t="n">
        <v>0</v>
      </c>
      <c r="I459" t="n">
        <v>0</v>
      </c>
      <c r="J459" t="n">
        <v>0</v>
      </c>
      <c r="K459" t="n">
        <v>0</v>
      </c>
      <c r="L459" t="n">
        <v>0</v>
      </c>
      <c r="M459" t="n">
        <v>0</v>
      </c>
      <c r="N459" t="n">
        <v>0</v>
      </c>
      <c r="O459" t="n">
        <v>0</v>
      </c>
      <c r="P459" t="n">
        <v>0</v>
      </c>
      <c r="Q459" t="n">
        <v>0</v>
      </c>
      <c r="R459" s="2" t="inlineStr"/>
    </row>
    <row r="460" ht="15" customHeight="1">
      <c r="A460" t="inlineStr">
        <is>
          <t>A 40837-2025</t>
        </is>
      </c>
      <c r="B460" s="1" t="n">
        <v>45897.51328703704</v>
      </c>
      <c r="C460" s="1" t="n">
        <v>45995</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41030-2025</t>
        </is>
      </c>
      <c r="B461" s="1" t="n">
        <v>45898.37636574074</v>
      </c>
      <c r="C461" s="1" t="n">
        <v>45995</v>
      </c>
      <c r="D461" t="inlineStr">
        <is>
          <t>STOCKHOLMS LÄN</t>
        </is>
      </c>
      <c r="E461" t="inlineStr">
        <is>
          <t>NORRTÄLJE</t>
        </is>
      </c>
      <c r="F461" t="inlineStr">
        <is>
          <t>Holmen skog AB</t>
        </is>
      </c>
      <c r="G461" t="n">
        <v>2.6</v>
      </c>
      <c r="H461" t="n">
        <v>0</v>
      </c>
      <c r="I461" t="n">
        <v>0</v>
      </c>
      <c r="J461" t="n">
        <v>0</v>
      </c>
      <c r="K461" t="n">
        <v>0</v>
      </c>
      <c r="L461" t="n">
        <v>0</v>
      </c>
      <c r="M461" t="n">
        <v>0</v>
      </c>
      <c r="N461" t="n">
        <v>0</v>
      </c>
      <c r="O461" t="n">
        <v>0</v>
      </c>
      <c r="P461" t="n">
        <v>0</v>
      </c>
      <c r="Q461" t="n">
        <v>0</v>
      </c>
      <c r="R461" s="2" t="inlineStr"/>
    </row>
    <row r="462" ht="15" customHeight="1">
      <c r="A462" t="inlineStr">
        <is>
          <t>A 35235-2024</t>
        </is>
      </c>
      <c r="B462" s="1" t="n">
        <v>45530</v>
      </c>
      <c r="C462" s="1" t="n">
        <v>45995</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41158-2025</t>
        </is>
      </c>
      <c r="B463" s="1" t="n">
        <v>45898.5315625</v>
      </c>
      <c r="C463" s="1" t="n">
        <v>45995</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20015-2023</t>
        </is>
      </c>
      <c r="B464" s="1" t="n">
        <v>45054</v>
      </c>
      <c r="C464" s="1" t="n">
        <v>45995</v>
      </c>
      <c r="D464" t="inlineStr">
        <is>
          <t>STOCKHOLMS LÄN</t>
        </is>
      </c>
      <c r="E464" t="inlineStr">
        <is>
          <t>NORRTÄLJE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41301-2025</t>
        </is>
      </c>
      <c r="B465" s="1" t="n">
        <v>45898.68826388889</v>
      </c>
      <c r="C465" s="1" t="n">
        <v>45995</v>
      </c>
      <c r="D465" t="inlineStr">
        <is>
          <t>STOCKHOLMS LÄN</t>
        </is>
      </c>
      <c r="E465" t="inlineStr">
        <is>
          <t>NORRTÄLJE</t>
        </is>
      </c>
      <c r="G465" t="n">
        <v>1</v>
      </c>
      <c r="H465" t="n">
        <v>0</v>
      </c>
      <c r="I465" t="n">
        <v>0</v>
      </c>
      <c r="J465" t="n">
        <v>0</v>
      </c>
      <c r="K465" t="n">
        <v>0</v>
      </c>
      <c r="L465" t="n">
        <v>0</v>
      </c>
      <c r="M465" t="n">
        <v>0</v>
      </c>
      <c r="N465" t="n">
        <v>0</v>
      </c>
      <c r="O465" t="n">
        <v>0</v>
      </c>
      <c r="P465" t="n">
        <v>0</v>
      </c>
      <c r="Q465" t="n">
        <v>0</v>
      </c>
      <c r="R465" s="2" t="inlineStr"/>
    </row>
    <row r="466" ht="15" customHeight="1">
      <c r="A466" t="inlineStr">
        <is>
          <t>A 41106-2025</t>
        </is>
      </c>
      <c r="B466" s="1" t="n">
        <v>45898.45636574074</v>
      </c>
      <c r="C466" s="1" t="n">
        <v>45995</v>
      </c>
      <c r="D466" t="inlineStr">
        <is>
          <t>STOCKHOLMS LÄN</t>
        </is>
      </c>
      <c r="E466" t="inlineStr">
        <is>
          <t>NORRTÄLJE</t>
        </is>
      </c>
      <c r="G466" t="n">
        <v>2.6</v>
      </c>
      <c r="H466" t="n">
        <v>0</v>
      </c>
      <c r="I466" t="n">
        <v>0</v>
      </c>
      <c r="J466" t="n">
        <v>0</v>
      </c>
      <c r="K466" t="n">
        <v>0</v>
      </c>
      <c r="L466" t="n">
        <v>0</v>
      </c>
      <c r="M466" t="n">
        <v>0</v>
      </c>
      <c r="N466" t="n">
        <v>0</v>
      </c>
      <c r="O466" t="n">
        <v>0</v>
      </c>
      <c r="P466" t="n">
        <v>0</v>
      </c>
      <c r="Q466" t="n">
        <v>0</v>
      </c>
      <c r="R466" s="2" t="inlineStr"/>
    </row>
    <row r="467" ht="15" customHeight="1">
      <c r="A467" t="inlineStr">
        <is>
          <t>A 41174-2025</t>
        </is>
      </c>
      <c r="B467" s="1" t="n">
        <v>45898.54921296296</v>
      </c>
      <c r="C467" s="1" t="n">
        <v>45995</v>
      </c>
      <c r="D467" t="inlineStr">
        <is>
          <t>STOCKHOLMS LÄN</t>
        </is>
      </c>
      <c r="E467" t="inlineStr">
        <is>
          <t>NORRTÄLJE</t>
        </is>
      </c>
      <c r="G467" t="n">
        <v>0.6</v>
      </c>
      <c r="H467" t="n">
        <v>0</v>
      </c>
      <c r="I467" t="n">
        <v>0</v>
      </c>
      <c r="J467" t="n">
        <v>0</v>
      </c>
      <c r="K467" t="n">
        <v>0</v>
      </c>
      <c r="L467" t="n">
        <v>0</v>
      </c>
      <c r="M467" t="n">
        <v>0</v>
      </c>
      <c r="N467" t="n">
        <v>0</v>
      </c>
      <c r="O467" t="n">
        <v>0</v>
      </c>
      <c r="P467" t="n">
        <v>0</v>
      </c>
      <c r="Q467" t="n">
        <v>0</v>
      </c>
      <c r="R467" s="2" t="inlineStr"/>
    </row>
    <row r="468" ht="15" customHeight="1">
      <c r="A468" t="inlineStr">
        <is>
          <t>A 41110-2025</t>
        </is>
      </c>
      <c r="B468" s="1" t="n">
        <v>45898.45976851852</v>
      </c>
      <c r="C468" s="1" t="n">
        <v>45995</v>
      </c>
      <c r="D468" t="inlineStr">
        <is>
          <t>STOCKHOLMS LÄN</t>
        </is>
      </c>
      <c r="E468" t="inlineStr">
        <is>
          <t>NORRTÄLJE</t>
        </is>
      </c>
      <c r="F468" t="inlineStr">
        <is>
          <t>Holmen skog AB</t>
        </is>
      </c>
      <c r="G468" t="n">
        <v>6.7</v>
      </c>
      <c r="H468" t="n">
        <v>0</v>
      </c>
      <c r="I468" t="n">
        <v>0</v>
      </c>
      <c r="J468" t="n">
        <v>0</v>
      </c>
      <c r="K468" t="n">
        <v>0</v>
      </c>
      <c r="L468" t="n">
        <v>0</v>
      </c>
      <c r="M468" t="n">
        <v>0</v>
      </c>
      <c r="N468" t="n">
        <v>0</v>
      </c>
      <c r="O468" t="n">
        <v>0</v>
      </c>
      <c r="P468" t="n">
        <v>0</v>
      </c>
      <c r="Q468" t="n">
        <v>0</v>
      </c>
      <c r="R468" s="2" t="inlineStr"/>
    </row>
    <row r="469" ht="15" customHeight="1">
      <c r="A469" t="inlineStr">
        <is>
          <t>A 41259-2025</t>
        </is>
      </c>
      <c r="B469" s="1" t="n">
        <v>45898.61054398148</v>
      </c>
      <c r="C469" s="1" t="n">
        <v>45995</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41053-2025</t>
        </is>
      </c>
      <c r="B470" s="1" t="n">
        <v>45898.40480324074</v>
      </c>
      <c r="C470" s="1" t="n">
        <v>45995</v>
      </c>
      <c r="D470" t="inlineStr">
        <is>
          <t>STOCKHOLMS LÄN</t>
        </is>
      </c>
      <c r="E470" t="inlineStr">
        <is>
          <t>NORRTÄLJE</t>
        </is>
      </c>
      <c r="F470" t="inlineStr">
        <is>
          <t>Holmen skog AB</t>
        </is>
      </c>
      <c r="G470" t="n">
        <v>2.5</v>
      </c>
      <c r="H470" t="n">
        <v>0</v>
      </c>
      <c r="I470" t="n">
        <v>0</v>
      </c>
      <c r="J470" t="n">
        <v>0</v>
      </c>
      <c r="K470" t="n">
        <v>0</v>
      </c>
      <c r="L470" t="n">
        <v>0</v>
      </c>
      <c r="M470" t="n">
        <v>0</v>
      </c>
      <c r="N470" t="n">
        <v>0</v>
      </c>
      <c r="O470" t="n">
        <v>0</v>
      </c>
      <c r="P470" t="n">
        <v>0</v>
      </c>
      <c r="Q470" t="n">
        <v>0</v>
      </c>
      <c r="R470" s="2" t="inlineStr"/>
    </row>
    <row r="471" ht="15" customHeight="1">
      <c r="A471" t="inlineStr">
        <is>
          <t>A 40829-2025</t>
        </is>
      </c>
      <c r="B471" s="1" t="n">
        <v>45897.50802083333</v>
      </c>
      <c r="C471" s="1" t="n">
        <v>45995</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40831-2025</t>
        </is>
      </c>
      <c r="B472" s="1" t="n">
        <v>45897.51077546296</v>
      </c>
      <c r="C472" s="1" t="n">
        <v>45995</v>
      </c>
      <c r="D472" t="inlineStr">
        <is>
          <t>STOCKHOLMS LÄN</t>
        </is>
      </c>
      <c r="E472" t="inlineStr">
        <is>
          <t>NORRTÄLJE</t>
        </is>
      </c>
      <c r="G472" t="n">
        <v>1.8</v>
      </c>
      <c r="H472" t="n">
        <v>0</v>
      </c>
      <c r="I472" t="n">
        <v>0</v>
      </c>
      <c r="J472" t="n">
        <v>0</v>
      </c>
      <c r="K472" t="n">
        <v>0</v>
      </c>
      <c r="L472" t="n">
        <v>0</v>
      </c>
      <c r="M472" t="n">
        <v>0</v>
      </c>
      <c r="N472" t="n">
        <v>0</v>
      </c>
      <c r="O472" t="n">
        <v>0</v>
      </c>
      <c r="P472" t="n">
        <v>0</v>
      </c>
      <c r="Q472" t="n">
        <v>0</v>
      </c>
      <c r="R472" s="2" t="inlineStr"/>
    </row>
    <row r="473" ht="15" customHeight="1">
      <c r="A473" t="inlineStr">
        <is>
          <t>A 5027-2025</t>
        </is>
      </c>
      <c r="B473" s="1" t="n">
        <v>45691.41101851852</v>
      </c>
      <c r="C473" s="1" t="n">
        <v>45995</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34295-2024</t>
        </is>
      </c>
      <c r="B474" s="1" t="n">
        <v>45524</v>
      </c>
      <c r="C474" s="1" t="n">
        <v>45995</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41272-2025</t>
        </is>
      </c>
      <c r="B475" s="1" t="n">
        <v>45898.62373842593</v>
      </c>
      <c r="C475" s="1" t="n">
        <v>45995</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6537-2024</t>
        </is>
      </c>
      <c r="B476" s="1" t="n">
        <v>45341.39853009259</v>
      </c>
      <c r="C476" s="1" t="n">
        <v>45995</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52260-2022</t>
        </is>
      </c>
      <c r="B477" s="1" t="n">
        <v>44869</v>
      </c>
      <c r="C477" s="1" t="n">
        <v>45995</v>
      </c>
      <c r="D477" t="inlineStr">
        <is>
          <t>STOCKHOLMS LÄN</t>
        </is>
      </c>
      <c r="E477" t="inlineStr">
        <is>
          <t>NORRTÄLJE</t>
        </is>
      </c>
      <c r="G477" t="n">
        <v>3.1</v>
      </c>
      <c r="H477" t="n">
        <v>0</v>
      </c>
      <c r="I477" t="n">
        <v>0</v>
      </c>
      <c r="J477" t="n">
        <v>0</v>
      </c>
      <c r="K477" t="n">
        <v>0</v>
      </c>
      <c r="L477" t="n">
        <v>0</v>
      </c>
      <c r="M477" t="n">
        <v>0</v>
      </c>
      <c r="N477" t="n">
        <v>0</v>
      </c>
      <c r="O477" t="n">
        <v>0</v>
      </c>
      <c r="P477" t="n">
        <v>0</v>
      </c>
      <c r="Q477" t="n">
        <v>0</v>
      </c>
      <c r="R477" s="2" t="inlineStr"/>
    </row>
    <row r="478" ht="15" customHeight="1">
      <c r="A478" t="inlineStr">
        <is>
          <t>A 8315-2025</t>
        </is>
      </c>
      <c r="B478" s="1" t="n">
        <v>45708.61761574074</v>
      </c>
      <c r="C478" s="1" t="n">
        <v>45995</v>
      </c>
      <c r="D478" t="inlineStr">
        <is>
          <t>STOCKHOLMS LÄN</t>
        </is>
      </c>
      <c r="E478" t="inlineStr">
        <is>
          <t>NORRTÄLJE</t>
        </is>
      </c>
      <c r="G478" t="n">
        <v>3.9</v>
      </c>
      <c r="H478" t="n">
        <v>0</v>
      </c>
      <c r="I478" t="n">
        <v>0</v>
      </c>
      <c r="J478" t="n">
        <v>0</v>
      </c>
      <c r="K478" t="n">
        <v>0</v>
      </c>
      <c r="L478" t="n">
        <v>0</v>
      </c>
      <c r="M478" t="n">
        <v>0</v>
      </c>
      <c r="N478" t="n">
        <v>0</v>
      </c>
      <c r="O478" t="n">
        <v>0</v>
      </c>
      <c r="P478" t="n">
        <v>0</v>
      </c>
      <c r="Q478" t="n">
        <v>0</v>
      </c>
      <c r="R478" s="2" t="inlineStr"/>
    </row>
    <row r="479" ht="15" customHeight="1">
      <c r="A479" t="inlineStr">
        <is>
          <t>A 41036-2025</t>
        </is>
      </c>
      <c r="B479" s="1" t="n">
        <v>45898.38552083333</v>
      </c>
      <c r="C479" s="1" t="n">
        <v>45995</v>
      </c>
      <c r="D479" t="inlineStr">
        <is>
          <t>STOCKHOLMS LÄN</t>
        </is>
      </c>
      <c r="E479" t="inlineStr">
        <is>
          <t>NORRTÄLJE</t>
        </is>
      </c>
      <c r="F479" t="inlineStr">
        <is>
          <t>Holmen skog AB</t>
        </is>
      </c>
      <c r="G479" t="n">
        <v>2.7</v>
      </c>
      <c r="H479" t="n">
        <v>0</v>
      </c>
      <c r="I479" t="n">
        <v>0</v>
      </c>
      <c r="J479" t="n">
        <v>0</v>
      </c>
      <c r="K479" t="n">
        <v>0</v>
      </c>
      <c r="L479" t="n">
        <v>0</v>
      </c>
      <c r="M479" t="n">
        <v>0</v>
      </c>
      <c r="N479" t="n">
        <v>0</v>
      </c>
      <c r="O479" t="n">
        <v>0</v>
      </c>
      <c r="P479" t="n">
        <v>0</v>
      </c>
      <c r="Q479" t="n">
        <v>0</v>
      </c>
      <c r="R479" s="2" t="inlineStr"/>
    </row>
    <row r="480" ht="15" customHeight="1">
      <c r="A480" t="inlineStr">
        <is>
          <t>A 51061-2023</t>
        </is>
      </c>
      <c r="B480" s="1" t="n">
        <v>45218.65849537037</v>
      </c>
      <c r="C480" s="1" t="n">
        <v>45995</v>
      </c>
      <c r="D480" t="inlineStr">
        <is>
          <t>STOCKHOLMS LÄN</t>
        </is>
      </c>
      <c r="E480" t="inlineStr">
        <is>
          <t>NORRTÄLJE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19058-2024</t>
        </is>
      </c>
      <c r="B481" s="1" t="n">
        <v>45427.89121527778</v>
      </c>
      <c r="C481" s="1" t="n">
        <v>45995</v>
      </c>
      <c r="D481" t="inlineStr">
        <is>
          <t>STOCKHOLMS LÄN</t>
        </is>
      </c>
      <c r="E481" t="inlineStr">
        <is>
          <t>NORRTÄLJE</t>
        </is>
      </c>
      <c r="G481" t="n">
        <v>1.2</v>
      </c>
      <c r="H481" t="n">
        <v>0</v>
      </c>
      <c r="I481" t="n">
        <v>0</v>
      </c>
      <c r="J481" t="n">
        <v>0</v>
      </c>
      <c r="K481" t="n">
        <v>0</v>
      </c>
      <c r="L481" t="n">
        <v>0</v>
      </c>
      <c r="M481" t="n">
        <v>0</v>
      </c>
      <c r="N481" t="n">
        <v>0</v>
      </c>
      <c r="O481" t="n">
        <v>0</v>
      </c>
      <c r="P481" t="n">
        <v>0</v>
      </c>
      <c r="Q481" t="n">
        <v>0</v>
      </c>
      <c r="R481" s="2" t="inlineStr"/>
    </row>
    <row r="482" ht="15" customHeight="1">
      <c r="A482" t="inlineStr">
        <is>
          <t>A 39213-2022</t>
        </is>
      </c>
      <c r="B482" s="1" t="n">
        <v>44817.56120370371</v>
      </c>
      <c r="C482" s="1" t="n">
        <v>45995</v>
      </c>
      <c r="D482" t="inlineStr">
        <is>
          <t>STOCKHOLMS LÄN</t>
        </is>
      </c>
      <c r="E482" t="inlineStr">
        <is>
          <t>NORRTÄLJE</t>
        </is>
      </c>
      <c r="G482" t="n">
        <v>3.4</v>
      </c>
      <c r="H482" t="n">
        <v>0</v>
      </c>
      <c r="I482" t="n">
        <v>0</v>
      </c>
      <c r="J482" t="n">
        <v>0</v>
      </c>
      <c r="K482" t="n">
        <v>0</v>
      </c>
      <c r="L482" t="n">
        <v>0</v>
      </c>
      <c r="M482" t="n">
        <v>0</v>
      </c>
      <c r="N482" t="n">
        <v>0</v>
      </c>
      <c r="O482" t="n">
        <v>0</v>
      </c>
      <c r="P482" t="n">
        <v>0</v>
      </c>
      <c r="Q482" t="n">
        <v>0</v>
      </c>
      <c r="R482" s="2" t="inlineStr"/>
    </row>
    <row r="483" ht="15" customHeight="1">
      <c r="A483" t="inlineStr">
        <is>
          <t>A 55058-2021</t>
        </is>
      </c>
      <c r="B483" s="1" t="n">
        <v>44474.62141203704</v>
      </c>
      <c r="C483" s="1" t="n">
        <v>45995</v>
      </c>
      <c r="D483" t="inlineStr">
        <is>
          <t>STOCKHOLMS LÄN</t>
        </is>
      </c>
      <c r="E483" t="inlineStr">
        <is>
          <t>NORRTÄLJE</t>
        </is>
      </c>
      <c r="G483" t="n">
        <v>1.9</v>
      </c>
      <c r="H483" t="n">
        <v>0</v>
      </c>
      <c r="I483" t="n">
        <v>0</v>
      </c>
      <c r="J483" t="n">
        <v>0</v>
      </c>
      <c r="K483" t="n">
        <v>0</v>
      </c>
      <c r="L483" t="n">
        <v>0</v>
      </c>
      <c r="M483" t="n">
        <v>0</v>
      </c>
      <c r="N483" t="n">
        <v>0</v>
      </c>
      <c r="O483" t="n">
        <v>0</v>
      </c>
      <c r="P483" t="n">
        <v>0</v>
      </c>
      <c r="Q483" t="n">
        <v>0</v>
      </c>
      <c r="R483" s="2" t="inlineStr"/>
    </row>
    <row r="484" ht="15" customHeight="1">
      <c r="A484" t="inlineStr">
        <is>
          <t>A 40192-2023</t>
        </is>
      </c>
      <c r="B484" s="1" t="n">
        <v>45169</v>
      </c>
      <c r="C484" s="1" t="n">
        <v>45995</v>
      </c>
      <c r="D484" t="inlineStr">
        <is>
          <t>STOCKHOLMS LÄN</t>
        </is>
      </c>
      <c r="E484" t="inlineStr">
        <is>
          <t>NORRTÄLJE</t>
        </is>
      </c>
      <c r="F484" t="inlineStr">
        <is>
          <t>Kyrkan</t>
        </is>
      </c>
      <c r="G484" t="n">
        <v>0.7</v>
      </c>
      <c r="H484" t="n">
        <v>0</v>
      </c>
      <c r="I484" t="n">
        <v>0</v>
      </c>
      <c r="J484" t="n">
        <v>0</v>
      </c>
      <c r="K484" t="n">
        <v>0</v>
      </c>
      <c r="L484" t="n">
        <v>0</v>
      </c>
      <c r="M484" t="n">
        <v>0</v>
      </c>
      <c r="N484" t="n">
        <v>0</v>
      </c>
      <c r="O484" t="n">
        <v>0</v>
      </c>
      <c r="P484" t="n">
        <v>0</v>
      </c>
      <c r="Q484" t="n">
        <v>0</v>
      </c>
      <c r="R484" s="2" t="inlineStr"/>
    </row>
    <row r="485" ht="15" customHeight="1">
      <c r="A485" t="inlineStr">
        <is>
          <t>A 36246-2021</t>
        </is>
      </c>
      <c r="B485" s="1" t="n">
        <v>44390</v>
      </c>
      <c r="C485" s="1" t="n">
        <v>45995</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4035-2023</t>
        </is>
      </c>
      <c r="B486" s="1" t="n">
        <v>44952.57989583333</v>
      </c>
      <c r="C486" s="1" t="n">
        <v>45995</v>
      </c>
      <c r="D486" t="inlineStr">
        <is>
          <t>STOCKHOLMS LÄN</t>
        </is>
      </c>
      <c r="E486" t="inlineStr">
        <is>
          <t>NORRTÄLJE</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19057-2024</t>
        </is>
      </c>
      <c r="B487" s="1" t="n">
        <v>45427.88731481481</v>
      </c>
      <c r="C487" s="1" t="n">
        <v>45995</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26644-2024</t>
        </is>
      </c>
      <c r="B488" s="1" t="n">
        <v>45469</v>
      </c>
      <c r="C488" s="1" t="n">
        <v>45995</v>
      </c>
      <c r="D488" t="inlineStr">
        <is>
          <t>STOCKHOLMS LÄN</t>
        </is>
      </c>
      <c r="E488" t="inlineStr">
        <is>
          <t>NORRTÄLJE</t>
        </is>
      </c>
      <c r="G488" t="n">
        <v>4.3</v>
      </c>
      <c r="H488" t="n">
        <v>0</v>
      </c>
      <c r="I488" t="n">
        <v>0</v>
      </c>
      <c r="J488" t="n">
        <v>0</v>
      </c>
      <c r="K488" t="n">
        <v>0</v>
      </c>
      <c r="L488" t="n">
        <v>0</v>
      </c>
      <c r="M488" t="n">
        <v>0</v>
      </c>
      <c r="N488" t="n">
        <v>0</v>
      </c>
      <c r="O488" t="n">
        <v>0</v>
      </c>
      <c r="P488" t="n">
        <v>0</v>
      </c>
      <c r="Q488" t="n">
        <v>0</v>
      </c>
      <c r="R488" s="2" t="inlineStr"/>
    </row>
    <row r="489" ht="15" customHeight="1">
      <c r="A489" t="inlineStr">
        <is>
          <t>A 26668-2024</t>
        </is>
      </c>
      <c r="B489" s="1" t="n">
        <v>45469</v>
      </c>
      <c r="C489" s="1" t="n">
        <v>45995</v>
      </c>
      <c r="D489" t="inlineStr">
        <is>
          <t>STOCKHOLMS LÄN</t>
        </is>
      </c>
      <c r="E489" t="inlineStr">
        <is>
          <t>NORRTÄLJE</t>
        </is>
      </c>
      <c r="G489" t="n">
        <v>4.8</v>
      </c>
      <c r="H489" t="n">
        <v>0</v>
      </c>
      <c r="I489" t="n">
        <v>0</v>
      </c>
      <c r="J489" t="n">
        <v>0</v>
      </c>
      <c r="K489" t="n">
        <v>0</v>
      </c>
      <c r="L489" t="n">
        <v>0</v>
      </c>
      <c r="M489" t="n">
        <v>0</v>
      </c>
      <c r="N489" t="n">
        <v>0</v>
      </c>
      <c r="O489" t="n">
        <v>0</v>
      </c>
      <c r="P489" t="n">
        <v>0</v>
      </c>
      <c r="Q489" t="n">
        <v>0</v>
      </c>
      <c r="R489" s="2" t="inlineStr"/>
    </row>
    <row r="490" ht="15" customHeight="1">
      <c r="A490" t="inlineStr">
        <is>
          <t>A 12251-2025</t>
        </is>
      </c>
      <c r="B490" s="1" t="n">
        <v>45729.60859953704</v>
      </c>
      <c r="C490" s="1" t="n">
        <v>45995</v>
      </c>
      <c r="D490" t="inlineStr">
        <is>
          <t>STOCKHOLMS LÄN</t>
        </is>
      </c>
      <c r="E490" t="inlineStr">
        <is>
          <t>NORRTÄLJE</t>
        </is>
      </c>
      <c r="F490" t="inlineStr">
        <is>
          <t>Holmen skog AB</t>
        </is>
      </c>
      <c r="G490" t="n">
        <v>5.9</v>
      </c>
      <c r="H490" t="n">
        <v>0</v>
      </c>
      <c r="I490" t="n">
        <v>0</v>
      </c>
      <c r="J490" t="n">
        <v>0</v>
      </c>
      <c r="K490" t="n">
        <v>0</v>
      </c>
      <c r="L490" t="n">
        <v>0</v>
      </c>
      <c r="M490" t="n">
        <v>0</v>
      </c>
      <c r="N490" t="n">
        <v>0</v>
      </c>
      <c r="O490" t="n">
        <v>0</v>
      </c>
      <c r="P490" t="n">
        <v>0</v>
      </c>
      <c r="Q490" t="n">
        <v>0</v>
      </c>
      <c r="R490" s="2" t="inlineStr"/>
    </row>
    <row r="491" ht="15" customHeight="1">
      <c r="A491" t="inlineStr">
        <is>
          <t>A 15733-2025</t>
        </is>
      </c>
      <c r="B491" s="1" t="n">
        <v>45748</v>
      </c>
      <c r="C491" s="1" t="n">
        <v>45995</v>
      </c>
      <c r="D491" t="inlineStr">
        <is>
          <t>STOCKHOLMS LÄN</t>
        </is>
      </c>
      <c r="E491" t="inlineStr">
        <is>
          <t>NORRTÄLJE</t>
        </is>
      </c>
      <c r="G491" t="n">
        <v>13.3</v>
      </c>
      <c r="H491" t="n">
        <v>0</v>
      </c>
      <c r="I491" t="n">
        <v>0</v>
      </c>
      <c r="J491" t="n">
        <v>0</v>
      </c>
      <c r="K491" t="n">
        <v>0</v>
      </c>
      <c r="L491" t="n">
        <v>0</v>
      </c>
      <c r="M491" t="n">
        <v>0</v>
      </c>
      <c r="N491" t="n">
        <v>0</v>
      </c>
      <c r="O491" t="n">
        <v>0</v>
      </c>
      <c r="P491" t="n">
        <v>0</v>
      </c>
      <c r="Q491" t="n">
        <v>0</v>
      </c>
      <c r="R491" s="2" t="inlineStr"/>
    </row>
    <row r="492" ht="15" customHeight="1">
      <c r="A492" t="inlineStr">
        <is>
          <t>A 10511-2025</t>
        </is>
      </c>
      <c r="B492" s="1" t="n">
        <v>45721.40780092592</v>
      </c>
      <c r="C492" s="1" t="n">
        <v>45995</v>
      </c>
      <c r="D492" t="inlineStr">
        <is>
          <t>STOCKHOLMS LÄN</t>
        </is>
      </c>
      <c r="E492" t="inlineStr">
        <is>
          <t>NORRTÄLJE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54776-2023</t>
        </is>
      </c>
      <c r="B493" s="1" t="n">
        <v>45236.46369212963</v>
      </c>
      <c r="C493" s="1" t="n">
        <v>45995</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20144-2023</t>
        </is>
      </c>
      <c r="B494" s="1" t="n">
        <v>45055.43509259259</v>
      </c>
      <c r="C494" s="1" t="n">
        <v>45995</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42038-2025</t>
        </is>
      </c>
      <c r="B495" s="1" t="n">
        <v>45903.61431712963</v>
      </c>
      <c r="C495" s="1" t="n">
        <v>45995</v>
      </c>
      <c r="D495" t="inlineStr">
        <is>
          <t>STOCKHOLMS LÄN</t>
        </is>
      </c>
      <c r="E495" t="inlineStr">
        <is>
          <t>NORRTÄLJE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15905-2023</t>
        </is>
      </c>
      <c r="B496" s="1" t="n">
        <v>45022</v>
      </c>
      <c r="C496" s="1" t="n">
        <v>45995</v>
      </c>
      <c r="D496" t="inlineStr">
        <is>
          <t>STOCKHOLMS LÄN</t>
        </is>
      </c>
      <c r="E496" t="inlineStr">
        <is>
          <t>NORRTÄLJE</t>
        </is>
      </c>
      <c r="G496" t="n">
        <v>3.2</v>
      </c>
      <c r="H496" t="n">
        <v>0</v>
      </c>
      <c r="I496" t="n">
        <v>0</v>
      </c>
      <c r="J496" t="n">
        <v>0</v>
      </c>
      <c r="K496" t="n">
        <v>0</v>
      </c>
      <c r="L496" t="n">
        <v>0</v>
      </c>
      <c r="M496" t="n">
        <v>0</v>
      </c>
      <c r="N496" t="n">
        <v>0</v>
      </c>
      <c r="O496" t="n">
        <v>0</v>
      </c>
      <c r="P496" t="n">
        <v>0</v>
      </c>
      <c r="Q496" t="n">
        <v>0</v>
      </c>
      <c r="R496" s="2" t="inlineStr"/>
    </row>
    <row r="497" ht="15" customHeight="1">
      <c r="A497" t="inlineStr">
        <is>
          <t>A 11041-2025</t>
        </is>
      </c>
      <c r="B497" s="1" t="n">
        <v>45723</v>
      </c>
      <c r="C497" s="1" t="n">
        <v>45995</v>
      </c>
      <c r="D497" t="inlineStr">
        <is>
          <t>STOCKHOLMS LÄN</t>
        </is>
      </c>
      <c r="E497" t="inlineStr">
        <is>
          <t>NORRTÄLJE</t>
        </is>
      </c>
      <c r="F497" t="inlineStr">
        <is>
          <t>Övriga Aktiebolag</t>
        </is>
      </c>
      <c r="G497" t="n">
        <v>1.8</v>
      </c>
      <c r="H497" t="n">
        <v>0</v>
      </c>
      <c r="I497" t="n">
        <v>0</v>
      </c>
      <c r="J497" t="n">
        <v>0</v>
      </c>
      <c r="K497" t="n">
        <v>0</v>
      </c>
      <c r="L497" t="n">
        <v>0</v>
      </c>
      <c r="M497" t="n">
        <v>0</v>
      </c>
      <c r="N497" t="n">
        <v>0</v>
      </c>
      <c r="O497" t="n">
        <v>0</v>
      </c>
      <c r="P497" t="n">
        <v>0</v>
      </c>
      <c r="Q497" t="n">
        <v>0</v>
      </c>
      <c r="R497" s="2" t="inlineStr"/>
    </row>
    <row r="498" ht="15" customHeight="1">
      <c r="A498" t="inlineStr">
        <is>
          <t>A 13314-2025</t>
        </is>
      </c>
      <c r="B498" s="1" t="n">
        <v>45735.59287037037</v>
      </c>
      <c r="C498" s="1" t="n">
        <v>45995</v>
      </c>
      <c r="D498" t="inlineStr">
        <is>
          <t>STOCKHOLMS LÄN</t>
        </is>
      </c>
      <c r="E498" t="inlineStr">
        <is>
          <t>NORRTÄLJE</t>
        </is>
      </c>
      <c r="G498" t="n">
        <v>2.4</v>
      </c>
      <c r="H498" t="n">
        <v>0</v>
      </c>
      <c r="I498" t="n">
        <v>0</v>
      </c>
      <c r="J498" t="n">
        <v>0</v>
      </c>
      <c r="K498" t="n">
        <v>0</v>
      </c>
      <c r="L498" t="n">
        <v>0</v>
      </c>
      <c r="M498" t="n">
        <v>0</v>
      </c>
      <c r="N498" t="n">
        <v>0</v>
      </c>
      <c r="O498" t="n">
        <v>0</v>
      </c>
      <c r="P498" t="n">
        <v>0</v>
      </c>
      <c r="Q498" t="n">
        <v>0</v>
      </c>
      <c r="R498" s="2" t="inlineStr"/>
    </row>
    <row r="499" ht="15" customHeight="1">
      <c r="A499" t="inlineStr">
        <is>
          <t>A 41964-2025</t>
        </is>
      </c>
      <c r="B499" s="1" t="n">
        <v>45903.47270833333</v>
      </c>
      <c r="C499" s="1" t="n">
        <v>45995</v>
      </c>
      <c r="D499" t="inlineStr">
        <is>
          <t>STOCKHOLMS LÄN</t>
        </is>
      </c>
      <c r="E499" t="inlineStr">
        <is>
          <t>NORRTÄLJE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41966-2025</t>
        </is>
      </c>
      <c r="B500" s="1" t="n">
        <v>45903.47456018518</v>
      </c>
      <c r="C500" s="1" t="n">
        <v>45995</v>
      </c>
      <c r="D500" t="inlineStr">
        <is>
          <t>STOCKHOLMS LÄN</t>
        </is>
      </c>
      <c r="E500" t="inlineStr">
        <is>
          <t>NORRTÄLJE</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37085-2021</t>
        </is>
      </c>
      <c r="B501" s="1" t="n">
        <v>44395</v>
      </c>
      <c r="C501" s="1" t="n">
        <v>45995</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23056-2023</t>
        </is>
      </c>
      <c r="B502" s="1" t="n">
        <v>45075</v>
      </c>
      <c r="C502" s="1" t="n">
        <v>45995</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13172-2025</t>
        </is>
      </c>
      <c r="B503" s="1" t="n">
        <v>45735.36873842592</v>
      </c>
      <c r="C503" s="1" t="n">
        <v>45995</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46988-2024</t>
        </is>
      </c>
      <c r="B504" s="1" t="n">
        <v>45586</v>
      </c>
      <c r="C504" s="1" t="n">
        <v>45995</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30699-2025</t>
        </is>
      </c>
      <c r="B505" s="1" t="n">
        <v>45831.54618055555</v>
      </c>
      <c r="C505" s="1" t="n">
        <v>45995</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71552-2021</t>
        </is>
      </c>
      <c r="B506" s="1" t="n">
        <v>44540</v>
      </c>
      <c r="C506" s="1" t="n">
        <v>45995</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19025-2025</t>
        </is>
      </c>
      <c r="B507" s="1" t="n">
        <v>45764.6359837963</v>
      </c>
      <c r="C507" s="1" t="n">
        <v>45995</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17382-2024</t>
        </is>
      </c>
      <c r="B508" s="1" t="n">
        <v>45414.65855324074</v>
      </c>
      <c r="C508" s="1" t="n">
        <v>45995</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25557-2023</t>
        </is>
      </c>
      <c r="B509" s="1" t="n">
        <v>45089</v>
      </c>
      <c r="C509" s="1" t="n">
        <v>45995</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44917-2022</t>
        </is>
      </c>
      <c r="B510" s="1" t="n">
        <v>44841.52804398148</v>
      </c>
      <c r="C510" s="1" t="n">
        <v>45995</v>
      </c>
      <c r="D510" t="inlineStr">
        <is>
          <t>STOCKHOLMS LÄN</t>
        </is>
      </c>
      <c r="E510" t="inlineStr">
        <is>
          <t>NORRTÄLJE</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5867-2022</t>
        </is>
      </c>
      <c r="B511" s="1" t="n">
        <v>44596.66335648148</v>
      </c>
      <c r="C511" s="1" t="n">
        <v>45995</v>
      </c>
      <c r="D511" t="inlineStr">
        <is>
          <t>STOCKHOLMS LÄN</t>
        </is>
      </c>
      <c r="E511" t="inlineStr">
        <is>
          <t>NORRTÄLJE</t>
        </is>
      </c>
      <c r="F511" t="inlineStr">
        <is>
          <t>Naturvårdsverket</t>
        </is>
      </c>
      <c r="G511" t="n">
        <v>1.6</v>
      </c>
      <c r="H511" t="n">
        <v>0</v>
      </c>
      <c r="I511" t="n">
        <v>0</v>
      </c>
      <c r="J511" t="n">
        <v>0</v>
      </c>
      <c r="K511" t="n">
        <v>0</v>
      </c>
      <c r="L511" t="n">
        <v>0</v>
      </c>
      <c r="M511" t="n">
        <v>0</v>
      </c>
      <c r="N511" t="n">
        <v>0</v>
      </c>
      <c r="O511" t="n">
        <v>0</v>
      </c>
      <c r="P511" t="n">
        <v>0</v>
      </c>
      <c r="Q511" t="n">
        <v>0</v>
      </c>
      <c r="R511" s="2" t="inlineStr"/>
    </row>
    <row r="512" ht="15" customHeight="1">
      <c r="A512" t="inlineStr">
        <is>
          <t>A 33173-2024</t>
        </is>
      </c>
      <c r="B512" s="1" t="n">
        <v>45518</v>
      </c>
      <c r="C512" s="1" t="n">
        <v>45995</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17551-2025</t>
        </is>
      </c>
      <c r="B513" s="1" t="n">
        <v>45757.61421296297</v>
      </c>
      <c r="C513" s="1" t="n">
        <v>45995</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9914-2023</t>
        </is>
      </c>
      <c r="B514" s="1" t="n">
        <v>44985</v>
      </c>
      <c r="C514" s="1" t="n">
        <v>45995</v>
      </c>
      <c r="D514" t="inlineStr">
        <is>
          <t>STOCKHOLMS LÄN</t>
        </is>
      </c>
      <c r="E514" t="inlineStr">
        <is>
          <t>NORRTÄLJE</t>
        </is>
      </c>
      <c r="G514" t="n">
        <v>4.2</v>
      </c>
      <c r="H514" t="n">
        <v>0</v>
      </c>
      <c r="I514" t="n">
        <v>0</v>
      </c>
      <c r="J514" t="n">
        <v>0</v>
      </c>
      <c r="K514" t="n">
        <v>0</v>
      </c>
      <c r="L514" t="n">
        <v>0</v>
      </c>
      <c r="M514" t="n">
        <v>0</v>
      </c>
      <c r="N514" t="n">
        <v>0</v>
      </c>
      <c r="O514" t="n">
        <v>0</v>
      </c>
      <c r="P514" t="n">
        <v>0</v>
      </c>
      <c r="Q514" t="n">
        <v>0</v>
      </c>
      <c r="R514" s="2" t="inlineStr"/>
    </row>
    <row r="515" ht="15" customHeight="1">
      <c r="A515" t="inlineStr">
        <is>
          <t>A 60525-2022</t>
        </is>
      </c>
      <c r="B515" s="1" t="n">
        <v>44904</v>
      </c>
      <c r="C515" s="1" t="n">
        <v>45995</v>
      </c>
      <c r="D515" t="inlineStr">
        <is>
          <t>STOCKHOLMS LÄN</t>
        </is>
      </c>
      <c r="E515" t="inlineStr">
        <is>
          <t>NORRTÄLJE</t>
        </is>
      </c>
      <c r="G515" t="n">
        <v>13.4</v>
      </c>
      <c r="H515" t="n">
        <v>0</v>
      </c>
      <c r="I515" t="n">
        <v>0</v>
      </c>
      <c r="J515" t="n">
        <v>0</v>
      </c>
      <c r="K515" t="n">
        <v>0</v>
      </c>
      <c r="L515" t="n">
        <v>0</v>
      </c>
      <c r="M515" t="n">
        <v>0</v>
      </c>
      <c r="N515" t="n">
        <v>0</v>
      </c>
      <c r="O515" t="n">
        <v>0</v>
      </c>
      <c r="P515" t="n">
        <v>0</v>
      </c>
      <c r="Q515" t="n">
        <v>0</v>
      </c>
      <c r="R515" s="2" t="inlineStr"/>
    </row>
    <row r="516" ht="15" customHeight="1">
      <c r="A516" t="inlineStr">
        <is>
          <t>A 58302-2022</t>
        </is>
      </c>
      <c r="B516" s="1" t="n">
        <v>44901</v>
      </c>
      <c r="C516" s="1" t="n">
        <v>45995</v>
      </c>
      <c r="D516" t="inlineStr">
        <is>
          <t>STOCKHOLMS LÄN</t>
        </is>
      </c>
      <c r="E516" t="inlineStr">
        <is>
          <t>NORRTÄLJE</t>
        </is>
      </c>
      <c r="G516" t="n">
        <v>3.9</v>
      </c>
      <c r="H516" t="n">
        <v>0</v>
      </c>
      <c r="I516" t="n">
        <v>0</v>
      </c>
      <c r="J516" t="n">
        <v>0</v>
      </c>
      <c r="K516" t="n">
        <v>0</v>
      </c>
      <c r="L516" t="n">
        <v>0</v>
      </c>
      <c r="M516" t="n">
        <v>0</v>
      </c>
      <c r="N516" t="n">
        <v>0</v>
      </c>
      <c r="O516" t="n">
        <v>0</v>
      </c>
      <c r="P516" t="n">
        <v>0</v>
      </c>
      <c r="Q516" t="n">
        <v>0</v>
      </c>
      <c r="R516" s="2" t="inlineStr"/>
    </row>
    <row r="517" ht="15" customHeight="1">
      <c r="A517" t="inlineStr">
        <is>
          <t>A 23269-2023</t>
        </is>
      </c>
      <c r="B517" s="1" t="n">
        <v>45075.91148148148</v>
      </c>
      <c r="C517" s="1" t="n">
        <v>45995</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73307-2021</t>
        </is>
      </c>
      <c r="B518" s="1" t="n">
        <v>44549</v>
      </c>
      <c r="C518" s="1" t="n">
        <v>45995</v>
      </c>
      <c r="D518" t="inlineStr">
        <is>
          <t>STOCKHOLMS LÄN</t>
        </is>
      </c>
      <c r="E518" t="inlineStr">
        <is>
          <t>NORRTÄLJE</t>
        </is>
      </c>
      <c r="G518" t="n">
        <v>1.1</v>
      </c>
      <c r="H518" t="n">
        <v>0</v>
      </c>
      <c r="I518" t="n">
        <v>0</v>
      </c>
      <c r="J518" t="n">
        <v>0</v>
      </c>
      <c r="K518" t="n">
        <v>0</v>
      </c>
      <c r="L518" t="n">
        <v>0</v>
      </c>
      <c r="M518" t="n">
        <v>0</v>
      </c>
      <c r="N518" t="n">
        <v>0</v>
      </c>
      <c r="O518" t="n">
        <v>0</v>
      </c>
      <c r="P518" t="n">
        <v>0</v>
      </c>
      <c r="Q518" t="n">
        <v>0</v>
      </c>
      <c r="R518" s="2" t="inlineStr"/>
    </row>
    <row r="519" ht="15" customHeight="1">
      <c r="A519" t="inlineStr">
        <is>
          <t>A 10678-2025</t>
        </is>
      </c>
      <c r="B519" s="1" t="n">
        <v>45721.89123842592</v>
      </c>
      <c r="C519" s="1" t="n">
        <v>45995</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23060-2023</t>
        </is>
      </c>
      <c r="B520" s="1" t="n">
        <v>45075</v>
      </c>
      <c r="C520" s="1" t="n">
        <v>45995</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8370-2025</t>
        </is>
      </c>
      <c r="B521" s="1" t="n">
        <v>45708</v>
      </c>
      <c r="C521" s="1" t="n">
        <v>45995</v>
      </c>
      <c r="D521" t="inlineStr">
        <is>
          <t>STOCKHOLMS LÄN</t>
        </is>
      </c>
      <c r="E521" t="inlineStr">
        <is>
          <t>NORRTÄLJE</t>
        </is>
      </c>
      <c r="F521" t="inlineStr">
        <is>
          <t>Övriga Aktiebolag</t>
        </is>
      </c>
      <c r="G521" t="n">
        <v>5.6</v>
      </c>
      <c r="H521" t="n">
        <v>0</v>
      </c>
      <c r="I521" t="n">
        <v>0</v>
      </c>
      <c r="J521" t="n">
        <v>0</v>
      </c>
      <c r="K521" t="n">
        <v>0</v>
      </c>
      <c r="L521" t="n">
        <v>0</v>
      </c>
      <c r="M521" t="n">
        <v>0</v>
      </c>
      <c r="N521" t="n">
        <v>0</v>
      </c>
      <c r="O521" t="n">
        <v>0</v>
      </c>
      <c r="P521" t="n">
        <v>0</v>
      </c>
      <c r="Q521" t="n">
        <v>0</v>
      </c>
      <c r="R521" s="2" t="inlineStr"/>
    </row>
    <row r="522" ht="15" customHeight="1">
      <c r="A522" t="inlineStr">
        <is>
          <t>A 21731-2023</t>
        </is>
      </c>
      <c r="B522" s="1" t="n">
        <v>45063</v>
      </c>
      <c r="C522" s="1" t="n">
        <v>45995</v>
      </c>
      <c r="D522" t="inlineStr">
        <is>
          <t>STOCKHOLMS LÄN</t>
        </is>
      </c>
      <c r="E522" t="inlineStr">
        <is>
          <t>NORRTÄLJE</t>
        </is>
      </c>
      <c r="G522" t="n">
        <v>2.3</v>
      </c>
      <c r="H522" t="n">
        <v>0</v>
      </c>
      <c r="I522" t="n">
        <v>0</v>
      </c>
      <c r="J522" t="n">
        <v>0</v>
      </c>
      <c r="K522" t="n">
        <v>0</v>
      </c>
      <c r="L522" t="n">
        <v>0</v>
      </c>
      <c r="M522" t="n">
        <v>0</v>
      </c>
      <c r="N522" t="n">
        <v>0</v>
      </c>
      <c r="O522" t="n">
        <v>0</v>
      </c>
      <c r="P522" t="n">
        <v>0</v>
      </c>
      <c r="Q522" t="n">
        <v>0</v>
      </c>
      <c r="R522" s="2" t="inlineStr"/>
    </row>
    <row r="523" ht="15" customHeight="1">
      <c r="A523" t="inlineStr">
        <is>
          <t>A 21745-2023</t>
        </is>
      </c>
      <c r="B523" s="1" t="n">
        <v>45065.55917824074</v>
      </c>
      <c r="C523" s="1" t="n">
        <v>45995</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951-2023</t>
        </is>
      </c>
      <c r="B524" s="1" t="n">
        <v>44934</v>
      </c>
      <c r="C524" s="1" t="n">
        <v>45995</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32100-2022</t>
        </is>
      </c>
      <c r="B525" s="1" t="n">
        <v>44778</v>
      </c>
      <c r="C525" s="1" t="n">
        <v>45995</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42856-2025</t>
        </is>
      </c>
      <c r="B526" s="1" t="n">
        <v>45908</v>
      </c>
      <c r="C526" s="1" t="n">
        <v>45995</v>
      </c>
      <c r="D526" t="inlineStr">
        <is>
          <t>STOCKHOLMS LÄN</t>
        </is>
      </c>
      <c r="E526" t="inlineStr">
        <is>
          <t>NORRTÄLJE</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20011-2025</t>
        </is>
      </c>
      <c r="B527" s="1" t="n">
        <v>45772.29622685185</v>
      </c>
      <c r="C527" s="1" t="n">
        <v>45995</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52743-2024</t>
        </is>
      </c>
      <c r="B528" s="1" t="n">
        <v>45610.47414351852</v>
      </c>
      <c r="C528" s="1" t="n">
        <v>45995</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30221-2024</t>
        </is>
      </c>
      <c r="B529" s="1" t="n">
        <v>45490.45342592592</v>
      </c>
      <c r="C529" s="1" t="n">
        <v>45995</v>
      </c>
      <c r="D529" t="inlineStr">
        <is>
          <t>STOCKHOLMS LÄN</t>
        </is>
      </c>
      <c r="E529" t="inlineStr">
        <is>
          <t>NORRTÄLJE</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2888-2022</t>
        </is>
      </c>
      <c r="B530" s="1" t="n">
        <v>44581</v>
      </c>
      <c r="C530" s="1" t="n">
        <v>45995</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26365-2024</t>
        </is>
      </c>
      <c r="B531" s="1" t="n">
        <v>45469</v>
      </c>
      <c r="C531" s="1" t="n">
        <v>45995</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11499-2023</t>
        </is>
      </c>
      <c r="B532" s="1" t="n">
        <v>44993.66707175926</v>
      </c>
      <c r="C532" s="1" t="n">
        <v>45995</v>
      </c>
      <c r="D532" t="inlineStr">
        <is>
          <t>STOCKHOLMS LÄN</t>
        </is>
      </c>
      <c r="E532" t="inlineStr">
        <is>
          <t>NORRTÄLJE</t>
        </is>
      </c>
      <c r="F532" t="inlineStr">
        <is>
          <t>Holmen skog AB</t>
        </is>
      </c>
      <c r="G532" t="n">
        <v>2.8</v>
      </c>
      <c r="H532" t="n">
        <v>0</v>
      </c>
      <c r="I532" t="n">
        <v>0</v>
      </c>
      <c r="J532" t="n">
        <v>0</v>
      </c>
      <c r="K532" t="n">
        <v>0</v>
      </c>
      <c r="L532" t="n">
        <v>0</v>
      </c>
      <c r="M532" t="n">
        <v>0</v>
      </c>
      <c r="N532" t="n">
        <v>0</v>
      </c>
      <c r="O532" t="n">
        <v>0</v>
      </c>
      <c r="P532" t="n">
        <v>0</v>
      </c>
      <c r="Q532" t="n">
        <v>0</v>
      </c>
      <c r="R532" s="2" t="inlineStr"/>
    </row>
    <row r="533" ht="15" customHeight="1">
      <c r="A533" t="inlineStr">
        <is>
          <t>A 64600-2021</t>
        </is>
      </c>
      <c r="B533" s="1" t="n">
        <v>44511.70518518519</v>
      </c>
      <c r="C533" s="1" t="n">
        <v>45995</v>
      </c>
      <c r="D533" t="inlineStr">
        <is>
          <t>STOCKHOLMS LÄN</t>
        </is>
      </c>
      <c r="E533" t="inlineStr">
        <is>
          <t>NORRTÄLJE</t>
        </is>
      </c>
      <c r="G533" t="n">
        <v>6.2</v>
      </c>
      <c r="H533" t="n">
        <v>0</v>
      </c>
      <c r="I533" t="n">
        <v>0</v>
      </c>
      <c r="J533" t="n">
        <v>0</v>
      </c>
      <c r="K533" t="n">
        <v>0</v>
      </c>
      <c r="L533" t="n">
        <v>0</v>
      </c>
      <c r="M533" t="n">
        <v>0</v>
      </c>
      <c r="N533" t="n">
        <v>0</v>
      </c>
      <c r="O533" t="n">
        <v>0</v>
      </c>
      <c r="P533" t="n">
        <v>0</v>
      </c>
      <c r="Q533" t="n">
        <v>0</v>
      </c>
      <c r="R533" s="2" t="inlineStr"/>
    </row>
    <row r="534" ht="15" customHeight="1">
      <c r="A534" t="inlineStr">
        <is>
          <t>A 35640-2024</t>
        </is>
      </c>
      <c r="B534" s="1" t="n">
        <v>45531</v>
      </c>
      <c r="C534" s="1" t="n">
        <v>45995</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50602-2021</t>
        </is>
      </c>
      <c r="B535" s="1" t="n">
        <v>44459</v>
      </c>
      <c r="C535" s="1" t="n">
        <v>45995</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8586-2023</t>
        </is>
      </c>
      <c r="B536" s="1" t="n">
        <v>44977</v>
      </c>
      <c r="C536" s="1" t="n">
        <v>45995</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48798-2021</t>
        </is>
      </c>
      <c r="B537" s="1" t="n">
        <v>44452</v>
      </c>
      <c r="C537" s="1" t="n">
        <v>45995</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67990-2021</t>
        </is>
      </c>
      <c r="B538" s="1" t="n">
        <v>44525</v>
      </c>
      <c r="C538" s="1" t="n">
        <v>45995</v>
      </c>
      <c r="D538" t="inlineStr">
        <is>
          <t>STOCKHOLMS LÄN</t>
        </is>
      </c>
      <c r="E538" t="inlineStr">
        <is>
          <t>NORRTÄLJE</t>
        </is>
      </c>
      <c r="F538" t="inlineStr">
        <is>
          <t>Sveaskog</t>
        </is>
      </c>
      <c r="G538" t="n">
        <v>7.8</v>
      </c>
      <c r="H538" t="n">
        <v>0</v>
      </c>
      <c r="I538" t="n">
        <v>0</v>
      </c>
      <c r="J538" t="n">
        <v>0</v>
      </c>
      <c r="K538" t="n">
        <v>0</v>
      </c>
      <c r="L538" t="n">
        <v>0</v>
      </c>
      <c r="M538" t="n">
        <v>0</v>
      </c>
      <c r="N538" t="n">
        <v>0</v>
      </c>
      <c r="O538" t="n">
        <v>0</v>
      </c>
      <c r="P538" t="n">
        <v>0</v>
      </c>
      <c r="Q538" t="n">
        <v>0</v>
      </c>
      <c r="R538" s="2" t="inlineStr"/>
    </row>
    <row r="539" ht="15" customHeight="1">
      <c r="A539" t="inlineStr">
        <is>
          <t>A 24835-2025</t>
        </is>
      </c>
      <c r="B539" s="1" t="n">
        <v>45799</v>
      </c>
      <c r="C539" s="1" t="n">
        <v>45995</v>
      </c>
      <c r="D539" t="inlineStr">
        <is>
          <t>STOCKHOLMS LÄN</t>
        </is>
      </c>
      <c r="E539" t="inlineStr">
        <is>
          <t>NORRTÄLJE</t>
        </is>
      </c>
      <c r="G539" t="n">
        <v>2.5</v>
      </c>
      <c r="H539" t="n">
        <v>0</v>
      </c>
      <c r="I539" t="n">
        <v>0</v>
      </c>
      <c r="J539" t="n">
        <v>0</v>
      </c>
      <c r="K539" t="n">
        <v>0</v>
      </c>
      <c r="L539" t="n">
        <v>0</v>
      </c>
      <c r="M539" t="n">
        <v>0</v>
      </c>
      <c r="N539" t="n">
        <v>0</v>
      </c>
      <c r="O539" t="n">
        <v>0</v>
      </c>
      <c r="P539" t="n">
        <v>0</v>
      </c>
      <c r="Q539" t="n">
        <v>0</v>
      </c>
      <c r="R539" s="2" t="inlineStr"/>
    </row>
    <row r="540" ht="15" customHeight="1">
      <c r="A540" t="inlineStr">
        <is>
          <t>A 30283-2022</t>
        </is>
      </c>
      <c r="B540" s="1" t="n">
        <v>44760</v>
      </c>
      <c r="C540" s="1" t="n">
        <v>45995</v>
      </c>
      <c r="D540" t="inlineStr">
        <is>
          <t>STOCKHOLMS LÄN</t>
        </is>
      </c>
      <c r="E540" t="inlineStr">
        <is>
          <t>NORRTÄLJE</t>
        </is>
      </c>
      <c r="G540" t="n">
        <v>6.2</v>
      </c>
      <c r="H540" t="n">
        <v>0</v>
      </c>
      <c r="I540" t="n">
        <v>0</v>
      </c>
      <c r="J540" t="n">
        <v>0</v>
      </c>
      <c r="K540" t="n">
        <v>0</v>
      </c>
      <c r="L540" t="n">
        <v>0</v>
      </c>
      <c r="M540" t="n">
        <v>0</v>
      </c>
      <c r="N540" t="n">
        <v>0</v>
      </c>
      <c r="O540" t="n">
        <v>0</v>
      </c>
      <c r="P540" t="n">
        <v>0</v>
      </c>
      <c r="Q540" t="n">
        <v>0</v>
      </c>
      <c r="R540" s="2" t="inlineStr"/>
    </row>
    <row r="541" ht="15" customHeight="1">
      <c r="A541" t="inlineStr">
        <is>
          <t>A 30290-2022</t>
        </is>
      </c>
      <c r="B541" s="1" t="n">
        <v>44760</v>
      </c>
      <c r="C541" s="1" t="n">
        <v>45995</v>
      </c>
      <c r="D541" t="inlineStr">
        <is>
          <t>STOCKHOLMS LÄN</t>
        </is>
      </c>
      <c r="E541" t="inlineStr">
        <is>
          <t>NORRTÄLJE</t>
        </is>
      </c>
      <c r="G541" t="n">
        <v>4.8</v>
      </c>
      <c r="H541" t="n">
        <v>0</v>
      </c>
      <c r="I541" t="n">
        <v>0</v>
      </c>
      <c r="J541" t="n">
        <v>0</v>
      </c>
      <c r="K541" t="n">
        <v>0</v>
      </c>
      <c r="L541" t="n">
        <v>0</v>
      </c>
      <c r="M541" t="n">
        <v>0</v>
      </c>
      <c r="N541" t="n">
        <v>0</v>
      </c>
      <c r="O541" t="n">
        <v>0</v>
      </c>
      <c r="P541" t="n">
        <v>0</v>
      </c>
      <c r="Q541" t="n">
        <v>0</v>
      </c>
      <c r="R541" s="2" t="inlineStr"/>
    </row>
    <row r="542" ht="15" customHeight="1">
      <c r="A542" t="inlineStr">
        <is>
          <t>A 43169-2025</t>
        </is>
      </c>
      <c r="B542" s="1" t="n">
        <v>45910</v>
      </c>
      <c r="C542" s="1" t="n">
        <v>45995</v>
      </c>
      <c r="D542" t="inlineStr">
        <is>
          <t>STOCKHOLMS LÄN</t>
        </is>
      </c>
      <c r="E542" t="inlineStr">
        <is>
          <t>NORRTÄLJE</t>
        </is>
      </c>
      <c r="G542" t="n">
        <v>6.9</v>
      </c>
      <c r="H542" t="n">
        <v>0</v>
      </c>
      <c r="I542" t="n">
        <v>0</v>
      </c>
      <c r="J542" t="n">
        <v>0</v>
      </c>
      <c r="K542" t="n">
        <v>0</v>
      </c>
      <c r="L542" t="n">
        <v>0</v>
      </c>
      <c r="M542" t="n">
        <v>0</v>
      </c>
      <c r="N542" t="n">
        <v>0</v>
      </c>
      <c r="O542" t="n">
        <v>0</v>
      </c>
      <c r="P542" t="n">
        <v>0</v>
      </c>
      <c r="Q542" t="n">
        <v>0</v>
      </c>
      <c r="R542" s="2" t="inlineStr"/>
    </row>
    <row r="543" ht="15" customHeight="1">
      <c r="A543" t="inlineStr">
        <is>
          <t>A 21696-2024</t>
        </is>
      </c>
      <c r="B543" s="1" t="n">
        <v>45442.45686342593</v>
      </c>
      <c r="C543" s="1" t="n">
        <v>45995</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37136-2023</t>
        </is>
      </c>
      <c r="B544" s="1" t="n">
        <v>45155</v>
      </c>
      <c r="C544" s="1" t="n">
        <v>45995</v>
      </c>
      <c r="D544" t="inlineStr">
        <is>
          <t>STOCKHOLMS LÄN</t>
        </is>
      </c>
      <c r="E544" t="inlineStr">
        <is>
          <t>NORRTÄLJE</t>
        </is>
      </c>
      <c r="G544" t="n">
        <v>2.5</v>
      </c>
      <c r="H544" t="n">
        <v>0</v>
      </c>
      <c r="I544" t="n">
        <v>0</v>
      </c>
      <c r="J544" t="n">
        <v>0</v>
      </c>
      <c r="K544" t="n">
        <v>0</v>
      </c>
      <c r="L544" t="n">
        <v>0</v>
      </c>
      <c r="M544" t="n">
        <v>0</v>
      </c>
      <c r="N544" t="n">
        <v>0</v>
      </c>
      <c r="O544" t="n">
        <v>0</v>
      </c>
      <c r="P544" t="n">
        <v>0</v>
      </c>
      <c r="Q544" t="n">
        <v>0</v>
      </c>
      <c r="R544" s="2" t="inlineStr"/>
    </row>
    <row r="545" ht="15" customHeight="1">
      <c r="A545" t="inlineStr">
        <is>
          <t>A 43269-2025</t>
        </is>
      </c>
      <c r="B545" s="1" t="n">
        <v>45910.5819212963</v>
      </c>
      <c r="C545" s="1" t="n">
        <v>45995</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38985-2022</t>
        </is>
      </c>
      <c r="B546" s="1" t="n">
        <v>44816</v>
      </c>
      <c r="C546" s="1" t="n">
        <v>45995</v>
      </c>
      <c r="D546" t="inlineStr">
        <is>
          <t>STOCKHOLMS LÄN</t>
        </is>
      </c>
      <c r="E546" t="inlineStr">
        <is>
          <t>NORRTÄLJE</t>
        </is>
      </c>
      <c r="G546" t="n">
        <v>10.1</v>
      </c>
      <c r="H546" t="n">
        <v>0</v>
      </c>
      <c r="I546" t="n">
        <v>0</v>
      </c>
      <c r="J546" t="n">
        <v>0</v>
      </c>
      <c r="K546" t="n">
        <v>0</v>
      </c>
      <c r="L546" t="n">
        <v>0</v>
      </c>
      <c r="M546" t="n">
        <v>0</v>
      </c>
      <c r="N546" t="n">
        <v>0</v>
      </c>
      <c r="O546" t="n">
        <v>0</v>
      </c>
      <c r="P546" t="n">
        <v>0</v>
      </c>
      <c r="Q546" t="n">
        <v>0</v>
      </c>
      <c r="R546" s="2" t="inlineStr"/>
    </row>
    <row r="547" ht="15" customHeight="1">
      <c r="A547" t="inlineStr">
        <is>
          <t>A 25625-2023</t>
        </is>
      </c>
      <c r="B547" s="1" t="n">
        <v>45089</v>
      </c>
      <c r="C547" s="1" t="n">
        <v>45995</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52526-2025</t>
        </is>
      </c>
      <c r="B548" s="1" t="n">
        <v>45954.53061342592</v>
      </c>
      <c r="C548" s="1" t="n">
        <v>45995</v>
      </c>
      <c r="D548" t="inlineStr">
        <is>
          <t>STOCKHOLMS LÄN</t>
        </is>
      </c>
      <c r="E548" t="inlineStr">
        <is>
          <t>NORRTÄLJE</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1740-2023</t>
        </is>
      </c>
      <c r="B549" s="1" t="n">
        <v>44938</v>
      </c>
      <c r="C549" s="1" t="n">
        <v>45995</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11902-2024</t>
        </is>
      </c>
      <c r="B550" s="1" t="n">
        <v>45376.55704861111</v>
      </c>
      <c r="C550" s="1" t="n">
        <v>45995</v>
      </c>
      <c r="D550" t="inlineStr">
        <is>
          <t>STOCKHOLMS LÄN</t>
        </is>
      </c>
      <c r="E550" t="inlineStr">
        <is>
          <t>NORRTÄLJE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52529-2025</t>
        </is>
      </c>
      <c r="B551" s="1" t="n">
        <v>45954.53229166667</v>
      </c>
      <c r="C551" s="1" t="n">
        <v>45995</v>
      </c>
      <c r="D551" t="inlineStr">
        <is>
          <t>STOCKHOLMS LÄN</t>
        </is>
      </c>
      <c r="E551" t="inlineStr">
        <is>
          <t>NORRTÄLJE</t>
        </is>
      </c>
      <c r="F551" t="inlineStr">
        <is>
          <t>Sveaskog</t>
        </is>
      </c>
      <c r="G551" t="n">
        <v>7.8</v>
      </c>
      <c r="H551" t="n">
        <v>0</v>
      </c>
      <c r="I551" t="n">
        <v>0</v>
      </c>
      <c r="J551" t="n">
        <v>0</v>
      </c>
      <c r="K551" t="n">
        <v>0</v>
      </c>
      <c r="L551" t="n">
        <v>0</v>
      </c>
      <c r="M551" t="n">
        <v>0</v>
      </c>
      <c r="N551" t="n">
        <v>0</v>
      </c>
      <c r="O551" t="n">
        <v>0</v>
      </c>
      <c r="P551" t="n">
        <v>0</v>
      </c>
      <c r="Q551" t="n">
        <v>0</v>
      </c>
      <c r="R551" s="2" t="inlineStr"/>
    </row>
    <row r="552" ht="15" customHeight="1">
      <c r="A552" t="inlineStr">
        <is>
          <t>A 52553-2025</t>
        </is>
      </c>
      <c r="B552" s="1" t="n">
        <v>45954.5624537037</v>
      </c>
      <c r="C552" s="1" t="n">
        <v>45995</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52254-2025</t>
        </is>
      </c>
      <c r="B553" s="1" t="n">
        <v>45953.49519675926</v>
      </c>
      <c r="C553" s="1" t="n">
        <v>45995</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13-2024</t>
        </is>
      </c>
      <c r="B554" s="1" t="n">
        <v>45293.37263888889</v>
      </c>
      <c r="C554" s="1" t="n">
        <v>45995</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14132-2025</t>
        </is>
      </c>
      <c r="B555" s="1" t="n">
        <v>45740.47550925926</v>
      </c>
      <c r="C555" s="1" t="n">
        <v>45995</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14133-2025</t>
        </is>
      </c>
      <c r="B556" s="1" t="n">
        <v>45740.47724537037</v>
      </c>
      <c r="C556" s="1" t="n">
        <v>45995</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66662-2020</t>
        </is>
      </c>
      <c r="B557" s="1" t="n">
        <v>44179</v>
      </c>
      <c r="C557" s="1" t="n">
        <v>45995</v>
      </c>
      <c r="D557" t="inlineStr">
        <is>
          <t>STOCKHOLMS LÄN</t>
        </is>
      </c>
      <c r="E557" t="inlineStr">
        <is>
          <t>NORRTÄLJE</t>
        </is>
      </c>
      <c r="G557" t="n">
        <v>1.9</v>
      </c>
      <c r="H557" t="n">
        <v>0</v>
      </c>
      <c r="I557" t="n">
        <v>0</v>
      </c>
      <c r="J557" t="n">
        <v>0</v>
      </c>
      <c r="K557" t="n">
        <v>0</v>
      </c>
      <c r="L557" t="n">
        <v>0</v>
      </c>
      <c r="M557" t="n">
        <v>0</v>
      </c>
      <c r="N557" t="n">
        <v>0</v>
      </c>
      <c r="O557" t="n">
        <v>0</v>
      </c>
      <c r="P557" t="n">
        <v>0</v>
      </c>
      <c r="Q557" t="n">
        <v>0</v>
      </c>
      <c r="R557" s="2" t="inlineStr"/>
    </row>
    <row r="558" ht="15" customHeight="1">
      <c r="A558" t="inlineStr">
        <is>
          <t>A 7186-2024</t>
        </is>
      </c>
      <c r="B558" s="1" t="n">
        <v>45344</v>
      </c>
      <c r="C558" s="1" t="n">
        <v>45995</v>
      </c>
      <c r="D558" t="inlineStr">
        <is>
          <t>STOCKHOLMS LÄN</t>
        </is>
      </c>
      <c r="E558" t="inlineStr">
        <is>
          <t>NORRTÄLJE</t>
        </is>
      </c>
      <c r="G558" t="n">
        <v>4.9</v>
      </c>
      <c r="H558" t="n">
        <v>0</v>
      </c>
      <c r="I558" t="n">
        <v>0</v>
      </c>
      <c r="J558" t="n">
        <v>0</v>
      </c>
      <c r="K558" t="n">
        <v>0</v>
      </c>
      <c r="L558" t="n">
        <v>0</v>
      </c>
      <c r="M558" t="n">
        <v>0</v>
      </c>
      <c r="N558" t="n">
        <v>0</v>
      </c>
      <c r="O558" t="n">
        <v>0</v>
      </c>
      <c r="P558" t="n">
        <v>0</v>
      </c>
      <c r="Q558" t="n">
        <v>0</v>
      </c>
      <c r="R558" s="2" t="inlineStr"/>
    </row>
    <row r="559" ht="15" customHeight="1">
      <c r="A559" t="inlineStr">
        <is>
          <t>A 58260-2023</t>
        </is>
      </c>
      <c r="B559" s="1" t="n">
        <v>45245</v>
      </c>
      <c r="C559" s="1" t="n">
        <v>45995</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30719-2025</t>
        </is>
      </c>
      <c r="B560" s="1" t="n">
        <v>45831</v>
      </c>
      <c r="C560" s="1" t="n">
        <v>45995</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58261-2023</t>
        </is>
      </c>
      <c r="B561" s="1" t="n">
        <v>45245</v>
      </c>
      <c r="C561" s="1" t="n">
        <v>45995</v>
      </c>
      <c r="D561" t="inlineStr">
        <is>
          <t>STOCKHOLMS LÄN</t>
        </is>
      </c>
      <c r="E561" t="inlineStr">
        <is>
          <t>NORRTÄLJE</t>
        </is>
      </c>
      <c r="G561" t="n">
        <v>53.5</v>
      </c>
      <c r="H561" t="n">
        <v>0</v>
      </c>
      <c r="I561" t="n">
        <v>0</v>
      </c>
      <c r="J561" t="n">
        <v>0</v>
      </c>
      <c r="K561" t="n">
        <v>0</v>
      </c>
      <c r="L561" t="n">
        <v>0</v>
      </c>
      <c r="M561" t="n">
        <v>0</v>
      </c>
      <c r="N561" t="n">
        <v>0</v>
      </c>
      <c r="O561" t="n">
        <v>0</v>
      </c>
      <c r="P561" t="n">
        <v>0</v>
      </c>
      <c r="Q561" t="n">
        <v>0</v>
      </c>
      <c r="R561" s="2" t="inlineStr"/>
    </row>
    <row r="562" ht="15" customHeight="1">
      <c r="A562" t="inlineStr">
        <is>
          <t>A 52251-2025</t>
        </is>
      </c>
      <c r="B562" s="1" t="n">
        <v>45953.49185185185</v>
      </c>
      <c r="C562" s="1" t="n">
        <v>45995</v>
      </c>
      <c r="D562" t="inlineStr">
        <is>
          <t>STOCKHOLMS LÄN</t>
        </is>
      </c>
      <c r="E562" t="inlineStr">
        <is>
          <t>NORRTÄLJE</t>
        </is>
      </c>
      <c r="G562" t="n">
        <v>6.2</v>
      </c>
      <c r="H562" t="n">
        <v>0</v>
      </c>
      <c r="I562" t="n">
        <v>0</v>
      </c>
      <c r="J562" t="n">
        <v>0</v>
      </c>
      <c r="K562" t="n">
        <v>0</v>
      </c>
      <c r="L562" t="n">
        <v>0</v>
      </c>
      <c r="M562" t="n">
        <v>0</v>
      </c>
      <c r="N562" t="n">
        <v>0</v>
      </c>
      <c r="O562" t="n">
        <v>0</v>
      </c>
      <c r="P562" t="n">
        <v>0</v>
      </c>
      <c r="Q562" t="n">
        <v>0</v>
      </c>
      <c r="R562" s="2" t="inlineStr"/>
    </row>
    <row r="563" ht="15" customHeight="1">
      <c r="A563" t="inlineStr">
        <is>
          <t>A 5423-2023</t>
        </is>
      </c>
      <c r="B563" s="1" t="n">
        <v>44959.74533564815</v>
      </c>
      <c r="C563" s="1" t="n">
        <v>45995</v>
      </c>
      <c r="D563" t="inlineStr">
        <is>
          <t>STOCKHOLMS LÄN</t>
        </is>
      </c>
      <c r="E563" t="inlineStr">
        <is>
          <t>NORRTÄLJE</t>
        </is>
      </c>
      <c r="G563" t="n">
        <v>2</v>
      </c>
      <c r="H563" t="n">
        <v>0</v>
      </c>
      <c r="I563" t="n">
        <v>0</v>
      </c>
      <c r="J563" t="n">
        <v>0</v>
      </c>
      <c r="K563" t="n">
        <v>0</v>
      </c>
      <c r="L563" t="n">
        <v>0</v>
      </c>
      <c r="M563" t="n">
        <v>0</v>
      </c>
      <c r="N563" t="n">
        <v>0</v>
      </c>
      <c r="O563" t="n">
        <v>0</v>
      </c>
      <c r="P563" t="n">
        <v>0</v>
      </c>
      <c r="Q563" t="n">
        <v>0</v>
      </c>
      <c r="R563" s="2" t="inlineStr"/>
    </row>
    <row r="564" ht="15" customHeight="1">
      <c r="A564" t="inlineStr">
        <is>
          <t>A 58492-2022</t>
        </is>
      </c>
      <c r="B564" s="1" t="n">
        <v>44902</v>
      </c>
      <c r="C564" s="1" t="n">
        <v>45995</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39202-2024</t>
        </is>
      </c>
      <c r="B565" s="1" t="n">
        <v>45548.72306712963</v>
      </c>
      <c r="C565" s="1" t="n">
        <v>45995</v>
      </c>
      <c r="D565" t="inlineStr">
        <is>
          <t>STOCKHOLMS LÄN</t>
        </is>
      </c>
      <c r="E565" t="inlineStr">
        <is>
          <t>NORRTÄLJE</t>
        </is>
      </c>
      <c r="G565" t="n">
        <v>1.9</v>
      </c>
      <c r="H565" t="n">
        <v>0</v>
      </c>
      <c r="I565" t="n">
        <v>0</v>
      </c>
      <c r="J565" t="n">
        <v>0</v>
      </c>
      <c r="K565" t="n">
        <v>0</v>
      </c>
      <c r="L565" t="n">
        <v>0</v>
      </c>
      <c r="M565" t="n">
        <v>0</v>
      </c>
      <c r="N565" t="n">
        <v>0</v>
      </c>
      <c r="O565" t="n">
        <v>0</v>
      </c>
      <c r="P565" t="n">
        <v>0</v>
      </c>
      <c r="Q565" t="n">
        <v>0</v>
      </c>
      <c r="R565" s="2" t="inlineStr"/>
    </row>
    <row r="566" ht="15" customHeight="1">
      <c r="A566" t="inlineStr">
        <is>
          <t>A 13291-2025</t>
        </is>
      </c>
      <c r="B566" s="1" t="n">
        <v>45735</v>
      </c>
      <c r="C566" s="1" t="n">
        <v>45995</v>
      </c>
      <c r="D566" t="inlineStr">
        <is>
          <t>STOCKHOLMS LÄN</t>
        </is>
      </c>
      <c r="E566" t="inlineStr">
        <is>
          <t>NORRTÄLJE</t>
        </is>
      </c>
      <c r="G566" t="n">
        <v>3.8</v>
      </c>
      <c r="H566" t="n">
        <v>0</v>
      </c>
      <c r="I566" t="n">
        <v>0</v>
      </c>
      <c r="J566" t="n">
        <v>0</v>
      </c>
      <c r="K566" t="n">
        <v>0</v>
      </c>
      <c r="L566" t="n">
        <v>0</v>
      </c>
      <c r="M566" t="n">
        <v>0</v>
      </c>
      <c r="N566" t="n">
        <v>0</v>
      </c>
      <c r="O566" t="n">
        <v>0</v>
      </c>
      <c r="P566" t="n">
        <v>0</v>
      </c>
      <c r="Q566" t="n">
        <v>0</v>
      </c>
      <c r="R566" s="2" t="inlineStr"/>
    </row>
    <row r="567" ht="15" customHeight="1">
      <c r="A567" t="inlineStr">
        <is>
          <t>A 44343-2025</t>
        </is>
      </c>
      <c r="B567" s="1" t="n">
        <v>45916.43378472222</v>
      </c>
      <c r="C567" s="1" t="n">
        <v>45995</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4553-2023</t>
        </is>
      </c>
      <c r="B568" s="1" t="n">
        <v>44956.65920138889</v>
      </c>
      <c r="C568" s="1" t="n">
        <v>45995</v>
      </c>
      <c r="D568" t="inlineStr">
        <is>
          <t>STOCKHOLMS LÄN</t>
        </is>
      </c>
      <c r="E568" t="inlineStr">
        <is>
          <t>NORRTÄLJE</t>
        </is>
      </c>
      <c r="G568" t="n">
        <v>7.5</v>
      </c>
      <c r="H568" t="n">
        <v>0</v>
      </c>
      <c r="I568" t="n">
        <v>0</v>
      </c>
      <c r="J568" t="n">
        <v>0</v>
      </c>
      <c r="K568" t="n">
        <v>0</v>
      </c>
      <c r="L568" t="n">
        <v>0</v>
      </c>
      <c r="M568" t="n">
        <v>0</v>
      </c>
      <c r="N568" t="n">
        <v>0</v>
      </c>
      <c r="O568" t="n">
        <v>0</v>
      </c>
      <c r="P568" t="n">
        <v>0</v>
      </c>
      <c r="Q568" t="n">
        <v>0</v>
      </c>
      <c r="R568" s="2" t="inlineStr"/>
    </row>
    <row r="569" ht="15" customHeight="1">
      <c r="A569" t="inlineStr">
        <is>
          <t>A 4581-2025</t>
        </is>
      </c>
      <c r="B569" s="1" t="n">
        <v>45687</v>
      </c>
      <c r="C569" s="1" t="n">
        <v>45995</v>
      </c>
      <c r="D569" t="inlineStr">
        <is>
          <t>STOCKHOLMS LÄN</t>
        </is>
      </c>
      <c r="E569" t="inlineStr">
        <is>
          <t>NORRTÄLJE</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875-2023</t>
        </is>
      </c>
      <c r="B570" s="1" t="n">
        <v>44931.65626157408</v>
      </c>
      <c r="C570" s="1" t="n">
        <v>45995</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53792-2023</t>
        </is>
      </c>
      <c r="B571" s="1" t="n">
        <v>45231.34144675926</v>
      </c>
      <c r="C571" s="1" t="n">
        <v>45995</v>
      </c>
      <c r="D571" t="inlineStr">
        <is>
          <t>STOCKHOLMS LÄN</t>
        </is>
      </c>
      <c r="E571" t="inlineStr">
        <is>
          <t>NORRTÄLJE</t>
        </is>
      </c>
      <c r="G571" t="n">
        <v>1.1</v>
      </c>
      <c r="H571" t="n">
        <v>0</v>
      </c>
      <c r="I571" t="n">
        <v>0</v>
      </c>
      <c r="J571" t="n">
        <v>0</v>
      </c>
      <c r="K571" t="n">
        <v>0</v>
      </c>
      <c r="L571" t="n">
        <v>0</v>
      </c>
      <c r="M571" t="n">
        <v>0</v>
      </c>
      <c r="N571" t="n">
        <v>0</v>
      </c>
      <c r="O571" t="n">
        <v>0</v>
      </c>
      <c r="P571" t="n">
        <v>0</v>
      </c>
      <c r="Q571" t="n">
        <v>0</v>
      </c>
      <c r="R571" s="2" t="inlineStr"/>
    </row>
    <row r="572" ht="15" customHeight="1">
      <c r="A572" t="inlineStr">
        <is>
          <t>A 53000-2025</t>
        </is>
      </c>
      <c r="B572" s="1" t="n">
        <v>45957.74357638889</v>
      </c>
      <c r="C572" s="1" t="n">
        <v>45995</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52773-2025</t>
        </is>
      </c>
      <c r="B573" s="1" t="n">
        <v>45957.41457175926</v>
      </c>
      <c r="C573" s="1" t="n">
        <v>45995</v>
      </c>
      <c r="D573" t="inlineStr">
        <is>
          <t>STOCKHOLMS LÄN</t>
        </is>
      </c>
      <c r="E573" t="inlineStr">
        <is>
          <t>NORRTÄLJE</t>
        </is>
      </c>
      <c r="F573" t="inlineStr">
        <is>
          <t>Sveaskog</t>
        </is>
      </c>
      <c r="G573" t="n">
        <v>10.5</v>
      </c>
      <c r="H573" t="n">
        <v>0</v>
      </c>
      <c r="I573" t="n">
        <v>0</v>
      </c>
      <c r="J573" t="n">
        <v>0</v>
      </c>
      <c r="K573" t="n">
        <v>0</v>
      </c>
      <c r="L573" t="n">
        <v>0</v>
      </c>
      <c r="M573" t="n">
        <v>0</v>
      </c>
      <c r="N573" t="n">
        <v>0</v>
      </c>
      <c r="O573" t="n">
        <v>0</v>
      </c>
      <c r="P573" t="n">
        <v>0</v>
      </c>
      <c r="Q573" t="n">
        <v>0</v>
      </c>
      <c r="R573" s="2" t="inlineStr"/>
    </row>
    <row r="574" ht="15" customHeight="1">
      <c r="A574" t="inlineStr">
        <is>
          <t>A 28816-2023</t>
        </is>
      </c>
      <c r="B574" s="1" t="n">
        <v>45104</v>
      </c>
      <c r="C574" s="1" t="n">
        <v>45995</v>
      </c>
      <c r="D574" t="inlineStr">
        <is>
          <t>STOCKHOLMS LÄN</t>
        </is>
      </c>
      <c r="E574" t="inlineStr">
        <is>
          <t>NORRTÄLJE</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11280-2023</t>
        </is>
      </c>
      <c r="B575" s="1" t="n">
        <v>44992</v>
      </c>
      <c r="C575" s="1" t="n">
        <v>45995</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43916-2025</t>
        </is>
      </c>
      <c r="B576" s="1" t="n">
        <v>45914.78884259259</v>
      </c>
      <c r="C576" s="1" t="n">
        <v>45995</v>
      </c>
      <c r="D576" t="inlineStr">
        <is>
          <t>STOCKHOLMS LÄN</t>
        </is>
      </c>
      <c r="E576" t="inlineStr">
        <is>
          <t>NORRTÄLJE</t>
        </is>
      </c>
      <c r="G576" t="n">
        <v>1.5</v>
      </c>
      <c r="H576" t="n">
        <v>0</v>
      </c>
      <c r="I576" t="n">
        <v>0</v>
      </c>
      <c r="J576" t="n">
        <v>0</v>
      </c>
      <c r="K576" t="n">
        <v>0</v>
      </c>
      <c r="L576" t="n">
        <v>0</v>
      </c>
      <c r="M576" t="n">
        <v>0</v>
      </c>
      <c r="N576" t="n">
        <v>0</v>
      </c>
      <c r="O576" t="n">
        <v>0</v>
      </c>
      <c r="P576" t="n">
        <v>0</v>
      </c>
      <c r="Q576" t="n">
        <v>0</v>
      </c>
      <c r="R576" s="2" t="inlineStr"/>
    </row>
    <row r="577" ht="15" customHeight="1">
      <c r="A577" t="inlineStr">
        <is>
          <t>A 24575-2024</t>
        </is>
      </c>
      <c r="B577" s="1" t="n">
        <v>45460.45523148148</v>
      </c>
      <c r="C577" s="1" t="n">
        <v>45995</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19-2024</t>
        </is>
      </c>
      <c r="B578" s="1" t="n">
        <v>45293</v>
      </c>
      <c r="C578" s="1" t="n">
        <v>45995</v>
      </c>
      <c r="D578" t="inlineStr">
        <is>
          <t>STOCKHOLMS LÄN</t>
        </is>
      </c>
      <c r="E578" t="inlineStr">
        <is>
          <t>NORRTÄLJE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57442-2021</t>
        </is>
      </c>
      <c r="B579" s="1" t="n">
        <v>44483</v>
      </c>
      <c r="C579" s="1" t="n">
        <v>45995</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19952-2023</t>
        </is>
      </c>
      <c r="B580" s="1" t="n">
        <v>45054.54091435186</v>
      </c>
      <c r="C580" s="1" t="n">
        <v>45995</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44311-2025</t>
        </is>
      </c>
      <c r="B581" s="1" t="n">
        <v>45916.38394675926</v>
      </c>
      <c r="C581" s="1" t="n">
        <v>45995</v>
      </c>
      <c r="D581" t="inlineStr">
        <is>
          <t>STOCKHOLMS LÄN</t>
        </is>
      </c>
      <c r="E581" t="inlineStr">
        <is>
          <t>NORRTÄLJE</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19994-2023</t>
        </is>
      </c>
      <c r="B582" s="1" t="n">
        <v>45054</v>
      </c>
      <c r="C582" s="1" t="n">
        <v>45995</v>
      </c>
      <c r="D582" t="inlineStr">
        <is>
          <t>STOCKHOLMS LÄN</t>
        </is>
      </c>
      <c r="E582" t="inlineStr">
        <is>
          <t>NORRTÄLJE</t>
        </is>
      </c>
      <c r="G582" t="n">
        <v>4.3</v>
      </c>
      <c r="H582" t="n">
        <v>0</v>
      </c>
      <c r="I582" t="n">
        <v>0</v>
      </c>
      <c r="J582" t="n">
        <v>0</v>
      </c>
      <c r="K582" t="n">
        <v>0</v>
      </c>
      <c r="L582" t="n">
        <v>0</v>
      </c>
      <c r="M582" t="n">
        <v>0</v>
      </c>
      <c r="N582" t="n">
        <v>0</v>
      </c>
      <c r="O582" t="n">
        <v>0</v>
      </c>
      <c r="P582" t="n">
        <v>0</v>
      </c>
      <c r="Q582" t="n">
        <v>0</v>
      </c>
      <c r="R582" s="2" t="inlineStr"/>
    </row>
    <row r="583" ht="15" customHeight="1">
      <c r="A583" t="inlineStr">
        <is>
          <t>A 44349-2025</t>
        </is>
      </c>
      <c r="B583" s="1" t="n">
        <v>45916.43929398148</v>
      </c>
      <c r="C583" s="1" t="n">
        <v>45995</v>
      </c>
      <c r="D583" t="inlineStr">
        <is>
          <t>STOCKHOLMS LÄN</t>
        </is>
      </c>
      <c r="E583" t="inlineStr">
        <is>
          <t>NORRTÄLJE</t>
        </is>
      </c>
      <c r="G583" t="n">
        <v>3.5</v>
      </c>
      <c r="H583" t="n">
        <v>0</v>
      </c>
      <c r="I583" t="n">
        <v>0</v>
      </c>
      <c r="J583" t="n">
        <v>0</v>
      </c>
      <c r="K583" t="n">
        <v>0</v>
      </c>
      <c r="L583" t="n">
        <v>0</v>
      </c>
      <c r="M583" t="n">
        <v>0</v>
      </c>
      <c r="N583" t="n">
        <v>0</v>
      </c>
      <c r="O583" t="n">
        <v>0</v>
      </c>
      <c r="P583" t="n">
        <v>0</v>
      </c>
      <c r="Q583" t="n">
        <v>0</v>
      </c>
      <c r="R583" s="2" t="inlineStr"/>
    </row>
    <row r="584" ht="15" customHeight="1">
      <c r="A584" t="inlineStr">
        <is>
          <t>A 36157-2024</t>
        </is>
      </c>
      <c r="B584" s="1" t="n">
        <v>45534.38240740741</v>
      </c>
      <c r="C584" s="1" t="n">
        <v>45995</v>
      </c>
      <c r="D584" t="inlineStr">
        <is>
          <t>STOCKHOLMS LÄN</t>
        </is>
      </c>
      <c r="E584" t="inlineStr">
        <is>
          <t>NORRTÄLJE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62398-2022</t>
        </is>
      </c>
      <c r="B585" s="1" t="n">
        <v>44923.90159722222</v>
      </c>
      <c r="C585" s="1" t="n">
        <v>45995</v>
      </c>
      <c r="D585" t="inlineStr">
        <is>
          <t>STOCKHOLMS LÄN</t>
        </is>
      </c>
      <c r="E585" t="inlineStr">
        <is>
          <t>NORRTÄLJE</t>
        </is>
      </c>
      <c r="G585" t="n">
        <v>4</v>
      </c>
      <c r="H585" t="n">
        <v>0</v>
      </c>
      <c r="I585" t="n">
        <v>0</v>
      </c>
      <c r="J585" t="n">
        <v>0</v>
      </c>
      <c r="K585" t="n">
        <v>0</v>
      </c>
      <c r="L585" t="n">
        <v>0</v>
      </c>
      <c r="M585" t="n">
        <v>0</v>
      </c>
      <c r="N585" t="n">
        <v>0</v>
      </c>
      <c r="O585" t="n">
        <v>0</v>
      </c>
      <c r="P585" t="n">
        <v>0</v>
      </c>
      <c r="Q585" t="n">
        <v>0</v>
      </c>
      <c r="R585" s="2" t="inlineStr"/>
    </row>
    <row r="586" ht="15" customHeight="1">
      <c r="A586" t="inlineStr">
        <is>
          <t>A 68081-2020</t>
        </is>
      </c>
      <c r="B586" s="1" t="n">
        <v>44183</v>
      </c>
      <c r="C586" s="1" t="n">
        <v>45995</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17039-2024</t>
        </is>
      </c>
      <c r="B587" s="1" t="n">
        <v>45412.4104050926</v>
      </c>
      <c r="C587" s="1" t="n">
        <v>45995</v>
      </c>
      <c r="D587" t="inlineStr">
        <is>
          <t>STOCKHOLMS LÄN</t>
        </is>
      </c>
      <c r="E587" t="inlineStr">
        <is>
          <t>NORRTÄLJE</t>
        </is>
      </c>
      <c r="G587" t="n">
        <v>5.9</v>
      </c>
      <c r="H587" t="n">
        <v>0</v>
      </c>
      <c r="I587" t="n">
        <v>0</v>
      </c>
      <c r="J587" t="n">
        <v>0</v>
      </c>
      <c r="K587" t="n">
        <v>0</v>
      </c>
      <c r="L587" t="n">
        <v>0</v>
      </c>
      <c r="M587" t="n">
        <v>0</v>
      </c>
      <c r="N587" t="n">
        <v>0</v>
      </c>
      <c r="O587" t="n">
        <v>0</v>
      </c>
      <c r="P587" t="n">
        <v>0</v>
      </c>
      <c r="Q587" t="n">
        <v>0</v>
      </c>
      <c r="R587" s="2" t="inlineStr"/>
    </row>
    <row r="588" ht="15" customHeight="1">
      <c r="A588" t="inlineStr">
        <is>
          <t>A 29003-2023</t>
        </is>
      </c>
      <c r="B588" s="1" t="n">
        <v>45104</v>
      </c>
      <c r="C588" s="1" t="n">
        <v>45995</v>
      </c>
      <c r="D588" t="inlineStr">
        <is>
          <t>STOCKHOLMS LÄN</t>
        </is>
      </c>
      <c r="E588" t="inlineStr">
        <is>
          <t>NORRTÄLJE</t>
        </is>
      </c>
      <c r="G588" t="n">
        <v>1.3</v>
      </c>
      <c r="H588" t="n">
        <v>0</v>
      </c>
      <c r="I588" t="n">
        <v>0</v>
      </c>
      <c r="J588" t="n">
        <v>0</v>
      </c>
      <c r="K588" t="n">
        <v>0</v>
      </c>
      <c r="L588" t="n">
        <v>0</v>
      </c>
      <c r="M588" t="n">
        <v>0</v>
      </c>
      <c r="N588" t="n">
        <v>0</v>
      </c>
      <c r="O588" t="n">
        <v>0</v>
      </c>
      <c r="P588" t="n">
        <v>0</v>
      </c>
      <c r="Q588" t="n">
        <v>0</v>
      </c>
      <c r="R588" s="2" t="inlineStr"/>
    </row>
    <row r="589" ht="15" customHeight="1">
      <c r="A589" t="inlineStr">
        <is>
          <t>A 3509-2022</t>
        </is>
      </c>
      <c r="B589" s="1" t="n">
        <v>44585</v>
      </c>
      <c r="C589" s="1" t="n">
        <v>45995</v>
      </c>
      <c r="D589" t="inlineStr">
        <is>
          <t>STOCKHOLMS LÄN</t>
        </is>
      </c>
      <c r="E589" t="inlineStr">
        <is>
          <t>NORRTÄLJE</t>
        </is>
      </c>
      <c r="F589" t="inlineStr">
        <is>
          <t>Kommuner</t>
        </is>
      </c>
      <c r="G589" t="n">
        <v>0.8</v>
      </c>
      <c r="H589" t="n">
        <v>0</v>
      </c>
      <c r="I589" t="n">
        <v>0</v>
      </c>
      <c r="J589" t="n">
        <v>0</v>
      </c>
      <c r="K589" t="n">
        <v>0</v>
      </c>
      <c r="L589" t="n">
        <v>0</v>
      </c>
      <c r="M589" t="n">
        <v>0</v>
      </c>
      <c r="N589" t="n">
        <v>0</v>
      </c>
      <c r="O589" t="n">
        <v>0</v>
      </c>
      <c r="P589" t="n">
        <v>0</v>
      </c>
      <c r="Q589" t="n">
        <v>0</v>
      </c>
      <c r="R589" s="2" t="inlineStr"/>
    </row>
    <row r="590" ht="15" customHeight="1">
      <c r="A590" t="inlineStr">
        <is>
          <t>A 52734-2025</t>
        </is>
      </c>
      <c r="B590" s="1" t="n">
        <v>45957.3710300926</v>
      </c>
      <c r="C590" s="1" t="n">
        <v>45995</v>
      </c>
      <c r="D590" t="inlineStr">
        <is>
          <t>STOCKHOLMS LÄN</t>
        </is>
      </c>
      <c r="E590" t="inlineStr">
        <is>
          <t>NORRTÄLJE</t>
        </is>
      </c>
      <c r="G590" t="n">
        <v>0.5</v>
      </c>
      <c r="H590" t="n">
        <v>0</v>
      </c>
      <c r="I590" t="n">
        <v>0</v>
      </c>
      <c r="J590" t="n">
        <v>0</v>
      </c>
      <c r="K590" t="n">
        <v>0</v>
      </c>
      <c r="L590" t="n">
        <v>0</v>
      </c>
      <c r="M590" t="n">
        <v>0</v>
      </c>
      <c r="N590" t="n">
        <v>0</v>
      </c>
      <c r="O590" t="n">
        <v>0</v>
      </c>
      <c r="P590" t="n">
        <v>0</v>
      </c>
      <c r="Q590" t="n">
        <v>0</v>
      </c>
      <c r="R590" s="2" t="inlineStr"/>
    </row>
    <row r="591" ht="15" customHeight="1">
      <c r="A591" t="inlineStr">
        <is>
          <t>A 44354-2025</t>
        </is>
      </c>
      <c r="B591" s="1" t="n">
        <v>45916.44655092592</v>
      </c>
      <c r="C591" s="1" t="n">
        <v>45995</v>
      </c>
      <c r="D591" t="inlineStr">
        <is>
          <t>STOCKHOLMS LÄN</t>
        </is>
      </c>
      <c r="E591" t="inlineStr">
        <is>
          <t>NORRTÄLJE</t>
        </is>
      </c>
      <c r="G591" t="n">
        <v>2.3</v>
      </c>
      <c r="H591" t="n">
        <v>0</v>
      </c>
      <c r="I591" t="n">
        <v>0</v>
      </c>
      <c r="J591" t="n">
        <v>0</v>
      </c>
      <c r="K591" t="n">
        <v>0</v>
      </c>
      <c r="L591" t="n">
        <v>0</v>
      </c>
      <c r="M591" t="n">
        <v>0</v>
      </c>
      <c r="N591" t="n">
        <v>0</v>
      </c>
      <c r="O591" t="n">
        <v>0</v>
      </c>
      <c r="P591" t="n">
        <v>0</v>
      </c>
      <c r="Q591" t="n">
        <v>0</v>
      </c>
      <c r="R591" s="2" t="inlineStr"/>
    </row>
    <row r="592" ht="15" customHeight="1">
      <c r="A592" t="inlineStr">
        <is>
          <t>A 52776-2025</t>
        </is>
      </c>
      <c r="B592" s="1" t="n">
        <v>45957.41724537037</v>
      </c>
      <c r="C592" s="1" t="n">
        <v>45995</v>
      </c>
      <c r="D592" t="inlineStr">
        <is>
          <t>STOCKHOLMS LÄN</t>
        </is>
      </c>
      <c r="E592" t="inlineStr">
        <is>
          <t>NORRTÄLJE</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52777-2025</t>
        </is>
      </c>
      <c r="B593" s="1" t="n">
        <v>45957.41832175926</v>
      </c>
      <c r="C593" s="1" t="n">
        <v>45995</v>
      </c>
      <c r="D593" t="inlineStr">
        <is>
          <t>STOCKHOLMS LÄN</t>
        </is>
      </c>
      <c r="E593" t="inlineStr">
        <is>
          <t>NORRTÄLJE</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7697-2025</t>
        </is>
      </c>
      <c r="B594" s="1" t="n">
        <v>45706.40086805556</v>
      </c>
      <c r="C594" s="1" t="n">
        <v>45995</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53087-2025</t>
        </is>
      </c>
      <c r="B595" s="1" t="n">
        <v>45958.41065972222</v>
      </c>
      <c r="C595" s="1" t="n">
        <v>45995</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15956-2023</t>
        </is>
      </c>
      <c r="B596" s="1" t="n">
        <v>45022.61003472222</v>
      </c>
      <c r="C596" s="1" t="n">
        <v>45995</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39669-2024</t>
        </is>
      </c>
      <c r="B597" s="1" t="n">
        <v>45552.52827546297</v>
      </c>
      <c r="C597" s="1" t="n">
        <v>45995</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2982-2023</t>
        </is>
      </c>
      <c r="B598" s="1" t="n">
        <v>44945.67409722223</v>
      </c>
      <c r="C598" s="1" t="n">
        <v>45995</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1448-2023</t>
        </is>
      </c>
      <c r="B599" s="1" t="n">
        <v>44937</v>
      </c>
      <c r="C599" s="1" t="n">
        <v>45995</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52729-2025</t>
        </is>
      </c>
      <c r="B600" s="1" t="n">
        <v>45957.3636574074</v>
      </c>
      <c r="C600" s="1" t="n">
        <v>45995</v>
      </c>
      <c r="D600" t="inlineStr">
        <is>
          <t>STOCKHOLMS LÄN</t>
        </is>
      </c>
      <c r="E600" t="inlineStr">
        <is>
          <t>NORRTÄLJE</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5950-2021</t>
        </is>
      </c>
      <c r="B601" s="1" t="n">
        <v>44231</v>
      </c>
      <c r="C601" s="1" t="n">
        <v>45995</v>
      </c>
      <c r="D601" t="inlineStr">
        <is>
          <t>STOCKHOLMS LÄN</t>
        </is>
      </c>
      <c r="E601" t="inlineStr">
        <is>
          <t>NORRTÄLJE</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35127-2023</t>
        </is>
      </c>
      <c r="B602" s="1" t="n">
        <v>45145.51</v>
      </c>
      <c r="C602" s="1" t="n">
        <v>45995</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50136-2023</t>
        </is>
      </c>
      <c r="B603" s="1" t="n">
        <v>45215</v>
      </c>
      <c r="C603" s="1" t="n">
        <v>45995</v>
      </c>
      <c r="D603" t="inlineStr">
        <is>
          <t>STOCKHOLMS LÄN</t>
        </is>
      </c>
      <c r="E603" t="inlineStr">
        <is>
          <t>NORRTÄLJE</t>
        </is>
      </c>
      <c r="G603" t="n">
        <v>5.2</v>
      </c>
      <c r="H603" t="n">
        <v>0</v>
      </c>
      <c r="I603" t="n">
        <v>0</v>
      </c>
      <c r="J603" t="n">
        <v>0</v>
      </c>
      <c r="K603" t="n">
        <v>0</v>
      </c>
      <c r="L603" t="n">
        <v>0</v>
      </c>
      <c r="M603" t="n">
        <v>0</v>
      </c>
      <c r="N603" t="n">
        <v>0</v>
      </c>
      <c r="O603" t="n">
        <v>0</v>
      </c>
      <c r="P603" t="n">
        <v>0</v>
      </c>
      <c r="Q603" t="n">
        <v>0</v>
      </c>
      <c r="R603" s="2" t="inlineStr"/>
    </row>
    <row r="604" ht="15" customHeight="1">
      <c r="A604" t="inlineStr">
        <is>
          <t>A 11333-2025</t>
        </is>
      </c>
      <c r="B604" s="1" t="n">
        <v>45726.48377314815</v>
      </c>
      <c r="C604" s="1" t="n">
        <v>45995</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13053-2022</t>
        </is>
      </c>
      <c r="B605" s="1" t="n">
        <v>44643</v>
      </c>
      <c r="C605" s="1" t="n">
        <v>45995</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11229-2022</t>
        </is>
      </c>
      <c r="B606" s="1" t="n">
        <v>44629</v>
      </c>
      <c r="C606" s="1" t="n">
        <v>45995</v>
      </c>
      <c r="D606" t="inlineStr">
        <is>
          <t>STOCKHOLMS LÄN</t>
        </is>
      </c>
      <c r="E606" t="inlineStr">
        <is>
          <t>NORRTÄLJE</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9654-2022</t>
        </is>
      </c>
      <c r="B607" s="1" t="n">
        <v>44617</v>
      </c>
      <c r="C607" s="1" t="n">
        <v>45995</v>
      </c>
      <c r="D607" t="inlineStr">
        <is>
          <t>STOCKHOLMS LÄN</t>
        </is>
      </c>
      <c r="E607" t="inlineStr">
        <is>
          <t>NORRTÄLJE</t>
        </is>
      </c>
      <c r="G607" t="n">
        <v>6.4</v>
      </c>
      <c r="H607" t="n">
        <v>0</v>
      </c>
      <c r="I607" t="n">
        <v>0</v>
      </c>
      <c r="J607" t="n">
        <v>0</v>
      </c>
      <c r="K607" t="n">
        <v>0</v>
      </c>
      <c r="L607" t="n">
        <v>0</v>
      </c>
      <c r="M607" t="n">
        <v>0</v>
      </c>
      <c r="N607" t="n">
        <v>0</v>
      </c>
      <c r="O607" t="n">
        <v>0</v>
      </c>
      <c r="P607" t="n">
        <v>0</v>
      </c>
      <c r="Q607" t="n">
        <v>0</v>
      </c>
      <c r="R607" s="2" t="inlineStr"/>
    </row>
    <row r="608" ht="15" customHeight="1">
      <c r="A608" t="inlineStr">
        <is>
          <t>A 5389-2025</t>
        </is>
      </c>
      <c r="B608" s="1" t="n">
        <v>45692</v>
      </c>
      <c r="C608" s="1" t="n">
        <v>45995</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44333-2025</t>
        </is>
      </c>
      <c r="B609" s="1" t="n">
        <v>45916.42293981482</v>
      </c>
      <c r="C609" s="1" t="n">
        <v>45995</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52703-2025</t>
        </is>
      </c>
      <c r="B610" s="1" t="n">
        <v>45956.88643518519</v>
      </c>
      <c r="C610" s="1" t="n">
        <v>45995</v>
      </c>
      <c r="D610" t="inlineStr">
        <is>
          <t>STOCKHOLMS LÄN</t>
        </is>
      </c>
      <c r="E610" t="inlineStr">
        <is>
          <t>NORRTÄLJE</t>
        </is>
      </c>
      <c r="G610" t="n">
        <v>4.7</v>
      </c>
      <c r="H610" t="n">
        <v>0</v>
      </c>
      <c r="I610" t="n">
        <v>0</v>
      </c>
      <c r="J610" t="n">
        <v>0</v>
      </c>
      <c r="K610" t="n">
        <v>0</v>
      </c>
      <c r="L610" t="n">
        <v>0</v>
      </c>
      <c r="M610" t="n">
        <v>0</v>
      </c>
      <c r="N610" t="n">
        <v>0</v>
      </c>
      <c r="O610" t="n">
        <v>0</v>
      </c>
      <c r="P610" t="n">
        <v>0</v>
      </c>
      <c r="Q610" t="n">
        <v>0</v>
      </c>
      <c r="R610" s="2" t="inlineStr"/>
    </row>
    <row r="611" ht="15" customHeight="1">
      <c r="A611" t="inlineStr">
        <is>
          <t>A 52704-2025</t>
        </is>
      </c>
      <c r="B611" s="1" t="n">
        <v>45956.89097222222</v>
      </c>
      <c r="C611" s="1" t="n">
        <v>45995</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37147-2023</t>
        </is>
      </c>
      <c r="B612" s="1" t="n">
        <v>45155</v>
      </c>
      <c r="C612" s="1" t="n">
        <v>45995</v>
      </c>
      <c r="D612" t="inlineStr">
        <is>
          <t>STOCKHOLMS LÄN</t>
        </is>
      </c>
      <c r="E612" t="inlineStr">
        <is>
          <t>NORRTÄLJE</t>
        </is>
      </c>
      <c r="G612" t="n">
        <v>8</v>
      </c>
      <c r="H612" t="n">
        <v>0</v>
      </c>
      <c r="I612" t="n">
        <v>0</v>
      </c>
      <c r="J612" t="n">
        <v>0</v>
      </c>
      <c r="K612" t="n">
        <v>0</v>
      </c>
      <c r="L612" t="n">
        <v>0</v>
      </c>
      <c r="M612" t="n">
        <v>0</v>
      </c>
      <c r="N612" t="n">
        <v>0</v>
      </c>
      <c r="O612" t="n">
        <v>0</v>
      </c>
      <c r="P612" t="n">
        <v>0</v>
      </c>
      <c r="Q612" t="n">
        <v>0</v>
      </c>
      <c r="R612" s="2" t="inlineStr"/>
    </row>
    <row r="613" ht="15" customHeight="1">
      <c r="A613" t="inlineStr">
        <is>
          <t>A 53115-2025</t>
        </is>
      </c>
      <c r="B613" s="1" t="n">
        <v>45958.44614583333</v>
      </c>
      <c r="C613" s="1" t="n">
        <v>45995</v>
      </c>
      <c r="D613" t="inlineStr">
        <is>
          <t>STOCKHOLMS LÄN</t>
        </is>
      </c>
      <c r="E613" t="inlineStr">
        <is>
          <t>NORRTÄLJE</t>
        </is>
      </c>
      <c r="F613" t="inlineStr">
        <is>
          <t>Kyrkan</t>
        </is>
      </c>
      <c r="G613" t="n">
        <v>2.5</v>
      </c>
      <c r="H613" t="n">
        <v>0</v>
      </c>
      <c r="I613" t="n">
        <v>0</v>
      </c>
      <c r="J613" t="n">
        <v>0</v>
      </c>
      <c r="K613" t="n">
        <v>0</v>
      </c>
      <c r="L613" t="n">
        <v>0</v>
      </c>
      <c r="M613" t="n">
        <v>0</v>
      </c>
      <c r="N613" t="n">
        <v>0</v>
      </c>
      <c r="O613" t="n">
        <v>0</v>
      </c>
      <c r="P613" t="n">
        <v>0</v>
      </c>
      <c r="Q613" t="n">
        <v>0</v>
      </c>
      <c r="R613" s="2" t="inlineStr"/>
    </row>
    <row r="614" ht="15" customHeight="1">
      <c r="A614" t="inlineStr">
        <is>
          <t>A 59499-2023</t>
        </is>
      </c>
      <c r="B614" s="1" t="n">
        <v>45254</v>
      </c>
      <c r="C614" s="1" t="n">
        <v>45995</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60654-2023</t>
        </is>
      </c>
      <c r="B615" s="1" t="n">
        <v>45260.43225694444</v>
      </c>
      <c r="C615" s="1" t="n">
        <v>45995</v>
      </c>
      <c r="D615" t="inlineStr">
        <is>
          <t>STOCKHOLMS LÄN</t>
        </is>
      </c>
      <c r="E615" t="inlineStr">
        <is>
          <t>NORRTÄLJE</t>
        </is>
      </c>
      <c r="G615" t="n">
        <v>2.1</v>
      </c>
      <c r="H615" t="n">
        <v>0</v>
      </c>
      <c r="I615" t="n">
        <v>0</v>
      </c>
      <c r="J615" t="n">
        <v>0</v>
      </c>
      <c r="K615" t="n">
        <v>0</v>
      </c>
      <c r="L615" t="n">
        <v>0</v>
      </c>
      <c r="M615" t="n">
        <v>0</v>
      </c>
      <c r="N615" t="n">
        <v>0</v>
      </c>
      <c r="O615" t="n">
        <v>0</v>
      </c>
      <c r="P615" t="n">
        <v>0</v>
      </c>
      <c r="Q615" t="n">
        <v>0</v>
      </c>
      <c r="R615" s="2" t="inlineStr"/>
    </row>
    <row r="616" ht="15" customHeight="1">
      <c r="A616" t="inlineStr">
        <is>
          <t>A 60656-2023</t>
        </is>
      </c>
      <c r="B616" s="1" t="n">
        <v>45260.4333449074</v>
      </c>
      <c r="C616" s="1" t="n">
        <v>45995</v>
      </c>
      <c r="D616" t="inlineStr">
        <is>
          <t>STOCKHOLMS LÄN</t>
        </is>
      </c>
      <c r="E616" t="inlineStr">
        <is>
          <t>NORRTÄLJE</t>
        </is>
      </c>
      <c r="G616" t="n">
        <v>4.8</v>
      </c>
      <c r="H616" t="n">
        <v>0</v>
      </c>
      <c r="I616" t="n">
        <v>0</v>
      </c>
      <c r="J616" t="n">
        <v>0</v>
      </c>
      <c r="K616" t="n">
        <v>0</v>
      </c>
      <c r="L616" t="n">
        <v>0</v>
      </c>
      <c r="M616" t="n">
        <v>0</v>
      </c>
      <c r="N616" t="n">
        <v>0</v>
      </c>
      <c r="O616" t="n">
        <v>0</v>
      </c>
      <c r="P616" t="n">
        <v>0</v>
      </c>
      <c r="Q616" t="n">
        <v>0</v>
      </c>
      <c r="R616" s="2" t="inlineStr"/>
    </row>
    <row r="617" ht="15" customHeight="1">
      <c r="A617" t="inlineStr">
        <is>
          <t>A 3383-2023</t>
        </is>
      </c>
      <c r="B617" s="1" t="n">
        <v>44949</v>
      </c>
      <c r="C617" s="1" t="n">
        <v>45995</v>
      </c>
      <c r="D617" t="inlineStr">
        <is>
          <t>STOCKHOLMS LÄN</t>
        </is>
      </c>
      <c r="E617" t="inlineStr">
        <is>
          <t>NORRTÄLJE</t>
        </is>
      </c>
      <c r="G617" t="n">
        <v>14.6</v>
      </c>
      <c r="H617" t="n">
        <v>0</v>
      </c>
      <c r="I617" t="n">
        <v>0</v>
      </c>
      <c r="J617" t="n">
        <v>0</v>
      </c>
      <c r="K617" t="n">
        <v>0</v>
      </c>
      <c r="L617" t="n">
        <v>0</v>
      </c>
      <c r="M617" t="n">
        <v>0</v>
      </c>
      <c r="N617" t="n">
        <v>0</v>
      </c>
      <c r="O617" t="n">
        <v>0</v>
      </c>
      <c r="P617" t="n">
        <v>0</v>
      </c>
      <c r="Q617" t="n">
        <v>0</v>
      </c>
      <c r="R617" s="2" t="inlineStr"/>
    </row>
    <row r="618" ht="15" customHeight="1">
      <c r="A618" t="inlineStr">
        <is>
          <t>A 44306-2025</t>
        </is>
      </c>
      <c r="B618" s="1" t="n">
        <v>45916.37736111111</v>
      </c>
      <c r="C618" s="1" t="n">
        <v>45995</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21529-2021</t>
        </is>
      </c>
      <c r="B619" s="1" t="n">
        <v>44321</v>
      </c>
      <c r="C619" s="1" t="n">
        <v>45995</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22697-2022</t>
        </is>
      </c>
      <c r="B620" s="1" t="n">
        <v>44714.56040509259</v>
      </c>
      <c r="C620" s="1" t="n">
        <v>45995</v>
      </c>
      <c r="D620" t="inlineStr">
        <is>
          <t>STOCKHOLMS LÄN</t>
        </is>
      </c>
      <c r="E620" t="inlineStr">
        <is>
          <t>NORRTÄLJE</t>
        </is>
      </c>
      <c r="G620" t="n">
        <v>5.6</v>
      </c>
      <c r="H620" t="n">
        <v>0</v>
      </c>
      <c r="I620" t="n">
        <v>0</v>
      </c>
      <c r="J620" t="n">
        <v>0</v>
      </c>
      <c r="K620" t="n">
        <v>0</v>
      </c>
      <c r="L620" t="n">
        <v>0</v>
      </c>
      <c r="M620" t="n">
        <v>0</v>
      </c>
      <c r="N620" t="n">
        <v>0</v>
      </c>
      <c r="O620" t="n">
        <v>0</v>
      </c>
      <c r="P620" t="n">
        <v>0</v>
      </c>
      <c r="Q620" t="n">
        <v>0</v>
      </c>
      <c r="R620" s="2" t="inlineStr"/>
    </row>
    <row r="621" ht="15" customHeight="1">
      <c r="A621" t="inlineStr">
        <is>
          <t>A 4316-2023</t>
        </is>
      </c>
      <c r="B621" s="1" t="n">
        <v>44953.67443287037</v>
      </c>
      <c r="C621" s="1" t="n">
        <v>45995</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53629-2025</t>
        </is>
      </c>
      <c r="B622" s="1" t="n">
        <v>45960.49570601852</v>
      </c>
      <c r="C622" s="1" t="n">
        <v>45995</v>
      </c>
      <c r="D622" t="inlineStr">
        <is>
          <t>STOCKHOLMS LÄN</t>
        </is>
      </c>
      <c r="E622" t="inlineStr">
        <is>
          <t>NORRTÄLJE</t>
        </is>
      </c>
      <c r="F622" t="inlineStr">
        <is>
          <t>Naturvårdsverket</t>
        </is>
      </c>
      <c r="G622" t="n">
        <v>7.9</v>
      </c>
      <c r="H622" t="n">
        <v>0</v>
      </c>
      <c r="I622" t="n">
        <v>0</v>
      </c>
      <c r="J622" t="n">
        <v>0</v>
      </c>
      <c r="K622" t="n">
        <v>0</v>
      </c>
      <c r="L622" t="n">
        <v>0</v>
      </c>
      <c r="M622" t="n">
        <v>0</v>
      </c>
      <c r="N622" t="n">
        <v>0</v>
      </c>
      <c r="O622" t="n">
        <v>0</v>
      </c>
      <c r="P622" t="n">
        <v>0</v>
      </c>
      <c r="Q622" t="n">
        <v>0</v>
      </c>
      <c r="R622" s="2" t="inlineStr"/>
    </row>
    <row r="623" ht="15" customHeight="1">
      <c r="A623" t="inlineStr">
        <is>
          <t>A 5839-2023</t>
        </is>
      </c>
      <c r="B623" s="1" t="n">
        <v>44963</v>
      </c>
      <c r="C623" s="1" t="n">
        <v>45995</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5804-2025</t>
        </is>
      </c>
      <c r="B624" s="1" t="n">
        <v>45694.68207175926</v>
      </c>
      <c r="C624" s="1" t="n">
        <v>45995</v>
      </c>
      <c r="D624" t="inlineStr">
        <is>
          <t>STOCKHOLMS LÄN</t>
        </is>
      </c>
      <c r="E624" t="inlineStr">
        <is>
          <t>NORRTÄLJE</t>
        </is>
      </c>
      <c r="F624" t="inlineStr">
        <is>
          <t>Holmen skog AB</t>
        </is>
      </c>
      <c r="G624" t="n">
        <v>2.6</v>
      </c>
      <c r="H624" t="n">
        <v>0</v>
      </c>
      <c r="I624" t="n">
        <v>0</v>
      </c>
      <c r="J624" t="n">
        <v>0</v>
      </c>
      <c r="K624" t="n">
        <v>0</v>
      </c>
      <c r="L624" t="n">
        <v>0</v>
      </c>
      <c r="M624" t="n">
        <v>0</v>
      </c>
      <c r="N624" t="n">
        <v>0</v>
      </c>
      <c r="O624" t="n">
        <v>0</v>
      </c>
      <c r="P624" t="n">
        <v>0</v>
      </c>
      <c r="Q624" t="n">
        <v>0</v>
      </c>
      <c r="R624" s="2" t="inlineStr"/>
    </row>
    <row r="625" ht="15" customHeight="1">
      <c r="A625" t="inlineStr">
        <is>
          <t>A 24705-2023</t>
        </is>
      </c>
      <c r="B625" s="1" t="n">
        <v>45084.54459490741</v>
      </c>
      <c r="C625" s="1" t="n">
        <v>45995</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48180-2023</t>
        </is>
      </c>
      <c r="B626" s="1" t="n">
        <v>45205</v>
      </c>
      <c r="C626" s="1" t="n">
        <v>45995</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57353-2024</t>
        </is>
      </c>
      <c r="B627" s="1" t="n">
        <v>45629.65143518519</v>
      </c>
      <c r="C627" s="1" t="n">
        <v>45995</v>
      </c>
      <c r="D627" t="inlineStr">
        <is>
          <t>STOCKHOLMS LÄN</t>
        </is>
      </c>
      <c r="E627" t="inlineStr">
        <is>
          <t>NORRTÄLJE</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54358-2022</t>
        </is>
      </c>
      <c r="B628" s="1" t="n">
        <v>44882</v>
      </c>
      <c r="C628" s="1" t="n">
        <v>45995</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31827-2023</t>
        </is>
      </c>
      <c r="B629" s="1" t="n">
        <v>45118</v>
      </c>
      <c r="C629" s="1" t="n">
        <v>45995</v>
      </c>
      <c r="D629" t="inlineStr">
        <is>
          <t>STOCKHOLMS LÄN</t>
        </is>
      </c>
      <c r="E629" t="inlineStr">
        <is>
          <t>NORRTÄLJE</t>
        </is>
      </c>
      <c r="F629" t="inlineStr">
        <is>
          <t>Kyrkan</t>
        </is>
      </c>
      <c r="G629" t="n">
        <v>4.9</v>
      </c>
      <c r="H629" t="n">
        <v>0</v>
      </c>
      <c r="I629" t="n">
        <v>0</v>
      </c>
      <c r="J629" t="n">
        <v>0</v>
      </c>
      <c r="K629" t="n">
        <v>0</v>
      </c>
      <c r="L629" t="n">
        <v>0</v>
      </c>
      <c r="M629" t="n">
        <v>0</v>
      </c>
      <c r="N629" t="n">
        <v>0</v>
      </c>
      <c r="O629" t="n">
        <v>0</v>
      </c>
      <c r="P629" t="n">
        <v>0</v>
      </c>
      <c r="Q629" t="n">
        <v>0</v>
      </c>
      <c r="R629" s="2" t="inlineStr"/>
    </row>
    <row r="630" ht="15" customHeight="1">
      <c r="A630" t="inlineStr">
        <is>
          <t>A 44937-2025</t>
        </is>
      </c>
      <c r="B630" s="1" t="n">
        <v>45918</v>
      </c>
      <c r="C630" s="1" t="n">
        <v>45995</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53747-2025</t>
        </is>
      </c>
      <c r="B631" s="1" t="n">
        <v>45960.65415509259</v>
      </c>
      <c r="C631" s="1" t="n">
        <v>45995</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55696-2022</t>
        </is>
      </c>
      <c r="B632" s="1" t="n">
        <v>44888</v>
      </c>
      <c r="C632" s="1" t="n">
        <v>45995</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50907-2022</t>
        </is>
      </c>
      <c r="B633" s="1" t="n">
        <v>44867.62090277778</v>
      </c>
      <c r="C633" s="1" t="n">
        <v>45995</v>
      </c>
      <c r="D633" t="inlineStr">
        <is>
          <t>STOCKHOLMS LÄN</t>
        </is>
      </c>
      <c r="E633" t="inlineStr">
        <is>
          <t>NORRTÄLJE</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6919-2025</t>
        </is>
      </c>
      <c r="B634" s="1" t="n">
        <v>45701.44372685185</v>
      </c>
      <c r="C634" s="1" t="n">
        <v>45995</v>
      </c>
      <c r="D634" t="inlineStr">
        <is>
          <t>STOCKHOLMS LÄN</t>
        </is>
      </c>
      <c r="E634" t="inlineStr">
        <is>
          <t>NORRTÄLJE</t>
        </is>
      </c>
      <c r="G634" t="n">
        <v>3.5</v>
      </c>
      <c r="H634" t="n">
        <v>0</v>
      </c>
      <c r="I634" t="n">
        <v>0</v>
      </c>
      <c r="J634" t="n">
        <v>0</v>
      </c>
      <c r="K634" t="n">
        <v>0</v>
      </c>
      <c r="L634" t="n">
        <v>0</v>
      </c>
      <c r="M634" t="n">
        <v>0</v>
      </c>
      <c r="N634" t="n">
        <v>0</v>
      </c>
      <c r="O634" t="n">
        <v>0</v>
      </c>
      <c r="P634" t="n">
        <v>0</v>
      </c>
      <c r="Q634" t="n">
        <v>0</v>
      </c>
      <c r="R634" s="2" t="inlineStr"/>
    </row>
    <row r="635" ht="15" customHeight="1">
      <c r="A635" t="inlineStr">
        <is>
          <t>A 53362-2023</t>
        </is>
      </c>
      <c r="B635" s="1" t="n">
        <v>45223</v>
      </c>
      <c r="C635" s="1" t="n">
        <v>45995</v>
      </c>
      <c r="D635" t="inlineStr">
        <is>
          <t>STOCKHOLMS LÄN</t>
        </is>
      </c>
      <c r="E635" t="inlineStr">
        <is>
          <t>NORRTÄLJE</t>
        </is>
      </c>
      <c r="G635" t="n">
        <v>1.2</v>
      </c>
      <c r="H635" t="n">
        <v>0</v>
      </c>
      <c r="I635" t="n">
        <v>0</v>
      </c>
      <c r="J635" t="n">
        <v>0</v>
      </c>
      <c r="K635" t="n">
        <v>0</v>
      </c>
      <c r="L635" t="n">
        <v>0</v>
      </c>
      <c r="M635" t="n">
        <v>0</v>
      </c>
      <c r="N635" t="n">
        <v>0</v>
      </c>
      <c r="O635" t="n">
        <v>0</v>
      </c>
      <c r="P635" t="n">
        <v>0</v>
      </c>
      <c r="Q635" t="n">
        <v>0</v>
      </c>
      <c r="R635" s="2" t="inlineStr"/>
    </row>
    <row r="636" ht="15" customHeight="1">
      <c r="A636" t="inlineStr">
        <is>
          <t>A 23749-2024</t>
        </is>
      </c>
      <c r="B636" s="1" t="n">
        <v>45455.33037037037</v>
      </c>
      <c r="C636" s="1" t="n">
        <v>45995</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35698-2023</t>
        </is>
      </c>
      <c r="B637" s="1" t="n">
        <v>45147</v>
      </c>
      <c r="C637" s="1" t="n">
        <v>45995</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53299-2025</t>
        </is>
      </c>
      <c r="B638" s="1" t="n">
        <v>45959.31901620371</v>
      </c>
      <c r="C638" s="1" t="n">
        <v>45995</v>
      </c>
      <c r="D638" t="inlineStr">
        <is>
          <t>STOCKHOLMS LÄN</t>
        </is>
      </c>
      <c r="E638" t="inlineStr">
        <is>
          <t>NORRTÄLJE</t>
        </is>
      </c>
      <c r="G638" t="n">
        <v>4.8</v>
      </c>
      <c r="H638" t="n">
        <v>0</v>
      </c>
      <c r="I638" t="n">
        <v>0</v>
      </c>
      <c r="J638" t="n">
        <v>0</v>
      </c>
      <c r="K638" t="n">
        <v>0</v>
      </c>
      <c r="L638" t="n">
        <v>0</v>
      </c>
      <c r="M638" t="n">
        <v>0</v>
      </c>
      <c r="N638" t="n">
        <v>0</v>
      </c>
      <c r="O638" t="n">
        <v>0</v>
      </c>
      <c r="P638" t="n">
        <v>0</v>
      </c>
      <c r="Q638" t="n">
        <v>0</v>
      </c>
      <c r="R638" s="2" t="inlineStr"/>
    </row>
    <row r="639" ht="15" customHeight="1">
      <c r="A639" t="inlineStr">
        <is>
          <t>A 73992-2021</t>
        </is>
      </c>
      <c r="B639" s="1" t="n">
        <v>44556</v>
      </c>
      <c r="C639" s="1" t="n">
        <v>45995</v>
      </c>
      <c r="D639" t="inlineStr">
        <is>
          <t>STOCKHOLMS LÄN</t>
        </is>
      </c>
      <c r="E639" t="inlineStr">
        <is>
          <t>NORRTÄLJE</t>
        </is>
      </c>
      <c r="G639" t="n">
        <v>12.5</v>
      </c>
      <c r="H639" t="n">
        <v>0</v>
      </c>
      <c r="I639" t="n">
        <v>0</v>
      </c>
      <c r="J639" t="n">
        <v>0</v>
      </c>
      <c r="K639" t="n">
        <v>0</v>
      </c>
      <c r="L639" t="n">
        <v>0</v>
      </c>
      <c r="M639" t="n">
        <v>0</v>
      </c>
      <c r="N639" t="n">
        <v>0</v>
      </c>
      <c r="O639" t="n">
        <v>0</v>
      </c>
      <c r="P639" t="n">
        <v>0</v>
      </c>
      <c r="Q639" t="n">
        <v>0</v>
      </c>
      <c r="R639" s="2" t="inlineStr"/>
    </row>
    <row r="640" ht="15" customHeight="1">
      <c r="A640" t="inlineStr">
        <is>
          <t>A 10973-2025</t>
        </is>
      </c>
      <c r="B640" s="1" t="n">
        <v>45723</v>
      </c>
      <c r="C640" s="1" t="n">
        <v>45995</v>
      </c>
      <c r="D640" t="inlineStr">
        <is>
          <t>STOCKHOLMS LÄN</t>
        </is>
      </c>
      <c r="E640" t="inlineStr">
        <is>
          <t>NORRTÄLJE</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8433-2022</t>
        </is>
      </c>
      <c r="B641" s="1" t="n">
        <v>44611</v>
      </c>
      <c r="C641" s="1" t="n">
        <v>45995</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21329-2022</t>
        </is>
      </c>
      <c r="B642" s="1" t="n">
        <v>44705.60626157407</v>
      </c>
      <c r="C642" s="1" t="n">
        <v>45995</v>
      </c>
      <c r="D642" t="inlineStr">
        <is>
          <t>STOCKHOLMS LÄN</t>
        </is>
      </c>
      <c r="E642" t="inlineStr">
        <is>
          <t>NORRTÄLJE</t>
        </is>
      </c>
      <c r="G642" t="n">
        <v>4.1</v>
      </c>
      <c r="H642" t="n">
        <v>0</v>
      </c>
      <c r="I642" t="n">
        <v>0</v>
      </c>
      <c r="J642" t="n">
        <v>0</v>
      </c>
      <c r="K642" t="n">
        <v>0</v>
      </c>
      <c r="L642" t="n">
        <v>0</v>
      </c>
      <c r="M642" t="n">
        <v>0</v>
      </c>
      <c r="N642" t="n">
        <v>0</v>
      </c>
      <c r="O642" t="n">
        <v>0</v>
      </c>
      <c r="P642" t="n">
        <v>0</v>
      </c>
      <c r="Q642" t="n">
        <v>0</v>
      </c>
      <c r="R642" s="2" t="inlineStr"/>
    </row>
    <row r="643" ht="15" customHeight="1">
      <c r="A643" t="inlineStr">
        <is>
          <t>A 10215-2023</t>
        </is>
      </c>
      <c r="B643" s="1" t="n">
        <v>44986.5887962963</v>
      </c>
      <c r="C643" s="1" t="n">
        <v>45995</v>
      </c>
      <c r="D643" t="inlineStr">
        <is>
          <t>STOCKHOLMS LÄN</t>
        </is>
      </c>
      <c r="E643" t="inlineStr">
        <is>
          <t>NORRTÄLJE</t>
        </is>
      </c>
      <c r="G643" t="n">
        <v>6.5</v>
      </c>
      <c r="H643" t="n">
        <v>0</v>
      </c>
      <c r="I643" t="n">
        <v>0</v>
      </c>
      <c r="J643" t="n">
        <v>0</v>
      </c>
      <c r="K643" t="n">
        <v>0</v>
      </c>
      <c r="L643" t="n">
        <v>0</v>
      </c>
      <c r="M643" t="n">
        <v>0</v>
      </c>
      <c r="N643" t="n">
        <v>0</v>
      </c>
      <c r="O643" t="n">
        <v>0</v>
      </c>
      <c r="P643" t="n">
        <v>0</v>
      </c>
      <c r="Q643" t="n">
        <v>0</v>
      </c>
      <c r="R643" s="2" t="inlineStr"/>
    </row>
    <row r="644" ht="15" customHeight="1">
      <c r="A644" t="inlineStr">
        <is>
          <t>A 54276-2021</t>
        </is>
      </c>
      <c r="B644" s="1" t="n">
        <v>44470</v>
      </c>
      <c r="C644" s="1" t="n">
        <v>45995</v>
      </c>
      <c r="D644" t="inlineStr">
        <is>
          <t>STOCKHOLMS LÄN</t>
        </is>
      </c>
      <c r="E644" t="inlineStr">
        <is>
          <t>NORRTÄLJE</t>
        </is>
      </c>
      <c r="G644" t="n">
        <v>7.3</v>
      </c>
      <c r="H644" t="n">
        <v>0</v>
      </c>
      <c r="I644" t="n">
        <v>0</v>
      </c>
      <c r="J644" t="n">
        <v>0</v>
      </c>
      <c r="K644" t="n">
        <v>0</v>
      </c>
      <c r="L644" t="n">
        <v>0</v>
      </c>
      <c r="M644" t="n">
        <v>0</v>
      </c>
      <c r="N644" t="n">
        <v>0</v>
      </c>
      <c r="O644" t="n">
        <v>0</v>
      </c>
      <c r="P644" t="n">
        <v>0</v>
      </c>
      <c r="Q644" t="n">
        <v>0</v>
      </c>
      <c r="R644" s="2" t="inlineStr"/>
    </row>
    <row r="645" ht="15" customHeight="1">
      <c r="A645" t="inlineStr">
        <is>
          <t>A 54496-2024</t>
        </is>
      </c>
      <c r="B645" s="1" t="n">
        <v>45617.57439814815</v>
      </c>
      <c r="C645" s="1" t="n">
        <v>45995</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10090-2022</t>
        </is>
      </c>
      <c r="B646" s="1" t="n">
        <v>44621</v>
      </c>
      <c r="C646" s="1" t="n">
        <v>45995</v>
      </c>
      <c r="D646" t="inlineStr">
        <is>
          <t>STOCKHOLMS LÄN</t>
        </is>
      </c>
      <c r="E646" t="inlineStr">
        <is>
          <t>NORRTÄLJE</t>
        </is>
      </c>
      <c r="G646" t="n">
        <v>5.2</v>
      </c>
      <c r="H646" t="n">
        <v>0</v>
      </c>
      <c r="I646" t="n">
        <v>0</v>
      </c>
      <c r="J646" t="n">
        <v>0</v>
      </c>
      <c r="K646" t="n">
        <v>0</v>
      </c>
      <c r="L646" t="n">
        <v>0</v>
      </c>
      <c r="M646" t="n">
        <v>0</v>
      </c>
      <c r="N646" t="n">
        <v>0</v>
      </c>
      <c r="O646" t="n">
        <v>0</v>
      </c>
      <c r="P646" t="n">
        <v>0</v>
      </c>
      <c r="Q646" t="n">
        <v>0</v>
      </c>
      <c r="R646" s="2" t="inlineStr"/>
    </row>
    <row r="647" ht="15" customHeight="1">
      <c r="A647" t="inlineStr">
        <is>
          <t>A 13785-2024</t>
        </is>
      </c>
      <c r="B647" s="1" t="n">
        <v>45391.3395949074</v>
      </c>
      <c r="C647" s="1" t="n">
        <v>45995</v>
      </c>
      <c r="D647" t="inlineStr">
        <is>
          <t>STOCKHOLMS LÄN</t>
        </is>
      </c>
      <c r="E647" t="inlineStr">
        <is>
          <t>NORRTÄLJE</t>
        </is>
      </c>
      <c r="G647" t="n">
        <v>5</v>
      </c>
      <c r="H647" t="n">
        <v>0</v>
      </c>
      <c r="I647" t="n">
        <v>0</v>
      </c>
      <c r="J647" t="n">
        <v>0</v>
      </c>
      <c r="K647" t="n">
        <v>0</v>
      </c>
      <c r="L647" t="n">
        <v>0</v>
      </c>
      <c r="M647" t="n">
        <v>0</v>
      </c>
      <c r="N647" t="n">
        <v>0</v>
      </c>
      <c r="O647" t="n">
        <v>0</v>
      </c>
      <c r="P647" t="n">
        <v>0</v>
      </c>
      <c r="Q647" t="n">
        <v>0</v>
      </c>
      <c r="R647" s="2" t="inlineStr"/>
    </row>
    <row r="648" ht="15" customHeight="1">
      <c r="A648" t="inlineStr">
        <is>
          <t>A 51116-2022</t>
        </is>
      </c>
      <c r="B648" s="1" t="n">
        <v>44868.45741898148</v>
      </c>
      <c r="C648" s="1" t="n">
        <v>45995</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22359-2025</t>
        </is>
      </c>
      <c r="B649" s="1" t="n">
        <v>45786</v>
      </c>
      <c r="C649" s="1" t="n">
        <v>45995</v>
      </c>
      <c r="D649" t="inlineStr">
        <is>
          <t>STOCKHOLMS LÄN</t>
        </is>
      </c>
      <c r="E649" t="inlineStr">
        <is>
          <t>NORRTÄLJE</t>
        </is>
      </c>
      <c r="G649" t="n">
        <v>5</v>
      </c>
      <c r="H649" t="n">
        <v>0</v>
      </c>
      <c r="I649" t="n">
        <v>0</v>
      </c>
      <c r="J649" t="n">
        <v>0</v>
      </c>
      <c r="K649" t="n">
        <v>0</v>
      </c>
      <c r="L649" t="n">
        <v>0</v>
      </c>
      <c r="M649" t="n">
        <v>0</v>
      </c>
      <c r="N649" t="n">
        <v>0</v>
      </c>
      <c r="O649" t="n">
        <v>0</v>
      </c>
      <c r="P649" t="n">
        <v>0</v>
      </c>
      <c r="Q649" t="n">
        <v>0</v>
      </c>
      <c r="R649" s="2" t="inlineStr"/>
    </row>
    <row r="650" ht="15" customHeight="1">
      <c r="A650" t="inlineStr">
        <is>
          <t>A 29972-2024</t>
        </is>
      </c>
      <c r="B650" s="1" t="n">
        <v>45485</v>
      </c>
      <c r="C650" s="1" t="n">
        <v>45995</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14127-2025</t>
        </is>
      </c>
      <c r="B651" s="1" t="n">
        <v>45740.47055555556</v>
      </c>
      <c r="C651" s="1" t="n">
        <v>45995</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31559-2022</t>
        </is>
      </c>
      <c r="B652" s="1" t="n">
        <v>44775</v>
      </c>
      <c r="C652" s="1" t="n">
        <v>45995</v>
      </c>
      <c r="D652" t="inlineStr">
        <is>
          <t>STOCKHOLMS LÄN</t>
        </is>
      </c>
      <c r="E652" t="inlineStr">
        <is>
          <t>NORRTÄLJE</t>
        </is>
      </c>
      <c r="G652" t="n">
        <v>5.6</v>
      </c>
      <c r="H652" t="n">
        <v>0</v>
      </c>
      <c r="I652" t="n">
        <v>0</v>
      </c>
      <c r="J652" t="n">
        <v>0</v>
      </c>
      <c r="K652" t="n">
        <v>0</v>
      </c>
      <c r="L652" t="n">
        <v>0</v>
      </c>
      <c r="M652" t="n">
        <v>0</v>
      </c>
      <c r="N652" t="n">
        <v>0</v>
      </c>
      <c r="O652" t="n">
        <v>0</v>
      </c>
      <c r="P652" t="n">
        <v>0</v>
      </c>
      <c r="Q652" t="n">
        <v>0</v>
      </c>
      <c r="R652" s="2" t="inlineStr"/>
    </row>
    <row r="653" ht="15" customHeight="1">
      <c r="A653" t="inlineStr">
        <is>
          <t>A 28809-2023</t>
        </is>
      </c>
      <c r="B653" s="1" t="n">
        <v>45104</v>
      </c>
      <c r="C653" s="1" t="n">
        <v>45995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28813-2023</t>
        </is>
      </c>
      <c r="B654" s="1" t="n">
        <v>45104</v>
      </c>
      <c r="C654" s="1" t="n">
        <v>45995</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52001-2023</t>
        </is>
      </c>
      <c r="B655" s="1" t="n">
        <v>45223</v>
      </c>
      <c r="C655" s="1" t="n">
        <v>45995</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19131-2025</t>
        </is>
      </c>
      <c r="B656" s="1" t="n">
        <v>45769</v>
      </c>
      <c r="C656" s="1" t="n">
        <v>45995</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11929-2024</t>
        </is>
      </c>
      <c r="B657" s="1" t="n">
        <v>45376.64532407407</v>
      </c>
      <c r="C657" s="1" t="n">
        <v>45995</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64145-2021</t>
        </is>
      </c>
      <c r="B658" s="1" t="n">
        <v>44510</v>
      </c>
      <c r="C658" s="1" t="n">
        <v>45995</v>
      </c>
      <c r="D658" t="inlineStr">
        <is>
          <t>STOCKHOLMS LÄN</t>
        </is>
      </c>
      <c r="E658" t="inlineStr">
        <is>
          <t>NORRTÄLJE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45451-2024</t>
        </is>
      </c>
      <c r="B659" s="1" t="n">
        <v>45576</v>
      </c>
      <c r="C659" s="1" t="n">
        <v>45995</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22456-2023</t>
        </is>
      </c>
      <c r="B660" s="1" t="n">
        <v>45070</v>
      </c>
      <c r="C660" s="1" t="n">
        <v>45995</v>
      </c>
      <c r="D660" t="inlineStr">
        <is>
          <t>STOCKHOLMS LÄN</t>
        </is>
      </c>
      <c r="E660" t="inlineStr">
        <is>
          <t>NORRTÄLJE</t>
        </is>
      </c>
      <c r="G660" t="n">
        <v>3.1</v>
      </c>
      <c r="H660" t="n">
        <v>0</v>
      </c>
      <c r="I660" t="n">
        <v>0</v>
      </c>
      <c r="J660" t="n">
        <v>0</v>
      </c>
      <c r="K660" t="n">
        <v>0</v>
      </c>
      <c r="L660" t="n">
        <v>0</v>
      </c>
      <c r="M660" t="n">
        <v>0</v>
      </c>
      <c r="N660" t="n">
        <v>0</v>
      </c>
      <c r="O660" t="n">
        <v>0</v>
      </c>
      <c r="P660" t="n">
        <v>0</v>
      </c>
      <c r="Q660" t="n">
        <v>0</v>
      </c>
      <c r="R660" s="2" t="inlineStr"/>
    </row>
    <row r="661" ht="15" customHeight="1">
      <c r="A661" t="inlineStr">
        <is>
          <t>A 19580-2022</t>
        </is>
      </c>
      <c r="B661" s="1" t="n">
        <v>44693</v>
      </c>
      <c r="C661" s="1" t="n">
        <v>45995</v>
      </c>
      <c r="D661" t="inlineStr">
        <is>
          <t>STOCKHOLMS LÄN</t>
        </is>
      </c>
      <c r="E661" t="inlineStr">
        <is>
          <t>NORRTÄLJE</t>
        </is>
      </c>
      <c r="G661" t="n">
        <v>0.4</v>
      </c>
      <c r="H661" t="n">
        <v>0</v>
      </c>
      <c r="I661" t="n">
        <v>0</v>
      </c>
      <c r="J661" t="n">
        <v>0</v>
      </c>
      <c r="K661" t="n">
        <v>0</v>
      </c>
      <c r="L661" t="n">
        <v>0</v>
      </c>
      <c r="M661" t="n">
        <v>0</v>
      </c>
      <c r="N661" t="n">
        <v>0</v>
      </c>
      <c r="O661" t="n">
        <v>0</v>
      </c>
      <c r="P661" t="n">
        <v>0</v>
      </c>
      <c r="Q661" t="n">
        <v>0</v>
      </c>
      <c r="R661" s="2" t="inlineStr"/>
    </row>
    <row r="662" ht="15" customHeight="1">
      <c r="A662" t="inlineStr">
        <is>
          <t>A 5823-2023</t>
        </is>
      </c>
      <c r="B662" s="1" t="n">
        <v>44963</v>
      </c>
      <c r="C662" s="1" t="n">
        <v>45995</v>
      </c>
      <c r="D662" t="inlineStr">
        <is>
          <t>STOCKHOLMS LÄN</t>
        </is>
      </c>
      <c r="E662" t="inlineStr">
        <is>
          <t>NORRTÄLJE</t>
        </is>
      </c>
      <c r="G662" t="n">
        <v>0.7</v>
      </c>
      <c r="H662" t="n">
        <v>0</v>
      </c>
      <c r="I662" t="n">
        <v>0</v>
      </c>
      <c r="J662" t="n">
        <v>0</v>
      </c>
      <c r="K662" t="n">
        <v>0</v>
      </c>
      <c r="L662" t="n">
        <v>0</v>
      </c>
      <c r="M662" t="n">
        <v>0</v>
      </c>
      <c r="N662" t="n">
        <v>0</v>
      </c>
      <c r="O662" t="n">
        <v>0</v>
      </c>
      <c r="P662" t="n">
        <v>0</v>
      </c>
      <c r="Q662" t="n">
        <v>0</v>
      </c>
      <c r="R662" s="2" t="inlineStr"/>
    </row>
    <row r="663" ht="15" customHeight="1">
      <c r="A663" t="inlineStr">
        <is>
          <t>A 30731-2023</t>
        </is>
      </c>
      <c r="B663" s="1" t="n">
        <v>45112</v>
      </c>
      <c r="C663" s="1" t="n">
        <v>45995</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11988-2021</t>
        </is>
      </c>
      <c r="B664" s="1" t="n">
        <v>44266</v>
      </c>
      <c r="C664" s="1" t="n">
        <v>45995</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12132-2021</t>
        </is>
      </c>
      <c r="B665" s="1" t="n">
        <v>44266</v>
      </c>
      <c r="C665" s="1" t="n">
        <v>45995</v>
      </c>
      <c r="D665" t="inlineStr">
        <is>
          <t>STOCKHOLMS LÄN</t>
        </is>
      </c>
      <c r="E665" t="inlineStr">
        <is>
          <t>NORRTÄLJE</t>
        </is>
      </c>
      <c r="G665" t="n">
        <v>4</v>
      </c>
      <c r="H665" t="n">
        <v>0</v>
      </c>
      <c r="I665" t="n">
        <v>0</v>
      </c>
      <c r="J665" t="n">
        <v>0</v>
      </c>
      <c r="K665" t="n">
        <v>0</v>
      </c>
      <c r="L665" t="n">
        <v>0</v>
      </c>
      <c r="M665" t="n">
        <v>0</v>
      </c>
      <c r="N665" t="n">
        <v>0</v>
      </c>
      <c r="O665" t="n">
        <v>0</v>
      </c>
      <c r="P665" t="n">
        <v>0</v>
      </c>
      <c r="Q665" t="n">
        <v>0</v>
      </c>
      <c r="R665" s="2" t="inlineStr"/>
    </row>
    <row r="666" ht="15" customHeight="1">
      <c r="A666" t="inlineStr">
        <is>
          <t>A 17843-2024</t>
        </is>
      </c>
      <c r="B666" s="1" t="n">
        <v>45418</v>
      </c>
      <c r="C666" s="1" t="n">
        <v>45995</v>
      </c>
      <c r="D666" t="inlineStr">
        <is>
          <t>STOCKHOLMS LÄN</t>
        </is>
      </c>
      <c r="E666" t="inlineStr">
        <is>
          <t>NORRTÄLJE</t>
        </is>
      </c>
      <c r="G666" t="n">
        <v>5.4</v>
      </c>
      <c r="H666" t="n">
        <v>0</v>
      </c>
      <c r="I666" t="n">
        <v>0</v>
      </c>
      <c r="J666" t="n">
        <v>0</v>
      </c>
      <c r="K666" t="n">
        <v>0</v>
      </c>
      <c r="L666" t="n">
        <v>0</v>
      </c>
      <c r="M666" t="n">
        <v>0</v>
      </c>
      <c r="N666" t="n">
        <v>0</v>
      </c>
      <c r="O666" t="n">
        <v>0</v>
      </c>
      <c r="P666" t="n">
        <v>0</v>
      </c>
      <c r="Q666" t="n">
        <v>0</v>
      </c>
      <c r="R666" s="2" t="inlineStr"/>
    </row>
    <row r="667" ht="15" customHeight="1">
      <c r="A667" t="inlineStr">
        <is>
          <t>A 45697-2025</t>
        </is>
      </c>
      <c r="B667" s="1" t="n">
        <v>45923.39877314815</v>
      </c>
      <c r="C667" s="1" t="n">
        <v>45995</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7796-2025</t>
        </is>
      </c>
      <c r="B668" s="1" t="n">
        <v>45706.60130787037</v>
      </c>
      <c r="C668" s="1" t="n">
        <v>45995</v>
      </c>
      <c r="D668" t="inlineStr">
        <is>
          <t>STOCKHOLMS LÄN</t>
        </is>
      </c>
      <c r="E668" t="inlineStr">
        <is>
          <t>NORRTÄLJE</t>
        </is>
      </c>
      <c r="F668" t="inlineStr">
        <is>
          <t>Holmen skog AB</t>
        </is>
      </c>
      <c r="G668" t="n">
        <v>2.4</v>
      </c>
      <c r="H668" t="n">
        <v>0</v>
      </c>
      <c r="I668" t="n">
        <v>0</v>
      </c>
      <c r="J668" t="n">
        <v>0</v>
      </c>
      <c r="K668" t="n">
        <v>0</v>
      </c>
      <c r="L668" t="n">
        <v>0</v>
      </c>
      <c r="M668" t="n">
        <v>0</v>
      </c>
      <c r="N668" t="n">
        <v>0</v>
      </c>
      <c r="O668" t="n">
        <v>0</v>
      </c>
      <c r="P668" t="n">
        <v>0</v>
      </c>
      <c r="Q668" t="n">
        <v>0</v>
      </c>
      <c r="R668" s="2" t="inlineStr"/>
    </row>
    <row r="669" ht="15" customHeight="1">
      <c r="A669" t="inlineStr">
        <is>
          <t>A 59767-2022</t>
        </is>
      </c>
      <c r="B669" s="1" t="n">
        <v>44900</v>
      </c>
      <c r="C669" s="1" t="n">
        <v>45995</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22756-2022</t>
        </is>
      </c>
      <c r="B670" s="1" t="n">
        <v>44714.92253472222</v>
      </c>
      <c r="C670" s="1" t="n">
        <v>45995</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51653-2022</t>
        </is>
      </c>
      <c r="B671" s="1" t="n">
        <v>44867</v>
      </c>
      <c r="C671" s="1" t="n">
        <v>45995</v>
      </c>
      <c r="D671" t="inlineStr">
        <is>
          <t>STOCKHOLMS LÄN</t>
        </is>
      </c>
      <c r="E671" t="inlineStr">
        <is>
          <t>NORRTÄLJE</t>
        </is>
      </c>
      <c r="G671" t="n">
        <v>6.6</v>
      </c>
      <c r="H671" t="n">
        <v>0</v>
      </c>
      <c r="I671" t="n">
        <v>0</v>
      </c>
      <c r="J671" t="n">
        <v>0</v>
      </c>
      <c r="K671" t="n">
        <v>0</v>
      </c>
      <c r="L671" t="n">
        <v>0</v>
      </c>
      <c r="M671" t="n">
        <v>0</v>
      </c>
      <c r="N671" t="n">
        <v>0</v>
      </c>
      <c r="O671" t="n">
        <v>0</v>
      </c>
      <c r="P671" t="n">
        <v>0</v>
      </c>
      <c r="Q671" t="n">
        <v>0</v>
      </c>
      <c r="R671" s="2" t="inlineStr"/>
    </row>
    <row r="672" ht="15" customHeight="1">
      <c r="A672" t="inlineStr">
        <is>
          <t>A 58311-2023</t>
        </is>
      </c>
      <c r="B672" s="1" t="n">
        <v>45245</v>
      </c>
      <c r="C672" s="1" t="n">
        <v>45995</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12890-2024</t>
        </is>
      </c>
      <c r="B673" s="1" t="n">
        <v>45385.36243055556</v>
      </c>
      <c r="C673" s="1" t="n">
        <v>45995</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8739-2024</t>
        </is>
      </c>
      <c r="B674" s="1" t="n">
        <v>45356.47784722222</v>
      </c>
      <c r="C674" s="1" t="n">
        <v>45995</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26640-2023</t>
        </is>
      </c>
      <c r="B675" s="1" t="n">
        <v>45092</v>
      </c>
      <c r="C675" s="1" t="n">
        <v>45995</v>
      </c>
      <c r="D675" t="inlineStr">
        <is>
          <t>STOCKHOLMS LÄN</t>
        </is>
      </c>
      <c r="E675" t="inlineStr">
        <is>
          <t>NORRTÄLJE</t>
        </is>
      </c>
      <c r="G675" t="n">
        <v>5.7</v>
      </c>
      <c r="H675" t="n">
        <v>0</v>
      </c>
      <c r="I675" t="n">
        <v>0</v>
      </c>
      <c r="J675" t="n">
        <v>0</v>
      </c>
      <c r="K675" t="n">
        <v>0</v>
      </c>
      <c r="L675" t="n">
        <v>0</v>
      </c>
      <c r="M675" t="n">
        <v>0</v>
      </c>
      <c r="N675" t="n">
        <v>0</v>
      </c>
      <c r="O675" t="n">
        <v>0</v>
      </c>
      <c r="P675" t="n">
        <v>0</v>
      </c>
      <c r="Q675" t="n">
        <v>0</v>
      </c>
      <c r="R675" s="2" t="inlineStr"/>
    </row>
    <row r="676" ht="15" customHeight="1">
      <c r="A676" t="inlineStr">
        <is>
          <t>A 62765-2022</t>
        </is>
      </c>
      <c r="B676" s="1" t="n">
        <v>44637</v>
      </c>
      <c r="C676" s="1" t="n">
        <v>45995</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36430-2024</t>
        </is>
      </c>
      <c r="B677" s="1" t="n">
        <v>45536</v>
      </c>
      <c r="C677" s="1" t="n">
        <v>45995</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32103-2022</t>
        </is>
      </c>
      <c r="B678" s="1" t="n">
        <v>44778</v>
      </c>
      <c r="C678" s="1" t="n">
        <v>45995</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55952-2024</t>
        </is>
      </c>
      <c r="B679" s="1" t="n">
        <v>45623.62563657408</v>
      </c>
      <c r="C679" s="1" t="n">
        <v>45995</v>
      </c>
      <c r="D679" t="inlineStr">
        <is>
          <t>STOCKHOLMS LÄN</t>
        </is>
      </c>
      <c r="E679" t="inlineStr">
        <is>
          <t>NORRTÄLJE</t>
        </is>
      </c>
      <c r="F679" t="inlineStr">
        <is>
          <t>Holmen skog AB</t>
        </is>
      </c>
      <c r="G679" t="n">
        <v>2.8</v>
      </c>
      <c r="H679" t="n">
        <v>0</v>
      </c>
      <c r="I679" t="n">
        <v>0</v>
      </c>
      <c r="J679" t="n">
        <v>0</v>
      </c>
      <c r="K679" t="n">
        <v>0</v>
      </c>
      <c r="L679" t="n">
        <v>0</v>
      </c>
      <c r="M679" t="n">
        <v>0</v>
      </c>
      <c r="N679" t="n">
        <v>0</v>
      </c>
      <c r="O679" t="n">
        <v>0</v>
      </c>
      <c r="P679" t="n">
        <v>0</v>
      </c>
      <c r="Q679" t="n">
        <v>0</v>
      </c>
      <c r="R679" s="2" t="inlineStr"/>
    </row>
    <row r="680" ht="15" customHeight="1">
      <c r="A680" t="inlineStr">
        <is>
          <t>A 38990-2022</t>
        </is>
      </c>
      <c r="B680" s="1" t="n">
        <v>44816</v>
      </c>
      <c r="C680" s="1" t="n">
        <v>45995</v>
      </c>
      <c r="D680" t="inlineStr">
        <is>
          <t>STOCKHOLMS LÄN</t>
        </is>
      </c>
      <c r="E680" t="inlineStr">
        <is>
          <t>NORRTÄLJE</t>
        </is>
      </c>
      <c r="G680" t="n">
        <v>5.7</v>
      </c>
      <c r="H680" t="n">
        <v>0</v>
      </c>
      <c r="I680" t="n">
        <v>0</v>
      </c>
      <c r="J680" t="n">
        <v>0</v>
      </c>
      <c r="K680" t="n">
        <v>0</v>
      </c>
      <c r="L680" t="n">
        <v>0</v>
      </c>
      <c r="M680" t="n">
        <v>0</v>
      </c>
      <c r="N680" t="n">
        <v>0</v>
      </c>
      <c r="O680" t="n">
        <v>0</v>
      </c>
      <c r="P680" t="n">
        <v>0</v>
      </c>
      <c r="Q680" t="n">
        <v>0</v>
      </c>
      <c r="R680" s="2" t="inlineStr"/>
    </row>
    <row r="681" ht="15" customHeight="1">
      <c r="A681" t="inlineStr">
        <is>
          <t>A 23070-2023</t>
        </is>
      </c>
      <c r="B681" s="1" t="n">
        <v>45075</v>
      </c>
      <c r="C681" s="1" t="n">
        <v>45995</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8792-2025</t>
        </is>
      </c>
      <c r="B682" s="1" t="n">
        <v>45712</v>
      </c>
      <c r="C682" s="1" t="n">
        <v>45995</v>
      </c>
      <c r="D682" t="inlineStr">
        <is>
          <t>STOCKHOLMS LÄN</t>
        </is>
      </c>
      <c r="E682" t="inlineStr">
        <is>
          <t>NORRTÄLJE</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35256-2025</t>
        </is>
      </c>
      <c r="B683" s="1" t="n">
        <v>45853</v>
      </c>
      <c r="C683" s="1" t="n">
        <v>45995</v>
      </c>
      <c r="D683" t="inlineStr">
        <is>
          <t>STOCKHOLMS LÄN</t>
        </is>
      </c>
      <c r="E683" t="inlineStr">
        <is>
          <t>NORRTÄLJE</t>
        </is>
      </c>
      <c r="G683" t="n">
        <v>6.4</v>
      </c>
      <c r="H683" t="n">
        <v>0</v>
      </c>
      <c r="I683" t="n">
        <v>0</v>
      </c>
      <c r="J683" t="n">
        <v>0</v>
      </c>
      <c r="K683" t="n">
        <v>0</v>
      </c>
      <c r="L683" t="n">
        <v>0</v>
      </c>
      <c r="M683" t="n">
        <v>0</v>
      </c>
      <c r="N683" t="n">
        <v>0</v>
      </c>
      <c r="O683" t="n">
        <v>0</v>
      </c>
      <c r="P683" t="n">
        <v>0</v>
      </c>
      <c r="Q683" t="n">
        <v>0</v>
      </c>
      <c r="R683" s="2" t="inlineStr"/>
    </row>
    <row r="684" ht="15" customHeight="1">
      <c r="A684" t="inlineStr">
        <is>
          <t>A 7571-2024</t>
        </is>
      </c>
      <c r="B684" s="1" t="n">
        <v>45348.46300925926</v>
      </c>
      <c r="C684" s="1" t="n">
        <v>45995</v>
      </c>
      <c r="D684" t="inlineStr">
        <is>
          <t>STOCKHOLMS LÄN</t>
        </is>
      </c>
      <c r="E684" t="inlineStr">
        <is>
          <t>NORRTÄLJE</t>
        </is>
      </c>
      <c r="F684" t="inlineStr">
        <is>
          <t>Holmen skog AB</t>
        </is>
      </c>
      <c r="G684" t="n">
        <v>1.8</v>
      </c>
      <c r="H684" t="n">
        <v>0</v>
      </c>
      <c r="I684" t="n">
        <v>0</v>
      </c>
      <c r="J684" t="n">
        <v>0</v>
      </c>
      <c r="K684" t="n">
        <v>0</v>
      </c>
      <c r="L684" t="n">
        <v>0</v>
      </c>
      <c r="M684" t="n">
        <v>0</v>
      </c>
      <c r="N684" t="n">
        <v>0</v>
      </c>
      <c r="O684" t="n">
        <v>0</v>
      </c>
      <c r="P684" t="n">
        <v>0</v>
      </c>
      <c r="Q684" t="n">
        <v>0</v>
      </c>
      <c r="R684" s="2" t="inlineStr"/>
    </row>
    <row r="685" ht="15" customHeight="1">
      <c r="A685" t="inlineStr">
        <is>
          <t>A 41172-2023</t>
        </is>
      </c>
      <c r="B685" s="1" t="n">
        <v>45170</v>
      </c>
      <c r="C685" s="1" t="n">
        <v>45995</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17545-2025</t>
        </is>
      </c>
      <c r="B686" s="1" t="n">
        <v>45757.60658564815</v>
      </c>
      <c r="C686" s="1" t="n">
        <v>45995</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67921-2021</t>
        </is>
      </c>
      <c r="B687" s="1" t="n">
        <v>44525</v>
      </c>
      <c r="C687" s="1" t="n">
        <v>45995</v>
      </c>
      <c r="D687" t="inlineStr">
        <is>
          <t>STOCKHOLMS LÄN</t>
        </is>
      </c>
      <c r="E687" t="inlineStr">
        <is>
          <t>NORRTÄLJE</t>
        </is>
      </c>
      <c r="G687" t="n">
        <v>6.3</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45995</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65499-2021</t>
        </is>
      </c>
      <c r="B689" s="1" t="n">
        <v>44516</v>
      </c>
      <c r="C689" s="1" t="n">
        <v>45995</v>
      </c>
      <c r="D689" t="inlineStr">
        <is>
          <t>STOCKHOLMS LÄN</t>
        </is>
      </c>
      <c r="E689" t="inlineStr">
        <is>
          <t>NORRTÄLJE</t>
        </is>
      </c>
      <c r="F689" t="inlineStr">
        <is>
          <t>Kommuner</t>
        </is>
      </c>
      <c r="G689" t="n">
        <v>5.2</v>
      </c>
      <c r="H689" t="n">
        <v>0</v>
      </c>
      <c r="I689" t="n">
        <v>0</v>
      </c>
      <c r="J689" t="n">
        <v>0</v>
      </c>
      <c r="K689" t="n">
        <v>0</v>
      </c>
      <c r="L689" t="n">
        <v>0</v>
      </c>
      <c r="M689" t="n">
        <v>0</v>
      </c>
      <c r="N689" t="n">
        <v>0</v>
      </c>
      <c r="O689" t="n">
        <v>0</v>
      </c>
      <c r="P689" t="n">
        <v>0</v>
      </c>
      <c r="Q689" t="n">
        <v>0</v>
      </c>
      <c r="R689" s="2" t="inlineStr"/>
    </row>
    <row r="690" ht="15" customHeight="1">
      <c r="A690" t="inlineStr">
        <is>
          <t>A 65511-2021</t>
        </is>
      </c>
      <c r="B690" s="1" t="n">
        <v>44516.40674768519</v>
      </c>
      <c r="C690" s="1" t="n">
        <v>45995</v>
      </c>
      <c r="D690" t="inlineStr">
        <is>
          <t>STOCKHOLMS LÄN</t>
        </is>
      </c>
      <c r="E690" t="inlineStr">
        <is>
          <t>NORRTÄLJE</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36269-2022</t>
        </is>
      </c>
      <c r="B691" s="1" t="n">
        <v>44803</v>
      </c>
      <c r="C691" s="1" t="n">
        <v>45995</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26113-2024</t>
        </is>
      </c>
      <c r="B692" s="1" t="n">
        <v>45468.45541666666</v>
      </c>
      <c r="C692" s="1" t="n">
        <v>45995</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26116-2024</t>
        </is>
      </c>
      <c r="B693" s="1" t="n">
        <v>45468.45747685185</v>
      </c>
      <c r="C693" s="1" t="n">
        <v>45995</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52686-2024</t>
        </is>
      </c>
      <c r="B694" s="1" t="n">
        <v>45610.39271990741</v>
      </c>
      <c r="C694" s="1" t="n">
        <v>45995</v>
      </c>
      <c r="D694" t="inlineStr">
        <is>
          <t>STOCKHOLMS LÄN</t>
        </is>
      </c>
      <c r="E694" t="inlineStr">
        <is>
          <t>NORRTÄLJE</t>
        </is>
      </c>
      <c r="G694" t="n">
        <v>5.7</v>
      </c>
      <c r="H694" t="n">
        <v>0</v>
      </c>
      <c r="I694" t="n">
        <v>0</v>
      </c>
      <c r="J694" t="n">
        <v>0</v>
      </c>
      <c r="K694" t="n">
        <v>0</v>
      </c>
      <c r="L694" t="n">
        <v>0</v>
      </c>
      <c r="M694" t="n">
        <v>0</v>
      </c>
      <c r="N694" t="n">
        <v>0</v>
      </c>
      <c r="O694" t="n">
        <v>0</v>
      </c>
      <c r="P694" t="n">
        <v>0</v>
      </c>
      <c r="Q694" t="n">
        <v>0</v>
      </c>
      <c r="R694" s="2" t="inlineStr"/>
    </row>
    <row r="695" ht="15" customHeight="1">
      <c r="A695" t="inlineStr">
        <is>
          <t>A 5665-2025</t>
        </is>
      </c>
      <c r="B695" s="1" t="n">
        <v>45693</v>
      </c>
      <c r="C695" s="1" t="n">
        <v>45995</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12407-2025</t>
        </is>
      </c>
      <c r="B696" s="1" t="n">
        <v>45730.42851851852</v>
      </c>
      <c r="C696" s="1" t="n">
        <v>45995</v>
      </c>
      <c r="D696" t="inlineStr">
        <is>
          <t>STOCKHOLMS LÄN</t>
        </is>
      </c>
      <c r="E696" t="inlineStr">
        <is>
          <t>NORRTÄLJE</t>
        </is>
      </c>
      <c r="F696" t="inlineStr">
        <is>
          <t>Holmen skog AB</t>
        </is>
      </c>
      <c r="G696" t="n">
        <v>2.6</v>
      </c>
      <c r="H696" t="n">
        <v>0</v>
      </c>
      <c r="I696" t="n">
        <v>0</v>
      </c>
      <c r="J696" t="n">
        <v>0</v>
      </c>
      <c r="K696" t="n">
        <v>0</v>
      </c>
      <c r="L696" t="n">
        <v>0</v>
      </c>
      <c r="M696" t="n">
        <v>0</v>
      </c>
      <c r="N696" t="n">
        <v>0</v>
      </c>
      <c r="O696" t="n">
        <v>0</v>
      </c>
      <c r="P696" t="n">
        <v>0</v>
      </c>
      <c r="Q696" t="n">
        <v>0</v>
      </c>
      <c r="R696" s="2" t="inlineStr"/>
    </row>
    <row r="697" ht="15" customHeight="1">
      <c r="A697" t="inlineStr">
        <is>
          <t>A 26636-2023</t>
        </is>
      </c>
      <c r="B697" s="1" t="n">
        <v>45092</v>
      </c>
      <c r="C697" s="1" t="n">
        <v>45995</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26637-2023</t>
        </is>
      </c>
      <c r="B698" s="1" t="n">
        <v>45092</v>
      </c>
      <c r="C698" s="1" t="n">
        <v>45995</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17956-2025</t>
        </is>
      </c>
      <c r="B699" s="1" t="n">
        <v>45760.91174768518</v>
      </c>
      <c r="C699" s="1" t="n">
        <v>45995</v>
      </c>
      <c r="D699" t="inlineStr">
        <is>
          <t>STOCKHOLMS LÄN</t>
        </is>
      </c>
      <c r="E699" t="inlineStr">
        <is>
          <t>NORRTÄLJE</t>
        </is>
      </c>
      <c r="G699" t="n">
        <v>4.3</v>
      </c>
      <c r="H699" t="n">
        <v>0</v>
      </c>
      <c r="I699" t="n">
        <v>0</v>
      </c>
      <c r="J699" t="n">
        <v>0</v>
      </c>
      <c r="K699" t="n">
        <v>0</v>
      </c>
      <c r="L699" t="n">
        <v>0</v>
      </c>
      <c r="M699" t="n">
        <v>0</v>
      </c>
      <c r="N699" t="n">
        <v>0</v>
      </c>
      <c r="O699" t="n">
        <v>0</v>
      </c>
      <c r="P699" t="n">
        <v>0</v>
      </c>
      <c r="Q699" t="n">
        <v>0</v>
      </c>
      <c r="R699" s="2" t="inlineStr"/>
    </row>
    <row r="700" ht="15" customHeight="1">
      <c r="A700" t="inlineStr">
        <is>
          <t>A 23265-2023</t>
        </is>
      </c>
      <c r="B700" s="1" t="n">
        <v>45075.90703703704</v>
      </c>
      <c r="C700" s="1" t="n">
        <v>45995</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30268-2024</t>
        </is>
      </c>
      <c r="B701" s="1" t="n">
        <v>45490.60572916667</v>
      </c>
      <c r="C701" s="1" t="n">
        <v>45995</v>
      </c>
      <c r="D701" t="inlineStr">
        <is>
          <t>STOCKHOLMS LÄN</t>
        </is>
      </c>
      <c r="E701" t="inlineStr">
        <is>
          <t>NORRTÄLJE</t>
        </is>
      </c>
      <c r="G701" t="n">
        <v>5.6</v>
      </c>
      <c r="H701" t="n">
        <v>0</v>
      </c>
      <c r="I701" t="n">
        <v>0</v>
      </c>
      <c r="J701" t="n">
        <v>0</v>
      </c>
      <c r="K701" t="n">
        <v>0</v>
      </c>
      <c r="L701" t="n">
        <v>0</v>
      </c>
      <c r="M701" t="n">
        <v>0</v>
      </c>
      <c r="N701" t="n">
        <v>0</v>
      </c>
      <c r="O701" t="n">
        <v>0</v>
      </c>
      <c r="P701" t="n">
        <v>0</v>
      </c>
      <c r="Q701" t="n">
        <v>0</v>
      </c>
      <c r="R701" s="2" t="inlineStr"/>
    </row>
    <row r="702" ht="15" customHeight="1">
      <c r="A702" t="inlineStr">
        <is>
          <t>A 59535-2024</t>
        </is>
      </c>
      <c r="B702" s="1" t="n">
        <v>45638.59979166667</v>
      </c>
      <c r="C702" s="1" t="n">
        <v>45995</v>
      </c>
      <c r="D702" t="inlineStr">
        <is>
          <t>STOCKHOLMS LÄN</t>
        </is>
      </c>
      <c r="E702" t="inlineStr">
        <is>
          <t>NORRTÄLJE</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9246-2024</t>
        </is>
      </c>
      <c r="B703" s="1" t="n">
        <v>45357</v>
      </c>
      <c r="C703" s="1" t="n">
        <v>45995</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23266-2023</t>
        </is>
      </c>
      <c r="B704" s="1" t="n">
        <v>45075.90817129629</v>
      </c>
      <c r="C704" s="1" t="n">
        <v>45995</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46415-2025</t>
        </is>
      </c>
      <c r="B705" s="1" t="n">
        <v>45925.58636574074</v>
      </c>
      <c r="C705" s="1" t="n">
        <v>45995</v>
      </c>
      <c r="D705" t="inlineStr">
        <is>
          <t>STOCKHOLMS LÄN</t>
        </is>
      </c>
      <c r="E705" t="inlineStr">
        <is>
          <t>NORRTÄLJE</t>
        </is>
      </c>
      <c r="G705" t="n">
        <v>3.8</v>
      </c>
      <c r="H705" t="n">
        <v>0</v>
      </c>
      <c r="I705" t="n">
        <v>0</v>
      </c>
      <c r="J705" t="n">
        <v>0</v>
      </c>
      <c r="K705" t="n">
        <v>0</v>
      </c>
      <c r="L705" t="n">
        <v>0</v>
      </c>
      <c r="M705" t="n">
        <v>0</v>
      </c>
      <c r="N705" t="n">
        <v>0</v>
      </c>
      <c r="O705" t="n">
        <v>0</v>
      </c>
      <c r="P705" t="n">
        <v>0</v>
      </c>
      <c r="Q705" t="n">
        <v>0</v>
      </c>
      <c r="R705" s="2" t="inlineStr"/>
    </row>
    <row r="706" ht="15" customHeight="1">
      <c r="A706" t="inlineStr">
        <is>
          <t>A 31105-2022</t>
        </is>
      </c>
      <c r="B706" s="1" t="n">
        <v>44769.66039351852</v>
      </c>
      <c r="C706" s="1" t="n">
        <v>45995</v>
      </c>
      <c r="D706" t="inlineStr">
        <is>
          <t>STOCKHOLMS LÄN</t>
        </is>
      </c>
      <c r="E706" t="inlineStr">
        <is>
          <t>NORRTÄLJE</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35161-2022</t>
        </is>
      </c>
      <c r="B707" s="1" t="n">
        <v>44797</v>
      </c>
      <c r="C707" s="1" t="n">
        <v>45995</v>
      </c>
      <c r="D707" t="inlineStr">
        <is>
          <t>STOCKHOLMS LÄN</t>
        </is>
      </c>
      <c r="E707" t="inlineStr">
        <is>
          <t>NORRTÄLJE</t>
        </is>
      </c>
      <c r="G707" t="n">
        <v>6</v>
      </c>
      <c r="H707" t="n">
        <v>0</v>
      </c>
      <c r="I707" t="n">
        <v>0</v>
      </c>
      <c r="J707" t="n">
        <v>0</v>
      </c>
      <c r="K707" t="n">
        <v>0</v>
      </c>
      <c r="L707" t="n">
        <v>0</v>
      </c>
      <c r="M707" t="n">
        <v>0</v>
      </c>
      <c r="N707" t="n">
        <v>0</v>
      </c>
      <c r="O707" t="n">
        <v>0</v>
      </c>
      <c r="P707" t="n">
        <v>0</v>
      </c>
      <c r="Q707" t="n">
        <v>0</v>
      </c>
      <c r="R707" s="2" t="inlineStr"/>
    </row>
    <row r="708" ht="15" customHeight="1">
      <c r="A708" t="inlineStr">
        <is>
          <t>A 54907-2025</t>
        </is>
      </c>
      <c r="B708" s="1" t="n">
        <v>45967.37137731481</v>
      </c>
      <c r="C708" s="1" t="n">
        <v>45995</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62644-2023</t>
        </is>
      </c>
      <c r="B709" s="1" t="n">
        <v>45271</v>
      </c>
      <c r="C709" s="1" t="n">
        <v>45995</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60185-2024</t>
        </is>
      </c>
      <c r="B710" s="1" t="n">
        <v>45642.64634259259</v>
      </c>
      <c r="C710" s="1" t="n">
        <v>45995</v>
      </c>
      <c r="D710" t="inlineStr">
        <is>
          <t>STOCKHOLMS LÄN</t>
        </is>
      </c>
      <c r="E710" t="inlineStr">
        <is>
          <t>NORRTÄLJE</t>
        </is>
      </c>
      <c r="G710" t="n">
        <v>0.3</v>
      </c>
      <c r="H710" t="n">
        <v>0</v>
      </c>
      <c r="I710" t="n">
        <v>0</v>
      </c>
      <c r="J710" t="n">
        <v>0</v>
      </c>
      <c r="K710" t="n">
        <v>0</v>
      </c>
      <c r="L710" t="n">
        <v>0</v>
      </c>
      <c r="M710" t="n">
        <v>0</v>
      </c>
      <c r="N710" t="n">
        <v>0</v>
      </c>
      <c r="O710" t="n">
        <v>0</v>
      </c>
      <c r="P710" t="n">
        <v>0</v>
      </c>
      <c r="Q710" t="n">
        <v>0</v>
      </c>
      <c r="R710" s="2" t="inlineStr"/>
    </row>
    <row r="711" ht="15" customHeight="1">
      <c r="A711" t="inlineStr">
        <is>
          <t>A 60765-2023</t>
        </is>
      </c>
      <c r="B711" s="1" t="n">
        <v>45260</v>
      </c>
      <c r="C711" s="1" t="n">
        <v>45995</v>
      </c>
      <c r="D711" t="inlineStr">
        <is>
          <t>STOCKHOLMS LÄN</t>
        </is>
      </c>
      <c r="E711" t="inlineStr">
        <is>
          <t>NORRTÄLJE</t>
        </is>
      </c>
      <c r="G711" t="n">
        <v>3.7</v>
      </c>
      <c r="H711" t="n">
        <v>0</v>
      </c>
      <c r="I711" t="n">
        <v>0</v>
      </c>
      <c r="J711" t="n">
        <v>0</v>
      </c>
      <c r="K711" t="n">
        <v>0</v>
      </c>
      <c r="L711" t="n">
        <v>0</v>
      </c>
      <c r="M711" t="n">
        <v>0</v>
      </c>
      <c r="N711" t="n">
        <v>0</v>
      </c>
      <c r="O711" t="n">
        <v>0</v>
      </c>
      <c r="P711" t="n">
        <v>0</v>
      </c>
      <c r="Q711" t="n">
        <v>0</v>
      </c>
      <c r="R711" s="2" t="inlineStr"/>
    </row>
    <row r="712" ht="15" customHeight="1">
      <c r="A712" t="inlineStr">
        <is>
          <t>A 7903-2021</t>
        </is>
      </c>
      <c r="B712" s="1" t="n">
        <v>44243.33587962963</v>
      </c>
      <c r="C712" s="1" t="n">
        <v>45995</v>
      </c>
      <c r="D712" t="inlineStr">
        <is>
          <t>STOCKHOLMS LÄN</t>
        </is>
      </c>
      <c r="E712" t="inlineStr">
        <is>
          <t>NORRTÄLJE</t>
        </is>
      </c>
      <c r="G712" t="n">
        <v>3.5</v>
      </c>
      <c r="H712" t="n">
        <v>0</v>
      </c>
      <c r="I712" t="n">
        <v>0</v>
      </c>
      <c r="J712" t="n">
        <v>0</v>
      </c>
      <c r="K712" t="n">
        <v>0</v>
      </c>
      <c r="L712" t="n">
        <v>0</v>
      </c>
      <c r="M712" t="n">
        <v>0</v>
      </c>
      <c r="N712" t="n">
        <v>0</v>
      </c>
      <c r="O712" t="n">
        <v>0</v>
      </c>
      <c r="P712" t="n">
        <v>0</v>
      </c>
      <c r="Q712" t="n">
        <v>0</v>
      </c>
      <c r="R712" s="2" t="inlineStr"/>
    </row>
    <row r="713" ht="15" customHeight="1">
      <c r="A713" t="inlineStr">
        <is>
          <t>A 12268-2022</t>
        </is>
      </c>
      <c r="B713" s="1" t="n">
        <v>44637</v>
      </c>
      <c r="C713" s="1" t="n">
        <v>45995</v>
      </c>
      <c r="D713" t="inlineStr">
        <is>
          <t>STOCKHOLMS LÄN</t>
        </is>
      </c>
      <c r="E713" t="inlineStr">
        <is>
          <t>NORRTÄLJE</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58863-2024</t>
        </is>
      </c>
      <c r="B714" s="1" t="n">
        <v>45636.41572916666</v>
      </c>
      <c r="C714" s="1" t="n">
        <v>45995</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15447-2023</t>
        </is>
      </c>
      <c r="B715" s="1" t="n">
        <v>45020</v>
      </c>
      <c r="C715" s="1" t="n">
        <v>45995</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34391-2023</t>
        </is>
      </c>
      <c r="B716" s="1" t="n">
        <v>45139.51457175926</v>
      </c>
      <c r="C716" s="1" t="n">
        <v>45995</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22832-2021</t>
        </is>
      </c>
      <c r="B717" s="1" t="n">
        <v>44325</v>
      </c>
      <c r="C717" s="1" t="n">
        <v>45995</v>
      </c>
      <c r="D717" t="inlineStr">
        <is>
          <t>STOCKHOLMS LÄN</t>
        </is>
      </c>
      <c r="E717" t="inlineStr">
        <is>
          <t>NORRTÄLJE</t>
        </is>
      </c>
      <c r="G717" t="n">
        <v>6.8</v>
      </c>
      <c r="H717" t="n">
        <v>0</v>
      </c>
      <c r="I717" t="n">
        <v>0</v>
      </c>
      <c r="J717" t="n">
        <v>0</v>
      </c>
      <c r="K717" t="n">
        <v>0</v>
      </c>
      <c r="L717" t="n">
        <v>0</v>
      </c>
      <c r="M717" t="n">
        <v>0</v>
      </c>
      <c r="N717" t="n">
        <v>0</v>
      </c>
      <c r="O717" t="n">
        <v>0</v>
      </c>
      <c r="P717" t="n">
        <v>0</v>
      </c>
      <c r="Q717" t="n">
        <v>0</v>
      </c>
      <c r="R717" s="2" t="inlineStr"/>
    </row>
    <row r="718" ht="15" customHeight="1">
      <c r="A718" t="inlineStr">
        <is>
          <t>A 51315-2021</t>
        </is>
      </c>
      <c r="B718" s="1" t="n">
        <v>44461</v>
      </c>
      <c r="C718" s="1" t="n">
        <v>45995</v>
      </c>
      <c r="D718" t="inlineStr">
        <is>
          <t>STOCKHOLMS LÄN</t>
        </is>
      </c>
      <c r="E718" t="inlineStr">
        <is>
          <t>NORRTÄLJE</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53312-2024</t>
        </is>
      </c>
      <c r="B719" s="1" t="n">
        <v>45614.39627314815</v>
      </c>
      <c r="C719" s="1" t="n">
        <v>45995</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22008-2024</t>
        </is>
      </c>
      <c r="B720" s="1" t="n">
        <v>45443</v>
      </c>
      <c r="C720" s="1" t="n">
        <v>45995</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55599-2025</t>
        </is>
      </c>
      <c r="B721" s="1" t="n">
        <v>45971.76810185185</v>
      </c>
      <c r="C721" s="1" t="n">
        <v>45995</v>
      </c>
      <c r="D721" t="inlineStr">
        <is>
          <t>STOCKHOLMS LÄN</t>
        </is>
      </c>
      <c r="E721" t="inlineStr">
        <is>
          <t>NORRTÄLJE</t>
        </is>
      </c>
      <c r="F721" t="inlineStr">
        <is>
          <t>Holmen skog AB</t>
        </is>
      </c>
      <c r="G721" t="n">
        <v>6.4</v>
      </c>
      <c r="H721" t="n">
        <v>0</v>
      </c>
      <c r="I721" t="n">
        <v>0</v>
      </c>
      <c r="J721" t="n">
        <v>0</v>
      </c>
      <c r="K721" t="n">
        <v>0</v>
      </c>
      <c r="L721" t="n">
        <v>0</v>
      </c>
      <c r="M721" t="n">
        <v>0</v>
      </c>
      <c r="N721" t="n">
        <v>0</v>
      </c>
      <c r="O721" t="n">
        <v>0</v>
      </c>
      <c r="P721" t="n">
        <v>0</v>
      </c>
      <c r="Q721" t="n">
        <v>0</v>
      </c>
      <c r="R721" s="2" t="inlineStr"/>
    </row>
    <row r="722" ht="15" customHeight="1">
      <c r="A722" t="inlineStr">
        <is>
          <t>A 58277-2023</t>
        </is>
      </c>
      <c r="B722" s="1" t="n">
        <v>45245</v>
      </c>
      <c r="C722" s="1" t="n">
        <v>45995</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20852-2023</t>
        </is>
      </c>
      <c r="B723" s="1" t="n">
        <v>45058.78607638889</v>
      </c>
      <c r="C723" s="1" t="n">
        <v>45995</v>
      </c>
      <c r="D723" t="inlineStr">
        <is>
          <t>STOCKHOLMS LÄN</t>
        </is>
      </c>
      <c r="E723" t="inlineStr">
        <is>
          <t>NORRTÄLJE</t>
        </is>
      </c>
      <c r="G723" t="n">
        <v>3.5</v>
      </c>
      <c r="H723" t="n">
        <v>0</v>
      </c>
      <c r="I723" t="n">
        <v>0</v>
      </c>
      <c r="J723" t="n">
        <v>0</v>
      </c>
      <c r="K723" t="n">
        <v>0</v>
      </c>
      <c r="L723" t="n">
        <v>0</v>
      </c>
      <c r="M723" t="n">
        <v>0</v>
      </c>
      <c r="N723" t="n">
        <v>0</v>
      </c>
      <c r="O723" t="n">
        <v>0</v>
      </c>
      <c r="P723" t="n">
        <v>0</v>
      </c>
      <c r="Q723" t="n">
        <v>0</v>
      </c>
      <c r="R723" s="2" t="inlineStr"/>
    </row>
    <row r="724" ht="15" customHeight="1">
      <c r="A724" t="inlineStr">
        <is>
          <t>A 9480-2025</t>
        </is>
      </c>
      <c r="B724" s="1" t="n">
        <v>45715</v>
      </c>
      <c r="C724" s="1" t="n">
        <v>45995</v>
      </c>
      <c r="D724" t="inlineStr">
        <is>
          <t>STOCKHOLMS LÄN</t>
        </is>
      </c>
      <c r="E724" t="inlineStr">
        <is>
          <t>NORRTÄLJE</t>
        </is>
      </c>
      <c r="F724" t="inlineStr">
        <is>
          <t>Övriga Aktiebolag</t>
        </is>
      </c>
      <c r="G724" t="n">
        <v>3.9</v>
      </c>
      <c r="H724" t="n">
        <v>0</v>
      </c>
      <c r="I724" t="n">
        <v>0</v>
      </c>
      <c r="J724" t="n">
        <v>0</v>
      </c>
      <c r="K724" t="n">
        <v>0</v>
      </c>
      <c r="L724" t="n">
        <v>0</v>
      </c>
      <c r="M724" t="n">
        <v>0</v>
      </c>
      <c r="N724" t="n">
        <v>0</v>
      </c>
      <c r="O724" t="n">
        <v>0</v>
      </c>
      <c r="P724" t="n">
        <v>0</v>
      </c>
      <c r="Q724" t="n">
        <v>0</v>
      </c>
      <c r="R724" s="2" t="inlineStr"/>
    </row>
    <row r="725" ht="15" customHeight="1">
      <c r="A725" t="inlineStr">
        <is>
          <t>A 47460-2025</t>
        </is>
      </c>
      <c r="B725" s="1" t="n">
        <v>45930.66012731481</v>
      </c>
      <c r="C725" s="1" t="n">
        <v>45995</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50355-2024</t>
        </is>
      </c>
      <c r="B726" s="1" t="n">
        <v>45600.86128472222</v>
      </c>
      <c r="C726" s="1" t="n">
        <v>45995</v>
      </c>
      <c r="D726" t="inlineStr">
        <is>
          <t>STOCKHOLMS LÄN</t>
        </is>
      </c>
      <c r="E726" t="inlineStr">
        <is>
          <t>NORRTÄLJE</t>
        </is>
      </c>
      <c r="F726" t="inlineStr">
        <is>
          <t>Kommuner</t>
        </is>
      </c>
      <c r="G726" t="n">
        <v>1</v>
      </c>
      <c r="H726" t="n">
        <v>0</v>
      </c>
      <c r="I726" t="n">
        <v>0</v>
      </c>
      <c r="J726" t="n">
        <v>0</v>
      </c>
      <c r="K726" t="n">
        <v>0</v>
      </c>
      <c r="L726" t="n">
        <v>0</v>
      </c>
      <c r="M726" t="n">
        <v>0</v>
      </c>
      <c r="N726" t="n">
        <v>0</v>
      </c>
      <c r="O726" t="n">
        <v>0</v>
      </c>
      <c r="P726" t="n">
        <v>0</v>
      </c>
      <c r="Q726" t="n">
        <v>0</v>
      </c>
      <c r="R726" s="2" t="inlineStr"/>
    </row>
    <row r="727" ht="15" customHeight="1">
      <c r="A727" t="inlineStr">
        <is>
          <t>A 46900-2025</t>
        </is>
      </c>
      <c r="B727" s="1" t="n">
        <v>45929.38712962963</v>
      </c>
      <c r="C727" s="1" t="n">
        <v>45995</v>
      </c>
      <c r="D727" t="inlineStr">
        <is>
          <t>STOCKHOLMS LÄN</t>
        </is>
      </c>
      <c r="E727" t="inlineStr">
        <is>
          <t>NORRTÄLJE</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4322-2023</t>
        </is>
      </c>
      <c r="B728" s="1" t="n">
        <v>44953.69298611111</v>
      </c>
      <c r="C728" s="1" t="n">
        <v>45995</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60694-2024</t>
        </is>
      </c>
      <c r="B729" s="1" t="n">
        <v>45644.47878472223</v>
      </c>
      <c r="C729" s="1" t="n">
        <v>45995</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56114-2025</t>
        </is>
      </c>
      <c r="B730" s="1" t="n">
        <v>45973.74474537037</v>
      </c>
      <c r="C730" s="1" t="n">
        <v>45995</v>
      </c>
      <c r="D730" t="inlineStr">
        <is>
          <t>STOCKHOLMS LÄN</t>
        </is>
      </c>
      <c r="E730" t="inlineStr">
        <is>
          <t>NORRTÄLJE</t>
        </is>
      </c>
      <c r="G730" t="n">
        <v>0.8</v>
      </c>
      <c r="H730" t="n">
        <v>0</v>
      </c>
      <c r="I730" t="n">
        <v>0</v>
      </c>
      <c r="J730" t="n">
        <v>0</v>
      </c>
      <c r="K730" t="n">
        <v>0</v>
      </c>
      <c r="L730" t="n">
        <v>0</v>
      </c>
      <c r="M730" t="n">
        <v>0</v>
      </c>
      <c r="N730" t="n">
        <v>0</v>
      </c>
      <c r="O730" t="n">
        <v>0</v>
      </c>
      <c r="P730" t="n">
        <v>0</v>
      </c>
      <c r="Q730" t="n">
        <v>0</v>
      </c>
      <c r="R730" s="2" t="inlineStr"/>
    </row>
    <row r="731" ht="15" customHeight="1">
      <c r="A731" t="inlineStr">
        <is>
          <t>A 35916-2024</t>
        </is>
      </c>
      <c r="B731" s="1" t="n">
        <v>45533</v>
      </c>
      <c r="C731" s="1" t="n">
        <v>45995</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38889-2024</t>
        </is>
      </c>
      <c r="B732" s="1" t="n">
        <v>45547</v>
      </c>
      <c r="C732" s="1" t="n">
        <v>45995</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25094-2023</t>
        </is>
      </c>
      <c r="B733" s="1" t="n">
        <v>45086.3629050926</v>
      </c>
      <c r="C733" s="1" t="n">
        <v>45995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59276-2023</t>
        </is>
      </c>
      <c r="B734" s="1" t="n">
        <v>45253.55641203704</v>
      </c>
      <c r="C734" s="1" t="n">
        <v>45995</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13767-2025</t>
        </is>
      </c>
      <c r="B735" s="1" t="n">
        <v>45737.43347222222</v>
      </c>
      <c r="C735" s="1" t="n">
        <v>45995</v>
      </c>
      <c r="D735" t="inlineStr">
        <is>
          <t>STOCKHOLMS LÄN</t>
        </is>
      </c>
      <c r="E735" t="inlineStr">
        <is>
          <t>NORRTÄLJE</t>
        </is>
      </c>
      <c r="F735" t="inlineStr">
        <is>
          <t>Holmen skog AB</t>
        </is>
      </c>
      <c r="G735" t="n">
        <v>1.3</v>
      </c>
      <c r="H735" t="n">
        <v>0</v>
      </c>
      <c r="I735" t="n">
        <v>0</v>
      </c>
      <c r="J735" t="n">
        <v>0</v>
      </c>
      <c r="K735" t="n">
        <v>0</v>
      </c>
      <c r="L735" t="n">
        <v>0</v>
      </c>
      <c r="M735" t="n">
        <v>0</v>
      </c>
      <c r="N735" t="n">
        <v>0</v>
      </c>
      <c r="O735" t="n">
        <v>0</v>
      </c>
      <c r="P735" t="n">
        <v>0</v>
      </c>
      <c r="Q735" t="n">
        <v>0</v>
      </c>
      <c r="R735" s="2" t="inlineStr"/>
    </row>
    <row r="736" ht="15" customHeight="1">
      <c r="A736" t="inlineStr">
        <is>
          <t>A 41587-2023</t>
        </is>
      </c>
      <c r="B736" s="1" t="n">
        <v>45175</v>
      </c>
      <c r="C736" s="1" t="n">
        <v>45995</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3299-2022</t>
        </is>
      </c>
      <c r="B737" s="1" t="n">
        <v>44584.91001157407</v>
      </c>
      <c r="C737" s="1" t="n">
        <v>45995</v>
      </c>
      <c r="D737" t="inlineStr">
        <is>
          <t>STOCKHOLMS LÄN</t>
        </is>
      </c>
      <c r="E737" t="inlineStr">
        <is>
          <t>NORRTÄLJE</t>
        </is>
      </c>
      <c r="G737" t="n">
        <v>2.7</v>
      </c>
      <c r="H737" t="n">
        <v>0</v>
      </c>
      <c r="I737" t="n">
        <v>0</v>
      </c>
      <c r="J737" t="n">
        <v>0</v>
      </c>
      <c r="K737" t="n">
        <v>0</v>
      </c>
      <c r="L737" t="n">
        <v>0</v>
      </c>
      <c r="M737" t="n">
        <v>0</v>
      </c>
      <c r="N737" t="n">
        <v>0</v>
      </c>
      <c r="O737" t="n">
        <v>0</v>
      </c>
      <c r="P737" t="n">
        <v>0</v>
      </c>
      <c r="Q737" t="n">
        <v>0</v>
      </c>
      <c r="R737" s="2" t="inlineStr"/>
    </row>
    <row r="738" ht="15" customHeight="1">
      <c r="A738" t="inlineStr">
        <is>
          <t>A 42075-2023</t>
        </is>
      </c>
      <c r="B738" s="1" t="n">
        <v>45177</v>
      </c>
      <c r="C738" s="1" t="n">
        <v>45995</v>
      </c>
      <c r="D738" t="inlineStr">
        <is>
          <t>STOCKHOLMS LÄN</t>
        </is>
      </c>
      <c r="E738" t="inlineStr">
        <is>
          <t>NORRTÄLJE</t>
        </is>
      </c>
      <c r="G738" t="n">
        <v>2.5</v>
      </c>
      <c r="H738" t="n">
        <v>0</v>
      </c>
      <c r="I738" t="n">
        <v>0</v>
      </c>
      <c r="J738" t="n">
        <v>0</v>
      </c>
      <c r="K738" t="n">
        <v>0</v>
      </c>
      <c r="L738" t="n">
        <v>0</v>
      </c>
      <c r="M738" t="n">
        <v>0</v>
      </c>
      <c r="N738" t="n">
        <v>0</v>
      </c>
      <c r="O738" t="n">
        <v>0</v>
      </c>
      <c r="P738" t="n">
        <v>0</v>
      </c>
      <c r="Q738" t="n">
        <v>0</v>
      </c>
      <c r="R738" s="2" t="inlineStr"/>
    </row>
    <row r="739" ht="15" customHeight="1">
      <c r="A739" t="inlineStr">
        <is>
          <t>A 10676-2025</t>
        </is>
      </c>
      <c r="B739" s="1" t="n">
        <v>45721.88684027778</v>
      </c>
      <c r="C739" s="1" t="n">
        <v>45995</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47498-2025</t>
        </is>
      </c>
      <c r="B740" s="1" t="n">
        <v>45930.8134375</v>
      </c>
      <c r="C740" s="1" t="n">
        <v>45995</v>
      </c>
      <c r="D740" t="inlineStr">
        <is>
          <t>STOCKHOLMS LÄN</t>
        </is>
      </c>
      <c r="E740" t="inlineStr">
        <is>
          <t>NORRTÄLJE</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47496-2025</t>
        </is>
      </c>
      <c r="B741" s="1" t="n">
        <v>45930.79252314815</v>
      </c>
      <c r="C741" s="1" t="n">
        <v>45995</v>
      </c>
      <c r="D741" t="inlineStr">
        <is>
          <t>STOCKHOLMS LÄN</t>
        </is>
      </c>
      <c r="E741" t="inlineStr">
        <is>
          <t>NORRTÄLJE</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47497-2025</t>
        </is>
      </c>
      <c r="B742" s="1" t="n">
        <v>45930.80217592593</v>
      </c>
      <c r="C742" s="1" t="n">
        <v>45995</v>
      </c>
      <c r="D742" t="inlineStr">
        <is>
          <t>STOCKHOLMS LÄN</t>
        </is>
      </c>
      <c r="E742" t="inlineStr">
        <is>
          <t>NORRTÄLJE</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50154-2024</t>
        </is>
      </c>
      <c r="B743" s="1" t="n">
        <v>45600.4558912037</v>
      </c>
      <c r="C743" s="1" t="n">
        <v>45995</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27381-2024</t>
        </is>
      </c>
      <c r="B744" s="1" t="n">
        <v>45473.94501157408</v>
      </c>
      <c r="C744" s="1" t="n">
        <v>45995</v>
      </c>
      <c r="D744" t="inlineStr">
        <is>
          <t>STOCKHOLMS LÄN</t>
        </is>
      </c>
      <c r="E744" t="inlineStr">
        <is>
          <t>NORRTÄLJE</t>
        </is>
      </c>
      <c r="G744" t="n">
        <v>4.5</v>
      </c>
      <c r="H744" t="n">
        <v>0</v>
      </c>
      <c r="I744" t="n">
        <v>0</v>
      </c>
      <c r="J744" t="n">
        <v>0</v>
      </c>
      <c r="K744" t="n">
        <v>0</v>
      </c>
      <c r="L744" t="n">
        <v>0</v>
      </c>
      <c r="M744" t="n">
        <v>0</v>
      </c>
      <c r="N744" t="n">
        <v>0</v>
      </c>
      <c r="O744" t="n">
        <v>0</v>
      </c>
      <c r="P744" t="n">
        <v>0</v>
      </c>
      <c r="Q744" t="n">
        <v>0</v>
      </c>
      <c r="R744" s="2" t="inlineStr"/>
    </row>
    <row r="745" ht="15" customHeight="1">
      <c r="A745" t="inlineStr">
        <is>
          <t>A 37273-2024</t>
        </is>
      </c>
      <c r="B745" s="1" t="n">
        <v>45540</v>
      </c>
      <c r="C745" s="1" t="n">
        <v>45995</v>
      </c>
      <c r="D745" t="inlineStr">
        <is>
          <t>STOCKHOLMS LÄN</t>
        </is>
      </c>
      <c r="E745" t="inlineStr">
        <is>
          <t>NORRTÄLJE</t>
        </is>
      </c>
      <c r="F745" t="inlineStr">
        <is>
          <t>Sveaskog</t>
        </is>
      </c>
      <c r="G745" t="n">
        <v>12.5</v>
      </c>
      <c r="H745" t="n">
        <v>0</v>
      </c>
      <c r="I745" t="n">
        <v>0</v>
      </c>
      <c r="J745" t="n">
        <v>0</v>
      </c>
      <c r="K745" t="n">
        <v>0</v>
      </c>
      <c r="L745" t="n">
        <v>0</v>
      </c>
      <c r="M745" t="n">
        <v>0</v>
      </c>
      <c r="N745" t="n">
        <v>0</v>
      </c>
      <c r="O745" t="n">
        <v>0</v>
      </c>
      <c r="P745" t="n">
        <v>0</v>
      </c>
      <c r="Q745" t="n">
        <v>0</v>
      </c>
      <c r="R745" s="2" t="inlineStr"/>
    </row>
    <row r="746" ht="15" customHeight="1">
      <c r="A746" t="inlineStr">
        <is>
          <t>A 56207-2025</t>
        </is>
      </c>
      <c r="B746" s="1" t="n">
        <v>45974.47329861111</v>
      </c>
      <c r="C746" s="1" t="n">
        <v>45995</v>
      </c>
      <c r="D746" t="inlineStr">
        <is>
          <t>STOCKHOLMS LÄN</t>
        </is>
      </c>
      <c r="E746" t="inlineStr">
        <is>
          <t>NORRTÄLJE</t>
        </is>
      </c>
      <c r="G746" t="n">
        <v>3.2</v>
      </c>
      <c r="H746" t="n">
        <v>0</v>
      </c>
      <c r="I746" t="n">
        <v>0</v>
      </c>
      <c r="J746" t="n">
        <v>0</v>
      </c>
      <c r="K746" t="n">
        <v>0</v>
      </c>
      <c r="L746" t="n">
        <v>0</v>
      </c>
      <c r="M746" t="n">
        <v>0</v>
      </c>
      <c r="N746" t="n">
        <v>0</v>
      </c>
      <c r="O746" t="n">
        <v>0</v>
      </c>
      <c r="P746" t="n">
        <v>0</v>
      </c>
      <c r="Q746" t="n">
        <v>0</v>
      </c>
      <c r="R746" s="2" t="inlineStr"/>
    </row>
    <row r="747" ht="15" customHeight="1">
      <c r="A747" t="inlineStr">
        <is>
          <t>A 60529-2023</t>
        </is>
      </c>
      <c r="B747" s="1" t="n">
        <v>45259</v>
      </c>
      <c r="C747" s="1" t="n">
        <v>45995</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59326-2023</t>
        </is>
      </c>
      <c r="B748" s="1" t="n">
        <v>45253.63089120371</v>
      </c>
      <c r="C748" s="1" t="n">
        <v>45995</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20790-2025</t>
        </is>
      </c>
      <c r="B749" s="1" t="n">
        <v>45776.62563657408</v>
      </c>
      <c r="C749" s="1" t="n">
        <v>45995</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3152-2024</t>
        </is>
      </c>
      <c r="B750" s="1" t="n">
        <v>45316.60306712963</v>
      </c>
      <c r="C750" s="1" t="n">
        <v>45995</v>
      </c>
      <c r="D750" t="inlineStr">
        <is>
          <t>STOCKHOLMS LÄN</t>
        </is>
      </c>
      <c r="E750" t="inlineStr">
        <is>
          <t>NORRTÄLJE</t>
        </is>
      </c>
      <c r="G750" t="n">
        <v>7.9</v>
      </c>
      <c r="H750" t="n">
        <v>0</v>
      </c>
      <c r="I750" t="n">
        <v>0</v>
      </c>
      <c r="J750" t="n">
        <v>0</v>
      </c>
      <c r="K750" t="n">
        <v>0</v>
      </c>
      <c r="L750" t="n">
        <v>0</v>
      </c>
      <c r="M750" t="n">
        <v>0</v>
      </c>
      <c r="N750" t="n">
        <v>0</v>
      </c>
      <c r="O750" t="n">
        <v>0</v>
      </c>
      <c r="P750" t="n">
        <v>0</v>
      </c>
      <c r="Q750" t="n">
        <v>0</v>
      </c>
      <c r="R750" s="2" t="inlineStr"/>
    </row>
    <row r="751" ht="15" customHeight="1">
      <c r="A751" t="inlineStr">
        <is>
          <t>A 20699-2025</t>
        </is>
      </c>
      <c r="B751" s="1" t="n">
        <v>45776.47346064815</v>
      </c>
      <c r="C751" s="1" t="n">
        <v>45995</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20779-2025</t>
        </is>
      </c>
      <c r="B752" s="1" t="n">
        <v>45776.59871527777</v>
      </c>
      <c r="C752" s="1" t="n">
        <v>45995</v>
      </c>
      <c r="D752" t="inlineStr">
        <is>
          <t>STOCKHOLMS LÄN</t>
        </is>
      </c>
      <c r="E752" t="inlineStr">
        <is>
          <t>NORRTÄLJE</t>
        </is>
      </c>
      <c r="G752" t="n">
        <v>6.9</v>
      </c>
      <c r="H752" t="n">
        <v>0</v>
      </c>
      <c r="I752" t="n">
        <v>0</v>
      </c>
      <c r="J752" t="n">
        <v>0</v>
      </c>
      <c r="K752" t="n">
        <v>0</v>
      </c>
      <c r="L752" t="n">
        <v>0</v>
      </c>
      <c r="M752" t="n">
        <v>0</v>
      </c>
      <c r="N752" t="n">
        <v>0</v>
      </c>
      <c r="O752" t="n">
        <v>0</v>
      </c>
      <c r="P752" t="n">
        <v>0</v>
      </c>
      <c r="Q752" t="n">
        <v>0</v>
      </c>
      <c r="R752" s="2" t="inlineStr"/>
    </row>
    <row r="753" ht="15" customHeight="1">
      <c r="A753" t="inlineStr">
        <is>
          <t>A 44836-2023</t>
        </is>
      </c>
      <c r="B753" s="1" t="n">
        <v>45190.55609953704</v>
      </c>
      <c r="C753" s="1" t="n">
        <v>45995</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34773-2022</t>
        </is>
      </c>
      <c r="B754" s="1" t="n">
        <v>44795</v>
      </c>
      <c r="C754" s="1" t="n">
        <v>45995</v>
      </c>
      <c r="D754" t="inlineStr">
        <is>
          <t>STOCKHOLMS LÄN</t>
        </is>
      </c>
      <c r="E754" t="inlineStr">
        <is>
          <t>NORRTÄLJE</t>
        </is>
      </c>
      <c r="G754" t="n">
        <v>3.9</v>
      </c>
      <c r="H754" t="n">
        <v>0</v>
      </c>
      <c r="I754" t="n">
        <v>0</v>
      </c>
      <c r="J754" t="n">
        <v>0</v>
      </c>
      <c r="K754" t="n">
        <v>0</v>
      </c>
      <c r="L754" t="n">
        <v>0</v>
      </c>
      <c r="M754" t="n">
        <v>0</v>
      </c>
      <c r="N754" t="n">
        <v>0</v>
      </c>
      <c r="O754" t="n">
        <v>0</v>
      </c>
      <c r="P754" t="n">
        <v>0</v>
      </c>
      <c r="Q754" t="n">
        <v>0</v>
      </c>
      <c r="R754" s="2" t="inlineStr"/>
    </row>
    <row r="755" ht="15" customHeight="1">
      <c r="A755" t="inlineStr">
        <is>
          <t>A 23263-2023</t>
        </is>
      </c>
      <c r="B755" s="1" t="n">
        <v>45075</v>
      </c>
      <c r="C755" s="1" t="n">
        <v>45995</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23264-2023</t>
        </is>
      </c>
      <c r="B756" s="1" t="n">
        <v>45075</v>
      </c>
      <c r="C756" s="1" t="n">
        <v>45995</v>
      </c>
      <c r="D756" t="inlineStr">
        <is>
          <t>STOCKHOLMS LÄN</t>
        </is>
      </c>
      <c r="E756" t="inlineStr">
        <is>
          <t>NORRTÄLJE</t>
        </is>
      </c>
      <c r="G756" t="n">
        <v>2.9</v>
      </c>
      <c r="H756" t="n">
        <v>0</v>
      </c>
      <c r="I756" t="n">
        <v>0</v>
      </c>
      <c r="J756" t="n">
        <v>0</v>
      </c>
      <c r="K756" t="n">
        <v>0</v>
      </c>
      <c r="L756" t="n">
        <v>0</v>
      </c>
      <c r="M756" t="n">
        <v>0</v>
      </c>
      <c r="N756" t="n">
        <v>0</v>
      </c>
      <c r="O756" t="n">
        <v>0</v>
      </c>
      <c r="P756" t="n">
        <v>0</v>
      </c>
      <c r="Q756" t="n">
        <v>0</v>
      </c>
      <c r="R756" s="2" t="inlineStr"/>
    </row>
    <row r="757" ht="15" customHeight="1">
      <c r="A757" t="inlineStr">
        <is>
          <t>A 23267-2023</t>
        </is>
      </c>
      <c r="B757" s="1" t="n">
        <v>45075.90934027778</v>
      </c>
      <c r="C757" s="1" t="n">
        <v>45995</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25654-2023</t>
        </is>
      </c>
      <c r="B758" s="1" t="n">
        <v>45089</v>
      </c>
      <c r="C758" s="1" t="n">
        <v>45995</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47758-2023</t>
        </is>
      </c>
      <c r="B759" s="1" t="n">
        <v>45203.83891203703</v>
      </c>
      <c r="C759" s="1" t="n">
        <v>45995</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48151-2024</t>
        </is>
      </c>
      <c r="B760" s="1" t="n">
        <v>45589.68289351852</v>
      </c>
      <c r="C760" s="1" t="n">
        <v>45995</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48718-2025</t>
        </is>
      </c>
      <c r="B761" s="1" t="n">
        <v>45936</v>
      </c>
      <c r="C761" s="1" t="n">
        <v>45995</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21771-2025</t>
        </is>
      </c>
      <c r="B762" s="1" t="n">
        <v>45783</v>
      </c>
      <c r="C762" s="1" t="n">
        <v>45995</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48360-2025</t>
        </is>
      </c>
      <c r="B763" s="1" t="n">
        <v>45933.66253472222</v>
      </c>
      <c r="C763" s="1" t="n">
        <v>45995</v>
      </c>
      <c r="D763" t="inlineStr">
        <is>
          <t>STOCKHOLMS LÄN</t>
        </is>
      </c>
      <c r="E763" t="inlineStr">
        <is>
          <t>NORRTÄLJE</t>
        </is>
      </c>
      <c r="G763" t="n">
        <v>4.1</v>
      </c>
      <c r="H763" t="n">
        <v>0</v>
      </c>
      <c r="I763" t="n">
        <v>0</v>
      </c>
      <c r="J763" t="n">
        <v>0</v>
      </c>
      <c r="K763" t="n">
        <v>0</v>
      </c>
      <c r="L763" t="n">
        <v>0</v>
      </c>
      <c r="M763" t="n">
        <v>0</v>
      </c>
      <c r="N763" t="n">
        <v>0</v>
      </c>
      <c r="O763" t="n">
        <v>0</v>
      </c>
      <c r="P763" t="n">
        <v>0</v>
      </c>
      <c r="Q763" t="n">
        <v>0</v>
      </c>
      <c r="R763" s="2" t="inlineStr"/>
    </row>
    <row r="764" ht="15" customHeight="1">
      <c r="A764" t="inlineStr">
        <is>
          <t>A 48370-2025</t>
        </is>
      </c>
      <c r="B764" s="1" t="n">
        <v>45933.67854166667</v>
      </c>
      <c r="C764" s="1" t="n">
        <v>45995</v>
      </c>
      <c r="D764" t="inlineStr">
        <is>
          <t>STOCKHOLMS LÄN</t>
        </is>
      </c>
      <c r="E764" t="inlineStr">
        <is>
          <t>NORRTÄLJE</t>
        </is>
      </c>
      <c r="G764" t="n">
        <v>4.5</v>
      </c>
      <c r="H764" t="n">
        <v>0</v>
      </c>
      <c r="I764" t="n">
        <v>0</v>
      </c>
      <c r="J764" t="n">
        <v>0</v>
      </c>
      <c r="K764" t="n">
        <v>0</v>
      </c>
      <c r="L764" t="n">
        <v>0</v>
      </c>
      <c r="M764" t="n">
        <v>0</v>
      </c>
      <c r="N764" t="n">
        <v>0</v>
      </c>
      <c r="O764" t="n">
        <v>0</v>
      </c>
      <c r="P764" t="n">
        <v>0</v>
      </c>
      <c r="Q764" t="n">
        <v>0</v>
      </c>
      <c r="R764" s="2" t="inlineStr"/>
    </row>
    <row r="765" ht="15" customHeight="1">
      <c r="A765" t="inlineStr">
        <is>
          <t>A 21778-2025</t>
        </is>
      </c>
      <c r="B765" s="1" t="n">
        <v>45783.66429398148</v>
      </c>
      <c r="C765" s="1" t="n">
        <v>45995</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5831-2022</t>
        </is>
      </c>
      <c r="B766" s="1" t="n">
        <v>44596</v>
      </c>
      <c r="C766" s="1" t="n">
        <v>45995</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58853-2024</t>
        </is>
      </c>
      <c r="B767" s="1" t="n">
        <v>45636.38974537037</v>
      </c>
      <c r="C767" s="1" t="n">
        <v>45995</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48443-2025</t>
        </is>
      </c>
      <c r="B768" s="1" t="n">
        <v>45935.55326388889</v>
      </c>
      <c r="C768" s="1" t="n">
        <v>45995</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48127-2025</t>
        </is>
      </c>
      <c r="B769" s="1" t="n">
        <v>45933.36621527778</v>
      </c>
      <c r="C769" s="1" t="n">
        <v>45995</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48364-2025</t>
        </is>
      </c>
      <c r="B770" s="1" t="n">
        <v>45933.66796296297</v>
      </c>
      <c r="C770" s="1" t="n">
        <v>45995</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48179-2025</t>
        </is>
      </c>
      <c r="B771" s="1" t="n">
        <v>45933.44907407407</v>
      </c>
      <c r="C771" s="1" t="n">
        <v>45995</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59712-2024</t>
        </is>
      </c>
      <c r="B772" s="1" t="n">
        <v>45639.45166666667</v>
      </c>
      <c r="C772" s="1" t="n">
        <v>45995</v>
      </c>
      <c r="D772" t="inlineStr">
        <is>
          <t>STOCKHOLMS LÄN</t>
        </is>
      </c>
      <c r="E772" t="inlineStr">
        <is>
          <t>NORRTÄLJE</t>
        </is>
      </c>
      <c r="G772" t="n">
        <v>4.4</v>
      </c>
      <c r="H772" t="n">
        <v>0</v>
      </c>
      <c r="I772" t="n">
        <v>0</v>
      </c>
      <c r="J772" t="n">
        <v>0</v>
      </c>
      <c r="K772" t="n">
        <v>0</v>
      </c>
      <c r="L772" t="n">
        <v>0</v>
      </c>
      <c r="M772" t="n">
        <v>0</v>
      </c>
      <c r="N772" t="n">
        <v>0</v>
      </c>
      <c r="O772" t="n">
        <v>0</v>
      </c>
      <c r="P772" t="n">
        <v>0</v>
      </c>
      <c r="Q772" t="n">
        <v>0</v>
      </c>
      <c r="R772" s="2" t="inlineStr"/>
    </row>
    <row r="773" ht="15" customHeight="1">
      <c r="A773" t="inlineStr">
        <is>
          <t>A 59721-2024</t>
        </is>
      </c>
      <c r="B773" s="1" t="n">
        <v>45639.47385416667</v>
      </c>
      <c r="C773" s="1" t="n">
        <v>45995</v>
      </c>
      <c r="D773" t="inlineStr">
        <is>
          <t>STOCKHOLMS LÄN</t>
        </is>
      </c>
      <c r="E773" t="inlineStr">
        <is>
          <t>NORRTÄLJE</t>
        </is>
      </c>
      <c r="G773" t="n">
        <v>4.6</v>
      </c>
      <c r="H773" t="n">
        <v>0</v>
      </c>
      <c r="I773" t="n">
        <v>0</v>
      </c>
      <c r="J773" t="n">
        <v>0</v>
      </c>
      <c r="K773" t="n">
        <v>0</v>
      </c>
      <c r="L773" t="n">
        <v>0</v>
      </c>
      <c r="M773" t="n">
        <v>0</v>
      </c>
      <c r="N773" t="n">
        <v>0</v>
      </c>
      <c r="O773" t="n">
        <v>0</v>
      </c>
      <c r="P773" t="n">
        <v>0</v>
      </c>
      <c r="Q773" t="n">
        <v>0</v>
      </c>
      <c r="R773" s="2" t="inlineStr"/>
    </row>
    <row r="774" ht="15" customHeight="1">
      <c r="A774" t="inlineStr">
        <is>
          <t>A 60884-2024</t>
        </is>
      </c>
      <c r="B774" s="1" t="n">
        <v>45644.90815972222</v>
      </c>
      <c r="C774" s="1" t="n">
        <v>45995</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12902-2024</t>
        </is>
      </c>
      <c r="B775" s="1" t="n">
        <v>45385.38146990741</v>
      </c>
      <c r="C775" s="1" t="n">
        <v>45995</v>
      </c>
      <c r="D775" t="inlineStr">
        <is>
          <t>STOCKHOLMS LÄN</t>
        </is>
      </c>
      <c r="E775" t="inlineStr">
        <is>
          <t>NORRTÄLJE</t>
        </is>
      </c>
      <c r="G775" t="n">
        <v>3.7</v>
      </c>
      <c r="H775" t="n">
        <v>0</v>
      </c>
      <c r="I775" t="n">
        <v>0</v>
      </c>
      <c r="J775" t="n">
        <v>0</v>
      </c>
      <c r="K775" t="n">
        <v>0</v>
      </c>
      <c r="L775" t="n">
        <v>0</v>
      </c>
      <c r="M775" t="n">
        <v>0</v>
      </c>
      <c r="N775" t="n">
        <v>0</v>
      </c>
      <c r="O775" t="n">
        <v>0</v>
      </c>
      <c r="P775" t="n">
        <v>0</v>
      </c>
      <c r="Q775" t="n">
        <v>0</v>
      </c>
      <c r="R775" s="2" t="inlineStr"/>
    </row>
    <row r="776" ht="15" customHeight="1">
      <c r="A776" t="inlineStr">
        <is>
          <t>A 23150-2024</t>
        </is>
      </c>
      <c r="B776" s="1" t="n">
        <v>45450.64643518518</v>
      </c>
      <c r="C776" s="1" t="n">
        <v>45995</v>
      </c>
      <c r="D776" t="inlineStr">
        <is>
          <t>STOCKHOLMS LÄN</t>
        </is>
      </c>
      <c r="E776" t="inlineStr">
        <is>
          <t>NORRTÄLJE</t>
        </is>
      </c>
      <c r="F776" t="inlineStr">
        <is>
          <t>Kommuner</t>
        </is>
      </c>
      <c r="G776" t="n">
        <v>2.7</v>
      </c>
      <c r="H776" t="n">
        <v>0</v>
      </c>
      <c r="I776" t="n">
        <v>0</v>
      </c>
      <c r="J776" t="n">
        <v>0</v>
      </c>
      <c r="K776" t="n">
        <v>0</v>
      </c>
      <c r="L776" t="n">
        <v>0</v>
      </c>
      <c r="M776" t="n">
        <v>0</v>
      </c>
      <c r="N776" t="n">
        <v>0</v>
      </c>
      <c r="O776" t="n">
        <v>0</v>
      </c>
      <c r="P776" t="n">
        <v>0</v>
      </c>
      <c r="Q776" t="n">
        <v>0</v>
      </c>
      <c r="R776" s="2" t="inlineStr"/>
    </row>
    <row r="777" ht="15" customHeight="1">
      <c r="A777" t="inlineStr">
        <is>
          <t>A 59878-2024</t>
        </is>
      </c>
      <c r="B777" s="1" t="n">
        <v>45640.60240740741</v>
      </c>
      <c r="C777" s="1" t="n">
        <v>45995</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50182-2024</t>
        </is>
      </c>
      <c r="B778" s="1" t="n">
        <v>45600.47275462963</v>
      </c>
      <c r="C778" s="1" t="n">
        <v>45995</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2549-2022</t>
        </is>
      </c>
      <c r="B779" s="1" t="n">
        <v>44580</v>
      </c>
      <c r="C779" s="1" t="n">
        <v>45995</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48174-2025</t>
        </is>
      </c>
      <c r="B780" s="1" t="n">
        <v>45933.44230324074</v>
      </c>
      <c r="C780" s="1" t="n">
        <v>45995</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31140-2023</t>
        </is>
      </c>
      <c r="B781" s="1" t="n">
        <v>45113</v>
      </c>
      <c r="C781" s="1" t="n">
        <v>45995</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31149-2023</t>
        </is>
      </c>
      <c r="B782" s="1" t="n">
        <v>45113</v>
      </c>
      <c r="C782" s="1" t="n">
        <v>45995</v>
      </c>
      <c r="D782" t="inlineStr">
        <is>
          <t>STOCKHOLMS LÄN</t>
        </is>
      </c>
      <c r="E782" t="inlineStr">
        <is>
          <t>NORRTÄLJE</t>
        </is>
      </c>
      <c r="G782" t="n">
        <v>7.1</v>
      </c>
      <c r="H782" t="n">
        <v>0</v>
      </c>
      <c r="I782" t="n">
        <v>0</v>
      </c>
      <c r="J782" t="n">
        <v>0</v>
      </c>
      <c r="K782" t="n">
        <v>0</v>
      </c>
      <c r="L782" t="n">
        <v>0</v>
      </c>
      <c r="M782" t="n">
        <v>0</v>
      </c>
      <c r="N782" t="n">
        <v>0</v>
      </c>
      <c r="O782" t="n">
        <v>0</v>
      </c>
      <c r="P782" t="n">
        <v>0</v>
      </c>
      <c r="Q782" t="n">
        <v>0</v>
      </c>
      <c r="R782" s="2" t="inlineStr"/>
    </row>
    <row r="783" ht="15" customHeight="1">
      <c r="A783" t="inlineStr">
        <is>
          <t>A 16835-2022</t>
        </is>
      </c>
      <c r="B783" s="1" t="n">
        <v>44673</v>
      </c>
      <c r="C783" s="1" t="n">
        <v>45995</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48593-2025</t>
        </is>
      </c>
      <c r="B784" s="1" t="n">
        <v>45936.4627662037</v>
      </c>
      <c r="C784" s="1" t="n">
        <v>45995</v>
      </c>
      <c r="D784" t="inlineStr">
        <is>
          <t>STOCKHOLMS LÄN</t>
        </is>
      </c>
      <c r="E784" t="inlineStr">
        <is>
          <t>NORRTÄLJE</t>
        </is>
      </c>
      <c r="G784" t="n">
        <v>4.2</v>
      </c>
      <c r="H784" t="n">
        <v>0</v>
      </c>
      <c r="I784" t="n">
        <v>0</v>
      </c>
      <c r="J784" t="n">
        <v>0</v>
      </c>
      <c r="K784" t="n">
        <v>0</v>
      </c>
      <c r="L784" t="n">
        <v>0</v>
      </c>
      <c r="M784" t="n">
        <v>0</v>
      </c>
      <c r="N784" t="n">
        <v>0</v>
      </c>
      <c r="O784" t="n">
        <v>0</v>
      </c>
      <c r="P784" t="n">
        <v>0</v>
      </c>
      <c r="Q784" t="n">
        <v>0</v>
      </c>
      <c r="R784" s="2" t="inlineStr"/>
    </row>
    <row r="785" ht="15" customHeight="1">
      <c r="A785" t="inlineStr">
        <is>
          <t>A 39237-2024</t>
        </is>
      </c>
      <c r="B785" s="1" t="n">
        <v>45549</v>
      </c>
      <c r="C785" s="1" t="n">
        <v>45995</v>
      </c>
      <c r="D785" t="inlineStr">
        <is>
          <t>STOCKHOLMS LÄN</t>
        </is>
      </c>
      <c r="E785" t="inlineStr">
        <is>
          <t>NORRTÄLJE</t>
        </is>
      </c>
      <c r="G785" t="n">
        <v>13.3</v>
      </c>
      <c r="H785" t="n">
        <v>0</v>
      </c>
      <c r="I785" t="n">
        <v>0</v>
      </c>
      <c r="J785" t="n">
        <v>0</v>
      </c>
      <c r="K785" t="n">
        <v>0</v>
      </c>
      <c r="L785" t="n">
        <v>0</v>
      </c>
      <c r="M785" t="n">
        <v>0</v>
      </c>
      <c r="N785" t="n">
        <v>0</v>
      </c>
      <c r="O785" t="n">
        <v>0</v>
      </c>
      <c r="P785" t="n">
        <v>0</v>
      </c>
      <c r="Q785" t="n">
        <v>0</v>
      </c>
      <c r="R785" s="2" t="inlineStr"/>
    </row>
    <row r="786" ht="15" customHeight="1">
      <c r="A786" t="inlineStr">
        <is>
          <t>A 44891-2023</t>
        </is>
      </c>
      <c r="B786" s="1" t="n">
        <v>45187</v>
      </c>
      <c r="C786" s="1" t="n">
        <v>45995</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13268-2025</t>
        </is>
      </c>
      <c r="B787" s="1" t="n">
        <v>45735</v>
      </c>
      <c r="C787" s="1" t="n">
        <v>45995</v>
      </c>
      <c r="D787" t="inlineStr">
        <is>
          <t>STOCKHOLMS LÄN</t>
        </is>
      </c>
      <c r="E787" t="inlineStr">
        <is>
          <t>NORRTÄLJE</t>
        </is>
      </c>
      <c r="G787" t="n">
        <v>11.4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45995</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13089-2022</t>
        </is>
      </c>
      <c r="B789" s="1" t="n">
        <v>44643</v>
      </c>
      <c r="C789" s="1" t="n">
        <v>45995</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8414-2025</t>
        </is>
      </c>
      <c r="B790" s="1" t="n">
        <v>45709.39361111111</v>
      </c>
      <c r="C790" s="1" t="n">
        <v>45995</v>
      </c>
      <c r="D790" t="inlineStr">
        <is>
          <t>STOCKHOLMS LÄN</t>
        </is>
      </c>
      <c r="E790" t="inlineStr">
        <is>
          <t>NORRTÄLJE</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49129-2025</t>
        </is>
      </c>
      <c r="B791" s="1" t="n">
        <v>45937.89517361111</v>
      </c>
      <c r="C791" s="1" t="n">
        <v>45995</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48780-2025</t>
        </is>
      </c>
      <c r="B792" s="1" t="n">
        <v>45937.30377314815</v>
      </c>
      <c r="C792" s="1" t="n">
        <v>45995</v>
      </c>
      <c r="D792" t="inlineStr">
        <is>
          <t>STOCKHOLMS LÄN</t>
        </is>
      </c>
      <c r="E792" t="inlineStr">
        <is>
          <t>NORRTÄLJE</t>
        </is>
      </c>
      <c r="G792" t="n">
        <v>7.7</v>
      </c>
      <c r="H792" t="n">
        <v>0</v>
      </c>
      <c r="I792" t="n">
        <v>0</v>
      </c>
      <c r="J792" t="n">
        <v>0</v>
      </c>
      <c r="K792" t="n">
        <v>0</v>
      </c>
      <c r="L792" t="n">
        <v>0</v>
      </c>
      <c r="M792" t="n">
        <v>0</v>
      </c>
      <c r="N792" t="n">
        <v>0</v>
      </c>
      <c r="O792" t="n">
        <v>0</v>
      </c>
      <c r="P792" t="n">
        <v>0</v>
      </c>
      <c r="Q792" t="n">
        <v>0</v>
      </c>
      <c r="R792" s="2" t="inlineStr"/>
    </row>
    <row r="793" ht="15" customHeight="1">
      <c r="A793" t="inlineStr">
        <is>
          <t>A 38759-2022</t>
        </is>
      </c>
      <c r="B793" s="1" t="n">
        <v>44816</v>
      </c>
      <c r="C793" s="1" t="n">
        <v>45995</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23998-2024</t>
        </is>
      </c>
      <c r="B794" s="1" t="n">
        <v>45456</v>
      </c>
      <c r="C794" s="1" t="n">
        <v>45995</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44032-2024</t>
        </is>
      </c>
      <c r="B795" s="1" t="n">
        <v>45572.57828703704</v>
      </c>
      <c r="C795" s="1" t="n">
        <v>45995</v>
      </c>
      <c r="D795" t="inlineStr">
        <is>
          <t>STOCKHOLMS LÄN</t>
        </is>
      </c>
      <c r="E795" t="inlineStr">
        <is>
          <t>NORRTÄLJE</t>
        </is>
      </c>
      <c r="G795" t="n">
        <v>8.6</v>
      </c>
      <c r="H795" t="n">
        <v>0</v>
      </c>
      <c r="I795" t="n">
        <v>0</v>
      </c>
      <c r="J795" t="n">
        <v>0</v>
      </c>
      <c r="K795" t="n">
        <v>0</v>
      </c>
      <c r="L795" t="n">
        <v>0</v>
      </c>
      <c r="M795" t="n">
        <v>0</v>
      </c>
      <c r="N795" t="n">
        <v>0</v>
      </c>
      <c r="O795" t="n">
        <v>0</v>
      </c>
      <c r="P795" t="n">
        <v>0</v>
      </c>
      <c r="Q795" t="n">
        <v>0</v>
      </c>
      <c r="R795" s="2" t="inlineStr"/>
    </row>
    <row r="796" ht="15" customHeight="1">
      <c r="A796" t="inlineStr">
        <is>
          <t>A 54504-2024</t>
        </is>
      </c>
      <c r="B796" s="1" t="n">
        <v>45617.58453703704</v>
      </c>
      <c r="C796" s="1" t="n">
        <v>45995</v>
      </c>
      <c r="D796" t="inlineStr">
        <is>
          <t>STOCKHOLMS LÄN</t>
        </is>
      </c>
      <c r="E796" t="inlineStr">
        <is>
          <t>NORRTÄLJE</t>
        </is>
      </c>
      <c r="G796" t="n">
        <v>3.4</v>
      </c>
      <c r="H796" t="n">
        <v>0</v>
      </c>
      <c r="I796" t="n">
        <v>0</v>
      </c>
      <c r="J796" t="n">
        <v>0</v>
      </c>
      <c r="K796" t="n">
        <v>0</v>
      </c>
      <c r="L796" t="n">
        <v>0</v>
      </c>
      <c r="M796" t="n">
        <v>0</v>
      </c>
      <c r="N796" t="n">
        <v>0</v>
      </c>
      <c r="O796" t="n">
        <v>0</v>
      </c>
      <c r="P796" t="n">
        <v>0</v>
      </c>
      <c r="Q796" t="n">
        <v>0</v>
      </c>
      <c r="R796" s="2" t="inlineStr"/>
    </row>
    <row r="797" ht="15" customHeight="1">
      <c r="A797" t="inlineStr">
        <is>
          <t>A 33279-2025</t>
        </is>
      </c>
      <c r="B797" s="1" t="n">
        <v>45840</v>
      </c>
      <c r="C797" s="1" t="n">
        <v>45995</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32595-2023</t>
        </is>
      </c>
      <c r="B798" s="1" t="n">
        <v>45121</v>
      </c>
      <c r="C798" s="1" t="n">
        <v>45995</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24563-2024</t>
        </is>
      </c>
      <c r="B799" s="1" t="n">
        <v>45460.44347222222</v>
      </c>
      <c r="C799" s="1" t="n">
        <v>45995</v>
      </c>
      <c r="D799" t="inlineStr">
        <is>
          <t>STOCKHOLMS LÄN</t>
        </is>
      </c>
      <c r="E799" t="inlineStr">
        <is>
          <t>NORRTÄLJE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11332-2025</t>
        </is>
      </c>
      <c r="B800" s="1" t="n">
        <v>45726.48152777777</v>
      </c>
      <c r="C800" s="1" t="n">
        <v>45995</v>
      </c>
      <c r="D800" t="inlineStr">
        <is>
          <t>STOCKHOLMS LÄN</t>
        </is>
      </c>
      <c r="E800" t="inlineStr">
        <is>
          <t>NORRTÄLJE</t>
        </is>
      </c>
      <c r="G800" t="n">
        <v>4.6</v>
      </c>
      <c r="H800" t="n">
        <v>0</v>
      </c>
      <c r="I800" t="n">
        <v>0</v>
      </c>
      <c r="J800" t="n">
        <v>0</v>
      </c>
      <c r="K800" t="n">
        <v>0</v>
      </c>
      <c r="L800" t="n">
        <v>0</v>
      </c>
      <c r="M800" t="n">
        <v>0</v>
      </c>
      <c r="N800" t="n">
        <v>0</v>
      </c>
      <c r="O800" t="n">
        <v>0</v>
      </c>
      <c r="P800" t="n">
        <v>0</v>
      </c>
      <c r="Q800" t="n">
        <v>0</v>
      </c>
      <c r="R800" s="2" t="inlineStr"/>
    </row>
    <row r="801" ht="15" customHeight="1">
      <c r="A801" t="inlineStr">
        <is>
          <t>A 22202-2025</t>
        </is>
      </c>
      <c r="B801" s="1" t="n">
        <v>45785.65300925926</v>
      </c>
      <c r="C801" s="1" t="n">
        <v>45995</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13718-2022</t>
        </is>
      </c>
      <c r="B802" s="1" t="n">
        <v>44649</v>
      </c>
      <c r="C802" s="1" t="n">
        <v>45995</v>
      </c>
      <c r="D802" t="inlineStr">
        <is>
          <t>STOCKHOLMS LÄN</t>
        </is>
      </c>
      <c r="E802" t="inlineStr">
        <is>
          <t>NORRTÄLJE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36625-2024</t>
        </is>
      </c>
      <c r="B803" s="1" t="n">
        <v>45537</v>
      </c>
      <c r="C803" s="1" t="n">
        <v>45995</v>
      </c>
      <c r="D803" t="inlineStr">
        <is>
          <t>STOCKHOLMS LÄN</t>
        </is>
      </c>
      <c r="E803" t="inlineStr">
        <is>
          <t>NORRTÄLJE</t>
        </is>
      </c>
      <c r="G803" t="n">
        <v>3.8</v>
      </c>
      <c r="H803" t="n">
        <v>0</v>
      </c>
      <c r="I803" t="n">
        <v>0</v>
      </c>
      <c r="J803" t="n">
        <v>0</v>
      </c>
      <c r="K803" t="n">
        <v>0</v>
      </c>
      <c r="L803" t="n">
        <v>0</v>
      </c>
      <c r="M803" t="n">
        <v>0</v>
      </c>
      <c r="N803" t="n">
        <v>0</v>
      </c>
      <c r="O803" t="n">
        <v>0</v>
      </c>
      <c r="P803" t="n">
        <v>0</v>
      </c>
      <c r="Q803" t="n">
        <v>0</v>
      </c>
      <c r="R803" s="2" t="inlineStr"/>
    </row>
    <row r="804" ht="15" customHeight="1">
      <c r="A804" t="inlineStr">
        <is>
          <t>A 45746-2024</t>
        </is>
      </c>
      <c r="B804" s="1" t="n">
        <v>45579</v>
      </c>
      <c r="C804" s="1" t="n">
        <v>45995</v>
      </c>
      <c r="D804" t="inlineStr">
        <is>
          <t>STOCKHOLMS LÄN</t>
        </is>
      </c>
      <c r="E804" t="inlineStr">
        <is>
          <t>NORRTÄLJE</t>
        </is>
      </c>
      <c r="G804" t="n">
        <v>3.3</v>
      </c>
      <c r="H804" t="n">
        <v>0</v>
      </c>
      <c r="I804" t="n">
        <v>0</v>
      </c>
      <c r="J804" t="n">
        <v>0</v>
      </c>
      <c r="K804" t="n">
        <v>0</v>
      </c>
      <c r="L804" t="n">
        <v>0</v>
      </c>
      <c r="M804" t="n">
        <v>0</v>
      </c>
      <c r="N804" t="n">
        <v>0</v>
      </c>
      <c r="O804" t="n">
        <v>0</v>
      </c>
      <c r="P804" t="n">
        <v>0</v>
      </c>
      <c r="Q804" t="n">
        <v>0</v>
      </c>
      <c r="R804" s="2" t="inlineStr"/>
    </row>
    <row r="805" ht="15" customHeight="1">
      <c r="A805" t="inlineStr">
        <is>
          <t>A 8400-2024</t>
        </is>
      </c>
      <c r="B805" s="1" t="n">
        <v>45352.74090277778</v>
      </c>
      <c r="C805" s="1" t="n">
        <v>45995</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2182-2022</t>
        </is>
      </c>
      <c r="B806" s="1" t="n">
        <v>44578</v>
      </c>
      <c r="C806" s="1" t="n">
        <v>45995</v>
      </c>
      <c r="D806" t="inlineStr">
        <is>
          <t>STOCKHOLMS LÄN</t>
        </is>
      </c>
      <c r="E806" t="inlineStr">
        <is>
          <t>NORRTÄLJE</t>
        </is>
      </c>
      <c r="G806" t="n">
        <v>7.2</v>
      </c>
      <c r="H806" t="n">
        <v>0</v>
      </c>
      <c r="I806" t="n">
        <v>0</v>
      </c>
      <c r="J806" t="n">
        <v>0</v>
      </c>
      <c r="K806" t="n">
        <v>0</v>
      </c>
      <c r="L806" t="n">
        <v>0</v>
      </c>
      <c r="M806" t="n">
        <v>0</v>
      </c>
      <c r="N806" t="n">
        <v>0</v>
      </c>
      <c r="O806" t="n">
        <v>0</v>
      </c>
      <c r="P806" t="n">
        <v>0</v>
      </c>
      <c r="Q806" t="n">
        <v>0</v>
      </c>
      <c r="R806" s="2" t="inlineStr"/>
    </row>
    <row r="807" ht="15" customHeight="1">
      <c r="A807" t="inlineStr">
        <is>
          <t>A 16620-2024</t>
        </is>
      </c>
      <c r="B807" s="1" t="n">
        <v>45408.57707175926</v>
      </c>
      <c r="C807" s="1" t="n">
        <v>45995</v>
      </c>
      <c r="D807" t="inlineStr">
        <is>
          <t>STOCKHOLMS LÄN</t>
        </is>
      </c>
      <c r="E807" t="inlineStr">
        <is>
          <t>NORRTÄLJE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54259-2023</t>
        </is>
      </c>
      <c r="B808" s="1" t="n">
        <v>45232</v>
      </c>
      <c r="C808" s="1" t="n">
        <v>45995</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13171-2025</t>
        </is>
      </c>
      <c r="B809" s="1" t="n">
        <v>45735.36594907408</v>
      </c>
      <c r="C809" s="1" t="n">
        <v>45995</v>
      </c>
      <c r="D809" t="inlineStr">
        <is>
          <t>STOCKHOLMS LÄN</t>
        </is>
      </c>
      <c r="E809" t="inlineStr">
        <is>
          <t>NORRTÄLJE</t>
        </is>
      </c>
      <c r="G809" t="n">
        <v>5.1</v>
      </c>
      <c r="H809" t="n">
        <v>0</v>
      </c>
      <c r="I809" t="n">
        <v>0</v>
      </c>
      <c r="J809" t="n">
        <v>0</v>
      </c>
      <c r="K809" t="n">
        <v>0</v>
      </c>
      <c r="L809" t="n">
        <v>0</v>
      </c>
      <c r="M809" t="n">
        <v>0</v>
      </c>
      <c r="N809" t="n">
        <v>0</v>
      </c>
      <c r="O809" t="n">
        <v>0</v>
      </c>
      <c r="P809" t="n">
        <v>0</v>
      </c>
      <c r="Q809" t="n">
        <v>0</v>
      </c>
      <c r="R809" s="2" t="inlineStr"/>
    </row>
    <row r="810" ht="15" customHeight="1">
      <c r="A810" t="inlineStr">
        <is>
          <t>A 12299-2025</t>
        </is>
      </c>
      <c r="B810" s="1" t="n">
        <v>45729.71065972222</v>
      </c>
      <c r="C810" s="1" t="n">
        <v>45995</v>
      </c>
      <c r="D810" t="inlineStr">
        <is>
          <t>STOCKHOLMS LÄN</t>
        </is>
      </c>
      <c r="E810" t="inlineStr">
        <is>
          <t>NORRTÄLJE</t>
        </is>
      </c>
      <c r="F810" t="inlineStr">
        <is>
          <t>Holmen skog AB</t>
        </is>
      </c>
      <c r="G810" t="n">
        <v>6.9</v>
      </c>
      <c r="H810" t="n">
        <v>0</v>
      </c>
      <c r="I810" t="n">
        <v>0</v>
      </c>
      <c r="J810" t="n">
        <v>0</v>
      </c>
      <c r="K810" t="n">
        <v>0</v>
      </c>
      <c r="L810" t="n">
        <v>0</v>
      </c>
      <c r="M810" t="n">
        <v>0</v>
      </c>
      <c r="N810" t="n">
        <v>0</v>
      </c>
      <c r="O810" t="n">
        <v>0</v>
      </c>
      <c r="P810" t="n">
        <v>0</v>
      </c>
      <c r="Q810" t="n">
        <v>0</v>
      </c>
      <c r="R810" s="2" t="inlineStr"/>
    </row>
    <row r="811" ht="15" customHeight="1">
      <c r="A811" t="inlineStr">
        <is>
          <t>A 57788-2025</t>
        </is>
      </c>
      <c r="B811" s="1" t="n">
        <v>45981.5778125</v>
      </c>
      <c r="C811" s="1" t="n">
        <v>45995</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49836-2025</t>
        </is>
      </c>
      <c r="B812" s="1" t="n">
        <v>45940.46862268518</v>
      </c>
      <c r="C812" s="1" t="n">
        <v>45995</v>
      </c>
      <c r="D812" t="inlineStr">
        <is>
          <t>STOCKHOLMS LÄN</t>
        </is>
      </c>
      <c r="E812" t="inlineStr">
        <is>
          <t>NORRTÄLJE</t>
        </is>
      </c>
      <c r="G812" t="n">
        <v>3.5</v>
      </c>
      <c r="H812" t="n">
        <v>0</v>
      </c>
      <c r="I812" t="n">
        <v>0</v>
      </c>
      <c r="J812" t="n">
        <v>0</v>
      </c>
      <c r="K812" t="n">
        <v>0</v>
      </c>
      <c r="L812" t="n">
        <v>0</v>
      </c>
      <c r="M812" t="n">
        <v>0</v>
      </c>
      <c r="N812" t="n">
        <v>0</v>
      </c>
      <c r="O812" t="n">
        <v>0</v>
      </c>
      <c r="P812" t="n">
        <v>0</v>
      </c>
      <c r="Q812" t="n">
        <v>0</v>
      </c>
      <c r="R812" s="2" t="inlineStr"/>
    </row>
    <row r="813" ht="15" customHeight="1">
      <c r="A813" t="inlineStr">
        <is>
          <t>A 11900-2024</t>
        </is>
      </c>
      <c r="B813" s="1" t="n">
        <v>45376.55484953704</v>
      </c>
      <c r="C813" s="1" t="n">
        <v>45995</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22416-2025</t>
        </is>
      </c>
      <c r="B814" s="1" t="n">
        <v>45786.55645833333</v>
      </c>
      <c r="C814" s="1" t="n">
        <v>45995</v>
      </c>
      <c r="D814" t="inlineStr">
        <is>
          <t>STOCKHOLMS LÄN</t>
        </is>
      </c>
      <c r="E814" t="inlineStr">
        <is>
          <t>NORRTÄLJE</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43300-2023</t>
        </is>
      </c>
      <c r="B815" s="1" t="n">
        <v>45183</v>
      </c>
      <c r="C815" s="1" t="n">
        <v>45995</v>
      </c>
      <c r="D815" t="inlineStr">
        <is>
          <t>STOCKHOLMS LÄN</t>
        </is>
      </c>
      <c r="E815" t="inlineStr">
        <is>
          <t>NORRTÄLJE</t>
        </is>
      </c>
      <c r="G815" t="n">
        <v>2.3</v>
      </c>
      <c r="H815" t="n">
        <v>0</v>
      </c>
      <c r="I815" t="n">
        <v>0</v>
      </c>
      <c r="J815" t="n">
        <v>0</v>
      </c>
      <c r="K815" t="n">
        <v>0</v>
      </c>
      <c r="L815" t="n">
        <v>0</v>
      </c>
      <c r="M815" t="n">
        <v>0</v>
      </c>
      <c r="N815" t="n">
        <v>0</v>
      </c>
      <c r="O815" t="n">
        <v>0</v>
      </c>
      <c r="P815" t="n">
        <v>0</v>
      </c>
      <c r="Q815" t="n">
        <v>0</v>
      </c>
      <c r="R815" s="2" t="inlineStr"/>
    </row>
    <row r="816" ht="15" customHeight="1">
      <c r="A816" t="inlineStr">
        <is>
          <t>A 55503-2025</t>
        </is>
      </c>
      <c r="B816" s="1" t="n">
        <v>45971</v>
      </c>
      <c r="C816" s="1" t="n">
        <v>45995</v>
      </c>
      <c r="D816" t="inlineStr">
        <is>
          <t>STOCKHOLMS LÄN</t>
        </is>
      </c>
      <c r="E816" t="inlineStr">
        <is>
          <t>NORRTÄLJE</t>
        </is>
      </c>
      <c r="G816" t="n">
        <v>3</v>
      </c>
      <c r="H816" t="n">
        <v>0</v>
      </c>
      <c r="I816" t="n">
        <v>0</v>
      </c>
      <c r="J816" t="n">
        <v>0</v>
      </c>
      <c r="K816" t="n">
        <v>0</v>
      </c>
      <c r="L816" t="n">
        <v>0</v>
      </c>
      <c r="M816" t="n">
        <v>0</v>
      </c>
      <c r="N816" t="n">
        <v>0</v>
      </c>
      <c r="O816" t="n">
        <v>0</v>
      </c>
      <c r="P816" t="n">
        <v>0</v>
      </c>
      <c r="Q816" t="n">
        <v>0</v>
      </c>
      <c r="R816" s="2" t="inlineStr"/>
    </row>
    <row r="817" ht="15" customHeight="1">
      <c r="A817" t="inlineStr">
        <is>
          <t>A 58142-2025</t>
        </is>
      </c>
      <c r="B817" s="1" t="n">
        <v>45982.63791666667</v>
      </c>
      <c r="C817" s="1" t="n">
        <v>45995</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57953-2025</t>
        </is>
      </c>
      <c r="B818" s="1" t="n">
        <v>45982.35016203704</v>
      </c>
      <c r="C818" s="1" t="n">
        <v>45995</v>
      </c>
      <c r="D818" t="inlineStr">
        <is>
          <t>STOCKHOLMS LÄN</t>
        </is>
      </c>
      <c r="E818" t="inlineStr">
        <is>
          <t>NORRTÄLJE</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13276-2022</t>
        </is>
      </c>
      <c r="B819" s="1" t="n">
        <v>44644</v>
      </c>
      <c r="C819" s="1" t="n">
        <v>45995</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58785-2024</t>
        </is>
      </c>
      <c r="B820" s="1" t="n">
        <v>45635.88849537037</v>
      </c>
      <c r="C820" s="1" t="n">
        <v>45995</v>
      </c>
      <c r="D820" t="inlineStr">
        <is>
          <t>STOCKHOLMS LÄN</t>
        </is>
      </c>
      <c r="E820" t="inlineStr">
        <is>
          <t>NORRTÄLJE</t>
        </is>
      </c>
      <c r="G820" t="n">
        <v>3.3</v>
      </c>
      <c r="H820" t="n">
        <v>0</v>
      </c>
      <c r="I820" t="n">
        <v>0</v>
      </c>
      <c r="J820" t="n">
        <v>0</v>
      </c>
      <c r="K820" t="n">
        <v>0</v>
      </c>
      <c r="L820" t="n">
        <v>0</v>
      </c>
      <c r="M820" t="n">
        <v>0</v>
      </c>
      <c r="N820" t="n">
        <v>0</v>
      </c>
      <c r="O820" t="n">
        <v>0</v>
      </c>
      <c r="P820" t="n">
        <v>0</v>
      </c>
      <c r="Q820" t="n">
        <v>0</v>
      </c>
      <c r="R820" s="2" t="inlineStr"/>
    </row>
    <row r="821" ht="15" customHeight="1">
      <c r="A821" t="inlineStr">
        <is>
          <t>A 11900-2022</t>
        </is>
      </c>
      <c r="B821" s="1" t="n">
        <v>44635</v>
      </c>
      <c r="C821" s="1" t="n">
        <v>45995</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14724-2022</t>
        </is>
      </c>
      <c r="B822" s="1" t="n">
        <v>44656</v>
      </c>
      <c r="C822" s="1" t="n">
        <v>45995</v>
      </c>
      <c r="D822" t="inlineStr">
        <is>
          <t>STOCKHOLMS LÄN</t>
        </is>
      </c>
      <c r="E822" t="inlineStr">
        <is>
          <t>NORRTÄLJE</t>
        </is>
      </c>
      <c r="F822" t="inlineStr">
        <is>
          <t>Sveaskog</t>
        </is>
      </c>
      <c r="G822" t="n">
        <v>9</v>
      </c>
      <c r="H822" t="n">
        <v>0</v>
      </c>
      <c r="I822" t="n">
        <v>0</v>
      </c>
      <c r="J822" t="n">
        <v>0</v>
      </c>
      <c r="K822" t="n">
        <v>0</v>
      </c>
      <c r="L822" t="n">
        <v>0</v>
      </c>
      <c r="M822" t="n">
        <v>0</v>
      </c>
      <c r="N822" t="n">
        <v>0</v>
      </c>
      <c r="O822" t="n">
        <v>0</v>
      </c>
      <c r="P822" t="n">
        <v>0</v>
      </c>
      <c r="Q822" t="n">
        <v>0</v>
      </c>
      <c r="R822" s="2" t="inlineStr"/>
    </row>
    <row r="823" ht="15" customHeight="1">
      <c r="A823" t="inlineStr">
        <is>
          <t>A 4580-2025</t>
        </is>
      </c>
      <c r="B823" s="1" t="n">
        <v>45687.5038425926</v>
      </c>
      <c r="C823" s="1" t="n">
        <v>45995</v>
      </c>
      <c r="D823" t="inlineStr">
        <is>
          <t>STOCKHOLMS LÄN</t>
        </is>
      </c>
      <c r="E823" t="inlineStr">
        <is>
          <t>NORRTÄLJE</t>
        </is>
      </c>
      <c r="F823" t="inlineStr">
        <is>
          <t>Holmen skog AB</t>
        </is>
      </c>
      <c r="G823" t="n">
        <v>4.8</v>
      </c>
      <c r="H823" t="n">
        <v>0</v>
      </c>
      <c r="I823" t="n">
        <v>0</v>
      </c>
      <c r="J823" t="n">
        <v>0</v>
      </c>
      <c r="K823" t="n">
        <v>0</v>
      </c>
      <c r="L823" t="n">
        <v>0</v>
      </c>
      <c r="M823" t="n">
        <v>0</v>
      </c>
      <c r="N823" t="n">
        <v>0</v>
      </c>
      <c r="O823" t="n">
        <v>0</v>
      </c>
      <c r="P823" t="n">
        <v>0</v>
      </c>
      <c r="Q823" t="n">
        <v>0</v>
      </c>
      <c r="R823" s="2" t="inlineStr"/>
    </row>
    <row r="824" ht="15" customHeight="1">
      <c r="A824" t="inlineStr">
        <is>
          <t>A 16202-2022</t>
        </is>
      </c>
      <c r="B824" s="1" t="n">
        <v>44670</v>
      </c>
      <c r="C824" s="1" t="n">
        <v>45995</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6003-2025</t>
        </is>
      </c>
      <c r="B825" s="1" t="n">
        <v>45695.57881944445</v>
      </c>
      <c r="C825" s="1" t="n">
        <v>45995</v>
      </c>
      <c r="D825" t="inlineStr">
        <is>
          <t>STOCKHOLMS LÄN</t>
        </is>
      </c>
      <c r="E825" t="inlineStr">
        <is>
          <t>NORRTÄLJE</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52321-2024</t>
        </is>
      </c>
      <c r="B826" s="1" t="n">
        <v>45608</v>
      </c>
      <c r="C826" s="1" t="n">
        <v>45995</v>
      </c>
      <c r="D826" t="inlineStr">
        <is>
          <t>STOCKHOLMS LÄN</t>
        </is>
      </c>
      <c r="E826" t="inlineStr">
        <is>
          <t>NORRTÄLJE</t>
        </is>
      </c>
      <c r="G826" t="n">
        <v>18.1</v>
      </c>
      <c r="H826" t="n">
        <v>0</v>
      </c>
      <c r="I826" t="n">
        <v>0</v>
      </c>
      <c r="J826" t="n">
        <v>0</v>
      </c>
      <c r="K826" t="n">
        <v>0</v>
      </c>
      <c r="L826" t="n">
        <v>0</v>
      </c>
      <c r="M826" t="n">
        <v>0</v>
      </c>
      <c r="N826" t="n">
        <v>0</v>
      </c>
      <c r="O826" t="n">
        <v>0</v>
      </c>
      <c r="P826" t="n">
        <v>0</v>
      </c>
      <c r="Q826" t="n">
        <v>0</v>
      </c>
      <c r="R826" s="2" t="inlineStr"/>
    </row>
    <row r="827" ht="15" customHeight="1">
      <c r="A827" t="inlineStr">
        <is>
          <t>A 54558-2024</t>
        </is>
      </c>
      <c r="B827" s="1" t="n">
        <v>45617.62358796296</v>
      </c>
      <c r="C827" s="1" t="n">
        <v>45995</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22157-2023</t>
        </is>
      </c>
      <c r="B828" s="1" t="n">
        <v>45069</v>
      </c>
      <c r="C828" s="1" t="n">
        <v>45995</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c r="U828">
        <f>HYPERLINK("https://klasma.github.io/Logging_0188/knärot/A 22157-2023 karta knärot.png", "A 22157-2023")</f>
        <v/>
      </c>
      <c r="V828">
        <f>HYPERLINK("https://klasma.github.io/Logging_0188/klagomål/A 22157-2023 FSC-klagomål.docx", "A 22157-2023")</f>
        <v/>
      </c>
      <c r="W828">
        <f>HYPERLINK("https://klasma.github.io/Logging_0188/klagomålsmail/A 22157-2023 FSC-klagomål mail.docx", "A 22157-2023")</f>
        <v/>
      </c>
      <c r="X828">
        <f>HYPERLINK("https://klasma.github.io/Logging_0188/tillsyn/A 22157-2023 tillsynsbegäran.docx", "A 22157-2023")</f>
        <v/>
      </c>
      <c r="Y828">
        <f>HYPERLINK("https://klasma.github.io/Logging_0188/tillsynsmail/A 22157-2023 tillsynsbegäran mail.docx", "A 22157-2023")</f>
        <v/>
      </c>
    </row>
    <row r="829" ht="15" customHeight="1">
      <c r="A829" t="inlineStr">
        <is>
          <t>A 48633-2023</t>
        </is>
      </c>
      <c r="B829" s="1" t="n">
        <v>45208.58004629629</v>
      </c>
      <c r="C829" s="1" t="n">
        <v>45995</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47419-2023</t>
        </is>
      </c>
      <c r="B830" s="1" t="n">
        <v>45202.65660879629</v>
      </c>
      <c r="C830" s="1" t="n">
        <v>45995</v>
      </c>
      <c r="D830" t="inlineStr">
        <is>
          <t>STOCKHOLMS LÄN</t>
        </is>
      </c>
      <c r="E830" t="inlineStr">
        <is>
          <t>NORRTÄLJE</t>
        </is>
      </c>
      <c r="G830" t="n">
        <v>11.4</v>
      </c>
      <c r="H830" t="n">
        <v>0</v>
      </c>
      <c r="I830" t="n">
        <v>0</v>
      </c>
      <c r="J830" t="n">
        <v>0</v>
      </c>
      <c r="K830" t="n">
        <v>0</v>
      </c>
      <c r="L830" t="n">
        <v>0</v>
      </c>
      <c r="M830" t="n">
        <v>0</v>
      </c>
      <c r="N830" t="n">
        <v>0</v>
      </c>
      <c r="O830" t="n">
        <v>0</v>
      </c>
      <c r="P830" t="n">
        <v>0</v>
      </c>
      <c r="Q830" t="n">
        <v>0</v>
      </c>
      <c r="R830" s="2" t="inlineStr"/>
    </row>
    <row r="831" ht="15" customHeight="1">
      <c r="A831" t="inlineStr">
        <is>
          <t>A 652-2025</t>
        </is>
      </c>
      <c r="B831" s="1" t="n">
        <v>45664</v>
      </c>
      <c r="C831" s="1" t="n">
        <v>45995</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10653-2022</t>
        </is>
      </c>
      <c r="B832" s="1" t="n">
        <v>44624.59434027778</v>
      </c>
      <c r="C832" s="1" t="n">
        <v>45995</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50097-2025</t>
        </is>
      </c>
      <c r="B833" s="1" t="n">
        <v>45943.50207175926</v>
      </c>
      <c r="C833" s="1" t="n">
        <v>45995</v>
      </c>
      <c r="D833" t="inlineStr">
        <is>
          <t>STOCKHOLMS LÄN</t>
        </is>
      </c>
      <c r="E833" t="inlineStr">
        <is>
          <t>NORRTÄLJE</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35695-2023</t>
        </is>
      </c>
      <c r="B834" s="1" t="n">
        <v>45147.65407407407</v>
      </c>
      <c r="C834" s="1" t="n">
        <v>45995</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18665-2022</t>
        </is>
      </c>
      <c r="B835" s="1" t="n">
        <v>44687</v>
      </c>
      <c r="C835" s="1" t="n">
        <v>45995</v>
      </c>
      <c r="D835" t="inlineStr">
        <is>
          <t>STOCKHOLMS LÄN</t>
        </is>
      </c>
      <c r="E835" t="inlineStr">
        <is>
          <t>NORRTÄLJE</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58403-2025</t>
        </is>
      </c>
      <c r="B836" s="1" t="n">
        <v>45985.56777777777</v>
      </c>
      <c r="C836" s="1" t="n">
        <v>45995</v>
      </c>
      <c r="D836" t="inlineStr">
        <is>
          <t>STOCKHOLMS LÄN</t>
        </is>
      </c>
      <c r="E836" t="inlineStr">
        <is>
          <t>NORRTÄLJE</t>
        </is>
      </c>
      <c r="F836" t="inlineStr">
        <is>
          <t>Naturvårdsverket</t>
        </is>
      </c>
      <c r="G836" t="n">
        <v>13.5</v>
      </c>
      <c r="H836" t="n">
        <v>0</v>
      </c>
      <c r="I836" t="n">
        <v>0</v>
      </c>
      <c r="J836" t="n">
        <v>0</v>
      </c>
      <c r="K836" t="n">
        <v>0</v>
      </c>
      <c r="L836" t="n">
        <v>0</v>
      </c>
      <c r="M836" t="n">
        <v>0</v>
      </c>
      <c r="N836" t="n">
        <v>0</v>
      </c>
      <c r="O836" t="n">
        <v>0</v>
      </c>
      <c r="P836" t="n">
        <v>0</v>
      </c>
      <c r="Q836" t="n">
        <v>0</v>
      </c>
      <c r="R836" s="2" t="inlineStr"/>
    </row>
    <row r="837" ht="15" customHeight="1">
      <c r="A837" t="inlineStr">
        <is>
          <t>A 17574-2025</t>
        </is>
      </c>
      <c r="B837" s="1" t="n">
        <v>45757.65178240741</v>
      </c>
      <c r="C837" s="1" t="n">
        <v>45995</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20370-2025</t>
        </is>
      </c>
      <c r="B838" s="1" t="n">
        <v>45775.41451388889</v>
      </c>
      <c r="C838" s="1" t="n">
        <v>45995</v>
      </c>
      <c r="D838" t="inlineStr">
        <is>
          <t>STOCKHOLMS LÄN</t>
        </is>
      </c>
      <c r="E838" t="inlineStr">
        <is>
          <t>NORRTÄLJE</t>
        </is>
      </c>
      <c r="G838" t="n">
        <v>2.9</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45995</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35438-2023</t>
        </is>
      </c>
      <c r="B840" s="1" t="n">
        <v>45146</v>
      </c>
      <c r="C840" s="1" t="n">
        <v>45995</v>
      </c>
      <c r="D840" t="inlineStr">
        <is>
          <t>STOCKHOLMS LÄN</t>
        </is>
      </c>
      <c r="E840" t="inlineStr">
        <is>
          <t>NORRTÄLJE</t>
        </is>
      </c>
      <c r="F840" t="inlineStr">
        <is>
          <t>Kommuner</t>
        </is>
      </c>
      <c r="G840" t="n">
        <v>1.9</v>
      </c>
      <c r="H840" t="n">
        <v>0</v>
      </c>
      <c r="I840" t="n">
        <v>0</v>
      </c>
      <c r="J840" t="n">
        <v>0</v>
      </c>
      <c r="K840" t="n">
        <v>0</v>
      </c>
      <c r="L840" t="n">
        <v>0</v>
      </c>
      <c r="M840" t="n">
        <v>0</v>
      </c>
      <c r="N840" t="n">
        <v>0</v>
      </c>
      <c r="O840" t="n">
        <v>0</v>
      </c>
      <c r="P840" t="n">
        <v>0</v>
      </c>
      <c r="Q840" t="n">
        <v>0</v>
      </c>
      <c r="R840" s="2" t="inlineStr"/>
    </row>
    <row r="841" ht="15" customHeight="1">
      <c r="A841" t="inlineStr">
        <is>
          <t>A 50333-2025</t>
        </is>
      </c>
      <c r="B841" s="1" t="n">
        <v>45944.47178240741</v>
      </c>
      <c r="C841" s="1" t="n">
        <v>45995</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33878-2024</t>
        </is>
      </c>
      <c r="B842" s="1" t="n">
        <v>45522.44414351852</v>
      </c>
      <c r="C842" s="1" t="n">
        <v>45995</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50563-2025</t>
        </is>
      </c>
      <c r="B843" s="1" t="n">
        <v>45944</v>
      </c>
      <c r="C843" s="1" t="n">
        <v>45995</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4183-2025</t>
        </is>
      </c>
      <c r="B844" s="1" t="n">
        <v>45685.44592592592</v>
      </c>
      <c r="C844" s="1" t="n">
        <v>45995</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50327-2025</t>
        </is>
      </c>
      <c r="B845" s="1" t="n">
        <v>45944.46387731482</v>
      </c>
      <c r="C845" s="1" t="n">
        <v>45995</v>
      </c>
      <c r="D845" t="inlineStr">
        <is>
          <t>STOCKHOLMS LÄN</t>
        </is>
      </c>
      <c r="E845" t="inlineStr">
        <is>
          <t>NORRTÄLJE</t>
        </is>
      </c>
      <c r="G845" t="n">
        <v>0.3</v>
      </c>
      <c r="H845" t="n">
        <v>0</v>
      </c>
      <c r="I845" t="n">
        <v>0</v>
      </c>
      <c r="J845" t="n">
        <v>0</v>
      </c>
      <c r="K845" t="n">
        <v>0</v>
      </c>
      <c r="L845" t="n">
        <v>0</v>
      </c>
      <c r="M845" t="n">
        <v>0</v>
      </c>
      <c r="N845" t="n">
        <v>0</v>
      </c>
      <c r="O845" t="n">
        <v>0</v>
      </c>
      <c r="P845" t="n">
        <v>0</v>
      </c>
      <c r="Q845" t="n">
        <v>0</v>
      </c>
      <c r="R845" s="2" t="inlineStr"/>
    </row>
    <row r="846" ht="15" customHeight="1">
      <c r="A846" t="inlineStr">
        <is>
          <t>A 17556-2025</t>
        </is>
      </c>
      <c r="B846" s="1" t="n">
        <v>45757.62482638889</v>
      </c>
      <c r="C846" s="1" t="n">
        <v>45995</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58939-2025</t>
        </is>
      </c>
      <c r="B847" s="1" t="n">
        <v>45987.5681712963</v>
      </c>
      <c r="C847" s="1" t="n">
        <v>45995</v>
      </c>
      <c r="D847" t="inlineStr">
        <is>
          <t>STOCKHOLMS LÄN</t>
        </is>
      </c>
      <c r="E847" t="inlineStr">
        <is>
          <t>NORRTÄLJE</t>
        </is>
      </c>
      <c r="G847" t="n">
        <v>2</v>
      </c>
      <c r="H847" t="n">
        <v>0</v>
      </c>
      <c r="I847" t="n">
        <v>0</v>
      </c>
      <c r="J847" t="n">
        <v>0</v>
      </c>
      <c r="K847" t="n">
        <v>0</v>
      </c>
      <c r="L847" t="n">
        <v>0</v>
      </c>
      <c r="M847" t="n">
        <v>0</v>
      </c>
      <c r="N847" t="n">
        <v>0</v>
      </c>
      <c r="O847" t="n">
        <v>0</v>
      </c>
      <c r="P847" t="n">
        <v>0</v>
      </c>
      <c r="Q847" t="n">
        <v>0</v>
      </c>
      <c r="R847" s="2" t="inlineStr"/>
    </row>
    <row r="848" ht="15" customHeight="1">
      <c r="A848" t="inlineStr">
        <is>
          <t>A 41335-2023</t>
        </is>
      </c>
      <c r="B848" s="1" t="n">
        <v>45174.68702546296</v>
      </c>
      <c r="C848" s="1" t="n">
        <v>45995</v>
      </c>
      <c r="D848" t="inlineStr">
        <is>
          <t>STOCKHOLMS LÄN</t>
        </is>
      </c>
      <c r="E848" t="inlineStr">
        <is>
          <t>NORRTÄLJE</t>
        </is>
      </c>
      <c r="F848" t="inlineStr">
        <is>
          <t>Holmen skog AB</t>
        </is>
      </c>
      <c r="G848" t="n">
        <v>4.4</v>
      </c>
      <c r="H848" t="n">
        <v>0</v>
      </c>
      <c r="I848" t="n">
        <v>0</v>
      </c>
      <c r="J848" t="n">
        <v>0</v>
      </c>
      <c r="K848" t="n">
        <v>0</v>
      </c>
      <c r="L848" t="n">
        <v>0</v>
      </c>
      <c r="M848" t="n">
        <v>0</v>
      </c>
      <c r="N848" t="n">
        <v>0</v>
      </c>
      <c r="O848" t="n">
        <v>0</v>
      </c>
      <c r="P848" t="n">
        <v>0</v>
      </c>
      <c r="Q848" t="n">
        <v>0</v>
      </c>
      <c r="R848" s="2" t="inlineStr"/>
    </row>
    <row r="849" ht="15" customHeight="1">
      <c r="A849" t="inlineStr">
        <is>
          <t>A 4484-2025</t>
        </is>
      </c>
      <c r="B849" s="1" t="n">
        <v>45686.65545138889</v>
      </c>
      <c r="C849" s="1" t="n">
        <v>45995</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8419-2025</t>
        </is>
      </c>
      <c r="B850" s="1" t="n">
        <v>45709.40231481481</v>
      </c>
      <c r="C850" s="1" t="n">
        <v>45995</v>
      </c>
      <c r="D850" t="inlineStr">
        <is>
          <t>STOCKHOLMS LÄN</t>
        </is>
      </c>
      <c r="E850" t="inlineStr">
        <is>
          <t>NORRTÄLJE</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21480-2022</t>
        </is>
      </c>
      <c r="B851" s="1" t="n">
        <v>44704</v>
      </c>
      <c r="C851" s="1" t="n">
        <v>45995</v>
      </c>
      <c r="D851" t="inlineStr">
        <is>
          <t>STOCKHOLMS LÄN</t>
        </is>
      </c>
      <c r="E851" t="inlineStr">
        <is>
          <t>NORRTÄLJE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1654-2025</t>
        </is>
      </c>
      <c r="B852" s="1" t="n">
        <v>45670.65921296296</v>
      </c>
      <c r="C852" s="1" t="n">
        <v>45995</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48686-2023</t>
        </is>
      </c>
      <c r="B853" s="1" t="n">
        <v>45208</v>
      </c>
      <c r="C853" s="1" t="n">
        <v>45995</v>
      </c>
      <c r="D853" t="inlineStr">
        <is>
          <t>STOCKHOLMS LÄN</t>
        </is>
      </c>
      <c r="E853" t="inlineStr">
        <is>
          <t>NORRTÄLJE</t>
        </is>
      </c>
      <c r="G853" t="n">
        <v>6</v>
      </c>
      <c r="H853" t="n">
        <v>0</v>
      </c>
      <c r="I853" t="n">
        <v>0</v>
      </c>
      <c r="J853" t="n">
        <v>0</v>
      </c>
      <c r="K853" t="n">
        <v>0</v>
      </c>
      <c r="L853" t="n">
        <v>0</v>
      </c>
      <c r="M853" t="n">
        <v>0</v>
      </c>
      <c r="N853" t="n">
        <v>0</v>
      </c>
      <c r="O853" t="n">
        <v>0</v>
      </c>
      <c r="P853" t="n">
        <v>0</v>
      </c>
      <c r="Q853" t="n">
        <v>0</v>
      </c>
      <c r="R853" s="2" t="inlineStr"/>
    </row>
    <row r="854" ht="15" customHeight="1">
      <c r="A854" t="inlineStr">
        <is>
          <t>A 48691-2023</t>
        </is>
      </c>
      <c r="B854" s="1" t="n">
        <v>45208</v>
      </c>
      <c r="C854" s="1" t="n">
        <v>45995</v>
      </c>
      <c r="D854" t="inlineStr">
        <is>
          <t>STOCKHOLMS LÄN</t>
        </is>
      </c>
      <c r="E854" t="inlineStr">
        <is>
          <t>NORRTÄLJE</t>
        </is>
      </c>
      <c r="G854" t="n">
        <v>5.8</v>
      </c>
      <c r="H854" t="n">
        <v>0</v>
      </c>
      <c r="I854" t="n">
        <v>0</v>
      </c>
      <c r="J854" t="n">
        <v>0</v>
      </c>
      <c r="K854" t="n">
        <v>0</v>
      </c>
      <c r="L854" t="n">
        <v>0</v>
      </c>
      <c r="M854" t="n">
        <v>0</v>
      </c>
      <c r="N854" t="n">
        <v>0</v>
      </c>
      <c r="O854" t="n">
        <v>0</v>
      </c>
      <c r="P854" t="n">
        <v>0</v>
      </c>
      <c r="Q854" t="n">
        <v>0</v>
      </c>
      <c r="R854" s="2" t="inlineStr"/>
    </row>
    <row r="855" ht="15" customHeight="1">
      <c r="A855" t="inlineStr">
        <is>
          <t>A 59041-2025</t>
        </is>
      </c>
      <c r="B855" s="1" t="n">
        <v>45988</v>
      </c>
      <c r="C855" s="1" t="n">
        <v>45995</v>
      </c>
      <c r="D855" t="inlineStr">
        <is>
          <t>STOCKHOLMS LÄN</t>
        </is>
      </c>
      <c r="E855" t="inlineStr">
        <is>
          <t>NORRTÄLJE</t>
        </is>
      </c>
      <c r="G855" t="n">
        <v>6.6</v>
      </c>
      <c r="H855" t="n">
        <v>0</v>
      </c>
      <c r="I855" t="n">
        <v>0</v>
      </c>
      <c r="J855" t="n">
        <v>0</v>
      </c>
      <c r="K855" t="n">
        <v>0</v>
      </c>
      <c r="L855" t="n">
        <v>0</v>
      </c>
      <c r="M855" t="n">
        <v>0</v>
      </c>
      <c r="N855" t="n">
        <v>0</v>
      </c>
      <c r="O855" t="n">
        <v>0</v>
      </c>
      <c r="P855" t="n">
        <v>0</v>
      </c>
      <c r="Q855" t="n">
        <v>0</v>
      </c>
      <c r="R855" s="2" t="inlineStr"/>
    </row>
    <row r="856" ht="15" customHeight="1">
      <c r="A856" t="inlineStr">
        <is>
          <t>A 62998-2023</t>
        </is>
      </c>
      <c r="B856" s="1" t="n">
        <v>45272.64479166667</v>
      </c>
      <c r="C856" s="1" t="n">
        <v>45995</v>
      </c>
      <c r="D856" t="inlineStr">
        <is>
          <t>STOCKHOLMS LÄN</t>
        </is>
      </c>
      <c r="E856" t="inlineStr">
        <is>
          <t>NORRTÄLJE</t>
        </is>
      </c>
      <c r="G856" t="n">
        <v>16.3</v>
      </c>
      <c r="H856" t="n">
        <v>0</v>
      </c>
      <c r="I856" t="n">
        <v>0</v>
      </c>
      <c r="J856" t="n">
        <v>0</v>
      </c>
      <c r="K856" t="n">
        <v>0</v>
      </c>
      <c r="L856" t="n">
        <v>0</v>
      </c>
      <c r="M856" t="n">
        <v>0</v>
      </c>
      <c r="N856" t="n">
        <v>0</v>
      </c>
      <c r="O856" t="n">
        <v>0</v>
      </c>
      <c r="P856" t="n">
        <v>0</v>
      </c>
      <c r="Q856" t="n">
        <v>0</v>
      </c>
      <c r="R856" s="2" t="inlineStr"/>
    </row>
    <row r="857" ht="15" customHeight="1">
      <c r="A857" t="inlineStr">
        <is>
          <t>A 55243-2023</t>
        </is>
      </c>
      <c r="B857" s="1" t="n">
        <v>45237</v>
      </c>
      <c r="C857" s="1" t="n">
        <v>45995</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35210-2023</t>
        </is>
      </c>
      <c r="B858" s="1" t="n">
        <v>45145.63584490741</v>
      </c>
      <c r="C858" s="1" t="n">
        <v>45995</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63015-2023</t>
        </is>
      </c>
      <c r="B859" s="1" t="n">
        <v>45272</v>
      </c>
      <c r="C859" s="1" t="n">
        <v>45995</v>
      </c>
      <c r="D859" t="inlineStr">
        <is>
          <t>STOCKHOLMS LÄN</t>
        </is>
      </c>
      <c r="E859" t="inlineStr">
        <is>
          <t>NORRTÄLJE</t>
        </is>
      </c>
      <c r="G859" t="n">
        <v>13.1</v>
      </c>
      <c r="H859" t="n">
        <v>0</v>
      </c>
      <c r="I859" t="n">
        <v>0</v>
      </c>
      <c r="J859" t="n">
        <v>0</v>
      </c>
      <c r="K859" t="n">
        <v>0</v>
      </c>
      <c r="L859" t="n">
        <v>0</v>
      </c>
      <c r="M859" t="n">
        <v>0</v>
      </c>
      <c r="N859" t="n">
        <v>0</v>
      </c>
      <c r="O859" t="n">
        <v>0</v>
      </c>
      <c r="P859" t="n">
        <v>0</v>
      </c>
      <c r="Q859" t="n">
        <v>0</v>
      </c>
      <c r="R859" s="2" t="inlineStr"/>
    </row>
    <row r="860" ht="15" customHeight="1">
      <c r="A860" t="inlineStr">
        <is>
          <t>A 6678-2025</t>
        </is>
      </c>
      <c r="B860" s="1" t="n">
        <v>45700</v>
      </c>
      <c r="C860" s="1" t="n">
        <v>45995</v>
      </c>
      <c r="D860" t="inlineStr">
        <is>
          <t>STOCKHOLMS LÄN</t>
        </is>
      </c>
      <c r="E860" t="inlineStr">
        <is>
          <t>NORRTÄLJE</t>
        </is>
      </c>
      <c r="F860" t="inlineStr">
        <is>
          <t>Övriga Aktiebolag</t>
        </is>
      </c>
      <c r="G860" t="n">
        <v>6.6</v>
      </c>
      <c r="H860" t="n">
        <v>0</v>
      </c>
      <c r="I860" t="n">
        <v>0</v>
      </c>
      <c r="J860" t="n">
        <v>0</v>
      </c>
      <c r="K860" t="n">
        <v>0</v>
      </c>
      <c r="L860" t="n">
        <v>0</v>
      </c>
      <c r="M860" t="n">
        <v>0</v>
      </c>
      <c r="N860" t="n">
        <v>0</v>
      </c>
      <c r="O860" t="n">
        <v>0</v>
      </c>
      <c r="P860" t="n">
        <v>0</v>
      </c>
      <c r="Q860" t="n">
        <v>0</v>
      </c>
      <c r="R860" s="2" t="inlineStr"/>
    </row>
    <row r="861" ht="15" customHeight="1">
      <c r="A861" t="inlineStr">
        <is>
          <t>A 17612-2022</t>
        </is>
      </c>
      <c r="B861" s="1" t="n">
        <v>44680</v>
      </c>
      <c r="C861" s="1" t="n">
        <v>45995</v>
      </c>
      <c r="D861" t="inlineStr">
        <is>
          <t>STOCKHOLMS LÄN</t>
        </is>
      </c>
      <c r="E861" t="inlineStr">
        <is>
          <t>NORRTÄLJE</t>
        </is>
      </c>
      <c r="G861" t="n">
        <v>2.6</v>
      </c>
      <c r="H861" t="n">
        <v>0</v>
      </c>
      <c r="I861" t="n">
        <v>0</v>
      </c>
      <c r="J861" t="n">
        <v>0</v>
      </c>
      <c r="K861" t="n">
        <v>0</v>
      </c>
      <c r="L861" t="n">
        <v>0</v>
      </c>
      <c r="M861" t="n">
        <v>0</v>
      </c>
      <c r="N861" t="n">
        <v>0</v>
      </c>
      <c r="O861" t="n">
        <v>0</v>
      </c>
      <c r="P861" t="n">
        <v>0</v>
      </c>
      <c r="Q861" t="n">
        <v>0</v>
      </c>
      <c r="R861" s="2" t="inlineStr"/>
    </row>
    <row r="862" ht="15" customHeight="1">
      <c r="A862" t="inlineStr">
        <is>
          <t>A 58297-2023</t>
        </is>
      </c>
      <c r="B862" s="1" t="n">
        <v>45245</v>
      </c>
      <c r="C862" s="1" t="n">
        <v>45995</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12901-2024</t>
        </is>
      </c>
      <c r="B863" s="1" t="n">
        <v>45385.37922453704</v>
      </c>
      <c r="C863" s="1" t="n">
        <v>45995</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12301-2025</t>
        </is>
      </c>
      <c r="B864" s="1" t="n">
        <v>45729.7271875</v>
      </c>
      <c r="C864" s="1" t="n">
        <v>45995</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51240-2025</t>
        </is>
      </c>
      <c r="B865" s="1" t="n">
        <v>45947.70420138889</v>
      </c>
      <c r="C865" s="1" t="n">
        <v>45995</v>
      </c>
      <c r="D865" t="inlineStr">
        <is>
          <t>STOCKHOLMS LÄN</t>
        </is>
      </c>
      <c r="E865" t="inlineStr">
        <is>
          <t>NORRTÄLJE</t>
        </is>
      </c>
      <c r="F865" t="inlineStr">
        <is>
          <t>Naturvårdsverket</t>
        </is>
      </c>
      <c r="G865" t="n">
        <v>3</v>
      </c>
      <c r="H865" t="n">
        <v>0</v>
      </c>
      <c r="I865" t="n">
        <v>0</v>
      </c>
      <c r="J865" t="n">
        <v>0</v>
      </c>
      <c r="K865" t="n">
        <v>0</v>
      </c>
      <c r="L865" t="n">
        <v>0</v>
      </c>
      <c r="M865" t="n">
        <v>0</v>
      </c>
      <c r="N865" t="n">
        <v>0</v>
      </c>
      <c r="O865" t="n">
        <v>0</v>
      </c>
      <c r="P865" t="n">
        <v>0</v>
      </c>
      <c r="Q865" t="n">
        <v>0</v>
      </c>
      <c r="R865" s="2" t="inlineStr"/>
    </row>
    <row r="866" ht="15" customHeight="1">
      <c r="A866" t="inlineStr">
        <is>
          <t>A 53499-2025</t>
        </is>
      </c>
      <c r="B866" s="1" t="n">
        <v>45960</v>
      </c>
      <c r="C866" s="1" t="n">
        <v>45995</v>
      </c>
      <c r="D866" t="inlineStr">
        <is>
          <t>STOCKHOLMS LÄN</t>
        </is>
      </c>
      <c r="E866" t="inlineStr">
        <is>
          <t>NORRTÄLJE</t>
        </is>
      </c>
      <c r="G866" t="n">
        <v>23.8</v>
      </c>
      <c r="H866" t="n">
        <v>0</v>
      </c>
      <c r="I866" t="n">
        <v>0</v>
      </c>
      <c r="J866" t="n">
        <v>0</v>
      </c>
      <c r="K866" t="n">
        <v>0</v>
      </c>
      <c r="L866" t="n">
        <v>0</v>
      </c>
      <c r="M866" t="n">
        <v>0</v>
      </c>
      <c r="N866" t="n">
        <v>0</v>
      </c>
      <c r="O866" t="n">
        <v>0</v>
      </c>
      <c r="P866" t="n">
        <v>0</v>
      </c>
      <c r="Q866" t="n">
        <v>0</v>
      </c>
      <c r="R866" s="2" t="inlineStr"/>
    </row>
    <row r="867" ht="15" customHeight="1">
      <c r="A867" t="inlineStr">
        <is>
          <t>A 21726-2022</t>
        </is>
      </c>
      <c r="B867" s="1" t="n">
        <v>44708</v>
      </c>
      <c r="C867" s="1" t="n">
        <v>45995</v>
      </c>
      <c r="D867" t="inlineStr">
        <is>
          <t>STOCKHOLMS LÄN</t>
        </is>
      </c>
      <c r="E867" t="inlineStr">
        <is>
          <t>NORRTÄLJE</t>
        </is>
      </c>
      <c r="G867" t="n">
        <v>0.2</v>
      </c>
      <c r="H867" t="n">
        <v>0</v>
      </c>
      <c r="I867" t="n">
        <v>0</v>
      </c>
      <c r="J867" t="n">
        <v>0</v>
      </c>
      <c r="K867" t="n">
        <v>0</v>
      </c>
      <c r="L867" t="n">
        <v>0</v>
      </c>
      <c r="M867" t="n">
        <v>0</v>
      </c>
      <c r="N867" t="n">
        <v>0</v>
      </c>
      <c r="O867" t="n">
        <v>0</v>
      </c>
      <c r="P867" t="n">
        <v>0</v>
      </c>
      <c r="Q867" t="n">
        <v>0</v>
      </c>
      <c r="R867" s="2" t="inlineStr"/>
    </row>
    <row r="868" ht="15" customHeight="1">
      <c r="A868" t="inlineStr">
        <is>
          <t>A 21739-2022</t>
        </is>
      </c>
      <c r="B868" s="1" t="n">
        <v>44708.36708333333</v>
      </c>
      <c r="C868" s="1" t="n">
        <v>45995</v>
      </c>
      <c r="D868" t="inlineStr">
        <is>
          <t>STOCKHOLMS LÄN</t>
        </is>
      </c>
      <c r="E868" t="inlineStr">
        <is>
          <t>NORRTÄLJE</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28182-2022</t>
        </is>
      </c>
      <c r="B869" s="1" t="n">
        <v>44746.58530092592</v>
      </c>
      <c r="C869" s="1" t="n">
        <v>45995</v>
      </c>
      <c r="D869" t="inlineStr">
        <is>
          <t>STOCKHOLMS LÄN</t>
        </is>
      </c>
      <c r="E869" t="inlineStr">
        <is>
          <t>NORRTÄLJE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59477-2025</t>
        </is>
      </c>
      <c r="B870" s="1" t="n">
        <v>45989.58679398148</v>
      </c>
      <c r="C870" s="1" t="n">
        <v>45995</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8950-2025</t>
        </is>
      </c>
      <c r="B871" s="1" t="n">
        <v>45713</v>
      </c>
      <c r="C871" s="1" t="n">
        <v>45995</v>
      </c>
      <c r="D871" t="inlineStr">
        <is>
          <t>STOCKHOLMS LÄN</t>
        </is>
      </c>
      <c r="E871" t="inlineStr">
        <is>
          <t>NORRTÄLJE</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3283-2025</t>
        </is>
      </c>
      <c r="B872" s="1" t="n">
        <v>45679</v>
      </c>
      <c r="C872" s="1" t="n">
        <v>45995</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18092-2022</t>
        </is>
      </c>
      <c r="B873" s="1" t="n">
        <v>44684</v>
      </c>
      <c r="C873" s="1" t="n">
        <v>45995</v>
      </c>
      <c r="D873" t="inlineStr">
        <is>
          <t>STOCKHOLMS LÄN</t>
        </is>
      </c>
      <c r="E873" t="inlineStr">
        <is>
          <t>NORRTÄLJE</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33295-2023</t>
        </is>
      </c>
      <c r="B874" s="1" t="n">
        <v>45127.69371527778</v>
      </c>
      <c r="C874" s="1" t="n">
        <v>45995</v>
      </c>
      <c r="D874" t="inlineStr">
        <is>
          <t>STOCKHOLMS LÄN</t>
        </is>
      </c>
      <c r="E874" t="inlineStr">
        <is>
          <t>NORRTÄLJE</t>
        </is>
      </c>
      <c r="F874" t="inlineStr">
        <is>
          <t>Holmen skog AB</t>
        </is>
      </c>
      <c r="G874" t="n">
        <v>2</v>
      </c>
      <c r="H874" t="n">
        <v>0</v>
      </c>
      <c r="I874" t="n">
        <v>0</v>
      </c>
      <c r="J874" t="n">
        <v>0</v>
      </c>
      <c r="K874" t="n">
        <v>0</v>
      </c>
      <c r="L874" t="n">
        <v>0</v>
      </c>
      <c r="M874" t="n">
        <v>0</v>
      </c>
      <c r="N874" t="n">
        <v>0</v>
      </c>
      <c r="O874" t="n">
        <v>0</v>
      </c>
      <c r="P874" t="n">
        <v>0</v>
      </c>
      <c r="Q874" t="n">
        <v>0</v>
      </c>
      <c r="R874" s="2" t="inlineStr"/>
    </row>
    <row r="875" ht="15" customHeight="1">
      <c r="A875" t="inlineStr">
        <is>
          <t>A 20730-2024</t>
        </is>
      </c>
      <c r="B875" s="1" t="n">
        <v>45436</v>
      </c>
      <c r="C875" s="1" t="n">
        <v>45995</v>
      </c>
      <c r="D875" t="inlineStr">
        <is>
          <t>STOCKHOLMS LÄN</t>
        </is>
      </c>
      <c r="E875" t="inlineStr">
        <is>
          <t>NORRTÄLJE</t>
        </is>
      </c>
      <c r="G875" t="n">
        <v>7.3</v>
      </c>
      <c r="H875" t="n">
        <v>0</v>
      </c>
      <c r="I875" t="n">
        <v>0</v>
      </c>
      <c r="J875" t="n">
        <v>0</v>
      </c>
      <c r="K875" t="n">
        <v>0</v>
      </c>
      <c r="L875" t="n">
        <v>0</v>
      </c>
      <c r="M875" t="n">
        <v>0</v>
      </c>
      <c r="N875" t="n">
        <v>0</v>
      </c>
      <c r="O875" t="n">
        <v>0</v>
      </c>
      <c r="P875" t="n">
        <v>0</v>
      </c>
      <c r="Q875" t="n">
        <v>0</v>
      </c>
      <c r="R875" s="2" t="inlineStr"/>
    </row>
    <row r="876" ht="15" customHeight="1">
      <c r="A876" t="inlineStr">
        <is>
          <t>A 33175-2024</t>
        </is>
      </c>
      <c r="B876" s="1" t="n">
        <v>45518</v>
      </c>
      <c r="C876" s="1" t="n">
        <v>45995</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13283-2025</t>
        </is>
      </c>
      <c r="B877" s="1" t="n">
        <v>45735</v>
      </c>
      <c r="C877" s="1" t="n">
        <v>45995</v>
      </c>
      <c r="D877" t="inlineStr">
        <is>
          <t>STOCKHOLMS LÄN</t>
        </is>
      </c>
      <c r="E877" t="inlineStr">
        <is>
          <t>NORRTÄLJE</t>
        </is>
      </c>
      <c r="G877" t="n">
        <v>4.9</v>
      </c>
      <c r="H877" t="n">
        <v>0</v>
      </c>
      <c r="I877" t="n">
        <v>0</v>
      </c>
      <c r="J877" t="n">
        <v>0</v>
      </c>
      <c r="K877" t="n">
        <v>0</v>
      </c>
      <c r="L877" t="n">
        <v>0</v>
      </c>
      <c r="M877" t="n">
        <v>0</v>
      </c>
      <c r="N877" t="n">
        <v>0</v>
      </c>
      <c r="O877" t="n">
        <v>0</v>
      </c>
      <c r="P877" t="n">
        <v>0</v>
      </c>
      <c r="Q877" t="n">
        <v>0</v>
      </c>
      <c r="R877" s="2" t="inlineStr"/>
    </row>
    <row r="878" ht="15" customHeight="1">
      <c r="A878" t="inlineStr">
        <is>
          <t>A 51121-2025</t>
        </is>
      </c>
      <c r="B878" s="1" t="n">
        <v>45947.53293981482</v>
      </c>
      <c r="C878" s="1" t="n">
        <v>45995</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58404-2023</t>
        </is>
      </c>
      <c r="B879" s="1" t="n">
        <v>45245</v>
      </c>
      <c r="C879" s="1" t="n">
        <v>45995</v>
      </c>
      <c r="D879" t="inlineStr">
        <is>
          <t>STOCKHOLMS LÄN</t>
        </is>
      </c>
      <c r="E879" t="inlineStr">
        <is>
          <t>NORRTÄLJE</t>
        </is>
      </c>
      <c r="G879" t="n">
        <v>53.5</v>
      </c>
      <c r="H879" t="n">
        <v>0</v>
      </c>
      <c r="I879" t="n">
        <v>0</v>
      </c>
      <c r="J879" t="n">
        <v>0</v>
      </c>
      <c r="K879" t="n">
        <v>0</v>
      </c>
      <c r="L879" t="n">
        <v>0</v>
      </c>
      <c r="M879" t="n">
        <v>0</v>
      </c>
      <c r="N879" t="n">
        <v>0</v>
      </c>
      <c r="O879" t="n">
        <v>0</v>
      </c>
      <c r="P879" t="n">
        <v>0</v>
      </c>
      <c r="Q879" t="n">
        <v>0</v>
      </c>
      <c r="R879" s="2" t="inlineStr"/>
    </row>
    <row r="880" ht="15" customHeight="1">
      <c r="A880" t="inlineStr">
        <is>
          <t>A 27885-2022</t>
        </is>
      </c>
      <c r="B880" s="1" t="n">
        <v>44743.67418981482</v>
      </c>
      <c r="C880" s="1" t="n">
        <v>45995</v>
      </c>
      <c r="D880" t="inlineStr">
        <is>
          <t>STOCKHOLMS LÄN</t>
        </is>
      </c>
      <c r="E880" t="inlineStr">
        <is>
          <t>NORRTÄLJE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27831-2024</t>
        </is>
      </c>
      <c r="B881" s="1" t="n">
        <v>45475.61896990741</v>
      </c>
      <c r="C881" s="1" t="n">
        <v>45995</v>
      </c>
      <c r="D881" t="inlineStr">
        <is>
          <t>STOCKHOLMS LÄN</t>
        </is>
      </c>
      <c r="E881" t="inlineStr">
        <is>
          <t>NORRTÄLJE</t>
        </is>
      </c>
      <c r="G881" t="n">
        <v>3.8</v>
      </c>
      <c r="H881" t="n">
        <v>0</v>
      </c>
      <c r="I881" t="n">
        <v>0</v>
      </c>
      <c r="J881" t="n">
        <v>0</v>
      </c>
      <c r="K881" t="n">
        <v>0</v>
      </c>
      <c r="L881" t="n">
        <v>0</v>
      </c>
      <c r="M881" t="n">
        <v>0</v>
      </c>
      <c r="N881" t="n">
        <v>0</v>
      </c>
      <c r="O881" t="n">
        <v>0</v>
      </c>
      <c r="P881" t="n">
        <v>0</v>
      </c>
      <c r="Q881" t="n">
        <v>0</v>
      </c>
      <c r="R881" s="2" t="inlineStr"/>
    </row>
    <row r="882" ht="15" customHeight="1">
      <c r="A882" t="inlineStr">
        <is>
          <t>A 25525-2022</t>
        </is>
      </c>
      <c r="B882" s="1" t="n">
        <v>44732</v>
      </c>
      <c r="C882" s="1" t="n">
        <v>45995</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51532-2025</t>
        </is>
      </c>
      <c r="B883" s="1" t="n">
        <v>45950.68297453703</v>
      </c>
      <c r="C883" s="1" t="n">
        <v>45995</v>
      </c>
      <c r="D883" t="inlineStr">
        <is>
          <t>STOCKHOLMS LÄN</t>
        </is>
      </c>
      <c r="E883" t="inlineStr">
        <is>
          <t>NORRTÄLJE</t>
        </is>
      </c>
      <c r="F883" t="inlineStr">
        <is>
          <t>Naturvårdsverket</t>
        </is>
      </c>
      <c r="G883" t="n">
        <v>17.3</v>
      </c>
      <c r="H883" t="n">
        <v>0</v>
      </c>
      <c r="I883" t="n">
        <v>0</v>
      </c>
      <c r="J883" t="n">
        <v>0</v>
      </c>
      <c r="K883" t="n">
        <v>0</v>
      </c>
      <c r="L883" t="n">
        <v>0</v>
      </c>
      <c r="M883" t="n">
        <v>0</v>
      </c>
      <c r="N883" t="n">
        <v>0</v>
      </c>
      <c r="O883" t="n">
        <v>0</v>
      </c>
      <c r="P883" t="n">
        <v>0</v>
      </c>
      <c r="Q883" t="n">
        <v>0</v>
      </c>
      <c r="R883" s="2" t="inlineStr"/>
    </row>
    <row r="884" ht="15" customHeight="1">
      <c r="A884" t="inlineStr">
        <is>
          <t>A 48722-2023</t>
        </is>
      </c>
      <c r="B884" s="1" t="n">
        <v>45208.70996527778</v>
      </c>
      <c r="C884" s="1" t="n">
        <v>45995</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59672-2025</t>
        </is>
      </c>
      <c r="B885" s="1" t="n">
        <v>45992.45884259259</v>
      </c>
      <c r="C885" s="1" t="n">
        <v>45995</v>
      </c>
      <c r="D885" t="inlineStr">
        <is>
          <t>STOCKHOLMS LÄN</t>
        </is>
      </c>
      <c r="E885" t="inlineStr">
        <is>
          <t>NORRTÄLJE</t>
        </is>
      </c>
      <c r="G885" t="n">
        <v>4</v>
      </c>
      <c r="H885" t="n">
        <v>0</v>
      </c>
      <c r="I885" t="n">
        <v>0</v>
      </c>
      <c r="J885" t="n">
        <v>0</v>
      </c>
      <c r="K885" t="n">
        <v>0</v>
      </c>
      <c r="L885" t="n">
        <v>0</v>
      </c>
      <c r="M885" t="n">
        <v>0</v>
      </c>
      <c r="N885" t="n">
        <v>0</v>
      </c>
      <c r="O885" t="n">
        <v>0</v>
      </c>
      <c r="P885" t="n">
        <v>0</v>
      </c>
      <c r="Q885" t="n">
        <v>0</v>
      </c>
      <c r="R885" s="2" t="inlineStr"/>
    </row>
    <row r="886" ht="15" customHeight="1">
      <c r="A886" t="inlineStr">
        <is>
          <t>A 21803-2022</t>
        </is>
      </c>
      <c r="B886" s="1" t="n">
        <v>44708.67822916667</v>
      </c>
      <c r="C886" s="1" t="n">
        <v>45995</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67393-2020</t>
        </is>
      </c>
      <c r="B887" s="1" t="n">
        <v>44181</v>
      </c>
      <c r="C887" s="1" t="n">
        <v>45995</v>
      </c>
      <c r="D887" t="inlineStr">
        <is>
          <t>STOCKHOLMS LÄN</t>
        </is>
      </c>
      <c r="E887" t="inlineStr">
        <is>
          <t>NORRTÄLJE</t>
        </is>
      </c>
      <c r="G887" t="n">
        <v>5.5</v>
      </c>
      <c r="H887" t="n">
        <v>0</v>
      </c>
      <c r="I887" t="n">
        <v>0</v>
      </c>
      <c r="J887" t="n">
        <v>0</v>
      </c>
      <c r="K887" t="n">
        <v>0</v>
      </c>
      <c r="L887" t="n">
        <v>0</v>
      </c>
      <c r="M887" t="n">
        <v>0</v>
      </c>
      <c r="N887" t="n">
        <v>0</v>
      </c>
      <c r="O887" t="n">
        <v>0</v>
      </c>
      <c r="P887" t="n">
        <v>0</v>
      </c>
      <c r="Q887" t="n">
        <v>0</v>
      </c>
      <c r="R887" s="2" t="inlineStr"/>
    </row>
    <row r="888" ht="15" customHeight="1">
      <c r="A888" t="inlineStr">
        <is>
          <t>A 51233-2025</t>
        </is>
      </c>
      <c r="B888" s="1" t="n">
        <v>45947.68232638889</v>
      </c>
      <c r="C888" s="1" t="n">
        <v>45995</v>
      </c>
      <c r="D888" t="inlineStr">
        <is>
          <t>STOCKHOLMS LÄN</t>
        </is>
      </c>
      <c r="E888" t="inlineStr">
        <is>
          <t>NORRTÄLJE</t>
        </is>
      </c>
      <c r="F888" t="inlineStr">
        <is>
          <t>Naturvårdsverket</t>
        </is>
      </c>
      <c r="G888" t="n">
        <v>8.1</v>
      </c>
      <c r="H888" t="n">
        <v>0</v>
      </c>
      <c r="I888" t="n">
        <v>0</v>
      </c>
      <c r="J888" t="n">
        <v>0</v>
      </c>
      <c r="K888" t="n">
        <v>0</v>
      </c>
      <c r="L888" t="n">
        <v>0</v>
      </c>
      <c r="M888" t="n">
        <v>0</v>
      </c>
      <c r="N888" t="n">
        <v>0</v>
      </c>
      <c r="O888" t="n">
        <v>0</v>
      </c>
      <c r="P888" t="n">
        <v>0</v>
      </c>
      <c r="Q888" t="n">
        <v>0</v>
      </c>
      <c r="R888" s="2" t="inlineStr"/>
    </row>
    <row r="889" ht="15" customHeight="1">
      <c r="A889" t="inlineStr">
        <is>
          <t>A 51236-2025</t>
        </is>
      </c>
      <c r="B889" s="1" t="n">
        <v>45947.69078703703</v>
      </c>
      <c r="C889" s="1" t="n">
        <v>45995</v>
      </c>
      <c r="D889" t="inlineStr">
        <is>
          <t>STOCKHOLMS LÄN</t>
        </is>
      </c>
      <c r="E889" t="inlineStr">
        <is>
          <t>NORRTÄLJE</t>
        </is>
      </c>
      <c r="F889" t="inlineStr">
        <is>
          <t>Naturvårdsverket</t>
        </is>
      </c>
      <c r="G889" t="n">
        <v>6.3</v>
      </c>
      <c r="H889" t="n">
        <v>0</v>
      </c>
      <c r="I889" t="n">
        <v>0</v>
      </c>
      <c r="J889" t="n">
        <v>0</v>
      </c>
      <c r="K889" t="n">
        <v>0</v>
      </c>
      <c r="L889" t="n">
        <v>0</v>
      </c>
      <c r="M889" t="n">
        <v>0</v>
      </c>
      <c r="N889" t="n">
        <v>0</v>
      </c>
      <c r="O889" t="n">
        <v>0</v>
      </c>
      <c r="P889" t="n">
        <v>0</v>
      </c>
      <c r="Q889" t="n">
        <v>0</v>
      </c>
      <c r="R889" s="2" t="inlineStr"/>
    </row>
    <row r="890" ht="15" customHeight="1">
      <c r="A890" t="inlineStr">
        <is>
          <t>A 51241-2025</t>
        </is>
      </c>
      <c r="B890" s="1" t="n">
        <v>45947.71726851852</v>
      </c>
      <c r="C890" s="1" t="n">
        <v>45995</v>
      </c>
      <c r="D890" t="inlineStr">
        <is>
          <t>STOCKHOLMS LÄN</t>
        </is>
      </c>
      <c r="E890" t="inlineStr">
        <is>
          <t>NORRTÄLJE</t>
        </is>
      </c>
      <c r="F890" t="inlineStr">
        <is>
          <t>Naturvårdsverket</t>
        </is>
      </c>
      <c r="G890" t="n">
        <v>6.4</v>
      </c>
      <c r="H890" t="n">
        <v>0</v>
      </c>
      <c r="I890" t="n">
        <v>0</v>
      </c>
      <c r="J890" t="n">
        <v>0</v>
      </c>
      <c r="K890" t="n">
        <v>0</v>
      </c>
      <c r="L890" t="n">
        <v>0</v>
      </c>
      <c r="M890" t="n">
        <v>0</v>
      </c>
      <c r="N890" t="n">
        <v>0</v>
      </c>
      <c r="O890" t="n">
        <v>0</v>
      </c>
      <c r="P890" t="n">
        <v>0</v>
      </c>
      <c r="Q890" t="n">
        <v>0</v>
      </c>
      <c r="R890" s="2" t="inlineStr"/>
    </row>
    <row r="891" ht="15" customHeight="1">
      <c r="A891" t="inlineStr">
        <is>
          <t>A 24687-2025</t>
        </is>
      </c>
      <c r="B891" s="1" t="n">
        <v>45798.66767361111</v>
      </c>
      <c r="C891" s="1" t="n">
        <v>45995</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51122-2025</t>
        </is>
      </c>
      <c r="B892" s="1" t="n">
        <v>45947.53693287037</v>
      </c>
      <c r="C892" s="1" t="n">
        <v>45995</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23801-2022</t>
        </is>
      </c>
      <c r="B893" s="1" t="n">
        <v>44722</v>
      </c>
      <c r="C893" s="1" t="n">
        <v>45995</v>
      </c>
      <c r="D893" t="inlineStr">
        <is>
          <t>STOCKHOLMS LÄN</t>
        </is>
      </c>
      <c r="E893" t="inlineStr">
        <is>
          <t>NORRTÄLJE</t>
        </is>
      </c>
      <c r="G893" t="n">
        <v>6.8</v>
      </c>
      <c r="H893" t="n">
        <v>0</v>
      </c>
      <c r="I893" t="n">
        <v>0</v>
      </c>
      <c r="J893" t="n">
        <v>0</v>
      </c>
      <c r="K893" t="n">
        <v>0</v>
      </c>
      <c r="L893" t="n">
        <v>0</v>
      </c>
      <c r="M893" t="n">
        <v>0</v>
      </c>
      <c r="N893" t="n">
        <v>0</v>
      </c>
      <c r="O893" t="n">
        <v>0</v>
      </c>
      <c r="P893" t="n">
        <v>0</v>
      </c>
      <c r="Q893" t="n">
        <v>0</v>
      </c>
      <c r="R893" s="2" t="inlineStr"/>
    </row>
    <row r="894" ht="15" customHeight="1">
      <c r="A894" t="inlineStr">
        <is>
          <t>A 60223-2025</t>
        </is>
      </c>
      <c r="B894" s="1" t="n">
        <v>45994.54497685185</v>
      </c>
      <c r="C894" s="1" t="n">
        <v>45995</v>
      </c>
      <c r="D894" t="inlineStr">
        <is>
          <t>STOCKHOLMS LÄN</t>
        </is>
      </c>
      <c r="E894" t="inlineStr">
        <is>
          <t>NORRTÄLJE</t>
        </is>
      </c>
      <c r="G894" t="n">
        <v>2.4</v>
      </c>
      <c r="H894" t="n">
        <v>0</v>
      </c>
      <c r="I894" t="n">
        <v>0</v>
      </c>
      <c r="J894" t="n">
        <v>0</v>
      </c>
      <c r="K894" t="n">
        <v>0</v>
      </c>
      <c r="L894" t="n">
        <v>0</v>
      </c>
      <c r="M894" t="n">
        <v>0</v>
      </c>
      <c r="N894" t="n">
        <v>0</v>
      </c>
      <c r="O894" t="n">
        <v>0</v>
      </c>
      <c r="P894" t="n">
        <v>0</v>
      </c>
      <c r="Q894" t="n">
        <v>0</v>
      </c>
      <c r="R894" s="2" t="inlineStr"/>
    </row>
    <row r="895" ht="15" customHeight="1">
      <c r="A895" t="inlineStr">
        <is>
          <t>A 59907-2025</t>
        </is>
      </c>
      <c r="B895" s="1" t="n">
        <v>45993.35350694445</v>
      </c>
      <c r="C895" s="1" t="n">
        <v>45995</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33353-2023</t>
        </is>
      </c>
      <c r="B896" s="1" t="n">
        <v>45128</v>
      </c>
      <c r="C896" s="1" t="n">
        <v>45995</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24690-2025</t>
        </is>
      </c>
      <c r="B897" s="1" t="n">
        <v>45798.67082175926</v>
      </c>
      <c r="C897" s="1" t="n">
        <v>45995</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24638-2025</t>
        </is>
      </c>
      <c r="B898" s="1" t="n">
        <v>45798</v>
      </c>
      <c r="C898" s="1" t="n">
        <v>45995</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24351-2025</t>
        </is>
      </c>
      <c r="B899" s="1" t="n">
        <v>45797.58399305555</v>
      </c>
      <c r="C899" s="1" t="n">
        <v>45995</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59914-2025</t>
        </is>
      </c>
      <c r="B900" s="1" t="n">
        <v>45993.37056712963</v>
      </c>
      <c r="C900" s="1" t="n">
        <v>45995</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51945-2025</t>
        </is>
      </c>
      <c r="B901" s="1" t="n">
        <v>45952.52679398148</v>
      </c>
      <c r="C901" s="1" t="n">
        <v>45995</v>
      </c>
      <c r="D901" t="inlineStr">
        <is>
          <t>STOCKHOLMS LÄN</t>
        </is>
      </c>
      <c r="E901" t="inlineStr">
        <is>
          <t>NORRTÄLJE</t>
        </is>
      </c>
      <c r="G901" t="n">
        <v>7</v>
      </c>
      <c r="H901" t="n">
        <v>0</v>
      </c>
      <c r="I901" t="n">
        <v>0</v>
      </c>
      <c r="J901" t="n">
        <v>0</v>
      </c>
      <c r="K901" t="n">
        <v>0</v>
      </c>
      <c r="L901" t="n">
        <v>0</v>
      </c>
      <c r="M901" t="n">
        <v>0</v>
      </c>
      <c r="N901" t="n">
        <v>0</v>
      </c>
      <c r="O901" t="n">
        <v>0</v>
      </c>
      <c r="P901" t="n">
        <v>0</v>
      </c>
      <c r="Q901" t="n">
        <v>0</v>
      </c>
      <c r="R901" s="2" t="inlineStr"/>
    </row>
    <row r="902" ht="15" customHeight="1">
      <c r="A902" t="inlineStr">
        <is>
          <t>A 51941-2025</t>
        </is>
      </c>
      <c r="B902" s="1" t="n">
        <v>45952.52261574074</v>
      </c>
      <c r="C902" s="1" t="n">
        <v>45995</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60253-2025</t>
        </is>
      </c>
      <c r="B903" s="1" t="n">
        <v>45994.59827546297</v>
      </c>
      <c r="C903" s="1" t="n">
        <v>45995</v>
      </c>
      <c r="D903" t="inlineStr">
        <is>
          <t>STOCKHOLMS LÄN</t>
        </is>
      </c>
      <c r="E903" t="inlineStr">
        <is>
          <t>NORRTÄLJE</t>
        </is>
      </c>
      <c r="F903" t="inlineStr">
        <is>
          <t>Holmen skog AB</t>
        </is>
      </c>
      <c r="G903" t="n">
        <v>3.6</v>
      </c>
      <c r="H903" t="n">
        <v>0</v>
      </c>
      <c r="I903" t="n">
        <v>0</v>
      </c>
      <c r="J903" t="n">
        <v>0</v>
      </c>
      <c r="K903" t="n">
        <v>0</v>
      </c>
      <c r="L903" t="n">
        <v>0</v>
      </c>
      <c r="M903" t="n">
        <v>0</v>
      </c>
      <c r="N903" t="n">
        <v>0</v>
      </c>
      <c r="O903" t="n">
        <v>0</v>
      </c>
      <c r="P903" t="n">
        <v>0</v>
      </c>
      <c r="Q903" t="n">
        <v>0</v>
      </c>
      <c r="R903" s="2" t="inlineStr"/>
    </row>
    <row r="904" ht="15" customHeight="1">
      <c r="A904" t="inlineStr">
        <is>
          <t>A 52061-2025</t>
        </is>
      </c>
      <c r="B904" s="1" t="n">
        <v>45952.63679398148</v>
      </c>
      <c r="C904" s="1" t="n">
        <v>45995</v>
      </c>
      <c r="D904" t="inlineStr">
        <is>
          <t>STOCKHOLMS LÄN</t>
        </is>
      </c>
      <c r="E904" t="inlineStr">
        <is>
          <t>NORRTÄLJE</t>
        </is>
      </c>
      <c r="G904" t="n">
        <v>9.5</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44799.65013888889</v>
      </c>
      <c r="C905" s="1" t="n">
        <v>45995</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59924-2025</t>
        </is>
      </c>
      <c r="B906" s="1" t="n">
        <v>45993.38928240741</v>
      </c>
      <c r="C906" s="1" t="n">
        <v>45995</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3426-2025</t>
        </is>
      </c>
      <c r="B907" s="1" t="n">
        <v>45680.42665509259</v>
      </c>
      <c r="C907" s="1" t="n">
        <v>45995</v>
      </c>
      <c r="D907" t="inlineStr">
        <is>
          <t>STOCKHOLMS LÄN</t>
        </is>
      </c>
      <c r="E907" t="inlineStr">
        <is>
          <t>NORRTÄLJE</t>
        </is>
      </c>
      <c r="G907" t="n">
        <v>3.2</v>
      </c>
      <c r="H907" t="n">
        <v>0</v>
      </c>
      <c r="I907" t="n">
        <v>0</v>
      </c>
      <c r="J907" t="n">
        <v>0</v>
      </c>
      <c r="K907" t="n">
        <v>0</v>
      </c>
      <c r="L907" t="n">
        <v>0</v>
      </c>
      <c r="M907" t="n">
        <v>0</v>
      </c>
      <c r="N907" t="n">
        <v>0</v>
      </c>
      <c r="O907" t="n">
        <v>0</v>
      </c>
      <c r="P907" t="n">
        <v>0</v>
      </c>
      <c r="Q907" t="n">
        <v>0</v>
      </c>
      <c r="R907" s="2" t="inlineStr"/>
    </row>
    <row r="908" ht="15" customHeight="1">
      <c r="A908" t="inlineStr">
        <is>
          <t>A 9-2024</t>
        </is>
      </c>
      <c r="B908" s="1" t="n">
        <v>45293</v>
      </c>
      <c r="C908" s="1" t="n">
        <v>45995</v>
      </c>
      <c r="D908" t="inlineStr">
        <is>
          <t>STOCKHOLMS LÄN</t>
        </is>
      </c>
      <c r="E908" t="inlineStr">
        <is>
          <t>NORRTÄLJE</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51312-2023</t>
        </is>
      </c>
      <c r="B909" s="1" t="n">
        <v>45219.56697916667</v>
      </c>
      <c r="C909" s="1" t="n">
        <v>45995</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51960-2025</t>
        </is>
      </c>
      <c r="B910" s="1" t="n">
        <v>45952.54755787037</v>
      </c>
      <c r="C910" s="1" t="n">
        <v>45995</v>
      </c>
      <c r="D910" t="inlineStr">
        <is>
          <t>STOCKHOLMS LÄN</t>
        </is>
      </c>
      <c r="E910" t="inlineStr">
        <is>
          <t>NORRTÄLJE</t>
        </is>
      </c>
      <c r="G910" t="n">
        <v>2</v>
      </c>
      <c r="H910" t="n">
        <v>0</v>
      </c>
      <c r="I910" t="n">
        <v>0</v>
      </c>
      <c r="J910" t="n">
        <v>0</v>
      </c>
      <c r="K910" t="n">
        <v>0</v>
      </c>
      <c r="L910" t="n">
        <v>0</v>
      </c>
      <c r="M910" t="n">
        <v>0</v>
      </c>
      <c r="N910" t="n">
        <v>0</v>
      </c>
      <c r="O910" t="n">
        <v>0</v>
      </c>
      <c r="P910" t="n">
        <v>0</v>
      </c>
      <c r="Q910" t="n">
        <v>0</v>
      </c>
      <c r="R910" s="2" t="inlineStr"/>
    </row>
    <row r="911" ht="15" customHeight="1">
      <c r="A911" t="inlineStr">
        <is>
          <t>A 51789-2025</t>
        </is>
      </c>
      <c r="B911" s="1" t="n">
        <v>45951.68046296296</v>
      </c>
      <c r="C911" s="1" t="n">
        <v>45995</v>
      </c>
      <c r="D911" t="inlineStr">
        <is>
          <t>STOCKHOLMS LÄN</t>
        </is>
      </c>
      <c r="E911" t="inlineStr">
        <is>
          <t>NORRTÄLJE</t>
        </is>
      </c>
      <c r="F911" t="inlineStr">
        <is>
          <t>Naturvårdsverket</t>
        </is>
      </c>
      <c r="G911" t="n">
        <v>8.9</v>
      </c>
      <c r="H911" t="n">
        <v>0</v>
      </c>
      <c r="I911" t="n">
        <v>0</v>
      </c>
      <c r="J911" t="n">
        <v>0</v>
      </c>
      <c r="K911" t="n">
        <v>0</v>
      </c>
      <c r="L911" t="n">
        <v>0</v>
      </c>
      <c r="M911" t="n">
        <v>0</v>
      </c>
      <c r="N911" t="n">
        <v>0</v>
      </c>
      <c r="O911" t="n">
        <v>0</v>
      </c>
      <c r="P911" t="n">
        <v>0</v>
      </c>
      <c r="Q911" t="n">
        <v>0</v>
      </c>
      <c r="R911" s="2" t="inlineStr"/>
    </row>
    <row r="912" ht="15" customHeight="1">
      <c r="A912" t="inlineStr">
        <is>
          <t>A 11849-2025</t>
        </is>
      </c>
      <c r="B912" s="1" t="n">
        <v>45728.38409722222</v>
      </c>
      <c r="C912" s="1" t="n">
        <v>45995</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38610-2022</t>
        </is>
      </c>
      <c r="B913" s="1" t="n">
        <v>44813.59915509259</v>
      </c>
      <c r="C913" s="1" t="n">
        <v>45995</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22816-2021</t>
        </is>
      </c>
      <c r="B914" s="1" t="n">
        <v>44325</v>
      </c>
      <c r="C914" s="1" t="n">
        <v>45995</v>
      </c>
      <c r="D914" t="inlineStr">
        <is>
          <t>STOCKHOLMS LÄN</t>
        </is>
      </c>
      <c r="E914" t="inlineStr">
        <is>
          <t>NORRTÄLJE</t>
        </is>
      </c>
      <c r="G914" t="n">
        <v>4.5</v>
      </c>
      <c r="H914" t="n">
        <v>0</v>
      </c>
      <c r="I914" t="n">
        <v>0</v>
      </c>
      <c r="J914" t="n">
        <v>0</v>
      </c>
      <c r="K914" t="n">
        <v>0</v>
      </c>
      <c r="L914" t="n">
        <v>0</v>
      </c>
      <c r="M914" t="n">
        <v>0</v>
      </c>
      <c r="N914" t="n">
        <v>0</v>
      </c>
      <c r="O914" t="n">
        <v>0</v>
      </c>
      <c r="P914" t="n">
        <v>0</v>
      </c>
      <c r="Q914" t="n">
        <v>0</v>
      </c>
      <c r="R914" s="2" t="inlineStr"/>
    </row>
    <row r="915" ht="15" customHeight="1">
      <c r="A915" t="inlineStr">
        <is>
          <t>A 60214-2025</t>
        </is>
      </c>
      <c r="B915" s="1" t="n">
        <v>45994.53761574074</v>
      </c>
      <c r="C915" s="1" t="n">
        <v>45995</v>
      </c>
      <c r="D915" t="inlineStr">
        <is>
          <t>STOCKHOLMS LÄN</t>
        </is>
      </c>
      <c r="E915" t="inlineStr">
        <is>
          <t>NORRTÄLJE</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28603-2024</t>
        </is>
      </c>
      <c r="B916" s="1" t="n">
        <v>45478.42887731481</v>
      </c>
      <c r="C916" s="1" t="n">
        <v>45995</v>
      </c>
      <c r="D916" t="inlineStr">
        <is>
          <t>STOCKHOLMS LÄN</t>
        </is>
      </c>
      <c r="E916" t="inlineStr">
        <is>
          <t>NORRTÄLJE</t>
        </is>
      </c>
      <c r="G916" t="n">
        <v>5.6</v>
      </c>
      <c r="H916" t="n">
        <v>0</v>
      </c>
      <c r="I916" t="n">
        <v>0</v>
      </c>
      <c r="J916" t="n">
        <v>0</v>
      </c>
      <c r="K916" t="n">
        <v>0</v>
      </c>
      <c r="L916" t="n">
        <v>0</v>
      </c>
      <c r="M916" t="n">
        <v>0</v>
      </c>
      <c r="N916" t="n">
        <v>0</v>
      </c>
      <c r="O916" t="n">
        <v>0</v>
      </c>
      <c r="P916" t="n">
        <v>0</v>
      </c>
      <c r="Q916" t="n">
        <v>0</v>
      </c>
      <c r="R916" s="2" t="inlineStr"/>
    </row>
    <row r="917" ht="15" customHeight="1">
      <c r="A917" t="inlineStr">
        <is>
          <t>A 25702-2025</t>
        </is>
      </c>
      <c r="B917" s="1" t="n">
        <v>45800</v>
      </c>
      <c r="C917" s="1" t="n">
        <v>45995</v>
      </c>
      <c r="D917" t="inlineStr">
        <is>
          <t>STOCKHOLMS LÄN</t>
        </is>
      </c>
      <c r="E917" t="inlineStr">
        <is>
          <t>NORRTÄLJE</t>
        </is>
      </c>
      <c r="G917" t="n">
        <v>5.3</v>
      </c>
      <c r="H917" t="n">
        <v>0</v>
      </c>
      <c r="I917" t="n">
        <v>0</v>
      </c>
      <c r="J917" t="n">
        <v>0</v>
      </c>
      <c r="K917" t="n">
        <v>0</v>
      </c>
      <c r="L917" t="n">
        <v>0</v>
      </c>
      <c r="M917" t="n">
        <v>0</v>
      </c>
      <c r="N917" t="n">
        <v>0</v>
      </c>
      <c r="O917" t="n">
        <v>0</v>
      </c>
      <c r="P917" t="n">
        <v>0</v>
      </c>
      <c r="Q917" t="n">
        <v>0</v>
      </c>
      <c r="R917" s="2" t="inlineStr"/>
    </row>
    <row r="918" ht="15" customHeight="1">
      <c r="A918" t="inlineStr">
        <is>
          <t>A 25709-2025</t>
        </is>
      </c>
      <c r="B918" s="1" t="n">
        <v>45800</v>
      </c>
      <c r="C918" s="1" t="n">
        <v>45995</v>
      </c>
      <c r="D918" t="inlineStr">
        <is>
          <t>STOCKHOLMS LÄN</t>
        </is>
      </c>
      <c r="E918" t="inlineStr">
        <is>
          <t>NORRTÄLJE</t>
        </is>
      </c>
      <c r="G918" t="n">
        <v>4.6</v>
      </c>
      <c r="H918" t="n">
        <v>0</v>
      </c>
      <c r="I918" t="n">
        <v>0</v>
      </c>
      <c r="J918" t="n">
        <v>0</v>
      </c>
      <c r="K918" t="n">
        <v>0</v>
      </c>
      <c r="L918" t="n">
        <v>0</v>
      </c>
      <c r="M918" t="n">
        <v>0</v>
      </c>
      <c r="N918" t="n">
        <v>0</v>
      </c>
      <c r="O918" t="n">
        <v>0</v>
      </c>
      <c r="P918" t="n">
        <v>0</v>
      </c>
      <c r="Q918" t="n">
        <v>0</v>
      </c>
      <c r="R918" s="2" t="inlineStr"/>
    </row>
    <row r="919" ht="15" customHeight="1">
      <c r="A919" t="inlineStr">
        <is>
          <t>A 25721-2025</t>
        </is>
      </c>
      <c r="B919" s="1" t="n">
        <v>45800</v>
      </c>
      <c r="C919" s="1" t="n">
        <v>45995</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59468-2023</t>
        </is>
      </c>
      <c r="B920" s="1" t="n">
        <v>45254.41509259259</v>
      </c>
      <c r="C920" s="1" t="n">
        <v>45995</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18846-2022</t>
        </is>
      </c>
      <c r="B921" s="1" t="n">
        <v>44690</v>
      </c>
      <c r="C921" s="1" t="n">
        <v>45995</v>
      </c>
      <c r="D921" t="inlineStr">
        <is>
          <t>STOCKHOLMS LÄN</t>
        </is>
      </c>
      <c r="E921" t="inlineStr">
        <is>
          <t>NORRTÄLJE</t>
        </is>
      </c>
      <c r="G921" t="n">
        <v>7</v>
      </c>
      <c r="H921" t="n">
        <v>0</v>
      </c>
      <c r="I921" t="n">
        <v>0</v>
      </c>
      <c r="J921" t="n">
        <v>0</v>
      </c>
      <c r="K921" t="n">
        <v>0</v>
      </c>
      <c r="L921" t="n">
        <v>0</v>
      </c>
      <c r="M921" t="n">
        <v>0</v>
      </c>
      <c r="N921" t="n">
        <v>0</v>
      </c>
      <c r="O921" t="n">
        <v>0</v>
      </c>
      <c r="P921" t="n">
        <v>0</v>
      </c>
      <c r="Q921" t="n">
        <v>0</v>
      </c>
      <c r="R921" s="2" t="inlineStr"/>
    </row>
    <row r="922" ht="15" customHeight="1">
      <c r="A922" t="inlineStr">
        <is>
          <t>A 25733-2025</t>
        </is>
      </c>
      <c r="B922" s="1" t="n">
        <v>45800</v>
      </c>
      <c r="C922" s="1" t="n">
        <v>45995</v>
      </c>
      <c r="D922" t="inlineStr">
        <is>
          <t>STOCKHOLMS LÄN</t>
        </is>
      </c>
      <c r="E922" t="inlineStr">
        <is>
          <t>NORRTÄLJE</t>
        </is>
      </c>
      <c r="G922" t="n">
        <v>2.2</v>
      </c>
      <c r="H922" t="n">
        <v>0</v>
      </c>
      <c r="I922" t="n">
        <v>0</v>
      </c>
      <c r="J922" t="n">
        <v>0</v>
      </c>
      <c r="K922" t="n">
        <v>0</v>
      </c>
      <c r="L922" t="n">
        <v>0</v>
      </c>
      <c r="M922" t="n">
        <v>0</v>
      </c>
      <c r="N922" t="n">
        <v>0</v>
      </c>
      <c r="O922" t="n">
        <v>0</v>
      </c>
      <c r="P922" t="n">
        <v>0</v>
      </c>
      <c r="Q922" t="n">
        <v>0</v>
      </c>
      <c r="R922" s="2" t="inlineStr"/>
    </row>
    <row r="923" ht="15" customHeight="1">
      <c r="A923" t="inlineStr">
        <is>
          <t>A 25725-2025</t>
        </is>
      </c>
      <c r="B923" s="1" t="n">
        <v>45800</v>
      </c>
      <c r="C923" s="1" t="n">
        <v>45995</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25571-2025</t>
        </is>
      </c>
      <c r="B924" s="1" t="n">
        <v>45803.4675</v>
      </c>
      <c r="C924" s="1" t="n">
        <v>45995</v>
      </c>
      <c r="D924" t="inlineStr">
        <is>
          <t>STOCKHOLMS LÄN</t>
        </is>
      </c>
      <c r="E924" t="inlineStr">
        <is>
          <t>NORRTÄLJE</t>
        </is>
      </c>
      <c r="G924" t="n">
        <v>5.4</v>
      </c>
      <c r="H924" t="n">
        <v>0</v>
      </c>
      <c r="I924" t="n">
        <v>0</v>
      </c>
      <c r="J924" t="n">
        <v>0</v>
      </c>
      <c r="K924" t="n">
        <v>0</v>
      </c>
      <c r="L924" t="n">
        <v>0</v>
      </c>
      <c r="M924" t="n">
        <v>0</v>
      </c>
      <c r="N924" t="n">
        <v>0</v>
      </c>
      <c r="O924" t="n">
        <v>0</v>
      </c>
      <c r="P924" t="n">
        <v>0</v>
      </c>
      <c r="Q924" t="n">
        <v>0</v>
      </c>
      <c r="R924" s="2" t="inlineStr"/>
    </row>
    <row r="925" ht="15" customHeight="1">
      <c r="A925" t="inlineStr">
        <is>
          <t>A 53561-2023</t>
        </is>
      </c>
      <c r="B925" s="1" t="n">
        <v>45224</v>
      </c>
      <c r="C925" s="1" t="n">
        <v>45995</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12535-2025</t>
        </is>
      </c>
      <c r="B926" s="1" t="n">
        <v>45730.69502314815</v>
      </c>
      <c r="C926" s="1" t="n">
        <v>45995</v>
      </c>
      <c r="D926" t="inlineStr">
        <is>
          <t>STOCKHOLMS LÄN</t>
        </is>
      </c>
      <c r="E926" t="inlineStr">
        <is>
          <t>NORRTÄLJE</t>
        </is>
      </c>
      <c r="G926" t="n">
        <v>7.1</v>
      </c>
      <c r="H926" t="n">
        <v>0</v>
      </c>
      <c r="I926" t="n">
        <v>0</v>
      </c>
      <c r="J926" t="n">
        <v>0</v>
      </c>
      <c r="K926" t="n">
        <v>0</v>
      </c>
      <c r="L926" t="n">
        <v>0</v>
      </c>
      <c r="M926" t="n">
        <v>0</v>
      </c>
      <c r="N926" t="n">
        <v>0</v>
      </c>
      <c r="O926" t="n">
        <v>0</v>
      </c>
      <c r="P926" t="n">
        <v>0</v>
      </c>
      <c r="Q926" t="n">
        <v>0</v>
      </c>
      <c r="R926" s="2" t="inlineStr"/>
    </row>
    <row r="927" ht="15" customHeight="1">
      <c r="A927" t="inlineStr">
        <is>
          <t>A 25712-2025</t>
        </is>
      </c>
      <c r="B927" s="1" t="n">
        <v>45803.69228009259</v>
      </c>
      <c r="C927" s="1" t="n">
        <v>45995</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41218-2024</t>
        </is>
      </c>
      <c r="B928" s="1" t="n">
        <v>45559.54706018518</v>
      </c>
      <c r="C928" s="1" t="n">
        <v>45995</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26051-2025</t>
        </is>
      </c>
      <c r="B929" s="1" t="n">
        <v>45804.74479166666</v>
      </c>
      <c r="C929" s="1" t="n">
        <v>45995</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574-2023</t>
        </is>
      </c>
      <c r="B930" s="1" t="n">
        <v>44925</v>
      </c>
      <c r="C930" s="1" t="n">
        <v>45995</v>
      </c>
      <c r="D930" t="inlineStr">
        <is>
          <t>STOCKHOLMS LÄN</t>
        </is>
      </c>
      <c r="E930" t="inlineStr">
        <is>
          <t>NORRTÄLJE</t>
        </is>
      </c>
      <c r="G930" t="n">
        <v>5</v>
      </c>
      <c r="H930" t="n">
        <v>0</v>
      </c>
      <c r="I930" t="n">
        <v>0</v>
      </c>
      <c r="J930" t="n">
        <v>0</v>
      </c>
      <c r="K930" t="n">
        <v>0</v>
      </c>
      <c r="L930" t="n">
        <v>0</v>
      </c>
      <c r="M930" t="n">
        <v>0</v>
      </c>
      <c r="N930" t="n">
        <v>0</v>
      </c>
      <c r="O930" t="n">
        <v>0</v>
      </c>
      <c r="P930" t="n">
        <v>0</v>
      </c>
      <c r="Q930" t="n">
        <v>0</v>
      </c>
      <c r="R930" s="2" t="inlineStr"/>
    </row>
    <row r="931" ht="15" customHeight="1">
      <c r="A931" t="inlineStr">
        <is>
          <t>A 39238-2024</t>
        </is>
      </c>
      <c r="B931" s="1" t="n">
        <v>45549</v>
      </c>
      <c r="C931" s="1" t="n">
        <v>45995</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38449-2022</t>
        </is>
      </c>
      <c r="B932" s="1" t="n">
        <v>44813</v>
      </c>
      <c r="C932" s="1" t="n">
        <v>45995</v>
      </c>
      <c r="D932" t="inlineStr">
        <is>
          <t>STOCKHOLMS LÄN</t>
        </is>
      </c>
      <c r="E932" t="inlineStr">
        <is>
          <t>NORRTÄLJE</t>
        </is>
      </c>
      <c r="G932" t="n">
        <v>4.2</v>
      </c>
      <c r="H932" t="n">
        <v>0</v>
      </c>
      <c r="I932" t="n">
        <v>0</v>
      </c>
      <c r="J932" t="n">
        <v>0</v>
      </c>
      <c r="K932" t="n">
        <v>0</v>
      </c>
      <c r="L932" t="n">
        <v>0</v>
      </c>
      <c r="M932" t="n">
        <v>0</v>
      </c>
      <c r="N932" t="n">
        <v>0</v>
      </c>
      <c r="O932" t="n">
        <v>0</v>
      </c>
      <c r="P932" t="n">
        <v>0</v>
      </c>
      <c r="Q932" t="n">
        <v>0</v>
      </c>
      <c r="R932" s="2" t="inlineStr"/>
    </row>
    <row r="933" ht="15" customHeight="1">
      <c r="A933" t="inlineStr">
        <is>
          <t>A 25697-2025</t>
        </is>
      </c>
      <c r="B933" s="1" t="n">
        <v>45803.66587962963</v>
      </c>
      <c r="C933" s="1" t="n">
        <v>45995</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47259-2024</t>
        </is>
      </c>
      <c r="B934" s="1" t="n">
        <v>45586</v>
      </c>
      <c r="C934" s="1" t="n">
        <v>45995</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34478-2025</t>
        </is>
      </c>
      <c r="B935" s="1" t="n">
        <v>45847.37414351852</v>
      </c>
      <c r="C935" s="1" t="n">
        <v>45995</v>
      </c>
      <c r="D935" t="inlineStr">
        <is>
          <t>STOCKHOLMS LÄN</t>
        </is>
      </c>
      <c r="E935" t="inlineStr">
        <is>
          <t>NORRTÄLJE</t>
        </is>
      </c>
      <c r="F935" t="inlineStr">
        <is>
          <t>Övriga Aktiebolag</t>
        </is>
      </c>
      <c r="G935" t="n">
        <v>10.8</v>
      </c>
      <c r="H935" t="n">
        <v>0</v>
      </c>
      <c r="I935" t="n">
        <v>0</v>
      </c>
      <c r="J935" t="n">
        <v>0</v>
      </c>
      <c r="K935" t="n">
        <v>0</v>
      </c>
      <c r="L935" t="n">
        <v>0</v>
      </c>
      <c r="M935" t="n">
        <v>0</v>
      </c>
      <c r="N935" t="n">
        <v>0</v>
      </c>
      <c r="O935" t="n">
        <v>0</v>
      </c>
      <c r="P935" t="n">
        <v>0</v>
      </c>
      <c r="Q935" t="n">
        <v>0</v>
      </c>
      <c r="R935" s="2" t="inlineStr"/>
    </row>
    <row r="936" ht="15" customHeight="1">
      <c r="A936" t="inlineStr">
        <is>
          <t>A 37010-2022</t>
        </is>
      </c>
      <c r="B936" s="1" t="n">
        <v>44806.41576388889</v>
      </c>
      <c r="C936" s="1" t="n">
        <v>45995</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32705-2022</t>
        </is>
      </c>
      <c r="B937" s="1" t="n">
        <v>44783</v>
      </c>
      <c r="C937" s="1" t="n">
        <v>45995</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33149-2022</t>
        </is>
      </c>
      <c r="B938" s="1" t="n">
        <v>44785</v>
      </c>
      <c r="C938" s="1" t="n">
        <v>45995</v>
      </c>
      <c r="D938" t="inlineStr">
        <is>
          <t>STOCKHOLMS LÄN</t>
        </is>
      </c>
      <c r="E938" t="inlineStr">
        <is>
          <t>NORRTÄLJE</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26675-2025</t>
        </is>
      </c>
      <c r="B939" s="1" t="n">
        <v>45810.42393518519</v>
      </c>
      <c r="C939" s="1" t="n">
        <v>45995</v>
      </c>
      <c r="D939" t="inlineStr">
        <is>
          <t>STOCKHOLMS LÄN</t>
        </is>
      </c>
      <c r="E939" t="inlineStr">
        <is>
          <t>NORRTÄLJE</t>
        </is>
      </c>
      <c r="G939" t="n">
        <v>2.7</v>
      </c>
      <c r="H939" t="n">
        <v>0</v>
      </c>
      <c r="I939" t="n">
        <v>0</v>
      </c>
      <c r="J939" t="n">
        <v>0</v>
      </c>
      <c r="K939" t="n">
        <v>0</v>
      </c>
      <c r="L939" t="n">
        <v>0</v>
      </c>
      <c r="M939" t="n">
        <v>0</v>
      </c>
      <c r="N939" t="n">
        <v>0</v>
      </c>
      <c r="O939" t="n">
        <v>0</v>
      </c>
      <c r="P939" t="n">
        <v>0</v>
      </c>
      <c r="Q939" t="n">
        <v>0</v>
      </c>
      <c r="R939" s="2" t="inlineStr"/>
    </row>
    <row r="940" ht="15" customHeight="1">
      <c r="A940" t="inlineStr">
        <is>
          <t>A 14559-2024</t>
        </is>
      </c>
      <c r="B940" s="1" t="n">
        <v>45394.72869212963</v>
      </c>
      <c r="C940" s="1" t="n">
        <v>45995</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23061-2025</t>
        </is>
      </c>
      <c r="B941" s="1" t="n">
        <v>45790.81410879629</v>
      </c>
      <c r="C941" s="1" t="n">
        <v>45995</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11-2024</t>
        </is>
      </c>
      <c r="B942" s="1" t="n">
        <v>45293</v>
      </c>
      <c r="C942" s="1" t="n">
        <v>45995</v>
      </c>
      <c r="D942" t="inlineStr">
        <is>
          <t>STOCKHOLMS LÄN</t>
        </is>
      </c>
      <c r="E942" t="inlineStr">
        <is>
          <t>NORRTÄLJE</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15256-2023</t>
        </is>
      </c>
      <c r="B943" s="1" t="n">
        <v>45019.3959837963</v>
      </c>
      <c r="C943" s="1" t="n">
        <v>45995</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26747-2025</t>
        </is>
      </c>
      <c r="B944" s="1" t="n">
        <v>45810.5333912037</v>
      </c>
      <c r="C944" s="1" t="n">
        <v>45995</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7413-2024</t>
        </is>
      </c>
      <c r="B945" s="1" t="n">
        <v>45345.6059837963</v>
      </c>
      <c r="C945" s="1" t="n">
        <v>45995</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58040-2024</t>
        </is>
      </c>
      <c r="B946" s="1" t="n">
        <v>45631.73952546297</v>
      </c>
      <c r="C946" s="1" t="n">
        <v>45995</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58041-2024</t>
        </is>
      </c>
      <c r="B947" s="1" t="n">
        <v>45631.74673611111</v>
      </c>
      <c r="C947" s="1" t="n">
        <v>45995</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26702-2025</t>
        </is>
      </c>
      <c r="B948" s="1" t="n">
        <v>45810.45236111111</v>
      </c>
      <c r="C948" s="1" t="n">
        <v>45995</v>
      </c>
      <c r="D948" t="inlineStr">
        <is>
          <t>STOCKHOLMS LÄN</t>
        </is>
      </c>
      <c r="E948" t="inlineStr">
        <is>
          <t>NORRTÄLJE</t>
        </is>
      </c>
      <c r="G948" t="n">
        <v>7.3</v>
      </c>
      <c r="H948" t="n">
        <v>0</v>
      </c>
      <c r="I948" t="n">
        <v>0</v>
      </c>
      <c r="J948" t="n">
        <v>0</v>
      </c>
      <c r="K948" t="n">
        <v>0</v>
      </c>
      <c r="L948" t="n">
        <v>0</v>
      </c>
      <c r="M948" t="n">
        <v>0</v>
      </c>
      <c r="N948" t="n">
        <v>0</v>
      </c>
      <c r="O948" t="n">
        <v>0</v>
      </c>
      <c r="P948" t="n">
        <v>0</v>
      </c>
      <c r="Q948" t="n">
        <v>0</v>
      </c>
      <c r="R948" s="2" t="inlineStr"/>
    </row>
    <row r="949" ht="15" customHeight="1">
      <c r="A949" t="inlineStr">
        <is>
          <t>A 31057-2022</t>
        </is>
      </c>
      <c r="B949" s="1" t="n">
        <v>44769</v>
      </c>
      <c r="C949" s="1" t="n">
        <v>45995</v>
      </c>
      <c r="D949" t="inlineStr">
        <is>
          <t>STOCKHOLMS LÄN</t>
        </is>
      </c>
      <c r="E949" t="inlineStr">
        <is>
          <t>NORRTÄLJE</t>
        </is>
      </c>
      <c r="G949" t="n">
        <v>6.5</v>
      </c>
      <c r="H949" t="n">
        <v>0</v>
      </c>
      <c r="I949" t="n">
        <v>0</v>
      </c>
      <c r="J949" t="n">
        <v>0</v>
      </c>
      <c r="K949" t="n">
        <v>0</v>
      </c>
      <c r="L949" t="n">
        <v>0</v>
      </c>
      <c r="M949" t="n">
        <v>0</v>
      </c>
      <c r="N949" t="n">
        <v>0</v>
      </c>
      <c r="O949" t="n">
        <v>0</v>
      </c>
      <c r="P949" t="n">
        <v>0</v>
      </c>
      <c r="Q949" t="n">
        <v>0</v>
      </c>
      <c r="R949" s="2" t="inlineStr"/>
    </row>
    <row r="950" ht="15" customHeight="1">
      <c r="A950" t="inlineStr">
        <is>
          <t>A 26708-2025</t>
        </is>
      </c>
      <c r="B950" s="1" t="n">
        <v>45810.45633101852</v>
      </c>
      <c r="C950" s="1" t="n">
        <v>45995</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27040-2025</t>
        </is>
      </c>
      <c r="B951" s="1" t="n">
        <v>45811.60451388889</v>
      </c>
      <c r="C951" s="1" t="n">
        <v>45995</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3143-2021</t>
        </is>
      </c>
      <c r="B952" s="1" t="n">
        <v>44217.40149305556</v>
      </c>
      <c r="C952" s="1" t="n">
        <v>45995</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25619-2022</t>
        </is>
      </c>
      <c r="B953" s="1" t="n">
        <v>44732</v>
      </c>
      <c r="C953" s="1" t="n">
        <v>45995</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15422-2024</t>
        </is>
      </c>
      <c r="B954" s="1" t="n">
        <v>45401.3653125</v>
      </c>
      <c r="C954" s="1" t="n">
        <v>45995</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48716-2023</t>
        </is>
      </c>
      <c r="B955" s="1" t="n">
        <v>45208.69671296296</v>
      </c>
      <c r="C955" s="1" t="n">
        <v>45995</v>
      </c>
      <c r="D955" t="inlineStr">
        <is>
          <t>STOCKHOLMS LÄN</t>
        </is>
      </c>
      <c r="E955" t="inlineStr">
        <is>
          <t>NORRTÄLJE</t>
        </is>
      </c>
      <c r="G955" t="n">
        <v>0.6</v>
      </c>
      <c r="H955" t="n">
        <v>0</v>
      </c>
      <c r="I955" t="n">
        <v>0</v>
      </c>
      <c r="J955" t="n">
        <v>0</v>
      </c>
      <c r="K955" t="n">
        <v>0</v>
      </c>
      <c r="L955" t="n">
        <v>0</v>
      </c>
      <c r="M955" t="n">
        <v>0</v>
      </c>
      <c r="N955" t="n">
        <v>0</v>
      </c>
      <c r="O955" t="n">
        <v>0</v>
      </c>
      <c r="P955" t="n">
        <v>0</v>
      </c>
      <c r="Q955" t="n">
        <v>0</v>
      </c>
      <c r="R955" s="2" t="inlineStr"/>
    </row>
    <row r="956" ht="15" customHeight="1">
      <c r="A956" t="inlineStr">
        <is>
          <t>A 55369-2023</t>
        </is>
      </c>
      <c r="B956" s="1" t="n">
        <v>45238</v>
      </c>
      <c r="C956" s="1" t="n">
        <v>45995</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20121-2022</t>
        </is>
      </c>
      <c r="B957" s="1" t="n">
        <v>44698</v>
      </c>
      <c r="C957" s="1" t="n">
        <v>45995</v>
      </c>
      <c r="D957" t="inlineStr">
        <is>
          <t>STOCKHOLMS LÄN</t>
        </is>
      </c>
      <c r="E957" t="inlineStr">
        <is>
          <t>NORRTÄLJE</t>
        </is>
      </c>
      <c r="G957" t="n">
        <v>4.2</v>
      </c>
      <c r="H957" t="n">
        <v>0</v>
      </c>
      <c r="I957" t="n">
        <v>0</v>
      </c>
      <c r="J957" t="n">
        <v>0</v>
      </c>
      <c r="K957" t="n">
        <v>0</v>
      </c>
      <c r="L957" t="n">
        <v>0</v>
      </c>
      <c r="M957" t="n">
        <v>0</v>
      </c>
      <c r="N957" t="n">
        <v>0</v>
      </c>
      <c r="O957" t="n">
        <v>0</v>
      </c>
      <c r="P957" t="n">
        <v>0</v>
      </c>
      <c r="Q957" t="n">
        <v>0</v>
      </c>
      <c r="R957" s="2" t="inlineStr"/>
    </row>
    <row r="958" ht="15" customHeight="1">
      <c r="A958" t="inlineStr">
        <is>
          <t>A 26407-2024</t>
        </is>
      </c>
      <c r="B958" s="1" t="n">
        <v>45469</v>
      </c>
      <c r="C958" s="1" t="n">
        <v>45995</v>
      </c>
      <c r="D958" t="inlineStr">
        <is>
          <t>STOCKHOLMS LÄN</t>
        </is>
      </c>
      <c r="E958" t="inlineStr">
        <is>
          <t>NORRTÄLJE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10098-2022</t>
        </is>
      </c>
      <c r="B959" s="1" t="n">
        <v>44621</v>
      </c>
      <c r="C959" s="1" t="n">
        <v>45995</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27697-2025</t>
        </is>
      </c>
      <c r="B960" s="1" t="n">
        <v>45813.66961805556</v>
      </c>
      <c r="C960" s="1" t="n">
        <v>45995</v>
      </c>
      <c r="D960" t="inlineStr">
        <is>
          <t>STOCKHOLMS LÄN</t>
        </is>
      </c>
      <c r="E960" t="inlineStr">
        <is>
          <t>NORRTÄLJE</t>
        </is>
      </c>
      <c r="G960" t="n">
        <v>6.2</v>
      </c>
      <c r="H960" t="n">
        <v>0</v>
      </c>
      <c r="I960" t="n">
        <v>0</v>
      </c>
      <c r="J960" t="n">
        <v>0</v>
      </c>
      <c r="K960" t="n">
        <v>0</v>
      </c>
      <c r="L960" t="n">
        <v>0</v>
      </c>
      <c r="M960" t="n">
        <v>0</v>
      </c>
      <c r="N960" t="n">
        <v>0</v>
      </c>
      <c r="O960" t="n">
        <v>0</v>
      </c>
      <c r="P960" t="n">
        <v>0</v>
      </c>
      <c r="Q960" t="n">
        <v>0</v>
      </c>
      <c r="R960" s="2" t="inlineStr"/>
    </row>
    <row r="961" ht="15" customHeight="1">
      <c r="A961" t="inlineStr">
        <is>
          <t>A 27700-2025</t>
        </is>
      </c>
      <c r="B961" s="1" t="n">
        <v>45813.6799537037</v>
      </c>
      <c r="C961" s="1" t="n">
        <v>45995</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27554-2025</t>
        </is>
      </c>
      <c r="B962" s="1" t="n">
        <v>45813.4709375</v>
      </c>
      <c r="C962" s="1" t="n">
        <v>45995</v>
      </c>
      <c r="D962" t="inlineStr">
        <is>
          <t>STOCKHOLMS LÄN</t>
        </is>
      </c>
      <c r="E962" t="inlineStr">
        <is>
          <t>NORRTÄLJE</t>
        </is>
      </c>
      <c r="F962" t="inlineStr">
        <is>
          <t>Övriga Aktiebolag</t>
        </is>
      </c>
      <c r="G962" t="n">
        <v>2.5</v>
      </c>
      <c r="H962" t="n">
        <v>0</v>
      </c>
      <c r="I962" t="n">
        <v>0</v>
      </c>
      <c r="J962" t="n">
        <v>0</v>
      </c>
      <c r="K962" t="n">
        <v>0</v>
      </c>
      <c r="L962" t="n">
        <v>0</v>
      </c>
      <c r="M962" t="n">
        <v>0</v>
      </c>
      <c r="N962" t="n">
        <v>0</v>
      </c>
      <c r="O962" t="n">
        <v>0</v>
      </c>
      <c r="P962" t="n">
        <v>0</v>
      </c>
      <c r="Q962" t="n">
        <v>0</v>
      </c>
      <c r="R962" s="2" t="inlineStr"/>
    </row>
    <row r="963" ht="15" customHeight="1">
      <c r="A963" t="inlineStr">
        <is>
          <t>A 49700-2023</t>
        </is>
      </c>
      <c r="B963" s="1" t="n">
        <v>45212</v>
      </c>
      <c r="C963" s="1" t="n">
        <v>45995</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11901-2024</t>
        </is>
      </c>
      <c r="B964" s="1" t="n">
        <v>45376.55638888889</v>
      </c>
      <c r="C964" s="1" t="n">
        <v>45995</v>
      </c>
      <c r="D964" t="inlineStr">
        <is>
          <t>STOCKHOLMS LÄN</t>
        </is>
      </c>
      <c r="E964" t="inlineStr">
        <is>
          <t>NORRTÄLJE</t>
        </is>
      </c>
      <c r="F964" t="inlineStr">
        <is>
          <t>Holmen skog AB</t>
        </is>
      </c>
      <c r="G964" t="n">
        <v>3.5</v>
      </c>
      <c r="H964" t="n">
        <v>0</v>
      </c>
      <c r="I964" t="n">
        <v>0</v>
      </c>
      <c r="J964" t="n">
        <v>0</v>
      </c>
      <c r="K964" t="n">
        <v>0</v>
      </c>
      <c r="L964" t="n">
        <v>0</v>
      </c>
      <c r="M964" t="n">
        <v>0</v>
      </c>
      <c r="N964" t="n">
        <v>0</v>
      </c>
      <c r="O964" t="n">
        <v>0</v>
      </c>
      <c r="P964" t="n">
        <v>0</v>
      </c>
      <c r="Q964" t="n">
        <v>0</v>
      </c>
      <c r="R964" s="2" t="inlineStr"/>
    </row>
    <row r="965" ht="15" customHeight="1">
      <c r="A965" t="inlineStr">
        <is>
          <t>A 59875-2024</t>
        </is>
      </c>
      <c r="B965" s="1" t="n">
        <v>45640.58716435185</v>
      </c>
      <c r="C965" s="1" t="n">
        <v>45995</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45220-2024</t>
        </is>
      </c>
      <c r="B966" s="1" t="n">
        <v>45575</v>
      </c>
      <c r="C966" s="1" t="n">
        <v>45995</v>
      </c>
      <c r="D966" t="inlineStr">
        <is>
          <t>STOCKHOLMS LÄN</t>
        </is>
      </c>
      <c r="E966" t="inlineStr">
        <is>
          <t>NORRTÄLJE</t>
        </is>
      </c>
      <c r="G966" t="n">
        <v>4.3</v>
      </c>
      <c r="H966" t="n">
        <v>0</v>
      </c>
      <c r="I966" t="n">
        <v>0</v>
      </c>
      <c r="J966" t="n">
        <v>0</v>
      </c>
      <c r="K966" t="n">
        <v>0</v>
      </c>
      <c r="L966" t="n">
        <v>0</v>
      </c>
      <c r="M966" t="n">
        <v>0</v>
      </c>
      <c r="N966" t="n">
        <v>0</v>
      </c>
      <c r="O966" t="n">
        <v>0</v>
      </c>
      <c r="P966" t="n">
        <v>0</v>
      </c>
      <c r="Q966" t="n">
        <v>0</v>
      </c>
      <c r="R966" s="2" t="inlineStr"/>
    </row>
    <row r="967" ht="15" customHeight="1">
      <c r="A967" t="inlineStr">
        <is>
          <t>A 27802-2025</t>
        </is>
      </c>
      <c r="B967" s="1" t="n">
        <v>45817.2565625</v>
      </c>
      <c r="C967" s="1" t="n">
        <v>45995</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27806-2025</t>
        </is>
      </c>
      <c r="B968" s="1" t="n">
        <v>45817.30329861111</v>
      </c>
      <c r="C968" s="1" t="n">
        <v>45995</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27808-2025</t>
        </is>
      </c>
      <c r="B969" s="1" t="n">
        <v>45817.31085648148</v>
      </c>
      <c r="C969" s="1" t="n">
        <v>45995</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27810-2025</t>
        </is>
      </c>
      <c r="B970" s="1" t="n">
        <v>45817.31708333334</v>
      </c>
      <c r="C970" s="1" t="n">
        <v>45995</v>
      </c>
      <c r="D970" t="inlineStr">
        <is>
          <t>STOCKHOLMS LÄN</t>
        </is>
      </c>
      <c r="E970" t="inlineStr">
        <is>
          <t>NORRTÄLJE</t>
        </is>
      </c>
      <c r="G970" t="n">
        <v>3.9</v>
      </c>
      <c r="H970" t="n">
        <v>0</v>
      </c>
      <c r="I970" t="n">
        <v>0</v>
      </c>
      <c r="J970" t="n">
        <v>0</v>
      </c>
      <c r="K970" t="n">
        <v>0</v>
      </c>
      <c r="L970" t="n">
        <v>0</v>
      </c>
      <c r="M970" t="n">
        <v>0</v>
      </c>
      <c r="N970" t="n">
        <v>0</v>
      </c>
      <c r="O970" t="n">
        <v>0</v>
      </c>
      <c r="P970" t="n">
        <v>0</v>
      </c>
      <c r="Q970" t="n">
        <v>0</v>
      </c>
      <c r="R970" s="2" t="inlineStr"/>
    </row>
    <row r="971" ht="15" customHeight="1">
      <c r="A971" t="inlineStr">
        <is>
          <t>A 27811-2025</t>
        </is>
      </c>
      <c r="B971" s="1" t="n">
        <v>45817.31986111111</v>
      </c>
      <c r="C971" s="1" t="n">
        <v>45995</v>
      </c>
      <c r="D971" t="inlineStr">
        <is>
          <t>STOCKHOLMS LÄN</t>
        </is>
      </c>
      <c r="E971" t="inlineStr">
        <is>
          <t>NORRTÄLJE</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27818-2025</t>
        </is>
      </c>
      <c r="B972" s="1" t="n">
        <v>45817.33503472222</v>
      </c>
      <c r="C972" s="1" t="n">
        <v>45995</v>
      </c>
      <c r="D972" t="inlineStr">
        <is>
          <t>STOCKHOLMS LÄN</t>
        </is>
      </c>
      <c r="E972" t="inlineStr">
        <is>
          <t>NORRTÄLJE</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4658-2024</t>
        </is>
      </c>
      <c r="B973" s="1" t="n">
        <v>45328.46336805556</v>
      </c>
      <c r="C973" s="1" t="n">
        <v>45995</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48145-2024</t>
        </is>
      </c>
      <c r="B974" s="1" t="n">
        <v>45589.6756712963</v>
      </c>
      <c r="C974" s="1" t="n">
        <v>45995</v>
      </c>
      <c r="D974" t="inlineStr">
        <is>
          <t>STOCKHOLMS LÄN</t>
        </is>
      </c>
      <c r="E974" t="inlineStr">
        <is>
          <t>NORRTÄLJE</t>
        </is>
      </c>
      <c r="G974" t="n">
        <v>3.4</v>
      </c>
      <c r="H974" t="n">
        <v>0</v>
      </c>
      <c r="I974" t="n">
        <v>0</v>
      </c>
      <c r="J974" t="n">
        <v>0</v>
      </c>
      <c r="K974" t="n">
        <v>0</v>
      </c>
      <c r="L974" t="n">
        <v>0</v>
      </c>
      <c r="M974" t="n">
        <v>0</v>
      </c>
      <c r="N974" t="n">
        <v>0</v>
      </c>
      <c r="O974" t="n">
        <v>0</v>
      </c>
      <c r="P974" t="n">
        <v>0</v>
      </c>
      <c r="Q974" t="n">
        <v>0</v>
      </c>
      <c r="R974" s="2" t="inlineStr"/>
    </row>
    <row r="975" ht="15" customHeight="1">
      <c r="A975" t="inlineStr">
        <is>
          <t>A 15528-2025</t>
        </is>
      </c>
      <c r="B975" s="1" t="n">
        <v>45747.63471064815</v>
      </c>
      <c r="C975" s="1" t="n">
        <v>45995</v>
      </c>
      <c r="D975" t="inlineStr">
        <is>
          <t>STOCKHOLMS LÄN</t>
        </is>
      </c>
      <c r="E975" t="inlineStr">
        <is>
          <t>NORRTÄLJE</t>
        </is>
      </c>
      <c r="G975" t="n">
        <v>10</v>
      </c>
      <c r="H975" t="n">
        <v>0</v>
      </c>
      <c r="I975" t="n">
        <v>0</v>
      </c>
      <c r="J975" t="n">
        <v>0</v>
      </c>
      <c r="K975" t="n">
        <v>0</v>
      </c>
      <c r="L975" t="n">
        <v>0</v>
      </c>
      <c r="M975" t="n">
        <v>0</v>
      </c>
      <c r="N975" t="n">
        <v>0</v>
      </c>
      <c r="O975" t="n">
        <v>0</v>
      </c>
      <c r="P975" t="n">
        <v>0</v>
      </c>
      <c r="Q975" t="n">
        <v>0</v>
      </c>
      <c r="R975" s="2" t="inlineStr"/>
    </row>
    <row r="976" ht="15" customHeight="1">
      <c r="A976" t="inlineStr">
        <is>
          <t>A 27803-2025</t>
        </is>
      </c>
      <c r="B976" s="1" t="n">
        <v>45817.291875</v>
      </c>
      <c r="C976" s="1" t="n">
        <v>45995</v>
      </c>
      <c r="D976" t="inlineStr">
        <is>
          <t>STOCKHOLMS LÄN</t>
        </is>
      </c>
      <c r="E976" t="inlineStr">
        <is>
          <t>NORRTÄLJE</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27813-2025</t>
        </is>
      </c>
      <c r="B977" s="1" t="n">
        <v>45817.32538194444</v>
      </c>
      <c r="C977" s="1" t="n">
        <v>45995</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10642-2025</t>
        </is>
      </c>
      <c r="B978" s="1" t="n">
        <v>45721.65858796296</v>
      </c>
      <c r="C978" s="1" t="n">
        <v>45995</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27801-2025</t>
        </is>
      </c>
      <c r="B979" s="1" t="n">
        <v>45817.25471064815</v>
      </c>
      <c r="C979" s="1" t="n">
        <v>45995</v>
      </c>
      <c r="D979" t="inlineStr">
        <is>
          <t>STOCKHOLMS LÄN</t>
        </is>
      </c>
      <c r="E979" t="inlineStr">
        <is>
          <t>NORRTÄLJE</t>
        </is>
      </c>
      <c r="G979" t="n">
        <v>2</v>
      </c>
      <c r="H979" t="n">
        <v>0</v>
      </c>
      <c r="I979" t="n">
        <v>0</v>
      </c>
      <c r="J979" t="n">
        <v>0</v>
      </c>
      <c r="K979" t="n">
        <v>0</v>
      </c>
      <c r="L979" t="n">
        <v>0</v>
      </c>
      <c r="M979" t="n">
        <v>0</v>
      </c>
      <c r="N979" t="n">
        <v>0</v>
      </c>
      <c r="O979" t="n">
        <v>0</v>
      </c>
      <c r="P979" t="n">
        <v>0</v>
      </c>
      <c r="Q979" t="n">
        <v>0</v>
      </c>
      <c r="R979" s="2" t="inlineStr"/>
    </row>
    <row r="980" ht="15" customHeight="1">
      <c r="A980" t="inlineStr">
        <is>
          <t>A 24024-2024</t>
        </is>
      </c>
      <c r="B980" s="1" t="n">
        <v>45456</v>
      </c>
      <c r="C980" s="1" t="n">
        <v>45995</v>
      </c>
      <c r="D980" t="inlineStr">
        <is>
          <t>STOCKHOLMS LÄN</t>
        </is>
      </c>
      <c r="E980" t="inlineStr">
        <is>
          <t>NORRTÄLJE</t>
        </is>
      </c>
      <c r="G980" t="n">
        <v>1.9</v>
      </c>
      <c r="H980" t="n">
        <v>0</v>
      </c>
      <c r="I980" t="n">
        <v>0</v>
      </c>
      <c r="J980" t="n">
        <v>0</v>
      </c>
      <c r="K980" t="n">
        <v>0</v>
      </c>
      <c r="L980" t="n">
        <v>0</v>
      </c>
      <c r="M980" t="n">
        <v>0</v>
      </c>
      <c r="N980" t="n">
        <v>0</v>
      </c>
      <c r="O980" t="n">
        <v>0</v>
      </c>
      <c r="P980" t="n">
        <v>0</v>
      </c>
      <c r="Q980" t="n">
        <v>0</v>
      </c>
      <c r="R980" s="2" t="inlineStr"/>
    </row>
    <row r="981" ht="15" customHeight="1">
      <c r="A981" t="inlineStr">
        <is>
          <t>A 27821-2025</t>
        </is>
      </c>
      <c r="B981" s="1" t="n">
        <v>45817.34083333334</v>
      </c>
      <c r="C981" s="1" t="n">
        <v>45995</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35532-2024</t>
        </is>
      </c>
      <c r="B982" s="1" t="n">
        <v>45531</v>
      </c>
      <c r="C982" s="1" t="n">
        <v>45995</v>
      </c>
      <c r="D982" t="inlineStr">
        <is>
          <t>STOCKHOLMS LÄN</t>
        </is>
      </c>
      <c r="E982" t="inlineStr">
        <is>
          <t>NORRTÄLJE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21291-2021</t>
        </is>
      </c>
      <c r="B983" s="1" t="n">
        <v>44319</v>
      </c>
      <c r="C983" s="1" t="n">
        <v>45995</v>
      </c>
      <c r="D983" t="inlineStr">
        <is>
          <t>STOCKHOLMS LÄN</t>
        </is>
      </c>
      <c r="E983" t="inlineStr">
        <is>
          <t>NORRTÄLJE</t>
        </is>
      </c>
      <c r="G983" t="n">
        <v>12.7</v>
      </c>
      <c r="H983" t="n">
        <v>0</v>
      </c>
      <c r="I983" t="n">
        <v>0</v>
      </c>
      <c r="J983" t="n">
        <v>0</v>
      </c>
      <c r="K983" t="n">
        <v>0</v>
      </c>
      <c r="L983" t="n">
        <v>0</v>
      </c>
      <c r="M983" t="n">
        <v>0</v>
      </c>
      <c r="N983" t="n">
        <v>0</v>
      </c>
      <c r="O983" t="n">
        <v>0</v>
      </c>
      <c r="P983" t="n">
        <v>0</v>
      </c>
      <c r="Q983" t="n">
        <v>0</v>
      </c>
      <c r="R983" s="2" t="inlineStr"/>
    </row>
    <row r="984" ht="15" customHeight="1">
      <c r="A984" t="inlineStr">
        <is>
          <t>A 19118-2022</t>
        </is>
      </c>
      <c r="B984" s="1" t="n">
        <v>44691.5652662037</v>
      </c>
      <c r="C984" s="1" t="n">
        <v>45995</v>
      </c>
      <c r="D984" t="inlineStr">
        <is>
          <t>STOCKHOLMS LÄN</t>
        </is>
      </c>
      <c r="E984" t="inlineStr">
        <is>
          <t>NORRTÄLJE</t>
        </is>
      </c>
      <c r="G984" t="n">
        <v>0.5</v>
      </c>
      <c r="H984" t="n">
        <v>0</v>
      </c>
      <c r="I984" t="n">
        <v>0</v>
      </c>
      <c r="J984" t="n">
        <v>0</v>
      </c>
      <c r="K984" t="n">
        <v>0</v>
      </c>
      <c r="L984" t="n">
        <v>0</v>
      </c>
      <c r="M984" t="n">
        <v>0</v>
      </c>
      <c r="N984" t="n">
        <v>0</v>
      </c>
      <c r="O984" t="n">
        <v>0</v>
      </c>
      <c r="P984" t="n">
        <v>0</v>
      </c>
      <c r="Q984" t="n">
        <v>0</v>
      </c>
      <c r="R984" s="2" t="inlineStr"/>
    </row>
    <row r="985" ht="15" customHeight="1">
      <c r="A985" t="inlineStr">
        <is>
          <t>A 44075-2023</t>
        </is>
      </c>
      <c r="B985" s="1" t="n">
        <v>45188.41637731482</v>
      </c>
      <c r="C985" s="1" t="n">
        <v>45995</v>
      </c>
      <c r="D985" t="inlineStr">
        <is>
          <t>STOCKHOLMS LÄN</t>
        </is>
      </c>
      <c r="E985" t="inlineStr">
        <is>
          <t>NORRTÄLJE</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22421-2021</t>
        </is>
      </c>
      <c r="B986" s="1" t="n">
        <v>44326</v>
      </c>
      <c r="C986" s="1" t="n">
        <v>45995</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59893-2022</t>
        </is>
      </c>
      <c r="B987" s="1" t="n">
        <v>44908.77368055555</v>
      </c>
      <c r="C987" s="1" t="n">
        <v>45995</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9469-2021</t>
        </is>
      </c>
      <c r="B988" s="1" t="n">
        <v>44251</v>
      </c>
      <c r="C988" s="1" t="n">
        <v>45995</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29250-2025</t>
        </is>
      </c>
      <c r="B989" s="1" t="n">
        <v>45824.37275462963</v>
      </c>
      <c r="C989" s="1" t="n">
        <v>45995</v>
      </c>
      <c r="D989" t="inlineStr">
        <is>
          <t>STOCKHOLMS LÄN</t>
        </is>
      </c>
      <c r="E989" t="inlineStr">
        <is>
          <t>NORRTÄLJE</t>
        </is>
      </c>
      <c r="F989" t="inlineStr">
        <is>
          <t>Sveaskog</t>
        </is>
      </c>
      <c r="G989" t="n">
        <v>6.4</v>
      </c>
      <c r="H989" t="n">
        <v>0</v>
      </c>
      <c r="I989" t="n">
        <v>0</v>
      </c>
      <c r="J989" t="n">
        <v>0</v>
      </c>
      <c r="K989" t="n">
        <v>0</v>
      </c>
      <c r="L989" t="n">
        <v>0</v>
      </c>
      <c r="M989" t="n">
        <v>0</v>
      </c>
      <c r="N989" t="n">
        <v>0</v>
      </c>
      <c r="O989" t="n">
        <v>0</v>
      </c>
      <c r="P989" t="n">
        <v>0</v>
      </c>
      <c r="Q989" t="n">
        <v>0</v>
      </c>
      <c r="R989" s="2" t="inlineStr"/>
    </row>
    <row r="990" ht="15" customHeight="1">
      <c r="A990" t="inlineStr">
        <is>
          <t>A 33226-2024</t>
        </is>
      </c>
      <c r="B990" s="1" t="n">
        <v>45518</v>
      </c>
      <c r="C990" s="1" t="n">
        <v>45995</v>
      </c>
      <c r="D990" t="inlineStr">
        <is>
          <t>STOCKHOLMS LÄN</t>
        </is>
      </c>
      <c r="E990" t="inlineStr">
        <is>
          <t>NORRTÄLJE</t>
        </is>
      </c>
      <c r="G990" t="n">
        <v>13.8</v>
      </c>
      <c r="H990" t="n">
        <v>0</v>
      </c>
      <c r="I990" t="n">
        <v>0</v>
      </c>
      <c r="J990" t="n">
        <v>0</v>
      </c>
      <c r="K990" t="n">
        <v>0</v>
      </c>
      <c r="L990" t="n">
        <v>0</v>
      </c>
      <c r="M990" t="n">
        <v>0</v>
      </c>
      <c r="N990" t="n">
        <v>0</v>
      </c>
      <c r="O990" t="n">
        <v>0</v>
      </c>
      <c r="P990" t="n">
        <v>0</v>
      </c>
      <c r="Q990" t="n">
        <v>0</v>
      </c>
      <c r="R990" s="2" t="inlineStr"/>
    </row>
    <row r="991" ht="15" customHeight="1">
      <c r="A991" t="inlineStr">
        <is>
          <t>A 16980-2023</t>
        </is>
      </c>
      <c r="B991" s="1" t="n">
        <v>45033</v>
      </c>
      <c r="C991" s="1" t="n">
        <v>45995</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31107-2022</t>
        </is>
      </c>
      <c r="B992" s="1" t="n">
        <v>44769.66864583334</v>
      </c>
      <c r="C992" s="1" t="n">
        <v>45995</v>
      </c>
      <c r="D992" t="inlineStr">
        <is>
          <t>STOCKHOLMS LÄN</t>
        </is>
      </c>
      <c r="E992" t="inlineStr">
        <is>
          <t>NORRTÄLJE</t>
        </is>
      </c>
      <c r="G992" t="n">
        <v>3.8</v>
      </c>
      <c r="H992" t="n">
        <v>0</v>
      </c>
      <c r="I992" t="n">
        <v>0</v>
      </c>
      <c r="J992" t="n">
        <v>0</v>
      </c>
      <c r="K992" t="n">
        <v>0</v>
      </c>
      <c r="L992" t="n">
        <v>0</v>
      </c>
      <c r="M992" t="n">
        <v>0</v>
      </c>
      <c r="N992" t="n">
        <v>0</v>
      </c>
      <c r="O992" t="n">
        <v>0</v>
      </c>
      <c r="P992" t="n">
        <v>0</v>
      </c>
      <c r="Q992" t="n">
        <v>0</v>
      </c>
      <c r="R992" s="2" t="inlineStr"/>
    </row>
    <row r="993" ht="15" customHeight="1">
      <c r="A993" t="inlineStr">
        <is>
          <t>A 18539-2021</t>
        </is>
      </c>
      <c r="B993" s="1" t="n">
        <v>44306</v>
      </c>
      <c r="C993" s="1" t="n">
        <v>45995</v>
      </c>
      <c r="D993" t="inlineStr">
        <is>
          <t>STOCKHOLMS LÄN</t>
        </is>
      </c>
      <c r="E993" t="inlineStr">
        <is>
          <t>NORRTÄLJE</t>
        </is>
      </c>
      <c r="F993" t="inlineStr">
        <is>
          <t>Holmen skog AB</t>
        </is>
      </c>
      <c r="G993" t="n">
        <v>5.5</v>
      </c>
      <c r="H993" t="n">
        <v>0</v>
      </c>
      <c r="I993" t="n">
        <v>0</v>
      </c>
      <c r="J993" t="n">
        <v>0</v>
      </c>
      <c r="K993" t="n">
        <v>0</v>
      </c>
      <c r="L993" t="n">
        <v>0</v>
      </c>
      <c r="M993" t="n">
        <v>0</v>
      </c>
      <c r="N993" t="n">
        <v>0</v>
      </c>
      <c r="O993" t="n">
        <v>0</v>
      </c>
      <c r="P993" t="n">
        <v>0</v>
      </c>
      <c r="Q993" t="n">
        <v>0</v>
      </c>
      <c r="R993" s="2" t="inlineStr"/>
    </row>
    <row r="994" ht="15" customHeight="1">
      <c r="A994" t="inlineStr">
        <is>
          <t>A 43170-2023</t>
        </is>
      </c>
      <c r="B994" s="1" t="n">
        <v>45183</v>
      </c>
      <c r="C994" s="1" t="n">
        <v>45995</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47626-2022</t>
        </is>
      </c>
      <c r="B995" s="1" t="n">
        <v>44854</v>
      </c>
      <c r="C995" s="1" t="n">
        <v>45995</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32101-2022</t>
        </is>
      </c>
      <c r="B996" s="1" t="n">
        <v>44778.69210648148</v>
      </c>
      <c r="C996" s="1" t="n">
        <v>45995</v>
      </c>
      <c r="D996" t="inlineStr">
        <is>
          <t>STOCKHOLMS LÄN</t>
        </is>
      </c>
      <c r="E996" t="inlineStr">
        <is>
          <t>NORRTÄLJE</t>
        </is>
      </c>
      <c r="G996" t="n">
        <v>4.4</v>
      </c>
      <c r="H996" t="n">
        <v>0</v>
      </c>
      <c r="I996" t="n">
        <v>0</v>
      </c>
      <c r="J996" t="n">
        <v>0</v>
      </c>
      <c r="K996" t="n">
        <v>0</v>
      </c>
      <c r="L996" t="n">
        <v>0</v>
      </c>
      <c r="M996" t="n">
        <v>0</v>
      </c>
      <c r="N996" t="n">
        <v>0</v>
      </c>
      <c r="O996" t="n">
        <v>0</v>
      </c>
      <c r="P996" t="n">
        <v>0</v>
      </c>
      <c r="Q996" t="n">
        <v>0</v>
      </c>
      <c r="R996" s="2" t="inlineStr"/>
    </row>
    <row r="997" ht="15" customHeight="1">
      <c r="A997" t="inlineStr">
        <is>
          <t>A 28365-2022</t>
        </is>
      </c>
      <c r="B997" s="1" t="n">
        <v>44747</v>
      </c>
      <c r="C997" s="1" t="n">
        <v>45995</v>
      </c>
      <c r="D997" t="inlineStr">
        <is>
          <t>STOCKHOLMS LÄN</t>
        </is>
      </c>
      <c r="E997" t="inlineStr">
        <is>
          <t>NORRTÄLJE</t>
        </is>
      </c>
      <c r="G997" t="n">
        <v>5.1</v>
      </c>
      <c r="H997" t="n">
        <v>0</v>
      </c>
      <c r="I997" t="n">
        <v>0</v>
      </c>
      <c r="J997" t="n">
        <v>0</v>
      </c>
      <c r="K997" t="n">
        <v>0</v>
      </c>
      <c r="L997" t="n">
        <v>0</v>
      </c>
      <c r="M997" t="n">
        <v>0</v>
      </c>
      <c r="N997" t="n">
        <v>0</v>
      </c>
      <c r="O997" t="n">
        <v>0</v>
      </c>
      <c r="P997" t="n">
        <v>0</v>
      </c>
      <c r="Q997" t="n">
        <v>0</v>
      </c>
      <c r="R997" s="2" t="inlineStr"/>
    </row>
    <row r="998" ht="15" customHeight="1">
      <c r="A998" t="inlineStr">
        <is>
          <t>A 42867-2022</t>
        </is>
      </c>
      <c r="B998" s="1" t="n">
        <v>44832</v>
      </c>
      <c r="C998" s="1" t="n">
        <v>45995</v>
      </c>
      <c r="D998" t="inlineStr">
        <is>
          <t>STOCKHOLMS LÄN</t>
        </is>
      </c>
      <c r="E998" t="inlineStr">
        <is>
          <t>NORRTÄLJE</t>
        </is>
      </c>
      <c r="G998" t="n">
        <v>6.4</v>
      </c>
      <c r="H998" t="n">
        <v>0</v>
      </c>
      <c r="I998" t="n">
        <v>0</v>
      </c>
      <c r="J998" t="n">
        <v>0</v>
      </c>
      <c r="K998" t="n">
        <v>0</v>
      </c>
      <c r="L998" t="n">
        <v>0</v>
      </c>
      <c r="M998" t="n">
        <v>0</v>
      </c>
      <c r="N998" t="n">
        <v>0</v>
      </c>
      <c r="O998" t="n">
        <v>0</v>
      </c>
      <c r="P998" t="n">
        <v>0</v>
      </c>
      <c r="Q998" t="n">
        <v>0</v>
      </c>
      <c r="R998" s="2" t="inlineStr"/>
    </row>
    <row r="999" ht="15" customHeight="1">
      <c r="A999" t="inlineStr">
        <is>
          <t>A 5645-2023</t>
        </is>
      </c>
      <c r="B999" s="1" t="n">
        <v>44960.60469907407</v>
      </c>
      <c r="C999" s="1" t="n">
        <v>45995</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30668-2025</t>
        </is>
      </c>
      <c r="B1000" s="1" t="n">
        <v>45831.51659722222</v>
      </c>
      <c r="C1000" s="1" t="n">
        <v>45995</v>
      </c>
      <c r="D1000" t="inlineStr">
        <is>
          <t>STOCKHOLMS LÄN</t>
        </is>
      </c>
      <c r="E1000" t="inlineStr">
        <is>
          <t>NORRTÄLJE</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17775-2022</t>
        </is>
      </c>
      <c r="B1001" s="1" t="n">
        <v>44682.78430555556</v>
      </c>
      <c r="C1001" s="1" t="n">
        <v>45995</v>
      </c>
      <c r="D1001" t="inlineStr">
        <is>
          <t>STOCKHOLMS LÄN</t>
        </is>
      </c>
      <c r="E1001" t="inlineStr">
        <is>
          <t>NORRTÄLJE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9703-2021</t>
        </is>
      </c>
      <c r="B1002" s="1" t="n">
        <v>44252</v>
      </c>
      <c r="C1002" s="1" t="n">
        <v>45995</v>
      </c>
      <c r="D1002" t="inlineStr">
        <is>
          <t>STOCKHOLMS LÄN</t>
        </is>
      </c>
      <c r="E1002" t="inlineStr">
        <is>
          <t>NORRTÄLJE</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47481-2024</t>
        </is>
      </c>
      <c r="B1003" s="1" t="n">
        <v>45587</v>
      </c>
      <c r="C1003" s="1" t="n">
        <v>45995</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24933-2023</t>
        </is>
      </c>
      <c r="B1004" s="1" t="n">
        <v>45085.5309375</v>
      </c>
      <c r="C1004" s="1" t="n">
        <v>45995</v>
      </c>
      <c r="D1004" t="inlineStr">
        <is>
          <t>STOCKHOLMS LÄN</t>
        </is>
      </c>
      <c r="E1004" t="inlineStr">
        <is>
          <t>NORRTÄLJE</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30639-2025</t>
        </is>
      </c>
      <c r="B1005" s="1" t="n">
        <v>45831.4844212963</v>
      </c>
      <c r="C1005" s="1" t="n">
        <v>45995</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31170-2025</t>
        </is>
      </c>
      <c r="B1006" s="1" t="n">
        <v>45832.66385416667</v>
      </c>
      <c r="C1006" s="1" t="n">
        <v>45995</v>
      </c>
      <c r="D1006" t="inlineStr">
        <is>
          <t>STOCKHOLMS LÄN</t>
        </is>
      </c>
      <c r="E1006" t="inlineStr">
        <is>
          <t>NORRTÄLJE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11062-2024</t>
        </is>
      </c>
      <c r="B1007" s="1" t="n">
        <v>45370</v>
      </c>
      <c r="C1007" s="1" t="n">
        <v>45995</v>
      </c>
      <c r="D1007" t="inlineStr">
        <is>
          <t>STOCKHOLMS LÄN</t>
        </is>
      </c>
      <c r="E1007" t="inlineStr">
        <is>
          <t>NORRTÄLJE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45995</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12908-2025</t>
        </is>
      </c>
      <c r="B1009" s="1" t="n">
        <v>45733.82105324074</v>
      </c>
      <c r="C1009" s="1" t="n">
        <v>45995</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68361-2021</t>
        </is>
      </c>
      <c r="B1010" s="1" t="n">
        <v>44528.91494212963</v>
      </c>
      <c r="C1010" s="1" t="n">
        <v>45995</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50469-2022</t>
        </is>
      </c>
      <c r="B1011" s="1" t="n">
        <v>44866.49827546296</v>
      </c>
      <c r="C1011" s="1" t="n">
        <v>45995</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31874-2025</t>
        </is>
      </c>
      <c r="B1012" s="1" t="n">
        <v>45834</v>
      </c>
      <c r="C1012" s="1" t="n">
        <v>45995</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31868-2025</t>
        </is>
      </c>
      <c r="B1013" s="1" t="n">
        <v>45834.6447337963</v>
      </c>
      <c r="C1013" s="1" t="n">
        <v>45995</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41976-2024</t>
        </is>
      </c>
      <c r="B1014" s="1" t="n">
        <v>45561.62141203704</v>
      </c>
      <c r="C1014" s="1" t="n">
        <v>45995</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6413-2025</t>
        </is>
      </c>
      <c r="B1015" s="1" t="n">
        <v>45699.46283564815</v>
      </c>
      <c r="C1015" s="1" t="n">
        <v>45995</v>
      </c>
      <c r="D1015" t="inlineStr">
        <is>
          <t>STOCKHOLMS LÄN</t>
        </is>
      </c>
      <c r="E1015" t="inlineStr">
        <is>
          <t>NORRTÄLJE</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31880-2025</t>
        </is>
      </c>
      <c r="B1016" s="1" t="n">
        <v>45834.65538194445</v>
      </c>
      <c r="C1016" s="1" t="n">
        <v>45995</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45995</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30886-2022</t>
        </is>
      </c>
      <c r="B1018" s="1" t="n">
        <v>44767.60601851852</v>
      </c>
      <c r="C1018" s="1" t="n">
        <v>45995</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58989-2021</t>
        </is>
      </c>
      <c r="B1019" s="1" t="n">
        <v>44490.02482638889</v>
      </c>
      <c r="C1019" s="1" t="n">
        <v>45995</v>
      </c>
      <c r="D1019" t="inlineStr">
        <is>
          <t>STOCKHOLMS LÄN</t>
        </is>
      </c>
      <c r="E1019" t="inlineStr">
        <is>
          <t>NORRTÄLJE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58990-2021</t>
        </is>
      </c>
      <c r="B1020" s="1" t="n">
        <v>44490.03621527777</v>
      </c>
      <c r="C1020" s="1" t="n">
        <v>45995</v>
      </c>
      <c r="D1020" t="inlineStr">
        <is>
          <t>STOCKHOLMS LÄN</t>
        </is>
      </c>
      <c r="E1020" t="inlineStr">
        <is>
          <t>NORRTÄLJE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11940-2023</t>
        </is>
      </c>
      <c r="B1021" s="1" t="n">
        <v>44995</v>
      </c>
      <c r="C1021" s="1" t="n">
        <v>45995</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32283-2025</t>
        </is>
      </c>
      <c r="B1022" s="1" t="n">
        <v>45835.68076388889</v>
      </c>
      <c r="C1022" s="1" t="n">
        <v>45995</v>
      </c>
      <c r="D1022" t="inlineStr">
        <is>
          <t>STOCKHOLMS LÄN</t>
        </is>
      </c>
      <c r="E1022" t="inlineStr">
        <is>
          <t>NORRTÄLJE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29266-2022</t>
        </is>
      </c>
      <c r="B1023" s="1" t="n">
        <v>44750.66068287037</v>
      </c>
      <c r="C1023" s="1" t="n">
        <v>45995</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29278-2022</t>
        </is>
      </c>
      <c r="B1024" s="1" t="n">
        <v>44750</v>
      </c>
      <c r="C1024" s="1" t="n">
        <v>45995</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32122-2025</t>
        </is>
      </c>
      <c r="B1025" s="1" t="n">
        <v>45835.4928125</v>
      </c>
      <c r="C1025" s="1" t="n">
        <v>45995</v>
      </c>
      <c r="D1025" t="inlineStr">
        <is>
          <t>STOCKHOLMS LÄN</t>
        </is>
      </c>
      <c r="E1025" t="inlineStr">
        <is>
          <t>NORRTÄLJE</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6401-2024</t>
        </is>
      </c>
      <c r="B1026" s="1" t="n">
        <v>45338</v>
      </c>
      <c r="C1026" s="1" t="n">
        <v>45995</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24501-2023</t>
        </is>
      </c>
      <c r="B1027" s="1" t="n">
        <v>45082</v>
      </c>
      <c r="C1027" s="1" t="n">
        <v>45995</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24520-2023</t>
        </is>
      </c>
      <c r="B1028" s="1" t="n">
        <v>45082.68922453704</v>
      </c>
      <c r="C1028" s="1" t="n">
        <v>45995</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31281-2022</t>
        </is>
      </c>
      <c r="B1029" s="1" t="n">
        <v>44771</v>
      </c>
      <c r="C1029" s="1" t="n">
        <v>45995</v>
      </c>
      <c r="D1029" t="inlineStr">
        <is>
          <t>STOCKHOLMS LÄN</t>
        </is>
      </c>
      <c r="E1029" t="inlineStr">
        <is>
          <t>NORRTÄLJE</t>
        </is>
      </c>
      <c r="F1029" t="inlineStr">
        <is>
          <t>Holmen skog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32094-2025</t>
        </is>
      </c>
      <c r="B1030" s="1" t="n">
        <v>45835.46034722222</v>
      </c>
      <c r="C1030" s="1" t="n">
        <v>45995</v>
      </c>
      <c r="D1030" t="inlineStr">
        <is>
          <t>STOCKHOLMS LÄN</t>
        </is>
      </c>
      <c r="E1030" t="inlineStr">
        <is>
          <t>NORRTÄLJE</t>
        </is>
      </c>
      <c r="F1030" t="inlineStr">
        <is>
          <t>Holmen skog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32016-2025</t>
        </is>
      </c>
      <c r="B1031" s="1" t="n">
        <v>45835</v>
      </c>
      <c r="C1031" s="1" t="n">
        <v>45995</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32396-2025</t>
        </is>
      </c>
      <c r="B1032" s="1" t="n">
        <v>45837</v>
      </c>
      <c r="C1032" s="1" t="n">
        <v>45995</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32397-2025</t>
        </is>
      </c>
      <c r="B1033" s="1" t="n">
        <v>45837.94081018519</v>
      </c>
      <c r="C1033" s="1" t="n">
        <v>45995</v>
      </c>
      <c r="D1033" t="inlineStr">
        <is>
          <t>STOCKHOLMS LÄN</t>
        </is>
      </c>
      <c r="E1033" t="inlineStr">
        <is>
          <t>NORRTÄLJE</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32480-2025</t>
        </is>
      </c>
      <c r="B1034" s="1" t="n">
        <v>45838.43261574074</v>
      </c>
      <c r="C1034" s="1" t="n">
        <v>45995</v>
      </c>
      <c r="D1034" t="inlineStr">
        <is>
          <t>STOCKHOLMS LÄN</t>
        </is>
      </c>
      <c r="E1034" t="inlineStr">
        <is>
          <t>NORRTÄLJE</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38612-2022</t>
        </is>
      </c>
      <c r="B1035" s="1" t="n">
        <v>44813</v>
      </c>
      <c r="C1035" s="1" t="n">
        <v>45995</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33040-2021</t>
        </is>
      </c>
      <c r="B1036" s="1" t="n">
        <v>44376.50728009259</v>
      </c>
      <c r="C1036" s="1" t="n">
        <v>45995</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26117-2024</t>
        </is>
      </c>
      <c r="B1037" s="1" t="n">
        <v>45468.45877314815</v>
      </c>
      <c r="C1037" s="1" t="n">
        <v>45995</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32395-2025</t>
        </is>
      </c>
      <c r="B1038" s="1" t="n">
        <v>45837.93730324074</v>
      </c>
      <c r="C1038" s="1" t="n">
        <v>45995</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61113-2023</t>
        </is>
      </c>
      <c r="B1039" s="1" t="n">
        <v>45261</v>
      </c>
      <c r="C1039" s="1" t="n">
        <v>45995</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33211-2025</t>
        </is>
      </c>
      <c r="B1040" s="1" t="n">
        <v>45840.62755787037</v>
      </c>
      <c r="C1040" s="1" t="n">
        <v>45995</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60822-2023</t>
        </is>
      </c>
      <c r="B1041" s="1" t="n">
        <v>45259</v>
      </c>
      <c r="C1041" s="1" t="n">
        <v>45995</v>
      </c>
      <c r="D1041" t="inlineStr">
        <is>
          <t>STOCKHOLMS LÄN</t>
        </is>
      </c>
      <c r="E1041" t="inlineStr">
        <is>
          <t>NORRTÄLJE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32903-2025</t>
        </is>
      </c>
      <c r="B1042" s="1" t="n">
        <v>45839.62398148148</v>
      </c>
      <c r="C1042" s="1" t="n">
        <v>45995</v>
      </c>
      <c r="D1042" t="inlineStr">
        <is>
          <t>STOCKHOLMS LÄN</t>
        </is>
      </c>
      <c r="E1042" t="inlineStr">
        <is>
          <t>NORRTÄLJE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59310-2023</t>
        </is>
      </c>
      <c r="B1043" s="1" t="n">
        <v>45253.61146990741</v>
      </c>
      <c r="C1043" s="1" t="n">
        <v>45995</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20343-2024</t>
        </is>
      </c>
      <c r="B1044" s="1" t="n">
        <v>45435.43466435185</v>
      </c>
      <c r="C1044" s="1" t="n">
        <v>45995</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20345-2024</t>
        </is>
      </c>
      <c r="B1045" s="1" t="n">
        <v>45435.43820601852</v>
      </c>
      <c r="C1045" s="1" t="n">
        <v>45995</v>
      </c>
      <c r="D1045" t="inlineStr">
        <is>
          <t>STOCKHOLMS LÄN</t>
        </is>
      </c>
      <c r="E1045" t="inlineStr">
        <is>
          <t>NORRTÄLJE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55010-2024</t>
        </is>
      </c>
      <c r="B1046" s="1" t="n">
        <v>45621.34425925926</v>
      </c>
      <c r="C1046" s="1" t="n">
        <v>45995</v>
      </c>
      <c r="D1046" t="inlineStr">
        <is>
          <t>STOCKHOLMS LÄN</t>
        </is>
      </c>
      <c r="E1046" t="inlineStr">
        <is>
          <t>NORRTÄLJE</t>
        </is>
      </c>
      <c r="F1046" t="inlineStr">
        <is>
          <t>Sveaskog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55018-2024</t>
        </is>
      </c>
      <c r="B1047" s="1" t="n">
        <v>45621.35712962963</v>
      </c>
      <c r="C1047" s="1" t="n">
        <v>45995</v>
      </c>
      <c r="D1047" t="inlineStr">
        <is>
          <t>STOCKHOLMS LÄN</t>
        </is>
      </c>
      <c r="E1047" t="inlineStr">
        <is>
          <t>NORRTÄLJE</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33265-2025</t>
        </is>
      </c>
      <c r="B1048" s="1" t="n">
        <v>45840.67829861111</v>
      </c>
      <c r="C1048" s="1" t="n">
        <v>45995</v>
      </c>
      <c r="D1048" t="inlineStr">
        <is>
          <t>STOCKHOLMS LÄN</t>
        </is>
      </c>
      <c r="E1048" t="inlineStr">
        <is>
          <t>NORRTÄLJE</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32872-2025</t>
        </is>
      </c>
      <c r="B1049" s="1" t="n">
        <v>45839</v>
      </c>
      <c r="C1049" s="1" t="n">
        <v>45995</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50113-2024</t>
        </is>
      </c>
      <c r="B1050" s="1" t="n">
        <v>45600.411875</v>
      </c>
      <c r="C1050" s="1" t="n">
        <v>45995</v>
      </c>
      <c r="D1050" t="inlineStr">
        <is>
          <t>STOCKHOLMS LÄN</t>
        </is>
      </c>
      <c r="E1050" t="inlineStr">
        <is>
          <t>NORRTÄLJE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20336-2024</t>
        </is>
      </c>
      <c r="B1051" s="1" t="n">
        <v>45435.43123842592</v>
      </c>
      <c r="C1051" s="1" t="n">
        <v>45995</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33702-2025</t>
        </is>
      </c>
      <c r="B1052" s="1" t="n">
        <v>45841.74596064815</v>
      </c>
      <c r="C1052" s="1" t="n">
        <v>45995</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33336-2025</t>
        </is>
      </c>
      <c r="B1053" s="1" t="n">
        <v>45841.35611111111</v>
      </c>
      <c r="C1053" s="1" t="n">
        <v>45995</v>
      </c>
      <c r="D1053" t="inlineStr">
        <is>
          <t>STOCKHOLMS LÄN</t>
        </is>
      </c>
      <c r="E1053" t="inlineStr">
        <is>
          <t>NORRTÄLJE</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64899-2023</t>
        </is>
      </c>
      <c r="B1054" s="1" t="n">
        <v>45282</v>
      </c>
      <c r="C1054" s="1" t="n">
        <v>45995</v>
      </c>
      <c r="D1054" t="inlineStr">
        <is>
          <t>STOCKHOLMS LÄN</t>
        </is>
      </c>
      <c r="E1054" t="inlineStr">
        <is>
          <t>NORRTÄLJE</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1847-2023</t>
        </is>
      </c>
      <c r="B1055" s="1" t="n">
        <v>44938</v>
      </c>
      <c r="C1055" s="1" t="n">
        <v>45995</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11122-2021</t>
        </is>
      </c>
      <c r="B1056" s="1" t="n">
        <v>44260</v>
      </c>
      <c r="C1056" s="1" t="n">
        <v>45995</v>
      </c>
      <c r="D1056" t="inlineStr">
        <is>
          <t>STOCKHOLMS LÄN</t>
        </is>
      </c>
      <c r="E1056" t="inlineStr">
        <is>
          <t>NORRTÄLJE</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29362-2022</t>
        </is>
      </c>
      <c r="B1057" s="1" t="n">
        <v>44753</v>
      </c>
      <c r="C1057" s="1" t="n">
        <v>45995</v>
      </c>
      <c r="D1057" t="inlineStr">
        <is>
          <t>STOCKHOLMS LÄN</t>
        </is>
      </c>
      <c r="E1057" t="inlineStr">
        <is>
          <t>NORRTÄLJE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33552-2025</t>
        </is>
      </c>
      <c r="B1058" s="1" t="n">
        <v>45841.5737962963</v>
      </c>
      <c r="C1058" s="1" t="n">
        <v>45995</v>
      </c>
      <c r="D1058" t="inlineStr">
        <is>
          <t>STOCKHOLMS LÄN</t>
        </is>
      </c>
      <c r="E1058" t="inlineStr">
        <is>
          <t>NORRTÄLJE</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20291-2022</t>
        </is>
      </c>
      <c r="B1059" s="1" t="n">
        <v>44698</v>
      </c>
      <c r="C1059" s="1" t="n">
        <v>45995</v>
      </c>
      <c r="D1059" t="inlineStr">
        <is>
          <t>STOCKHOLMS LÄN</t>
        </is>
      </c>
      <c r="E1059" t="inlineStr">
        <is>
          <t>NORRTÄLJE</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33824-2025</t>
        </is>
      </c>
      <c r="B1060" s="1" t="n">
        <v>45842.46885416667</v>
      </c>
      <c r="C1060" s="1" t="n">
        <v>45995</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12302-2025</t>
        </is>
      </c>
      <c r="B1061" s="1" t="n">
        <v>45729.72851851852</v>
      </c>
      <c r="C1061" s="1" t="n">
        <v>45995</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31926-2022</t>
        </is>
      </c>
      <c r="B1062" s="1" t="n">
        <v>44777</v>
      </c>
      <c r="C1062" s="1" t="n">
        <v>45995</v>
      </c>
      <c r="D1062" t="inlineStr">
        <is>
          <t>STOCKHOLMS LÄN</t>
        </is>
      </c>
      <c r="E1062" t="inlineStr">
        <is>
          <t>NORRTÄLJE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46073-2024</t>
        </is>
      </c>
      <c r="B1063" s="1" t="n">
        <v>45581</v>
      </c>
      <c r="C1063" s="1" t="n">
        <v>45995</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1425-2025</t>
        </is>
      </c>
      <c r="B1064" s="1" t="n">
        <v>45668.67446759259</v>
      </c>
      <c r="C1064" s="1" t="n">
        <v>45995</v>
      </c>
      <c r="D1064" t="inlineStr">
        <is>
          <t>STOCKHOLMS LÄN</t>
        </is>
      </c>
      <c r="E1064" t="inlineStr">
        <is>
          <t>NORRTÄLJE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1453-2025</t>
        </is>
      </c>
      <c r="B1065" s="1" t="n">
        <v>45670.3079050926</v>
      </c>
      <c r="C1065" s="1" t="n">
        <v>45995</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36689-2023</t>
        </is>
      </c>
      <c r="B1066" s="1" t="n">
        <v>45152</v>
      </c>
      <c r="C1066" s="1" t="n">
        <v>45995</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3386-2021</t>
        </is>
      </c>
      <c r="B1067" s="1" t="n">
        <v>44218</v>
      </c>
      <c r="C1067" s="1" t="n">
        <v>45995</v>
      </c>
      <c r="D1067" t="inlineStr">
        <is>
          <t>STOCKHOLMS LÄN</t>
        </is>
      </c>
      <c r="E1067" t="inlineStr">
        <is>
          <t>NORRTÄLJE</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34139-2025</t>
        </is>
      </c>
      <c r="B1068" s="1" t="n">
        <v>45845</v>
      </c>
      <c r="C1068" s="1" t="n">
        <v>45995</v>
      </c>
      <c r="D1068" t="inlineStr">
        <is>
          <t>STOCKHOLMS LÄN</t>
        </is>
      </c>
      <c r="E1068" t="inlineStr">
        <is>
          <t>NORRTÄLJE</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34006-2025</t>
        </is>
      </c>
      <c r="B1069" s="1" t="n">
        <v>45844.62609953704</v>
      </c>
      <c r="C1069" s="1" t="n">
        <v>45995</v>
      </c>
      <c r="D1069" t="inlineStr">
        <is>
          <t>STOCKHOLMS LÄN</t>
        </is>
      </c>
      <c r="E1069" t="inlineStr">
        <is>
          <t>NORRTÄLJE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13860-2023</t>
        </is>
      </c>
      <c r="B1070" s="1" t="n">
        <v>45007</v>
      </c>
      <c r="C1070" s="1" t="n">
        <v>45995</v>
      </c>
      <c r="D1070" t="inlineStr">
        <is>
          <t>STOCKHOLMS LÄN</t>
        </is>
      </c>
      <c r="E1070" t="inlineStr">
        <is>
          <t>NORRTÄLJE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6070-2022</t>
        </is>
      </c>
      <c r="B1071" s="1" t="n">
        <v>44599.58428240741</v>
      </c>
      <c r="C1071" s="1" t="n">
        <v>45995</v>
      </c>
      <c r="D1071" t="inlineStr">
        <is>
          <t>STOCKHOLMS LÄN</t>
        </is>
      </c>
      <c r="E1071" t="inlineStr">
        <is>
          <t>NORRTÄLJE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9130-2025</t>
        </is>
      </c>
      <c r="B1072" s="1" t="n">
        <v>45713.92623842593</v>
      </c>
      <c r="C1072" s="1" t="n">
        <v>45995</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27828-2022</t>
        </is>
      </c>
      <c r="B1073" s="1" t="n">
        <v>44743.59765046297</v>
      </c>
      <c r="C1073" s="1" t="n">
        <v>45995</v>
      </c>
      <c r="D1073" t="inlineStr">
        <is>
          <t>STOCKHOLMS LÄN</t>
        </is>
      </c>
      <c r="E1073" t="inlineStr">
        <is>
          <t>NORRTÄLJE</t>
        </is>
      </c>
      <c r="F1073" t="inlineStr">
        <is>
          <t>Kommuner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34010-2025</t>
        </is>
      </c>
      <c r="B1074" s="1" t="n">
        <v>45844.91234953704</v>
      </c>
      <c r="C1074" s="1" t="n">
        <v>45995</v>
      </c>
      <c r="D1074" t="inlineStr">
        <is>
          <t>STOCKHOLMS LÄN</t>
        </is>
      </c>
      <c r="E1074" t="inlineStr">
        <is>
          <t>NORRTÄLJE</t>
        </is>
      </c>
      <c r="F1074" t="inlineStr">
        <is>
          <t>Övriga Aktiebolag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39610-2025</t>
        </is>
      </c>
      <c r="B1075" s="1" t="n">
        <v>45890.56001157407</v>
      </c>
      <c r="C1075" s="1" t="n">
        <v>45995</v>
      </c>
      <c r="D1075" t="inlineStr">
        <is>
          <t>STOCKHOLMS LÄN</t>
        </is>
      </c>
      <c r="E1075" t="inlineStr">
        <is>
          <t>NORRTÄLJE</t>
        </is>
      </c>
      <c r="G1075" t="n">
        <v>28.6</v>
      </c>
      <c r="H1075" t="n">
        <v>0</v>
      </c>
      <c r="I1075" t="n">
        <v>0</v>
      </c>
      <c r="J1075" t="n">
        <v>0</v>
      </c>
      <c r="K1075" t="n">
        <v>0</v>
      </c>
      <c r="L1075" t="n">
        <v>0</v>
      </c>
      <c r="M1075" t="n">
        <v>0</v>
      </c>
      <c r="N1075" t="n">
        <v>0</v>
      </c>
      <c r="O1075" t="n">
        <v>0</v>
      </c>
      <c r="P1075" t="n">
        <v>0</v>
      </c>
      <c r="Q1075" t="n">
        <v>0</v>
      </c>
      <c r="R1075" s="2" t="inlineStr"/>
    </row>
    <row r="1076" ht="15" customHeight="1">
      <c r="A1076" t="inlineStr">
        <is>
          <t>A 59873-2024</t>
        </is>
      </c>
      <c r="B1076" s="1" t="n">
        <v>45640.57305555556</v>
      </c>
      <c r="C1076" s="1" t="n">
        <v>45995</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22412-2021</t>
        </is>
      </c>
      <c r="B1077" s="1" t="n">
        <v>44326.61967592593</v>
      </c>
      <c r="C1077" s="1" t="n">
        <v>45995</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48161-2022</t>
        </is>
      </c>
      <c r="B1078" s="1" t="n">
        <v>44858</v>
      </c>
      <c r="C1078" s="1" t="n">
        <v>45995</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43150-2023</t>
        </is>
      </c>
      <c r="B1079" s="1" t="n">
        <v>45183</v>
      </c>
      <c r="C1079" s="1" t="n">
        <v>45995</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59534-2024</t>
        </is>
      </c>
      <c r="B1080" s="1" t="n">
        <v>45638.5987037037</v>
      </c>
      <c r="C1080" s="1" t="n">
        <v>45995</v>
      </c>
      <c r="D1080" t="inlineStr">
        <is>
          <t>STOCKHOLMS LÄN</t>
        </is>
      </c>
      <c r="E1080" t="inlineStr">
        <is>
          <t>NORRTÄLJE</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23307-2024</t>
        </is>
      </c>
      <c r="B1081" s="1" t="n">
        <v>45453</v>
      </c>
      <c r="C1081" s="1" t="n">
        <v>45995</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19450-2025</t>
        </is>
      </c>
      <c r="B1082" s="1" t="n">
        <v>45770</v>
      </c>
      <c r="C1082" s="1" t="n">
        <v>45995</v>
      </c>
      <c r="D1082" t="inlineStr">
        <is>
          <t>STOCKHOLMS LÄN</t>
        </is>
      </c>
      <c r="E1082" t="inlineStr">
        <is>
          <t>NORRTÄLJE</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2281-2024</t>
        </is>
      </c>
      <c r="B1083" s="1" t="n">
        <v>45310.40628472222</v>
      </c>
      <c r="C1083" s="1" t="n">
        <v>45995</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2287-2024</t>
        </is>
      </c>
      <c r="B1084" s="1" t="n">
        <v>45310</v>
      </c>
      <c r="C1084" s="1" t="n">
        <v>45995</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35110-2025</t>
        </is>
      </c>
      <c r="B1085" s="1" t="n">
        <v>45852.58030092593</v>
      </c>
      <c r="C1085" s="1" t="n">
        <v>45995</v>
      </c>
      <c r="D1085" t="inlineStr">
        <is>
          <t>STOCKHOLMS LÄN</t>
        </is>
      </c>
      <c r="E1085" t="inlineStr">
        <is>
          <t>NORRTÄLJE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20618-2022</t>
        </is>
      </c>
      <c r="B1086" s="1" t="n">
        <v>44700.50659722222</v>
      </c>
      <c r="C1086" s="1" t="n">
        <v>45995</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59504-2023</t>
        </is>
      </c>
      <c r="B1087" s="1" t="n">
        <v>45254</v>
      </c>
      <c r="C1087" s="1" t="n">
        <v>45995</v>
      </c>
      <c r="D1087" t="inlineStr">
        <is>
          <t>STOCKHOLMS LÄN</t>
        </is>
      </c>
      <c r="E1087" t="inlineStr">
        <is>
          <t>NORRTÄLJE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35254-2025</t>
        </is>
      </c>
      <c r="B1088" s="1" t="n">
        <v>45853</v>
      </c>
      <c r="C1088" s="1" t="n">
        <v>45995</v>
      </c>
      <c r="D1088" t="inlineStr">
        <is>
          <t>STOCKHOLMS LÄN</t>
        </is>
      </c>
      <c r="E1088" t="inlineStr">
        <is>
          <t>NORRTÄLJE</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35479-2025</t>
        </is>
      </c>
      <c r="B1089" s="1" t="n">
        <v>45855.69387731481</v>
      </c>
      <c r="C1089" s="1" t="n">
        <v>45995</v>
      </c>
      <c r="D1089" t="inlineStr">
        <is>
          <t>STOCKHOLMS LÄN</t>
        </is>
      </c>
      <c r="E1089" t="inlineStr">
        <is>
          <t>NORRTÄLJE</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25656-2023</t>
        </is>
      </c>
      <c r="B1090" s="1" t="n">
        <v>45089</v>
      </c>
      <c r="C1090" s="1" t="n">
        <v>45995</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38049-2023</t>
        </is>
      </c>
      <c r="B1091" s="1" t="n">
        <v>45159</v>
      </c>
      <c r="C1091" s="1" t="n">
        <v>45995</v>
      </c>
      <c r="D1091" t="inlineStr">
        <is>
          <t>STOCKHOLMS LÄN</t>
        </is>
      </c>
      <c r="E1091" t="inlineStr">
        <is>
          <t>NORRTÄLJE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35451-2025</t>
        </is>
      </c>
      <c r="B1092" s="1" t="n">
        <v>45855.57033564815</v>
      </c>
      <c r="C1092" s="1" t="n">
        <v>45995</v>
      </c>
      <c r="D1092" t="inlineStr">
        <is>
          <t>STOCKHOLMS LÄN</t>
        </is>
      </c>
      <c r="E1092" t="inlineStr">
        <is>
          <t>NORRTÄLJE</t>
        </is>
      </c>
      <c r="F1092" t="inlineStr">
        <is>
          <t>Holmen skog AB</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35478-2025</t>
        </is>
      </c>
      <c r="B1093" s="1" t="n">
        <v>45855.68413194444</v>
      </c>
      <c r="C1093" s="1" t="n">
        <v>45995</v>
      </c>
      <c r="D1093" t="inlineStr">
        <is>
          <t>STOCKHOLMS LÄN</t>
        </is>
      </c>
      <c r="E1093" t="inlineStr">
        <is>
          <t>NORRTÄLJE</t>
        </is>
      </c>
      <c r="F1093" t="inlineStr">
        <is>
          <t>Holmen skog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3966-2024</t>
        </is>
      </c>
      <c r="B1094" s="1" t="n">
        <v>45322</v>
      </c>
      <c r="C1094" s="1" t="n">
        <v>45995</v>
      </c>
      <c r="D1094" t="inlineStr">
        <is>
          <t>STOCKHOLMS LÄN</t>
        </is>
      </c>
      <c r="E1094" t="inlineStr">
        <is>
          <t>NORRTÄLJE</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20698-2025</t>
        </is>
      </c>
      <c r="B1095" s="1" t="n">
        <v>45776.47122685185</v>
      </c>
      <c r="C1095" s="1" t="n">
        <v>45995</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36396-2025</t>
        </is>
      </c>
      <c r="B1096" s="1" t="n">
        <v>45868.62267361111</v>
      </c>
      <c r="C1096" s="1" t="n">
        <v>45995</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22232-2024</t>
        </is>
      </c>
      <c r="B1097" s="1" t="n">
        <v>45446.4287962963</v>
      </c>
      <c r="C1097" s="1" t="n">
        <v>45995</v>
      </c>
      <c r="D1097" t="inlineStr">
        <is>
          <t>STOCKHOLMS LÄN</t>
        </is>
      </c>
      <c r="E1097" t="inlineStr">
        <is>
          <t>NORRTÄLJE</t>
        </is>
      </c>
      <c r="G1097" t="n">
        <v>12.8</v>
      </c>
      <c r="H1097" t="n">
        <v>0</v>
      </c>
      <c r="I1097" t="n">
        <v>0</v>
      </c>
      <c r="J1097" t="n">
        <v>0</v>
      </c>
      <c r="K1097" t="n">
        <v>0</v>
      </c>
      <c r="L1097" t="n">
        <v>0</v>
      </c>
      <c r="M1097" t="n">
        <v>0</v>
      </c>
      <c r="N1097" t="n">
        <v>0</v>
      </c>
      <c r="O1097" t="n">
        <v>0</v>
      </c>
      <c r="P1097" t="n">
        <v>0</v>
      </c>
      <c r="Q1097" t="n">
        <v>0</v>
      </c>
      <c r="R1097" s="2" t="inlineStr"/>
    </row>
    <row r="1098" ht="15" customHeight="1">
      <c r="A1098" t="inlineStr">
        <is>
          <t>A 34444-2024</t>
        </is>
      </c>
      <c r="B1098" s="1" t="n">
        <v>45525</v>
      </c>
      <c r="C1098" s="1" t="n">
        <v>45995</v>
      </c>
      <c r="D1098" t="inlineStr">
        <is>
          <t>STOCKHOLMS LÄN</t>
        </is>
      </c>
      <c r="E1098" t="inlineStr">
        <is>
          <t>NORRTÄLJE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37261-2025</t>
        </is>
      </c>
      <c r="B1099" s="1" t="n">
        <v>45876.45253472222</v>
      </c>
      <c r="C1099" s="1" t="n">
        <v>45995</v>
      </c>
      <c r="D1099" t="inlineStr">
        <is>
          <t>STOCKHOLMS LÄN</t>
        </is>
      </c>
      <c r="E1099" t="inlineStr">
        <is>
          <t>NORRTÄLJE</t>
        </is>
      </c>
      <c r="F1099" t="inlineStr">
        <is>
          <t>Kommuner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20692-2025</t>
        </is>
      </c>
      <c r="B1100" s="1" t="n">
        <v>45776.46369212963</v>
      </c>
      <c r="C1100" s="1" t="n">
        <v>45995</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46071-2024</t>
        </is>
      </c>
      <c r="B1101" s="1" t="n">
        <v>45581</v>
      </c>
      <c r="C1101" s="1" t="n">
        <v>45995</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29369-2024</t>
        </is>
      </c>
      <c r="B1102" s="1" t="n">
        <v>45483.57244212963</v>
      </c>
      <c r="C1102" s="1" t="n">
        <v>45995</v>
      </c>
      <c r="D1102" t="inlineStr">
        <is>
          <t>STOCKHOLMS LÄN</t>
        </is>
      </c>
      <c r="E1102" t="inlineStr">
        <is>
          <t>NORRTÄLJE</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37630-2025</t>
        </is>
      </c>
      <c r="B1103" s="1" t="n">
        <v>45880.46372685185</v>
      </c>
      <c r="C1103" s="1" t="n">
        <v>45995</v>
      </c>
      <c r="D1103" t="inlineStr">
        <is>
          <t>STOCKHOLMS LÄN</t>
        </is>
      </c>
      <c r="E1103" t="inlineStr">
        <is>
          <t>NORRTÄLJE</t>
        </is>
      </c>
      <c r="F1103" t="inlineStr">
        <is>
          <t>Sveaskog</t>
        </is>
      </c>
      <c r="G1103" t="n">
        <v>12.9</v>
      </c>
      <c r="H1103" t="n">
        <v>0</v>
      </c>
      <c r="I1103" t="n">
        <v>0</v>
      </c>
      <c r="J1103" t="n">
        <v>0</v>
      </c>
      <c r="K1103" t="n">
        <v>0</v>
      </c>
      <c r="L1103" t="n">
        <v>0</v>
      </c>
      <c r="M1103" t="n">
        <v>0</v>
      </c>
      <c r="N1103" t="n">
        <v>0</v>
      </c>
      <c r="O1103" t="n">
        <v>0</v>
      </c>
      <c r="P1103" t="n">
        <v>0</v>
      </c>
      <c r="Q1103" t="n">
        <v>0</v>
      </c>
      <c r="R1103" s="2" t="inlineStr"/>
    </row>
    <row r="1104" ht="15" customHeight="1">
      <c r="A1104" t="inlineStr">
        <is>
          <t>A 37632-2025</t>
        </is>
      </c>
      <c r="B1104" s="1" t="n">
        <v>45880.46524305556</v>
      </c>
      <c r="C1104" s="1" t="n">
        <v>45995</v>
      </c>
      <c r="D1104" t="inlineStr">
        <is>
          <t>STOCKHOLMS LÄN</t>
        </is>
      </c>
      <c r="E1104" t="inlineStr">
        <is>
          <t>NORRTÄLJE</t>
        </is>
      </c>
      <c r="F1104" t="inlineStr">
        <is>
          <t>Sveaskog</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29841-2024</t>
        </is>
      </c>
      <c r="B1105" s="1" t="n">
        <v>45485.60261574074</v>
      </c>
      <c r="C1105" s="1" t="n">
        <v>45995</v>
      </c>
      <c r="D1105" t="inlineStr">
        <is>
          <t>STOCKHOLMS LÄN</t>
        </is>
      </c>
      <c r="E1105" t="inlineStr">
        <is>
          <t>NORRTÄLJE</t>
        </is>
      </c>
      <c r="G1105" t="n">
        <v>15.9</v>
      </c>
      <c r="H1105" t="n">
        <v>0</v>
      </c>
      <c r="I1105" t="n">
        <v>0</v>
      </c>
      <c r="J1105" t="n">
        <v>0</v>
      </c>
      <c r="K1105" t="n">
        <v>0</v>
      </c>
      <c r="L1105" t="n">
        <v>0</v>
      </c>
      <c r="M1105" t="n">
        <v>0</v>
      </c>
      <c r="N1105" t="n">
        <v>0</v>
      </c>
      <c r="O1105" t="n">
        <v>0</v>
      </c>
      <c r="P1105" t="n">
        <v>0</v>
      </c>
      <c r="Q1105" t="n">
        <v>0</v>
      </c>
      <c r="R1105" s="2" t="inlineStr"/>
    </row>
    <row r="1106" ht="15" customHeight="1">
      <c r="A1106" t="inlineStr">
        <is>
          <t>A 37628-2025</t>
        </is>
      </c>
      <c r="B1106" s="1" t="n">
        <v>45880.46189814815</v>
      </c>
      <c r="C1106" s="1" t="n">
        <v>45995</v>
      </c>
      <c r="D1106" t="inlineStr">
        <is>
          <t>STOCKHOLMS LÄN</t>
        </is>
      </c>
      <c r="E1106" t="inlineStr">
        <is>
          <t>NORRTÄLJE</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24350-2025</t>
        </is>
      </c>
      <c r="B1107" s="1" t="n">
        <v>45797.58350694444</v>
      </c>
      <c r="C1107" s="1" t="n">
        <v>45995</v>
      </c>
      <c r="D1107" t="inlineStr">
        <is>
          <t>STOCKHOLMS LÄN</t>
        </is>
      </c>
      <c r="E1107" t="inlineStr">
        <is>
          <t>NORRTÄLJE</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26703-2025</t>
        </is>
      </c>
      <c r="B1108" s="1" t="n">
        <v>45810.45263888889</v>
      </c>
      <c r="C1108" s="1" t="n">
        <v>45995</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13137-2024</t>
        </is>
      </c>
      <c r="B1109" s="1" t="n">
        <v>45386.34175925926</v>
      </c>
      <c r="C1109" s="1" t="n">
        <v>45995</v>
      </c>
      <c r="D1109" t="inlineStr">
        <is>
          <t>STOCKHOLMS LÄN</t>
        </is>
      </c>
      <c r="E1109" t="inlineStr">
        <is>
          <t>NORRTÄLJE</t>
        </is>
      </c>
      <c r="G1109" t="n">
        <v>5</v>
      </c>
      <c r="H1109" t="n">
        <v>0</v>
      </c>
      <c r="I1109" t="n">
        <v>0</v>
      </c>
      <c r="J1109" t="n">
        <v>0</v>
      </c>
      <c r="K1109" t="n">
        <v>0</v>
      </c>
      <c r="L1109" t="n">
        <v>0</v>
      </c>
      <c r="M1109" t="n">
        <v>0</v>
      </c>
      <c r="N1109" t="n">
        <v>0</v>
      </c>
      <c r="O1109" t="n">
        <v>0</v>
      </c>
      <c r="P1109" t="n">
        <v>0</v>
      </c>
      <c r="Q1109" t="n">
        <v>0</v>
      </c>
      <c r="R1109" s="2" t="inlineStr"/>
    </row>
    <row r="1110">
      <c r="A1110" t="inlineStr">
        <is>
          <t>A 38153-2025</t>
        </is>
      </c>
      <c r="B1110" s="1" t="n">
        <v>45882.59722222222</v>
      </c>
      <c r="C1110" s="1" t="n">
        <v>45995</v>
      </c>
      <c r="D1110" t="inlineStr">
        <is>
          <t>STOCKHOLMS LÄN</t>
        </is>
      </c>
      <c r="E1110" t="inlineStr">
        <is>
          <t>NORRTÄLJE</t>
        </is>
      </c>
      <c r="G1110" t="n">
        <v>1.7</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2025-12-04T10:31:17Z</dcterms:created>
  <dcterms:modified xmlns:dcterms="http://purl.org/dc/terms/" xmlns:xsi="http://www.w3.org/2001/XMLSchema-instance" xsi:type="dcterms:W3CDTF">2025-12-04T10:31:17Z</dcterms:modified>
</cp:coreProperties>
</file>