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45879</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45879</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45879</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45879</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45879</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45879</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45879</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45879</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45879</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45879</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45879</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45879</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45879</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45879</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45879</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45879</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45879</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45879</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45879</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45879</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45879</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45879</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45879</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45879</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45879</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45879</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45879</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45879</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45879</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45879</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45879</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45879</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45879</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45879</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45879</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45879</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34521-2025</t>
        </is>
      </c>
      <c r="B39" s="1" t="n">
        <v>45847.47052083333</v>
      </c>
      <c r="C39" s="1" t="n">
        <v>45879</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44709-2022</t>
        </is>
      </c>
      <c r="B40" s="1" t="n">
        <v>44839</v>
      </c>
      <c r="C40" s="1" t="n">
        <v>45879</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45879</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45879</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45879</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45879</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45879</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2851-2023</t>
        </is>
      </c>
      <c r="B46" s="1" t="n">
        <v>44945</v>
      </c>
      <c r="C46" s="1" t="n">
        <v>45879</v>
      </c>
      <c r="D46" t="inlineStr">
        <is>
          <t>STOCKHOLMS LÄN</t>
        </is>
      </c>
      <c r="E46" t="inlineStr">
        <is>
          <t>NORRTÄLJE</t>
        </is>
      </c>
      <c r="G46" t="n">
        <v>5.8</v>
      </c>
      <c r="H46" t="n">
        <v>1</v>
      </c>
      <c r="I46" t="n">
        <v>1</v>
      </c>
      <c r="J46" t="n">
        <v>2</v>
      </c>
      <c r="K46" t="n">
        <v>0</v>
      </c>
      <c r="L46" t="n">
        <v>0</v>
      </c>
      <c r="M46" t="n">
        <v>0</v>
      </c>
      <c r="N46" t="n">
        <v>0</v>
      </c>
      <c r="O46" t="n">
        <v>2</v>
      </c>
      <c r="P46" t="n">
        <v>0</v>
      </c>
      <c r="Q46" t="n">
        <v>3</v>
      </c>
      <c r="R46" s="2" t="inlineStr">
        <is>
          <t>Gulsparv
Vedflikmossa
Terpentinmossa</t>
        </is>
      </c>
      <c r="S46">
        <f>HYPERLINK("https://klasma.github.io/Logging_0188/artfynd/A 2851-2023 artfynd.xlsx", "A 2851-2023")</f>
        <v/>
      </c>
      <c r="T46">
        <f>HYPERLINK("https://klasma.github.io/Logging_0188/kartor/A 2851-2023 karta.png", "A 2851-2023")</f>
        <v/>
      </c>
      <c r="V46">
        <f>HYPERLINK("https://klasma.github.io/Logging_0188/klagomål/A 2851-2023 FSC-klagomål.docx", "A 2851-2023")</f>
        <v/>
      </c>
      <c r="W46">
        <f>HYPERLINK("https://klasma.github.io/Logging_0188/klagomålsmail/A 2851-2023 FSC-klagomål mail.docx", "A 2851-2023")</f>
        <v/>
      </c>
      <c r="X46">
        <f>HYPERLINK("https://klasma.github.io/Logging_0188/tillsyn/A 2851-2023 tillsynsbegäran.docx", "A 2851-2023")</f>
        <v/>
      </c>
      <c r="Y46">
        <f>HYPERLINK("https://klasma.github.io/Logging_0188/tillsynsmail/A 2851-2023 tillsynsbegäran mail.docx", "A 2851-2023")</f>
        <v/>
      </c>
      <c r="Z46">
        <f>HYPERLINK("https://klasma.github.io/Logging_0188/fåglar/A 2851-2023 prioriterade fågelarter.docx", "A 2851-2023")</f>
        <v/>
      </c>
    </row>
    <row r="47" ht="15" customHeight="1">
      <c r="A47" t="inlineStr">
        <is>
          <t>A 20185-2022</t>
        </is>
      </c>
      <c r="B47" s="1" t="n">
        <v>44698</v>
      </c>
      <c r="C47" s="1" t="n">
        <v>45879</v>
      </c>
      <c r="D47" t="inlineStr">
        <is>
          <t>STOCKHOLMS LÄN</t>
        </is>
      </c>
      <c r="E47" t="inlineStr">
        <is>
          <t>NORRTÄLJE</t>
        </is>
      </c>
      <c r="G47" t="n">
        <v>8.4</v>
      </c>
      <c r="H47" t="n">
        <v>1</v>
      </c>
      <c r="I47" t="n">
        <v>2</v>
      </c>
      <c r="J47" t="n">
        <v>0</v>
      </c>
      <c r="K47" t="n">
        <v>1</v>
      </c>
      <c r="L47" t="n">
        <v>0</v>
      </c>
      <c r="M47" t="n">
        <v>0</v>
      </c>
      <c r="N47" t="n">
        <v>0</v>
      </c>
      <c r="O47" t="n">
        <v>1</v>
      </c>
      <c r="P47" t="n">
        <v>1</v>
      </c>
      <c r="Q47" t="n">
        <v>3</v>
      </c>
      <c r="R47" s="2" t="inlineStr">
        <is>
          <t>Tallbit
Gullgröppa
Vedticka</t>
        </is>
      </c>
      <c r="S47">
        <f>HYPERLINK("https://klasma.github.io/Logging_0188/artfynd/A 20185-2022 artfynd.xlsx", "A 20185-2022")</f>
        <v/>
      </c>
      <c r="T47">
        <f>HYPERLINK("https://klasma.github.io/Logging_0188/kartor/A 20185-2022 karta.png", "A 20185-2022")</f>
        <v/>
      </c>
      <c r="V47">
        <f>HYPERLINK("https://klasma.github.io/Logging_0188/klagomål/A 20185-2022 FSC-klagomål.docx", "A 20185-2022")</f>
        <v/>
      </c>
      <c r="W47">
        <f>HYPERLINK("https://klasma.github.io/Logging_0188/klagomålsmail/A 20185-2022 FSC-klagomål mail.docx", "A 20185-2022")</f>
        <v/>
      </c>
      <c r="X47">
        <f>HYPERLINK("https://klasma.github.io/Logging_0188/tillsyn/A 20185-2022 tillsynsbegäran.docx", "A 20185-2022")</f>
        <v/>
      </c>
      <c r="Y47">
        <f>HYPERLINK("https://klasma.github.io/Logging_0188/tillsynsmail/A 20185-2022 tillsynsbegäran mail.docx", "A 20185-2022")</f>
        <v/>
      </c>
      <c r="Z47">
        <f>HYPERLINK("https://klasma.github.io/Logging_0188/fåglar/A 20185-2022 prioriterade fågelarter.docx", "A 20185-2022")</f>
        <v/>
      </c>
    </row>
    <row r="48" ht="15" customHeight="1">
      <c r="A48" t="inlineStr">
        <is>
          <t>A 54110-2024</t>
        </is>
      </c>
      <c r="B48" s="1" t="n">
        <v>45616.54866898148</v>
      </c>
      <c r="C48" s="1" t="n">
        <v>45879</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50618-2022</t>
        </is>
      </c>
      <c r="B49" s="1" t="n">
        <v>44866</v>
      </c>
      <c r="C49" s="1" t="n">
        <v>45879</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29185-2025</t>
        </is>
      </c>
      <c r="B50" s="1" t="n">
        <v>45821</v>
      </c>
      <c r="C50" s="1" t="n">
        <v>45879</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45879</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45879</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45879</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45879</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51980-2022</t>
        </is>
      </c>
      <c r="B55" s="1" t="n">
        <v>44872</v>
      </c>
      <c r="C55" s="1" t="n">
        <v>45879</v>
      </c>
      <c r="D55" t="inlineStr">
        <is>
          <t>STOCKHOLMS LÄN</t>
        </is>
      </c>
      <c r="E55" t="inlineStr">
        <is>
          <t>NORRTÄLJE</t>
        </is>
      </c>
      <c r="G55" t="n">
        <v>7.9</v>
      </c>
      <c r="H55" t="n">
        <v>1</v>
      </c>
      <c r="I55" t="n">
        <v>2</v>
      </c>
      <c r="J55" t="n">
        <v>0</v>
      </c>
      <c r="K55" t="n">
        <v>0</v>
      </c>
      <c r="L55" t="n">
        <v>0</v>
      </c>
      <c r="M55" t="n">
        <v>0</v>
      </c>
      <c r="N55" t="n">
        <v>0</v>
      </c>
      <c r="O55" t="n">
        <v>0</v>
      </c>
      <c r="P55" t="n">
        <v>0</v>
      </c>
      <c r="Q55" t="n">
        <v>2</v>
      </c>
      <c r="R55" s="2" t="inlineStr">
        <is>
          <t>Rödgul trumpetsvamp
Skogsknipprot</t>
        </is>
      </c>
      <c r="S55">
        <f>HYPERLINK("https://klasma.github.io/Logging_0188/artfynd/A 51980-2022 artfynd.xlsx", "A 51980-2022")</f>
        <v/>
      </c>
      <c r="T55">
        <f>HYPERLINK("https://klasma.github.io/Logging_0188/kartor/A 51980-2022 karta.png", "A 51980-2022")</f>
        <v/>
      </c>
      <c r="V55">
        <f>HYPERLINK("https://klasma.github.io/Logging_0188/klagomål/A 51980-2022 FSC-klagomål.docx", "A 51980-2022")</f>
        <v/>
      </c>
      <c r="W55">
        <f>HYPERLINK("https://klasma.github.io/Logging_0188/klagomålsmail/A 51980-2022 FSC-klagomål mail.docx", "A 51980-2022")</f>
        <v/>
      </c>
      <c r="X55">
        <f>HYPERLINK("https://klasma.github.io/Logging_0188/tillsyn/A 51980-2022 tillsynsbegäran.docx", "A 51980-2022")</f>
        <v/>
      </c>
      <c r="Y55">
        <f>HYPERLINK("https://klasma.github.io/Logging_0188/tillsynsmail/A 51980-2022 tillsynsbegäran mail.docx", "A 51980-2022")</f>
        <v/>
      </c>
    </row>
    <row r="56" ht="15" customHeight="1">
      <c r="A56" t="inlineStr">
        <is>
          <t>A 20012-2025</t>
        </is>
      </c>
      <c r="B56" s="1" t="n">
        <v>45772.30234953704</v>
      </c>
      <c r="C56" s="1" t="n">
        <v>45879</v>
      </c>
      <c r="D56" t="inlineStr">
        <is>
          <t>STOCKHOLMS LÄN</t>
        </is>
      </c>
      <c r="E56" t="inlineStr">
        <is>
          <t>NORRTÄLJE</t>
        </is>
      </c>
      <c r="G56" t="n">
        <v>3.8</v>
      </c>
      <c r="H56" t="n">
        <v>0</v>
      </c>
      <c r="I56" t="n">
        <v>2</v>
      </c>
      <c r="J56" t="n">
        <v>0</v>
      </c>
      <c r="K56" t="n">
        <v>0</v>
      </c>
      <c r="L56" t="n">
        <v>0</v>
      </c>
      <c r="M56" t="n">
        <v>0</v>
      </c>
      <c r="N56" t="n">
        <v>0</v>
      </c>
      <c r="O56" t="n">
        <v>0</v>
      </c>
      <c r="P56" t="n">
        <v>0</v>
      </c>
      <c r="Q56" t="n">
        <v>2</v>
      </c>
      <c r="R56" s="2" t="inlineStr">
        <is>
          <t>Barkticka
Stor aspticka</t>
        </is>
      </c>
      <c r="S56">
        <f>HYPERLINK("https://klasma.github.io/Logging_0188/artfynd/A 20012-2025 artfynd.xlsx", "A 20012-2025")</f>
        <v/>
      </c>
      <c r="T56">
        <f>HYPERLINK("https://klasma.github.io/Logging_0188/kartor/A 20012-2025 karta.png", "A 20012-2025")</f>
        <v/>
      </c>
      <c r="V56">
        <f>HYPERLINK("https://klasma.github.io/Logging_0188/klagomål/A 20012-2025 FSC-klagomål.docx", "A 20012-2025")</f>
        <v/>
      </c>
      <c r="W56">
        <f>HYPERLINK("https://klasma.github.io/Logging_0188/klagomålsmail/A 20012-2025 FSC-klagomål mail.docx", "A 20012-2025")</f>
        <v/>
      </c>
      <c r="X56">
        <f>HYPERLINK("https://klasma.github.io/Logging_0188/tillsyn/A 20012-2025 tillsynsbegäran.docx", "A 20012-2025")</f>
        <v/>
      </c>
      <c r="Y56">
        <f>HYPERLINK("https://klasma.github.io/Logging_0188/tillsynsmail/A 20012-2025 tillsynsbegäran mail.docx", "A 20012-2025")</f>
        <v/>
      </c>
    </row>
    <row r="57" ht="15" customHeight="1">
      <c r="A57" t="inlineStr">
        <is>
          <t>A 11031-2025</t>
        </is>
      </c>
      <c r="B57" s="1" t="n">
        <v>45723</v>
      </c>
      <c r="C57" s="1" t="n">
        <v>45879</v>
      </c>
      <c r="D57" t="inlineStr">
        <is>
          <t>STOCKHOLMS LÄN</t>
        </is>
      </c>
      <c r="E57" t="inlineStr">
        <is>
          <t>NORRTÄLJE</t>
        </is>
      </c>
      <c r="F57" t="inlineStr">
        <is>
          <t>Övriga Aktiebolag</t>
        </is>
      </c>
      <c r="G57" t="n">
        <v>13.2</v>
      </c>
      <c r="H57" t="n">
        <v>1</v>
      </c>
      <c r="I57" t="n">
        <v>0</v>
      </c>
      <c r="J57" t="n">
        <v>2</v>
      </c>
      <c r="K57" t="n">
        <v>0</v>
      </c>
      <c r="L57" t="n">
        <v>0</v>
      </c>
      <c r="M57" t="n">
        <v>0</v>
      </c>
      <c r="N57" t="n">
        <v>0</v>
      </c>
      <c r="O57" t="n">
        <v>2</v>
      </c>
      <c r="P57" t="n">
        <v>0</v>
      </c>
      <c r="Q57" t="n">
        <v>2</v>
      </c>
      <c r="R57" s="2" t="inlineStr">
        <is>
          <t>Järpe
Ullticka</t>
        </is>
      </c>
      <c r="S57">
        <f>HYPERLINK("https://klasma.github.io/Logging_0188/artfynd/A 11031-2025 artfynd.xlsx", "A 11031-2025")</f>
        <v/>
      </c>
      <c r="T57">
        <f>HYPERLINK("https://klasma.github.io/Logging_0188/kartor/A 11031-2025 karta.png", "A 11031-2025")</f>
        <v/>
      </c>
      <c r="V57">
        <f>HYPERLINK("https://klasma.github.io/Logging_0188/klagomål/A 11031-2025 FSC-klagomål.docx", "A 11031-2025")</f>
        <v/>
      </c>
      <c r="W57">
        <f>HYPERLINK("https://klasma.github.io/Logging_0188/klagomålsmail/A 11031-2025 FSC-klagomål mail.docx", "A 11031-2025")</f>
        <v/>
      </c>
      <c r="X57">
        <f>HYPERLINK("https://klasma.github.io/Logging_0188/tillsyn/A 11031-2025 tillsynsbegäran.docx", "A 11031-2025")</f>
        <v/>
      </c>
      <c r="Y57">
        <f>HYPERLINK("https://klasma.github.io/Logging_0188/tillsynsmail/A 11031-2025 tillsynsbegäran mail.docx", "A 11031-2025")</f>
        <v/>
      </c>
      <c r="Z57">
        <f>HYPERLINK("https://klasma.github.io/Logging_0188/fåglar/A 11031-2025 prioriterade fågelarter.docx", "A 11031-2025")</f>
        <v/>
      </c>
    </row>
    <row r="58" ht="15" customHeight="1">
      <c r="A58" t="inlineStr">
        <is>
          <t>A 20016-2025</t>
        </is>
      </c>
      <c r="B58" s="1" t="n">
        <v>45772.31609953703</v>
      </c>
      <c r="C58" s="1" t="n">
        <v>45879</v>
      </c>
      <c r="D58" t="inlineStr">
        <is>
          <t>STOCKHOLMS LÄN</t>
        </is>
      </c>
      <c r="E58" t="inlineStr">
        <is>
          <t>NORRTÄLJE</t>
        </is>
      </c>
      <c r="G58" t="n">
        <v>5.2</v>
      </c>
      <c r="H58" t="n">
        <v>1</v>
      </c>
      <c r="I58" t="n">
        <v>1</v>
      </c>
      <c r="J58" t="n">
        <v>0</v>
      </c>
      <c r="K58" t="n">
        <v>1</v>
      </c>
      <c r="L58" t="n">
        <v>0</v>
      </c>
      <c r="M58" t="n">
        <v>0</v>
      </c>
      <c r="N58" t="n">
        <v>0</v>
      </c>
      <c r="O58" t="n">
        <v>1</v>
      </c>
      <c r="P58" t="n">
        <v>1</v>
      </c>
      <c r="Q58" t="n">
        <v>2</v>
      </c>
      <c r="R58" s="2" t="inlineStr">
        <is>
          <t>Knärot
Grovticka</t>
        </is>
      </c>
      <c r="S58">
        <f>HYPERLINK("https://klasma.github.io/Logging_0188/artfynd/A 20016-2025 artfynd.xlsx", "A 20016-2025")</f>
        <v/>
      </c>
      <c r="T58">
        <f>HYPERLINK("https://klasma.github.io/Logging_0188/kartor/A 20016-2025 karta.png", "A 20016-2025")</f>
        <v/>
      </c>
      <c r="U58">
        <f>HYPERLINK("https://klasma.github.io/Logging_0188/knärot/A 20016-2025 karta knärot.png", "A 20016-2025")</f>
        <v/>
      </c>
      <c r="V58">
        <f>HYPERLINK("https://klasma.github.io/Logging_0188/klagomål/A 20016-2025 FSC-klagomål.docx", "A 20016-2025")</f>
        <v/>
      </c>
      <c r="W58">
        <f>HYPERLINK("https://klasma.github.io/Logging_0188/klagomålsmail/A 20016-2025 FSC-klagomål mail.docx", "A 20016-2025")</f>
        <v/>
      </c>
      <c r="X58">
        <f>HYPERLINK("https://klasma.github.io/Logging_0188/tillsyn/A 20016-2025 tillsynsbegäran.docx", "A 20016-2025")</f>
        <v/>
      </c>
      <c r="Y58">
        <f>HYPERLINK("https://klasma.github.io/Logging_0188/tillsynsmail/A 20016-2025 tillsynsbegäran mail.docx", "A 20016-2025")</f>
        <v/>
      </c>
    </row>
    <row r="59" ht="15" customHeight="1">
      <c r="A59" t="inlineStr">
        <is>
          <t>A 52360-2024</t>
        </is>
      </c>
      <c r="B59" s="1" t="n">
        <v>45609.37094907407</v>
      </c>
      <c r="C59" s="1" t="n">
        <v>45879</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45879</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25731-2025</t>
        </is>
      </c>
      <c r="B61" s="1" t="n">
        <v>45800</v>
      </c>
      <c r="C61" s="1" t="n">
        <v>45879</v>
      </c>
      <c r="D61" t="inlineStr">
        <is>
          <t>STOCKHOLMS LÄN</t>
        </is>
      </c>
      <c r="E61" t="inlineStr">
        <is>
          <t>NORRTÄLJE</t>
        </is>
      </c>
      <c r="G61" t="n">
        <v>11.9</v>
      </c>
      <c r="H61" t="n">
        <v>2</v>
      </c>
      <c r="I61" t="n">
        <v>0</v>
      </c>
      <c r="J61" t="n">
        <v>0</v>
      </c>
      <c r="K61" t="n">
        <v>1</v>
      </c>
      <c r="L61" t="n">
        <v>0</v>
      </c>
      <c r="M61" t="n">
        <v>0</v>
      </c>
      <c r="N61" t="n">
        <v>0</v>
      </c>
      <c r="O61" t="n">
        <v>1</v>
      </c>
      <c r="P61" t="n">
        <v>1</v>
      </c>
      <c r="Q61" t="n">
        <v>2</v>
      </c>
      <c r="R61" s="2" t="inlineStr">
        <is>
          <t>Knärot
Tjäder</t>
        </is>
      </c>
      <c r="S61">
        <f>HYPERLINK("https://klasma.github.io/Logging_0188/artfynd/A 25731-2025 artfynd.xlsx", "A 25731-2025")</f>
        <v/>
      </c>
      <c r="T61">
        <f>HYPERLINK("https://klasma.github.io/Logging_0188/kartor/A 25731-2025 karta.png", "A 25731-2025")</f>
        <v/>
      </c>
      <c r="U61">
        <f>HYPERLINK("https://klasma.github.io/Logging_0188/knärot/A 25731-2025 karta knärot.png", "A 25731-2025")</f>
        <v/>
      </c>
      <c r="V61">
        <f>HYPERLINK("https://klasma.github.io/Logging_0188/klagomål/A 25731-2025 FSC-klagomål.docx", "A 25731-2025")</f>
        <v/>
      </c>
      <c r="W61">
        <f>HYPERLINK("https://klasma.github.io/Logging_0188/klagomålsmail/A 25731-2025 FSC-klagomål mail.docx", "A 25731-2025")</f>
        <v/>
      </c>
      <c r="X61">
        <f>HYPERLINK("https://klasma.github.io/Logging_0188/tillsyn/A 25731-2025 tillsynsbegäran.docx", "A 25731-2025")</f>
        <v/>
      </c>
      <c r="Y61">
        <f>HYPERLINK("https://klasma.github.io/Logging_0188/tillsynsmail/A 25731-2025 tillsynsbegäran mail.docx", "A 25731-2025")</f>
        <v/>
      </c>
      <c r="Z61">
        <f>HYPERLINK("https://klasma.github.io/Logging_0188/fåglar/A 25731-2025 prioriterade fågelarter.docx", "A 25731-2025")</f>
        <v/>
      </c>
    </row>
    <row r="62" ht="15" customHeight="1">
      <c r="A62" t="inlineStr">
        <is>
          <t>A 34524-2025</t>
        </is>
      </c>
      <c r="B62" s="1" t="n">
        <v>45847.47685185185</v>
      </c>
      <c r="C62" s="1" t="n">
        <v>45879</v>
      </c>
      <c r="D62" t="inlineStr">
        <is>
          <t>STOCKHOLMS LÄN</t>
        </is>
      </c>
      <c r="E62" t="inlineStr">
        <is>
          <t>NORRTÄLJE</t>
        </is>
      </c>
      <c r="G62" t="n">
        <v>3.3</v>
      </c>
      <c r="H62" t="n">
        <v>0</v>
      </c>
      <c r="I62" t="n">
        <v>0</v>
      </c>
      <c r="J62" t="n">
        <v>2</v>
      </c>
      <c r="K62" t="n">
        <v>0</v>
      </c>
      <c r="L62" t="n">
        <v>0</v>
      </c>
      <c r="M62" t="n">
        <v>0</v>
      </c>
      <c r="N62" t="n">
        <v>0</v>
      </c>
      <c r="O62" t="n">
        <v>2</v>
      </c>
      <c r="P62" t="n">
        <v>0</v>
      </c>
      <c r="Q62" t="n">
        <v>2</v>
      </c>
      <c r="R62" s="2" t="inlineStr">
        <is>
          <t>Tallticka
Vedtrappmossa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22190-2024</t>
        </is>
      </c>
      <c r="B63" s="1" t="n">
        <v>45446.35888888889</v>
      </c>
      <c r="C63" s="1" t="n">
        <v>45879</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52825-2023</t>
        </is>
      </c>
      <c r="B64" s="1" t="n">
        <v>45226</v>
      </c>
      <c r="C64" s="1" t="n">
        <v>45879</v>
      </c>
      <c r="D64" t="inlineStr">
        <is>
          <t>STOCKHOLMS LÄN</t>
        </is>
      </c>
      <c r="E64" t="inlineStr">
        <is>
          <t>NORRTÄLJE</t>
        </is>
      </c>
      <c r="G64" t="n">
        <v>1</v>
      </c>
      <c r="H64" t="n">
        <v>0</v>
      </c>
      <c r="I64" t="n">
        <v>2</v>
      </c>
      <c r="J64" t="n">
        <v>0</v>
      </c>
      <c r="K64" t="n">
        <v>0</v>
      </c>
      <c r="L64" t="n">
        <v>0</v>
      </c>
      <c r="M64" t="n">
        <v>0</v>
      </c>
      <c r="N64" t="n">
        <v>0</v>
      </c>
      <c r="O64" t="n">
        <v>0</v>
      </c>
      <c r="P64" t="n">
        <v>0</v>
      </c>
      <c r="Q64" t="n">
        <v>2</v>
      </c>
      <c r="R64" s="2" t="inlineStr">
        <is>
          <t>Fjällig taggsvamp s.str.
Strimspindling</t>
        </is>
      </c>
      <c r="S64">
        <f>HYPERLINK("https://klasma.github.io/Logging_0188/artfynd/A 52825-2023 artfynd.xlsx", "A 52825-2023")</f>
        <v/>
      </c>
      <c r="T64">
        <f>HYPERLINK("https://klasma.github.io/Logging_0188/kartor/A 52825-2023 karta.png", "A 52825-2023")</f>
        <v/>
      </c>
      <c r="V64">
        <f>HYPERLINK("https://klasma.github.io/Logging_0188/klagomål/A 52825-2023 FSC-klagomål.docx", "A 52825-2023")</f>
        <v/>
      </c>
      <c r="W64">
        <f>HYPERLINK("https://klasma.github.io/Logging_0188/klagomålsmail/A 52825-2023 FSC-klagomål mail.docx", "A 52825-2023")</f>
        <v/>
      </c>
      <c r="X64">
        <f>HYPERLINK("https://klasma.github.io/Logging_0188/tillsyn/A 52825-2023 tillsynsbegäran.docx", "A 52825-2023")</f>
        <v/>
      </c>
      <c r="Y64">
        <f>HYPERLINK("https://klasma.github.io/Logging_0188/tillsynsmail/A 52825-2023 tillsynsbegäran mail.docx", "A 52825-2023")</f>
        <v/>
      </c>
    </row>
    <row r="65" ht="15" customHeight="1">
      <c r="A65" t="inlineStr">
        <is>
          <t>A 52124-2022</t>
        </is>
      </c>
      <c r="B65" s="1" t="n">
        <v>44868</v>
      </c>
      <c r="C65" s="1" t="n">
        <v>45879</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1547-2022</t>
        </is>
      </c>
      <c r="B66" s="1" t="n">
        <v>44573</v>
      </c>
      <c r="C66" s="1" t="n">
        <v>45879</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45879</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45879</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45879</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45879</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45879</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45879</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52508-2023</t>
        </is>
      </c>
      <c r="B73" s="1" t="n">
        <v>45225</v>
      </c>
      <c r="C73" s="1" t="n">
        <v>45879</v>
      </c>
      <c r="D73" t="inlineStr">
        <is>
          <t>STOCKHOLMS LÄN</t>
        </is>
      </c>
      <c r="E73" t="inlineStr">
        <is>
          <t>NORRTÄLJE</t>
        </is>
      </c>
      <c r="G73" t="n">
        <v>19.7</v>
      </c>
      <c r="H73" t="n">
        <v>1</v>
      </c>
      <c r="I73" t="n">
        <v>0</v>
      </c>
      <c r="J73" t="n">
        <v>0</v>
      </c>
      <c r="K73" t="n">
        <v>1</v>
      </c>
      <c r="L73" t="n">
        <v>0</v>
      </c>
      <c r="M73" t="n">
        <v>0</v>
      </c>
      <c r="N73" t="n">
        <v>0</v>
      </c>
      <c r="O73" t="n">
        <v>1</v>
      </c>
      <c r="P73" t="n">
        <v>1</v>
      </c>
      <c r="Q73" t="n">
        <v>1</v>
      </c>
      <c r="R73" s="2" t="inlineStr">
        <is>
          <t>Svärta</t>
        </is>
      </c>
      <c r="S73">
        <f>HYPERLINK("https://klasma.github.io/Logging_0188/artfynd/A 52508-2023 artfynd.xlsx", "A 52508-2023")</f>
        <v/>
      </c>
      <c r="T73">
        <f>HYPERLINK("https://klasma.github.io/Logging_0188/kartor/A 52508-2023 karta.png", "A 52508-2023")</f>
        <v/>
      </c>
      <c r="V73">
        <f>HYPERLINK("https://klasma.github.io/Logging_0188/klagomål/A 52508-2023 FSC-klagomål.docx", "A 52508-2023")</f>
        <v/>
      </c>
      <c r="W73">
        <f>HYPERLINK("https://klasma.github.io/Logging_0188/klagomålsmail/A 52508-2023 FSC-klagomål mail.docx", "A 52508-2023")</f>
        <v/>
      </c>
      <c r="X73">
        <f>HYPERLINK("https://klasma.github.io/Logging_0188/tillsyn/A 52508-2023 tillsynsbegäran.docx", "A 52508-2023")</f>
        <v/>
      </c>
      <c r="Y73">
        <f>HYPERLINK("https://klasma.github.io/Logging_0188/tillsynsmail/A 52508-2023 tillsynsbegäran mail.docx", "A 52508-2023")</f>
        <v/>
      </c>
    </row>
    <row r="74" ht="15" customHeight="1">
      <c r="A74" t="inlineStr">
        <is>
          <t>A 27538-2024</t>
        </is>
      </c>
      <c r="B74" s="1" t="n">
        <v>45474</v>
      </c>
      <c r="C74" s="1" t="n">
        <v>45879</v>
      </c>
      <c r="D74" t="inlineStr">
        <is>
          <t>STOCKHOLMS LÄN</t>
        </is>
      </c>
      <c r="E74" t="inlineStr">
        <is>
          <t>NORRTÄLJE</t>
        </is>
      </c>
      <c r="G74" t="n">
        <v>1.5</v>
      </c>
      <c r="H74" t="n">
        <v>1</v>
      </c>
      <c r="I74" t="n">
        <v>1</v>
      </c>
      <c r="J74" t="n">
        <v>0</v>
      </c>
      <c r="K74" t="n">
        <v>0</v>
      </c>
      <c r="L74" t="n">
        <v>0</v>
      </c>
      <c r="M74" t="n">
        <v>0</v>
      </c>
      <c r="N74" t="n">
        <v>0</v>
      </c>
      <c r="O74" t="n">
        <v>0</v>
      </c>
      <c r="P74" t="n">
        <v>0</v>
      </c>
      <c r="Q74" t="n">
        <v>1</v>
      </c>
      <c r="R74" s="2" t="inlineStr">
        <is>
          <t>Skogsknipprot</t>
        </is>
      </c>
      <c r="S74">
        <f>HYPERLINK("https://klasma.github.io/Logging_0188/artfynd/A 27538-2024 artfynd.xlsx", "A 27538-2024")</f>
        <v/>
      </c>
      <c r="T74">
        <f>HYPERLINK("https://klasma.github.io/Logging_0188/kartor/A 27538-2024 karta.png", "A 27538-2024")</f>
        <v/>
      </c>
      <c r="V74">
        <f>HYPERLINK("https://klasma.github.io/Logging_0188/klagomål/A 27538-2024 FSC-klagomål.docx", "A 27538-2024")</f>
        <v/>
      </c>
      <c r="W74">
        <f>HYPERLINK("https://klasma.github.io/Logging_0188/klagomålsmail/A 27538-2024 FSC-klagomål mail.docx", "A 27538-2024")</f>
        <v/>
      </c>
      <c r="X74">
        <f>HYPERLINK("https://klasma.github.io/Logging_0188/tillsyn/A 27538-2024 tillsynsbegäran.docx", "A 27538-2024")</f>
        <v/>
      </c>
      <c r="Y74">
        <f>HYPERLINK("https://klasma.github.io/Logging_0188/tillsynsmail/A 27538-2024 tillsynsbegäran mail.docx", "A 27538-2024")</f>
        <v/>
      </c>
    </row>
    <row r="75" ht="15" customHeight="1">
      <c r="A75" t="inlineStr">
        <is>
          <t>A 13271-2025</t>
        </is>
      </c>
      <c r="B75" s="1" t="n">
        <v>45735.54510416667</v>
      </c>
      <c r="C75" s="1" t="n">
        <v>45879</v>
      </c>
      <c r="D75" t="inlineStr">
        <is>
          <t>STOCKHOLMS LÄN</t>
        </is>
      </c>
      <c r="E75" t="inlineStr">
        <is>
          <t>NORRTÄLJE</t>
        </is>
      </c>
      <c r="G75" t="n">
        <v>7.2</v>
      </c>
      <c r="H75" t="n">
        <v>1</v>
      </c>
      <c r="I75" t="n">
        <v>0</v>
      </c>
      <c r="J75" t="n">
        <v>0</v>
      </c>
      <c r="K75" t="n">
        <v>0</v>
      </c>
      <c r="L75" t="n">
        <v>1</v>
      </c>
      <c r="M75" t="n">
        <v>0</v>
      </c>
      <c r="N75" t="n">
        <v>0</v>
      </c>
      <c r="O75" t="n">
        <v>1</v>
      </c>
      <c r="P75" t="n">
        <v>1</v>
      </c>
      <c r="Q75" t="n">
        <v>1</v>
      </c>
      <c r="R75" s="2" t="inlineStr">
        <is>
          <t>Asknätfjäril</t>
        </is>
      </c>
      <c r="S75">
        <f>HYPERLINK("https://klasma.github.io/Logging_0188/artfynd/A 13271-2025 artfynd.xlsx", "A 13271-2025")</f>
        <v/>
      </c>
      <c r="T75">
        <f>HYPERLINK("https://klasma.github.io/Logging_0188/kartor/A 13271-2025 karta.png", "A 13271-2025")</f>
        <v/>
      </c>
      <c r="V75">
        <f>HYPERLINK("https://klasma.github.io/Logging_0188/klagomål/A 13271-2025 FSC-klagomål.docx", "A 13271-2025")</f>
        <v/>
      </c>
      <c r="W75">
        <f>HYPERLINK("https://klasma.github.io/Logging_0188/klagomålsmail/A 13271-2025 FSC-klagomål mail.docx", "A 13271-2025")</f>
        <v/>
      </c>
      <c r="X75">
        <f>HYPERLINK("https://klasma.github.io/Logging_0188/tillsyn/A 13271-2025 tillsynsbegäran.docx", "A 13271-2025")</f>
        <v/>
      </c>
      <c r="Y75">
        <f>HYPERLINK("https://klasma.github.io/Logging_0188/tillsynsmail/A 13271-2025 tillsynsbegäran mail.docx", "A 13271-2025")</f>
        <v/>
      </c>
    </row>
    <row r="76" ht="15" customHeight="1">
      <c r="A76" t="inlineStr">
        <is>
          <t>A 4385-2023</t>
        </is>
      </c>
      <c r="B76" s="1" t="n">
        <v>44955.71322916666</v>
      </c>
      <c r="C76" s="1" t="n">
        <v>45879</v>
      </c>
      <c r="D76" t="inlineStr">
        <is>
          <t>STOCKHOLMS LÄN</t>
        </is>
      </c>
      <c r="E76" t="inlineStr">
        <is>
          <t>NORRTÄLJE</t>
        </is>
      </c>
      <c r="G76" t="n">
        <v>7.8</v>
      </c>
      <c r="H76" t="n">
        <v>1</v>
      </c>
      <c r="I76" t="n">
        <v>1</v>
      </c>
      <c r="J76" t="n">
        <v>0</v>
      </c>
      <c r="K76" t="n">
        <v>0</v>
      </c>
      <c r="L76" t="n">
        <v>0</v>
      </c>
      <c r="M76" t="n">
        <v>0</v>
      </c>
      <c r="N76" t="n">
        <v>0</v>
      </c>
      <c r="O76" t="n">
        <v>0</v>
      </c>
      <c r="P76" t="n">
        <v>0</v>
      </c>
      <c r="Q76" t="n">
        <v>1</v>
      </c>
      <c r="R76" s="2" t="inlineStr">
        <is>
          <t>Skogsknipprot</t>
        </is>
      </c>
      <c r="S76">
        <f>HYPERLINK("https://klasma.github.io/Logging_0188/artfynd/A 4385-2023 artfynd.xlsx", "A 4385-2023")</f>
        <v/>
      </c>
      <c r="T76">
        <f>HYPERLINK("https://klasma.github.io/Logging_0188/kartor/A 4385-2023 karta.png", "A 4385-2023")</f>
        <v/>
      </c>
      <c r="V76">
        <f>HYPERLINK("https://klasma.github.io/Logging_0188/klagomål/A 4385-2023 FSC-klagomål.docx", "A 4385-2023")</f>
        <v/>
      </c>
      <c r="W76">
        <f>HYPERLINK("https://klasma.github.io/Logging_0188/klagomålsmail/A 4385-2023 FSC-klagomål mail.docx", "A 4385-2023")</f>
        <v/>
      </c>
      <c r="X76">
        <f>HYPERLINK("https://klasma.github.io/Logging_0188/tillsyn/A 4385-2023 tillsynsbegäran.docx", "A 4385-2023")</f>
        <v/>
      </c>
      <c r="Y76">
        <f>HYPERLINK("https://klasma.github.io/Logging_0188/tillsynsmail/A 4385-2023 tillsynsbegäran mail.docx", "A 4385-2023")</f>
        <v/>
      </c>
    </row>
    <row r="77" ht="15" customHeight="1">
      <c r="A77" t="inlineStr">
        <is>
          <t>A 24330-2023</t>
        </is>
      </c>
      <c r="B77" s="1" t="n">
        <v>45081</v>
      </c>
      <c r="C77" s="1" t="n">
        <v>45879</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24535-2023</t>
        </is>
      </c>
      <c r="B78" s="1" t="n">
        <v>45082</v>
      </c>
      <c r="C78" s="1" t="n">
        <v>45879</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48131-2023</t>
        </is>
      </c>
      <c r="B79" s="1" t="n">
        <v>45205</v>
      </c>
      <c r="C79" s="1" t="n">
        <v>45879</v>
      </c>
      <c r="D79" t="inlineStr">
        <is>
          <t>STOCKHOLMS LÄN</t>
        </is>
      </c>
      <c r="E79" t="inlineStr">
        <is>
          <t>NORRTÄLJE</t>
        </is>
      </c>
      <c r="G79" t="n">
        <v>2.3</v>
      </c>
      <c r="H79" t="n">
        <v>0</v>
      </c>
      <c r="I79" t="n">
        <v>0</v>
      </c>
      <c r="J79" t="n">
        <v>1</v>
      </c>
      <c r="K79" t="n">
        <v>0</v>
      </c>
      <c r="L79" t="n">
        <v>0</v>
      </c>
      <c r="M79" t="n">
        <v>0</v>
      </c>
      <c r="N79" t="n">
        <v>0</v>
      </c>
      <c r="O79" t="n">
        <v>1</v>
      </c>
      <c r="P79" t="n">
        <v>0</v>
      </c>
      <c r="Q79" t="n">
        <v>1</v>
      </c>
      <c r="R79" s="2" t="inlineStr">
        <is>
          <t>Slåtterfibbla</t>
        </is>
      </c>
      <c r="S79">
        <f>HYPERLINK("https://klasma.github.io/Logging_0188/artfynd/A 48131-2023 artfynd.xlsx", "A 48131-2023")</f>
        <v/>
      </c>
      <c r="T79">
        <f>HYPERLINK("https://klasma.github.io/Logging_0188/kartor/A 48131-2023 karta.png", "A 48131-2023")</f>
        <v/>
      </c>
      <c r="V79">
        <f>HYPERLINK("https://klasma.github.io/Logging_0188/klagomål/A 48131-2023 FSC-klagomål.docx", "A 48131-2023")</f>
        <v/>
      </c>
      <c r="W79">
        <f>HYPERLINK("https://klasma.github.io/Logging_0188/klagomålsmail/A 48131-2023 FSC-klagomål mail.docx", "A 48131-2023")</f>
        <v/>
      </c>
      <c r="X79">
        <f>HYPERLINK("https://klasma.github.io/Logging_0188/tillsyn/A 48131-2023 tillsynsbegäran.docx", "A 48131-2023")</f>
        <v/>
      </c>
      <c r="Y79">
        <f>HYPERLINK("https://klasma.github.io/Logging_0188/tillsynsmail/A 48131-2023 tillsynsbegäran mail.docx", "A 48131-2023")</f>
        <v/>
      </c>
    </row>
    <row r="80" ht="15" customHeight="1">
      <c r="A80" t="inlineStr">
        <is>
          <t>A 47898-2022</t>
        </is>
      </c>
      <c r="B80" s="1" t="n">
        <v>44855</v>
      </c>
      <c r="C80" s="1" t="n">
        <v>45879</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26635-2023</t>
        </is>
      </c>
      <c r="B81" s="1" t="n">
        <v>45092</v>
      </c>
      <c r="C81" s="1" t="n">
        <v>45879</v>
      </c>
      <c r="D81" t="inlineStr">
        <is>
          <t>STOCKHOLMS LÄN</t>
        </is>
      </c>
      <c r="E81" t="inlineStr">
        <is>
          <t>NORRTÄLJE</t>
        </is>
      </c>
      <c r="G81" t="n">
        <v>3.1</v>
      </c>
      <c r="H81" t="n">
        <v>1</v>
      </c>
      <c r="I81" t="n">
        <v>0</v>
      </c>
      <c r="J81" t="n">
        <v>0</v>
      </c>
      <c r="K81" t="n">
        <v>0</v>
      </c>
      <c r="L81" t="n">
        <v>0</v>
      </c>
      <c r="M81" t="n">
        <v>0</v>
      </c>
      <c r="N81" t="n">
        <v>0</v>
      </c>
      <c r="O81" t="n">
        <v>0</v>
      </c>
      <c r="P81" t="n">
        <v>0</v>
      </c>
      <c r="Q81" t="n">
        <v>1</v>
      </c>
      <c r="R81" s="2" t="inlineStr">
        <is>
          <t>Fläcknycklar</t>
        </is>
      </c>
      <c r="S81">
        <f>HYPERLINK("https://klasma.github.io/Logging_0188/artfynd/A 26635-2023 artfynd.xlsx", "A 26635-2023")</f>
        <v/>
      </c>
      <c r="T81">
        <f>HYPERLINK("https://klasma.github.io/Logging_0188/kartor/A 26635-2023 karta.png", "A 26635-2023")</f>
        <v/>
      </c>
      <c r="V81">
        <f>HYPERLINK("https://klasma.github.io/Logging_0188/klagomål/A 26635-2023 FSC-klagomål.docx", "A 26635-2023")</f>
        <v/>
      </c>
      <c r="W81">
        <f>HYPERLINK("https://klasma.github.io/Logging_0188/klagomålsmail/A 26635-2023 FSC-klagomål mail.docx", "A 26635-2023")</f>
        <v/>
      </c>
      <c r="X81">
        <f>HYPERLINK("https://klasma.github.io/Logging_0188/tillsyn/A 26635-2023 tillsynsbegäran.docx", "A 26635-2023")</f>
        <v/>
      </c>
      <c r="Y81">
        <f>HYPERLINK("https://klasma.github.io/Logging_0188/tillsynsmail/A 26635-2023 tillsynsbegäran mail.docx", "A 26635-2023")</f>
        <v/>
      </c>
    </row>
    <row r="82" ht="15" customHeight="1">
      <c r="A82" t="inlineStr">
        <is>
          <t>A 4595-2023</t>
        </is>
      </c>
      <c r="B82" s="1" t="n">
        <v>44956</v>
      </c>
      <c r="C82" s="1" t="n">
        <v>45879</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19829-2022</t>
        </is>
      </c>
      <c r="B83" s="1" t="n">
        <v>44695.43527777777</v>
      </c>
      <c r="C83" s="1" t="n">
        <v>45879</v>
      </c>
      <c r="D83" t="inlineStr">
        <is>
          <t>STOCKHOLMS LÄN</t>
        </is>
      </c>
      <c r="E83" t="inlineStr">
        <is>
          <t>NORRTÄLJE</t>
        </is>
      </c>
      <c r="G83" t="n">
        <v>2</v>
      </c>
      <c r="H83" t="n">
        <v>1</v>
      </c>
      <c r="I83" t="n">
        <v>1</v>
      </c>
      <c r="J83" t="n">
        <v>0</v>
      </c>
      <c r="K83" t="n">
        <v>0</v>
      </c>
      <c r="L83" t="n">
        <v>0</v>
      </c>
      <c r="M83" t="n">
        <v>0</v>
      </c>
      <c r="N83" t="n">
        <v>0</v>
      </c>
      <c r="O83" t="n">
        <v>0</v>
      </c>
      <c r="P83" t="n">
        <v>0</v>
      </c>
      <c r="Q83" t="n">
        <v>1</v>
      </c>
      <c r="R83" s="2" t="inlineStr">
        <is>
          <t>Guckusko</t>
        </is>
      </c>
      <c r="S83">
        <f>HYPERLINK("https://klasma.github.io/Logging_0188/artfynd/A 19829-2022 artfynd.xlsx", "A 19829-2022")</f>
        <v/>
      </c>
      <c r="T83">
        <f>HYPERLINK("https://klasma.github.io/Logging_0188/kartor/A 19829-2022 karta.png", "A 19829-2022")</f>
        <v/>
      </c>
      <c r="V83">
        <f>HYPERLINK("https://klasma.github.io/Logging_0188/klagomål/A 19829-2022 FSC-klagomål.docx", "A 19829-2022")</f>
        <v/>
      </c>
      <c r="W83">
        <f>HYPERLINK("https://klasma.github.io/Logging_0188/klagomålsmail/A 19829-2022 FSC-klagomål mail.docx", "A 19829-2022")</f>
        <v/>
      </c>
      <c r="X83">
        <f>HYPERLINK("https://klasma.github.io/Logging_0188/tillsyn/A 19829-2022 tillsynsbegäran.docx", "A 19829-2022")</f>
        <v/>
      </c>
      <c r="Y83">
        <f>HYPERLINK("https://klasma.github.io/Logging_0188/tillsynsmail/A 19829-2022 tillsynsbegäran mail.docx", "A 19829-2022")</f>
        <v/>
      </c>
    </row>
    <row r="84" ht="15" customHeight="1">
      <c r="A84" t="inlineStr">
        <is>
          <t>A 21927-2025</t>
        </is>
      </c>
      <c r="B84" s="1" t="n">
        <v>45784.54878472222</v>
      </c>
      <c r="C84" s="1" t="n">
        <v>45879</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9955-2022</t>
        </is>
      </c>
      <c r="B85" s="1" t="n">
        <v>44620</v>
      </c>
      <c r="C85" s="1" t="n">
        <v>45879</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23905-2025</t>
        </is>
      </c>
      <c r="B86" s="1" t="n">
        <v>45794.63298611111</v>
      </c>
      <c r="C86" s="1" t="n">
        <v>45879</v>
      </c>
      <c r="D86" t="inlineStr">
        <is>
          <t>STOCKHOLMS LÄN</t>
        </is>
      </c>
      <c r="E86" t="inlineStr">
        <is>
          <t>NORRTÄLJE</t>
        </is>
      </c>
      <c r="G86" t="n">
        <v>8.4</v>
      </c>
      <c r="H86" t="n">
        <v>1</v>
      </c>
      <c r="I86" t="n">
        <v>0</v>
      </c>
      <c r="J86" t="n">
        <v>0</v>
      </c>
      <c r="K86" t="n">
        <v>0</v>
      </c>
      <c r="L86" t="n">
        <v>0</v>
      </c>
      <c r="M86" t="n">
        <v>0</v>
      </c>
      <c r="N86" t="n">
        <v>0</v>
      </c>
      <c r="O86" t="n">
        <v>0</v>
      </c>
      <c r="P86" t="n">
        <v>0</v>
      </c>
      <c r="Q86" t="n">
        <v>1</v>
      </c>
      <c r="R86" s="2" t="inlineStr">
        <is>
          <t>Blåsippa</t>
        </is>
      </c>
      <c r="S86">
        <f>HYPERLINK("https://klasma.github.io/Logging_0188/artfynd/A 23905-2025 artfynd.xlsx", "A 23905-2025")</f>
        <v/>
      </c>
      <c r="T86">
        <f>HYPERLINK("https://klasma.github.io/Logging_0188/kartor/A 23905-2025 karta.png", "A 23905-2025")</f>
        <v/>
      </c>
      <c r="V86">
        <f>HYPERLINK("https://klasma.github.io/Logging_0188/klagomål/A 23905-2025 FSC-klagomål.docx", "A 23905-2025")</f>
        <v/>
      </c>
      <c r="W86">
        <f>HYPERLINK("https://klasma.github.io/Logging_0188/klagomålsmail/A 23905-2025 FSC-klagomål mail.docx", "A 23905-2025")</f>
        <v/>
      </c>
      <c r="X86">
        <f>HYPERLINK("https://klasma.github.io/Logging_0188/tillsyn/A 23905-2025 tillsynsbegäran.docx", "A 23905-2025")</f>
        <v/>
      </c>
      <c r="Y86">
        <f>HYPERLINK("https://klasma.github.io/Logging_0188/tillsynsmail/A 23905-2025 tillsynsbegäran mail.docx", "A 23905-2025")</f>
        <v/>
      </c>
    </row>
    <row r="87" ht="15" customHeight="1">
      <c r="A87" t="inlineStr">
        <is>
          <t>A 24692-2025</t>
        </is>
      </c>
      <c r="B87" s="1" t="n">
        <v>45798</v>
      </c>
      <c r="C87" s="1" t="n">
        <v>45879</v>
      </c>
      <c r="D87" t="inlineStr">
        <is>
          <t>STOCKHOLMS LÄN</t>
        </is>
      </c>
      <c r="E87" t="inlineStr">
        <is>
          <t>NORRTÄLJE</t>
        </is>
      </c>
      <c r="G87" t="n">
        <v>26.3</v>
      </c>
      <c r="H87" t="n">
        <v>1</v>
      </c>
      <c r="I87" t="n">
        <v>0</v>
      </c>
      <c r="J87" t="n">
        <v>0</v>
      </c>
      <c r="K87" t="n">
        <v>0</v>
      </c>
      <c r="L87" t="n">
        <v>1</v>
      </c>
      <c r="M87" t="n">
        <v>0</v>
      </c>
      <c r="N87" t="n">
        <v>0</v>
      </c>
      <c r="O87" t="n">
        <v>1</v>
      </c>
      <c r="P87" t="n">
        <v>1</v>
      </c>
      <c r="Q87" t="n">
        <v>1</v>
      </c>
      <c r="R87" s="2" t="inlineStr">
        <is>
          <t>Asknätfjäril</t>
        </is>
      </c>
      <c r="S87">
        <f>HYPERLINK("https://klasma.github.io/Logging_0188/artfynd/A 24692-2025 artfynd.xlsx", "A 24692-2025")</f>
        <v/>
      </c>
      <c r="T87">
        <f>HYPERLINK("https://klasma.github.io/Logging_0188/kartor/A 24692-2025 karta.png", "A 24692-2025")</f>
        <v/>
      </c>
      <c r="V87">
        <f>HYPERLINK("https://klasma.github.io/Logging_0188/klagomål/A 24692-2025 FSC-klagomål.docx", "A 24692-2025")</f>
        <v/>
      </c>
      <c r="W87">
        <f>HYPERLINK("https://klasma.github.io/Logging_0188/klagomålsmail/A 24692-2025 FSC-klagomål mail.docx", "A 24692-2025")</f>
        <v/>
      </c>
      <c r="X87">
        <f>HYPERLINK("https://klasma.github.io/Logging_0188/tillsyn/A 24692-2025 tillsynsbegäran.docx", "A 24692-2025")</f>
        <v/>
      </c>
      <c r="Y87">
        <f>HYPERLINK("https://klasma.github.io/Logging_0188/tillsynsmail/A 24692-2025 tillsynsbegäran mail.docx", "A 24692-2025")</f>
        <v/>
      </c>
    </row>
    <row r="88" ht="15" customHeight="1">
      <c r="A88" t="inlineStr">
        <is>
          <t>A 58888-2021</t>
        </is>
      </c>
      <c r="B88" s="1" t="n">
        <v>44489</v>
      </c>
      <c r="C88" s="1" t="n">
        <v>45879</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33548-2025</t>
        </is>
      </c>
      <c r="B89" s="1" t="n">
        <v>45841.5721875</v>
      </c>
      <c r="C89" s="1" t="n">
        <v>45879</v>
      </c>
      <c r="D89" t="inlineStr">
        <is>
          <t>STOCKHOLMS LÄN</t>
        </is>
      </c>
      <c r="E89" t="inlineStr">
        <is>
          <t>NORRTÄLJE</t>
        </is>
      </c>
      <c r="G89" t="n">
        <v>12.2</v>
      </c>
      <c r="H89" t="n">
        <v>0</v>
      </c>
      <c r="I89" t="n">
        <v>0</v>
      </c>
      <c r="J89" t="n">
        <v>1</v>
      </c>
      <c r="K89" t="n">
        <v>0</v>
      </c>
      <c r="L89" t="n">
        <v>0</v>
      </c>
      <c r="M89" t="n">
        <v>0</v>
      </c>
      <c r="N89" t="n">
        <v>0</v>
      </c>
      <c r="O89" t="n">
        <v>1</v>
      </c>
      <c r="P89" t="n">
        <v>0</v>
      </c>
      <c r="Q89" t="n">
        <v>1</v>
      </c>
      <c r="R89" s="2" t="inlineStr">
        <is>
          <t>Dofttaggsvamp</t>
        </is>
      </c>
      <c r="S89">
        <f>HYPERLINK("https://klasma.github.io/Logging_0188/artfynd/A 33548-2025 artfynd.xlsx", "A 33548-2025")</f>
        <v/>
      </c>
      <c r="T89">
        <f>HYPERLINK("https://klasma.github.io/Logging_0188/kartor/A 33548-2025 karta.png", "A 33548-2025")</f>
        <v/>
      </c>
      <c r="V89">
        <f>HYPERLINK("https://klasma.github.io/Logging_0188/klagomål/A 33548-2025 FSC-klagomål.docx", "A 33548-2025")</f>
        <v/>
      </c>
      <c r="W89">
        <f>HYPERLINK("https://klasma.github.io/Logging_0188/klagomålsmail/A 33548-2025 FSC-klagomål mail.docx", "A 33548-2025")</f>
        <v/>
      </c>
      <c r="X89">
        <f>HYPERLINK("https://klasma.github.io/Logging_0188/tillsyn/A 33548-2025 tillsynsbegäran.docx", "A 33548-2025")</f>
        <v/>
      </c>
      <c r="Y89">
        <f>HYPERLINK("https://klasma.github.io/Logging_0188/tillsynsmail/A 33548-2025 tillsynsbegäran mail.docx", "A 33548-2025")</f>
        <v/>
      </c>
    </row>
    <row r="90" ht="15" customHeight="1">
      <c r="A90" t="inlineStr">
        <is>
          <t>A 25687-2025</t>
        </is>
      </c>
      <c r="B90" s="1" t="n">
        <v>45800</v>
      </c>
      <c r="C90" s="1" t="n">
        <v>45879</v>
      </c>
      <c r="D90" t="inlineStr">
        <is>
          <t>STOCKHOLMS LÄN</t>
        </is>
      </c>
      <c r="E90" t="inlineStr">
        <is>
          <t>NORRTÄLJE</t>
        </is>
      </c>
      <c r="G90" t="n">
        <v>15.7</v>
      </c>
      <c r="H90" t="n">
        <v>0</v>
      </c>
      <c r="I90" t="n">
        <v>1</v>
      </c>
      <c r="J90" t="n">
        <v>0</v>
      </c>
      <c r="K90" t="n">
        <v>0</v>
      </c>
      <c r="L90" t="n">
        <v>0</v>
      </c>
      <c r="M90" t="n">
        <v>0</v>
      </c>
      <c r="N90" t="n">
        <v>0</v>
      </c>
      <c r="O90" t="n">
        <v>0</v>
      </c>
      <c r="P90" t="n">
        <v>0</v>
      </c>
      <c r="Q90" t="n">
        <v>1</v>
      </c>
      <c r="R90" s="2" t="inlineStr">
        <is>
          <t>Grönpyrola</t>
        </is>
      </c>
      <c r="S90">
        <f>HYPERLINK("https://klasma.github.io/Logging_0188/artfynd/A 25687-2025 artfynd.xlsx", "A 25687-2025")</f>
        <v/>
      </c>
      <c r="T90">
        <f>HYPERLINK("https://klasma.github.io/Logging_0188/kartor/A 25687-2025 karta.png", "A 25687-2025")</f>
        <v/>
      </c>
      <c r="V90">
        <f>HYPERLINK("https://klasma.github.io/Logging_0188/klagomål/A 25687-2025 FSC-klagomål.docx", "A 25687-2025")</f>
        <v/>
      </c>
      <c r="W90">
        <f>HYPERLINK("https://klasma.github.io/Logging_0188/klagomålsmail/A 25687-2025 FSC-klagomål mail.docx", "A 25687-2025")</f>
        <v/>
      </c>
      <c r="X90">
        <f>HYPERLINK("https://klasma.github.io/Logging_0188/tillsyn/A 25687-2025 tillsynsbegäran.docx", "A 25687-2025")</f>
        <v/>
      </c>
      <c r="Y90">
        <f>HYPERLINK("https://klasma.github.io/Logging_0188/tillsynsmail/A 25687-2025 tillsynsbegäran mail.docx", "A 25687-2025")</f>
        <v/>
      </c>
    </row>
    <row r="91" ht="15" customHeight="1">
      <c r="A91" t="inlineStr">
        <is>
          <t>A 4532-2025</t>
        </is>
      </c>
      <c r="B91" s="1" t="n">
        <v>45687.34177083334</v>
      </c>
      <c r="C91" s="1" t="n">
        <v>45879</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35649-2023</t>
        </is>
      </c>
      <c r="B92" s="1" t="n">
        <v>45146</v>
      </c>
      <c r="C92" s="1" t="n">
        <v>45879</v>
      </c>
      <c r="D92" t="inlineStr">
        <is>
          <t>STOCKHOLMS LÄN</t>
        </is>
      </c>
      <c r="E92" t="inlineStr">
        <is>
          <t>NORRTÄLJE</t>
        </is>
      </c>
      <c r="G92" t="n">
        <v>25.1</v>
      </c>
      <c r="H92" t="n">
        <v>0</v>
      </c>
      <c r="I92" t="n">
        <v>0</v>
      </c>
      <c r="J92" t="n">
        <v>1</v>
      </c>
      <c r="K92" t="n">
        <v>0</v>
      </c>
      <c r="L92" t="n">
        <v>0</v>
      </c>
      <c r="M92" t="n">
        <v>0</v>
      </c>
      <c r="N92" t="n">
        <v>0</v>
      </c>
      <c r="O92" t="n">
        <v>1</v>
      </c>
      <c r="P92" t="n">
        <v>0</v>
      </c>
      <c r="Q92" t="n">
        <v>1</v>
      </c>
      <c r="R92" s="2" t="inlineStr">
        <is>
          <t>Månlåsbräken</t>
        </is>
      </c>
      <c r="S92">
        <f>HYPERLINK("https://klasma.github.io/Logging_0188/artfynd/A 35649-2023 artfynd.xlsx", "A 35649-2023")</f>
        <v/>
      </c>
      <c r="T92">
        <f>HYPERLINK("https://klasma.github.io/Logging_0188/kartor/A 35649-2023 karta.png", "A 35649-2023")</f>
        <v/>
      </c>
      <c r="V92">
        <f>HYPERLINK("https://klasma.github.io/Logging_0188/klagomål/A 35649-2023 FSC-klagomål.docx", "A 35649-2023")</f>
        <v/>
      </c>
      <c r="W92">
        <f>HYPERLINK("https://klasma.github.io/Logging_0188/klagomålsmail/A 35649-2023 FSC-klagomål mail.docx", "A 35649-2023")</f>
        <v/>
      </c>
      <c r="X92">
        <f>HYPERLINK("https://klasma.github.io/Logging_0188/tillsyn/A 35649-2023 tillsynsbegäran.docx", "A 35649-2023")</f>
        <v/>
      </c>
      <c r="Y92">
        <f>HYPERLINK("https://klasma.github.io/Logging_0188/tillsynsmail/A 35649-2023 tillsynsbegäran mail.docx", "A 35649-2023")</f>
        <v/>
      </c>
    </row>
    <row r="93" ht="15" customHeight="1">
      <c r="A93" t="inlineStr">
        <is>
          <t>A 35764-2024</t>
        </is>
      </c>
      <c r="B93" s="1" t="n">
        <v>45532</v>
      </c>
      <c r="C93" s="1" t="n">
        <v>45879</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25669-2025</t>
        </is>
      </c>
      <c r="B94" s="1" t="n">
        <v>45803.62766203703</v>
      </c>
      <c r="C94" s="1" t="n">
        <v>45879</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16870-2025</t>
        </is>
      </c>
      <c r="B95" s="1" t="n">
        <v>45754</v>
      </c>
      <c r="C95" s="1" t="n">
        <v>45879</v>
      </c>
      <c r="D95" t="inlineStr">
        <is>
          <t>STOCKHOLMS LÄN</t>
        </is>
      </c>
      <c r="E95" t="inlineStr">
        <is>
          <t>NORRTÄLJE</t>
        </is>
      </c>
      <c r="G95" t="n">
        <v>24.6</v>
      </c>
      <c r="H95" t="n">
        <v>1</v>
      </c>
      <c r="I95" t="n">
        <v>0</v>
      </c>
      <c r="J95" t="n">
        <v>0</v>
      </c>
      <c r="K95" t="n">
        <v>0</v>
      </c>
      <c r="L95" t="n">
        <v>0</v>
      </c>
      <c r="M95" t="n">
        <v>0</v>
      </c>
      <c r="N95" t="n">
        <v>0</v>
      </c>
      <c r="O95" t="n">
        <v>0</v>
      </c>
      <c r="P95" t="n">
        <v>0</v>
      </c>
      <c r="Q95" t="n">
        <v>1</v>
      </c>
      <c r="R95" s="2" t="inlineStr">
        <is>
          <t>Vanlig groda</t>
        </is>
      </c>
      <c r="S95">
        <f>HYPERLINK("https://klasma.github.io/Logging_0188/artfynd/A 16870-2025 artfynd.xlsx", "A 16870-2025")</f>
        <v/>
      </c>
      <c r="T95">
        <f>HYPERLINK("https://klasma.github.io/Logging_0188/kartor/A 16870-2025 karta.png", "A 16870-2025")</f>
        <v/>
      </c>
      <c r="V95">
        <f>HYPERLINK("https://klasma.github.io/Logging_0188/klagomål/A 16870-2025 FSC-klagomål.docx", "A 16870-2025")</f>
        <v/>
      </c>
      <c r="W95">
        <f>HYPERLINK("https://klasma.github.io/Logging_0188/klagomålsmail/A 16870-2025 FSC-klagomål mail.docx", "A 16870-2025")</f>
        <v/>
      </c>
      <c r="X95">
        <f>HYPERLINK("https://klasma.github.io/Logging_0188/tillsyn/A 16870-2025 tillsynsbegäran.docx", "A 16870-2025")</f>
        <v/>
      </c>
      <c r="Y95">
        <f>HYPERLINK("https://klasma.github.io/Logging_0188/tillsynsmail/A 16870-2025 tillsynsbegäran mail.docx", "A 16870-2025")</f>
        <v/>
      </c>
    </row>
    <row r="96" ht="15" customHeight="1">
      <c r="A96" t="inlineStr">
        <is>
          <t>A 21744-2023</t>
        </is>
      </c>
      <c r="B96" s="1" t="n">
        <v>45065</v>
      </c>
      <c r="C96" s="1" t="n">
        <v>45879</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17952-2022</t>
        </is>
      </c>
      <c r="B97" s="1" t="n">
        <v>44683</v>
      </c>
      <c r="C97" s="1" t="n">
        <v>45879</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14365-2025</t>
        </is>
      </c>
      <c r="B98" s="1" t="n">
        <v>45741.38688657407</v>
      </c>
      <c r="C98" s="1" t="n">
        <v>45879</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21150-2022</t>
        </is>
      </c>
      <c r="B99" s="1" t="n">
        <v>44704</v>
      </c>
      <c r="C99" s="1" t="n">
        <v>45879</v>
      </c>
      <c r="D99" t="inlineStr">
        <is>
          <t>STOCKHOLMS LÄN</t>
        </is>
      </c>
      <c r="E99" t="inlineStr">
        <is>
          <t>NORRTÄLJE</t>
        </is>
      </c>
      <c r="G99" t="n">
        <v>12.5</v>
      </c>
      <c r="H99" t="n">
        <v>1</v>
      </c>
      <c r="I99" t="n">
        <v>0</v>
      </c>
      <c r="J99" t="n">
        <v>0</v>
      </c>
      <c r="K99" t="n">
        <v>0</v>
      </c>
      <c r="L99" t="n">
        <v>1</v>
      </c>
      <c r="M99" t="n">
        <v>0</v>
      </c>
      <c r="N99" t="n">
        <v>0</v>
      </c>
      <c r="O99" t="n">
        <v>1</v>
      </c>
      <c r="P99" t="n">
        <v>1</v>
      </c>
      <c r="Q99" t="n">
        <v>1</v>
      </c>
      <c r="R99" s="2" t="inlineStr">
        <is>
          <t>Asknätfjäril</t>
        </is>
      </c>
      <c r="S99">
        <f>HYPERLINK("https://klasma.github.io/Logging_0188/artfynd/A 21150-2022 artfynd.xlsx", "A 21150-2022")</f>
        <v/>
      </c>
      <c r="T99">
        <f>HYPERLINK("https://klasma.github.io/Logging_0188/kartor/A 21150-2022 karta.png", "A 21150-2022")</f>
        <v/>
      </c>
      <c r="V99">
        <f>HYPERLINK("https://klasma.github.io/Logging_0188/klagomål/A 21150-2022 FSC-klagomål.docx", "A 21150-2022")</f>
        <v/>
      </c>
      <c r="W99">
        <f>HYPERLINK("https://klasma.github.io/Logging_0188/klagomålsmail/A 21150-2022 FSC-klagomål mail.docx", "A 21150-2022")</f>
        <v/>
      </c>
      <c r="X99">
        <f>HYPERLINK("https://klasma.github.io/Logging_0188/tillsyn/A 21150-2022 tillsynsbegäran.docx", "A 21150-2022")</f>
        <v/>
      </c>
      <c r="Y99">
        <f>HYPERLINK("https://klasma.github.io/Logging_0188/tillsynsmail/A 21150-2022 tillsynsbegäran mail.docx", "A 21150-2022")</f>
        <v/>
      </c>
    </row>
    <row r="100" ht="15" customHeight="1">
      <c r="A100" t="inlineStr">
        <is>
          <t>A 6381-2023</t>
        </is>
      </c>
      <c r="B100" s="1" t="n">
        <v>44965</v>
      </c>
      <c r="C100" s="1" t="n">
        <v>45879</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8371-2025</t>
        </is>
      </c>
      <c r="B101" s="1" t="n">
        <v>45708</v>
      </c>
      <c r="C101" s="1" t="n">
        <v>45879</v>
      </c>
      <c r="D101" t="inlineStr">
        <is>
          <t>STOCKHOLMS LÄN</t>
        </is>
      </c>
      <c r="E101" t="inlineStr">
        <is>
          <t>NORRTÄLJE</t>
        </is>
      </c>
      <c r="F101" t="inlineStr">
        <is>
          <t>Övriga Aktiebolag</t>
        </is>
      </c>
      <c r="G101" t="n">
        <v>2.9</v>
      </c>
      <c r="H101" t="n">
        <v>1</v>
      </c>
      <c r="I101" t="n">
        <v>0</v>
      </c>
      <c r="J101" t="n">
        <v>1</v>
      </c>
      <c r="K101" t="n">
        <v>0</v>
      </c>
      <c r="L101" t="n">
        <v>0</v>
      </c>
      <c r="M101" t="n">
        <v>0</v>
      </c>
      <c r="N101" t="n">
        <v>0</v>
      </c>
      <c r="O101" t="n">
        <v>1</v>
      </c>
      <c r="P101" t="n">
        <v>0</v>
      </c>
      <c r="Q101" t="n">
        <v>1</v>
      </c>
      <c r="R101" s="2" t="inlineStr">
        <is>
          <t>Spillkråka</t>
        </is>
      </c>
      <c r="S101">
        <f>HYPERLINK("https://klasma.github.io/Logging_0188/artfynd/A 8371-2025 artfynd.xlsx", "A 8371-2025")</f>
        <v/>
      </c>
      <c r="T101">
        <f>HYPERLINK("https://klasma.github.io/Logging_0188/kartor/A 8371-2025 karta.png", "A 8371-2025")</f>
        <v/>
      </c>
      <c r="V101">
        <f>HYPERLINK("https://klasma.github.io/Logging_0188/klagomål/A 8371-2025 FSC-klagomål.docx", "A 8371-2025")</f>
        <v/>
      </c>
      <c r="W101">
        <f>HYPERLINK("https://klasma.github.io/Logging_0188/klagomålsmail/A 8371-2025 FSC-klagomål mail.docx", "A 8371-2025")</f>
        <v/>
      </c>
      <c r="X101">
        <f>HYPERLINK("https://klasma.github.io/Logging_0188/tillsyn/A 8371-2025 tillsynsbegäran.docx", "A 8371-2025")</f>
        <v/>
      </c>
      <c r="Y101">
        <f>HYPERLINK("https://klasma.github.io/Logging_0188/tillsynsmail/A 8371-2025 tillsynsbegäran mail.docx", "A 8371-2025")</f>
        <v/>
      </c>
      <c r="Z101">
        <f>HYPERLINK("https://klasma.github.io/Logging_0188/fåglar/A 8371-2025 prioriterade fågelarter.docx", "A 8371-2025")</f>
        <v/>
      </c>
    </row>
    <row r="102" ht="15" customHeight="1">
      <c r="A102" t="inlineStr">
        <is>
          <t>A 29946-2025</t>
        </is>
      </c>
      <c r="B102" s="1" t="n">
        <v>45826.46392361111</v>
      </c>
      <c r="C102" s="1" t="n">
        <v>45879</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23146-2024</t>
        </is>
      </c>
      <c r="B103" s="1" t="n">
        <v>45450.63958333333</v>
      </c>
      <c r="C103" s="1" t="n">
        <v>45879</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1162-2021</t>
        </is>
      </c>
      <c r="B104" s="1" t="n">
        <v>44207</v>
      </c>
      <c r="C104" s="1" t="n">
        <v>45879</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26120-2024</t>
        </is>
      </c>
      <c r="B105" s="1" t="n">
        <v>45468.45995370371</v>
      </c>
      <c r="C105" s="1" t="n">
        <v>45879</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11429-2023</t>
        </is>
      </c>
      <c r="B106" s="1" t="n">
        <v>44993</v>
      </c>
      <c r="C106" s="1" t="n">
        <v>45879</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50854-2022</t>
        </is>
      </c>
      <c r="B107" s="1" t="n">
        <v>44863</v>
      </c>
      <c r="C107" s="1" t="n">
        <v>45879</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64456-2023</t>
        </is>
      </c>
      <c r="B108" s="1" t="n">
        <v>45280</v>
      </c>
      <c r="C108" s="1" t="n">
        <v>45879</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52611-2024</t>
        </is>
      </c>
      <c r="B109" s="1" t="n">
        <v>45609.83747685186</v>
      </c>
      <c r="C109" s="1" t="n">
        <v>45879</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1970-2021</t>
        </is>
      </c>
      <c r="B110" s="1" t="n">
        <v>44210</v>
      </c>
      <c r="C110" s="1" t="n">
        <v>45879</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45879</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45879</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45879</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45879</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45879</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45879</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45879</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45879</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45879</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45879</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45879</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45879</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45879</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45879</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45879</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45879</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45879</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45879</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45879</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45879</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45879</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45879</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45879</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45879</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45879</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45879</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45879</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45879</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45879</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45879</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45879</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45879</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45879</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45879</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45879</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45879</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45879</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45879</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45879</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45879</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10711-2022</t>
        </is>
      </c>
      <c r="B151" s="1" t="n">
        <v>44626</v>
      </c>
      <c r="C151" s="1" t="n">
        <v>45879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45879</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45879</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45879</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45879</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45879</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45879</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45879</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45879</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45879</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45879</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45879</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45879</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45879</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19729-2022</t>
        </is>
      </c>
      <c r="B165" s="1" t="n">
        <v>44694.57549768518</v>
      </c>
      <c r="C165" s="1" t="n">
        <v>45879</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45879</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45879</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45879</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45879</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45879</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45879</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45879</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45879</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45879</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45879</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45879</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45879</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45879</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45879</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45879</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45879</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45879</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45879</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45879</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45879</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45879</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45879</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44274-2021</t>
        </is>
      </c>
      <c r="B188" s="1" t="n">
        <v>44435</v>
      </c>
      <c r="C188" s="1" t="n">
        <v>45879</v>
      </c>
      <c r="D188" t="inlineStr">
        <is>
          <t>STOCKHOLMS LÄN</t>
        </is>
      </c>
      <c r="E188" t="inlineStr">
        <is>
          <t>NORRTÄLJE</t>
        </is>
      </c>
      <c r="G188" t="n">
        <v>1</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45879</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45879</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45879</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45879</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45879</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45879</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45879</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45879</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45879</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45879</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45879</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45879</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45879</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45879</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45879</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19728-2022</t>
        </is>
      </c>
      <c r="B204" s="1" t="n">
        <v>44694.57413194444</v>
      </c>
      <c r="C204" s="1" t="n">
        <v>45879</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45879</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45879</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45879</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41398-2022</t>
        </is>
      </c>
      <c r="B208" s="1" t="n">
        <v>44826</v>
      </c>
      <c r="C208" s="1" t="n">
        <v>45879</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22369-2021</t>
        </is>
      </c>
      <c r="B209" s="1" t="n">
        <v>44326</v>
      </c>
      <c r="C209" s="1" t="n">
        <v>45879</v>
      </c>
      <c r="D209" t="inlineStr">
        <is>
          <t>STOCKHOLMS LÄN</t>
        </is>
      </c>
      <c r="E209" t="inlineStr">
        <is>
          <t>NORRTÄLJE</t>
        </is>
      </c>
      <c r="F209" t="inlineStr">
        <is>
          <t>Holmen skog AB</t>
        </is>
      </c>
      <c r="G209" t="n">
        <v>3.4</v>
      </c>
      <c r="H209" t="n">
        <v>0</v>
      </c>
      <c r="I209" t="n">
        <v>0</v>
      </c>
      <c r="J209" t="n">
        <v>0</v>
      </c>
      <c r="K209" t="n">
        <v>0</v>
      </c>
      <c r="L209" t="n">
        <v>0</v>
      </c>
      <c r="M209" t="n">
        <v>0</v>
      </c>
      <c r="N209" t="n">
        <v>0</v>
      </c>
      <c r="O209" t="n">
        <v>0</v>
      </c>
      <c r="P209" t="n">
        <v>0</v>
      </c>
      <c r="Q209" t="n">
        <v>0</v>
      </c>
      <c r="R209" s="2" t="inlineStr"/>
    </row>
    <row r="210" ht="15" customHeight="1">
      <c r="A210" t="inlineStr">
        <is>
          <t>A 7565-2022</t>
        </is>
      </c>
      <c r="B210" s="1" t="n">
        <v>44607</v>
      </c>
      <c r="C210" s="1" t="n">
        <v>45879</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41822-2021</t>
        </is>
      </c>
      <c r="B211" s="1" t="n">
        <v>44425</v>
      </c>
      <c r="C211" s="1" t="n">
        <v>45879</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41823-2021</t>
        </is>
      </c>
      <c r="B212" s="1" t="n">
        <v>44425</v>
      </c>
      <c r="C212" s="1" t="n">
        <v>45879</v>
      </c>
      <c r="D212" t="inlineStr">
        <is>
          <t>STOCKHOLMS LÄN</t>
        </is>
      </c>
      <c r="E212" t="inlineStr">
        <is>
          <t>NORRTÄLJE</t>
        </is>
      </c>
      <c r="G212" t="n">
        <v>2.4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45879</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1968-2022</t>
        </is>
      </c>
      <c r="B214" s="1" t="n">
        <v>44575.52831018518</v>
      </c>
      <c r="C214" s="1" t="n">
        <v>45879</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45879</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45879</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19398-2021</t>
        </is>
      </c>
      <c r="B217" s="1" t="n">
        <v>44309</v>
      </c>
      <c r="C217" s="1" t="n">
        <v>45879</v>
      </c>
      <c r="D217" t="inlineStr">
        <is>
          <t>STOCKHOLMS LÄN</t>
        </is>
      </c>
      <c r="E217" t="inlineStr">
        <is>
          <t>NORRTÄLJE</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45879</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20295-2022</t>
        </is>
      </c>
      <c r="B219" s="1" t="n">
        <v>44698</v>
      </c>
      <c r="C219" s="1" t="n">
        <v>45879</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45541-2022</t>
        </is>
      </c>
      <c r="B220" s="1" t="n">
        <v>44845.47672453704</v>
      </c>
      <c r="C220" s="1" t="n">
        <v>45879</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37415-2021</t>
        </is>
      </c>
      <c r="B221" s="1" t="n">
        <v>44397</v>
      </c>
      <c r="C221" s="1" t="n">
        <v>45879</v>
      </c>
      <c r="D221" t="inlineStr">
        <is>
          <t>STOCKHOLMS LÄN</t>
        </is>
      </c>
      <c r="E221" t="inlineStr">
        <is>
          <t>NORRTÄLJE</t>
        </is>
      </c>
      <c r="F221" t="inlineStr">
        <is>
          <t>Övriga Aktiebolag</t>
        </is>
      </c>
      <c r="G221" t="n">
        <v>3</v>
      </c>
      <c r="H221" t="n">
        <v>0</v>
      </c>
      <c r="I221" t="n">
        <v>0</v>
      </c>
      <c r="J221" t="n">
        <v>0</v>
      </c>
      <c r="K221" t="n">
        <v>0</v>
      </c>
      <c r="L221" t="n">
        <v>0</v>
      </c>
      <c r="M221" t="n">
        <v>0</v>
      </c>
      <c r="N221" t="n">
        <v>0</v>
      </c>
      <c r="O221" t="n">
        <v>0</v>
      </c>
      <c r="P221" t="n">
        <v>0</v>
      </c>
      <c r="Q221" t="n">
        <v>0</v>
      </c>
      <c r="R221" s="2" t="inlineStr"/>
    </row>
    <row r="222" ht="15" customHeight="1">
      <c r="A222" t="inlineStr">
        <is>
          <t>A 12779-2021</t>
        </is>
      </c>
      <c r="B222" s="1" t="n">
        <v>44270</v>
      </c>
      <c r="C222" s="1" t="n">
        <v>45879</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12782-2021</t>
        </is>
      </c>
      <c r="B223" s="1" t="n">
        <v>44270</v>
      </c>
      <c r="C223" s="1" t="n">
        <v>45879</v>
      </c>
      <c r="D223" t="inlineStr">
        <is>
          <t>STOCKHOLMS LÄN</t>
        </is>
      </c>
      <c r="E223" t="inlineStr">
        <is>
          <t>NORRTÄLJE</t>
        </is>
      </c>
      <c r="G223" t="n">
        <v>3.8</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45879</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71871-2021</t>
        </is>
      </c>
      <c r="B225" s="1" t="n">
        <v>44543</v>
      </c>
      <c r="C225" s="1" t="n">
        <v>45879</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71873-2021</t>
        </is>
      </c>
      <c r="B226" s="1" t="n">
        <v>44543</v>
      </c>
      <c r="C226" s="1" t="n">
        <v>45879</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68273-2021</t>
        </is>
      </c>
      <c r="B227" s="1" t="n">
        <v>44526</v>
      </c>
      <c r="C227" s="1" t="n">
        <v>45879</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14051-2022</t>
        </is>
      </c>
      <c r="B228" s="1" t="n">
        <v>44650.92714120371</v>
      </c>
      <c r="C228" s="1" t="n">
        <v>45879</v>
      </c>
      <c r="D228" t="inlineStr">
        <is>
          <t>STOCKHOLMS LÄN</t>
        </is>
      </c>
      <c r="E228" t="inlineStr">
        <is>
          <t>NORRTÄLJE</t>
        </is>
      </c>
      <c r="G228" t="n">
        <v>2.3</v>
      </c>
      <c r="H228" t="n">
        <v>0</v>
      </c>
      <c r="I228" t="n">
        <v>0</v>
      </c>
      <c r="J228" t="n">
        <v>0</v>
      </c>
      <c r="K228" t="n">
        <v>0</v>
      </c>
      <c r="L228" t="n">
        <v>0</v>
      </c>
      <c r="M228" t="n">
        <v>0</v>
      </c>
      <c r="N228" t="n">
        <v>0</v>
      </c>
      <c r="O228" t="n">
        <v>0</v>
      </c>
      <c r="P228" t="n">
        <v>0</v>
      </c>
      <c r="Q228" t="n">
        <v>0</v>
      </c>
      <c r="R228" s="2" t="inlineStr"/>
    </row>
    <row r="229" ht="15" customHeight="1">
      <c r="A229" t="inlineStr">
        <is>
          <t>A 30286-2022</t>
        </is>
      </c>
      <c r="B229" s="1" t="n">
        <v>44760</v>
      </c>
      <c r="C229" s="1" t="n">
        <v>45879</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8160-2022</t>
        </is>
      </c>
      <c r="B230" s="1" t="n">
        <v>44609</v>
      </c>
      <c r="C230" s="1" t="n">
        <v>45879</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39319-2022</t>
        </is>
      </c>
      <c r="B231" s="1" t="n">
        <v>44817.70516203704</v>
      </c>
      <c r="C231" s="1" t="n">
        <v>45879</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45879</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45879</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5562-2021</t>
        </is>
      </c>
      <c r="B234" s="1" t="n">
        <v>44230</v>
      </c>
      <c r="C234" s="1" t="n">
        <v>45879</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5566-2021</t>
        </is>
      </c>
      <c r="B235" s="1" t="n">
        <v>44230</v>
      </c>
      <c r="C235" s="1" t="n">
        <v>45879</v>
      </c>
      <c r="D235" t="inlineStr">
        <is>
          <t>STOCKHOLMS LÄN</t>
        </is>
      </c>
      <c r="E235" t="inlineStr">
        <is>
          <t>NORRTÄLJE</t>
        </is>
      </c>
      <c r="G235" t="n">
        <v>3.1</v>
      </c>
      <c r="H235" t="n">
        <v>0</v>
      </c>
      <c r="I235" t="n">
        <v>0</v>
      </c>
      <c r="J235" t="n">
        <v>0</v>
      </c>
      <c r="K235" t="n">
        <v>0</v>
      </c>
      <c r="L235" t="n">
        <v>0</v>
      </c>
      <c r="M235" t="n">
        <v>0</v>
      </c>
      <c r="N235" t="n">
        <v>0</v>
      </c>
      <c r="O235" t="n">
        <v>0</v>
      </c>
      <c r="P235" t="n">
        <v>0</v>
      </c>
      <c r="Q235" t="n">
        <v>0</v>
      </c>
      <c r="R235" s="2" t="inlineStr"/>
    </row>
    <row r="236" ht="15" customHeight="1">
      <c r="A236" t="inlineStr">
        <is>
          <t>A 56219-2021</t>
        </is>
      </c>
      <c r="B236" s="1" t="n">
        <v>44477</v>
      </c>
      <c r="C236" s="1" t="n">
        <v>45879</v>
      </c>
      <c r="D236" t="inlineStr">
        <is>
          <t>STOCKHOLMS LÄN</t>
        </is>
      </c>
      <c r="E236" t="inlineStr">
        <is>
          <t>NORRTÄLJE</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24167-2022</t>
        </is>
      </c>
      <c r="B237" s="1" t="n">
        <v>44725.49491898148</v>
      </c>
      <c r="C237" s="1" t="n">
        <v>45879</v>
      </c>
      <c r="D237" t="inlineStr">
        <is>
          <t>STOCKHOLMS LÄN</t>
        </is>
      </c>
      <c r="E237" t="inlineStr">
        <is>
          <t>NORRTÄLJE</t>
        </is>
      </c>
      <c r="G237" t="n">
        <v>3.4</v>
      </c>
      <c r="H237" t="n">
        <v>0</v>
      </c>
      <c r="I237" t="n">
        <v>0</v>
      </c>
      <c r="J237" t="n">
        <v>0</v>
      </c>
      <c r="K237" t="n">
        <v>0</v>
      </c>
      <c r="L237" t="n">
        <v>0</v>
      </c>
      <c r="M237" t="n">
        <v>0</v>
      </c>
      <c r="N237" t="n">
        <v>0</v>
      </c>
      <c r="O237" t="n">
        <v>0</v>
      </c>
      <c r="P237" t="n">
        <v>0</v>
      </c>
      <c r="Q237" t="n">
        <v>0</v>
      </c>
      <c r="R237" s="2" t="inlineStr"/>
    </row>
    <row r="238" ht="15" customHeight="1">
      <c r="A238" t="inlineStr">
        <is>
          <t>A 42396-2021</t>
        </is>
      </c>
      <c r="B238" s="1" t="n">
        <v>44427</v>
      </c>
      <c r="C238" s="1" t="n">
        <v>45879</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9988-2022</t>
        </is>
      </c>
      <c r="B239" s="1" t="n">
        <v>44621</v>
      </c>
      <c r="C239" s="1" t="n">
        <v>45879</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52139-2022</t>
        </is>
      </c>
      <c r="B240" s="1" t="n">
        <v>44868</v>
      </c>
      <c r="C240" s="1" t="n">
        <v>45879</v>
      </c>
      <c r="D240" t="inlineStr">
        <is>
          <t>STOCKHOLMS LÄN</t>
        </is>
      </c>
      <c r="E240" t="inlineStr">
        <is>
          <t>NORRTÄLJE</t>
        </is>
      </c>
      <c r="G240" t="n">
        <v>3.2</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45879</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9446-2021</t>
        </is>
      </c>
      <c r="B242" s="1" t="n">
        <v>44251</v>
      </c>
      <c r="C242" s="1" t="n">
        <v>45879</v>
      </c>
      <c r="D242" t="inlineStr">
        <is>
          <t>STOCKHOLMS LÄN</t>
        </is>
      </c>
      <c r="E242" t="inlineStr">
        <is>
          <t>NORRTÄLJE</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2732-2022</t>
        </is>
      </c>
      <c r="B243" s="1" t="n">
        <v>44580</v>
      </c>
      <c r="C243" s="1" t="n">
        <v>45879</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45879</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45879</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45879</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3300-2022</t>
        </is>
      </c>
      <c r="B247" s="1" t="n">
        <v>44584.91538194445</v>
      </c>
      <c r="C247" s="1" t="n">
        <v>45879</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17388-2022</t>
        </is>
      </c>
      <c r="B248" s="1" t="n">
        <v>44678</v>
      </c>
      <c r="C248" s="1" t="n">
        <v>45879</v>
      </c>
      <c r="D248" t="inlineStr">
        <is>
          <t>STOCKHOLMS LÄN</t>
        </is>
      </c>
      <c r="E248" t="inlineStr">
        <is>
          <t>NORRTÄLJE</t>
        </is>
      </c>
      <c r="G248" t="n">
        <v>2.4</v>
      </c>
      <c r="H248" t="n">
        <v>0</v>
      </c>
      <c r="I248" t="n">
        <v>0</v>
      </c>
      <c r="J248" t="n">
        <v>0</v>
      </c>
      <c r="K248" t="n">
        <v>0</v>
      </c>
      <c r="L248" t="n">
        <v>0</v>
      </c>
      <c r="M248" t="n">
        <v>0</v>
      </c>
      <c r="N248" t="n">
        <v>0</v>
      </c>
      <c r="O248" t="n">
        <v>0</v>
      </c>
      <c r="P248" t="n">
        <v>0</v>
      </c>
      <c r="Q248" t="n">
        <v>0</v>
      </c>
      <c r="R248" s="2" t="inlineStr"/>
    </row>
    <row r="249" ht="15" customHeight="1">
      <c r="A249" t="inlineStr">
        <is>
          <t>A 17673-2021</t>
        </is>
      </c>
      <c r="B249" s="1" t="n">
        <v>44300</v>
      </c>
      <c r="C249" s="1" t="n">
        <v>45879</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c r="T249">
        <f>HYPERLINK("https://klasma.github.io/Logging_0188/kartor/A 17673-2021 karta.png", "A 17673-2021")</f>
        <v/>
      </c>
      <c r="V249">
        <f>HYPERLINK("https://klasma.github.io/Logging_0188/klagomål/A 17673-2021 FSC-klagomål.docx", "A 17673-2021")</f>
        <v/>
      </c>
      <c r="W249">
        <f>HYPERLINK("https://klasma.github.io/Logging_0188/klagomålsmail/A 17673-2021 FSC-klagomål mail.docx", "A 17673-2021")</f>
        <v/>
      </c>
      <c r="X249">
        <f>HYPERLINK("https://klasma.github.io/Logging_0188/tillsyn/A 17673-2021 tillsynsbegäran.docx", "A 17673-2021")</f>
        <v/>
      </c>
      <c r="Y249">
        <f>HYPERLINK("https://klasma.github.io/Logging_0188/tillsynsmail/A 17673-2021 tillsynsbegäran mail.docx", "A 17673-2021")</f>
        <v/>
      </c>
      <c r="Z249">
        <f>HYPERLINK("https://klasma.github.io/Logging_0188/fåglar/A 17673-2021 prioriterade fågelarter.docx", "A 17673-2021")</f>
        <v/>
      </c>
    </row>
    <row r="250" ht="15" customHeight="1">
      <c r="A250" t="inlineStr">
        <is>
          <t>A 53884-2022</t>
        </is>
      </c>
      <c r="B250" s="1" t="n">
        <v>44880.68423611111</v>
      </c>
      <c r="C250" s="1" t="n">
        <v>45879</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12357-2022</t>
        </is>
      </c>
      <c r="B251" s="1" t="n">
        <v>44637</v>
      </c>
      <c r="C251" s="1" t="n">
        <v>45879</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45879</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26335-2022</t>
        </is>
      </c>
      <c r="B253" s="1" t="n">
        <v>44735</v>
      </c>
      <c r="C253" s="1" t="n">
        <v>45879</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38991-2022</t>
        </is>
      </c>
      <c r="B254" s="1" t="n">
        <v>44816.89569444444</v>
      </c>
      <c r="C254" s="1" t="n">
        <v>45879</v>
      </c>
      <c r="D254" t="inlineStr">
        <is>
          <t>STOCKHOLMS LÄN</t>
        </is>
      </c>
      <c r="E254" t="inlineStr">
        <is>
          <t>NORRTÄLJE</t>
        </is>
      </c>
      <c r="G254" t="n">
        <v>1.9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45879</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45879</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45879</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12270-2022</t>
        </is>
      </c>
      <c r="B258" s="1" t="n">
        <v>44637</v>
      </c>
      <c r="C258" s="1" t="n">
        <v>45879</v>
      </c>
      <c r="D258" t="inlineStr">
        <is>
          <t>STOCKHOLMS LÄN</t>
        </is>
      </c>
      <c r="E258" t="inlineStr">
        <is>
          <t>NORRTÄLJE</t>
        </is>
      </c>
      <c r="G258" t="n">
        <v>2.3</v>
      </c>
      <c r="H258" t="n">
        <v>0</v>
      </c>
      <c r="I258" t="n">
        <v>0</v>
      </c>
      <c r="J258" t="n">
        <v>0</v>
      </c>
      <c r="K258" t="n">
        <v>0</v>
      </c>
      <c r="L258" t="n">
        <v>0</v>
      </c>
      <c r="M258" t="n">
        <v>0</v>
      </c>
      <c r="N258" t="n">
        <v>0</v>
      </c>
      <c r="O258" t="n">
        <v>0</v>
      </c>
      <c r="P258" t="n">
        <v>0</v>
      </c>
      <c r="Q258" t="n">
        <v>0</v>
      </c>
      <c r="R258" s="2" t="inlineStr"/>
    </row>
    <row r="259" ht="15" customHeight="1">
      <c r="A259" t="inlineStr">
        <is>
          <t>A 14543-2022</t>
        </is>
      </c>
      <c r="B259" s="1" t="n">
        <v>44655.45373842592</v>
      </c>
      <c r="C259" s="1" t="n">
        <v>45879</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27217-2021</t>
        </is>
      </c>
      <c r="B260" s="1" t="n">
        <v>44350</v>
      </c>
      <c r="C260" s="1" t="n">
        <v>45879</v>
      </c>
      <c r="D260" t="inlineStr">
        <is>
          <t>STOCKHOLMS LÄN</t>
        </is>
      </c>
      <c r="E260" t="inlineStr">
        <is>
          <t>NORRTÄLJE</t>
        </is>
      </c>
      <c r="G260" t="n">
        <v>5.5</v>
      </c>
      <c r="H260" t="n">
        <v>0</v>
      </c>
      <c r="I260" t="n">
        <v>0</v>
      </c>
      <c r="J260" t="n">
        <v>0</v>
      </c>
      <c r="K260" t="n">
        <v>0</v>
      </c>
      <c r="L260" t="n">
        <v>0</v>
      </c>
      <c r="M260" t="n">
        <v>0</v>
      </c>
      <c r="N260" t="n">
        <v>0</v>
      </c>
      <c r="O260" t="n">
        <v>0</v>
      </c>
      <c r="P260" t="n">
        <v>0</v>
      </c>
      <c r="Q260" t="n">
        <v>0</v>
      </c>
      <c r="R260" s="2" t="inlineStr"/>
    </row>
    <row r="261" ht="15" customHeight="1">
      <c r="A261" t="inlineStr">
        <is>
          <t>A 57957-2020</t>
        </is>
      </c>
      <c r="B261" s="1" t="n">
        <v>44143</v>
      </c>
      <c r="C261" s="1" t="n">
        <v>45879</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30624-2022</t>
        </is>
      </c>
      <c r="B262" s="1" t="n">
        <v>44763.4182175926</v>
      </c>
      <c r="C262" s="1" t="n">
        <v>45879</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49334-2020</t>
        </is>
      </c>
      <c r="B263" s="1" t="n">
        <v>44105</v>
      </c>
      <c r="C263" s="1" t="n">
        <v>45879</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45879</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55982-2020</t>
        </is>
      </c>
      <c r="B265" s="1" t="n">
        <v>44132</v>
      </c>
      <c r="C265" s="1" t="n">
        <v>45879</v>
      </c>
      <c r="D265" t="inlineStr">
        <is>
          <t>STOCKHOLMS LÄN</t>
        </is>
      </c>
      <c r="E265" t="inlineStr">
        <is>
          <t>NORRTÄLJE</t>
        </is>
      </c>
      <c r="G265" t="n">
        <v>11.3</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45879</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45879</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45879</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45879</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52449-2021</t>
        </is>
      </c>
      <c r="B270" s="1" t="n">
        <v>44466.37496527778</v>
      </c>
      <c r="C270" s="1" t="n">
        <v>45879</v>
      </c>
      <c r="D270" t="inlineStr">
        <is>
          <t>STOCKHOLMS LÄN</t>
        </is>
      </c>
      <c r="E270" t="inlineStr">
        <is>
          <t>NORRTÄLJE</t>
        </is>
      </c>
      <c r="F270" t="inlineStr">
        <is>
          <t>Holmen skog AB</t>
        </is>
      </c>
      <c r="G270" t="n">
        <v>1.8</v>
      </c>
      <c r="H270" t="n">
        <v>0</v>
      </c>
      <c r="I270" t="n">
        <v>0</v>
      </c>
      <c r="J270" t="n">
        <v>0</v>
      </c>
      <c r="K270" t="n">
        <v>0</v>
      </c>
      <c r="L270" t="n">
        <v>0</v>
      </c>
      <c r="M270" t="n">
        <v>0</v>
      </c>
      <c r="N270" t="n">
        <v>0</v>
      </c>
      <c r="O270" t="n">
        <v>0</v>
      </c>
      <c r="P270" t="n">
        <v>0</v>
      </c>
      <c r="Q270" t="n">
        <v>0</v>
      </c>
      <c r="R270" s="2" t="inlineStr"/>
    </row>
    <row r="271" ht="15" customHeight="1">
      <c r="A271" t="inlineStr">
        <is>
          <t>A 60542-2020</t>
        </is>
      </c>
      <c r="B271" s="1" t="n">
        <v>44153</v>
      </c>
      <c r="C271" s="1" t="n">
        <v>45879</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42365-2020</t>
        </is>
      </c>
      <c r="B272" s="1" t="n">
        <v>44076</v>
      </c>
      <c r="C272" s="1" t="n">
        <v>45879</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5513-2022</t>
        </is>
      </c>
      <c r="B273" s="1" t="n">
        <v>44595</v>
      </c>
      <c r="C273" s="1" t="n">
        <v>45879</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33046-2021</t>
        </is>
      </c>
      <c r="B274" s="1" t="n">
        <v>44376</v>
      </c>
      <c r="C274" s="1" t="n">
        <v>45879</v>
      </c>
      <c r="D274" t="inlineStr">
        <is>
          <t>STOCKHOLMS LÄN</t>
        </is>
      </c>
      <c r="E274" t="inlineStr">
        <is>
          <t>NORRTÄLJE</t>
        </is>
      </c>
      <c r="G274" t="n">
        <v>2.1</v>
      </c>
      <c r="H274" t="n">
        <v>0</v>
      </c>
      <c r="I274" t="n">
        <v>0</v>
      </c>
      <c r="J274" t="n">
        <v>0</v>
      </c>
      <c r="K274" t="n">
        <v>0</v>
      </c>
      <c r="L274" t="n">
        <v>0</v>
      </c>
      <c r="M274" t="n">
        <v>0</v>
      </c>
      <c r="N274" t="n">
        <v>0</v>
      </c>
      <c r="O274" t="n">
        <v>0</v>
      </c>
      <c r="P274" t="n">
        <v>0</v>
      </c>
      <c r="Q274" t="n">
        <v>0</v>
      </c>
      <c r="R274" s="2" t="inlineStr"/>
    </row>
    <row r="275" ht="15" customHeight="1">
      <c r="A275" t="inlineStr">
        <is>
          <t>A 25463-2021</t>
        </is>
      </c>
      <c r="B275" s="1" t="n">
        <v>44342</v>
      </c>
      <c r="C275" s="1" t="n">
        <v>45879</v>
      </c>
      <c r="D275" t="inlineStr">
        <is>
          <t>STOCKHOLMS LÄN</t>
        </is>
      </c>
      <c r="E275" t="inlineStr">
        <is>
          <t>NORRTÄLJE</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21102-2022</t>
        </is>
      </c>
      <c r="B276" s="1" t="n">
        <v>44704</v>
      </c>
      <c r="C276" s="1" t="n">
        <v>45879</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45879</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45879</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26328-2022</t>
        </is>
      </c>
      <c r="B279" s="1" t="n">
        <v>44735</v>
      </c>
      <c r="C279" s="1" t="n">
        <v>45879</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45879</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66372-2020</t>
        </is>
      </c>
      <c r="B281" s="1" t="n">
        <v>44176</v>
      </c>
      <c r="C281" s="1" t="n">
        <v>45879</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5611-2022</t>
        </is>
      </c>
      <c r="B282" s="1" t="n">
        <v>44595</v>
      </c>
      <c r="C282" s="1" t="n">
        <v>45879</v>
      </c>
      <c r="D282" t="inlineStr">
        <is>
          <t>STOCKHOLMS LÄN</t>
        </is>
      </c>
      <c r="E282" t="inlineStr">
        <is>
          <t>NORRTÄLJE</t>
        </is>
      </c>
      <c r="G282" t="n">
        <v>0.5</v>
      </c>
      <c r="H282" t="n">
        <v>0</v>
      </c>
      <c r="I282" t="n">
        <v>0</v>
      </c>
      <c r="J282" t="n">
        <v>0</v>
      </c>
      <c r="K282" t="n">
        <v>0</v>
      </c>
      <c r="L282" t="n">
        <v>0</v>
      </c>
      <c r="M282" t="n">
        <v>0</v>
      </c>
      <c r="N282" t="n">
        <v>0</v>
      </c>
      <c r="O282" t="n">
        <v>0</v>
      </c>
      <c r="P282" t="n">
        <v>0</v>
      </c>
      <c r="Q282" t="n">
        <v>0</v>
      </c>
      <c r="R282" s="2" t="inlineStr"/>
    </row>
    <row r="283" ht="15" customHeight="1">
      <c r="A283" t="inlineStr">
        <is>
          <t>A 32055-2021</t>
        </is>
      </c>
      <c r="B283" s="1" t="n">
        <v>44370.72197916666</v>
      </c>
      <c r="C283" s="1" t="n">
        <v>45879</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45879</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23453-2021</t>
        </is>
      </c>
      <c r="B285" s="1" t="n">
        <v>44333</v>
      </c>
      <c r="C285" s="1" t="n">
        <v>45879</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28042-2022</t>
        </is>
      </c>
      <c r="B286" s="1" t="n">
        <v>44744</v>
      </c>
      <c r="C286" s="1" t="n">
        <v>45879</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27214-2021</t>
        </is>
      </c>
      <c r="B287" s="1" t="n">
        <v>44350</v>
      </c>
      <c r="C287" s="1" t="n">
        <v>45879</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12355-2022</t>
        </is>
      </c>
      <c r="B288" s="1" t="n">
        <v>44637</v>
      </c>
      <c r="C288" s="1" t="n">
        <v>45879</v>
      </c>
      <c r="D288" t="inlineStr">
        <is>
          <t>STOCKHOLMS LÄN</t>
        </is>
      </c>
      <c r="E288" t="inlineStr">
        <is>
          <t>NORRTÄLJE</t>
        </is>
      </c>
      <c r="G288" t="n">
        <v>10.4</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45879</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45879</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45879</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14130-2025</t>
        </is>
      </c>
      <c r="B292" s="1" t="n">
        <v>45740.47288194444</v>
      </c>
      <c r="C292" s="1" t="n">
        <v>45879</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17348-2024</t>
        </is>
      </c>
      <c r="B293" s="1" t="n">
        <v>45414.58650462963</v>
      </c>
      <c r="C293" s="1" t="n">
        <v>45879</v>
      </c>
      <c r="D293" t="inlineStr">
        <is>
          <t>STOCKHOLMS LÄN</t>
        </is>
      </c>
      <c r="E293" t="inlineStr">
        <is>
          <t>NORRTÄLJE</t>
        </is>
      </c>
      <c r="G293" t="n">
        <v>2.3</v>
      </c>
      <c r="H293" t="n">
        <v>0</v>
      </c>
      <c r="I293" t="n">
        <v>0</v>
      </c>
      <c r="J293" t="n">
        <v>0</v>
      </c>
      <c r="K293" t="n">
        <v>0</v>
      </c>
      <c r="L293" t="n">
        <v>0</v>
      </c>
      <c r="M293" t="n">
        <v>0</v>
      </c>
      <c r="N293" t="n">
        <v>0</v>
      </c>
      <c r="O293" t="n">
        <v>0</v>
      </c>
      <c r="P293" t="n">
        <v>0</v>
      </c>
      <c r="Q293" t="n">
        <v>0</v>
      </c>
      <c r="R293" s="2" t="inlineStr"/>
    </row>
    <row r="294" ht="15" customHeight="1">
      <c r="A294" t="inlineStr">
        <is>
          <t>A 12532-2025</t>
        </is>
      </c>
      <c r="B294" s="1" t="n">
        <v>45730.69143518519</v>
      </c>
      <c r="C294" s="1" t="n">
        <v>45879</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38591-2023</t>
        </is>
      </c>
      <c r="B295" s="1" t="n">
        <v>45162</v>
      </c>
      <c r="C295" s="1" t="n">
        <v>45879</v>
      </c>
      <c r="D295" t="inlineStr">
        <is>
          <t>STOCKHOLMS LÄN</t>
        </is>
      </c>
      <c r="E295" t="inlineStr">
        <is>
          <t>NORRTÄLJE</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3273-2025</t>
        </is>
      </c>
      <c r="B296" s="1" t="n">
        <v>45679</v>
      </c>
      <c r="C296" s="1" t="n">
        <v>45879</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40175-2024</t>
        </is>
      </c>
      <c r="B297" s="1" t="n">
        <v>45554.55707175926</v>
      </c>
      <c r="C297" s="1" t="n">
        <v>45879</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67598-2021</t>
        </is>
      </c>
      <c r="B298" s="1" t="n">
        <v>44524</v>
      </c>
      <c r="C298" s="1" t="n">
        <v>45879</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45879</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45879</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34461-2023</t>
        </is>
      </c>
      <c r="B301" s="1" t="n">
        <v>45139</v>
      </c>
      <c r="C301" s="1" t="n">
        <v>45879</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46914-2022</t>
        </is>
      </c>
      <c r="B302" s="1" t="n">
        <v>44851</v>
      </c>
      <c r="C302" s="1" t="n">
        <v>45879</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26639-2023</t>
        </is>
      </c>
      <c r="B303" s="1" t="n">
        <v>45092</v>
      </c>
      <c r="C303" s="1" t="n">
        <v>45879</v>
      </c>
      <c r="D303" t="inlineStr">
        <is>
          <t>STOCKHOLMS LÄN</t>
        </is>
      </c>
      <c r="E303" t="inlineStr">
        <is>
          <t>NORRTÄLJE</t>
        </is>
      </c>
      <c r="G303" t="n">
        <v>3.4</v>
      </c>
      <c r="H303" t="n">
        <v>0</v>
      </c>
      <c r="I303" t="n">
        <v>0</v>
      </c>
      <c r="J303" t="n">
        <v>0</v>
      </c>
      <c r="K303" t="n">
        <v>0</v>
      </c>
      <c r="L303" t="n">
        <v>0</v>
      </c>
      <c r="M303" t="n">
        <v>0</v>
      </c>
      <c r="N303" t="n">
        <v>0</v>
      </c>
      <c r="O303" t="n">
        <v>0</v>
      </c>
      <c r="P303" t="n">
        <v>0</v>
      </c>
      <c r="Q303" t="n">
        <v>0</v>
      </c>
      <c r="R303" s="2" t="inlineStr"/>
    </row>
    <row r="304" ht="15" customHeight="1">
      <c r="A304" t="inlineStr">
        <is>
          <t>A 34520-2021</t>
        </is>
      </c>
      <c r="B304" s="1" t="n">
        <v>44379</v>
      </c>
      <c r="C304" s="1" t="n">
        <v>45879</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15217-2023</t>
        </is>
      </c>
      <c r="B305" s="1" t="n">
        <v>45019.28847222222</v>
      </c>
      <c r="C305" s="1" t="n">
        <v>45879</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12348-2025</t>
        </is>
      </c>
      <c r="B306" s="1" t="n">
        <v>45730.35026620371</v>
      </c>
      <c r="C306" s="1" t="n">
        <v>45879</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24522-2023</t>
        </is>
      </c>
      <c r="B307" s="1" t="n">
        <v>45082.69179398148</v>
      </c>
      <c r="C307" s="1" t="n">
        <v>45879</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20244-2025</t>
        </is>
      </c>
      <c r="B308" s="1" t="n">
        <v>45772.71221064815</v>
      </c>
      <c r="C308" s="1" t="n">
        <v>45879</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50143-2023</t>
        </is>
      </c>
      <c r="B309" s="1" t="n">
        <v>45215</v>
      </c>
      <c r="C309" s="1" t="n">
        <v>45879</v>
      </c>
      <c r="D309" t="inlineStr">
        <is>
          <t>STOCKHOLMS LÄN</t>
        </is>
      </c>
      <c r="E309" t="inlineStr">
        <is>
          <t>NORRTÄLJE</t>
        </is>
      </c>
      <c r="G309" t="n">
        <v>10.3</v>
      </c>
      <c r="H309" t="n">
        <v>0</v>
      </c>
      <c r="I309" t="n">
        <v>0</v>
      </c>
      <c r="J309" t="n">
        <v>0</v>
      </c>
      <c r="K309" t="n">
        <v>0</v>
      </c>
      <c r="L309" t="n">
        <v>0</v>
      </c>
      <c r="M309" t="n">
        <v>0</v>
      </c>
      <c r="N309" t="n">
        <v>0</v>
      </c>
      <c r="O309" t="n">
        <v>0</v>
      </c>
      <c r="P309" t="n">
        <v>0</v>
      </c>
      <c r="Q309" t="n">
        <v>0</v>
      </c>
      <c r="R309" s="2" t="inlineStr"/>
    </row>
    <row r="310" ht="15" customHeight="1">
      <c r="A310" t="inlineStr">
        <is>
          <t>A 13148-2021</t>
        </is>
      </c>
      <c r="B310" s="1" t="n">
        <v>44272</v>
      </c>
      <c r="C310" s="1" t="n">
        <v>45879</v>
      </c>
      <c r="D310" t="inlineStr">
        <is>
          <t>STOCKHOLMS LÄN</t>
        </is>
      </c>
      <c r="E310" t="inlineStr">
        <is>
          <t>NORRTÄLJE</t>
        </is>
      </c>
      <c r="G310" t="n">
        <v>12.4</v>
      </c>
      <c r="H310" t="n">
        <v>0</v>
      </c>
      <c r="I310" t="n">
        <v>0</v>
      </c>
      <c r="J310" t="n">
        <v>0</v>
      </c>
      <c r="K310" t="n">
        <v>0</v>
      </c>
      <c r="L310" t="n">
        <v>0</v>
      </c>
      <c r="M310" t="n">
        <v>0</v>
      </c>
      <c r="N310" t="n">
        <v>0</v>
      </c>
      <c r="O310" t="n">
        <v>0</v>
      </c>
      <c r="P310" t="n">
        <v>0</v>
      </c>
      <c r="Q310" t="n">
        <v>0</v>
      </c>
      <c r="R310" s="2" t="inlineStr"/>
    </row>
    <row r="311" ht="15" customHeight="1">
      <c r="A311" t="inlineStr">
        <is>
          <t>A 27715-2022</t>
        </is>
      </c>
      <c r="B311" s="1" t="n">
        <v>44743.47407407407</v>
      </c>
      <c r="C311" s="1" t="n">
        <v>45879</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12111-2021</t>
        </is>
      </c>
      <c r="B312" s="1" t="n">
        <v>44266</v>
      </c>
      <c r="C312" s="1" t="n">
        <v>45879</v>
      </c>
      <c r="D312" t="inlineStr">
        <is>
          <t>STOCKHOLMS LÄN</t>
        </is>
      </c>
      <c r="E312" t="inlineStr">
        <is>
          <t>NORRTÄLJE</t>
        </is>
      </c>
      <c r="G312" t="n">
        <v>5.5</v>
      </c>
      <c r="H312" t="n">
        <v>0</v>
      </c>
      <c r="I312" t="n">
        <v>0</v>
      </c>
      <c r="J312" t="n">
        <v>0</v>
      </c>
      <c r="K312" t="n">
        <v>0</v>
      </c>
      <c r="L312" t="n">
        <v>0</v>
      </c>
      <c r="M312" t="n">
        <v>0</v>
      </c>
      <c r="N312" t="n">
        <v>0</v>
      </c>
      <c r="O312" t="n">
        <v>0</v>
      </c>
      <c r="P312" t="n">
        <v>0</v>
      </c>
      <c r="Q312" t="n">
        <v>0</v>
      </c>
      <c r="R312" s="2" t="inlineStr"/>
    </row>
    <row r="313" ht="15" customHeight="1">
      <c r="A313" t="inlineStr">
        <is>
          <t>A 33053-2021</t>
        </is>
      </c>
      <c r="B313" s="1" t="n">
        <v>44376</v>
      </c>
      <c r="C313" s="1" t="n">
        <v>45879</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29176-2024</t>
        </is>
      </c>
      <c r="B314" s="1" t="n">
        <v>45482.53388888889</v>
      </c>
      <c r="C314" s="1" t="n">
        <v>45879</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20013-2025</t>
        </is>
      </c>
      <c r="B315" s="1" t="n">
        <v>45772.30436342592</v>
      </c>
      <c r="C315" s="1" t="n">
        <v>45879</v>
      </c>
      <c r="D315" t="inlineStr">
        <is>
          <t>STOCKHOLMS LÄN</t>
        </is>
      </c>
      <c r="E315" t="inlineStr">
        <is>
          <t>NORRTÄLJE</t>
        </is>
      </c>
      <c r="G315" t="n">
        <v>2.3</v>
      </c>
      <c r="H315" t="n">
        <v>0</v>
      </c>
      <c r="I315" t="n">
        <v>0</v>
      </c>
      <c r="J315" t="n">
        <v>0</v>
      </c>
      <c r="K315" t="n">
        <v>0</v>
      </c>
      <c r="L315" t="n">
        <v>0</v>
      </c>
      <c r="M315" t="n">
        <v>0</v>
      </c>
      <c r="N315" t="n">
        <v>0</v>
      </c>
      <c r="O315" t="n">
        <v>0</v>
      </c>
      <c r="P315" t="n">
        <v>0</v>
      </c>
      <c r="Q315" t="n">
        <v>0</v>
      </c>
      <c r="R315" s="2" t="inlineStr"/>
    </row>
    <row r="316" ht="15" customHeight="1">
      <c r="A316" t="inlineStr">
        <is>
          <t>A 20015-2023</t>
        </is>
      </c>
      <c r="B316" s="1" t="n">
        <v>45054</v>
      </c>
      <c r="C316" s="1" t="n">
        <v>45879</v>
      </c>
      <c r="D316" t="inlineStr">
        <is>
          <t>STOCKHOLMS LÄN</t>
        </is>
      </c>
      <c r="E316" t="inlineStr">
        <is>
          <t>NORRTÄLJE</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45879</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23271-2023</t>
        </is>
      </c>
      <c r="B318" s="1" t="n">
        <v>45075.91362268518</v>
      </c>
      <c r="C318" s="1" t="n">
        <v>45879</v>
      </c>
      <c r="D318" t="inlineStr">
        <is>
          <t>STOCKHOLMS LÄN</t>
        </is>
      </c>
      <c r="E318" t="inlineStr">
        <is>
          <t>NORRTÄLJE</t>
        </is>
      </c>
      <c r="G318" t="n">
        <v>5.1</v>
      </c>
      <c r="H318" t="n">
        <v>0</v>
      </c>
      <c r="I318" t="n">
        <v>0</v>
      </c>
      <c r="J318" t="n">
        <v>0</v>
      </c>
      <c r="K318" t="n">
        <v>0</v>
      </c>
      <c r="L318" t="n">
        <v>0</v>
      </c>
      <c r="M318" t="n">
        <v>0</v>
      </c>
      <c r="N318" t="n">
        <v>0</v>
      </c>
      <c r="O318" t="n">
        <v>0</v>
      </c>
      <c r="P318" t="n">
        <v>0</v>
      </c>
      <c r="Q318" t="n">
        <v>0</v>
      </c>
      <c r="R318" s="2" t="inlineStr"/>
    </row>
    <row r="319" ht="15" customHeight="1">
      <c r="A319" t="inlineStr">
        <is>
          <t>A 23273-2023</t>
        </is>
      </c>
      <c r="B319" s="1" t="n">
        <v>45075.91971064815</v>
      </c>
      <c r="C319" s="1" t="n">
        <v>45879</v>
      </c>
      <c r="D319" t="inlineStr">
        <is>
          <t>STOCKHOLMS LÄN</t>
        </is>
      </c>
      <c r="E319" t="inlineStr">
        <is>
          <t>NORRTÄLJE</t>
        </is>
      </c>
      <c r="G319" t="n">
        <v>7.5</v>
      </c>
      <c r="H319" t="n">
        <v>0</v>
      </c>
      <c r="I319" t="n">
        <v>0</v>
      </c>
      <c r="J319" t="n">
        <v>0</v>
      </c>
      <c r="K319" t="n">
        <v>0</v>
      </c>
      <c r="L319" t="n">
        <v>0</v>
      </c>
      <c r="M319" t="n">
        <v>0</v>
      </c>
      <c r="N319" t="n">
        <v>0</v>
      </c>
      <c r="O319" t="n">
        <v>0</v>
      </c>
      <c r="P319" t="n">
        <v>0</v>
      </c>
      <c r="Q319" t="n">
        <v>0</v>
      </c>
      <c r="R319" s="2" t="inlineStr"/>
    </row>
    <row r="320" ht="15" customHeight="1">
      <c r="A320" t="inlineStr">
        <is>
          <t>A 30802-2022</t>
        </is>
      </c>
      <c r="B320" s="1" t="n">
        <v>44764</v>
      </c>
      <c r="C320" s="1" t="n">
        <v>45879</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19706-2023</t>
        </is>
      </c>
      <c r="B321" s="1" t="n">
        <v>45051.455</v>
      </c>
      <c r="C321" s="1" t="n">
        <v>45879</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47869-2020</t>
        </is>
      </c>
      <c r="B322" s="1" t="n">
        <v>44098</v>
      </c>
      <c r="C322" s="1" t="n">
        <v>45879</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16008-2025</t>
        </is>
      </c>
      <c r="B323" s="1" t="n">
        <v>45749</v>
      </c>
      <c r="C323" s="1" t="n">
        <v>45879</v>
      </c>
      <c r="D323" t="inlineStr">
        <is>
          <t>STOCKHOLMS LÄN</t>
        </is>
      </c>
      <c r="E323" t="inlineStr">
        <is>
          <t>NORRTÄLJE</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9765-2024</t>
        </is>
      </c>
      <c r="B324" s="1" t="n">
        <v>45362.62811342593</v>
      </c>
      <c r="C324" s="1" t="n">
        <v>45879</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32111-2022</t>
        </is>
      </c>
      <c r="B325" s="1" t="n">
        <v>44778.92797453704</v>
      </c>
      <c r="C325" s="1" t="n">
        <v>45879</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45879</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5027-2025</t>
        </is>
      </c>
      <c r="B327" s="1" t="n">
        <v>45691.41101851852</v>
      </c>
      <c r="C327" s="1" t="n">
        <v>45879</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4438-2023</t>
        </is>
      </c>
      <c r="B328" s="1" t="n">
        <v>44956</v>
      </c>
      <c r="C328" s="1" t="n">
        <v>45879</v>
      </c>
      <c r="D328" t="inlineStr">
        <is>
          <t>STOCKHOLMS LÄN</t>
        </is>
      </c>
      <c r="E328" t="inlineStr">
        <is>
          <t>NORRTÄLJE</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20011-2025</t>
        </is>
      </c>
      <c r="B329" s="1" t="n">
        <v>45772.29622685185</v>
      </c>
      <c r="C329" s="1" t="n">
        <v>45879</v>
      </c>
      <c r="D329" t="inlineStr">
        <is>
          <t>STOCKHOLMS LÄN</t>
        </is>
      </c>
      <c r="E329" t="inlineStr">
        <is>
          <t>NORRTÄLJE</t>
        </is>
      </c>
      <c r="G329" t="n">
        <v>3.5</v>
      </c>
      <c r="H329" t="n">
        <v>0</v>
      </c>
      <c r="I329" t="n">
        <v>0</v>
      </c>
      <c r="J329" t="n">
        <v>0</v>
      </c>
      <c r="K329" t="n">
        <v>0</v>
      </c>
      <c r="L329" t="n">
        <v>0</v>
      </c>
      <c r="M329" t="n">
        <v>0</v>
      </c>
      <c r="N329" t="n">
        <v>0</v>
      </c>
      <c r="O329" t="n">
        <v>0</v>
      </c>
      <c r="P329" t="n">
        <v>0</v>
      </c>
      <c r="Q329" t="n">
        <v>0</v>
      </c>
      <c r="R329" s="2" t="inlineStr"/>
    </row>
    <row r="330" ht="15" customHeight="1">
      <c r="A330" t="inlineStr">
        <is>
          <t>A 24727-2023</t>
        </is>
      </c>
      <c r="B330" s="1" t="n">
        <v>45084.57695601852</v>
      </c>
      <c r="C330" s="1" t="n">
        <v>45879</v>
      </c>
      <c r="D330" t="inlineStr">
        <is>
          <t>STOCKHOLMS LÄN</t>
        </is>
      </c>
      <c r="E330" t="inlineStr">
        <is>
          <t>NORRTÄLJE</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8315-2025</t>
        </is>
      </c>
      <c r="B331" s="1" t="n">
        <v>45708.61761574074</v>
      </c>
      <c r="C331" s="1" t="n">
        <v>45879</v>
      </c>
      <c r="D331" t="inlineStr">
        <is>
          <t>STOCKHOLMS LÄN</t>
        </is>
      </c>
      <c r="E331" t="inlineStr">
        <is>
          <t>NORRTÄLJE</t>
        </is>
      </c>
      <c r="G331" t="n">
        <v>3.9</v>
      </c>
      <c r="H331" t="n">
        <v>0</v>
      </c>
      <c r="I331" t="n">
        <v>0</v>
      </c>
      <c r="J331" t="n">
        <v>0</v>
      </c>
      <c r="K331" t="n">
        <v>0</v>
      </c>
      <c r="L331" t="n">
        <v>0</v>
      </c>
      <c r="M331" t="n">
        <v>0</v>
      </c>
      <c r="N331" t="n">
        <v>0</v>
      </c>
      <c r="O331" t="n">
        <v>0</v>
      </c>
      <c r="P331" t="n">
        <v>0</v>
      </c>
      <c r="Q331" t="n">
        <v>0</v>
      </c>
      <c r="R331" s="2" t="inlineStr"/>
    </row>
    <row r="332" ht="15" customHeight="1">
      <c r="A332" t="inlineStr">
        <is>
          <t>A 47694-2023</t>
        </is>
      </c>
      <c r="B332" s="1" t="n">
        <v>45203.63303240741</v>
      </c>
      <c r="C332" s="1" t="n">
        <v>45879</v>
      </c>
      <c r="D332" t="inlineStr">
        <is>
          <t>STOCKHOLMS LÄN</t>
        </is>
      </c>
      <c r="E332" t="inlineStr">
        <is>
          <t>NORRTÄLJE</t>
        </is>
      </c>
      <c r="G332" t="n">
        <v>5.2</v>
      </c>
      <c r="H332" t="n">
        <v>0</v>
      </c>
      <c r="I332" t="n">
        <v>0</v>
      </c>
      <c r="J332" t="n">
        <v>0</v>
      </c>
      <c r="K332" t="n">
        <v>0</v>
      </c>
      <c r="L332" t="n">
        <v>0</v>
      </c>
      <c r="M332" t="n">
        <v>0</v>
      </c>
      <c r="N332" t="n">
        <v>0</v>
      </c>
      <c r="O332" t="n">
        <v>0</v>
      </c>
      <c r="P332" t="n">
        <v>0</v>
      </c>
      <c r="Q332" t="n">
        <v>0</v>
      </c>
      <c r="R332" s="2" t="inlineStr"/>
    </row>
    <row r="333" ht="15" customHeight="1">
      <c r="A333" t="inlineStr">
        <is>
          <t>A 59904-2023</t>
        </is>
      </c>
      <c r="B333" s="1" t="n">
        <v>45257</v>
      </c>
      <c r="C333" s="1" t="n">
        <v>45879</v>
      </c>
      <c r="D333" t="inlineStr">
        <is>
          <t>STOCKHOLMS LÄN</t>
        </is>
      </c>
      <c r="E333" t="inlineStr">
        <is>
          <t>NORRTÄLJE</t>
        </is>
      </c>
      <c r="G333" t="n">
        <v>17.4</v>
      </c>
      <c r="H333" t="n">
        <v>0</v>
      </c>
      <c r="I333" t="n">
        <v>0</v>
      </c>
      <c r="J333" t="n">
        <v>0</v>
      </c>
      <c r="K333" t="n">
        <v>0</v>
      </c>
      <c r="L333" t="n">
        <v>0</v>
      </c>
      <c r="M333" t="n">
        <v>0</v>
      </c>
      <c r="N333" t="n">
        <v>0</v>
      </c>
      <c r="O333" t="n">
        <v>0</v>
      </c>
      <c r="P333" t="n">
        <v>0</v>
      </c>
      <c r="Q333" t="n">
        <v>0</v>
      </c>
      <c r="R333" s="2" t="inlineStr"/>
    </row>
    <row r="334" ht="15" customHeight="1">
      <c r="A334" t="inlineStr">
        <is>
          <t>A 40656-2022</t>
        </is>
      </c>
      <c r="B334" s="1" t="n">
        <v>44824.36069444445</v>
      </c>
      <c r="C334" s="1" t="n">
        <v>45879</v>
      </c>
      <c r="D334" t="inlineStr">
        <is>
          <t>STOCKHOLMS LÄN</t>
        </is>
      </c>
      <c r="E334" t="inlineStr">
        <is>
          <t>NORRTÄLJE</t>
        </is>
      </c>
      <c r="G334" t="n">
        <v>2.7</v>
      </c>
      <c r="H334" t="n">
        <v>0</v>
      </c>
      <c r="I334" t="n">
        <v>0</v>
      </c>
      <c r="J334" t="n">
        <v>0</v>
      </c>
      <c r="K334" t="n">
        <v>0</v>
      </c>
      <c r="L334" t="n">
        <v>0</v>
      </c>
      <c r="M334" t="n">
        <v>0</v>
      </c>
      <c r="N334" t="n">
        <v>0</v>
      </c>
      <c r="O334" t="n">
        <v>0</v>
      </c>
      <c r="P334" t="n">
        <v>0</v>
      </c>
      <c r="Q334" t="n">
        <v>0</v>
      </c>
      <c r="R334" s="2" t="inlineStr"/>
    </row>
    <row r="335" ht="15" customHeight="1">
      <c r="A335" t="inlineStr">
        <is>
          <t>A 40425-2021</t>
        </is>
      </c>
      <c r="B335" s="1" t="n">
        <v>44419</v>
      </c>
      <c r="C335" s="1" t="n">
        <v>45879</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36308-2022</t>
        </is>
      </c>
      <c r="B336" s="1" t="n">
        <v>44803</v>
      </c>
      <c r="C336" s="1" t="n">
        <v>45879</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20014-2025</t>
        </is>
      </c>
      <c r="B337" s="1" t="n">
        <v>45772.3078125</v>
      </c>
      <c r="C337" s="1" t="n">
        <v>45879</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56631-2024</t>
        </is>
      </c>
      <c r="B338" s="1" t="n">
        <v>45625</v>
      </c>
      <c r="C338" s="1" t="n">
        <v>45879</v>
      </c>
      <c r="D338" t="inlineStr">
        <is>
          <t>STOCKHOLMS LÄN</t>
        </is>
      </c>
      <c r="E338" t="inlineStr">
        <is>
          <t>NORRTÄLJE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45879</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53600-2022</t>
        </is>
      </c>
      <c r="B340" s="1" t="n">
        <v>44879.70518518519</v>
      </c>
      <c r="C340" s="1" t="n">
        <v>45879</v>
      </c>
      <c r="D340" t="inlineStr">
        <is>
          <t>STOCKHOLMS LÄN</t>
        </is>
      </c>
      <c r="E340" t="inlineStr">
        <is>
          <t>NORRTÄLJE</t>
        </is>
      </c>
      <c r="G340" t="n">
        <v>4.3</v>
      </c>
      <c r="H340" t="n">
        <v>0</v>
      </c>
      <c r="I340" t="n">
        <v>0</v>
      </c>
      <c r="J340" t="n">
        <v>0</v>
      </c>
      <c r="K340" t="n">
        <v>0</v>
      </c>
      <c r="L340" t="n">
        <v>0</v>
      </c>
      <c r="M340" t="n">
        <v>0</v>
      </c>
      <c r="N340" t="n">
        <v>0</v>
      </c>
      <c r="O340" t="n">
        <v>0</v>
      </c>
      <c r="P340" t="n">
        <v>0</v>
      </c>
      <c r="Q340" t="n">
        <v>0</v>
      </c>
      <c r="R340" s="2" t="inlineStr"/>
    </row>
    <row r="341" ht="15" customHeight="1">
      <c r="A341" t="inlineStr">
        <is>
          <t>A 12251-2025</t>
        </is>
      </c>
      <c r="B341" s="1" t="n">
        <v>45729.60859953704</v>
      </c>
      <c r="C341" s="1" t="n">
        <v>45879</v>
      </c>
      <c r="D341" t="inlineStr">
        <is>
          <t>STOCKHOLMS LÄN</t>
        </is>
      </c>
      <c r="E341" t="inlineStr">
        <is>
          <t>NORRTÄLJE</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42955-2022</t>
        </is>
      </c>
      <c r="B342" s="1" t="n">
        <v>44833.40876157407</v>
      </c>
      <c r="C342" s="1" t="n">
        <v>45879</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18787-2022</t>
        </is>
      </c>
      <c r="B343" s="1" t="n">
        <v>44687</v>
      </c>
      <c r="C343" s="1" t="n">
        <v>45879</v>
      </c>
      <c r="D343" t="inlineStr">
        <is>
          <t>STOCKHOLMS LÄN</t>
        </is>
      </c>
      <c r="E343" t="inlineStr">
        <is>
          <t>NORRTÄLJE</t>
        </is>
      </c>
      <c r="G343" t="n">
        <v>2</v>
      </c>
      <c r="H343" t="n">
        <v>0</v>
      </c>
      <c r="I343" t="n">
        <v>0</v>
      </c>
      <c r="J343" t="n">
        <v>0</v>
      </c>
      <c r="K343" t="n">
        <v>0</v>
      </c>
      <c r="L343" t="n">
        <v>0</v>
      </c>
      <c r="M343" t="n">
        <v>0</v>
      </c>
      <c r="N343" t="n">
        <v>0</v>
      </c>
      <c r="O343" t="n">
        <v>0</v>
      </c>
      <c r="P343" t="n">
        <v>0</v>
      </c>
      <c r="Q343" t="n">
        <v>0</v>
      </c>
      <c r="R343" s="2" t="inlineStr"/>
    </row>
    <row r="344" ht="15" customHeight="1">
      <c r="A344" t="inlineStr">
        <is>
          <t>A 54776-2023</t>
        </is>
      </c>
      <c r="B344" s="1" t="n">
        <v>45236.46369212963</v>
      </c>
      <c r="C344" s="1" t="n">
        <v>45879</v>
      </c>
      <c r="D344" t="inlineStr">
        <is>
          <t>STOCKHOLMS LÄN</t>
        </is>
      </c>
      <c r="E344" t="inlineStr">
        <is>
          <t>NORRTÄLJE</t>
        </is>
      </c>
      <c r="G344" t="n">
        <v>0.3</v>
      </c>
      <c r="H344" t="n">
        <v>0</v>
      </c>
      <c r="I344" t="n">
        <v>0</v>
      </c>
      <c r="J344" t="n">
        <v>0</v>
      </c>
      <c r="K344" t="n">
        <v>0</v>
      </c>
      <c r="L344" t="n">
        <v>0</v>
      </c>
      <c r="M344" t="n">
        <v>0</v>
      </c>
      <c r="N344" t="n">
        <v>0</v>
      </c>
      <c r="O344" t="n">
        <v>0</v>
      </c>
      <c r="P344" t="n">
        <v>0</v>
      </c>
      <c r="Q344" t="n">
        <v>0</v>
      </c>
      <c r="R344" s="2" t="inlineStr"/>
    </row>
    <row r="345" ht="15" customHeight="1">
      <c r="A345" t="inlineStr">
        <is>
          <t>A 20144-2023</t>
        </is>
      </c>
      <c r="B345" s="1" t="n">
        <v>45055.43509259259</v>
      </c>
      <c r="C345" s="1" t="n">
        <v>45879</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45879</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50497-2020</t>
        </is>
      </c>
      <c r="B347" s="1" t="n">
        <v>44110</v>
      </c>
      <c r="C347" s="1" t="n">
        <v>45879</v>
      </c>
      <c r="D347" t="inlineStr">
        <is>
          <t>STOCKHOLMS LÄN</t>
        </is>
      </c>
      <c r="E347" t="inlineStr">
        <is>
          <t>NORRTÄLJE</t>
        </is>
      </c>
      <c r="F347" t="inlineStr">
        <is>
          <t>Holmen skog AB</t>
        </is>
      </c>
      <c r="G347" t="n">
        <v>4.3</v>
      </c>
      <c r="H347" t="n">
        <v>0</v>
      </c>
      <c r="I347" t="n">
        <v>0</v>
      </c>
      <c r="J347" t="n">
        <v>0</v>
      </c>
      <c r="K347" t="n">
        <v>0</v>
      </c>
      <c r="L347" t="n">
        <v>0</v>
      </c>
      <c r="M347" t="n">
        <v>0</v>
      </c>
      <c r="N347" t="n">
        <v>0</v>
      </c>
      <c r="O347" t="n">
        <v>0</v>
      </c>
      <c r="P347" t="n">
        <v>0</v>
      </c>
      <c r="Q347" t="n">
        <v>0</v>
      </c>
      <c r="R347" s="2" t="inlineStr"/>
    </row>
    <row r="348" ht="15" customHeight="1">
      <c r="A348" t="inlineStr">
        <is>
          <t>A 15978-2024</t>
        </is>
      </c>
      <c r="B348" s="1" t="n">
        <v>45405.57927083333</v>
      </c>
      <c r="C348" s="1" t="n">
        <v>45879</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45879</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23056-2023</t>
        </is>
      </c>
      <c r="B350" s="1" t="n">
        <v>45075</v>
      </c>
      <c r="C350" s="1" t="n">
        <v>45879</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20473-2021</t>
        </is>
      </c>
      <c r="B351" s="1" t="n">
        <v>44315</v>
      </c>
      <c r="C351" s="1" t="n">
        <v>45879</v>
      </c>
      <c r="D351" t="inlineStr">
        <is>
          <t>STOCKHOLMS LÄN</t>
        </is>
      </c>
      <c r="E351" t="inlineStr">
        <is>
          <t>NORRTÄLJE</t>
        </is>
      </c>
      <c r="F351" t="inlineStr">
        <is>
          <t>Övriga Aktiebolag</t>
        </is>
      </c>
      <c r="G351" t="n">
        <v>3.6</v>
      </c>
      <c r="H351" t="n">
        <v>0</v>
      </c>
      <c r="I351" t="n">
        <v>0</v>
      </c>
      <c r="J351" t="n">
        <v>0</v>
      </c>
      <c r="K351" t="n">
        <v>0</v>
      </c>
      <c r="L351" t="n">
        <v>0</v>
      </c>
      <c r="M351" t="n">
        <v>0</v>
      </c>
      <c r="N351" t="n">
        <v>0</v>
      </c>
      <c r="O351" t="n">
        <v>0</v>
      </c>
      <c r="P351" t="n">
        <v>0</v>
      </c>
      <c r="Q351" t="n">
        <v>0</v>
      </c>
      <c r="R351" s="2" t="inlineStr"/>
    </row>
    <row r="352" ht="15" customHeight="1">
      <c r="A352" t="inlineStr">
        <is>
          <t>A 13172-2025</t>
        </is>
      </c>
      <c r="B352" s="1" t="n">
        <v>45735.36873842592</v>
      </c>
      <c r="C352" s="1" t="n">
        <v>45879</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7603-2025</t>
        </is>
      </c>
      <c r="B353" s="1" t="n">
        <v>45705.66126157407</v>
      </c>
      <c r="C353" s="1" t="n">
        <v>45879</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19025-2025</t>
        </is>
      </c>
      <c r="B354" s="1" t="n">
        <v>45764.6359837963</v>
      </c>
      <c r="C354" s="1" t="n">
        <v>45879</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5158-2024</t>
        </is>
      </c>
      <c r="B355" s="1" t="n">
        <v>45330.50098379629</v>
      </c>
      <c r="C355" s="1" t="n">
        <v>45879</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5867-2022</t>
        </is>
      </c>
      <c r="B356" s="1" t="n">
        <v>44596.66335648148</v>
      </c>
      <c r="C356" s="1" t="n">
        <v>45879</v>
      </c>
      <c r="D356" t="inlineStr">
        <is>
          <t>STOCKHOLMS LÄN</t>
        </is>
      </c>
      <c r="E356" t="inlineStr">
        <is>
          <t>NORRTÄLJE</t>
        </is>
      </c>
      <c r="F356" t="inlineStr">
        <is>
          <t>Naturvårdsverket</t>
        </is>
      </c>
      <c r="G356" t="n">
        <v>1.6</v>
      </c>
      <c r="H356" t="n">
        <v>0</v>
      </c>
      <c r="I356" t="n">
        <v>0</v>
      </c>
      <c r="J356" t="n">
        <v>0</v>
      </c>
      <c r="K356" t="n">
        <v>0</v>
      </c>
      <c r="L356" t="n">
        <v>0</v>
      </c>
      <c r="M356" t="n">
        <v>0</v>
      </c>
      <c r="N356" t="n">
        <v>0</v>
      </c>
      <c r="O356" t="n">
        <v>0</v>
      </c>
      <c r="P356" t="n">
        <v>0</v>
      </c>
      <c r="Q356" t="n">
        <v>0</v>
      </c>
      <c r="R356" s="2" t="inlineStr"/>
    </row>
    <row r="357" ht="15" customHeight="1">
      <c r="A357" t="inlineStr">
        <is>
          <t>A 51046-2023</t>
        </is>
      </c>
      <c r="B357" s="1" t="n">
        <v>45218</v>
      </c>
      <c r="C357" s="1" t="n">
        <v>45879</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73307-2021</t>
        </is>
      </c>
      <c r="B358" s="1" t="n">
        <v>44549</v>
      </c>
      <c r="C358" s="1" t="n">
        <v>45879</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58493-2020</t>
        </is>
      </c>
      <c r="B359" s="1" t="n">
        <v>44145</v>
      </c>
      <c r="C359" s="1" t="n">
        <v>45879</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50108-2021</t>
        </is>
      </c>
      <c r="B360" s="1" t="n">
        <v>44456</v>
      </c>
      <c r="C360" s="1" t="n">
        <v>45879</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21731-2023</t>
        </is>
      </c>
      <c r="B361" s="1" t="n">
        <v>45063</v>
      </c>
      <c r="C361" s="1" t="n">
        <v>45879</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21745-2023</t>
        </is>
      </c>
      <c r="B362" s="1" t="n">
        <v>45065.55917824074</v>
      </c>
      <c r="C362" s="1" t="n">
        <v>45879</v>
      </c>
      <c r="D362" t="inlineStr">
        <is>
          <t>STOCKHOLMS LÄN</t>
        </is>
      </c>
      <c r="E362" t="inlineStr">
        <is>
          <t>NORRTÄLJE</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8736-2024</t>
        </is>
      </c>
      <c r="B363" s="1" t="n">
        <v>45356.4722800926</v>
      </c>
      <c r="C363" s="1" t="n">
        <v>45879</v>
      </c>
      <c r="D363" t="inlineStr">
        <is>
          <t>STOCKHOLMS LÄN</t>
        </is>
      </c>
      <c r="E363" t="inlineStr">
        <is>
          <t>NORRTÄLJE</t>
        </is>
      </c>
      <c r="G363" t="n">
        <v>8.9</v>
      </c>
      <c r="H363" t="n">
        <v>0</v>
      </c>
      <c r="I363" t="n">
        <v>0</v>
      </c>
      <c r="J363" t="n">
        <v>0</v>
      </c>
      <c r="K363" t="n">
        <v>0</v>
      </c>
      <c r="L363" t="n">
        <v>0</v>
      </c>
      <c r="M363" t="n">
        <v>0</v>
      </c>
      <c r="N363" t="n">
        <v>0</v>
      </c>
      <c r="O363" t="n">
        <v>0</v>
      </c>
      <c r="P363" t="n">
        <v>0</v>
      </c>
      <c r="Q363" t="n">
        <v>0</v>
      </c>
      <c r="R363" s="2" t="inlineStr"/>
    </row>
    <row r="364" ht="15" customHeight="1">
      <c r="A364" t="inlineStr">
        <is>
          <t>A 15552-2021</t>
        </is>
      </c>
      <c r="B364" s="1" t="n">
        <v>44285</v>
      </c>
      <c r="C364" s="1" t="n">
        <v>45879</v>
      </c>
      <c r="D364" t="inlineStr">
        <is>
          <t>STOCKHOLMS LÄN</t>
        </is>
      </c>
      <c r="E364" t="inlineStr">
        <is>
          <t>NORRTÄLJE</t>
        </is>
      </c>
      <c r="G364" t="n">
        <v>10</v>
      </c>
      <c r="H364" t="n">
        <v>0</v>
      </c>
      <c r="I364" t="n">
        <v>0</v>
      </c>
      <c r="J364" t="n">
        <v>0</v>
      </c>
      <c r="K364" t="n">
        <v>0</v>
      </c>
      <c r="L364" t="n">
        <v>0</v>
      </c>
      <c r="M364" t="n">
        <v>0</v>
      </c>
      <c r="N364" t="n">
        <v>0</v>
      </c>
      <c r="O364" t="n">
        <v>0</v>
      </c>
      <c r="P364" t="n">
        <v>0</v>
      </c>
      <c r="Q364" t="n">
        <v>0</v>
      </c>
      <c r="R364" s="2" t="inlineStr"/>
    </row>
    <row r="365" ht="15" customHeight="1">
      <c r="A365" t="inlineStr">
        <is>
          <t>A 30221-2024</t>
        </is>
      </c>
      <c r="B365" s="1" t="n">
        <v>45490.45342592592</v>
      </c>
      <c r="C365" s="1" t="n">
        <v>45879</v>
      </c>
      <c r="D365" t="inlineStr">
        <is>
          <t>STOCKHOLMS LÄN</t>
        </is>
      </c>
      <c r="E365" t="inlineStr">
        <is>
          <t>NORRTÄLJE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26365-2024</t>
        </is>
      </c>
      <c r="B366" s="1" t="n">
        <v>45469</v>
      </c>
      <c r="C366" s="1" t="n">
        <v>45879</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45255-2022</t>
        </is>
      </c>
      <c r="B367" s="1" t="n">
        <v>44840</v>
      </c>
      <c r="C367" s="1" t="n">
        <v>45879</v>
      </c>
      <c r="D367" t="inlineStr">
        <is>
          <t>STOCKHOLMS LÄN</t>
        </is>
      </c>
      <c r="E367" t="inlineStr">
        <is>
          <t>NORRTÄLJE</t>
        </is>
      </c>
      <c r="G367" t="n">
        <v>4.1</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45879</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45879</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25621-2022</t>
        </is>
      </c>
      <c r="B370" s="1" t="n">
        <v>44732</v>
      </c>
      <c r="C370" s="1" t="n">
        <v>45879</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12629-2024</t>
        </is>
      </c>
      <c r="B371" s="1" t="n">
        <v>45383</v>
      </c>
      <c r="C371" s="1" t="n">
        <v>45879</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45879</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35235-2024</t>
        </is>
      </c>
      <c r="B373" s="1" t="n">
        <v>45530</v>
      </c>
      <c r="C373" s="1" t="n">
        <v>45879</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20428-2024</t>
        </is>
      </c>
      <c r="B374" s="1" t="n">
        <v>45435</v>
      </c>
      <c r="C374" s="1" t="n">
        <v>45879</v>
      </c>
      <c r="D374" t="inlineStr">
        <is>
          <t>STOCKHOLMS LÄN</t>
        </is>
      </c>
      <c r="E374" t="inlineStr">
        <is>
          <t>NORRTÄLJE</t>
        </is>
      </c>
      <c r="G374" t="n">
        <v>3.7</v>
      </c>
      <c r="H374" t="n">
        <v>0</v>
      </c>
      <c r="I374" t="n">
        <v>0</v>
      </c>
      <c r="J374" t="n">
        <v>0</v>
      </c>
      <c r="K374" t="n">
        <v>0</v>
      </c>
      <c r="L374" t="n">
        <v>0</v>
      </c>
      <c r="M374" t="n">
        <v>0</v>
      </c>
      <c r="N374" t="n">
        <v>0</v>
      </c>
      <c r="O374" t="n">
        <v>0</v>
      </c>
      <c r="P374" t="n">
        <v>0</v>
      </c>
      <c r="Q374" t="n">
        <v>0</v>
      </c>
      <c r="R374" s="2" t="inlineStr"/>
    </row>
    <row r="375" ht="15" customHeight="1">
      <c r="A375" t="inlineStr">
        <is>
          <t>A 48798-2021</t>
        </is>
      </c>
      <c r="B375" s="1" t="n">
        <v>44452</v>
      </c>
      <c r="C375" s="1" t="n">
        <v>45879</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53607-2020</t>
        </is>
      </c>
      <c r="B376" s="1" t="n">
        <v>44124</v>
      </c>
      <c r="C376" s="1" t="n">
        <v>45879</v>
      </c>
      <c r="D376" t="inlineStr">
        <is>
          <t>STOCKHOLMS LÄN</t>
        </is>
      </c>
      <c r="E376" t="inlineStr">
        <is>
          <t>NORRTÄLJE</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57037-2022</t>
        </is>
      </c>
      <c r="B377" s="1" t="n">
        <v>44895</v>
      </c>
      <c r="C377" s="1" t="n">
        <v>45879</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51061-2023</t>
        </is>
      </c>
      <c r="B378" s="1" t="n">
        <v>45218.65849537037</v>
      </c>
      <c r="C378" s="1" t="n">
        <v>45879</v>
      </c>
      <c r="D378" t="inlineStr">
        <is>
          <t>STOCKHOLMS LÄN</t>
        </is>
      </c>
      <c r="E378" t="inlineStr">
        <is>
          <t>NORRTÄLJE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39213-2022</t>
        </is>
      </c>
      <c r="B379" s="1" t="n">
        <v>44817.56120370371</v>
      </c>
      <c r="C379" s="1" t="n">
        <v>45879</v>
      </c>
      <c r="D379" t="inlineStr">
        <is>
          <t>STOCKHOLMS LÄN</t>
        </is>
      </c>
      <c r="E379" t="inlineStr">
        <is>
          <t>NORRTÄLJE</t>
        </is>
      </c>
      <c r="G379" t="n">
        <v>3.4</v>
      </c>
      <c r="H379" t="n">
        <v>0</v>
      </c>
      <c r="I379" t="n">
        <v>0</v>
      </c>
      <c r="J379" t="n">
        <v>0</v>
      </c>
      <c r="K379" t="n">
        <v>0</v>
      </c>
      <c r="L379" t="n">
        <v>0</v>
      </c>
      <c r="M379" t="n">
        <v>0</v>
      </c>
      <c r="N379" t="n">
        <v>0</v>
      </c>
      <c r="O379" t="n">
        <v>0</v>
      </c>
      <c r="P379" t="n">
        <v>0</v>
      </c>
      <c r="Q379" t="n">
        <v>0</v>
      </c>
      <c r="R379" s="2" t="inlineStr"/>
    </row>
    <row r="380" ht="15" customHeight="1">
      <c r="A380" t="inlineStr">
        <is>
          <t>A 36246-2021</t>
        </is>
      </c>
      <c r="B380" s="1" t="n">
        <v>44390</v>
      </c>
      <c r="C380" s="1" t="n">
        <v>45879</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14762-2024</t>
        </is>
      </c>
      <c r="B381" s="1" t="n">
        <v>45397</v>
      </c>
      <c r="C381" s="1" t="n">
        <v>45879</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23149-2024</t>
        </is>
      </c>
      <c r="B382" s="1" t="n">
        <v>45450.64208333333</v>
      </c>
      <c r="C382" s="1" t="n">
        <v>45879</v>
      </c>
      <c r="D382" t="inlineStr">
        <is>
          <t>STOCKHOLMS LÄN</t>
        </is>
      </c>
      <c r="E382" t="inlineStr">
        <is>
          <t>NORRTÄLJE</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23151-2024</t>
        </is>
      </c>
      <c r="B383" s="1" t="n">
        <v>45450</v>
      </c>
      <c r="C383" s="1" t="n">
        <v>45879</v>
      </c>
      <c r="D383" t="inlineStr">
        <is>
          <t>STOCKHOLMS LÄN</t>
        </is>
      </c>
      <c r="E383" t="inlineStr">
        <is>
          <t>NORRTÄLJE</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16913-2025</t>
        </is>
      </c>
      <c r="B384" s="1" t="n">
        <v>45755.36583333334</v>
      </c>
      <c r="C384" s="1" t="n">
        <v>45879</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30283-2022</t>
        </is>
      </c>
      <c r="B385" s="1" t="n">
        <v>44760</v>
      </c>
      <c r="C385" s="1" t="n">
        <v>45879</v>
      </c>
      <c r="D385" t="inlineStr">
        <is>
          <t>STOCKHOLMS LÄN</t>
        </is>
      </c>
      <c r="E385" t="inlineStr">
        <is>
          <t>NORRTÄLJE</t>
        </is>
      </c>
      <c r="G385" t="n">
        <v>6.2</v>
      </c>
      <c r="H385" t="n">
        <v>0</v>
      </c>
      <c r="I385" t="n">
        <v>0</v>
      </c>
      <c r="J385" t="n">
        <v>0</v>
      </c>
      <c r="K385" t="n">
        <v>0</v>
      </c>
      <c r="L385" t="n">
        <v>0</v>
      </c>
      <c r="M385" t="n">
        <v>0</v>
      </c>
      <c r="N385" t="n">
        <v>0</v>
      </c>
      <c r="O385" t="n">
        <v>0</v>
      </c>
      <c r="P385" t="n">
        <v>0</v>
      </c>
      <c r="Q385" t="n">
        <v>0</v>
      </c>
      <c r="R385" s="2" t="inlineStr"/>
    </row>
    <row r="386" ht="15" customHeight="1">
      <c r="A386" t="inlineStr">
        <is>
          <t>A 30290-2022</t>
        </is>
      </c>
      <c r="B386" s="1" t="n">
        <v>44760</v>
      </c>
      <c r="C386" s="1" t="n">
        <v>45879</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15905-2023</t>
        </is>
      </c>
      <c r="B387" s="1" t="n">
        <v>45022</v>
      </c>
      <c r="C387" s="1" t="n">
        <v>45879</v>
      </c>
      <c r="D387" t="inlineStr">
        <is>
          <t>STOCKHOLMS LÄN</t>
        </is>
      </c>
      <c r="E387" t="inlineStr">
        <is>
          <t>NORRTÄLJE</t>
        </is>
      </c>
      <c r="G387" t="n">
        <v>3.2</v>
      </c>
      <c r="H387" t="n">
        <v>0</v>
      </c>
      <c r="I387" t="n">
        <v>0</v>
      </c>
      <c r="J387" t="n">
        <v>0</v>
      </c>
      <c r="K387" t="n">
        <v>0</v>
      </c>
      <c r="L387" t="n">
        <v>0</v>
      </c>
      <c r="M387" t="n">
        <v>0</v>
      </c>
      <c r="N387" t="n">
        <v>0</v>
      </c>
      <c r="O387" t="n">
        <v>0</v>
      </c>
      <c r="P387" t="n">
        <v>0</v>
      </c>
      <c r="Q387" t="n">
        <v>0</v>
      </c>
      <c r="R387" s="2" t="inlineStr"/>
    </row>
    <row r="388" ht="15" customHeight="1">
      <c r="A388" t="inlineStr">
        <is>
          <t>A 38985-2022</t>
        </is>
      </c>
      <c r="B388" s="1" t="n">
        <v>44816</v>
      </c>
      <c r="C388" s="1" t="n">
        <v>45879</v>
      </c>
      <c r="D388" t="inlineStr">
        <is>
          <t>STOCKHOLMS LÄN</t>
        </is>
      </c>
      <c r="E388" t="inlineStr">
        <is>
          <t>NORRTÄLJE</t>
        </is>
      </c>
      <c r="G388" t="n">
        <v>10.1</v>
      </c>
      <c r="H388" t="n">
        <v>0</v>
      </c>
      <c r="I388" t="n">
        <v>0</v>
      </c>
      <c r="J388" t="n">
        <v>0</v>
      </c>
      <c r="K388" t="n">
        <v>0</v>
      </c>
      <c r="L388" t="n">
        <v>0</v>
      </c>
      <c r="M388" t="n">
        <v>0</v>
      </c>
      <c r="N388" t="n">
        <v>0</v>
      </c>
      <c r="O388" t="n">
        <v>0</v>
      </c>
      <c r="P388" t="n">
        <v>0</v>
      </c>
      <c r="Q388" t="n">
        <v>0</v>
      </c>
      <c r="R388" s="2" t="inlineStr"/>
    </row>
    <row r="389" ht="15" customHeight="1">
      <c r="A389" t="inlineStr">
        <is>
          <t>A 11041-2025</t>
        </is>
      </c>
      <c r="B389" s="1" t="n">
        <v>45723</v>
      </c>
      <c r="C389" s="1" t="n">
        <v>45879</v>
      </c>
      <c r="D389" t="inlineStr">
        <is>
          <t>STOCKHOLMS LÄN</t>
        </is>
      </c>
      <c r="E389" t="inlineStr">
        <is>
          <t>NORRTÄLJE</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51978-2023</t>
        </is>
      </c>
      <c r="B390" s="1" t="n">
        <v>45223</v>
      </c>
      <c r="C390" s="1" t="n">
        <v>45879</v>
      </c>
      <c r="D390" t="inlineStr">
        <is>
          <t>STOCKHOLMS LÄN</t>
        </is>
      </c>
      <c r="E390" t="inlineStr">
        <is>
          <t>NORRTÄLJE</t>
        </is>
      </c>
      <c r="G390" t="n">
        <v>1.9</v>
      </c>
      <c r="H390" t="n">
        <v>0</v>
      </c>
      <c r="I390" t="n">
        <v>0</v>
      </c>
      <c r="J390" t="n">
        <v>0</v>
      </c>
      <c r="K390" t="n">
        <v>0</v>
      </c>
      <c r="L390" t="n">
        <v>0</v>
      </c>
      <c r="M390" t="n">
        <v>0</v>
      </c>
      <c r="N390" t="n">
        <v>0</v>
      </c>
      <c r="O390" t="n">
        <v>0</v>
      </c>
      <c r="P390" t="n">
        <v>0</v>
      </c>
      <c r="Q390" t="n">
        <v>0</v>
      </c>
      <c r="R390" s="2" t="inlineStr"/>
    </row>
    <row r="391" ht="15" customHeight="1">
      <c r="A391" t="inlineStr">
        <is>
          <t>A 13051-2021</t>
        </is>
      </c>
      <c r="B391" s="1" t="n">
        <v>44272</v>
      </c>
      <c r="C391" s="1" t="n">
        <v>45879</v>
      </c>
      <c r="D391" t="inlineStr">
        <is>
          <t>STOCKHOLMS LÄN</t>
        </is>
      </c>
      <c r="E391" t="inlineStr">
        <is>
          <t>NORRTÄLJE</t>
        </is>
      </c>
      <c r="G391" t="n">
        <v>9.1</v>
      </c>
      <c r="H391" t="n">
        <v>0</v>
      </c>
      <c r="I391" t="n">
        <v>0</v>
      </c>
      <c r="J391" t="n">
        <v>0</v>
      </c>
      <c r="K391" t="n">
        <v>0</v>
      </c>
      <c r="L391" t="n">
        <v>0</v>
      </c>
      <c r="M391" t="n">
        <v>0</v>
      </c>
      <c r="N391" t="n">
        <v>0</v>
      </c>
      <c r="O391" t="n">
        <v>0</v>
      </c>
      <c r="P391" t="n">
        <v>0</v>
      </c>
      <c r="Q391" t="n">
        <v>0</v>
      </c>
      <c r="R391" s="2" t="inlineStr"/>
    </row>
    <row r="392" ht="15" customHeight="1">
      <c r="A392" t="inlineStr">
        <is>
          <t>A 55755-2023</t>
        </is>
      </c>
      <c r="B392" s="1" t="n">
        <v>45239</v>
      </c>
      <c r="C392" s="1" t="n">
        <v>45879</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25625-2023</t>
        </is>
      </c>
      <c r="B393" s="1" t="n">
        <v>45089</v>
      </c>
      <c r="C393" s="1" t="n">
        <v>45879</v>
      </c>
      <c r="D393" t="inlineStr">
        <is>
          <t>STOCKHOLMS LÄN</t>
        </is>
      </c>
      <c r="E393" t="inlineStr">
        <is>
          <t>NORRTÄLJE</t>
        </is>
      </c>
      <c r="G393" t="n">
        <v>5.5</v>
      </c>
      <c r="H393" t="n">
        <v>0</v>
      </c>
      <c r="I393" t="n">
        <v>0</v>
      </c>
      <c r="J393" t="n">
        <v>0</v>
      </c>
      <c r="K393" t="n">
        <v>0</v>
      </c>
      <c r="L393" t="n">
        <v>0</v>
      </c>
      <c r="M393" t="n">
        <v>0</v>
      </c>
      <c r="N393" t="n">
        <v>0</v>
      </c>
      <c r="O393" t="n">
        <v>0</v>
      </c>
      <c r="P393" t="n">
        <v>0</v>
      </c>
      <c r="Q393" t="n">
        <v>0</v>
      </c>
      <c r="R393" s="2" t="inlineStr"/>
    </row>
    <row r="394" ht="15" customHeight="1">
      <c r="A394" t="inlineStr">
        <is>
          <t>A 45549-2022</t>
        </is>
      </c>
      <c r="B394" s="1" t="n">
        <v>44845.48064814815</v>
      </c>
      <c r="C394" s="1" t="n">
        <v>45879</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40761-2024</t>
        </is>
      </c>
      <c r="B395" s="1" t="n">
        <v>45558.46283564815</v>
      </c>
      <c r="C395" s="1" t="n">
        <v>45879</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44917-2022</t>
        </is>
      </c>
      <c r="B396" s="1" t="n">
        <v>44841.52804398148</v>
      </c>
      <c r="C396" s="1" t="n">
        <v>45879</v>
      </c>
      <c r="D396" t="inlineStr">
        <is>
          <t>STOCKHOLMS LÄN</t>
        </is>
      </c>
      <c r="E396" t="inlineStr">
        <is>
          <t>NORRTÄLJE</t>
        </is>
      </c>
      <c r="F396" t="inlineStr">
        <is>
          <t>Holmen skog AB</t>
        </is>
      </c>
      <c r="G396" t="n">
        <v>3.3</v>
      </c>
      <c r="H396" t="n">
        <v>0</v>
      </c>
      <c r="I396" t="n">
        <v>0</v>
      </c>
      <c r="J396" t="n">
        <v>0</v>
      </c>
      <c r="K396" t="n">
        <v>0</v>
      </c>
      <c r="L396" t="n">
        <v>0</v>
      </c>
      <c r="M396" t="n">
        <v>0</v>
      </c>
      <c r="N396" t="n">
        <v>0</v>
      </c>
      <c r="O396" t="n">
        <v>0</v>
      </c>
      <c r="P396" t="n">
        <v>0</v>
      </c>
      <c r="Q396" t="n">
        <v>0</v>
      </c>
      <c r="R396" s="2" t="inlineStr"/>
    </row>
    <row r="397" ht="15" customHeight="1">
      <c r="A397" t="inlineStr">
        <is>
          <t>A 23692-2024</t>
        </is>
      </c>
      <c r="B397" s="1" t="n">
        <v>45454.65774305556</v>
      </c>
      <c r="C397" s="1" t="n">
        <v>45879</v>
      </c>
      <c r="D397" t="inlineStr">
        <is>
          <t>STOCKHOLMS LÄN</t>
        </is>
      </c>
      <c r="E397" t="inlineStr">
        <is>
          <t>NORRTÄLJE</t>
        </is>
      </c>
      <c r="G397" t="n">
        <v>3.7</v>
      </c>
      <c r="H397" t="n">
        <v>0</v>
      </c>
      <c r="I397" t="n">
        <v>0</v>
      </c>
      <c r="J397" t="n">
        <v>0</v>
      </c>
      <c r="K397" t="n">
        <v>0</v>
      </c>
      <c r="L397" t="n">
        <v>0</v>
      </c>
      <c r="M397" t="n">
        <v>0</v>
      </c>
      <c r="N397" t="n">
        <v>0</v>
      </c>
      <c r="O397" t="n">
        <v>0</v>
      </c>
      <c r="P397" t="n">
        <v>0</v>
      </c>
      <c r="Q397" t="n">
        <v>0</v>
      </c>
      <c r="R397" s="2" t="inlineStr"/>
    </row>
    <row r="398" ht="15" customHeight="1">
      <c r="A398" t="inlineStr">
        <is>
          <t>A 33173-2024</t>
        </is>
      </c>
      <c r="B398" s="1" t="n">
        <v>45518</v>
      </c>
      <c r="C398" s="1" t="n">
        <v>45879</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17551-2025</t>
        </is>
      </c>
      <c r="B399" s="1" t="n">
        <v>45757.61421296297</v>
      </c>
      <c r="C399" s="1" t="n">
        <v>45879</v>
      </c>
      <c r="D399" t="inlineStr">
        <is>
          <t>STOCKHOLMS LÄN</t>
        </is>
      </c>
      <c r="E399" t="inlineStr">
        <is>
          <t>NORRTÄLJE</t>
        </is>
      </c>
      <c r="G399" t="n">
        <v>2.8</v>
      </c>
      <c r="H399" t="n">
        <v>0</v>
      </c>
      <c r="I399" t="n">
        <v>0</v>
      </c>
      <c r="J399" t="n">
        <v>0</v>
      </c>
      <c r="K399" t="n">
        <v>0</v>
      </c>
      <c r="L399" t="n">
        <v>0</v>
      </c>
      <c r="M399" t="n">
        <v>0</v>
      </c>
      <c r="N399" t="n">
        <v>0</v>
      </c>
      <c r="O399" t="n">
        <v>0</v>
      </c>
      <c r="P399" t="n">
        <v>0</v>
      </c>
      <c r="Q399" t="n">
        <v>0</v>
      </c>
      <c r="R399" s="2" t="inlineStr"/>
    </row>
    <row r="400" ht="15" customHeight="1">
      <c r="A400" t="inlineStr">
        <is>
          <t>A 10678-2025</t>
        </is>
      </c>
      <c r="B400" s="1" t="n">
        <v>45721.89123842592</v>
      </c>
      <c r="C400" s="1" t="n">
        <v>45879</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37550-2022</t>
        </is>
      </c>
      <c r="B401" s="1" t="n">
        <v>44809</v>
      </c>
      <c r="C401" s="1" t="n">
        <v>45879</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14132-2025</t>
        </is>
      </c>
      <c r="B402" s="1" t="n">
        <v>45740.47550925926</v>
      </c>
      <c r="C402" s="1" t="n">
        <v>45879</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14133-2025</t>
        </is>
      </c>
      <c r="B403" s="1" t="n">
        <v>45740.47724537037</v>
      </c>
      <c r="C403" s="1" t="n">
        <v>45879</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7186-2024</t>
        </is>
      </c>
      <c r="B404" s="1" t="n">
        <v>45344</v>
      </c>
      <c r="C404" s="1" t="n">
        <v>45879</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47431-2023</t>
        </is>
      </c>
      <c r="B405" s="1" t="n">
        <v>45202</v>
      </c>
      <c r="C405" s="1" t="n">
        <v>45879</v>
      </c>
      <c r="D405" t="inlineStr">
        <is>
          <t>STOCKHOLMS LÄN</t>
        </is>
      </c>
      <c r="E405" t="inlineStr">
        <is>
          <t>NORRTÄLJE</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23262-2023</t>
        </is>
      </c>
      <c r="B406" s="1" t="n">
        <v>45075.90270833333</v>
      </c>
      <c r="C406" s="1" t="n">
        <v>45879</v>
      </c>
      <c r="D406" t="inlineStr">
        <is>
          <t>STOCKHOLMS LÄN</t>
        </is>
      </c>
      <c r="E406" t="inlineStr">
        <is>
          <t>NORRTÄLJE</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23268-2023</t>
        </is>
      </c>
      <c r="B407" s="1" t="n">
        <v>45075.91042824074</v>
      </c>
      <c r="C407" s="1" t="n">
        <v>45879</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23270-2023</t>
        </is>
      </c>
      <c r="B408" s="1" t="n">
        <v>45075.91265046296</v>
      </c>
      <c r="C408" s="1" t="n">
        <v>45879</v>
      </c>
      <c r="D408" t="inlineStr">
        <is>
          <t>STOCKHOLMS LÄN</t>
        </is>
      </c>
      <c r="E408" t="inlineStr">
        <is>
          <t>NORRTÄLJE</t>
        </is>
      </c>
      <c r="G408" t="n">
        <v>12.3</v>
      </c>
      <c r="H408" t="n">
        <v>0</v>
      </c>
      <c r="I408" t="n">
        <v>0</v>
      </c>
      <c r="J408" t="n">
        <v>0</v>
      </c>
      <c r="K408" t="n">
        <v>0</v>
      </c>
      <c r="L408" t="n">
        <v>0</v>
      </c>
      <c r="M408" t="n">
        <v>0</v>
      </c>
      <c r="N408" t="n">
        <v>0</v>
      </c>
      <c r="O408" t="n">
        <v>0</v>
      </c>
      <c r="P408" t="n">
        <v>0</v>
      </c>
      <c r="Q408" t="n">
        <v>0</v>
      </c>
      <c r="R408" s="2" t="inlineStr"/>
    </row>
    <row r="409" ht="15" customHeight="1">
      <c r="A409" t="inlineStr">
        <is>
          <t>A 23274-2023</t>
        </is>
      </c>
      <c r="B409" s="1" t="n">
        <v>45075.92153935185</v>
      </c>
      <c r="C409" s="1" t="n">
        <v>45879</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8370-2025</t>
        </is>
      </c>
      <c r="B410" s="1" t="n">
        <v>45708</v>
      </c>
      <c r="C410" s="1" t="n">
        <v>45879</v>
      </c>
      <c r="D410" t="inlineStr">
        <is>
          <t>STOCKHOLMS LÄN</t>
        </is>
      </c>
      <c r="E410" t="inlineStr">
        <is>
          <t>NORRTÄLJE</t>
        </is>
      </c>
      <c r="F410" t="inlineStr">
        <is>
          <t>Övriga Aktiebolag</t>
        </is>
      </c>
      <c r="G410" t="n">
        <v>5.6</v>
      </c>
      <c r="H410" t="n">
        <v>0</v>
      </c>
      <c r="I410" t="n">
        <v>0</v>
      </c>
      <c r="J410" t="n">
        <v>0</v>
      </c>
      <c r="K410" t="n">
        <v>0</v>
      </c>
      <c r="L410" t="n">
        <v>0</v>
      </c>
      <c r="M410" t="n">
        <v>0</v>
      </c>
      <c r="N410" t="n">
        <v>0</v>
      </c>
      <c r="O410" t="n">
        <v>0</v>
      </c>
      <c r="P410" t="n">
        <v>0</v>
      </c>
      <c r="Q410" t="n">
        <v>0</v>
      </c>
      <c r="R410" s="2" t="inlineStr"/>
    </row>
    <row r="411" ht="15" customHeight="1">
      <c r="A411" t="inlineStr">
        <is>
          <t>A 5732-2023</t>
        </is>
      </c>
      <c r="B411" s="1" t="n">
        <v>44962</v>
      </c>
      <c r="C411" s="1" t="n">
        <v>45879</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25609-2023</t>
        </is>
      </c>
      <c r="B412" s="1" t="n">
        <v>45089</v>
      </c>
      <c r="C412" s="1" t="n">
        <v>45879</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951-2023</t>
        </is>
      </c>
      <c r="B413" s="1" t="n">
        <v>44934</v>
      </c>
      <c r="C413" s="1" t="n">
        <v>45879</v>
      </c>
      <c r="D413" t="inlineStr">
        <is>
          <t>STOCKHOLMS LÄN</t>
        </is>
      </c>
      <c r="E413" t="inlineStr">
        <is>
          <t>NORRTÄLJE</t>
        </is>
      </c>
      <c r="G413" t="n">
        <v>3.7</v>
      </c>
      <c r="H413" t="n">
        <v>0</v>
      </c>
      <c r="I413" t="n">
        <v>0</v>
      </c>
      <c r="J413" t="n">
        <v>0</v>
      </c>
      <c r="K413" t="n">
        <v>0</v>
      </c>
      <c r="L413" t="n">
        <v>0</v>
      </c>
      <c r="M413" t="n">
        <v>0</v>
      </c>
      <c r="N413" t="n">
        <v>0</v>
      </c>
      <c r="O413" t="n">
        <v>0</v>
      </c>
      <c r="P413" t="n">
        <v>0</v>
      </c>
      <c r="Q413" t="n">
        <v>0</v>
      </c>
      <c r="R413" s="2" t="inlineStr"/>
    </row>
    <row r="414" ht="15" customHeight="1">
      <c r="A414" t="inlineStr">
        <is>
          <t>A 39202-2024</t>
        </is>
      </c>
      <c r="B414" s="1" t="n">
        <v>45548.72306712963</v>
      </c>
      <c r="C414" s="1" t="n">
        <v>45879</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33569-2023</t>
        </is>
      </c>
      <c r="B415" s="1" t="n">
        <v>45131.666875</v>
      </c>
      <c r="C415" s="1" t="n">
        <v>45879</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50569-2022</t>
        </is>
      </c>
      <c r="B416" s="1" t="n">
        <v>44866.63775462963</v>
      </c>
      <c r="C416" s="1" t="n">
        <v>45879</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32100-2022</t>
        </is>
      </c>
      <c r="B417" s="1" t="n">
        <v>44778</v>
      </c>
      <c r="C417" s="1" t="n">
        <v>45879</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2888-2022</t>
        </is>
      </c>
      <c r="B418" s="1" t="n">
        <v>44581</v>
      </c>
      <c r="C418" s="1" t="n">
        <v>45879</v>
      </c>
      <c r="D418" t="inlineStr">
        <is>
          <t>STOCKHOLMS LÄN</t>
        </is>
      </c>
      <c r="E418" t="inlineStr">
        <is>
          <t>NORRTÄLJE</t>
        </is>
      </c>
      <c r="G418" t="n">
        <v>2.4</v>
      </c>
      <c r="H418" t="n">
        <v>0</v>
      </c>
      <c r="I418" t="n">
        <v>0</v>
      </c>
      <c r="J418" t="n">
        <v>0</v>
      </c>
      <c r="K418" t="n">
        <v>0</v>
      </c>
      <c r="L418" t="n">
        <v>0</v>
      </c>
      <c r="M418" t="n">
        <v>0</v>
      </c>
      <c r="N418" t="n">
        <v>0</v>
      </c>
      <c r="O418" t="n">
        <v>0</v>
      </c>
      <c r="P418" t="n">
        <v>0</v>
      </c>
      <c r="Q418" t="n">
        <v>0</v>
      </c>
      <c r="R418" s="2" t="inlineStr"/>
    </row>
    <row r="419" ht="15" customHeight="1">
      <c r="A419" t="inlineStr">
        <is>
          <t>A 11902-2024</t>
        </is>
      </c>
      <c r="B419" s="1" t="n">
        <v>45376.55704861111</v>
      </c>
      <c r="C419" s="1" t="n">
        <v>45879</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22833-2024</t>
        </is>
      </c>
      <c r="B420" s="1" t="n">
        <v>45448.56746527777</v>
      </c>
      <c r="C420" s="1" t="n">
        <v>45879</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60224-2023</t>
        </is>
      </c>
      <c r="B421" s="1" t="n">
        <v>45257</v>
      </c>
      <c r="C421" s="1" t="n">
        <v>45879</v>
      </c>
      <c r="D421" t="inlineStr">
        <is>
          <t>STOCKHOLMS LÄN</t>
        </is>
      </c>
      <c r="E421" t="inlineStr">
        <is>
          <t>NORRTÄLJE</t>
        </is>
      </c>
      <c r="G421" t="n">
        <v>8.1</v>
      </c>
      <c r="H421" t="n">
        <v>0</v>
      </c>
      <c r="I421" t="n">
        <v>0</v>
      </c>
      <c r="J421" t="n">
        <v>0</v>
      </c>
      <c r="K421" t="n">
        <v>0</v>
      </c>
      <c r="L421" t="n">
        <v>0</v>
      </c>
      <c r="M421" t="n">
        <v>0</v>
      </c>
      <c r="N421" t="n">
        <v>0</v>
      </c>
      <c r="O421" t="n">
        <v>0</v>
      </c>
      <c r="P421" t="n">
        <v>0</v>
      </c>
      <c r="Q421" t="n">
        <v>0</v>
      </c>
      <c r="R421" s="2" t="inlineStr"/>
    </row>
    <row r="422" ht="15" customHeight="1">
      <c r="A422" t="inlineStr">
        <is>
          <t>A 13-2024</t>
        </is>
      </c>
      <c r="B422" s="1" t="n">
        <v>45293.37263888889</v>
      </c>
      <c r="C422" s="1" t="n">
        <v>45879</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53792-2023</t>
        </is>
      </c>
      <c r="B423" s="1" t="n">
        <v>45231.34144675926</v>
      </c>
      <c r="C423" s="1" t="n">
        <v>45879</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17785-2024</t>
        </is>
      </c>
      <c r="B424" s="1" t="n">
        <v>45418.6968287037</v>
      </c>
      <c r="C424" s="1" t="n">
        <v>45879</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28816-2023</t>
        </is>
      </c>
      <c r="B425" s="1" t="n">
        <v>45104</v>
      </c>
      <c r="C425" s="1" t="n">
        <v>45879</v>
      </c>
      <c r="D425" t="inlineStr">
        <is>
          <t>STOCKHOLMS LÄN</t>
        </is>
      </c>
      <c r="E425" t="inlineStr">
        <is>
          <t>NORRTÄLJE</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58260-2023</t>
        </is>
      </c>
      <c r="B426" s="1" t="n">
        <v>45245</v>
      </c>
      <c r="C426" s="1" t="n">
        <v>45879</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58261-2023</t>
        </is>
      </c>
      <c r="B427" s="1" t="n">
        <v>45245</v>
      </c>
      <c r="C427" s="1" t="n">
        <v>45879</v>
      </c>
      <c r="D427" t="inlineStr">
        <is>
          <t>STOCKHOLMS LÄN</t>
        </is>
      </c>
      <c r="E427" t="inlineStr">
        <is>
          <t>NORRTÄLJE</t>
        </is>
      </c>
      <c r="G427" t="n">
        <v>53.5</v>
      </c>
      <c r="H427" t="n">
        <v>0</v>
      </c>
      <c r="I427" t="n">
        <v>0</v>
      </c>
      <c r="J427" t="n">
        <v>0</v>
      </c>
      <c r="K427" t="n">
        <v>0</v>
      </c>
      <c r="L427" t="n">
        <v>0</v>
      </c>
      <c r="M427" t="n">
        <v>0</v>
      </c>
      <c r="N427" t="n">
        <v>0</v>
      </c>
      <c r="O427" t="n">
        <v>0</v>
      </c>
      <c r="P427" t="n">
        <v>0</v>
      </c>
      <c r="Q427" t="n">
        <v>0</v>
      </c>
      <c r="R427" s="2" t="inlineStr"/>
    </row>
    <row r="428" ht="15" customHeight="1">
      <c r="A428" t="inlineStr">
        <is>
          <t>A 11280-2023</t>
        </is>
      </c>
      <c r="B428" s="1" t="n">
        <v>44992</v>
      </c>
      <c r="C428" s="1" t="n">
        <v>45879</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4553-2023</t>
        </is>
      </c>
      <c r="B429" s="1" t="n">
        <v>44956.65920138889</v>
      </c>
      <c r="C429" s="1" t="n">
        <v>45879</v>
      </c>
      <c r="D429" t="inlineStr">
        <is>
          <t>STOCKHOLMS LÄN</t>
        </is>
      </c>
      <c r="E429" t="inlineStr">
        <is>
          <t>NORRTÄLJE</t>
        </is>
      </c>
      <c r="G429" t="n">
        <v>7.5</v>
      </c>
      <c r="H429" t="n">
        <v>0</v>
      </c>
      <c r="I429" t="n">
        <v>0</v>
      </c>
      <c r="J429" t="n">
        <v>0</v>
      </c>
      <c r="K429" t="n">
        <v>0</v>
      </c>
      <c r="L429" t="n">
        <v>0</v>
      </c>
      <c r="M429" t="n">
        <v>0</v>
      </c>
      <c r="N429" t="n">
        <v>0</v>
      </c>
      <c r="O429" t="n">
        <v>0</v>
      </c>
      <c r="P429" t="n">
        <v>0</v>
      </c>
      <c r="Q429" t="n">
        <v>0</v>
      </c>
      <c r="R429" s="2" t="inlineStr"/>
    </row>
    <row r="430" ht="15" customHeight="1">
      <c r="A430" t="inlineStr">
        <is>
          <t>A 875-2023</t>
        </is>
      </c>
      <c r="B430" s="1" t="n">
        <v>44931.65626157408</v>
      </c>
      <c r="C430" s="1" t="n">
        <v>45879</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57442-2021</t>
        </is>
      </c>
      <c r="B431" s="1" t="n">
        <v>44483</v>
      </c>
      <c r="C431" s="1" t="n">
        <v>45879</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29684-2021</t>
        </is>
      </c>
      <c r="B432" s="1" t="n">
        <v>44362.37172453704</v>
      </c>
      <c r="C432" s="1" t="n">
        <v>45879</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24575-2024</t>
        </is>
      </c>
      <c r="B433" s="1" t="n">
        <v>45460.45523148148</v>
      </c>
      <c r="C433" s="1" t="n">
        <v>45879</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19-2024</t>
        </is>
      </c>
      <c r="B434" s="1" t="n">
        <v>45293</v>
      </c>
      <c r="C434" s="1" t="n">
        <v>45879</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21386-2023</t>
        </is>
      </c>
      <c r="B435" s="1" t="n">
        <v>45063.35880787037</v>
      </c>
      <c r="C435" s="1" t="n">
        <v>45879</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4593-2023</t>
        </is>
      </c>
      <c r="B436" s="1" t="n">
        <v>44956</v>
      </c>
      <c r="C436" s="1" t="n">
        <v>45879</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11333-2025</t>
        </is>
      </c>
      <c r="B437" s="1" t="n">
        <v>45726.48377314815</v>
      </c>
      <c r="C437" s="1" t="n">
        <v>45879</v>
      </c>
      <c r="D437" t="inlineStr">
        <is>
          <t>STOCKHOLMS LÄN</t>
        </is>
      </c>
      <c r="E437" t="inlineStr">
        <is>
          <t>NORRTÄLJE</t>
        </is>
      </c>
      <c r="G437" t="n">
        <v>1.4</v>
      </c>
      <c r="H437" t="n">
        <v>0</v>
      </c>
      <c r="I437" t="n">
        <v>0</v>
      </c>
      <c r="J437" t="n">
        <v>0</v>
      </c>
      <c r="K437" t="n">
        <v>0</v>
      </c>
      <c r="L437" t="n">
        <v>0</v>
      </c>
      <c r="M437" t="n">
        <v>0</v>
      </c>
      <c r="N437" t="n">
        <v>0</v>
      </c>
      <c r="O437" t="n">
        <v>0</v>
      </c>
      <c r="P437" t="n">
        <v>0</v>
      </c>
      <c r="Q437" t="n">
        <v>0</v>
      </c>
      <c r="R437" s="2" t="inlineStr"/>
    </row>
    <row r="438" ht="15" customHeight="1">
      <c r="A438" t="inlineStr">
        <is>
          <t>A 21529-2021</t>
        </is>
      </c>
      <c r="B438" s="1" t="n">
        <v>44321</v>
      </c>
      <c r="C438" s="1" t="n">
        <v>45879</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54396-2021</t>
        </is>
      </c>
      <c r="B439" s="1" t="n">
        <v>44472</v>
      </c>
      <c r="C439" s="1" t="n">
        <v>45879</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19952-2023</t>
        </is>
      </c>
      <c r="B440" s="1" t="n">
        <v>45054.54091435186</v>
      </c>
      <c r="C440" s="1" t="n">
        <v>45879</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19994-2023</t>
        </is>
      </c>
      <c r="B441" s="1" t="n">
        <v>45054</v>
      </c>
      <c r="C441" s="1" t="n">
        <v>45879</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32071-2023</t>
        </is>
      </c>
      <c r="B442" s="1" t="n">
        <v>45119.57728009259</v>
      </c>
      <c r="C442" s="1" t="n">
        <v>45879</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25681-2024</t>
        </is>
      </c>
      <c r="B443" s="1" t="n">
        <v>45463.80486111111</v>
      </c>
      <c r="C443" s="1" t="n">
        <v>45879</v>
      </c>
      <c r="D443" t="inlineStr">
        <is>
          <t>STOCKHOLMS LÄN</t>
        </is>
      </c>
      <c r="E443" t="inlineStr">
        <is>
          <t>NORRTÄLJE</t>
        </is>
      </c>
      <c r="G443" t="n">
        <v>2.7</v>
      </c>
      <c r="H443" t="n">
        <v>0</v>
      </c>
      <c r="I443" t="n">
        <v>0</v>
      </c>
      <c r="J443" t="n">
        <v>0</v>
      </c>
      <c r="K443" t="n">
        <v>0</v>
      </c>
      <c r="L443" t="n">
        <v>0</v>
      </c>
      <c r="M443" t="n">
        <v>0</v>
      </c>
      <c r="N443" t="n">
        <v>0</v>
      </c>
      <c r="O443" t="n">
        <v>0</v>
      </c>
      <c r="P443" t="n">
        <v>0</v>
      </c>
      <c r="Q443" t="n">
        <v>0</v>
      </c>
      <c r="R443" s="2" t="inlineStr"/>
    </row>
    <row r="444" ht="15" customHeight="1">
      <c r="A444" t="inlineStr">
        <is>
          <t>A 31827-2023</t>
        </is>
      </c>
      <c r="B444" s="1" t="n">
        <v>45118</v>
      </c>
      <c r="C444" s="1" t="n">
        <v>45879</v>
      </c>
      <c r="D444" t="inlineStr">
        <is>
          <t>STOCKHOLMS LÄN</t>
        </is>
      </c>
      <c r="E444" t="inlineStr">
        <is>
          <t>NORRTÄLJE</t>
        </is>
      </c>
      <c r="F444" t="inlineStr">
        <is>
          <t>Kyrkan</t>
        </is>
      </c>
      <c r="G444" t="n">
        <v>4.9</v>
      </c>
      <c r="H444" t="n">
        <v>0</v>
      </c>
      <c r="I444" t="n">
        <v>0</v>
      </c>
      <c r="J444" t="n">
        <v>0</v>
      </c>
      <c r="K444" t="n">
        <v>0</v>
      </c>
      <c r="L444" t="n">
        <v>0</v>
      </c>
      <c r="M444" t="n">
        <v>0</v>
      </c>
      <c r="N444" t="n">
        <v>0</v>
      </c>
      <c r="O444" t="n">
        <v>0</v>
      </c>
      <c r="P444" t="n">
        <v>0</v>
      </c>
      <c r="Q444" t="n">
        <v>0</v>
      </c>
      <c r="R444" s="2" t="inlineStr"/>
    </row>
    <row r="445" ht="15" customHeight="1">
      <c r="A445" t="inlineStr">
        <is>
          <t>A 10973-2025</t>
        </is>
      </c>
      <c r="B445" s="1" t="n">
        <v>45723</v>
      </c>
      <c r="C445" s="1" t="n">
        <v>45879</v>
      </c>
      <c r="D445" t="inlineStr">
        <is>
          <t>STOCKHOLMS LÄN</t>
        </is>
      </c>
      <c r="E445" t="inlineStr">
        <is>
          <t>NORRTÄLJE</t>
        </is>
      </c>
      <c r="F445" t="inlineStr">
        <is>
          <t>Övriga Aktiebolag</t>
        </is>
      </c>
      <c r="G445" t="n">
        <v>2.7</v>
      </c>
      <c r="H445" t="n">
        <v>0</v>
      </c>
      <c r="I445" t="n">
        <v>0</v>
      </c>
      <c r="J445" t="n">
        <v>0</v>
      </c>
      <c r="K445" t="n">
        <v>0</v>
      </c>
      <c r="L445" t="n">
        <v>0</v>
      </c>
      <c r="M445" t="n">
        <v>0</v>
      </c>
      <c r="N445" t="n">
        <v>0</v>
      </c>
      <c r="O445" t="n">
        <v>0</v>
      </c>
      <c r="P445" t="n">
        <v>0</v>
      </c>
      <c r="Q445" t="n">
        <v>0</v>
      </c>
      <c r="R445" s="2" t="inlineStr"/>
    </row>
    <row r="446" ht="15" customHeight="1">
      <c r="A446" t="inlineStr">
        <is>
          <t>A 54496-2024</t>
        </is>
      </c>
      <c r="B446" s="1" t="n">
        <v>45617.57439814815</v>
      </c>
      <c r="C446" s="1" t="n">
        <v>45879</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24245-2024</t>
        </is>
      </c>
      <c r="B447" s="1" t="n">
        <v>45457</v>
      </c>
      <c r="C447" s="1" t="n">
        <v>45879</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26115-2024</t>
        </is>
      </c>
      <c r="B448" s="1" t="n">
        <v>45468.45628472222</v>
      </c>
      <c r="C448" s="1" t="n">
        <v>45879</v>
      </c>
      <c r="D448" t="inlineStr">
        <is>
          <t>STOCKHOLMS LÄN</t>
        </is>
      </c>
      <c r="E448" t="inlineStr">
        <is>
          <t>NORRTÄLJE</t>
        </is>
      </c>
      <c r="G448" t="n">
        <v>0.3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45879</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7796-2025</t>
        </is>
      </c>
      <c r="B450" s="1" t="n">
        <v>45706.60130787037</v>
      </c>
      <c r="C450" s="1" t="n">
        <v>45879</v>
      </c>
      <c r="D450" t="inlineStr">
        <is>
          <t>STOCKHOLMS LÄN</t>
        </is>
      </c>
      <c r="E450" t="inlineStr">
        <is>
          <t>NORRTÄLJE</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59767-2022</t>
        </is>
      </c>
      <c r="B451" s="1" t="n">
        <v>44900</v>
      </c>
      <c r="C451" s="1" t="n">
        <v>45879</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22756-2022</t>
        </is>
      </c>
      <c r="B452" s="1" t="n">
        <v>44714.92253472222</v>
      </c>
      <c r="C452" s="1" t="n">
        <v>45879</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27827-2022</t>
        </is>
      </c>
      <c r="B453" s="1" t="n">
        <v>44743.59504629629</v>
      </c>
      <c r="C453" s="1" t="n">
        <v>45879</v>
      </c>
      <c r="D453" t="inlineStr">
        <is>
          <t>STOCKHOLMS LÄN</t>
        </is>
      </c>
      <c r="E453" t="inlineStr">
        <is>
          <t>NORRTÄLJE</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29003-2023</t>
        </is>
      </c>
      <c r="B454" s="1" t="n">
        <v>45104</v>
      </c>
      <c r="C454" s="1" t="n">
        <v>45879</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14498-2024</t>
        </is>
      </c>
      <c r="B455" s="1" t="n">
        <v>45394.58778935186</v>
      </c>
      <c r="C455" s="1" t="n">
        <v>45879</v>
      </c>
      <c r="D455" t="inlineStr">
        <is>
          <t>STOCKHOLMS LÄN</t>
        </is>
      </c>
      <c r="E455" t="inlineStr">
        <is>
          <t>NORRTÄLJE</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58311-2023</t>
        </is>
      </c>
      <c r="B456" s="1" t="n">
        <v>45245</v>
      </c>
      <c r="C456" s="1" t="n">
        <v>45879</v>
      </c>
      <c r="D456" t="inlineStr">
        <is>
          <t>STOCKHOLMS LÄN</t>
        </is>
      </c>
      <c r="E456" t="inlineStr">
        <is>
          <t>NORRTÄLJE</t>
        </is>
      </c>
      <c r="G456" t="n">
        <v>2.3</v>
      </c>
      <c r="H456" t="n">
        <v>0</v>
      </c>
      <c r="I456" t="n">
        <v>0</v>
      </c>
      <c r="J456" t="n">
        <v>0</v>
      </c>
      <c r="K456" t="n">
        <v>0</v>
      </c>
      <c r="L456" t="n">
        <v>0</v>
      </c>
      <c r="M456" t="n">
        <v>0</v>
      </c>
      <c r="N456" t="n">
        <v>0</v>
      </c>
      <c r="O456" t="n">
        <v>0</v>
      </c>
      <c r="P456" t="n">
        <v>0</v>
      </c>
      <c r="Q456" t="n">
        <v>0</v>
      </c>
      <c r="R456" s="2" t="inlineStr"/>
    </row>
    <row r="457" ht="15" customHeight="1">
      <c r="A457" t="inlineStr">
        <is>
          <t>A 8739-2024</t>
        </is>
      </c>
      <c r="B457" s="1" t="n">
        <v>45356.47784722222</v>
      </c>
      <c r="C457" s="1" t="n">
        <v>45879</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15956-2023</t>
        </is>
      </c>
      <c r="B458" s="1" t="n">
        <v>45022.61003472222</v>
      </c>
      <c r="C458" s="1" t="n">
        <v>45879</v>
      </c>
      <c r="D458" t="inlineStr">
        <is>
          <t>STOCKHOLMS LÄN</t>
        </is>
      </c>
      <c r="E458" t="inlineStr">
        <is>
          <t>NORRTÄLJE</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26640-2023</t>
        </is>
      </c>
      <c r="B459" s="1" t="n">
        <v>45092</v>
      </c>
      <c r="C459" s="1" t="n">
        <v>45879</v>
      </c>
      <c r="D459" t="inlineStr">
        <is>
          <t>STOCKHOLMS LÄN</t>
        </is>
      </c>
      <c r="E459" t="inlineStr">
        <is>
          <t>NORRTÄLJE</t>
        </is>
      </c>
      <c r="G459" t="n">
        <v>5.7</v>
      </c>
      <c r="H459" t="n">
        <v>0</v>
      </c>
      <c r="I459" t="n">
        <v>0</v>
      </c>
      <c r="J459" t="n">
        <v>0</v>
      </c>
      <c r="K459" t="n">
        <v>0</v>
      </c>
      <c r="L459" t="n">
        <v>0</v>
      </c>
      <c r="M459" t="n">
        <v>0</v>
      </c>
      <c r="N459" t="n">
        <v>0</v>
      </c>
      <c r="O459" t="n">
        <v>0</v>
      </c>
      <c r="P459" t="n">
        <v>0</v>
      </c>
      <c r="Q459" t="n">
        <v>0</v>
      </c>
      <c r="R459" s="2" t="inlineStr"/>
    </row>
    <row r="460" ht="15" customHeight="1">
      <c r="A460" t="inlineStr">
        <is>
          <t>A 62765-2022</t>
        </is>
      </c>
      <c r="B460" s="1" t="n">
        <v>44637</v>
      </c>
      <c r="C460" s="1" t="n">
        <v>45879</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38990-2022</t>
        </is>
      </c>
      <c r="B461" s="1" t="n">
        <v>44816</v>
      </c>
      <c r="C461" s="1" t="n">
        <v>45879</v>
      </c>
      <c r="D461" t="inlineStr">
        <is>
          <t>STOCKHOLMS LÄN</t>
        </is>
      </c>
      <c r="E461" t="inlineStr">
        <is>
          <t>NORRTÄLJE</t>
        </is>
      </c>
      <c r="G461" t="n">
        <v>5.7</v>
      </c>
      <c r="H461" t="n">
        <v>0</v>
      </c>
      <c r="I461" t="n">
        <v>0</v>
      </c>
      <c r="J461" t="n">
        <v>0</v>
      </c>
      <c r="K461" t="n">
        <v>0</v>
      </c>
      <c r="L461" t="n">
        <v>0</v>
      </c>
      <c r="M461" t="n">
        <v>0</v>
      </c>
      <c r="N461" t="n">
        <v>0</v>
      </c>
      <c r="O461" t="n">
        <v>0</v>
      </c>
      <c r="P461" t="n">
        <v>0</v>
      </c>
      <c r="Q461" t="n">
        <v>0</v>
      </c>
      <c r="R461" s="2" t="inlineStr"/>
    </row>
    <row r="462" ht="15" customHeight="1">
      <c r="A462" t="inlineStr">
        <is>
          <t>A 54273-2021</t>
        </is>
      </c>
      <c r="B462" s="1" t="n">
        <v>44470.72987268519</v>
      </c>
      <c r="C462" s="1" t="n">
        <v>45879</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43212-2022</t>
        </is>
      </c>
      <c r="B463" s="1" t="n">
        <v>44834.38636574074</v>
      </c>
      <c r="C463" s="1" t="n">
        <v>45879</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51720-2020</t>
        </is>
      </c>
      <c r="B464" s="1" t="n">
        <v>44113</v>
      </c>
      <c r="C464" s="1" t="n">
        <v>45879</v>
      </c>
      <c r="D464" t="inlineStr">
        <is>
          <t>STOCKHOLMS LÄN</t>
        </is>
      </c>
      <c r="E464" t="inlineStr">
        <is>
          <t>NORRTÄLJE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17545-2025</t>
        </is>
      </c>
      <c r="B465" s="1" t="n">
        <v>45757.60658564815</v>
      </c>
      <c r="C465" s="1" t="n">
        <v>45879</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5950-2021</t>
        </is>
      </c>
      <c r="B466" s="1" t="n">
        <v>44231</v>
      </c>
      <c r="C466" s="1" t="n">
        <v>45879</v>
      </c>
      <c r="D466" t="inlineStr">
        <is>
          <t>STOCKHOLMS LÄN</t>
        </is>
      </c>
      <c r="E466" t="inlineStr">
        <is>
          <t>NORRTÄLJE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3444-2023</t>
        </is>
      </c>
      <c r="B467" s="1" t="n">
        <v>44949</v>
      </c>
      <c r="C467" s="1" t="n">
        <v>45879</v>
      </c>
      <c r="D467" t="inlineStr">
        <is>
          <t>STOCKHOLMS LÄN</t>
        </is>
      </c>
      <c r="E467" t="inlineStr">
        <is>
          <t>NORRTÄLJE</t>
        </is>
      </c>
      <c r="G467" t="n">
        <v>5.1</v>
      </c>
      <c r="H467" t="n">
        <v>0</v>
      </c>
      <c r="I467" t="n">
        <v>0</v>
      </c>
      <c r="J467" t="n">
        <v>0</v>
      </c>
      <c r="K467" t="n">
        <v>0</v>
      </c>
      <c r="L467" t="n">
        <v>0</v>
      </c>
      <c r="M467" t="n">
        <v>0</v>
      </c>
      <c r="N467" t="n">
        <v>0</v>
      </c>
      <c r="O467" t="n">
        <v>0</v>
      </c>
      <c r="P467" t="n">
        <v>0</v>
      </c>
      <c r="Q467" t="n">
        <v>0</v>
      </c>
      <c r="R467" s="2" t="inlineStr"/>
    </row>
    <row r="468" ht="15" customHeight="1">
      <c r="A468" t="inlineStr">
        <is>
          <t>A 13053-2022</t>
        </is>
      </c>
      <c r="B468" s="1" t="n">
        <v>44643</v>
      </c>
      <c r="C468" s="1" t="n">
        <v>45879</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17956-2025</t>
        </is>
      </c>
      <c r="B469" s="1" t="n">
        <v>45760.91174768518</v>
      </c>
      <c r="C469" s="1" t="n">
        <v>45879</v>
      </c>
      <c r="D469" t="inlineStr">
        <is>
          <t>STOCKHOLMS LÄN</t>
        </is>
      </c>
      <c r="E469" t="inlineStr">
        <is>
          <t>NORRTÄLJE</t>
        </is>
      </c>
      <c r="G469" t="n">
        <v>4.3</v>
      </c>
      <c r="H469" t="n">
        <v>0</v>
      </c>
      <c r="I469" t="n">
        <v>0</v>
      </c>
      <c r="J469" t="n">
        <v>0</v>
      </c>
      <c r="K469" t="n">
        <v>0</v>
      </c>
      <c r="L469" t="n">
        <v>0</v>
      </c>
      <c r="M469" t="n">
        <v>0</v>
      </c>
      <c r="N469" t="n">
        <v>0</v>
      </c>
      <c r="O469" t="n">
        <v>0</v>
      </c>
      <c r="P469" t="n">
        <v>0</v>
      </c>
      <c r="Q469" t="n">
        <v>0</v>
      </c>
      <c r="R469" s="2" t="inlineStr"/>
    </row>
    <row r="470" ht="15" customHeight="1">
      <c r="A470" t="inlineStr">
        <is>
          <t>A 3383-2023</t>
        </is>
      </c>
      <c r="B470" s="1" t="n">
        <v>44949</v>
      </c>
      <c r="C470" s="1" t="n">
        <v>45879</v>
      </c>
      <c r="D470" t="inlineStr">
        <is>
          <t>STOCKHOLMS LÄN</t>
        </is>
      </c>
      <c r="E470" t="inlineStr">
        <is>
          <t>NORRTÄLJE</t>
        </is>
      </c>
      <c r="G470" t="n">
        <v>14.6</v>
      </c>
      <c r="H470" t="n">
        <v>0</v>
      </c>
      <c r="I470" t="n">
        <v>0</v>
      </c>
      <c r="J470" t="n">
        <v>0</v>
      </c>
      <c r="K470" t="n">
        <v>0</v>
      </c>
      <c r="L470" t="n">
        <v>0</v>
      </c>
      <c r="M470" t="n">
        <v>0</v>
      </c>
      <c r="N470" t="n">
        <v>0</v>
      </c>
      <c r="O470" t="n">
        <v>0</v>
      </c>
      <c r="P470" t="n">
        <v>0</v>
      </c>
      <c r="Q470" t="n">
        <v>0</v>
      </c>
      <c r="R470" s="2" t="inlineStr"/>
    </row>
    <row r="471" ht="15" customHeight="1">
      <c r="A471" t="inlineStr">
        <is>
          <t>A 23265-2023</t>
        </is>
      </c>
      <c r="B471" s="1" t="n">
        <v>45075.90703703704</v>
      </c>
      <c r="C471" s="1" t="n">
        <v>45879</v>
      </c>
      <c r="D471" t="inlineStr">
        <is>
          <t>STOCKHOLMS LÄN</t>
        </is>
      </c>
      <c r="E471" t="inlineStr">
        <is>
          <t>NORRTÄLJE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30268-2024</t>
        </is>
      </c>
      <c r="B472" s="1" t="n">
        <v>45490.60572916667</v>
      </c>
      <c r="C472" s="1" t="n">
        <v>45879</v>
      </c>
      <c r="D472" t="inlineStr">
        <is>
          <t>STOCKHOLMS LÄN</t>
        </is>
      </c>
      <c r="E472" t="inlineStr">
        <is>
          <t>NORRTÄLJE</t>
        </is>
      </c>
      <c r="G472" t="n">
        <v>5.6</v>
      </c>
      <c r="H472" t="n">
        <v>0</v>
      </c>
      <c r="I472" t="n">
        <v>0</v>
      </c>
      <c r="J472" t="n">
        <v>0</v>
      </c>
      <c r="K472" t="n">
        <v>0</v>
      </c>
      <c r="L472" t="n">
        <v>0</v>
      </c>
      <c r="M472" t="n">
        <v>0</v>
      </c>
      <c r="N472" t="n">
        <v>0</v>
      </c>
      <c r="O472" t="n">
        <v>0</v>
      </c>
      <c r="P472" t="n">
        <v>0</v>
      </c>
      <c r="Q472" t="n">
        <v>0</v>
      </c>
      <c r="R472" s="2" t="inlineStr"/>
    </row>
    <row r="473" ht="15" customHeight="1">
      <c r="A473" t="inlineStr">
        <is>
          <t>A 4316-2023</t>
        </is>
      </c>
      <c r="B473" s="1" t="n">
        <v>44953.67443287037</v>
      </c>
      <c r="C473" s="1" t="n">
        <v>45879</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59535-2024</t>
        </is>
      </c>
      <c r="B474" s="1" t="n">
        <v>45638.59979166667</v>
      </c>
      <c r="C474" s="1" t="n">
        <v>45879</v>
      </c>
      <c r="D474" t="inlineStr">
        <is>
          <t>STOCKHOLMS LÄN</t>
        </is>
      </c>
      <c r="E474" t="inlineStr">
        <is>
          <t>NORRTÄLJE</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9246-2024</t>
        </is>
      </c>
      <c r="B475" s="1" t="n">
        <v>45357</v>
      </c>
      <c r="C475" s="1" t="n">
        <v>45879</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5839-2023</t>
        </is>
      </c>
      <c r="B476" s="1" t="n">
        <v>44963</v>
      </c>
      <c r="C476" s="1" t="n">
        <v>45879</v>
      </c>
      <c r="D476" t="inlineStr">
        <is>
          <t>STOCKHOLMS LÄN</t>
        </is>
      </c>
      <c r="E476" t="inlineStr">
        <is>
          <t>NORRTÄLJE</t>
        </is>
      </c>
      <c r="G476" t="n">
        <v>3.6</v>
      </c>
      <c r="H476" t="n">
        <v>0</v>
      </c>
      <c r="I476" t="n">
        <v>0</v>
      </c>
      <c r="J476" t="n">
        <v>0</v>
      </c>
      <c r="K476" t="n">
        <v>0</v>
      </c>
      <c r="L476" t="n">
        <v>0</v>
      </c>
      <c r="M476" t="n">
        <v>0</v>
      </c>
      <c r="N476" t="n">
        <v>0</v>
      </c>
      <c r="O476" t="n">
        <v>0</v>
      </c>
      <c r="P476" t="n">
        <v>0</v>
      </c>
      <c r="Q476" t="n">
        <v>0</v>
      </c>
      <c r="R476" s="2" t="inlineStr"/>
    </row>
    <row r="477" ht="15" customHeight="1">
      <c r="A477" t="inlineStr">
        <is>
          <t>A 34295-2024</t>
        </is>
      </c>
      <c r="B477" s="1" t="n">
        <v>45524</v>
      </c>
      <c r="C477" s="1" t="n">
        <v>45879</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45879</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6537-2024</t>
        </is>
      </c>
      <c r="B479" s="1" t="n">
        <v>45341.39853009259</v>
      </c>
      <c r="C479" s="1" t="n">
        <v>45879</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24705-2023</t>
        </is>
      </c>
      <c r="B480" s="1" t="n">
        <v>45084.54459490741</v>
      </c>
      <c r="C480" s="1" t="n">
        <v>45879</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20852-2023</t>
        </is>
      </c>
      <c r="B481" s="1" t="n">
        <v>45058.78607638889</v>
      </c>
      <c r="C481" s="1" t="n">
        <v>45879</v>
      </c>
      <c r="D481" t="inlineStr">
        <is>
          <t>STOCKHOLMS LÄN</t>
        </is>
      </c>
      <c r="E481" t="inlineStr">
        <is>
          <t>NORRTÄLJE</t>
        </is>
      </c>
      <c r="G481" t="n">
        <v>3.5</v>
      </c>
      <c r="H481" t="n">
        <v>0</v>
      </c>
      <c r="I481" t="n">
        <v>0</v>
      </c>
      <c r="J481" t="n">
        <v>0</v>
      </c>
      <c r="K481" t="n">
        <v>0</v>
      </c>
      <c r="L481" t="n">
        <v>0</v>
      </c>
      <c r="M481" t="n">
        <v>0</v>
      </c>
      <c r="N481" t="n">
        <v>0</v>
      </c>
      <c r="O481" t="n">
        <v>0</v>
      </c>
      <c r="P481" t="n">
        <v>0</v>
      </c>
      <c r="Q481" t="n">
        <v>0</v>
      </c>
      <c r="R481" s="2" t="inlineStr"/>
    </row>
    <row r="482" ht="15" customHeight="1">
      <c r="A482" t="inlineStr">
        <is>
          <t>A 29369-2024</t>
        </is>
      </c>
      <c r="B482" s="1" t="n">
        <v>45483.57244212963</v>
      </c>
      <c r="C482" s="1" t="n">
        <v>45879</v>
      </c>
      <c r="D482" t="inlineStr">
        <is>
          <t>STOCKHOLMS LÄN</t>
        </is>
      </c>
      <c r="E482" t="inlineStr">
        <is>
          <t>NORRTÄLJE</t>
        </is>
      </c>
      <c r="G482" t="n">
        <v>15.9</v>
      </c>
      <c r="H482" t="n">
        <v>0</v>
      </c>
      <c r="I482" t="n">
        <v>0</v>
      </c>
      <c r="J482" t="n">
        <v>0</v>
      </c>
      <c r="K482" t="n">
        <v>0</v>
      </c>
      <c r="L482" t="n">
        <v>0</v>
      </c>
      <c r="M482" t="n">
        <v>0</v>
      </c>
      <c r="N482" t="n">
        <v>0</v>
      </c>
      <c r="O482" t="n">
        <v>0</v>
      </c>
      <c r="P482" t="n">
        <v>0</v>
      </c>
      <c r="Q482" t="n">
        <v>0</v>
      </c>
      <c r="R482" s="2" t="inlineStr"/>
    </row>
    <row r="483" ht="15" customHeight="1">
      <c r="A483" t="inlineStr">
        <is>
          <t>A 48066-2020</t>
        </is>
      </c>
      <c r="B483" s="1" t="n">
        <v>44100</v>
      </c>
      <c r="C483" s="1" t="n">
        <v>45879</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50355-2024</t>
        </is>
      </c>
      <c r="B484" s="1" t="n">
        <v>45600.86128472222</v>
      </c>
      <c r="C484" s="1" t="n">
        <v>45879</v>
      </c>
      <c r="D484" t="inlineStr">
        <is>
          <t>STOCKHOLMS LÄN</t>
        </is>
      </c>
      <c r="E484" t="inlineStr">
        <is>
          <t>NORRTÄLJE</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52260-2022</t>
        </is>
      </c>
      <c r="B485" s="1" t="n">
        <v>44869</v>
      </c>
      <c r="C485" s="1" t="n">
        <v>45879</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60694-2024</t>
        </is>
      </c>
      <c r="B486" s="1" t="n">
        <v>45644.47878472223</v>
      </c>
      <c r="C486" s="1" t="n">
        <v>45879</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54358-2022</t>
        </is>
      </c>
      <c r="B487" s="1" t="n">
        <v>44882</v>
      </c>
      <c r="C487" s="1" t="n">
        <v>45879</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25094-2023</t>
        </is>
      </c>
      <c r="B488" s="1" t="n">
        <v>45086.3629050926</v>
      </c>
      <c r="C488" s="1" t="n">
        <v>45879</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59276-2023</t>
        </is>
      </c>
      <c r="B489" s="1" t="n">
        <v>45253.55641203704</v>
      </c>
      <c r="C489" s="1" t="n">
        <v>45879</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55058-2021</t>
        </is>
      </c>
      <c r="B490" s="1" t="n">
        <v>44474.62141203704</v>
      </c>
      <c r="C490" s="1" t="n">
        <v>45879</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13767-2025</t>
        </is>
      </c>
      <c r="B491" s="1" t="n">
        <v>45737.43347222222</v>
      </c>
      <c r="C491" s="1" t="n">
        <v>45879</v>
      </c>
      <c r="D491" t="inlineStr">
        <is>
          <t>STOCKHOLMS LÄN</t>
        </is>
      </c>
      <c r="E491" t="inlineStr">
        <is>
          <t>NORRTÄLJE</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40192-2023</t>
        </is>
      </c>
      <c r="B492" s="1" t="n">
        <v>45169</v>
      </c>
      <c r="C492" s="1" t="n">
        <v>45879</v>
      </c>
      <c r="D492" t="inlineStr">
        <is>
          <t>STOCKHOLMS LÄN</t>
        </is>
      </c>
      <c r="E492" t="inlineStr">
        <is>
          <t>NORRTÄLJE</t>
        </is>
      </c>
      <c r="F492" t="inlineStr">
        <is>
          <t>Kyrkan</t>
        </is>
      </c>
      <c r="G492" t="n">
        <v>0.7</v>
      </c>
      <c r="H492" t="n">
        <v>0</v>
      </c>
      <c r="I492" t="n">
        <v>0</v>
      </c>
      <c r="J492" t="n">
        <v>0</v>
      </c>
      <c r="K492" t="n">
        <v>0</v>
      </c>
      <c r="L492" t="n">
        <v>0</v>
      </c>
      <c r="M492" t="n">
        <v>0</v>
      </c>
      <c r="N492" t="n">
        <v>0</v>
      </c>
      <c r="O492" t="n">
        <v>0</v>
      </c>
      <c r="P492" t="n">
        <v>0</v>
      </c>
      <c r="Q492" t="n">
        <v>0</v>
      </c>
      <c r="R492" s="2" t="inlineStr"/>
    </row>
    <row r="493" ht="15" customHeight="1">
      <c r="A493" t="inlineStr">
        <is>
          <t>A 23749-2024</t>
        </is>
      </c>
      <c r="B493" s="1" t="n">
        <v>45455.33037037037</v>
      </c>
      <c r="C493" s="1" t="n">
        <v>45879</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35691-2023</t>
        </is>
      </c>
      <c r="B494" s="1" t="n">
        <v>45147.65222222222</v>
      </c>
      <c r="C494" s="1" t="n">
        <v>45879</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35693-2023</t>
        </is>
      </c>
      <c r="B495" s="1" t="n">
        <v>45147.65311342593</v>
      </c>
      <c r="C495" s="1" t="n">
        <v>45879</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35698-2023</t>
        </is>
      </c>
      <c r="B496" s="1" t="n">
        <v>45147</v>
      </c>
      <c r="C496" s="1" t="n">
        <v>45879</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41587-2023</t>
        </is>
      </c>
      <c r="B497" s="1" t="n">
        <v>45175</v>
      </c>
      <c r="C497" s="1" t="n">
        <v>45879</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4035-2023</t>
        </is>
      </c>
      <c r="B498" s="1" t="n">
        <v>44952.57989583333</v>
      </c>
      <c r="C498" s="1" t="n">
        <v>45879</v>
      </c>
      <c r="D498" t="inlineStr">
        <is>
          <t>STOCKHOLMS LÄN</t>
        </is>
      </c>
      <c r="E498" t="inlineStr">
        <is>
          <t>NORRTÄLJE</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26644-2024</t>
        </is>
      </c>
      <c r="B499" s="1" t="n">
        <v>45469</v>
      </c>
      <c r="C499" s="1" t="n">
        <v>45879</v>
      </c>
      <c r="D499" t="inlineStr">
        <is>
          <t>STOCKHOLMS LÄN</t>
        </is>
      </c>
      <c r="E499" t="inlineStr">
        <is>
          <t>NORRTÄLJE</t>
        </is>
      </c>
      <c r="G499" t="n">
        <v>4.3</v>
      </c>
      <c r="H499" t="n">
        <v>0</v>
      </c>
      <c r="I499" t="n">
        <v>0</v>
      </c>
      <c r="J499" t="n">
        <v>0</v>
      </c>
      <c r="K499" t="n">
        <v>0</v>
      </c>
      <c r="L499" t="n">
        <v>0</v>
      </c>
      <c r="M499" t="n">
        <v>0</v>
      </c>
      <c r="N499" t="n">
        <v>0</v>
      </c>
      <c r="O499" t="n">
        <v>0</v>
      </c>
      <c r="P499" t="n">
        <v>0</v>
      </c>
      <c r="Q499" t="n">
        <v>0</v>
      </c>
      <c r="R499" s="2" t="inlineStr"/>
    </row>
    <row r="500" ht="15" customHeight="1">
      <c r="A500" t="inlineStr">
        <is>
          <t>A 26668-2024</t>
        </is>
      </c>
      <c r="B500" s="1" t="n">
        <v>45469</v>
      </c>
      <c r="C500" s="1" t="n">
        <v>45879</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73992-2021</t>
        </is>
      </c>
      <c r="B501" s="1" t="n">
        <v>44556</v>
      </c>
      <c r="C501" s="1" t="n">
        <v>45879</v>
      </c>
      <c r="D501" t="inlineStr">
        <is>
          <t>STOCKHOLMS LÄN</t>
        </is>
      </c>
      <c r="E501" t="inlineStr">
        <is>
          <t>NORRTÄLJE</t>
        </is>
      </c>
      <c r="G501" t="n">
        <v>12.5</v>
      </c>
      <c r="H501" t="n">
        <v>0</v>
      </c>
      <c r="I501" t="n">
        <v>0</v>
      </c>
      <c r="J501" t="n">
        <v>0</v>
      </c>
      <c r="K501" t="n">
        <v>0</v>
      </c>
      <c r="L501" t="n">
        <v>0</v>
      </c>
      <c r="M501" t="n">
        <v>0</v>
      </c>
      <c r="N501" t="n">
        <v>0</v>
      </c>
      <c r="O501" t="n">
        <v>0</v>
      </c>
      <c r="P501" t="n">
        <v>0</v>
      </c>
      <c r="Q501" t="n">
        <v>0</v>
      </c>
      <c r="R501" s="2" t="inlineStr"/>
    </row>
    <row r="502" ht="15" customHeight="1">
      <c r="A502" t="inlineStr">
        <is>
          <t>A 21329-2022</t>
        </is>
      </c>
      <c r="B502" s="1" t="n">
        <v>44705.60626157407</v>
      </c>
      <c r="C502" s="1" t="n">
        <v>45879</v>
      </c>
      <c r="D502" t="inlineStr">
        <is>
          <t>STOCKHOLMS LÄN</t>
        </is>
      </c>
      <c r="E502" t="inlineStr">
        <is>
          <t>NORRTÄLJE</t>
        </is>
      </c>
      <c r="G502" t="n">
        <v>4.1</v>
      </c>
      <c r="H502" t="n">
        <v>0</v>
      </c>
      <c r="I502" t="n">
        <v>0</v>
      </c>
      <c r="J502" t="n">
        <v>0</v>
      </c>
      <c r="K502" t="n">
        <v>0</v>
      </c>
      <c r="L502" t="n">
        <v>0</v>
      </c>
      <c r="M502" t="n">
        <v>0</v>
      </c>
      <c r="N502" t="n">
        <v>0</v>
      </c>
      <c r="O502" t="n">
        <v>0</v>
      </c>
      <c r="P502" t="n">
        <v>0</v>
      </c>
      <c r="Q502" t="n">
        <v>0</v>
      </c>
      <c r="R502" s="2" t="inlineStr"/>
    </row>
    <row r="503" ht="15" customHeight="1">
      <c r="A503" t="inlineStr">
        <is>
          <t>A 54276-2021</t>
        </is>
      </c>
      <c r="B503" s="1" t="n">
        <v>44470</v>
      </c>
      <c r="C503" s="1" t="n">
        <v>45879</v>
      </c>
      <c r="D503" t="inlineStr">
        <is>
          <t>STOCKHOLMS LÄN</t>
        </is>
      </c>
      <c r="E503" t="inlineStr">
        <is>
          <t>NORRTÄLJE</t>
        </is>
      </c>
      <c r="G503" t="n">
        <v>7.3</v>
      </c>
      <c r="H503" t="n">
        <v>0</v>
      </c>
      <c r="I503" t="n">
        <v>0</v>
      </c>
      <c r="J503" t="n">
        <v>0</v>
      </c>
      <c r="K503" t="n">
        <v>0</v>
      </c>
      <c r="L503" t="n">
        <v>0</v>
      </c>
      <c r="M503" t="n">
        <v>0</v>
      </c>
      <c r="N503" t="n">
        <v>0</v>
      </c>
      <c r="O503" t="n">
        <v>0</v>
      </c>
      <c r="P503" t="n">
        <v>0</v>
      </c>
      <c r="Q503" t="n">
        <v>0</v>
      </c>
      <c r="R503" s="2" t="inlineStr"/>
    </row>
    <row r="504" ht="15" customHeight="1">
      <c r="A504" t="inlineStr">
        <is>
          <t>A 10090-2022</t>
        </is>
      </c>
      <c r="B504" s="1" t="n">
        <v>44621</v>
      </c>
      <c r="C504" s="1" t="n">
        <v>45879</v>
      </c>
      <c r="D504" t="inlineStr">
        <is>
          <t>STOCKHOLMS LÄN</t>
        </is>
      </c>
      <c r="E504" t="inlineStr">
        <is>
          <t>NORRTÄLJE</t>
        </is>
      </c>
      <c r="G504" t="n">
        <v>5.2</v>
      </c>
      <c r="H504" t="n">
        <v>0</v>
      </c>
      <c r="I504" t="n">
        <v>0</v>
      </c>
      <c r="J504" t="n">
        <v>0</v>
      </c>
      <c r="K504" t="n">
        <v>0</v>
      </c>
      <c r="L504" t="n">
        <v>0</v>
      </c>
      <c r="M504" t="n">
        <v>0</v>
      </c>
      <c r="N504" t="n">
        <v>0</v>
      </c>
      <c r="O504" t="n">
        <v>0</v>
      </c>
      <c r="P504" t="n">
        <v>0</v>
      </c>
      <c r="Q504" t="n">
        <v>0</v>
      </c>
      <c r="R504" s="2" t="inlineStr"/>
    </row>
    <row r="505" ht="15" customHeight="1">
      <c r="A505" t="inlineStr">
        <is>
          <t>A 13785-2024</t>
        </is>
      </c>
      <c r="B505" s="1" t="n">
        <v>45391.3395949074</v>
      </c>
      <c r="C505" s="1" t="n">
        <v>45879</v>
      </c>
      <c r="D505" t="inlineStr">
        <is>
          <t>STOCKHOLMS LÄN</t>
        </is>
      </c>
      <c r="E505" t="inlineStr">
        <is>
          <t>NORRTÄLJE</t>
        </is>
      </c>
      <c r="G505" t="n">
        <v>5</v>
      </c>
      <c r="H505" t="n">
        <v>0</v>
      </c>
      <c r="I505" t="n">
        <v>0</v>
      </c>
      <c r="J505" t="n">
        <v>0</v>
      </c>
      <c r="K505" t="n">
        <v>0</v>
      </c>
      <c r="L505" t="n">
        <v>0</v>
      </c>
      <c r="M505" t="n">
        <v>0</v>
      </c>
      <c r="N505" t="n">
        <v>0</v>
      </c>
      <c r="O505" t="n">
        <v>0</v>
      </c>
      <c r="P505" t="n">
        <v>0</v>
      </c>
      <c r="Q505" t="n">
        <v>0</v>
      </c>
      <c r="R505" s="2" t="inlineStr"/>
    </row>
    <row r="506" ht="15" customHeight="1">
      <c r="A506" t="inlineStr">
        <is>
          <t>A 51116-2022</t>
        </is>
      </c>
      <c r="B506" s="1" t="n">
        <v>44868.45741898148</v>
      </c>
      <c r="C506" s="1" t="n">
        <v>45879</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27381-2024</t>
        </is>
      </c>
      <c r="B507" s="1" t="n">
        <v>45473.94501157408</v>
      </c>
      <c r="C507" s="1" t="n">
        <v>45879</v>
      </c>
      <c r="D507" t="inlineStr">
        <is>
          <t>STOCKHOLMS LÄN</t>
        </is>
      </c>
      <c r="E507" t="inlineStr">
        <is>
          <t>NORRTÄLJE</t>
        </is>
      </c>
      <c r="G507" t="n">
        <v>4.5</v>
      </c>
      <c r="H507" t="n">
        <v>0</v>
      </c>
      <c r="I507" t="n">
        <v>0</v>
      </c>
      <c r="J507" t="n">
        <v>0</v>
      </c>
      <c r="K507" t="n">
        <v>0</v>
      </c>
      <c r="L507" t="n">
        <v>0</v>
      </c>
      <c r="M507" t="n">
        <v>0</v>
      </c>
      <c r="N507" t="n">
        <v>0</v>
      </c>
      <c r="O507" t="n">
        <v>0</v>
      </c>
      <c r="P507" t="n">
        <v>0</v>
      </c>
      <c r="Q507" t="n">
        <v>0</v>
      </c>
      <c r="R507" s="2" t="inlineStr"/>
    </row>
    <row r="508" ht="15" customHeight="1">
      <c r="A508" t="inlineStr">
        <is>
          <t>A 37085-2021</t>
        </is>
      </c>
      <c r="B508" s="1" t="n">
        <v>44395</v>
      </c>
      <c r="C508" s="1" t="n">
        <v>45879</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60529-2023</t>
        </is>
      </c>
      <c r="B509" s="1" t="n">
        <v>45259</v>
      </c>
      <c r="C509" s="1" t="n">
        <v>45879</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29972-2024</t>
        </is>
      </c>
      <c r="B510" s="1" t="n">
        <v>45485</v>
      </c>
      <c r="C510" s="1" t="n">
        <v>45879</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55890-2020</t>
        </is>
      </c>
      <c r="B511" s="1" t="n">
        <v>44132</v>
      </c>
      <c r="C511" s="1" t="n">
        <v>45879</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59326-2023</t>
        </is>
      </c>
      <c r="B512" s="1" t="n">
        <v>45253.63089120371</v>
      </c>
      <c r="C512" s="1" t="n">
        <v>45879</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28809-2023</t>
        </is>
      </c>
      <c r="B513" s="1" t="n">
        <v>45104</v>
      </c>
      <c r="C513" s="1" t="n">
        <v>45879</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28813-2023</t>
        </is>
      </c>
      <c r="B514" s="1" t="n">
        <v>45104</v>
      </c>
      <c r="C514" s="1" t="n">
        <v>45879</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20790-2025</t>
        </is>
      </c>
      <c r="B515" s="1" t="n">
        <v>45776.62563657408</v>
      </c>
      <c r="C515" s="1" t="n">
        <v>45879</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3152-2024</t>
        </is>
      </c>
      <c r="B516" s="1" t="n">
        <v>45316.60306712963</v>
      </c>
      <c r="C516" s="1" t="n">
        <v>45879</v>
      </c>
      <c r="D516" t="inlineStr">
        <is>
          <t>STOCKHOLMS LÄN</t>
        </is>
      </c>
      <c r="E516" t="inlineStr">
        <is>
          <t>NORRTÄLJE</t>
        </is>
      </c>
      <c r="G516" t="n">
        <v>7.9</v>
      </c>
      <c r="H516" t="n">
        <v>0</v>
      </c>
      <c r="I516" t="n">
        <v>0</v>
      </c>
      <c r="J516" t="n">
        <v>0</v>
      </c>
      <c r="K516" t="n">
        <v>0</v>
      </c>
      <c r="L516" t="n">
        <v>0</v>
      </c>
      <c r="M516" t="n">
        <v>0</v>
      </c>
      <c r="N516" t="n">
        <v>0</v>
      </c>
      <c r="O516" t="n">
        <v>0</v>
      </c>
      <c r="P516" t="n">
        <v>0</v>
      </c>
      <c r="Q516" t="n">
        <v>0</v>
      </c>
      <c r="R516" s="2" t="inlineStr"/>
    </row>
    <row r="517" ht="15" customHeight="1">
      <c r="A517" t="inlineStr">
        <is>
          <t>A 46988-2024</t>
        </is>
      </c>
      <c r="B517" s="1" t="n">
        <v>45586</v>
      </c>
      <c r="C517" s="1" t="n">
        <v>45879</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20699-2025</t>
        </is>
      </c>
      <c r="B518" s="1" t="n">
        <v>45776.47346064815</v>
      </c>
      <c r="C518" s="1" t="n">
        <v>45879</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20692-2025</t>
        </is>
      </c>
      <c r="B519" s="1" t="n">
        <v>45776.46369212963</v>
      </c>
      <c r="C519" s="1" t="n">
        <v>45879</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19131-2025</t>
        </is>
      </c>
      <c r="B520" s="1" t="n">
        <v>45769</v>
      </c>
      <c r="C520" s="1" t="n">
        <v>45879</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20779-2025</t>
        </is>
      </c>
      <c r="B521" s="1" t="n">
        <v>45776.59871527777</v>
      </c>
      <c r="C521" s="1" t="n">
        <v>45879</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71552-2021</t>
        </is>
      </c>
      <c r="B522" s="1" t="n">
        <v>44540</v>
      </c>
      <c r="C522" s="1" t="n">
        <v>45879</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44836-2023</t>
        </is>
      </c>
      <c r="B523" s="1" t="n">
        <v>45190.55609953704</v>
      </c>
      <c r="C523" s="1" t="n">
        <v>45879</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20698-2025</t>
        </is>
      </c>
      <c r="B524" s="1" t="n">
        <v>45776.47122685185</v>
      </c>
      <c r="C524" s="1" t="n">
        <v>45879</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17382-2024</t>
        </is>
      </c>
      <c r="B525" s="1" t="n">
        <v>45414.65855324074</v>
      </c>
      <c r="C525" s="1" t="n">
        <v>45879</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56166-2020</t>
        </is>
      </c>
      <c r="B526" s="1" t="n">
        <v>44133</v>
      </c>
      <c r="C526" s="1" t="n">
        <v>45879</v>
      </c>
      <c r="D526" t="inlineStr">
        <is>
          <t>STOCKHOLMS LÄN</t>
        </is>
      </c>
      <c r="E526" t="inlineStr">
        <is>
          <t>NORRTÄLJE</t>
        </is>
      </c>
      <c r="G526" t="n">
        <v>4.4</v>
      </c>
      <c r="H526" t="n">
        <v>0</v>
      </c>
      <c r="I526" t="n">
        <v>0</v>
      </c>
      <c r="J526" t="n">
        <v>0</v>
      </c>
      <c r="K526" t="n">
        <v>0</v>
      </c>
      <c r="L526" t="n">
        <v>0</v>
      </c>
      <c r="M526" t="n">
        <v>0</v>
      </c>
      <c r="N526" t="n">
        <v>0</v>
      </c>
      <c r="O526" t="n">
        <v>0</v>
      </c>
      <c r="P526" t="n">
        <v>0</v>
      </c>
      <c r="Q526" t="n">
        <v>0</v>
      </c>
      <c r="R526" s="2" t="inlineStr"/>
    </row>
    <row r="527" ht="15" customHeight="1">
      <c r="A527" t="inlineStr">
        <is>
          <t>A 25557-2023</t>
        </is>
      </c>
      <c r="B527" s="1" t="n">
        <v>45089</v>
      </c>
      <c r="C527" s="1" t="n">
        <v>45879</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11929-2024</t>
        </is>
      </c>
      <c r="B528" s="1" t="n">
        <v>45376.64532407407</v>
      </c>
      <c r="C528" s="1" t="n">
        <v>45879</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9914-2023</t>
        </is>
      </c>
      <c r="B529" s="1" t="n">
        <v>44985</v>
      </c>
      <c r="C529" s="1" t="n">
        <v>45879</v>
      </c>
      <c r="D529" t="inlineStr">
        <is>
          <t>STOCKHOLMS LÄN</t>
        </is>
      </c>
      <c r="E529" t="inlineStr">
        <is>
          <t>NORRTÄLJE</t>
        </is>
      </c>
      <c r="G529" t="n">
        <v>4.2</v>
      </c>
      <c r="H529" t="n">
        <v>0</v>
      </c>
      <c r="I529" t="n">
        <v>0</v>
      </c>
      <c r="J529" t="n">
        <v>0</v>
      </c>
      <c r="K529" t="n">
        <v>0</v>
      </c>
      <c r="L529" t="n">
        <v>0</v>
      </c>
      <c r="M529" t="n">
        <v>0</v>
      </c>
      <c r="N529" t="n">
        <v>0</v>
      </c>
      <c r="O529" t="n">
        <v>0</v>
      </c>
      <c r="P529" t="n">
        <v>0</v>
      </c>
      <c r="Q529" t="n">
        <v>0</v>
      </c>
      <c r="R529" s="2" t="inlineStr"/>
    </row>
    <row r="530" ht="15" customHeight="1">
      <c r="A530" t="inlineStr">
        <is>
          <t>A 60525-2022</t>
        </is>
      </c>
      <c r="B530" s="1" t="n">
        <v>44904</v>
      </c>
      <c r="C530" s="1" t="n">
        <v>45879</v>
      </c>
      <c r="D530" t="inlineStr">
        <is>
          <t>STOCKHOLMS LÄN</t>
        </is>
      </c>
      <c r="E530" t="inlineStr">
        <is>
          <t>NORRTÄLJE</t>
        </is>
      </c>
      <c r="G530" t="n">
        <v>13.4</v>
      </c>
      <c r="H530" t="n">
        <v>0</v>
      </c>
      <c r="I530" t="n">
        <v>0</v>
      </c>
      <c r="J530" t="n">
        <v>0</v>
      </c>
      <c r="K530" t="n">
        <v>0</v>
      </c>
      <c r="L530" t="n">
        <v>0</v>
      </c>
      <c r="M530" t="n">
        <v>0</v>
      </c>
      <c r="N530" t="n">
        <v>0</v>
      </c>
      <c r="O530" t="n">
        <v>0</v>
      </c>
      <c r="P530" t="n">
        <v>0</v>
      </c>
      <c r="Q530" t="n">
        <v>0</v>
      </c>
      <c r="R530" s="2" t="inlineStr"/>
    </row>
    <row r="531" ht="15" customHeight="1">
      <c r="A531" t="inlineStr">
        <is>
          <t>A 57987-2020</t>
        </is>
      </c>
      <c r="B531" s="1" t="n">
        <v>44143</v>
      </c>
      <c r="C531" s="1" t="n">
        <v>45879</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58302-2022</t>
        </is>
      </c>
      <c r="B532" s="1" t="n">
        <v>44901</v>
      </c>
      <c r="C532" s="1" t="n">
        <v>45879</v>
      </c>
      <c r="D532" t="inlineStr">
        <is>
          <t>STOCKHOLMS LÄN</t>
        </is>
      </c>
      <c r="E532" t="inlineStr">
        <is>
          <t>NORRTÄLJE</t>
        </is>
      </c>
      <c r="G532" t="n">
        <v>3.9</v>
      </c>
      <c r="H532" t="n">
        <v>0</v>
      </c>
      <c r="I532" t="n">
        <v>0</v>
      </c>
      <c r="J532" t="n">
        <v>0</v>
      </c>
      <c r="K532" t="n">
        <v>0</v>
      </c>
      <c r="L532" t="n">
        <v>0</v>
      </c>
      <c r="M532" t="n">
        <v>0</v>
      </c>
      <c r="N532" t="n">
        <v>0</v>
      </c>
      <c r="O532" t="n">
        <v>0</v>
      </c>
      <c r="P532" t="n">
        <v>0</v>
      </c>
      <c r="Q532" t="n">
        <v>0</v>
      </c>
      <c r="R532" s="2" t="inlineStr"/>
    </row>
    <row r="533" ht="15" customHeight="1">
      <c r="A533" t="inlineStr">
        <is>
          <t>A 64145-2021</t>
        </is>
      </c>
      <c r="B533" s="1" t="n">
        <v>44510</v>
      </c>
      <c r="C533" s="1" t="n">
        <v>45879</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45451-2024</t>
        </is>
      </c>
      <c r="B534" s="1" t="n">
        <v>45576</v>
      </c>
      <c r="C534" s="1" t="n">
        <v>45879</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4860-2022</t>
        </is>
      </c>
      <c r="B535" s="1" t="n">
        <v>44592</v>
      </c>
      <c r="C535" s="1" t="n">
        <v>45879</v>
      </c>
      <c r="D535" t="inlineStr">
        <is>
          <t>STOCKHOLMS LÄN</t>
        </is>
      </c>
      <c r="E535" t="inlineStr">
        <is>
          <t>NORRTÄLJE</t>
        </is>
      </c>
      <c r="G535" t="n">
        <v>22.3</v>
      </c>
      <c r="H535" t="n">
        <v>0</v>
      </c>
      <c r="I535" t="n">
        <v>0</v>
      </c>
      <c r="J535" t="n">
        <v>0</v>
      </c>
      <c r="K535" t="n">
        <v>0</v>
      </c>
      <c r="L535" t="n">
        <v>0</v>
      </c>
      <c r="M535" t="n">
        <v>0</v>
      </c>
      <c r="N535" t="n">
        <v>0</v>
      </c>
      <c r="O535" t="n">
        <v>0</v>
      </c>
      <c r="P535" t="n">
        <v>0</v>
      </c>
      <c r="Q535" t="n">
        <v>0</v>
      </c>
      <c r="R535" s="2" t="inlineStr"/>
    </row>
    <row r="536" ht="15" customHeight="1">
      <c r="A536" t="inlineStr">
        <is>
          <t>A 10557-2025</t>
        </is>
      </c>
      <c r="B536" s="1" t="n">
        <v>45721</v>
      </c>
      <c r="C536" s="1" t="n">
        <v>45879</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49327-2020</t>
        </is>
      </c>
      <c r="B537" s="1" t="n">
        <v>44105</v>
      </c>
      <c r="C537" s="1" t="n">
        <v>45879</v>
      </c>
      <c r="D537" t="inlineStr">
        <is>
          <t>STOCKHOLMS LÄN</t>
        </is>
      </c>
      <c r="E537" t="inlineStr">
        <is>
          <t>NORRTÄLJE</t>
        </is>
      </c>
      <c r="G537" t="n">
        <v>0.8</v>
      </c>
      <c r="H537" t="n">
        <v>0</v>
      </c>
      <c r="I537" t="n">
        <v>0</v>
      </c>
      <c r="J537" t="n">
        <v>0</v>
      </c>
      <c r="K537" t="n">
        <v>0</v>
      </c>
      <c r="L537" t="n">
        <v>0</v>
      </c>
      <c r="M537" t="n">
        <v>0</v>
      </c>
      <c r="N537" t="n">
        <v>0</v>
      </c>
      <c r="O537" t="n">
        <v>0</v>
      </c>
      <c r="P537" t="n">
        <v>0</v>
      </c>
      <c r="Q537" t="n">
        <v>0</v>
      </c>
      <c r="R537" s="2" t="inlineStr"/>
    </row>
    <row r="538" ht="15" customHeight="1">
      <c r="A538" t="inlineStr">
        <is>
          <t>A 21771-2025</t>
        </is>
      </c>
      <c r="B538" s="1" t="n">
        <v>45783</v>
      </c>
      <c r="C538" s="1" t="n">
        <v>45879</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23269-2023</t>
        </is>
      </c>
      <c r="B539" s="1" t="n">
        <v>45075.91148148148</v>
      </c>
      <c r="C539" s="1" t="n">
        <v>45879</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23060-2023</t>
        </is>
      </c>
      <c r="B540" s="1" t="n">
        <v>45075</v>
      </c>
      <c r="C540" s="1" t="n">
        <v>45879</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58661-2020</t>
        </is>
      </c>
      <c r="B541" s="1" t="n">
        <v>44145</v>
      </c>
      <c r="C541" s="1" t="n">
        <v>45879</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17843-2024</t>
        </is>
      </c>
      <c r="B542" s="1" t="n">
        <v>45418</v>
      </c>
      <c r="C542" s="1" t="n">
        <v>45879</v>
      </c>
      <c r="D542" t="inlineStr">
        <is>
          <t>STOCKHOLMS LÄN</t>
        </is>
      </c>
      <c r="E542" t="inlineStr">
        <is>
          <t>NORRTÄLJE</t>
        </is>
      </c>
      <c r="G542" t="n">
        <v>5.4</v>
      </c>
      <c r="H542" t="n">
        <v>0</v>
      </c>
      <c r="I542" t="n">
        <v>0</v>
      </c>
      <c r="J542" t="n">
        <v>0</v>
      </c>
      <c r="K542" t="n">
        <v>0</v>
      </c>
      <c r="L542" t="n">
        <v>0</v>
      </c>
      <c r="M542" t="n">
        <v>0</v>
      </c>
      <c r="N542" t="n">
        <v>0</v>
      </c>
      <c r="O542" t="n">
        <v>0</v>
      </c>
      <c r="P542" t="n">
        <v>0</v>
      </c>
      <c r="Q542" t="n">
        <v>0</v>
      </c>
      <c r="R542" s="2" t="inlineStr"/>
    </row>
    <row r="543" ht="15" customHeight="1">
      <c r="A543" t="inlineStr">
        <is>
          <t>A 21778-2025</t>
        </is>
      </c>
      <c r="B543" s="1" t="n">
        <v>45783.66429398148</v>
      </c>
      <c r="C543" s="1" t="n">
        <v>45879</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21679-2025</t>
        </is>
      </c>
      <c r="B544" s="1" t="n">
        <v>45783.48878472222</v>
      </c>
      <c r="C544" s="1" t="n">
        <v>45879</v>
      </c>
      <c r="D544" t="inlineStr">
        <is>
          <t>STOCKHOLMS LÄN</t>
        </is>
      </c>
      <c r="E544" t="inlineStr">
        <is>
          <t>NORRTÄLJE</t>
        </is>
      </c>
      <c r="G544" t="n">
        <v>17.5</v>
      </c>
      <c r="H544" t="n">
        <v>0</v>
      </c>
      <c r="I544" t="n">
        <v>0</v>
      </c>
      <c r="J544" t="n">
        <v>0</v>
      </c>
      <c r="K544" t="n">
        <v>0</v>
      </c>
      <c r="L544" t="n">
        <v>0</v>
      </c>
      <c r="M544" t="n">
        <v>0</v>
      </c>
      <c r="N544" t="n">
        <v>0</v>
      </c>
      <c r="O544" t="n">
        <v>0</v>
      </c>
      <c r="P544" t="n">
        <v>0</v>
      </c>
      <c r="Q544" t="n">
        <v>0</v>
      </c>
      <c r="R544" s="2" t="inlineStr"/>
    </row>
    <row r="545" ht="15" customHeight="1">
      <c r="A545" t="inlineStr">
        <is>
          <t>A 12890-2024</t>
        </is>
      </c>
      <c r="B545" s="1" t="n">
        <v>45385.36243055556</v>
      </c>
      <c r="C545" s="1" t="n">
        <v>45879</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45879</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29841-2024</t>
        </is>
      </c>
      <c r="B547" s="1" t="n">
        <v>45485.60261574074</v>
      </c>
      <c r="C547" s="1" t="n">
        <v>45879</v>
      </c>
      <c r="D547" t="inlineStr">
        <is>
          <t>STOCKHOLMS LÄN</t>
        </is>
      </c>
      <c r="E547" t="inlineStr">
        <is>
          <t>NORRTÄLJE</t>
        </is>
      </c>
      <c r="G547" t="n">
        <v>15.9</v>
      </c>
      <c r="H547" t="n">
        <v>0</v>
      </c>
      <c r="I547" t="n">
        <v>0</v>
      </c>
      <c r="J547" t="n">
        <v>0</v>
      </c>
      <c r="K547" t="n">
        <v>0</v>
      </c>
      <c r="L547" t="n">
        <v>0</v>
      </c>
      <c r="M547" t="n">
        <v>0</v>
      </c>
      <c r="N547" t="n">
        <v>0</v>
      </c>
      <c r="O547" t="n">
        <v>0</v>
      </c>
      <c r="P547" t="n">
        <v>0</v>
      </c>
      <c r="Q547" t="n">
        <v>0</v>
      </c>
      <c r="R547" s="2" t="inlineStr"/>
    </row>
    <row r="548" ht="15" customHeight="1">
      <c r="A548" t="inlineStr">
        <is>
          <t>A 12902-2024</t>
        </is>
      </c>
      <c r="B548" s="1" t="n">
        <v>45385.38146990741</v>
      </c>
      <c r="C548" s="1" t="n">
        <v>45879</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36430-2024</t>
        </is>
      </c>
      <c r="B549" s="1" t="n">
        <v>45536</v>
      </c>
      <c r="C549" s="1" t="n">
        <v>45879</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45879</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11499-2023</t>
        </is>
      </c>
      <c r="B551" s="1" t="n">
        <v>44993.66707175926</v>
      </c>
      <c r="C551" s="1" t="n">
        <v>45879</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53652-2020</t>
        </is>
      </c>
      <c r="B552" s="1" t="n">
        <v>44124</v>
      </c>
      <c r="C552" s="1" t="n">
        <v>45879</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64600-2021</t>
        </is>
      </c>
      <c r="B553" s="1" t="n">
        <v>44511.70518518519</v>
      </c>
      <c r="C553" s="1" t="n">
        <v>45879</v>
      </c>
      <c r="D553" t="inlineStr">
        <is>
          <t>STOCKHOLMS LÄN</t>
        </is>
      </c>
      <c r="E553" t="inlineStr">
        <is>
          <t>NORRTÄLJE</t>
        </is>
      </c>
      <c r="G553" t="n">
        <v>6.2</v>
      </c>
      <c r="H553" t="n">
        <v>0</v>
      </c>
      <c r="I553" t="n">
        <v>0</v>
      </c>
      <c r="J553" t="n">
        <v>0</v>
      </c>
      <c r="K553" t="n">
        <v>0</v>
      </c>
      <c r="L553" t="n">
        <v>0</v>
      </c>
      <c r="M553" t="n">
        <v>0</v>
      </c>
      <c r="N553" t="n">
        <v>0</v>
      </c>
      <c r="O553" t="n">
        <v>0</v>
      </c>
      <c r="P553" t="n">
        <v>0</v>
      </c>
      <c r="Q553" t="n">
        <v>0</v>
      </c>
      <c r="R553" s="2" t="inlineStr"/>
    </row>
    <row r="554" ht="15" customHeight="1">
      <c r="A554" t="inlineStr">
        <is>
          <t>A 35640-2024</t>
        </is>
      </c>
      <c r="B554" s="1" t="n">
        <v>45531</v>
      </c>
      <c r="C554" s="1" t="n">
        <v>45879</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8586-2023</t>
        </is>
      </c>
      <c r="B555" s="1" t="n">
        <v>44977</v>
      </c>
      <c r="C555" s="1" t="n">
        <v>45879</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46073-2024</t>
        </is>
      </c>
      <c r="B556" s="1" t="n">
        <v>45581</v>
      </c>
      <c r="C556" s="1" t="n">
        <v>45879</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67990-2021</t>
        </is>
      </c>
      <c r="B557" s="1" t="n">
        <v>44525</v>
      </c>
      <c r="C557" s="1" t="n">
        <v>45879</v>
      </c>
      <c r="D557" t="inlineStr">
        <is>
          <t>STOCKHOLMS LÄN</t>
        </is>
      </c>
      <c r="E557" t="inlineStr">
        <is>
          <t>NORRTÄLJE</t>
        </is>
      </c>
      <c r="F557" t="inlineStr">
        <is>
          <t>Sveaskog</t>
        </is>
      </c>
      <c r="G557" t="n">
        <v>7.8</v>
      </c>
      <c r="H557" t="n">
        <v>0</v>
      </c>
      <c r="I557" t="n">
        <v>0</v>
      </c>
      <c r="J557" t="n">
        <v>0</v>
      </c>
      <c r="K557" t="n">
        <v>0</v>
      </c>
      <c r="L557" t="n">
        <v>0</v>
      </c>
      <c r="M557" t="n">
        <v>0</v>
      </c>
      <c r="N557" t="n">
        <v>0</v>
      </c>
      <c r="O557" t="n">
        <v>0</v>
      </c>
      <c r="P557" t="n">
        <v>0</v>
      </c>
      <c r="Q557" t="n">
        <v>0</v>
      </c>
      <c r="R557" s="2" t="inlineStr"/>
    </row>
    <row r="558" ht="15" customHeight="1">
      <c r="A558" t="inlineStr">
        <is>
          <t>A 41172-2023</t>
        </is>
      </c>
      <c r="B558" s="1" t="n">
        <v>45170</v>
      </c>
      <c r="C558" s="1" t="n">
        <v>45879</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44891-2023</t>
        </is>
      </c>
      <c r="B559" s="1" t="n">
        <v>45187</v>
      </c>
      <c r="C559" s="1" t="n">
        <v>45879</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13268-2025</t>
        </is>
      </c>
      <c r="B560" s="1" t="n">
        <v>45735</v>
      </c>
      <c r="C560" s="1" t="n">
        <v>45879</v>
      </c>
      <c r="D560" t="inlineStr">
        <is>
          <t>STOCKHOLMS LÄN</t>
        </is>
      </c>
      <c r="E560" t="inlineStr">
        <is>
          <t>NORRTÄLJE</t>
        </is>
      </c>
      <c r="G560" t="n">
        <v>11.4</v>
      </c>
      <c r="H560" t="n">
        <v>0</v>
      </c>
      <c r="I560" t="n">
        <v>0</v>
      </c>
      <c r="J560" t="n">
        <v>0</v>
      </c>
      <c r="K560" t="n">
        <v>0</v>
      </c>
      <c r="L560" t="n">
        <v>0</v>
      </c>
      <c r="M560" t="n">
        <v>0</v>
      </c>
      <c r="N560" t="n">
        <v>0</v>
      </c>
      <c r="O560" t="n">
        <v>0</v>
      </c>
      <c r="P560" t="n">
        <v>0</v>
      </c>
      <c r="Q560" t="n">
        <v>0</v>
      </c>
      <c r="R560" s="2" t="inlineStr"/>
    </row>
    <row r="561" ht="15" customHeight="1">
      <c r="A561" t="inlineStr">
        <is>
          <t>A 67921-2021</t>
        </is>
      </c>
      <c r="B561" s="1" t="n">
        <v>44525</v>
      </c>
      <c r="C561" s="1" t="n">
        <v>45879</v>
      </c>
      <c r="D561" t="inlineStr">
        <is>
          <t>STOCKHOLMS LÄN</t>
        </is>
      </c>
      <c r="E561" t="inlineStr">
        <is>
          <t>NORRTÄLJE</t>
        </is>
      </c>
      <c r="G561" t="n">
        <v>6.3</v>
      </c>
      <c r="H561" t="n">
        <v>0</v>
      </c>
      <c r="I561" t="n">
        <v>0</v>
      </c>
      <c r="J561" t="n">
        <v>0</v>
      </c>
      <c r="K561" t="n">
        <v>0</v>
      </c>
      <c r="L561" t="n">
        <v>0</v>
      </c>
      <c r="M561" t="n">
        <v>0</v>
      </c>
      <c r="N561" t="n">
        <v>0</v>
      </c>
      <c r="O561" t="n">
        <v>0</v>
      </c>
      <c r="P561" t="n">
        <v>0</v>
      </c>
      <c r="Q561" t="n">
        <v>0</v>
      </c>
      <c r="R561" s="2" t="inlineStr"/>
    </row>
    <row r="562" ht="15" customHeight="1">
      <c r="A562" t="inlineStr">
        <is>
          <t>A 72704-2021</t>
        </is>
      </c>
      <c r="B562" s="1" t="n">
        <v>44546</v>
      </c>
      <c r="C562" s="1" t="n">
        <v>45879</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8414-2025</t>
        </is>
      </c>
      <c r="B563" s="1" t="n">
        <v>45709.39361111111</v>
      </c>
      <c r="C563" s="1" t="n">
        <v>45879</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65499-2021</t>
        </is>
      </c>
      <c r="B564" s="1" t="n">
        <v>44516</v>
      </c>
      <c r="C564" s="1" t="n">
        <v>45879</v>
      </c>
      <c r="D564" t="inlineStr">
        <is>
          <t>STOCKHOLMS LÄN</t>
        </is>
      </c>
      <c r="E564" t="inlineStr">
        <is>
          <t>NORRTÄLJE</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65511-2021</t>
        </is>
      </c>
      <c r="B565" s="1" t="n">
        <v>44516.40674768519</v>
      </c>
      <c r="C565" s="1" t="n">
        <v>45879</v>
      </c>
      <c r="D565" t="inlineStr">
        <is>
          <t>STOCKHOLMS LÄN</t>
        </is>
      </c>
      <c r="E565" t="inlineStr">
        <is>
          <t>NORRTÄLJE</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26113-2024</t>
        </is>
      </c>
      <c r="B566" s="1" t="n">
        <v>45468.45541666666</v>
      </c>
      <c r="C566" s="1" t="n">
        <v>45879</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26116-2024</t>
        </is>
      </c>
      <c r="B567" s="1" t="n">
        <v>45468.45747685185</v>
      </c>
      <c r="C567" s="1" t="n">
        <v>45879</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52686-2024</t>
        </is>
      </c>
      <c r="B568" s="1" t="n">
        <v>45610.39271990741</v>
      </c>
      <c r="C568" s="1" t="n">
        <v>45879</v>
      </c>
      <c r="D568" t="inlineStr">
        <is>
          <t>STOCKHOLMS LÄN</t>
        </is>
      </c>
      <c r="E568" t="inlineStr">
        <is>
          <t>NORRTÄLJE</t>
        </is>
      </c>
      <c r="G568" t="n">
        <v>5.7</v>
      </c>
      <c r="H568" t="n">
        <v>0</v>
      </c>
      <c r="I568" t="n">
        <v>0</v>
      </c>
      <c r="J568" t="n">
        <v>0</v>
      </c>
      <c r="K568" t="n">
        <v>0</v>
      </c>
      <c r="L568" t="n">
        <v>0</v>
      </c>
      <c r="M568" t="n">
        <v>0</v>
      </c>
      <c r="N568" t="n">
        <v>0</v>
      </c>
      <c r="O568" t="n">
        <v>0</v>
      </c>
      <c r="P568" t="n">
        <v>0</v>
      </c>
      <c r="Q568" t="n">
        <v>0</v>
      </c>
      <c r="R568" s="2" t="inlineStr"/>
    </row>
    <row r="569" ht="15" customHeight="1">
      <c r="A569" t="inlineStr">
        <is>
          <t>A 21696-2024</t>
        </is>
      </c>
      <c r="B569" s="1" t="n">
        <v>45442.45686342593</v>
      </c>
      <c r="C569" s="1" t="n">
        <v>45879</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37136-2023</t>
        </is>
      </c>
      <c r="B570" s="1" t="n">
        <v>45155</v>
      </c>
      <c r="C570" s="1" t="n">
        <v>45879</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31105-2022</t>
        </is>
      </c>
      <c r="B571" s="1" t="n">
        <v>44769.66039351852</v>
      </c>
      <c r="C571" s="1" t="n">
        <v>45879</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1740-2023</t>
        </is>
      </c>
      <c r="B572" s="1" t="n">
        <v>44938</v>
      </c>
      <c r="C572" s="1" t="n">
        <v>45879</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44032-2024</t>
        </is>
      </c>
      <c r="B573" s="1" t="n">
        <v>45572.57828703704</v>
      </c>
      <c r="C573" s="1" t="n">
        <v>45879</v>
      </c>
      <c r="D573" t="inlineStr">
        <is>
          <t>STOCKHOLMS LÄN</t>
        </is>
      </c>
      <c r="E573" t="inlineStr">
        <is>
          <t>NORRTÄLJE</t>
        </is>
      </c>
      <c r="G573" t="n">
        <v>8.6</v>
      </c>
      <c r="H573" t="n">
        <v>0</v>
      </c>
      <c r="I573" t="n">
        <v>0</v>
      </c>
      <c r="J573" t="n">
        <v>0</v>
      </c>
      <c r="K573" t="n">
        <v>0</v>
      </c>
      <c r="L573" t="n">
        <v>0</v>
      </c>
      <c r="M573" t="n">
        <v>0</v>
      </c>
      <c r="N573" t="n">
        <v>0</v>
      </c>
      <c r="O573" t="n">
        <v>0</v>
      </c>
      <c r="P573" t="n">
        <v>0</v>
      </c>
      <c r="Q573" t="n">
        <v>0</v>
      </c>
      <c r="R573" s="2" t="inlineStr"/>
    </row>
    <row r="574" ht="15" customHeight="1">
      <c r="A574" t="inlineStr">
        <is>
          <t>A 62644-2023</t>
        </is>
      </c>
      <c r="B574" s="1" t="n">
        <v>45271</v>
      </c>
      <c r="C574" s="1" t="n">
        <v>45879</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60185-2024</t>
        </is>
      </c>
      <c r="B575" s="1" t="n">
        <v>45642.64634259259</v>
      </c>
      <c r="C575" s="1" t="n">
        <v>45879</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24563-2024</t>
        </is>
      </c>
      <c r="B576" s="1" t="n">
        <v>45460.44347222222</v>
      </c>
      <c r="C576" s="1" t="n">
        <v>45879</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60765-2023</t>
        </is>
      </c>
      <c r="B577" s="1" t="n">
        <v>45260</v>
      </c>
      <c r="C577" s="1" t="n">
        <v>45879</v>
      </c>
      <c r="D577" t="inlineStr">
        <is>
          <t>STOCKHOLMS LÄN</t>
        </is>
      </c>
      <c r="E577" t="inlineStr">
        <is>
          <t>NORRTÄLJE</t>
        </is>
      </c>
      <c r="G577" t="n">
        <v>3.7</v>
      </c>
      <c r="H577" t="n">
        <v>0</v>
      </c>
      <c r="I577" t="n">
        <v>0</v>
      </c>
      <c r="J577" t="n">
        <v>0</v>
      </c>
      <c r="K577" t="n">
        <v>0</v>
      </c>
      <c r="L577" t="n">
        <v>0</v>
      </c>
      <c r="M577" t="n">
        <v>0</v>
      </c>
      <c r="N577" t="n">
        <v>0</v>
      </c>
      <c r="O577" t="n">
        <v>0</v>
      </c>
      <c r="P577" t="n">
        <v>0</v>
      </c>
      <c r="Q577" t="n">
        <v>0</v>
      </c>
      <c r="R577" s="2" t="inlineStr"/>
    </row>
    <row r="578" ht="15" customHeight="1">
      <c r="A578" t="inlineStr">
        <is>
          <t>A 22202-2025</t>
        </is>
      </c>
      <c r="B578" s="1" t="n">
        <v>45785.65300925926</v>
      </c>
      <c r="C578" s="1" t="n">
        <v>45879</v>
      </c>
      <c r="D578" t="inlineStr">
        <is>
          <t>STOCKHOLMS LÄN</t>
        </is>
      </c>
      <c r="E578" t="inlineStr">
        <is>
          <t>NORRTÄLJE</t>
        </is>
      </c>
      <c r="G578" t="n">
        <v>10.2</v>
      </c>
      <c r="H578" t="n">
        <v>0</v>
      </c>
      <c r="I578" t="n">
        <v>0</v>
      </c>
      <c r="J578" t="n">
        <v>0</v>
      </c>
      <c r="K578" t="n">
        <v>0</v>
      </c>
      <c r="L578" t="n">
        <v>0</v>
      </c>
      <c r="M578" t="n">
        <v>0</v>
      </c>
      <c r="N578" t="n">
        <v>0</v>
      </c>
      <c r="O578" t="n">
        <v>0</v>
      </c>
      <c r="P578" t="n">
        <v>0</v>
      </c>
      <c r="Q578" t="n">
        <v>0</v>
      </c>
      <c r="R578" s="2" t="inlineStr"/>
    </row>
    <row r="579" ht="15" customHeight="1">
      <c r="A579" t="inlineStr">
        <is>
          <t>A 12268-2022</t>
        </is>
      </c>
      <c r="B579" s="1" t="n">
        <v>44637</v>
      </c>
      <c r="C579" s="1" t="n">
        <v>45879</v>
      </c>
      <c r="D579" t="inlineStr">
        <is>
          <t>STOCKHOLMS LÄN</t>
        </is>
      </c>
      <c r="E579" t="inlineStr">
        <is>
          <t>NORRTÄLJE</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36625-2024</t>
        </is>
      </c>
      <c r="B580" s="1" t="n">
        <v>45537</v>
      </c>
      <c r="C580" s="1" t="n">
        <v>45879</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45746-2024</t>
        </is>
      </c>
      <c r="B581" s="1" t="n">
        <v>45579</v>
      </c>
      <c r="C581" s="1" t="n">
        <v>45879</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66662-2020</t>
        </is>
      </c>
      <c r="B582" s="1" t="n">
        <v>44179</v>
      </c>
      <c r="C582" s="1" t="n">
        <v>45879</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63824-2020</t>
        </is>
      </c>
      <c r="B583" s="1" t="n">
        <v>44162</v>
      </c>
      <c r="C583" s="1" t="n">
        <v>45879</v>
      </c>
      <c r="D583" t="inlineStr">
        <is>
          <t>STOCKHOLMS LÄN</t>
        </is>
      </c>
      <c r="E583" t="inlineStr">
        <is>
          <t>NORRTÄLJE</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22832-2021</t>
        </is>
      </c>
      <c r="B584" s="1" t="n">
        <v>44325</v>
      </c>
      <c r="C584" s="1" t="n">
        <v>45879</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51315-2021</t>
        </is>
      </c>
      <c r="B585" s="1" t="n">
        <v>44461</v>
      </c>
      <c r="C585" s="1" t="n">
        <v>45879</v>
      </c>
      <c r="D585" t="inlineStr">
        <is>
          <t>STOCKHOLMS LÄN</t>
        </is>
      </c>
      <c r="E585" t="inlineStr">
        <is>
          <t>NORRTÄLJE</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5423-2023</t>
        </is>
      </c>
      <c r="B586" s="1" t="n">
        <v>44959.74533564815</v>
      </c>
      <c r="C586" s="1" t="n">
        <v>45879</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58492-2022</t>
        </is>
      </c>
      <c r="B587" s="1" t="n">
        <v>44902</v>
      </c>
      <c r="C587" s="1" t="n">
        <v>45879</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30719-2025</t>
        </is>
      </c>
      <c r="B588" s="1" t="n">
        <v>45831.56521990741</v>
      </c>
      <c r="C588" s="1" t="n">
        <v>45879</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22008-2024</t>
        </is>
      </c>
      <c r="B589" s="1" t="n">
        <v>45443</v>
      </c>
      <c r="C589" s="1" t="n">
        <v>45879</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45879</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13331-2025</t>
        </is>
      </c>
      <c r="B591" s="1" t="n">
        <v>45735.60863425926</v>
      </c>
      <c r="C591" s="1" t="n">
        <v>45879</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8400-2024</t>
        </is>
      </c>
      <c r="B592" s="1" t="n">
        <v>45352.74090277778</v>
      </c>
      <c r="C592" s="1" t="n">
        <v>45879</v>
      </c>
      <c r="D592" t="inlineStr">
        <is>
          <t>STOCKHOLMS LÄN</t>
        </is>
      </c>
      <c r="E592" t="inlineStr">
        <is>
          <t>NORRTÄLJE</t>
        </is>
      </c>
      <c r="G592" t="n">
        <v>4.7</v>
      </c>
      <c r="H592" t="n">
        <v>0</v>
      </c>
      <c r="I592" t="n">
        <v>0</v>
      </c>
      <c r="J592" t="n">
        <v>0</v>
      </c>
      <c r="K592" t="n">
        <v>0</v>
      </c>
      <c r="L592" t="n">
        <v>0</v>
      </c>
      <c r="M592" t="n">
        <v>0</v>
      </c>
      <c r="N592" t="n">
        <v>0</v>
      </c>
      <c r="O592" t="n">
        <v>0</v>
      </c>
      <c r="P592" t="n">
        <v>0</v>
      </c>
      <c r="Q592" t="n">
        <v>0</v>
      </c>
      <c r="R592" s="2" t="inlineStr"/>
    </row>
    <row r="593" ht="15" customHeight="1">
      <c r="A593" t="inlineStr">
        <is>
          <t>A 58277-2023</t>
        </is>
      </c>
      <c r="B593" s="1" t="n">
        <v>45245</v>
      </c>
      <c r="C593" s="1" t="n">
        <v>45879</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2182-2022</t>
        </is>
      </c>
      <c r="B594" s="1" t="n">
        <v>44578</v>
      </c>
      <c r="C594" s="1" t="n">
        <v>45879</v>
      </c>
      <c r="D594" t="inlineStr">
        <is>
          <t>STOCKHOLMS LÄN</t>
        </is>
      </c>
      <c r="E594" t="inlineStr">
        <is>
          <t>NORRTÄLJE</t>
        </is>
      </c>
      <c r="G594" t="n">
        <v>7.2</v>
      </c>
      <c r="H594" t="n">
        <v>0</v>
      </c>
      <c r="I594" t="n">
        <v>0</v>
      </c>
      <c r="J594" t="n">
        <v>0</v>
      </c>
      <c r="K594" t="n">
        <v>0</v>
      </c>
      <c r="L594" t="n">
        <v>0</v>
      </c>
      <c r="M594" t="n">
        <v>0</v>
      </c>
      <c r="N594" t="n">
        <v>0</v>
      </c>
      <c r="O594" t="n">
        <v>0</v>
      </c>
      <c r="P594" t="n">
        <v>0</v>
      </c>
      <c r="Q594" t="n">
        <v>0</v>
      </c>
      <c r="R594" s="2" t="inlineStr"/>
    </row>
    <row r="595" ht="15" customHeight="1">
      <c r="A595" t="inlineStr">
        <is>
          <t>A 9480-2025</t>
        </is>
      </c>
      <c r="B595" s="1" t="n">
        <v>45715</v>
      </c>
      <c r="C595" s="1" t="n">
        <v>45879</v>
      </c>
      <c r="D595" t="inlineStr">
        <is>
          <t>STOCKHOLMS LÄN</t>
        </is>
      </c>
      <c r="E595" t="inlineStr">
        <is>
          <t>NORRTÄLJE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49898-2020</t>
        </is>
      </c>
      <c r="B596" s="1" t="n">
        <v>44108</v>
      </c>
      <c r="C596" s="1" t="n">
        <v>45879</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4581-2025</t>
        </is>
      </c>
      <c r="B597" s="1" t="n">
        <v>45687</v>
      </c>
      <c r="C597" s="1" t="n">
        <v>45879</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16620-2024</t>
        </is>
      </c>
      <c r="B598" s="1" t="n">
        <v>45408.57707175926</v>
      </c>
      <c r="C598" s="1" t="n">
        <v>45879</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4322-2023</t>
        </is>
      </c>
      <c r="B599" s="1" t="n">
        <v>44953.69298611111</v>
      </c>
      <c r="C599" s="1" t="n">
        <v>45879</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35916-2024</t>
        </is>
      </c>
      <c r="B600" s="1" t="n">
        <v>45533</v>
      </c>
      <c r="C600" s="1" t="n">
        <v>45879</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38889-2024</t>
        </is>
      </c>
      <c r="B601" s="1" t="n">
        <v>45547</v>
      </c>
      <c r="C601" s="1" t="n">
        <v>45879</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57216-2020</t>
        </is>
      </c>
      <c r="B602" s="1" t="n">
        <v>44139.54078703704</v>
      </c>
      <c r="C602" s="1" t="n">
        <v>45879</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36157-2024</t>
        </is>
      </c>
      <c r="B603" s="1" t="n">
        <v>45534.38240740741</v>
      </c>
      <c r="C603" s="1" t="n">
        <v>45879</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62398-2022</t>
        </is>
      </c>
      <c r="B604" s="1" t="n">
        <v>44923.90159722222</v>
      </c>
      <c r="C604" s="1" t="n">
        <v>45879</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68081-2020</t>
        </is>
      </c>
      <c r="B605" s="1" t="n">
        <v>44183</v>
      </c>
      <c r="C605" s="1" t="n">
        <v>45879</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17039-2024</t>
        </is>
      </c>
      <c r="B606" s="1" t="n">
        <v>45412.4104050926</v>
      </c>
      <c r="C606" s="1" t="n">
        <v>45879</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45879</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22416-2025</t>
        </is>
      </c>
      <c r="B608" s="1" t="n">
        <v>45786.55645833333</v>
      </c>
      <c r="C608" s="1" t="n">
        <v>45879</v>
      </c>
      <c r="D608" t="inlineStr">
        <is>
          <t>STOCKHOLMS LÄN</t>
        </is>
      </c>
      <c r="E608" t="inlineStr">
        <is>
          <t>NORRTÄLJE</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3299-2022</t>
        </is>
      </c>
      <c r="B609" s="1" t="n">
        <v>44584.91001157407</v>
      </c>
      <c r="C609" s="1" t="n">
        <v>45879</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42075-2023</t>
        </is>
      </c>
      <c r="B610" s="1" t="n">
        <v>45177</v>
      </c>
      <c r="C610" s="1" t="n">
        <v>45879</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10676-2025</t>
        </is>
      </c>
      <c r="B611" s="1" t="n">
        <v>45721.88684027778</v>
      </c>
      <c r="C611" s="1" t="n">
        <v>45879</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7697-2025</t>
        </is>
      </c>
      <c r="B612" s="1" t="n">
        <v>45706.40086805556</v>
      </c>
      <c r="C612" s="1" t="n">
        <v>45879</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58785-2024</t>
        </is>
      </c>
      <c r="B613" s="1" t="n">
        <v>45635.88849537037</v>
      </c>
      <c r="C613" s="1" t="n">
        <v>45879</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45879</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50154-2024</t>
        </is>
      </c>
      <c r="B615" s="1" t="n">
        <v>45600.4558912037</v>
      </c>
      <c r="C615" s="1" t="n">
        <v>45879</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45879</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45879</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37273-2024</t>
        </is>
      </c>
      <c r="B618" s="1" t="n">
        <v>45540</v>
      </c>
      <c r="C618" s="1" t="n">
        <v>45879</v>
      </c>
      <c r="D618" t="inlineStr">
        <is>
          <t>STOCKHOLMS LÄN</t>
        </is>
      </c>
      <c r="E618" t="inlineStr">
        <is>
          <t>NORRTÄLJE</t>
        </is>
      </c>
      <c r="F618" t="inlineStr">
        <is>
          <t>Sveaskog</t>
        </is>
      </c>
      <c r="G618" t="n">
        <v>12.5</v>
      </c>
      <c r="H618" t="n">
        <v>0</v>
      </c>
      <c r="I618" t="n">
        <v>0</v>
      </c>
      <c r="J618" t="n">
        <v>0</v>
      </c>
      <c r="K618" t="n">
        <v>0</v>
      </c>
      <c r="L618" t="n">
        <v>0</v>
      </c>
      <c r="M618" t="n">
        <v>0</v>
      </c>
      <c r="N618" t="n">
        <v>0</v>
      </c>
      <c r="O618" t="n">
        <v>0</v>
      </c>
      <c r="P618" t="n">
        <v>0</v>
      </c>
      <c r="Q618" t="n">
        <v>0</v>
      </c>
      <c r="R618" s="2" t="inlineStr"/>
    </row>
    <row r="619" ht="15" customHeight="1">
      <c r="A619" t="inlineStr">
        <is>
          <t>A 35127-2023</t>
        </is>
      </c>
      <c r="B619" s="1" t="n">
        <v>45145.51</v>
      </c>
      <c r="C619" s="1" t="n">
        <v>45879</v>
      </c>
      <c r="D619" t="inlineStr">
        <is>
          <t>STOCKHOLMS LÄN</t>
        </is>
      </c>
      <c r="E619" t="inlineStr">
        <is>
          <t>NORRTÄLJE</t>
        </is>
      </c>
      <c r="G619" t="n">
        <v>4.7</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45879</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45879</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45879</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45879</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34773-2022</t>
        </is>
      </c>
      <c r="B624" s="1" t="n">
        <v>44795</v>
      </c>
      <c r="C624" s="1" t="n">
        <v>45879</v>
      </c>
      <c r="D624" t="inlineStr">
        <is>
          <t>STOCKHOLMS LÄN</t>
        </is>
      </c>
      <c r="E624" t="inlineStr">
        <is>
          <t>NORRTÄLJE</t>
        </is>
      </c>
      <c r="G624" t="n">
        <v>3.9</v>
      </c>
      <c r="H624" t="n">
        <v>0</v>
      </c>
      <c r="I624" t="n">
        <v>0</v>
      </c>
      <c r="J624" t="n">
        <v>0</v>
      </c>
      <c r="K624" t="n">
        <v>0</v>
      </c>
      <c r="L624" t="n">
        <v>0</v>
      </c>
      <c r="M624" t="n">
        <v>0</v>
      </c>
      <c r="N624" t="n">
        <v>0</v>
      </c>
      <c r="O624" t="n">
        <v>0</v>
      </c>
      <c r="P624" t="n">
        <v>0</v>
      </c>
      <c r="Q624" t="n">
        <v>0</v>
      </c>
      <c r="R624" s="2" t="inlineStr"/>
    </row>
    <row r="625" ht="15" customHeight="1">
      <c r="A625" t="inlineStr">
        <is>
          <t>A 23263-2023</t>
        </is>
      </c>
      <c r="B625" s="1" t="n">
        <v>45075</v>
      </c>
      <c r="C625" s="1" t="n">
        <v>45879</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23264-2023</t>
        </is>
      </c>
      <c r="B626" s="1" t="n">
        <v>45075</v>
      </c>
      <c r="C626" s="1" t="n">
        <v>45879</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23267-2023</t>
        </is>
      </c>
      <c r="B627" s="1" t="n">
        <v>45075.90934027778</v>
      </c>
      <c r="C627" s="1" t="n">
        <v>45879</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25654-2023</t>
        </is>
      </c>
      <c r="B628" s="1" t="n">
        <v>45089</v>
      </c>
      <c r="C628" s="1" t="n">
        <v>45879</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45879</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45879</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45879</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45879</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47758-2023</t>
        </is>
      </c>
      <c r="B633" s="1" t="n">
        <v>45203.83891203703</v>
      </c>
      <c r="C633" s="1" t="n">
        <v>45879</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48151-2024</t>
        </is>
      </c>
      <c r="B634" s="1" t="n">
        <v>45589.68289351852</v>
      </c>
      <c r="C634" s="1" t="n">
        <v>45879</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22697-2022</t>
        </is>
      </c>
      <c r="B635" s="1" t="n">
        <v>44714.56040509259</v>
      </c>
      <c r="C635" s="1" t="n">
        <v>45879</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5831-2022</t>
        </is>
      </c>
      <c r="B636" s="1" t="n">
        <v>44596</v>
      </c>
      <c r="C636" s="1" t="n">
        <v>45879</v>
      </c>
      <c r="D636" t="inlineStr">
        <is>
          <t>STOCKHOLMS LÄN</t>
        </is>
      </c>
      <c r="E636" t="inlineStr">
        <is>
          <t>NORRTÄLJE</t>
        </is>
      </c>
      <c r="G636" t="n">
        <v>4.8</v>
      </c>
      <c r="H636" t="n">
        <v>0</v>
      </c>
      <c r="I636" t="n">
        <v>0</v>
      </c>
      <c r="J636" t="n">
        <v>0</v>
      </c>
      <c r="K636" t="n">
        <v>0</v>
      </c>
      <c r="L636" t="n">
        <v>0</v>
      </c>
      <c r="M636" t="n">
        <v>0</v>
      </c>
      <c r="N636" t="n">
        <v>0</v>
      </c>
      <c r="O636" t="n">
        <v>0</v>
      </c>
      <c r="P636" t="n">
        <v>0</v>
      </c>
      <c r="Q636" t="n">
        <v>0</v>
      </c>
      <c r="R636" s="2" t="inlineStr"/>
    </row>
    <row r="637" ht="15" customHeight="1">
      <c r="A637" t="inlineStr">
        <is>
          <t>A 32397-2025</t>
        </is>
      </c>
      <c r="B637" s="1" t="n">
        <v>45837.94081018519</v>
      </c>
      <c r="C637" s="1" t="n">
        <v>45879</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32094-2025</t>
        </is>
      </c>
      <c r="B638" s="1" t="n">
        <v>45835.46034722222</v>
      </c>
      <c r="C638" s="1" t="n">
        <v>45879</v>
      </c>
      <c r="D638" t="inlineStr">
        <is>
          <t>STOCKHOLMS LÄN</t>
        </is>
      </c>
      <c r="E638" t="inlineStr">
        <is>
          <t>NORRTÄLJE</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58853-2024</t>
        </is>
      </c>
      <c r="B639" s="1" t="n">
        <v>45636.38974537037</v>
      </c>
      <c r="C639" s="1" t="n">
        <v>45879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62998-2023</t>
        </is>
      </c>
      <c r="B640" s="1" t="n">
        <v>45272.64479166667</v>
      </c>
      <c r="C640" s="1" t="n">
        <v>45879</v>
      </c>
      <c r="D640" t="inlineStr">
        <is>
          <t>STOCKHOLMS LÄN</t>
        </is>
      </c>
      <c r="E640" t="inlineStr">
        <is>
          <t>NORRTÄLJE</t>
        </is>
      </c>
      <c r="G640" t="n">
        <v>16.3</v>
      </c>
      <c r="H640" t="n">
        <v>0</v>
      </c>
      <c r="I640" t="n">
        <v>0</v>
      </c>
      <c r="J640" t="n">
        <v>0</v>
      </c>
      <c r="K640" t="n">
        <v>0</v>
      </c>
      <c r="L640" t="n">
        <v>0</v>
      </c>
      <c r="M640" t="n">
        <v>0</v>
      </c>
      <c r="N640" t="n">
        <v>0</v>
      </c>
      <c r="O640" t="n">
        <v>0</v>
      </c>
      <c r="P640" t="n">
        <v>0</v>
      </c>
      <c r="Q640" t="n">
        <v>0</v>
      </c>
      <c r="R640" s="2" t="inlineStr"/>
    </row>
    <row r="641" ht="15" customHeight="1">
      <c r="A641" t="inlineStr">
        <is>
          <t>A 63015-2023</t>
        </is>
      </c>
      <c r="B641" s="1" t="n">
        <v>45272</v>
      </c>
      <c r="C641" s="1" t="n">
        <v>45879</v>
      </c>
      <c r="D641" t="inlineStr">
        <is>
          <t>STOCKHOLMS LÄN</t>
        </is>
      </c>
      <c r="E641" t="inlineStr">
        <is>
          <t>NORRTÄLJE</t>
        </is>
      </c>
      <c r="G641" t="n">
        <v>13.1</v>
      </c>
      <c r="H641" t="n">
        <v>0</v>
      </c>
      <c r="I641" t="n">
        <v>0</v>
      </c>
      <c r="J641" t="n">
        <v>0</v>
      </c>
      <c r="K641" t="n">
        <v>0</v>
      </c>
      <c r="L641" t="n">
        <v>0</v>
      </c>
      <c r="M641" t="n">
        <v>0</v>
      </c>
      <c r="N641" t="n">
        <v>0</v>
      </c>
      <c r="O641" t="n">
        <v>0</v>
      </c>
      <c r="P641" t="n">
        <v>0</v>
      </c>
      <c r="Q641" t="n">
        <v>0</v>
      </c>
      <c r="R641" s="2" t="inlineStr"/>
    </row>
    <row r="642" ht="15" customHeight="1">
      <c r="A642" t="inlineStr">
        <is>
          <t>A 12901-2024</t>
        </is>
      </c>
      <c r="B642" s="1" t="n">
        <v>45385.37922453704</v>
      </c>
      <c r="C642" s="1" t="n">
        <v>45879</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12301-2025</t>
        </is>
      </c>
      <c r="B643" s="1" t="n">
        <v>45729.7271875</v>
      </c>
      <c r="C643" s="1" t="n">
        <v>45879</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59712-2024</t>
        </is>
      </c>
      <c r="B644" s="1" t="n">
        <v>45639.45166666667</v>
      </c>
      <c r="C644" s="1" t="n">
        <v>45879</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48180-2023</t>
        </is>
      </c>
      <c r="B645" s="1" t="n">
        <v>45205</v>
      </c>
      <c r="C645" s="1" t="n">
        <v>45879</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59721-2024</t>
        </is>
      </c>
      <c r="B646" s="1" t="n">
        <v>45639.47385416667</v>
      </c>
      <c r="C646" s="1" t="n">
        <v>45879</v>
      </c>
      <c r="D646" t="inlineStr">
        <is>
          <t>STOCKHOLMS LÄN</t>
        </is>
      </c>
      <c r="E646" t="inlineStr">
        <is>
          <t>NORRTÄLJE</t>
        </is>
      </c>
      <c r="G646" t="n">
        <v>4.6</v>
      </c>
      <c r="H646" t="n">
        <v>0</v>
      </c>
      <c r="I646" t="n">
        <v>0</v>
      </c>
      <c r="J646" t="n">
        <v>0</v>
      </c>
      <c r="K646" t="n">
        <v>0</v>
      </c>
      <c r="L646" t="n">
        <v>0</v>
      </c>
      <c r="M646" t="n">
        <v>0</v>
      </c>
      <c r="N646" t="n">
        <v>0</v>
      </c>
      <c r="O646" t="n">
        <v>0</v>
      </c>
      <c r="P646" t="n">
        <v>0</v>
      </c>
      <c r="Q646" t="n">
        <v>0</v>
      </c>
      <c r="R646" s="2" t="inlineStr"/>
    </row>
    <row r="647" ht="15" customHeight="1">
      <c r="A647" t="inlineStr">
        <is>
          <t>A 57353-2024</t>
        </is>
      </c>
      <c r="B647" s="1" t="n">
        <v>45629.65143518519</v>
      </c>
      <c r="C647" s="1" t="n">
        <v>45879</v>
      </c>
      <c r="D647" t="inlineStr">
        <is>
          <t>STOCKHOLMS LÄN</t>
        </is>
      </c>
      <c r="E647" t="inlineStr">
        <is>
          <t>NORRTÄLJE</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8950-2025</t>
        </is>
      </c>
      <c r="B648" s="1" t="n">
        <v>45713</v>
      </c>
      <c r="C648" s="1" t="n">
        <v>45879</v>
      </c>
      <c r="D648" t="inlineStr">
        <is>
          <t>STOCKHOLMS LÄN</t>
        </is>
      </c>
      <c r="E648" t="inlineStr">
        <is>
          <t>NORRTÄLJE</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20730-2024</t>
        </is>
      </c>
      <c r="B649" s="1" t="n">
        <v>45436</v>
      </c>
      <c r="C649" s="1" t="n">
        <v>45879</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33175-2024</t>
        </is>
      </c>
      <c r="B650" s="1" t="n">
        <v>45518</v>
      </c>
      <c r="C650" s="1" t="n">
        <v>45879</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32480-2025</t>
        </is>
      </c>
      <c r="B651" s="1" t="n">
        <v>45838.43261574074</v>
      </c>
      <c r="C651" s="1" t="n">
        <v>45879</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13283-2025</t>
        </is>
      </c>
      <c r="B652" s="1" t="n">
        <v>45735</v>
      </c>
      <c r="C652" s="1" t="n">
        <v>45879</v>
      </c>
      <c r="D652" t="inlineStr">
        <is>
          <t>STOCKHOLMS LÄN</t>
        </is>
      </c>
      <c r="E652" t="inlineStr">
        <is>
          <t>NORRTÄLJE</t>
        </is>
      </c>
      <c r="G652" t="n">
        <v>4.9</v>
      </c>
      <c r="H652" t="n">
        <v>0</v>
      </c>
      <c r="I652" t="n">
        <v>0</v>
      </c>
      <c r="J652" t="n">
        <v>0</v>
      </c>
      <c r="K652" t="n">
        <v>0</v>
      </c>
      <c r="L652" t="n">
        <v>0</v>
      </c>
      <c r="M652" t="n">
        <v>0</v>
      </c>
      <c r="N652" t="n">
        <v>0</v>
      </c>
      <c r="O652" t="n">
        <v>0</v>
      </c>
      <c r="P652" t="n">
        <v>0</v>
      </c>
      <c r="Q652" t="n">
        <v>0</v>
      </c>
      <c r="R652" s="2" t="inlineStr"/>
    </row>
    <row r="653" ht="15" customHeight="1">
      <c r="A653" t="inlineStr">
        <is>
          <t>A 55696-2022</t>
        </is>
      </c>
      <c r="B653" s="1" t="n">
        <v>44888</v>
      </c>
      <c r="C653" s="1" t="n">
        <v>45879</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50907-2022</t>
        </is>
      </c>
      <c r="B654" s="1" t="n">
        <v>44867.62090277778</v>
      </c>
      <c r="C654" s="1" t="n">
        <v>45879</v>
      </c>
      <c r="D654" t="inlineStr">
        <is>
          <t>STOCKHOLMS LÄN</t>
        </is>
      </c>
      <c r="E654" t="inlineStr">
        <is>
          <t>NORRTÄLJE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6919-2025</t>
        </is>
      </c>
      <c r="B655" s="1" t="n">
        <v>45701.44372685185</v>
      </c>
      <c r="C655" s="1" t="n">
        <v>45879</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60884-2024</t>
        </is>
      </c>
      <c r="B656" s="1" t="n">
        <v>45644.90815972222</v>
      </c>
      <c r="C656" s="1" t="n">
        <v>45879</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45879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23150-2024</t>
        </is>
      </c>
      <c r="B658" s="1" t="n">
        <v>45450.64643518518</v>
      </c>
      <c r="C658" s="1" t="n">
        <v>45879</v>
      </c>
      <c r="D658" t="inlineStr">
        <is>
          <t>STOCKHOLMS LÄN</t>
        </is>
      </c>
      <c r="E658" t="inlineStr">
        <is>
          <t>NORRTÄLJE</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27831-2024</t>
        </is>
      </c>
      <c r="B659" s="1" t="n">
        <v>45475.61896990741</v>
      </c>
      <c r="C659" s="1" t="n">
        <v>45879</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59878-2024</t>
        </is>
      </c>
      <c r="B660" s="1" t="n">
        <v>45640.60240740741</v>
      </c>
      <c r="C660" s="1" t="n">
        <v>45879</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50182-2024</t>
        </is>
      </c>
      <c r="B661" s="1" t="n">
        <v>45600.47275462963</v>
      </c>
      <c r="C661" s="1" t="n">
        <v>45879</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2549-2022</t>
        </is>
      </c>
      <c r="B662" s="1" t="n">
        <v>44580</v>
      </c>
      <c r="C662" s="1" t="n">
        <v>45879</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31140-2023</t>
        </is>
      </c>
      <c r="B663" s="1" t="n">
        <v>45113</v>
      </c>
      <c r="C663" s="1" t="n">
        <v>45879</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31149-2023</t>
        </is>
      </c>
      <c r="B664" s="1" t="n">
        <v>45113</v>
      </c>
      <c r="C664" s="1" t="n">
        <v>45879</v>
      </c>
      <c r="D664" t="inlineStr">
        <is>
          <t>STOCKHOLMS LÄN</t>
        </is>
      </c>
      <c r="E664" t="inlineStr">
        <is>
          <t>NORRTÄLJE</t>
        </is>
      </c>
      <c r="G664" t="n">
        <v>7.1</v>
      </c>
      <c r="H664" t="n">
        <v>0</v>
      </c>
      <c r="I664" t="n">
        <v>0</v>
      </c>
      <c r="J664" t="n">
        <v>0</v>
      </c>
      <c r="K664" t="n">
        <v>0</v>
      </c>
      <c r="L664" t="n">
        <v>0</v>
      </c>
      <c r="M664" t="n">
        <v>0</v>
      </c>
      <c r="N664" t="n">
        <v>0</v>
      </c>
      <c r="O664" t="n">
        <v>0</v>
      </c>
      <c r="P664" t="n">
        <v>0</v>
      </c>
      <c r="Q664" t="n">
        <v>0</v>
      </c>
      <c r="R664" s="2" t="inlineStr"/>
    </row>
    <row r="665" ht="15" customHeight="1">
      <c r="A665" t="inlineStr">
        <is>
          <t>A 16835-2022</t>
        </is>
      </c>
      <c r="B665" s="1" t="n">
        <v>44673</v>
      </c>
      <c r="C665" s="1" t="n">
        <v>45879</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45879</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13701-2022</t>
        </is>
      </c>
      <c r="B667" s="1" t="n">
        <v>44648</v>
      </c>
      <c r="C667" s="1" t="n">
        <v>45879</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13089-2022</t>
        </is>
      </c>
      <c r="B668" s="1" t="n">
        <v>44643</v>
      </c>
      <c r="C668" s="1" t="n">
        <v>45879</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10215-2023</t>
        </is>
      </c>
      <c r="B669" s="1" t="n">
        <v>44986.5887962963</v>
      </c>
      <c r="C669" s="1" t="n">
        <v>45879</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32122-2025</t>
        </is>
      </c>
      <c r="B670" s="1" t="n">
        <v>45835.4928125</v>
      </c>
      <c r="C670" s="1" t="n">
        <v>45879</v>
      </c>
      <c r="D670" t="inlineStr">
        <is>
          <t>STOCKHOLMS LÄN</t>
        </is>
      </c>
      <c r="E670" t="inlineStr">
        <is>
          <t>NORRTÄLJE</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19058-2023</t>
        </is>
      </c>
      <c r="B671" s="1" t="n">
        <v>45048</v>
      </c>
      <c r="C671" s="1" t="n">
        <v>45879</v>
      </c>
      <c r="D671" t="inlineStr">
        <is>
          <t>STOCKHOLMS LÄN</t>
        </is>
      </c>
      <c r="E671" t="inlineStr">
        <is>
          <t>NORRTÄLJE</t>
        </is>
      </c>
      <c r="G671" t="n">
        <v>3.7</v>
      </c>
      <c r="H671" t="n">
        <v>0</v>
      </c>
      <c r="I671" t="n">
        <v>0</v>
      </c>
      <c r="J671" t="n">
        <v>0</v>
      </c>
      <c r="K671" t="n">
        <v>0</v>
      </c>
      <c r="L671" t="n">
        <v>0</v>
      </c>
      <c r="M671" t="n">
        <v>0</v>
      </c>
      <c r="N671" t="n">
        <v>0</v>
      </c>
      <c r="O671" t="n">
        <v>0</v>
      </c>
      <c r="P671" t="n">
        <v>0</v>
      </c>
      <c r="Q671" t="n">
        <v>0</v>
      </c>
      <c r="R671" s="2" t="inlineStr"/>
    </row>
    <row r="672" ht="15" customHeight="1">
      <c r="A672" t="inlineStr">
        <is>
          <t>A 32395-2025</t>
        </is>
      </c>
      <c r="B672" s="1" t="n">
        <v>45837.93730324074</v>
      </c>
      <c r="C672" s="1" t="n">
        <v>45879</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45879</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14127-2025</t>
        </is>
      </c>
      <c r="B674" s="1" t="n">
        <v>45740.47055555556</v>
      </c>
      <c r="C674" s="1" t="n">
        <v>45879</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21803-2022</t>
        </is>
      </c>
      <c r="B675" s="1" t="n">
        <v>44708.67822916667</v>
      </c>
      <c r="C675" s="1" t="n">
        <v>45879</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31559-2022</t>
        </is>
      </c>
      <c r="B676" s="1" t="n">
        <v>44775</v>
      </c>
      <c r="C676" s="1" t="n">
        <v>45879</v>
      </c>
      <c r="D676" t="inlineStr">
        <is>
          <t>STOCKHOLMS LÄN</t>
        </is>
      </c>
      <c r="E676" t="inlineStr">
        <is>
          <t>NORRTÄLJE</t>
        </is>
      </c>
      <c r="G676" t="n">
        <v>5.6</v>
      </c>
      <c r="H676" t="n">
        <v>0</v>
      </c>
      <c r="I676" t="n">
        <v>0</v>
      </c>
      <c r="J676" t="n">
        <v>0</v>
      </c>
      <c r="K676" t="n">
        <v>0</v>
      </c>
      <c r="L676" t="n">
        <v>0</v>
      </c>
      <c r="M676" t="n">
        <v>0</v>
      </c>
      <c r="N676" t="n">
        <v>0</v>
      </c>
      <c r="O676" t="n">
        <v>0</v>
      </c>
      <c r="P676" t="n">
        <v>0</v>
      </c>
      <c r="Q676" t="n">
        <v>0</v>
      </c>
      <c r="R676" s="2" t="inlineStr"/>
    </row>
    <row r="677" ht="15" customHeight="1">
      <c r="A677" t="inlineStr">
        <is>
          <t>A 52001-2023</t>
        </is>
      </c>
      <c r="B677" s="1" t="n">
        <v>45223</v>
      </c>
      <c r="C677" s="1" t="n">
        <v>45879</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33265-2025</t>
        </is>
      </c>
      <c r="B678" s="1" t="n">
        <v>45840.67829861111</v>
      </c>
      <c r="C678" s="1" t="n">
        <v>45879</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33279-2025</t>
        </is>
      </c>
      <c r="B679" s="1" t="n">
        <v>45840.70885416667</v>
      </c>
      <c r="C679" s="1" t="n">
        <v>45879</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38759-2022</t>
        </is>
      </c>
      <c r="B680" s="1" t="n">
        <v>44816</v>
      </c>
      <c r="C680" s="1" t="n">
        <v>45879</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23998-2024</t>
        </is>
      </c>
      <c r="B681" s="1" t="n">
        <v>45456</v>
      </c>
      <c r="C681" s="1" t="n">
        <v>45879</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24687-2025</t>
        </is>
      </c>
      <c r="B682" s="1" t="n">
        <v>45798.66767361111</v>
      </c>
      <c r="C682" s="1" t="n">
        <v>45879</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54504-2024</t>
        </is>
      </c>
      <c r="B683" s="1" t="n">
        <v>45617.58453703704</v>
      </c>
      <c r="C683" s="1" t="n">
        <v>45879</v>
      </c>
      <c r="D683" t="inlineStr">
        <is>
          <t>STOCKHOLMS LÄN</t>
        </is>
      </c>
      <c r="E683" t="inlineStr">
        <is>
          <t>NORRTÄLJE</t>
        </is>
      </c>
      <c r="G683" t="n">
        <v>3.4</v>
      </c>
      <c r="H683" t="n">
        <v>0</v>
      </c>
      <c r="I683" t="n">
        <v>0</v>
      </c>
      <c r="J683" t="n">
        <v>0</v>
      </c>
      <c r="K683" t="n">
        <v>0</v>
      </c>
      <c r="L683" t="n">
        <v>0</v>
      </c>
      <c r="M683" t="n">
        <v>0</v>
      </c>
      <c r="N683" t="n">
        <v>0</v>
      </c>
      <c r="O683" t="n">
        <v>0</v>
      </c>
      <c r="P683" t="n">
        <v>0</v>
      </c>
      <c r="Q683" t="n">
        <v>0</v>
      </c>
      <c r="R683" s="2" t="inlineStr"/>
    </row>
    <row r="684" ht="15" customHeight="1">
      <c r="A684" t="inlineStr">
        <is>
          <t>A 32872-2025</t>
        </is>
      </c>
      <c r="B684" s="1" t="n">
        <v>45839</v>
      </c>
      <c r="C684" s="1" t="n">
        <v>45879</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22359-2025</t>
        </is>
      </c>
      <c r="B685" s="1" t="n">
        <v>45786</v>
      </c>
      <c r="C685" s="1" t="n">
        <v>45879</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32595-2023</t>
        </is>
      </c>
      <c r="B686" s="1" t="n">
        <v>45121</v>
      </c>
      <c r="C686" s="1" t="n">
        <v>45879</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11332-2025</t>
        </is>
      </c>
      <c r="B687" s="1" t="n">
        <v>45726.48152777777</v>
      </c>
      <c r="C687" s="1" t="n">
        <v>45879</v>
      </c>
      <c r="D687" t="inlineStr">
        <is>
          <t>STOCKHOLMS LÄN</t>
        </is>
      </c>
      <c r="E687" t="inlineStr">
        <is>
          <t>NORRTÄLJE</t>
        </is>
      </c>
      <c r="G687" t="n">
        <v>4.6</v>
      </c>
      <c r="H687" t="n">
        <v>0</v>
      </c>
      <c r="I687" t="n">
        <v>0</v>
      </c>
      <c r="J687" t="n">
        <v>0</v>
      </c>
      <c r="K687" t="n">
        <v>0</v>
      </c>
      <c r="L687" t="n">
        <v>0</v>
      </c>
      <c r="M687" t="n">
        <v>0</v>
      </c>
      <c r="N687" t="n">
        <v>0</v>
      </c>
      <c r="O687" t="n">
        <v>0</v>
      </c>
      <c r="P687" t="n">
        <v>0</v>
      </c>
      <c r="Q687" t="n">
        <v>0</v>
      </c>
      <c r="R687" s="2" t="inlineStr"/>
    </row>
    <row r="688" ht="15" customHeight="1">
      <c r="A688" t="inlineStr">
        <is>
          <t>A 22456-2023</t>
        </is>
      </c>
      <c r="B688" s="1" t="n">
        <v>45070</v>
      </c>
      <c r="C688" s="1" t="n">
        <v>45879</v>
      </c>
      <c r="D688" t="inlineStr">
        <is>
          <t>STOCKHOLMS LÄN</t>
        </is>
      </c>
      <c r="E688" t="inlineStr">
        <is>
          <t>NORRTÄLJE</t>
        </is>
      </c>
      <c r="G688" t="n">
        <v>3.1</v>
      </c>
      <c r="H688" t="n">
        <v>0</v>
      </c>
      <c r="I688" t="n">
        <v>0</v>
      </c>
      <c r="J688" t="n">
        <v>0</v>
      </c>
      <c r="K688" t="n">
        <v>0</v>
      </c>
      <c r="L688" t="n">
        <v>0</v>
      </c>
      <c r="M688" t="n">
        <v>0</v>
      </c>
      <c r="N688" t="n">
        <v>0</v>
      </c>
      <c r="O688" t="n">
        <v>0</v>
      </c>
      <c r="P688" t="n">
        <v>0</v>
      </c>
      <c r="Q688" t="n">
        <v>0</v>
      </c>
      <c r="R688" s="2" t="inlineStr"/>
    </row>
    <row r="689" ht="15" customHeight="1">
      <c r="A689" t="inlineStr">
        <is>
          <t>A 24690-2025</t>
        </is>
      </c>
      <c r="B689" s="1" t="n">
        <v>45798.67082175926</v>
      </c>
      <c r="C689" s="1" t="n">
        <v>45879</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24638-2025</t>
        </is>
      </c>
      <c r="B690" s="1" t="n">
        <v>45798</v>
      </c>
      <c r="C690" s="1" t="n">
        <v>45879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24683-2025</t>
        </is>
      </c>
      <c r="B691" s="1" t="n">
        <v>45798.66104166667</v>
      </c>
      <c r="C691" s="1" t="n">
        <v>45879</v>
      </c>
      <c r="D691" t="inlineStr">
        <is>
          <t>STOCKHOLMS LÄN</t>
        </is>
      </c>
      <c r="E691" t="inlineStr">
        <is>
          <t>NORRTÄLJE</t>
        </is>
      </c>
      <c r="G691" t="n">
        <v>7.9</v>
      </c>
      <c r="H691" t="n">
        <v>0</v>
      </c>
      <c r="I691" t="n">
        <v>0</v>
      </c>
      <c r="J691" t="n">
        <v>0</v>
      </c>
      <c r="K691" t="n">
        <v>0</v>
      </c>
      <c r="L691" t="n">
        <v>0</v>
      </c>
      <c r="M691" t="n">
        <v>0</v>
      </c>
      <c r="N691" t="n">
        <v>0</v>
      </c>
      <c r="O691" t="n">
        <v>0</v>
      </c>
      <c r="P691" t="n">
        <v>0</v>
      </c>
      <c r="Q691" t="n">
        <v>0</v>
      </c>
      <c r="R691" s="2" t="inlineStr"/>
    </row>
    <row r="692" ht="15" customHeight="1">
      <c r="A692" t="inlineStr">
        <is>
          <t>A 24351-2025</t>
        </is>
      </c>
      <c r="B692" s="1" t="n">
        <v>45797.58399305555</v>
      </c>
      <c r="C692" s="1" t="n">
        <v>45879</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19580-2022</t>
        </is>
      </c>
      <c r="B693" s="1" t="n">
        <v>44693</v>
      </c>
      <c r="C693" s="1" t="n">
        <v>45879</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13718-2022</t>
        </is>
      </c>
      <c r="B694" s="1" t="n">
        <v>44649</v>
      </c>
      <c r="C694" s="1" t="n">
        <v>45879</v>
      </c>
      <c r="D694" t="inlineStr">
        <is>
          <t>STOCKHOLMS LÄN</t>
        </is>
      </c>
      <c r="E694" t="inlineStr">
        <is>
          <t>NORRTÄLJE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61363-2020</t>
        </is>
      </c>
      <c r="B695" s="1" t="n">
        <v>44155.69458333333</v>
      </c>
      <c r="C695" s="1" t="n">
        <v>45879</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5823-2023</t>
        </is>
      </c>
      <c r="B696" s="1" t="n">
        <v>44963</v>
      </c>
      <c r="C696" s="1" t="n">
        <v>45879</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30731-2023</t>
        </is>
      </c>
      <c r="B697" s="1" t="n">
        <v>45112</v>
      </c>
      <c r="C697" s="1" t="n">
        <v>45879</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11988-2021</t>
        </is>
      </c>
      <c r="B698" s="1" t="n">
        <v>44266</v>
      </c>
      <c r="C698" s="1" t="n">
        <v>45879</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12132-2021</t>
        </is>
      </c>
      <c r="B699" s="1" t="n">
        <v>44266</v>
      </c>
      <c r="C699" s="1" t="n">
        <v>45879</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32396-2025</t>
        </is>
      </c>
      <c r="B700" s="1" t="n">
        <v>45837</v>
      </c>
      <c r="C700" s="1" t="n">
        <v>45879</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32903-2025</t>
        </is>
      </c>
      <c r="B701" s="1" t="n">
        <v>45839.62398148148</v>
      </c>
      <c r="C701" s="1" t="n">
        <v>45879</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54259-2023</t>
        </is>
      </c>
      <c r="B702" s="1" t="n">
        <v>45232</v>
      </c>
      <c r="C702" s="1" t="n">
        <v>45879</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51653-2022</t>
        </is>
      </c>
      <c r="B703" s="1" t="n">
        <v>44867</v>
      </c>
      <c r="C703" s="1" t="n">
        <v>45879</v>
      </c>
      <c r="D703" t="inlineStr">
        <is>
          <t>STOCKHOLMS LÄN</t>
        </is>
      </c>
      <c r="E703" t="inlineStr">
        <is>
          <t>NORRTÄLJE</t>
        </is>
      </c>
      <c r="G703" t="n">
        <v>6.6</v>
      </c>
      <c r="H703" t="n">
        <v>0</v>
      </c>
      <c r="I703" t="n">
        <v>0</v>
      </c>
      <c r="J703" t="n">
        <v>0</v>
      </c>
      <c r="K703" t="n">
        <v>0</v>
      </c>
      <c r="L703" t="n">
        <v>0</v>
      </c>
      <c r="M703" t="n">
        <v>0</v>
      </c>
      <c r="N703" t="n">
        <v>0</v>
      </c>
      <c r="O703" t="n">
        <v>0</v>
      </c>
      <c r="P703" t="n">
        <v>0</v>
      </c>
      <c r="Q703" t="n">
        <v>0</v>
      </c>
      <c r="R703" s="2" t="inlineStr"/>
    </row>
    <row r="704" ht="15" customHeight="1">
      <c r="A704" t="inlineStr">
        <is>
          <t>A 13171-2025</t>
        </is>
      </c>
      <c r="B704" s="1" t="n">
        <v>45735.36594907408</v>
      </c>
      <c r="C704" s="1" t="n">
        <v>45879</v>
      </c>
      <c r="D704" t="inlineStr">
        <is>
          <t>STOCKHOLMS LÄN</t>
        </is>
      </c>
      <c r="E704" t="inlineStr">
        <is>
          <t>NORRTÄLJE</t>
        </is>
      </c>
      <c r="G704" t="n">
        <v>5.1</v>
      </c>
      <c r="H704" t="n">
        <v>0</v>
      </c>
      <c r="I704" t="n">
        <v>0</v>
      </c>
      <c r="J704" t="n">
        <v>0</v>
      </c>
      <c r="K704" t="n">
        <v>0</v>
      </c>
      <c r="L704" t="n">
        <v>0</v>
      </c>
      <c r="M704" t="n">
        <v>0</v>
      </c>
      <c r="N704" t="n">
        <v>0</v>
      </c>
      <c r="O704" t="n">
        <v>0</v>
      </c>
      <c r="P704" t="n">
        <v>0</v>
      </c>
      <c r="Q704" t="n">
        <v>0</v>
      </c>
      <c r="R704" s="2" t="inlineStr"/>
    </row>
    <row r="705" ht="15" customHeight="1">
      <c r="A705" t="inlineStr">
        <is>
          <t>A 12299-2025</t>
        </is>
      </c>
      <c r="B705" s="1" t="n">
        <v>45729.71065972222</v>
      </c>
      <c r="C705" s="1" t="n">
        <v>45879</v>
      </c>
      <c r="D705" t="inlineStr">
        <is>
          <t>STOCKHOLMS LÄN</t>
        </is>
      </c>
      <c r="E705" t="inlineStr">
        <is>
          <t>NORRTÄLJE</t>
        </is>
      </c>
      <c r="F705" t="inlineStr">
        <is>
          <t>Holmen skog AB</t>
        </is>
      </c>
      <c r="G705" t="n">
        <v>6.9</v>
      </c>
      <c r="H705" t="n">
        <v>0</v>
      </c>
      <c r="I705" t="n">
        <v>0</v>
      </c>
      <c r="J705" t="n">
        <v>0</v>
      </c>
      <c r="K705" t="n">
        <v>0</v>
      </c>
      <c r="L705" t="n">
        <v>0</v>
      </c>
      <c r="M705" t="n">
        <v>0</v>
      </c>
      <c r="N705" t="n">
        <v>0</v>
      </c>
      <c r="O705" t="n">
        <v>0</v>
      </c>
      <c r="P705" t="n">
        <v>0</v>
      </c>
      <c r="Q705" t="n">
        <v>0</v>
      </c>
      <c r="R705" s="2" t="inlineStr"/>
    </row>
    <row r="706" ht="15" customHeight="1">
      <c r="A706" t="inlineStr">
        <is>
          <t>A 11900-2024</t>
        </is>
      </c>
      <c r="B706" s="1" t="n">
        <v>45376.55484953704</v>
      </c>
      <c r="C706" s="1" t="n">
        <v>45879</v>
      </c>
      <c r="D706" t="inlineStr">
        <is>
          <t>STOCKHOLMS LÄN</t>
        </is>
      </c>
      <c r="E706" t="inlineStr">
        <is>
          <t>NORRTÄLJE</t>
        </is>
      </c>
      <c r="G706" t="n">
        <v>4.2</v>
      </c>
      <c r="H706" t="n">
        <v>0</v>
      </c>
      <c r="I706" t="n">
        <v>0</v>
      </c>
      <c r="J706" t="n">
        <v>0</v>
      </c>
      <c r="K706" t="n">
        <v>0</v>
      </c>
      <c r="L706" t="n">
        <v>0</v>
      </c>
      <c r="M706" t="n">
        <v>0</v>
      </c>
      <c r="N706" t="n">
        <v>0</v>
      </c>
      <c r="O706" t="n">
        <v>0</v>
      </c>
      <c r="P706" t="n">
        <v>0</v>
      </c>
      <c r="Q706" t="n">
        <v>0</v>
      </c>
      <c r="R706" s="2" t="inlineStr"/>
    </row>
    <row r="707" ht="15" customHeight="1">
      <c r="A707" t="inlineStr">
        <is>
          <t>A 24350-2025</t>
        </is>
      </c>
      <c r="B707" s="1" t="n">
        <v>45797.58350694444</v>
      </c>
      <c r="C707" s="1" t="n">
        <v>45879</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39854-2022</t>
        </is>
      </c>
      <c r="B708" s="1" t="n">
        <v>44819</v>
      </c>
      <c r="C708" s="1" t="n">
        <v>45879</v>
      </c>
      <c r="D708" t="inlineStr">
        <is>
          <t>STOCKHOLMS LÄN</t>
        </is>
      </c>
      <c r="E708" t="inlineStr">
        <is>
          <t>NORRTÄLJE</t>
        </is>
      </c>
      <c r="G708" t="n">
        <v>4.4</v>
      </c>
      <c r="H708" t="n">
        <v>0</v>
      </c>
      <c r="I708" t="n">
        <v>0</v>
      </c>
      <c r="J708" t="n">
        <v>0</v>
      </c>
      <c r="K708" t="n">
        <v>0</v>
      </c>
      <c r="L708" t="n">
        <v>0</v>
      </c>
      <c r="M708" t="n">
        <v>0</v>
      </c>
      <c r="N708" t="n">
        <v>0</v>
      </c>
      <c r="O708" t="n">
        <v>0</v>
      </c>
      <c r="P708" t="n">
        <v>0</v>
      </c>
      <c r="Q708" t="n">
        <v>0</v>
      </c>
      <c r="R708" s="2" t="inlineStr"/>
    </row>
    <row r="709" ht="15" customHeight="1">
      <c r="A709" t="inlineStr">
        <is>
          <t>A 32103-2022</t>
        </is>
      </c>
      <c r="B709" s="1" t="n">
        <v>44778</v>
      </c>
      <c r="C709" s="1" t="n">
        <v>45879</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55952-2024</t>
        </is>
      </c>
      <c r="B710" s="1" t="n">
        <v>45623.62563657408</v>
      </c>
      <c r="C710" s="1" t="n">
        <v>45879</v>
      </c>
      <c r="D710" t="inlineStr">
        <is>
          <t>STOCKHOLMS LÄN</t>
        </is>
      </c>
      <c r="E710" t="inlineStr">
        <is>
          <t>NORRTÄLJE</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13137-2024</t>
        </is>
      </c>
      <c r="B711" s="1" t="n">
        <v>45386.34175925926</v>
      </c>
      <c r="C711" s="1" t="n">
        <v>45879</v>
      </c>
      <c r="D711" t="inlineStr">
        <is>
          <t>STOCKHOLMS LÄN</t>
        </is>
      </c>
      <c r="E711" t="inlineStr">
        <is>
          <t>NORRTÄLJE</t>
        </is>
      </c>
      <c r="G711" t="n">
        <v>5</v>
      </c>
      <c r="H711" t="n">
        <v>0</v>
      </c>
      <c r="I711" t="n">
        <v>0</v>
      </c>
      <c r="J711" t="n">
        <v>0</v>
      </c>
      <c r="K711" t="n">
        <v>0</v>
      </c>
      <c r="L711" t="n">
        <v>0</v>
      </c>
      <c r="M711" t="n">
        <v>0</v>
      </c>
      <c r="N711" t="n">
        <v>0</v>
      </c>
      <c r="O711" t="n">
        <v>0</v>
      </c>
      <c r="P711" t="n">
        <v>0</v>
      </c>
      <c r="Q711" t="n">
        <v>0</v>
      </c>
      <c r="R711" s="2" t="inlineStr"/>
    </row>
    <row r="712" ht="15" customHeight="1">
      <c r="A712" t="inlineStr">
        <is>
          <t>A 43300-2023</t>
        </is>
      </c>
      <c r="B712" s="1" t="n">
        <v>45183</v>
      </c>
      <c r="C712" s="1" t="n">
        <v>45879</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13276-2022</t>
        </is>
      </c>
      <c r="B713" s="1" t="n">
        <v>44644</v>
      </c>
      <c r="C713" s="1" t="n">
        <v>45879</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23070-2023</t>
        </is>
      </c>
      <c r="B714" s="1" t="n">
        <v>45075</v>
      </c>
      <c r="C714" s="1" t="n">
        <v>45879</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33336-2025</t>
        </is>
      </c>
      <c r="B715" s="1" t="n">
        <v>45841.35611111111</v>
      </c>
      <c r="C715" s="1" t="n">
        <v>45879</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28603-2024</t>
        </is>
      </c>
      <c r="B716" s="1" t="n">
        <v>45478.42887731481</v>
      </c>
      <c r="C716" s="1" t="n">
        <v>45879</v>
      </c>
      <c r="D716" t="inlineStr">
        <is>
          <t>STOCKHOLMS LÄN</t>
        </is>
      </c>
      <c r="E716" t="inlineStr">
        <is>
          <t>NORRTÄLJE</t>
        </is>
      </c>
      <c r="G716" t="n">
        <v>5.6</v>
      </c>
      <c r="H716" t="n">
        <v>0</v>
      </c>
      <c r="I716" t="n">
        <v>0</v>
      </c>
      <c r="J716" t="n">
        <v>0</v>
      </c>
      <c r="K716" t="n">
        <v>0</v>
      </c>
      <c r="L716" t="n">
        <v>0</v>
      </c>
      <c r="M716" t="n">
        <v>0</v>
      </c>
      <c r="N716" t="n">
        <v>0</v>
      </c>
      <c r="O716" t="n">
        <v>0</v>
      </c>
      <c r="P716" t="n">
        <v>0</v>
      </c>
      <c r="Q716" t="n">
        <v>0</v>
      </c>
      <c r="R716" s="2" t="inlineStr"/>
    </row>
    <row r="717" ht="15" customHeight="1">
      <c r="A717" t="inlineStr">
        <is>
          <t>A 8792-2025</t>
        </is>
      </c>
      <c r="B717" s="1" t="n">
        <v>45712</v>
      </c>
      <c r="C717" s="1" t="n">
        <v>45879</v>
      </c>
      <c r="D717" t="inlineStr">
        <is>
          <t>STOCKHOLMS LÄN</t>
        </is>
      </c>
      <c r="E717" t="inlineStr">
        <is>
          <t>NORRTÄLJE</t>
        </is>
      </c>
      <c r="F717" t="inlineStr">
        <is>
          <t>Övriga Aktiebolag</t>
        </is>
      </c>
      <c r="G717" t="n">
        <v>6.6</v>
      </c>
      <c r="H717" t="n">
        <v>0</v>
      </c>
      <c r="I717" t="n">
        <v>0</v>
      </c>
      <c r="J717" t="n">
        <v>0</v>
      </c>
      <c r="K717" t="n">
        <v>0</v>
      </c>
      <c r="L717" t="n">
        <v>0</v>
      </c>
      <c r="M717" t="n">
        <v>0</v>
      </c>
      <c r="N717" t="n">
        <v>0</v>
      </c>
      <c r="O717" t="n">
        <v>0</v>
      </c>
      <c r="P717" t="n">
        <v>0</v>
      </c>
      <c r="Q717" t="n">
        <v>0</v>
      </c>
      <c r="R717" s="2" t="inlineStr"/>
    </row>
    <row r="718" ht="15" customHeight="1">
      <c r="A718" t="inlineStr">
        <is>
          <t>A 11900-2022</t>
        </is>
      </c>
      <c r="B718" s="1" t="n">
        <v>44635</v>
      </c>
      <c r="C718" s="1" t="n">
        <v>45879</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7571-2024</t>
        </is>
      </c>
      <c r="B719" s="1" t="n">
        <v>45348.46300925926</v>
      </c>
      <c r="C719" s="1" t="n">
        <v>45879</v>
      </c>
      <c r="D719" t="inlineStr">
        <is>
          <t>STOCKHOLMS LÄN</t>
        </is>
      </c>
      <c r="E719" t="inlineStr">
        <is>
          <t>NORRTÄLJE</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14724-2022</t>
        </is>
      </c>
      <c r="B720" s="1" t="n">
        <v>44656</v>
      </c>
      <c r="C720" s="1" t="n">
        <v>45879</v>
      </c>
      <c r="D720" t="inlineStr">
        <is>
          <t>STOCKHOLMS LÄN</t>
        </is>
      </c>
      <c r="E720" t="inlineStr">
        <is>
          <t>NORRTÄLJE</t>
        </is>
      </c>
      <c r="F720" t="inlineStr">
        <is>
          <t>Sveaskog</t>
        </is>
      </c>
      <c r="G720" t="n">
        <v>9</v>
      </c>
      <c r="H720" t="n">
        <v>0</v>
      </c>
      <c r="I720" t="n">
        <v>0</v>
      </c>
      <c r="J720" t="n">
        <v>0</v>
      </c>
      <c r="K720" t="n">
        <v>0</v>
      </c>
      <c r="L720" t="n">
        <v>0</v>
      </c>
      <c r="M720" t="n">
        <v>0</v>
      </c>
      <c r="N720" t="n">
        <v>0</v>
      </c>
      <c r="O720" t="n">
        <v>0</v>
      </c>
      <c r="P720" t="n">
        <v>0</v>
      </c>
      <c r="Q720" t="n">
        <v>0</v>
      </c>
      <c r="R720" s="2" t="inlineStr"/>
    </row>
    <row r="721" ht="15" customHeight="1">
      <c r="A721" t="inlineStr">
        <is>
          <t>A 4580-2025</t>
        </is>
      </c>
      <c r="B721" s="1" t="n">
        <v>45687.5038425926</v>
      </c>
      <c r="C721" s="1" t="n">
        <v>45879</v>
      </c>
      <c r="D721" t="inlineStr">
        <is>
          <t>STOCKHOLMS LÄN</t>
        </is>
      </c>
      <c r="E721" t="inlineStr">
        <is>
          <t>NORRTÄLJE</t>
        </is>
      </c>
      <c r="F721" t="inlineStr">
        <is>
          <t>Holmen skog AB</t>
        </is>
      </c>
      <c r="G721" t="n">
        <v>4.8</v>
      </c>
      <c r="H721" t="n">
        <v>0</v>
      </c>
      <c r="I721" t="n">
        <v>0</v>
      </c>
      <c r="J721" t="n">
        <v>0</v>
      </c>
      <c r="K721" t="n">
        <v>0</v>
      </c>
      <c r="L721" t="n">
        <v>0</v>
      </c>
      <c r="M721" t="n">
        <v>0</v>
      </c>
      <c r="N721" t="n">
        <v>0</v>
      </c>
      <c r="O721" t="n">
        <v>0</v>
      </c>
      <c r="P721" t="n">
        <v>0</v>
      </c>
      <c r="Q721" t="n">
        <v>0</v>
      </c>
      <c r="R721" s="2" t="inlineStr"/>
    </row>
    <row r="722" ht="15" customHeight="1">
      <c r="A722" t="inlineStr">
        <is>
          <t>A 16202-2022</t>
        </is>
      </c>
      <c r="B722" s="1" t="n">
        <v>44670</v>
      </c>
      <c r="C722" s="1" t="n">
        <v>45879</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6003-2025</t>
        </is>
      </c>
      <c r="B723" s="1" t="n">
        <v>45695.57881944445</v>
      </c>
      <c r="C723" s="1" t="n">
        <v>45879</v>
      </c>
      <c r="D723" t="inlineStr">
        <is>
          <t>STOCKHOLMS LÄN</t>
        </is>
      </c>
      <c r="E723" t="inlineStr">
        <is>
          <t>NORRTÄLJE</t>
        </is>
      </c>
      <c r="F723" t="inlineStr">
        <is>
          <t>Holmen skog AB</t>
        </is>
      </c>
      <c r="G723" t="n">
        <v>2.3</v>
      </c>
      <c r="H723" t="n">
        <v>0</v>
      </c>
      <c r="I723" t="n">
        <v>0</v>
      </c>
      <c r="J723" t="n">
        <v>0</v>
      </c>
      <c r="K723" t="n">
        <v>0</v>
      </c>
      <c r="L723" t="n">
        <v>0</v>
      </c>
      <c r="M723" t="n">
        <v>0</v>
      </c>
      <c r="N723" t="n">
        <v>0</v>
      </c>
      <c r="O723" t="n">
        <v>0</v>
      </c>
      <c r="P723" t="n">
        <v>0</v>
      </c>
      <c r="Q723" t="n">
        <v>0</v>
      </c>
      <c r="R723" s="2" t="inlineStr"/>
    </row>
    <row r="724" ht="15" customHeight="1">
      <c r="A724" t="inlineStr">
        <is>
          <t>A 52321-2024</t>
        </is>
      </c>
      <c r="B724" s="1" t="n">
        <v>45608</v>
      </c>
      <c r="C724" s="1" t="n">
        <v>45879</v>
      </c>
      <c r="D724" t="inlineStr">
        <is>
          <t>STOCKHOLMS LÄN</t>
        </is>
      </c>
      <c r="E724" t="inlineStr">
        <is>
          <t>NORRTÄLJE</t>
        </is>
      </c>
      <c r="G724" t="n">
        <v>18.1</v>
      </c>
      <c r="H724" t="n">
        <v>0</v>
      </c>
      <c r="I724" t="n">
        <v>0</v>
      </c>
      <c r="J724" t="n">
        <v>0</v>
      </c>
      <c r="K724" t="n">
        <v>0</v>
      </c>
      <c r="L724" t="n">
        <v>0</v>
      </c>
      <c r="M724" t="n">
        <v>0</v>
      </c>
      <c r="N724" t="n">
        <v>0</v>
      </c>
      <c r="O724" t="n">
        <v>0</v>
      </c>
      <c r="P724" t="n">
        <v>0</v>
      </c>
      <c r="Q724" t="n">
        <v>0</v>
      </c>
      <c r="R724" s="2" t="inlineStr"/>
    </row>
    <row r="725" ht="15" customHeight="1">
      <c r="A725" t="inlineStr">
        <is>
          <t>A 36269-2022</t>
        </is>
      </c>
      <c r="B725" s="1" t="n">
        <v>44803</v>
      </c>
      <c r="C725" s="1" t="n">
        <v>45879</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25702-2025</t>
        </is>
      </c>
      <c r="B726" s="1" t="n">
        <v>45800</v>
      </c>
      <c r="C726" s="1" t="n">
        <v>45879</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54558-2024</t>
        </is>
      </c>
      <c r="B727" s="1" t="n">
        <v>45617.62358796296</v>
      </c>
      <c r="C727" s="1" t="n">
        <v>45879</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25709-2025</t>
        </is>
      </c>
      <c r="B728" s="1" t="n">
        <v>45800</v>
      </c>
      <c r="C728" s="1" t="n">
        <v>45879</v>
      </c>
      <c r="D728" t="inlineStr">
        <is>
          <t>STOCKHOLMS LÄN</t>
        </is>
      </c>
      <c r="E728" t="inlineStr">
        <is>
          <t>NORRTÄLJE</t>
        </is>
      </c>
      <c r="G728" t="n">
        <v>4.6</v>
      </c>
      <c r="H728" t="n">
        <v>0</v>
      </c>
      <c r="I728" t="n">
        <v>0</v>
      </c>
      <c r="J728" t="n">
        <v>0</v>
      </c>
      <c r="K728" t="n">
        <v>0</v>
      </c>
      <c r="L728" t="n">
        <v>0</v>
      </c>
      <c r="M728" t="n">
        <v>0</v>
      </c>
      <c r="N728" t="n">
        <v>0</v>
      </c>
      <c r="O728" t="n">
        <v>0</v>
      </c>
      <c r="P728" t="n">
        <v>0</v>
      </c>
      <c r="Q728" t="n">
        <v>0</v>
      </c>
      <c r="R728" s="2" t="inlineStr"/>
    </row>
    <row r="729" ht="15" customHeight="1">
      <c r="A729" t="inlineStr">
        <is>
          <t>A 25721-2025</t>
        </is>
      </c>
      <c r="B729" s="1" t="n">
        <v>45800</v>
      </c>
      <c r="C729" s="1" t="n">
        <v>45879</v>
      </c>
      <c r="D729" t="inlineStr">
        <is>
          <t>STOCKHOLMS LÄN</t>
        </is>
      </c>
      <c r="E729" t="inlineStr">
        <is>
          <t>NORRTÄLJE</t>
        </is>
      </c>
      <c r="G729" t="n">
        <v>6</v>
      </c>
      <c r="H729" t="n">
        <v>0</v>
      </c>
      <c r="I729" t="n">
        <v>0</v>
      </c>
      <c r="J729" t="n">
        <v>0</v>
      </c>
      <c r="K729" t="n">
        <v>0</v>
      </c>
      <c r="L729" t="n">
        <v>0</v>
      </c>
      <c r="M729" t="n">
        <v>0</v>
      </c>
      <c r="N729" t="n">
        <v>0</v>
      </c>
      <c r="O729" t="n">
        <v>0</v>
      </c>
      <c r="P729" t="n">
        <v>0</v>
      </c>
      <c r="Q729" t="n">
        <v>0</v>
      </c>
      <c r="R729" s="2" t="inlineStr"/>
    </row>
    <row r="730" ht="15" customHeight="1">
      <c r="A730" t="inlineStr">
        <is>
          <t>A 22157-2023</t>
        </is>
      </c>
      <c r="B730" s="1" t="n">
        <v>45069</v>
      </c>
      <c r="C730" s="1" t="n">
        <v>45879</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c r="U730">
        <f>HYPERLINK("https://klasma.github.io/Logging_0188/knärot/A 22157-2023 karta knärot.png", "A 22157-2023")</f>
        <v/>
      </c>
      <c r="V730">
        <f>HYPERLINK("https://klasma.github.io/Logging_0188/klagomål/A 22157-2023 FSC-klagomål.docx", "A 22157-2023")</f>
        <v/>
      </c>
      <c r="W730">
        <f>HYPERLINK("https://klasma.github.io/Logging_0188/klagomålsmail/A 22157-2023 FSC-klagomål mail.docx", "A 22157-2023")</f>
        <v/>
      </c>
      <c r="X730">
        <f>HYPERLINK("https://klasma.github.io/Logging_0188/tillsyn/A 22157-2023 tillsynsbegäran.docx", "A 22157-2023")</f>
        <v/>
      </c>
      <c r="Y730">
        <f>HYPERLINK("https://klasma.github.io/Logging_0188/tillsynsmail/A 22157-2023 tillsynsbegäran mail.docx", "A 22157-2023")</f>
        <v/>
      </c>
    </row>
    <row r="731" ht="15" customHeight="1">
      <c r="A731" t="inlineStr">
        <is>
          <t>A 33552-2025</t>
        </is>
      </c>
      <c r="B731" s="1" t="n">
        <v>45841.5737962963</v>
      </c>
      <c r="C731" s="1" t="n">
        <v>45879</v>
      </c>
      <c r="D731" t="inlineStr">
        <is>
          <t>STOCKHOLMS LÄN</t>
        </is>
      </c>
      <c r="E731" t="inlineStr">
        <is>
          <t>NORRTÄLJE</t>
        </is>
      </c>
      <c r="G731" t="n">
        <v>8.9</v>
      </c>
      <c r="H731" t="n">
        <v>0</v>
      </c>
      <c r="I731" t="n">
        <v>0</v>
      </c>
      <c r="J731" t="n">
        <v>0</v>
      </c>
      <c r="K731" t="n">
        <v>0</v>
      </c>
      <c r="L731" t="n">
        <v>0</v>
      </c>
      <c r="M731" t="n">
        <v>0</v>
      </c>
      <c r="N731" t="n">
        <v>0</v>
      </c>
      <c r="O731" t="n">
        <v>0</v>
      </c>
      <c r="P731" t="n">
        <v>0</v>
      </c>
      <c r="Q731" t="n">
        <v>0</v>
      </c>
      <c r="R731" s="2" t="inlineStr"/>
    </row>
    <row r="732" ht="15" customHeight="1">
      <c r="A732" t="inlineStr">
        <is>
          <t>A 46071-2024</t>
        </is>
      </c>
      <c r="B732" s="1" t="n">
        <v>45581</v>
      </c>
      <c r="C732" s="1" t="n">
        <v>45879</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48633-2023</t>
        </is>
      </c>
      <c r="B733" s="1" t="n">
        <v>45208.58004629629</v>
      </c>
      <c r="C733" s="1" t="n">
        <v>45879</v>
      </c>
      <c r="D733" t="inlineStr">
        <is>
          <t>STOCKHOLMS LÄN</t>
        </is>
      </c>
      <c r="E733" t="inlineStr">
        <is>
          <t>NORRTÄLJE</t>
        </is>
      </c>
      <c r="G733" t="n">
        <v>3.3</v>
      </c>
      <c r="H733" t="n">
        <v>0</v>
      </c>
      <c r="I733" t="n">
        <v>0</v>
      </c>
      <c r="J733" t="n">
        <v>0</v>
      </c>
      <c r="K733" t="n">
        <v>0</v>
      </c>
      <c r="L733" t="n">
        <v>0</v>
      </c>
      <c r="M733" t="n">
        <v>0</v>
      </c>
      <c r="N733" t="n">
        <v>0</v>
      </c>
      <c r="O733" t="n">
        <v>0</v>
      </c>
      <c r="P733" t="n">
        <v>0</v>
      </c>
      <c r="Q733" t="n">
        <v>0</v>
      </c>
      <c r="R733" s="2" t="inlineStr"/>
    </row>
    <row r="734" ht="15" customHeight="1">
      <c r="A734" t="inlineStr">
        <is>
          <t>A 24835-2025</t>
        </is>
      </c>
      <c r="B734" s="1" t="n">
        <v>45799</v>
      </c>
      <c r="C734" s="1" t="n">
        <v>45879</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5665-2025</t>
        </is>
      </c>
      <c r="B735" s="1" t="n">
        <v>45693</v>
      </c>
      <c r="C735" s="1" t="n">
        <v>45879</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12407-2025</t>
        </is>
      </c>
      <c r="B736" s="1" t="n">
        <v>45730.42851851852</v>
      </c>
      <c r="C736" s="1" t="n">
        <v>45879</v>
      </c>
      <c r="D736" t="inlineStr">
        <is>
          <t>STOCKHOLMS LÄN</t>
        </is>
      </c>
      <c r="E736" t="inlineStr">
        <is>
          <t>NORRTÄLJE</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26636-2023</t>
        </is>
      </c>
      <c r="B737" s="1" t="n">
        <v>45092</v>
      </c>
      <c r="C737" s="1" t="n">
        <v>45879</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26637-2023</t>
        </is>
      </c>
      <c r="B738" s="1" t="n">
        <v>45092</v>
      </c>
      <c r="C738" s="1" t="n">
        <v>45879</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33211-2025</t>
        </is>
      </c>
      <c r="B739" s="1" t="n">
        <v>45840.62755787037</v>
      </c>
      <c r="C739" s="1" t="n">
        <v>45879</v>
      </c>
      <c r="D739" t="inlineStr">
        <is>
          <t>STOCKHOLMS LÄN</t>
        </is>
      </c>
      <c r="E739" t="inlineStr">
        <is>
          <t>NORRTÄLJE</t>
        </is>
      </c>
      <c r="G739" t="n">
        <v>5.1</v>
      </c>
      <c r="H739" t="n">
        <v>0</v>
      </c>
      <c r="I739" t="n">
        <v>0</v>
      </c>
      <c r="J739" t="n">
        <v>0</v>
      </c>
      <c r="K739" t="n">
        <v>0</v>
      </c>
      <c r="L739" t="n">
        <v>0</v>
      </c>
      <c r="M739" t="n">
        <v>0</v>
      </c>
      <c r="N739" t="n">
        <v>0</v>
      </c>
      <c r="O739" t="n">
        <v>0</v>
      </c>
      <c r="P739" t="n">
        <v>0</v>
      </c>
      <c r="Q739" t="n">
        <v>0</v>
      </c>
      <c r="R739" s="2" t="inlineStr"/>
    </row>
    <row r="740" ht="15" customHeight="1">
      <c r="A740" t="inlineStr">
        <is>
          <t>A 33824-2025</t>
        </is>
      </c>
      <c r="B740" s="1" t="n">
        <v>45842.46885416667</v>
      </c>
      <c r="C740" s="1" t="n">
        <v>45879</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19057-2024</t>
        </is>
      </c>
      <c r="B741" s="1" t="n">
        <v>45427.88731481481</v>
      </c>
      <c r="C741" s="1" t="n">
        <v>45879</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47419-2023</t>
        </is>
      </c>
      <c r="B742" s="1" t="n">
        <v>45202.65660879629</v>
      </c>
      <c r="C742" s="1" t="n">
        <v>45879</v>
      </c>
      <c r="D742" t="inlineStr">
        <is>
          <t>STOCKHOLMS LÄN</t>
        </is>
      </c>
      <c r="E742" t="inlineStr">
        <is>
          <t>NORRTÄLJE</t>
        </is>
      </c>
      <c r="G742" t="n">
        <v>11.4</v>
      </c>
      <c r="H742" t="n">
        <v>0</v>
      </c>
      <c r="I742" t="n">
        <v>0</v>
      </c>
      <c r="J742" t="n">
        <v>0</v>
      </c>
      <c r="K742" t="n">
        <v>0</v>
      </c>
      <c r="L742" t="n">
        <v>0</v>
      </c>
      <c r="M742" t="n">
        <v>0</v>
      </c>
      <c r="N742" t="n">
        <v>0</v>
      </c>
      <c r="O742" t="n">
        <v>0</v>
      </c>
      <c r="P742" t="n">
        <v>0</v>
      </c>
      <c r="Q742" t="n">
        <v>0</v>
      </c>
      <c r="R742" s="2" t="inlineStr"/>
    </row>
    <row r="743" ht="15" customHeight="1">
      <c r="A743" t="inlineStr">
        <is>
          <t>A 652-2025</t>
        </is>
      </c>
      <c r="B743" s="1" t="n">
        <v>45664</v>
      </c>
      <c r="C743" s="1" t="n">
        <v>45879</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25733-2025</t>
        </is>
      </c>
      <c r="B744" s="1" t="n">
        <v>45800</v>
      </c>
      <c r="C744" s="1" t="n">
        <v>45879</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23266-2023</t>
        </is>
      </c>
      <c r="B745" s="1" t="n">
        <v>45075.90817129629</v>
      </c>
      <c r="C745" s="1" t="n">
        <v>45879</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33546-2025</t>
        </is>
      </c>
      <c r="B746" s="1" t="n">
        <v>45841.56996527778</v>
      </c>
      <c r="C746" s="1" t="n">
        <v>45879</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25725-2025</t>
        </is>
      </c>
      <c r="B747" s="1" t="n">
        <v>45800</v>
      </c>
      <c r="C747" s="1" t="n">
        <v>45879</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33702-2025</t>
        </is>
      </c>
      <c r="B748" s="1" t="n">
        <v>45841.74596064815</v>
      </c>
      <c r="C748" s="1" t="n">
        <v>45879</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35161-2022</t>
        </is>
      </c>
      <c r="B749" s="1" t="n">
        <v>44797</v>
      </c>
      <c r="C749" s="1" t="n">
        <v>45879</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25571-2025</t>
        </is>
      </c>
      <c r="B750" s="1" t="n">
        <v>45803.4675</v>
      </c>
      <c r="C750" s="1" t="n">
        <v>45879</v>
      </c>
      <c r="D750" t="inlineStr">
        <is>
          <t>STOCKHOLMS LÄN</t>
        </is>
      </c>
      <c r="E750" t="inlineStr">
        <is>
          <t>NORRTÄLJE</t>
        </is>
      </c>
      <c r="G750" t="n">
        <v>5.4</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44624.59434027778</v>
      </c>
      <c r="C751" s="1" t="n">
        <v>45879</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53561-2023</t>
        </is>
      </c>
      <c r="B752" s="1" t="n">
        <v>45224</v>
      </c>
      <c r="C752" s="1" t="n">
        <v>45879</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25270-2025</t>
        </is>
      </c>
      <c r="B753" s="1" t="n">
        <v>45800</v>
      </c>
      <c r="C753" s="1" t="n">
        <v>45879</v>
      </c>
      <c r="D753" t="inlineStr">
        <is>
          <t>STOCKHOLMS LÄN</t>
        </is>
      </c>
      <c r="E753" t="inlineStr">
        <is>
          <t>NORRTÄLJE</t>
        </is>
      </c>
      <c r="F753" t="inlineStr">
        <is>
          <t>Övriga Aktiebolag</t>
        </is>
      </c>
      <c r="G753" t="n">
        <v>30</v>
      </c>
      <c r="H753" t="n">
        <v>0</v>
      </c>
      <c r="I753" t="n">
        <v>0</v>
      </c>
      <c r="J753" t="n">
        <v>0</v>
      </c>
      <c r="K753" t="n">
        <v>0</v>
      </c>
      <c r="L753" t="n">
        <v>0</v>
      </c>
      <c r="M753" t="n">
        <v>0</v>
      </c>
      <c r="N753" t="n">
        <v>0</v>
      </c>
      <c r="O753" t="n">
        <v>0</v>
      </c>
      <c r="P753" t="n">
        <v>0</v>
      </c>
      <c r="Q753" t="n">
        <v>0</v>
      </c>
      <c r="R753" s="2" t="inlineStr"/>
    </row>
    <row r="754" ht="15" customHeight="1">
      <c r="A754" t="inlineStr">
        <is>
          <t>A 35695-2023</t>
        </is>
      </c>
      <c r="B754" s="1" t="n">
        <v>45147.65407407407</v>
      </c>
      <c r="C754" s="1" t="n">
        <v>45879</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18665-2022</t>
        </is>
      </c>
      <c r="B755" s="1" t="n">
        <v>44687</v>
      </c>
      <c r="C755" s="1" t="n">
        <v>45879</v>
      </c>
      <c r="D755" t="inlineStr">
        <is>
          <t>STOCKHOLMS LÄN</t>
        </is>
      </c>
      <c r="E755" t="inlineStr">
        <is>
          <t>NORRTÄLJE</t>
        </is>
      </c>
      <c r="F755" t="inlineStr">
        <is>
          <t>Kyrkan</t>
        </is>
      </c>
      <c r="G755" t="n">
        <v>1.1</v>
      </c>
      <c r="H755" t="n">
        <v>0</v>
      </c>
      <c r="I755" t="n">
        <v>0</v>
      </c>
      <c r="J755" t="n">
        <v>0</v>
      </c>
      <c r="K755" t="n">
        <v>0</v>
      </c>
      <c r="L755" t="n">
        <v>0</v>
      </c>
      <c r="M755" t="n">
        <v>0</v>
      </c>
      <c r="N755" t="n">
        <v>0</v>
      </c>
      <c r="O755" t="n">
        <v>0</v>
      </c>
      <c r="P755" t="n">
        <v>0</v>
      </c>
      <c r="Q755" t="n">
        <v>0</v>
      </c>
      <c r="R755" s="2" t="inlineStr"/>
    </row>
    <row r="756" ht="15" customHeight="1">
      <c r="A756" t="inlineStr">
        <is>
          <t>A 25712-2025</t>
        </is>
      </c>
      <c r="B756" s="1" t="n">
        <v>45803.69228009259</v>
      </c>
      <c r="C756" s="1" t="n">
        <v>45879</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41218-2024</t>
        </is>
      </c>
      <c r="B757" s="1" t="n">
        <v>45559.54706018518</v>
      </c>
      <c r="C757" s="1" t="n">
        <v>45879</v>
      </c>
      <c r="D757" t="inlineStr">
        <is>
          <t>STOCKHOLMS LÄN</t>
        </is>
      </c>
      <c r="E757" t="inlineStr">
        <is>
          <t>NORRTÄLJE</t>
        </is>
      </c>
      <c r="G757" t="n">
        <v>6</v>
      </c>
      <c r="H757" t="n">
        <v>0</v>
      </c>
      <c r="I757" t="n">
        <v>0</v>
      </c>
      <c r="J757" t="n">
        <v>0</v>
      </c>
      <c r="K757" t="n">
        <v>0</v>
      </c>
      <c r="L757" t="n">
        <v>0</v>
      </c>
      <c r="M757" t="n">
        <v>0</v>
      </c>
      <c r="N757" t="n">
        <v>0</v>
      </c>
      <c r="O757" t="n">
        <v>0</v>
      </c>
      <c r="P757" t="n">
        <v>0</v>
      </c>
      <c r="Q757" t="n">
        <v>0</v>
      </c>
      <c r="R757" s="2" t="inlineStr"/>
    </row>
    <row r="758" ht="15" customHeight="1">
      <c r="A758" t="inlineStr">
        <is>
          <t>A 26051-2025</t>
        </is>
      </c>
      <c r="B758" s="1" t="n">
        <v>45804.74479166666</v>
      </c>
      <c r="C758" s="1" t="n">
        <v>45879</v>
      </c>
      <c r="D758" t="inlineStr">
        <is>
          <t>STOCKHOLMS LÄN</t>
        </is>
      </c>
      <c r="E758" t="inlineStr">
        <is>
          <t>NORRTÄLJE</t>
        </is>
      </c>
      <c r="G758" t="n">
        <v>3.2</v>
      </c>
      <c r="H758" t="n">
        <v>0</v>
      </c>
      <c r="I758" t="n">
        <v>0</v>
      </c>
      <c r="J758" t="n">
        <v>0</v>
      </c>
      <c r="K758" t="n">
        <v>0</v>
      </c>
      <c r="L758" t="n">
        <v>0</v>
      </c>
      <c r="M758" t="n">
        <v>0</v>
      </c>
      <c r="N758" t="n">
        <v>0</v>
      </c>
      <c r="O758" t="n">
        <v>0</v>
      </c>
      <c r="P758" t="n">
        <v>0</v>
      </c>
      <c r="Q758" t="n">
        <v>0</v>
      </c>
      <c r="R758" s="2" t="inlineStr"/>
    </row>
    <row r="759" ht="15" customHeight="1">
      <c r="A759" t="inlineStr">
        <is>
          <t>A 17574-2025</t>
        </is>
      </c>
      <c r="B759" s="1" t="n">
        <v>45757.65178240741</v>
      </c>
      <c r="C759" s="1" t="n">
        <v>45879</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20370-2025</t>
        </is>
      </c>
      <c r="B760" s="1" t="n">
        <v>45775.41451388889</v>
      </c>
      <c r="C760" s="1" t="n">
        <v>45879</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7903-2021</t>
        </is>
      </c>
      <c r="B761" s="1" t="n">
        <v>44243.33587962963</v>
      </c>
      <c r="C761" s="1" t="n">
        <v>45879</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58863-2024</t>
        </is>
      </c>
      <c r="B762" s="1" t="n">
        <v>45636.41572916666</v>
      </c>
      <c r="C762" s="1" t="n">
        <v>45879</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15447-2023</t>
        </is>
      </c>
      <c r="B763" s="1" t="n">
        <v>45020</v>
      </c>
      <c r="C763" s="1" t="n">
        <v>45879</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34391-2023</t>
        </is>
      </c>
      <c r="B764" s="1" t="n">
        <v>45139.51457175926</v>
      </c>
      <c r="C764" s="1" t="n">
        <v>45879</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39238-2024</t>
        </is>
      </c>
      <c r="B765" s="1" t="n">
        <v>45549</v>
      </c>
      <c r="C765" s="1" t="n">
        <v>45879</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19982-2022</t>
        </is>
      </c>
      <c r="B766" s="1" t="n">
        <v>44697</v>
      </c>
      <c r="C766" s="1" t="n">
        <v>45879</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38449-2022</t>
        </is>
      </c>
      <c r="B767" s="1" t="n">
        <v>44813</v>
      </c>
      <c r="C767" s="1" t="n">
        <v>45879</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53312-2024</t>
        </is>
      </c>
      <c r="B768" s="1" t="n">
        <v>45614.39627314815</v>
      </c>
      <c r="C768" s="1" t="n">
        <v>45879</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35438-2023</t>
        </is>
      </c>
      <c r="B769" s="1" t="n">
        <v>45146</v>
      </c>
      <c r="C769" s="1" t="n">
        <v>45879</v>
      </c>
      <c r="D769" t="inlineStr">
        <is>
          <t>STOCKHOLMS LÄN</t>
        </is>
      </c>
      <c r="E769" t="inlineStr">
        <is>
          <t>NORRTÄLJE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25697-2025</t>
        </is>
      </c>
      <c r="B770" s="1" t="n">
        <v>45803.66587962963</v>
      </c>
      <c r="C770" s="1" t="n">
        <v>45879</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33878-2024</t>
        </is>
      </c>
      <c r="B771" s="1" t="n">
        <v>45522.44414351852</v>
      </c>
      <c r="C771" s="1" t="n">
        <v>45879</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34006-2025</t>
        </is>
      </c>
      <c r="B772" s="1" t="n">
        <v>45844.62609953704</v>
      </c>
      <c r="C772" s="1" t="n">
        <v>45879</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47259-2024</t>
        </is>
      </c>
      <c r="B773" s="1" t="n">
        <v>45586</v>
      </c>
      <c r="C773" s="1" t="n">
        <v>45879</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34010-2025</t>
        </is>
      </c>
      <c r="B774" s="1" t="n">
        <v>45844.91234953704</v>
      </c>
      <c r="C774" s="1" t="n">
        <v>45879</v>
      </c>
      <c r="D774" t="inlineStr">
        <is>
          <t>STOCKHOLMS LÄN</t>
        </is>
      </c>
      <c r="E774" t="inlineStr">
        <is>
          <t>NORRTÄLJE</t>
        </is>
      </c>
      <c r="F774" t="inlineStr">
        <is>
          <t>Övriga Aktiebolag</t>
        </is>
      </c>
      <c r="G774" t="n">
        <v>1.1</v>
      </c>
      <c r="H774" t="n">
        <v>0</v>
      </c>
      <c r="I774" t="n">
        <v>0</v>
      </c>
      <c r="J774" t="n">
        <v>0</v>
      </c>
      <c r="K774" t="n">
        <v>0</v>
      </c>
      <c r="L774" t="n">
        <v>0</v>
      </c>
      <c r="M774" t="n">
        <v>0</v>
      </c>
      <c r="N774" t="n">
        <v>0</v>
      </c>
      <c r="O774" t="n">
        <v>0</v>
      </c>
      <c r="P774" t="n">
        <v>0</v>
      </c>
      <c r="Q774" t="n">
        <v>0</v>
      </c>
      <c r="R774" s="2" t="inlineStr"/>
    </row>
    <row r="775" ht="15" customHeight="1">
      <c r="A775" t="inlineStr">
        <is>
          <t>A 4183-2025</t>
        </is>
      </c>
      <c r="B775" s="1" t="n">
        <v>45685.44592592592</v>
      </c>
      <c r="C775" s="1" t="n">
        <v>45879</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11893-2024</t>
        </is>
      </c>
      <c r="B776" s="1" t="n">
        <v>45376.54115740741</v>
      </c>
      <c r="C776" s="1" t="n">
        <v>45879</v>
      </c>
      <c r="D776" t="inlineStr">
        <is>
          <t>STOCKHOLMS LÄN</t>
        </is>
      </c>
      <c r="E776" t="inlineStr">
        <is>
          <t>NORRTÄLJE</t>
        </is>
      </c>
      <c r="G776" t="n">
        <v>9.9</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45879</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45879</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45879</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10511-2025</t>
        </is>
      </c>
      <c r="B780" s="1" t="n">
        <v>45721.40780092592</v>
      </c>
      <c r="C780" s="1" t="n">
        <v>45879</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21158-2022</t>
        </is>
      </c>
      <c r="B781" s="1" t="n">
        <v>44704</v>
      </c>
      <c r="C781" s="1" t="n">
        <v>45879</v>
      </c>
      <c r="D781" t="inlineStr">
        <is>
          <t>STOCKHOLMS LÄN</t>
        </is>
      </c>
      <c r="E781" t="inlineStr">
        <is>
          <t>NORRTÄLJE</t>
        </is>
      </c>
      <c r="G781" t="n">
        <v>17.8</v>
      </c>
      <c r="H781" t="n">
        <v>0</v>
      </c>
      <c r="I781" t="n">
        <v>0</v>
      </c>
      <c r="J781" t="n">
        <v>0</v>
      </c>
      <c r="K781" t="n">
        <v>0</v>
      </c>
      <c r="L781" t="n">
        <v>0</v>
      </c>
      <c r="M781" t="n">
        <v>0</v>
      </c>
      <c r="N781" t="n">
        <v>0</v>
      </c>
      <c r="O781" t="n">
        <v>0</v>
      </c>
      <c r="P781" t="n">
        <v>0</v>
      </c>
      <c r="Q781" t="n">
        <v>0</v>
      </c>
      <c r="R781" s="2" t="inlineStr"/>
    </row>
    <row r="782" ht="15" customHeight="1">
      <c r="A782" t="inlineStr">
        <is>
          <t>A 8419-2025</t>
        </is>
      </c>
      <c r="B782" s="1" t="n">
        <v>45709.40231481481</v>
      </c>
      <c r="C782" s="1" t="n">
        <v>45879</v>
      </c>
      <c r="D782" t="inlineStr">
        <is>
          <t>STOCKHOLMS LÄN</t>
        </is>
      </c>
      <c r="E782" t="inlineStr">
        <is>
          <t>NORRTÄLJE</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34478-2025</t>
        </is>
      </c>
      <c r="B783" s="1" t="n">
        <v>45847.37414351852</v>
      </c>
      <c r="C783" s="1" t="n">
        <v>45879</v>
      </c>
      <c r="D783" t="inlineStr">
        <is>
          <t>STOCKHOLMS LÄN</t>
        </is>
      </c>
      <c r="E783" t="inlineStr">
        <is>
          <t>NORRTÄLJE</t>
        </is>
      </c>
      <c r="F783" t="inlineStr">
        <is>
          <t>Övriga Aktiebolag</t>
        </is>
      </c>
      <c r="G783" t="n">
        <v>10.8</v>
      </c>
      <c r="H783" t="n">
        <v>0</v>
      </c>
      <c r="I783" t="n">
        <v>0</v>
      </c>
      <c r="J783" t="n">
        <v>0</v>
      </c>
      <c r="K783" t="n">
        <v>0</v>
      </c>
      <c r="L783" t="n">
        <v>0</v>
      </c>
      <c r="M783" t="n">
        <v>0</v>
      </c>
      <c r="N783" t="n">
        <v>0</v>
      </c>
      <c r="O783" t="n">
        <v>0</v>
      </c>
      <c r="P783" t="n">
        <v>0</v>
      </c>
      <c r="Q783" t="n">
        <v>0</v>
      </c>
      <c r="R783" s="2" t="inlineStr"/>
    </row>
    <row r="784" ht="15" customHeight="1">
      <c r="A784" t="inlineStr">
        <is>
          <t>A 15915-2023</t>
        </is>
      </c>
      <c r="B784" s="1" t="n">
        <v>45022</v>
      </c>
      <c r="C784" s="1" t="n">
        <v>45879</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21480-2022</t>
        </is>
      </c>
      <c r="B785" s="1" t="n">
        <v>44704</v>
      </c>
      <c r="C785" s="1" t="n">
        <v>45879</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58993-2022</t>
        </is>
      </c>
      <c r="B786" s="1" t="n">
        <v>44903</v>
      </c>
      <c r="C786" s="1" t="n">
        <v>45879</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39905-2023</t>
        </is>
      </c>
      <c r="B787" s="1" t="n">
        <v>45168.44489583333</v>
      </c>
      <c r="C787" s="1" t="n">
        <v>45879</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22232-2024</t>
        </is>
      </c>
      <c r="B788" s="1" t="n">
        <v>45446.4287962963</v>
      </c>
      <c r="C788" s="1" t="n">
        <v>45879</v>
      </c>
      <c r="D788" t="inlineStr">
        <is>
          <t>STOCKHOLMS LÄN</t>
        </is>
      </c>
      <c r="E788" t="inlineStr">
        <is>
          <t>NORRTÄLJE</t>
        </is>
      </c>
      <c r="G788" t="n">
        <v>12.8</v>
      </c>
      <c r="H788" t="n">
        <v>0</v>
      </c>
      <c r="I788" t="n">
        <v>0</v>
      </c>
      <c r="J788" t="n">
        <v>0</v>
      </c>
      <c r="K788" t="n">
        <v>0</v>
      </c>
      <c r="L788" t="n">
        <v>0</v>
      </c>
      <c r="M788" t="n">
        <v>0</v>
      </c>
      <c r="N788" t="n">
        <v>0</v>
      </c>
      <c r="O788" t="n">
        <v>0</v>
      </c>
      <c r="P788" t="n">
        <v>0</v>
      </c>
      <c r="Q788" t="n">
        <v>0</v>
      </c>
      <c r="R788" s="2" t="inlineStr"/>
    </row>
    <row r="789" ht="15" customHeight="1">
      <c r="A789" t="inlineStr">
        <is>
          <t>A 1654-2025</t>
        </is>
      </c>
      <c r="B789" s="1" t="n">
        <v>45670.65921296296</v>
      </c>
      <c r="C789" s="1" t="n">
        <v>45879</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33793-2022</t>
        </is>
      </c>
      <c r="B790" s="1" t="n">
        <v>44790</v>
      </c>
      <c r="C790" s="1" t="n">
        <v>45879</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48686-2023</t>
        </is>
      </c>
      <c r="B791" s="1" t="n">
        <v>45208</v>
      </c>
      <c r="C791" s="1" t="n">
        <v>45879</v>
      </c>
      <c r="D791" t="inlineStr">
        <is>
          <t>STOCKHOLMS LÄN</t>
        </is>
      </c>
      <c r="E791" t="inlineStr">
        <is>
          <t>NORRTÄLJE</t>
        </is>
      </c>
      <c r="G791" t="n">
        <v>6</v>
      </c>
      <c r="H791" t="n">
        <v>0</v>
      </c>
      <c r="I791" t="n">
        <v>0</v>
      </c>
      <c r="J791" t="n">
        <v>0</v>
      </c>
      <c r="K791" t="n">
        <v>0</v>
      </c>
      <c r="L791" t="n">
        <v>0</v>
      </c>
      <c r="M791" t="n">
        <v>0</v>
      </c>
      <c r="N791" t="n">
        <v>0</v>
      </c>
      <c r="O791" t="n">
        <v>0</v>
      </c>
      <c r="P791" t="n">
        <v>0</v>
      </c>
      <c r="Q791" t="n">
        <v>0</v>
      </c>
      <c r="R791" s="2" t="inlineStr"/>
    </row>
    <row r="792" ht="15" customHeight="1">
      <c r="A792" t="inlineStr">
        <is>
          <t>A 48691-2023</t>
        </is>
      </c>
      <c r="B792" s="1" t="n">
        <v>45208</v>
      </c>
      <c r="C792" s="1" t="n">
        <v>45879</v>
      </c>
      <c r="D792" t="inlineStr">
        <is>
          <t>STOCKHOLMS LÄN</t>
        </is>
      </c>
      <c r="E792" t="inlineStr">
        <is>
          <t>NORRTÄLJE</t>
        </is>
      </c>
      <c r="G792" t="n">
        <v>5.8</v>
      </c>
      <c r="H792" t="n">
        <v>0</v>
      </c>
      <c r="I792" t="n">
        <v>0</v>
      </c>
      <c r="J792" t="n">
        <v>0</v>
      </c>
      <c r="K792" t="n">
        <v>0</v>
      </c>
      <c r="L792" t="n">
        <v>0</v>
      </c>
      <c r="M792" t="n">
        <v>0</v>
      </c>
      <c r="N792" t="n">
        <v>0</v>
      </c>
      <c r="O792" t="n">
        <v>0</v>
      </c>
      <c r="P792" t="n">
        <v>0</v>
      </c>
      <c r="Q792" t="n">
        <v>0</v>
      </c>
      <c r="R792" s="2" t="inlineStr"/>
    </row>
    <row r="793" ht="15" customHeight="1">
      <c r="A793" t="inlineStr">
        <is>
          <t>A 17304-2024</t>
        </is>
      </c>
      <c r="B793" s="1" t="n">
        <v>45414</v>
      </c>
      <c r="C793" s="1" t="n">
        <v>45879</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55243-2023</t>
        </is>
      </c>
      <c r="B794" s="1" t="n">
        <v>45237</v>
      </c>
      <c r="C794" s="1" t="n">
        <v>45879</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35210-2023</t>
        </is>
      </c>
      <c r="B795" s="1" t="n">
        <v>45145.63584490741</v>
      </c>
      <c r="C795" s="1" t="n">
        <v>45879</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16852-2024</t>
        </is>
      </c>
      <c r="B796" s="1" t="n">
        <v>45411.54768518519</v>
      </c>
      <c r="C796" s="1" t="n">
        <v>45879</v>
      </c>
      <c r="D796" t="inlineStr">
        <is>
          <t>STOCKHOLMS LÄN</t>
        </is>
      </c>
      <c r="E796" t="inlineStr">
        <is>
          <t>NORRTÄLJE</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4326-2023</t>
        </is>
      </c>
      <c r="B797" s="1" t="n">
        <v>44953.70481481482</v>
      </c>
      <c r="C797" s="1" t="n">
        <v>45879</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34528-2025</t>
        </is>
      </c>
      <c r="B798" s="1" t="n">
        <v>45847.48436342592</v>
      </c>
      <c r="C798" s="1" t="n">
        <v>45879</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33385-2024</t>
        </is>
      </c>
      <c r="B799" s="1" t="n">
        <v>45519</v>
      </c>
      <c r="C799" s="1" t="n">
        <v>45879</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29714-2023</t>
        </is>
      </c>
      <c r="B800" s="1" t="n">
        <v>45107.42538194444</v>
      </c>
      <c r="C800" s="1" t="n">
        <v>45879</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30508-2023</t>
        </is>
      </c>
      <c r="B801" s="1" t="n">
        <v>45111</v>
      </c>
      <c r="C801" s="1" t="n">
        <v>45879</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6678-2025</t>
        </is>
      </c>
      <c r="B802" s="1" t="n">
        <v>45700</v>
      </c>
      <c r="C802" s="1" t="n">
        <v>45879</v>
      </c>
      <c r="D802" t="inlineStr">
        <is>
          <t>STOCKHOLMS LÄN</t>
        </is>
      </c>
      <c r="E802" t="inlineStr">
        <is>
          <t>NORRTÄLJE</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45879</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12031-2021</t>
        </is>
      </c>
      <c r="B804" s="1" t="n">
        <v>44266</v>
      </c>
      <c r="C804" s="1" t="n">
        <v>45879</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26675-2025</t>
        </is>
      </c>
      <c r="B805" s="1" t="n">
        <v>45810.42393518519</v>
      </c>
      <c r="C805" s="1" t="n">
        <v>45879</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58297-2023</t>
        </is>
      </c>
      <c r="B806" s="1" t="n">
        <v>45245</v>
      </c>
      <c r="C806" s="1" t="n">
        <v>45879</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21726-2022</t>
        </is>
      </c>
      <c r="B807" s="1" t="n">
        <v>44708</v>
      </c>
      <c r="C807" s="1" t="n">
        <v>45879</v>
      </c>
      <c r="D807" t="inlineStr">
        <is>
          <t>STOCKHOLMS LÄN</t>
        </is>
      </c>
      <c r="E807" t="inlineStr">
        <is>
          <t>NORRTÄLJE</t>
        </is>
      </c>
      <c r="G807" t="n">
        <v>0.2</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44708.36708333333</v>
      </c>
      <c r="C808" s="1" t="n">
        <v>45879</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8296-2023</t>
        </is>
      </c>
      <c r="B809" s="1" t="n">
        <v>44974</v>
      </c>
      <c r="C809" s="1" t="n">
        <v>45879</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28182-2022</t>
        </is>
      </c>
      <c r="B810" s="1" t="n">
        <v>44746.58530092592</v>
      </c>
      <c r="C810" s="1" t="n">
        <v>45879</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23061-2025</t>
        </is>
      </c>
      <c r="B811" s="1" t="n">
        <v>45790.81410879629</v>
      </c>
      <c r="C811" s="1" t="n">
        <v>45879</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31236-2022</t>
        </is>
      </c>
      <c r="B812" s="1" t="n">
        <v>44771</v>
      </c>
      <c r="C812" s="1" t="n">
        <v>45879</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3283-2025</t>
        </is>
      </c>
      <c r="B813" s="1" t="n">
        <v>45679</v>
      </c>
      <c r="C813" s="1" t="n">
        <v>45879</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45879</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33295-2023</t>
        </is>
      </c>
      <c r="B815" s="1" t="n">
        <v>45127.69371527778</v>
      </c>
      <c r="C815" s="1" t="n">
        <v>45879</v>
      </c>
      <c r="D815" t="inlineStr">
        <is>
          <t>STOCKHOLMS LÄN</t>
        </is>
      </c>
      <c r="E815" t="inlineStr">
        <is>
          <t>NORRTÄLJE</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26747-2025</t>
        </is>
      </c>
      <c r="B816" s="1" t="n">
        <v>45810.5333912037</v>
      </c>
      <c r="C816" s="1" t="n">
        <v>45879</v>
      </c>
      <c r="D816" t="inlineStr">
        <is>
          <t>STOCKHOLMS LÄN</t>
        </is>
      </c>
      <c r="E816" t="inlineStr">
        <is>
          <t>NORRTÄLJE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58404-2023</t>
        </is>
      </c>
      <c r="B817" s="1" t="n">
        <v>45245</v>
      </c>
      <c r="C817" s="1" t="n">
        <v>45879</v>
      </c>
      <c r="D817" t="inlineStr">
        <is>
          <t>STOCKHOLMS LÄN</t>
        </is>
      </c>
      <c r="E817" t="inlineStr">
        <is>
          <t>NORRTÄLJE</t>
        </is>
      </c>
      <c r="G817" t="n">
        <v>53.5</v>
      </c>
      <c r="H817" t="n">
        <v>0</v>
      </c>
      <c r="I817" t="n">
        <v>0</v>
      </c>
      <c r="J817" t="n">
        <v>0</v>
      </c>
      <c r="K817" t="n">
        <v>0</v>
      </c>
      <c r="L817" t="n">
        <v>0</v>
      </c>
      <c r="M817" t="n">
        <v>0</v>
      </c>
      <c r="N817" t="n">
        <v>0</v>
      </c>
      <c r="O817" t="n">
        <v>0</v>
      </c>
      <c r="P817" t="n">
        <v>0</v>
      </c>
      <c r="Q817" t="n">
        <v>0</v>
      </c>
      <c r="R817" s="2" t="inlineStr"/>
    </row>
    <row r="818" ht="15" customHeight="1">
      <c r="A818" t="inlineStr">
        <is>
          <t>A 15733-2025</t>
        </is>
      </c>
      <c r="B818" s="1" t="n">
        <v>45748.53761574074</v>
      </c>
      <c r="C818" s="1" t="n">
        <v>45879</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52593-2024</t>
        </is>
      </c>
      <c r="B819" s="1" t="n">
        <v>45609.70778935185</v>
      </c>
      <c r="C819" s="1" t="n">
        <v>45879</v>
      </c>
      <c r="D819" t="inlineStr">
        <is>
          <t>STOCKHOLMS LÄN</t>
        </is>
      </c>
      <c r="E819" t="inlineStr">
        <is>
          <t>NORRTÄLJE</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52617-2024</t>
        </is>
      </c>
      <c r="B820" s="1" t="n">
        <v>45609.85146990741</v>
      </c>
      <c r="C820" s="1" t="n">
        <v>45879</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27824-2022</t>
        </is>
      </c>
      <c r="B821" s="1" t="n">
        <v>44743.59331018518</v>
      </c>
      <c r="C821" s="1" t="n">
        <v>45879</v>
      </c>
      <c r="D821" t="inlineStr">
        <is>
          <t>STOCKHOLMS LÄN</t>
        </is>
      </c>
      <c r="E821" t="inlineStr">
        <is>
          <t>NORRTÄLJE</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27885-2022</t>
        </is>
      </c>
      <c r="B822" s="1" t="n">
        <v>44743.67418981482</v>
      </c>
      <c r="C822" s="1" t="n">
        <v>45879</v>
      </c>
      <c r="D822" t="inlineStr">
        <is>
          <t>STOCKHOLMS LÄN</t>
        </is>
      </c>
      <c r="E822" t="inlineStr">
        <is>
          <t>NORRTÄLJE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35110-2025</t>
        </is>
      </c>
      <c r="B823" s="1" t="n">
        <v>45852.58030092593</v>
      </c>
      <c r="C823" s="1" t="n">
        <v>45879</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19058-2024</t>
        </is>
      </c>
      <c r="B824" s="1" t="n">
        <v>45427.89121527778</v>
      </c>
      <c r="C824" s="1" t="n">
        <v>45879</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47521-2024</t>
        </is>
      </c>
      <c r="B825" s="1" t="n">
        <v>45587.62565972222</v>
      </c>
      <c r="C825" s="1" t="n">
        <v>45879</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26702-2025</t>
        </is>
      </c>
      <c r="B826" s="1" t="n">
        <v>45810.45236111111</v>
      </c>
      <c r="C826" s="1" t="n">
        <v>45879</v>
      </c>
      <c r="D826" t="inlineStr">
        <is>
          <t>STOCKHOLMS LÄN</t>
        </is>
      </c>
      <c r="E826" t="inlineStr">
        <is>
          <t>NORRTÄLJE</t>
        </is>
      </c>
      <c r="G826" t="n">
        <v>7.3</v>
      </c>
      <c r="H826" t="n">
        <v>0</v>
      </c>
      <c r="I826" t="n">
        <v>0</v>
      </c>
      <c r="J826" t="n">
        <v>0</v>
      </c>
      <c r="K826" t="n">
        <v>0</v>
      </c>
      <c r="L826" t="n">
        <v>0</v>
      </c>
      <c r="M826" t="n">
        <v>0</v>
      </c>
      <c r="N826" t="n">
        <v>0</v>
      </c>
      <c r="O826" t="n">
        <v>0</v>
      </c>
      <c r="P826" t="n">
        <v>0</v>
      </c>
      <c r="Q826" t="n">
        <v>0</v>
      </c>
      <c r="R826" s="2" t="inlineStr"/>
    </row>
    <row r="827" ht="15" customHeight="1">
      <c r="A827" t="inlineStr">
        <is>
          <t>A 26703-2025</t>
        </is>
      </c>
      <c r="B827" s="1" t="n">
        <v>45810.45263888889</v>
      </c>
      <c r="C827" s="1" t="n">
        <v>45879</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45879</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48722-2023</t>
        </is>
      </c>
      <c r="B829" s="1" t="n">
        <v>45208.70996527778</v>
      </c>
      <c r="C829" s="1" t="n">
        <v>45879</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50534-2024</t>
        </is>
      </c>
      <c r="B830" s="1" t="n">
        <v>45601.56726851852</v>
      </c>
      <c r="C830" s="1" t="n">
        <v>45879</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42094-2023</t>
        </is>
      </c>
      <c r="B831" s="1" t="n">
        <v>45177.61498842593</v>
      </c>
      <c r="C831" s="1" t="n">
        <v>45879</v>
      </c>
      <c r="D831" t="inlineStr">
        <is>
          <t>STOCKHOLMS LÄN</t>
        </is>
      </c>
      <c r="E831" t="inlineStr">
        <is>
          <t>NORRTÄLJE</t>
        </is>
      </c>
      <c r="G831" t="n">
        <v>0.3</v>
      </c>
      <c r="H831" t="n">
        <v>0</v>
      </c>
      <c r="I831" t="n">
        <v>0</v>
      </c>
      <c r="J831" t="n">
        <v>0</v>
      </c>
      <c r="K831" t="n">
        <v>0</v>
      </c>
      <c r="L831" t="n">
        <v>0</v>
      </c>
      <c r="M831" t="n">
        <v>0</v>
      </c>
      <c r="N831" t="n">
        <v>0</v>
      </c>
      <c r="O831" t="n">
        <v>0</v>
      </c>
      <c r="P831" t="n">
        <v>0</v>
      </c>
      <c r="Q831" t="n">
        <v>0</v>
      </c>
      <c r="R831" s="2" t="inlineStr"/>
    </row>
    <row r="832" ht="15" customHeight="1">
      <c r="A832" t="inlineStr">
        <is>
          <t>A 58530-2024</t>
        </is>
      </c>
      <c r="B832" s="1" t="n">
        <v>45635.44788194444</v>
      </c>
      <c r="C832" s="1" t="n">
        <v>45879</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30620-2022</t>
        </is>
      </c>
      <c r="B833" s="1" t="n">
        <v>44763.40914351852</v>
      </c>
      <c r="C833" s="1" t="n">
        <v>45879</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26708-2025</t>
        </is>
      </c>
      <c r="B834" s="1" t="n">
        <v>45810.45633101852</v>
      </c>
      <c r="C834" s="1" t="n">
        <v>45879</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27040-2025</t>
        </is>
      </c>
      <c r="B835" s="1" t="n">
        <v>45811.60451388889</v>
      </c>
      <c r="C835" s="1" t="n">
        <v>45879</v>
      </c>
      <c r="D835" t="inlineStr">
        <is>
          <t>STOCKHOLMS LÄN</t>
        </is>
      </c>
      <c r="E835" t="inlineStr">
        <is>
          <t>NORRTÄLJE</t>
        </is>
      </c>
      <c r="G835" t="n">
        <v>4.3</v>
      </c>
      <c r="H835" t="n">
        <v>0</v>
      </c>
      <c r="I835" t="n">
        <v>0</v>
      </c>
      <c r="J835" t="n">
        <v>0</v>
      </c>
      <c r="K835" t="n">
        <v>0</v>
      </c>
      <c r="L835" t="n">
        <v>0</v>
      </c>
      <c r="M835" t="n">
        <v>0</v>
      </c>
      <c r="N835" t="n">
        <v>0</v>
      </c>
      <c r="O835" t="n">
        <v>0</v>
      </c>
      <c r="P835" t="n">
        <v>0</v>
      </c>
      <c r="Q835" t="n">
        <v>0</v>
      </c>
      <c r="R835" s="2" t="inlineStr"/>
    </row>
    <row r="836" ht="15" customHeight="1">
      <c r="A836" t="inlineStr">
        <is>
          <t>A 57602-2024</t>
        </is>
      </c>
      <c r="B836" s="1" t="n">
        <v>45630.52866898148</v>
      </c>
      <c r="C836" s="1" t="n">
        <v>45879</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67393-2020</t>
        </is>
      </c>
      <c r="B837" s="1" t="n">
        <v>44181</v>
      </c>
      <c r="C837" s="1" t="n">
        <v>45879</v>
      </c>
      <c r="D837" t="inlineStr">
        <is>
          <t>STOCKHOLMS LÄN</t>
        </is>
      </c>
      <c r="E837" t="inlineStr">
        <is>
          <t>NORRTÄLJE</t>
        </is>
      </c>
      <c r="G837" t="n">
        <v>5.5</v>
      </c>
      <c r="H837" t="n">
        <v>0</v>
      </c>
      <c r="I837" t="n">
        <v>0</v>
      </c>
      <c r="J837" t="n">
        <v>0</v>
      </c>
      <c r="K837" t="n">
        <v>0</v>
      </c>
      <c r="L837" t="n">
        <v>0</v>
      </c>
      <c r="M837" t="n">
        <v>0</v>
      </c>
      <c r="N837" t="n">
        <v>0</v>
      </c>
      <c r="O837" t="n">
        <v>0</v>
      </c>
      <c r="P837" t="n">
        <v>0</v>
      </c>
      <c r="Q837" t="n">
        <v>0</v>
      </c>
      <c r="R837" s="2" t="inlineStr"/>
    </row>
    <row r="838" ht="15" customHeight="1">
      <c r="A838" t="inlineStr">
        <is>
          <t>A 11854-2025</t>
        </is>
      </c>
      <c r="B838" s="1" t="n">
        <v>45728.38924768518</v>
      </c>
      <c r="C838" s="1" t="n">
        <v>45879</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1283-2025</t>
        </is>
      </c>
      <c r="B839" s="1" t="n">
        <v>45667.49878472222</v>
      </c>
      <c r="C839" s="1" t="n">
        <v>45879</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45879</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48392-2020</t>
        </is>
      </c>
      <c r="B841" s="1" t="n">
        <v>44097</v>
      </c>
      <c r="C841" s="1" t="n">
        <v>45879</v>
      </c>
      <c r="D841" t="inlineStr">
        <is>
          <t>STOCKHOLMS LÄN</t>
        </is>
      </c>
      <c r="E841" t="inlineStr">
        <is>
          <t>NORRTÄLJE</t>
        </is>
      </c>
      <c r="G841" t="n">
        <v>12.5</v>
      </c>
      <c r="H841" t="n">
        <v>0</v>
      </c>
      <c r="I841" t="n">
        <v>0</v>
      </c>
      <c r="J841" t="n">
        <v>0</v>
      </c>
      <c r="K841" t="n">
        <v>0</v>
      </c>
      <c r="L841" t="n">
        <v>0</v>
      </c>
      <c r="M841" t="n">
        <v>0</v>
      </c>
      <c r="N841" t="n">
        <v>0</v>
      </c>
      <c r="O841" t="n">
        <v>0</v>
      </c>
      <c r="P841" t="n">
        <v>0</v>
      </c>
      <c r="Q841" t="n">
        <v>0</v>
      </c>
      <c r="R841" s="2" t="inlineStr"/>
    </row>
    <row r="842" ht="15" customHeight="1">
      <c r="A842" t="inlineStr">
        <is>
          <t>A 35256-2025</t>
        </is>
      </c>
      <c r="B842" s="1" t="n">
        <v>45853</v>
      </c>
      <c r="C842" s="1" t="n">
        <v>45879</v>
      </c>
      <c r="D842" t="inlineStr">
        <is>
          <t>STOCKHOLMS LÄN</t>
        </is>
      </c>
      <c r="E842" t="inlineStr">
        <is>
          <t>NORRTÄLJE</t>
        </is>
      </c>
      <c r="G842" t="n">
        <v>6.4</v>
      </c>
      <c r="H842" t="n">
        <v>0</v>
      </c>
      <c r="I842" t="n">
        <v>0</v>
      </c>
      <c r="J842" t="n">
        <v>0</v>
      </c>
      <c r="K842" t="n">
        <v>0</v>
      </c>
      <c r="L842" t="n">
        <v>0</v>
      </c>
      <c r="M842" t="n">
        <v>0</v>
      </c>
      <c r="N842" t="n">
        <v>0</v>
      </c>
      <c r="O842" t="n">
        <v>0</v>
      </c>
      <c r="P842" t="n">
        <v>0</v>
      </c>
      <c r="Q842" t="n">
        <v>0</v>
      </c>
      <c r="R842" s="2" t="inlineStr"/>
    </row>
    <row r="843" ht="15" customHeight="1">
      <c r="A843" t="inlineStr">
        <is>
          <t>A 60217-2021</t>
        </is>
      </c>
      <c r="B843" s="1" t="n">
        <v>44495.5893287037</v>
      </c>
      <c r="C843" s="1" t="n">
        <v>45879</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35254-2025</t>
        </is>
      </c>
      <c r="B844" s="1" t="n">
        <v>45853</v>
      </c>
      <c r="C844" s="1" t="n">
        <v>45879</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33353-2023</t>
        </is>
      </c>
      <c r="B845" s="1" t="n">
        <v>45128</v>
      </c>
      <c r="C845" s="1" t="n">
        <v>45879</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28900-2022</t>
        </is>
      </c>
      <c r="B846" s="1" t="n">
        <v>44749.55258101852</v>
      </c>
      <c r="C846" s="1" t="n">
        <v>45879</v>
      </c>
      <c r="D846" t="inlineStr">
        <is>
          <t>STOCKHOLMS LÄN</t>
        </is>
      </c>
      <c r="E846" t="inlineStr">
        <is>
          <t>NORRTÄLJE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32514-2022</t>
        </is>
      </c>
      <c r="B847" s="1" t="n">
        <v>44782</v>
      </c>
      <c r="C847" s="1" t="n">
        <v>45879</v>
      </c>
      <c r="D847" t="inlineStr">
        <is>
          <t>STOCKHOLMS LÄN</t>
        </is>
      </c>
      <c r="E847" t="inlineStr">
        <is>
          <t>NORRTÄLJE</t>
        </is>
      </c>
      <c r="G847" t="n">
        <v>5.1</v>
      </c>
      <c r="H847" t="n">
        <v>0</v>
      </c>
      <c r="I847" t="n">
        <v>0</v>
      </c>
      <c r="J847" t="n">
        <v>0</v>
      </c>
      <c r="K847" t="n">
        <v>0</v>
      </c>
      <c r="L847" t="n">
        <v>0</v>
      </c>
      <c r="M847" t="n">
        <v>0</v>
      </c>
      <c r="N847" t="n">
        <v>0</v>
      </c>
      <c r="O847" t="n">
        <v>0</v>
      </c>
      <c r="P847" t="n">
        <v>0</v>
      </c>
      <c r="Q847" t="n">
        <v>0</v>
      </c>
      <c r="R847" s="2" t="inlineStr"/>
    </row>
    <row r="848" ht="15" customHeight="1">
      <c r="A848" t="inlineStr">
        <is>
          <t>A 35478-2025</t>
        </is>
      </c>
      <c r="B848" s="1" t="n">
        <v>45855.68413194444</v>
      </c>
      <c r="C848" s="1" t="n">
        <v>45879</v>
      </c>
      <c r="D848" t="inlineStr">
        <is>
          <t>STOCKHOLMS LÄN</t>
        </is>
      </c>
      <c r="E848" t="inlineStr">
        <is>
          <t>NORRTÄLJE</t>
        </is>
      </c>
      <c r="F848" t="inlineStr">
        <is>
          <t>Holmen skog AB</t>
        </is>
      </c>
      <c r="G848" t="n">
        <v>2.7</v>
      </c>
      <c r="H848" t="n">
        <v>0</v>
      </c>
      <c r="I848" t="n">
        <v>0</v>
      </c>
      <c r="J848" t="n">
        <v>0</v>
      </c>
      <c r="K848" t="n">
        <v>0</v>
      </c>
      <c r="L848" t="n">
        <v>0</v>
      </c>
      <c r="M848" t="n">
        <v>0</v>
      </c>
      <c r="N848" t="n">
        <v>0</v>
      </c>
      <c r="O848" t="n">
        <v>0</v>
      </c>
      <c r="P848" t="n">
        <v>0</v>
      </c>
      <c r="Q848" t="n">
        <v>0</v>
      </c>
      <c r="R848" s="2" t="inlineStr"/>
    </row>
    <row r="849" ht="15" customHeight="1">
      <c r="A849" t="inlineStr">
        <is>
          <t>A 35451-2025</t>
        </is>
      </c>
      <c r="B849" s="1" t="n">
        <v>45855.57033564815</v>
      </c>
      <c r="C849" s="1" t="n">
        <v>45879</v>
      </c>
      <c r="D849" t="inlineStr">
        <is>
          <t>STOCKHOLMS LÄN</t>
        </is>
      </c>
      <c r="E849" t="inlineStr">
        <is>
          <t>NORRTÄLJE</t>
        </is>
      </c>
      <c r="F849" t="inlineStr">
        <is>
          <t>Holmen skog AB</t>
        </is>
      </c>
      <c r="G849" t="n">
        <v>7.4</v>
      </c>
      <c r="H849" t="n">
        <v>0</v>
      </c>
      <c r="I849" t="n">
        <v>0</v>
      </c>
      <c r="J849" t="n">
        <v>0</v>
      </c>
      <c r="K849" t="n">
        <v>0</v>
      </c>
      <c r="L849" t="n">
        <v>0</v>
      </c>
      <c r="M849" t="n">
        <v>0</v>
      </c>
      <c r="N849" t="n">
        <v>0</v>
      </c>
      <c r="O849" t="n">
        <v>0</v>
      </c>
      <c r="P849" t="n">
        <v>0</v>
      </c>
      <c r="Q849" t="n">
        <v>0</v>
      </c>
      <c r="R849" s="2" t="inlineStr"/>
    </row>
    <row r="850" ht="15" customHeight="1">
      <c r="A850" t="inlineStr">
        <is>
          <t>A 27677-2025</t>
        </is>
      </c>
      <c r="B850" s="1" t="n">
        <v>45813.63650462963</v>
      </c>
      <c r="C850" s="1" t="n">
        <v>45879</v>
      </c>
      <c r="D850" t="inlineStr">
        <is>
          <t>STOCKHOLMS LÄN</t>
        </is>
      </c>
      <c r="E850" t="inlineStr">
        <is>
          <t>NORRTÄLJE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27697-2025</t>
        </is>
      </c>
      <c r="B851" s="1" t="n">
        <v>45813.66961805556</v>
      </c>
      <c r="C851" s="1" t="n">
        <v>45879</v>
      </c>
      <c r="D851" t="inlineStr">
        <is>
          <t>STOCKHOLMS LÄN</t>
        </is>
      </c>
      <c r="E851" t="inlineStr">
        <is>
          <t>NORRTÄLJE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27700-2025</t>
        </is>
      </c>
      <c r="B852" s="1" t="n">
        <v>45813.6799537037</v>
      </c>
      <c r="C852" s="1" t="n">
        <v>45879</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35479-2025</t>
        </is>
      </c>
      <c r="B853" s="1" t="n">
        <v>45855.69387731481</v>
      </c>
      <c r="C853" s="1" t="n">
        <v>45879</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35708-2022</t>
        </is>
      </c>
      <c r="B854" s="1" t="n">
        <v>44799.65013888889</v>
      </c>
      <c r="C854" s="1" t="n">
        <v>45879</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27554-2025</t>
        </is>
      </c>
      <c r="B855" s="1" t="n">
        <v>45813.4709375</v>
      </c>
      <c r="C855" s="1" t="n">
        <v>45879</v>
      </c>
      <c r="D855" t="inlineStr">
        <is>
          <t>STOCKHOLMS LÄN</t>
        </is>
      </c>
      <c r="E855" t="inlineStr">
        <is>
          <t>NORRTÄLJE</t>
        </is>
      </c>
      <c r="F855" t="inlineStr">
        <is>
          <t>Övriga Aktiebolag</t>
        </is>
      </c>
      <c r="G855" t="n">
        <v>2.5</v>
      </c>
      <c r="H855" t="n">
        <v>0</v>
      </c>
      <c r="I855" t="n">
        <v>0</v>
      </c>
      <c r="J855" t="n">
        <v>0</v>
      </c>
      <c r="K855" t="n">
        <v>0</v>
      </c>
      <c r="L855" t="n">
        <v>0</v>
      </c>
      <c r="M855" t="n">
        <v>0</v>
      </c>
      <c r="N855" t="n">
        <v>0</v>
      </c>
      <c r="O855" t="n">
        <v>0</v>
      </c>
      <c r="P855" t="n">
        <v>0</v>
      </c>
      <c r="Q855" t="n">
        <v>0</v>
      </c>
      <c r="R855" s="2" t="inlineStr"/>
    </row>
    <row r="856" ht="15" customHeight="1">
      <c r="A856" t="inlineStr">
        <is>
          <t>A 3426-2025</t>
        </is>
      </c>
      <c r="B856" s="1" t="n">
        <v>45680.42665509259</v>
      </c>
      <c r="C856" s="1" t="n">
        <v>45879</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45879</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51312-2023</t>
        </is>
      </c>
      <c r="B858" s="1" t="n">
        <v>45219.56697916667</v>
      </c>
      <c r="C858" s="1" t="n">
        <v>45879</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11849-2025</t>
        </is>
      </c>
      <c r="B859" s="1" t="n">
        <v>45728.38409722222</v>
      </c>
      <c r="C859" s="1" t="n">
        <v>45879</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38610-2022</t>
        </is>
      </c>
      <c r="B860" s="1" t="n">
        <v>44813.59915509259</v>
      </c>
      <c r="C860" s="1" t="n">
        <v>45879</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22816-2021</t>
        </is>
      </c>
      <c r="B861" s="1" t="n">
        <v>44325</v>
      </c>
      <c r="C861" s="1" t="n">
        <v>45879</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11901-2024</t>
        </is>
      </c>
      <c r="B862" s="1" t="n">
        <v>45376.55638888889</v>
      </c>
      <c r="C862" s="1" t="n">
        <v>45879</v>
      </c>
      <c r="D862" t="inlineStr">
        <is>
          <t>STOCKHOLMS LÄN</t>
        </is>
      </c>
      <c r="E862" t="inlineStr">
        <is>
          <t>NORRTÄLJE</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27802-2025</t>
        </is>
      </c>
      <c r="B863" s="1" t="n">
        <v>45817.2565625</v>
      </c>
      <c r="C863" s="1" t="n">
        <v>45879</v>
      </c>
      <c r="D863" t="inlineStr">
        <is>
          <t>STOCKHOLMS LÄN</t>
        </is>
      </c>
      <c r="E863" t="inlineStr">
        <is>
          <t>NORRTÄLJE</t>
        </is>
      </c>
      <c r="G863" t="n">
        <v>3</v>
      </c>
      <c r="H863" t="n">
        <v>0</v>
      </c>
      <c r="I863" t="n">
        <v>0</v>
      </c>
      <c r="J863" t="n">
        <v>0</v>
      </c>
      <c r="K863" t="n">
        <v>0</v>
      </c>
      <c r="L863" t="n">
        <v>0</v>
      </c>
      <c r="M863" t="n">
        <v>0</v>
      </c>
      <c r="N863" t="n">
        <v>0</v>
      </c>
      <c r="O863" t="n">
        <v>0</v>
      </c>
      <c r="P863" t="n">
        <v>0</v>
      </c>
      <c r="Q863" t="n">
        <v>0</v>
      </c>
      <c r="R863" s="2" t="inlineStr"/>
    </row>
    <row r="864" ht="15" customHeight="1">
      <c r="A864" t="inlineStr">
        <is>
          <t>A 27806-2025</t>
        </is>
      </c>
      <c r="B864" s="1" t="n">
        <v>45817.30329861111</v>
      </c>
      <c r="C864" s="1" t="n">
        <v>45879</v>
      </c>
      <c r="D864" t="inlineStr">
        <is>
          <t>STOCKHOLMS LÄN</t>
        </is>
      </c>
      <c r="E864" t="inlineStr">
        <is>
          <t>NORRTÄLJE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27808-2025</t>
        </is>
      </c>
      <c r="B865" s="1" t="n">
        <v>45817.31085648148</v>
      </c>
      <c r="C865" s="1" t="n">
        <v>45879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27810-2025</t>
        </is>
      </c>
      <c r="B866" s="1" t="n">
        <v>45817.31708333334</v>
      </c>
      <c r="C866" s="1" t="n">
        <v>45879</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27811-2025</t>
        </is>
      </c>
      <c r="B867" s="1" t="n">
        <v>45817.31986111111</v>
      </c>
      <c r="C867" s="1" t="n">
        <v>45879</v>
      </c>
      <c r="D867" t="inlineStr">
        <is>
          <t>STOCKHOLMS LÄN</t>
        </is>
      </c>
      <c r="E867" t="inlineStr">
        <is>
          <t>NORRTÄLJE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27818-2025</t>
        </is>
      </c>
      <c r="B868" s="1" t="n">
        <v>45817.33503472222</v>
      </c>
      <c r="C868" s="1" t="n">
        <v>45879</v>
      </c>
      <c r="D868" t="inlineStr">
        <is>
          <t>STOCKHOLMS LÄN</t>
        </is>
      </c>
      <c r="E868" t="inlineStr">
        <is>
          <t>NORRTÄLJE</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35636-2025</t>
        </is>
      </c>
      <c r="B869" s="1" t="n">
        <v>45859</v>
      </c>
      <c r="C869" s="1" t="n">
        <v>45879</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35639-2025</t>
        </is>
      </c>
      <c r="B870" s="1" t="n">
        <v>45859</v>
      </c>
      <c r="C870" s="1" t="n">
        <v>45879</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23125-2022</t>
        </is>
      </c>
      <c r="B871" s="1" t="n">
        <v>44719</v>
      </c>
      <c r="C871" s="1" t="n">
        <v>45879</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15528-2025</t>
        </is>
      </c>
      <c r="B872" s="1" t="n">
        <v>45747.63471064815</v>
      </c>
      <c r="C872" s="1" t="n">
        <v>45879</v>
      </c>
      <c r="D872" t="inlineStr">
        <is>
          <t>STOCKHOLMS LÄN</t>
        </is>
      </c>
      <c r="E872" t="inlineStr">
        <is>
          <t>NORRTÄLJE</t>
        </is>
      </c>
      <c r="G872" t="n">
        <v>10</v>
      </c>
      <c r="H872" t="n">
        <v>0</v>
      </c>
      <c r="I872" t="n">
        <v>0</v>
      </c>
      <c r="J872" t="n">
        <v>0</v>
      </c>
      <c r="K872" t="n">
        <v>0</v>
      </c>
      <c r="L872" t="n">
        <v>0</v>
      </c>
      <c r="M872" t="n">
        <v>0</v>
      </c>
      <c r="N872" t="n">
        <v>0</v>
      </c>
      <c r="O872" t="n">
        <v>0</v>
      </c>
      <c r="P872" t="n">
        <v>0</v>
      </c>
      <c r="Q872" t="n">
        <v>0</v>
      </c>
      <c r="R872" s="2" t="inlineStr"/>
    </row>
    <row r="873" ht="15" customHeight="1">
      <c r="A873" t="inlineStr">
        <is>
          <t>A 27803-2025</t>
        </is>
      </c>
      <c r="B873" s="1" t="n">
        <v>45817.291875</v>
      </c>
      <c r="C873" s="1" t="n">
        <v>45879</v>
      </c>
      <c r="D873" t="inlineStr">
        <is>
          <t>STOCKHOLMS LÄN</t>
        </is>
      </c>
      <c r="E873" t="inlineStr">
        <is>
          <t>NORRTÄLJE</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59468-2023</t>
        </is>
      </c>
      <c r="B874" s="1" t="n">
        <v>45254.41509259259</v>
      </c>
      <c r="C874" s="1" t="n">
        <v>45879</v>
      </c>
      <c r="D874" t="inlineStr">
        <is>
          <t>STOCKHOLMS LÄN</t>
        </is>
      </c>
      <c r="E874" t="inlineStr">
        <is>
          <t>NORRTÄLJE</t>
        </is>
      </c>
      <c r="G874" t="n">
        <v>1.7</v>
      </c>
      <c r="H874" t="n">
        <v>0</v>
      </c>
      <c r="I874" t="n">
        <v>0</v>
      </c>
      <c r="J874" t="n">
        <v>0</v>
      </c>
      <c r="K874" t="n">
        <v>0</v>
      </c>
      <c r="L874" t="n">
        <v>0</v>
      </c>
      <c r="M874" t="n">
        <v>0</v>
      </c>
      <c r="N874" t="n">
        <v>0</v>
      </c>
      <c r="O874" t="n">
        <v>0</v>
      </c>
      <c r="P874" t="n">
        <v>0</v>
      </c>
      <c r="Q874" t="n">
        <v>0</v>
      </c>
      <c r="R874" s="2" t="inlineStr"/>
    </row>
    <row r="875" ht="15" customHeight="1">
      <c r="A875" t="inlineStr">
        <is>
          <t>A 27813-2025</t>
        </is>
      </c>
      <c r="B875" s="1" t="n">
        <v>45817.32538194444</v>
      </c>
      <c r="C875" s="1" t="n">
        <v>45879</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9329-2023</t>
        </is>
      </c>
      <c r="B876" s="1" t="n">
        <v>44980</v>
      </c>
      <c r="C876" s="1" t="n">
        <v>45879</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6855-2025</t>
        </is>
      </c>
      <c r="B877" s="1" t="n">
        <v>45700</v>
      </c>
      <c r="C877" s="1" t="n">
        <v>45879</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27801-2025</t>
        </is>
      </c>
      <c r="B878" s="1" t="n">
        <v>45817.25471064815</v>
      </c>
      <c r="C878" s="1" t="n">
        <v>45879</v>
      </c>
      <c r="D878" t="inlineStr">
        <is>
          <t>STOCKHOLMS LÄN</t>
        </is>
      </c>
      <c r="E878" t="inlineStr">
        <is>
          <t>NORRTÄLJE</t>
        </is>
      </c>
      <c r="G878" t="n">
        <v>2</v>
      </c>
      <c r="H878" t="n">
        <v>0</v>
      </c>
      <c r="I878" t="n">
        <v>0</v>
      </c>
      <c r="J878" t="n">
        <v>0</v>
      </c>
      <c r="K878" t="n">
        <v>0</v>
      </c>
      <c r="L878" t="n">
        <v>0</v>
      </c>
      <c r="M878" t="n">
        <v>0</v>
      </c>
      <c r="N878" t="n">
        <v>0</v>
      </c>
      <c r="O878" t="n">
        <v>0</v>
      </c>
      <c r="P878" t="n">
        <v>0</v>
      </c>
      <c r="Q878" t="n">
        <v>0</v>
      </c>
      <c r="R878" s="2" t="inlineStr"/>
    </row>
    <row r="879" ht="15" customHeight="1">
      <c r="A879" t="inlineStr">
        <is>
          <t>A 18846-2022</t>
        </is>
      </c>
      <c r="B879" s="1" t="n">
        <v>44690</v>
      </c>
      <c r="C879" s="1" t="n">
        <v>45879</v>
      </c>
      <c r="D879" t="inlineStr">
        <is>
          <t>STOCKHOLMS LÄN</t>
        </is>
      </c>
      <c r="E879" t="inlineStr">
        <is>
          <t>NORRTÄLJE</t>
        </is>
      </c>
      <c r="G879" t="n">
        <v>7</v>
      </c>
      <c r="H879" t="n">
        <v>0</v>
      </c>
      <c r="I879" t="n">
        <v>0</v>
      </c>
      <c r="J879" t="n">
        <v>0</v>
      </c>
      <c r="K879" t="n">
        <v>0</v>
      </c>
      <c r="L879" t="n">
        <v>0</v>
      </c>
      <c r="M879" t="n">
        <v>0</v>
      </c>
      <c r="N879" t="n">
        <v>0</v>
      </c>
      <c r="O879" t="n">
        <v>0</v>
      </c>
      <c r="P879" t="n">
        <v>0</v>
      </c>
      <c r="Q879" t="n">
        <v>0</v>
      </c>
      <c r="R879" s="2" t="inlineStr"/>
    </row>
    <row r="880" ht="15" customHeight="1">
      <c r="A880" t="inlineStr">
        <is>
          <t>A 27821-2025</t>
        </is>
      </c>
      <c r="B880" s="1" t="n">
        <v>45817.34083333334</v>
      </c>
      <c r="C880" s="1" t="n">
        <v>45879</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33219-2025</t>
        </is>
      </c>
      <c r="B881" s="1" t="n">
        <v>45840</v>
      </c>
      <c r="C881" s="1" t="n">
        <v>45879</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32016-2025</t>
        </is>
      </c>
      <c r="B882" s="1" t="n">
        <v>45835</v>
      </c>
      <c r="C882" s="1" t="n">
        <v>45879</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14873-2025</t>
        </is>
      </c>
      <c r="B883" s="1" t="n">
        <v>45743.44953703704</v>
      </c>
      <c r="C883" s="1" t="n">
        <v>45879</v>
      </c>
      <c r="D883" t="inlineStr">
        <is>
          <t>STOCKHOLMS LÄN</t>
        </is>
      </c>
      <c r="E883" t="inlineStr">
        <is>
          <t>NORRTÄLJE</t>
        </is>
      </c>
      <c r="G883" t="n">
        <v>10.2</v>
      </c>
      <c r="H883" t="n">
        <v>0</v>
      </c>
      <c r="I883" t="n">
        <v>0</v>
      </c>
      <c r="J883" t="n">
        <v>0</v>
      </c>
      <c r="K883" t="n">
        <v>0</v>
      </c>
      <c r="L883" t="n">
        <v>0</v>
      </c>
      <c r="M883" t="n">
        <v>0</v>
      </c>
      <c r="N883" t="n">
        <v>0</v>
      </c>
      <c r="O883" t="n">
        <v>0</v>
      </c>
      <c r="P883" t="n">
        <v>0</v>
      </c>
      <c r="Q883" t="n">
        <v>0</v>
      </c>
      <c r="R883" s="2" t="inlineStr"/>
    </row>
    <row r="884" ht="15" customHeight="1">
      <c r="A884" t="inlineStr">
        <is>
          <t>A 8135-2025</t>
        </is>
      </c>
      <c r="B884" s="1" t="n">
        <v>45707.84997685185</v>
      </c>
      <c r="C884" s="1" t="n">
        <v>45879</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45879</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24887-2023</t>
        </is>
      </c>
      <c r="B886" s="1" t="n">
        <v>45085</v>
      </c>
      <c r="C886" s="1" t="n">
        <v>45879</v>
      </c>
      <c r="D886" t="inlineStr">
        <is>
          <t>STOCKHOLMS LÄN</t>
        </is>
      </c>
      <c r="E886" t="inlineStr">
        <is>
          <t>NORRTÄLJE</t>
        </is>
      </c>
      <c r="G886" t="n">
        <v>13.9</v>
      </c>
      <c r="H886" t="n">
        <v>0</v>
      </c>
      <c r="I886" t="n">
        <v>0</v>
      </c>
      <c r="J886" t="n">
        <v>0</v>
      </c>
      <c r="K886" t="n">
        <v>0</v>
      </c>
      <c r="L886" t="n">
        <v>0</v>
      </c>
      <c r="M886" t="n">
        <v>0</v>
      </c>
      <c r="N886" t="n">
        <v>0</v>
      </c>
      <c r="O886" t="n">
        <v>0</v>
      </c>
      <c r="P886" t="n">
        <v>0</v>
      </c>
      <c r="Q886" t="n">
        <v>0</v>
      </c>
      <c r="R886" s="2" t="inlineStr"/>
    </row>
    <row r="887" ht="15" customHeight="1">
      <c r="A887" t="inlineStr">
        <is>
          <t>A 12535-2025</t>
        </is>
      </c>
      <c r="B887" s="1" t="n">
        <v>45730.69502314815</v>
      </c>
      <c r="C887" s="1" t="n">
        <v>45879</v>
      </c>
      <c r="D887" t="inlineStr">
        <is>
          <t>STOCKHOLMS LÄN</t>
        </is>
      </c>
      <c r="E887" t="inlineStr">
        <is>
          <t>NORRTÄLJE</t>
        </is>
      </c>
      <c r="G887" t="n">
        <v>7.1</v>
      </c>
      <c r="H887" t="n">
        <v>0</v>
      </c>
      <c r="I887" t="n">
        <v>0</v>
      </c>
      <c r="J887" t="n">
        <v>0</v>
      </c>
      <c r="K887" t="n">
        <v>0</v>
      </c>
      <c r="L887" t="n">
        <v>0</v>
      </c>
      <c r="M887" t="n">
        <v>0</v>
      </c>
      <c r="N887" t="n">
        <v>0</v>
      </c>
      <c r="O887" t="n">
        <v>0</v>
      </c>
      <c r="P887" t="n">
        <v>0</v>
      </c>
      <c r="Q887" t="n">
        <v>0</v>
      </c>
      <c r="R887" s="2" t="inlineStr"/>
    </row>
    <row r="888" ht="15" customHeight="1">
      <c r="A888" t="inlineStr">
        <is>
          <t>A 56428-2023</t>
        </is>
      </c>
      <c r="B888" s="1" t="n">
        <v>45243.45289351852</v>
      </c>
      <c r="C888" s="1" t="n">
        <v>45879</v>
      </c>
      <c r="D888" t="inlineStr">
        <is>
          <t>STOCKHOLMS LÄN</t>
        </is>
      </c>
      <c r="E888" t="inlineStr">
        <is>
          <t>NORRTÄLJE</t>
        </is>
      </c>
      <c r="F888" t="inlineStr">
        <is>
          <t>Kyrkan</t>
        </is>
      </c>
      <c r="G888" t="n">
        <v>1.3</v>
      </c>
      <c r="H888" t="n">
        <v>0</v>
      </c>
      <c r="I888" t="n">
        <v>0</v>
      </c>
      <c r="J888" t="n">
        <v>0</v>
      </c>
      <c r="K888" t="n">
        <v>0</v>
      </c>
      <c r="L888" t="n">
        <v>0</v>
      </c>
      <c r="M888" t="n">
        <v>0</v>
      </c>
      <c r="N888" t="n">
        <v>0</v>
      </c>
      <c r="O888" t="n">
        <v>0</v>
      </c>
      <c r="P888" t="n">
        <v>0</v>
      </c>
      <c r="Q888" t="n">
        <v>0</v>
      </c>
      <c r="R888" s="2" t="inlineStr"/>
    </row>
    <row r="889" ht="15" customHeight="1">
      <c r="A889" t="inlineStr">
        <is>
          <t>A 574-2023</t>
        </is>
      </c>
      <c r="B889" s="1" t="n">
        <v>44925</v>
      </c>
      <c r="C889" s="1" t="n">
        <v>45879</v>
      </c>
      <c r="D889" t="inlineStr">
        <is>
          <t>STOCKHOLMS LÄN</t>
        </is>
      </c>
      <c r="E889" t="inlineStr">
        <is>
          <t>NORRTÄLJE</t>
        </is>
      </c>
      <c r="G889" t="n">
        <v>5</v>
      </c>
      <c r="H889" t="n">
        <v>0</v>
      </c>
      <c r="I889" t="n">
        <v>0</v>
      </c>
      <c r="J889" t="n">
        <v>0</v>
      </c>
      <c r="K889" t="n">
        <v>0</v>
      </c>
      <c r="L889" t="n">
        <v>0</v>
      </c>
      <c r="M889" t="n">
        <v>0</v>
      </c>
      <c r="N889" t="n">
        <v>0</v>
      </c>
      <c r="O889" t="n">
        <v>0</v>
      </c>
      <c r="P889" t="n">
        <v>0</v>
      </c>
      <c r="Q889" t="n">
        <v>0</v>
      </c>
      <c r="R889" s="2" t="inlineStr"/>
    </row>
    <row r="890" ht="15" customHeight="1">
      <c r="A890" t="inlineStr">
        <is>
          <t>A 44075-2023</t>
        </is>
      </c>
      <c r="B890" s="1" t="n">
        <v>45188.41637731482</v>
      </c>
      <c r="C890" s="1" t="n">
        <v>45879</v>
      </c>
      <c r="D890" t="inlineStr">
        <is>
          <t>STOCKHOLMS LÄN</t>
        </is>
      </c>
      <c r="E890" t="inlineStr">
        <is>
          <t>NORRTÄLJE</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39879-2023</t>
        </is>
      </c>
      <c r="B891" s="1" t="n">
        <v>45168.40565972222</v>
      </c>
      <c r="C891" s="1" t="n">
        <v>45879</v>
      </c>
      <c r="D891" t="inlineStr">
        <is>
          <t>STOCKHOLMS LÄN</t>
        </is>
      </c>
      <c r="E891" t="inlineStr">
        <is>
          <t>NORRTÄLJE</t>
        </is>
      </c>
      <c r="F891" t="inlineStr">
        <is>
          <t>Holmen skog AB</t>
        </is>
      </c>
      <c r="G891" t="n">
        <v>10.9</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45879</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18541-2023</t>
        </is>
      </c>
      <c r="B893" s="1" t="n">
        <v>45042.74291666667</v>
      </c>
      <c r="C893" s="1" t="n">
        <v>45879</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32857-2021</t>
        </is>
      </c>
      <c r="B894" s="1" t="n">
        <v>44375</v>
      </c>
      <c r="C894" s="1" t="n">
        <v>45879</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51325-2023</t>
        </is>
      </c>
      <c r="B895" s="1" t="n">
        <v>45219</v>
      </c>
      <c r="C895" s="1" t="n">
        <v>45879</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21729-2024</t>
        </is>
      </c>
      <c r="B896" s="1" t="n">
        <v>45442</v>
      </c>
      <c r="C896" s="1" t="n">
        <v>45879</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29250-2025</t>
        </is>
      </c>
      <c r="B897" s="1" t="n">
        <v>45824.37275462963</v>
      </c>
      <c r="C897" s="1" t="n">
        <v>45879</v>
      </c>
      <c r="D897" t="inlineStr">
        <is>
          <t>STOCKHOLMS LÄN</t>
        </is>
      </c>
      <c r="E897" t="inlineStr">
        <is>
          <t>NORRTÄLJE</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50738-2020</t>
        </is>
      </c>
      <c r="B898" s="1" t="n">
        <v>44111.44373842593</v>
      </c>
      <c r="C898" s="1" t="n">
        <v>45879</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21894-2023</t>
        </is>
      </c>
      <c r="B899" s="1" t="n">
        <v>45068.51783564815</v>
      </c>
      <c r="C899" s="1" t="n">
        <v>45879</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37010-2022</t>
        </is>
      </c>
      <c r="B900" s="1" t="n">
        <v>44806.41576388889</v>
      </c>
      <c r="C900" s="1" t="n">
        <v>45879</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32705-2022</t>
        </is>
      </c>
      <c r="B901" s="1" t="n">
        <v>44783</v>
      </c>
      <c r="C901" s="1" t="n">
        <v>45879</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33149-2022</t>
        </is>
      </c>
      <c r="B902" s="1" t="n">
        <v>44785</v>
      </c>
      <c r="C902" s="1" t="n">
        <v>45879</v>
      </c>
      <c r="D902" t="inlineStr">
        <is>
          <t>STOCKHOLMS LÄN</t>
        </is>
      </c>
      <c r="E902" t="inlineStr">
        <is>
          <t>NORRTÄLJE</t>
        </is>
      </c>
      <c r="F902" t="inlineStr">
        <is>
          <t>Holmen skog AB</t>
        </is>
      </c>
      <c r="G902" t="n">
        <v>4.4</v>
      </c>
      <c r="H902" t="n">
        <v>0</v>
      </c>
      <c r="I902" t="n">
        <v>0</v>
      </c>
      <c r="J902" t="n">
        <v>0</v>
      </c>
      <c r="K902" t="n">
        <v>0</v>
      </c>
      <c r="L902" t="n">
        <v>0</v>
      </c>
      <c r="M902" t="n">
        <v>0</v>
      </c>
      <c r="N902" t="n">
        <v>0</v>
      </c>
      <c r="O902" t="n">
        <v>0</v>
      </c>
      <c r="P902" t="n">
        <v>0</v>
      </c>
      <c r="Q902" t="n">
        <v>0</v>
      </c>
      <c r="R902" s="2" t="inlineStr"/>
    </row>
    <row r="903" ht="15" customHeight="1">
      <c r="A903" t="inlineStr">
        <is>
          <t>A 14559-2024</t>
        </is>
      </c>
      <c r="B903" s="1" t="n">
        <v>45394.72869212963</v>
      </c>
      <c r="C903" s="1" t="n">
        <v>45879</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21732-2023</t>
        </is>
      </c>
      <c r="B904" s="1" t="n">
        <v>45063</v>
      </c>
      <c r="C904" s="1" t="n">
        <v>45879</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36396-2025</t>
        </is>
      </c>
      <c r="B905" s="1" t="n">
        <v>45868.62267361111</v>
      </c>
      <c r="C905" s="1" t="n">
        <v>45879</v>
      </c>
      <c r="D905" t="inlineStr">
        <is>
          <t>STOCKHOLMS LÄN</t>
        </is>
      </c>
      <c r="E905" t="inlineStr">
        <is>
          <t>NORRTÄLJE</t>
        </is>
      </c>
      <c r="G905" t="n">
        <v>4.1</v>
      </c>
      <c r="H905" t="n">
        <v>0</v>
      </c>
      <c r="I905" t="n">
        <v>0</v>
      </c>
      <c r="J905" t="n">
        <v>0</v>
      </c>
      <c r="K905" t="n">
        <v>0</v>
      </c>
      <c r="L905" t="n">
        <v>0</v>
      </c>
      <c r="M905" t="n">
        <v>0</v>
      </c>
      <c r="N905" t="n">
        <v>0</v>
      </c>
      <c r="O905" t="n">
        <v>0</v>
      </c>
      <c r="P905" t="n">
        <v>0</v>
      </c>
      <c r="Q905" t="n">
        <v>0</v>
      </c>
      <c r="R905" s="2" t="inlineStr"/>
    </row>
    <row r="906" ht="15" customHeight="1">
      <c r="A906" t="inlineStr">
        <is>
          <t>A 7806-2025</t>
        </is>
      </c>
      <c r="B906" s="1" t="n">
        <v>45706.61178240741</v>
      </c>
      <c r="C906" s="1" t="n">
        <v>45879</v>
      </c>
      <c r="D906" t="inlineStr">
        <is>
          <t>STOCKHOLMS LÄN</t>
        </is>
      </c>
      <c r="E906" t="inlineStr">
        <is>
          <t>NORRTÄLJE</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37444-2021</t>
        </is>
      </c>
      <c r="B907" s="1" t="n">
        <v>44398</v>
      </c>
      <c r="C907" s="1" t="n">
        <v>45879</v>
      </c>
      <c r="D907" t="inlineStr">
        <is>
          <t>STOCKHOLMS LÄN</t>
        </is>
      </c>
      <c r="E907" t="inlineStr">
        <is>
          <t>NORRTÄLJE</t>
        </is>
      </c>
      <c r="F907" t="inlineStr">
        <is>
          <t>Holmen skog AB</t>
        </is>
      </c>
      <c r="G907" t="n">
        <v>3.2</v>
      </c>
      <c r="H907" t="n">
        <v>0</v>
      </c>
      <c r="I907" t="n">
        <v>0</v>
      </c>
      <c r="J907" t="n">
        <v>0</v>
      </c>
      <c r="K907" t="n">
        <v>0</v>
      </c>
      <c r="L907" t="n">
        <v>0</v>
      </c>
      <c r="M907" t="n">
        <v>0</v>
      </c>
      <c r="N907" t="n">
        <v>0</v>
      </c>
      <c r="O907" t="n">
        <v>0</v>
      </c>
      <c r="P907" t="n">
        <v>0</v>
      </c>
      <c r="Q907" t="n">
        <v>0</v>
      </c>
      <c r="R907" s="2" t="inlineStr"/>
    </row>
    <row r="908" ht="15" customHeight="1">
      <c r="A908" t="inlineStr">
        <is>
          <t>A 34139-2025</t>
        </is>
      </c>
      <c r="B908" s="1" t="n">
        <v>45845</v>
      </c>
      <c r="C908" s="1" t="n">
        <v>45879</v>
      </c>
      <c r="D908" t="inlineStr">
        <is>
          <t>STOCKHOLMS LÄN</t>
        </is>
      </c>
      <c r="E908" t="inlineStr">
        <is>
          <t>NORRTÄLJE</t>
        </is>
      </c>
      <c r="G908" t="n">
        <v>5.5</v>
      </c>
      <c r="H908" t="n">
        <v>0</v>
      </c>
      <c r="I908" t="n">
        <v>0</v>
      </c>
      <c r="J908" t="n">
        <v>0</v>
      </c>
      <c r="K908" t="n">
        <v>0</v>
      </c>
      <c r="L908" t="n">
        <v>0</v>
      </c>
      <c r="M908" t="n">
        <v>0</v>
      </c>
      <c r="N908" t="n">
        <v>0</v>
      </c>
      <c r="O908" t="n">
        <v>0</v>
      </c>
      <c r="P908" t="n">
        <v>0</v>
      </c>
      <c r="Q908" t="n">
        <v>0</v>
      </c>
      <c r="R908" s="2" t="inlineStr"/>
    </row>
    <row r="909" ht="15" customHeight="1">
      <c r="A909" t="inlineStr">
        <is>
          <t>A 45173-2023</t>
        </is>
      </c>
      <c r="B909" s="1" t="n">
        <v>45191</v>
      </c>
      <c r="C909" s="1" t="n">
        <v>45879</v>
      </c>
      <c r="D909" t="inlineStr">
        <is>
          <t>STOCKHOLMS LÄN</t>
        </is>
      </c>
      <c r="E909" t="inlineStr">
        <is>
          <t>NORRTÄLJE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64137-2021</t>
        </is>
      </c>
      <c r="B910" s="1" t="n">
        <v>44510.51422453704</v>
      </c>
      <c r="C910" s="1" t="n">
        <v>45879</v>
      </c>
      <c r="D910" t="inlineStr">
        <is>
          <t>STOCKHOLMS LÄN</t>
        </is>
      </c>
      <c r="E910" t="inlineStr">
        <is>
          <t>NORRTÄLJE</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30668-2025</t>
        </is>
      </c>
      <c r="B911" s="1" t="n">
        <v>45831.51659722222</v>
      </c>
      <c r="C911" s="1" t="n">
        <v>45879</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38720-2022</t>
        </is>
      </c>
      <c r="B912" s="1" t="n">
        <v>44815.74539351852</v>
      </c>
      <c r="C912" s="1" t="n">
        <v>45879</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30799-2025</t>
        </is>
      </c>
      <c r="B913" s="1" t="n">
        <v>45831.65079861111</v>
      </c>
      <c r="C913" s="1" t="n">
        <v>45879</v>
      </c>
      <c r="D913" t="inlineStr">
        <is>
          <t>STOCKHOLMS LÄN</t>
        </is>
      </c>
      <c r="E913" t="inlineStr">
        <is>
          <t>NORRTÄLJE</t>
        </is>
      </c>
      <c r="F913" t="inlineStr">
        <is>
          <t>Holmen skog AB</t>
        </is>
      </c>
      <c r="G913" t="n">
        <v>7.9</v>
      </c>
      <c r="H913" t="n">
        <v>0</v>
      </c>
      <c r="I913" t="n">
        <v>0</v>
      </c>
      <c r="J913" t="n">
        <v>0</v>
      </c>
      <c r="K913" t="n">
        <v>0</v>
      </c>
      <c r="L913" t="n">
        <v>0</v>
      </c>
      <c r="M913" t="n">
        <v>0</v>
      </c>
      <c r="N913" t="n">
        <v>0</v>
      </c>
      <c r="O913" t="n">
        <v>0</v>
      </c>
      <c r="P913" t="n">
        <v>0</v>
      </c>
      <c r="Q913" t="n">
        <v>0</v>
      </c>
      <c r="R913" s="2" t="inlineStr"/>
    </row>
    <row r="914" ht="15" customHeight="1">
      <c r="A914" t="inlineStr">
        <is>
          <t>A 11-2024</t>
        </is>
      </c>
      <c r="B914" s="1" t="n">
        <v>45293</v>
      </c>
      <c r="C914" s="1" t="n">
        <v>45879</v>
      </c>
      <c r="D914" t="inlineStr">
        <is>
          <t>STOCKHOLMS LÄN</t>
        </is>
      </c>
      <c r="E914" t="inlineStr">
        <is>
          <t>NORRTÄLJE</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15256-2023</t>
        </is>
      </c>
      <c r="B915" s="1" t="n">
        <v>45019.3959837963</v>
      </c>
      <c r="C915" s="1" t="n">
        <v>45879</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34432-2021</t>
        </is>
      </c>
      <c r="B916" s="1" t="n">
        <v>44380.77346064815</v>
      </c>
      <c r="C916" s="1" t="n">
        <v>45879</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19911-2025</t>
        </is>
      </c>
      <c r="B917" s="1" t="n">
        <v>45771</v>
      </c>
      <c r="C917" s="1" t="n">
        <v>45879</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7413-2024</t>
        </is>
      </c>
      <c r="B918" s="1" t="n">
        <v>45345.6059837963</v>
      </c>
      <c r="C918" s="1" t="n">
        <v>45879</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58040-2024</t>
        </is>
      </c>
      <c r="B919" s="1" t="n">
        <v>45631.73952546297</v>
      </c>
      <c r="C919" s="1" t="n">
        <v>45879</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58041-2024</t>
        </is>
      </c>
      <c r="B920" s="1" t="n">
        <v>45631.74673611111</v>
      </c>
      <c r="C920" s="1" t="n">
        <v>45879</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45879</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3143-2021</t>
        </is>
      </c>
      <c r="B922" s="1" t="n">
        <v>44217.40149305556</v>
      </c>
      <c r="C922" s="1" t="n">
        <v>45879</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25619-2022</t>
        </is>
      </c>
      <c r="B923" s="1" t="n">
        <v>44732</v>
      </c>
      <c r="C923" s="1" t="n">
        <v>45879</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15422-2024</t>
        </is>
      </c>
      <c r="B924" s="1" t="n">
        <v>45401.3653125</v>
      </c>
      <c r="C924" s="1" t="n">
        <v>45879</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30639-2025</t>
        </is>
      </c>
      <c r="B925" s="1" t="n">
        <v>45831.4844212963</v>
      </c>
      <c r="C925" s="1" t="n">
        <v>45879</v>
      </c>
      <c r="D925" t="inlineStr">
        <is>
          <t>STOCKHOLMS LÄN</t>
        </is>
      </c>
      <c r="E925" t="inlineStr">
        <is>
          <t>NORRTÄLJE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31170-2025</t>
        </is>
      </c>
      <c r="B926" s="1" t="n">
        <v>45832.66385416667</v>
      </c>
      <c r="C926" s="1" t="n">
        <v>45879</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48716-2023</t>
        </is>
      </c>
      <c r="B927" s="1" t="n">
        <v>45208.69671296296</v>
      </c>
      <c r="C927" s="1" t="n">
        <v>45879</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55369-2023</t>
        </is>
      </c>
      <c r="B928" s="1" t="n">
        <v>45238</v>
      </c>
      <c r="C928" s="1" t="n">
        <v>45879</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30699-2025</t>
        </is>
      </c>
      <c r="B929" s="1" t="n">
        <v>45831.54618055555</v>
      </c>
      <c r="C929" s="1" t="n">
        <v>45879</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20121-2022</t>
        </is>
      </c>
      <c r="B930" s="1" t="n">
        <v>44698</v>
      </c>
      <c r="C930" s="1" t="n">
        <v>45879</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26407-2024</t>
        </is>
      </c>
      <c r="B931" s="1" t="n">
        <v>45469</v>
      </c>
      <c r="C931" s="1" t="n">
        <v>45879</v>
      </c>
      <c r="D931" t="inlineStr">
        <is>
          <t>STOCKHOLMS LÄN</t>
        </is>
      </c>
      <c r="E931" t="inlineStr">
        <is>
          <t>NORRTÄLJE</t>
        </is>
      </c>
      <c r="G931" t="n">
        <v>3.5</v>
      </c>
      <c r="H931" t="n">
        <v>0</v>
      </c>
      <c r="I931" t="n">
        <v>0</v>
      </c>
      <c r="J931" t="n">
        <v>0</v>
      </c>
      <c r="K931" t="n">
        <v>0</v>
      </c>
      <c r="L931" t="n">
        <v>0</v>
      </c>
      <c r="M931" t="n">
        <v>0</v>
      </c>
      <c r="N931" t="n">
        <v>0</v>
      </c>
      <c r="O931" t="n">
        <v>0</v>
      </c>
      <c r="P931" t="n">
        <v>0</v>
      </c>
      <c r="Q931" t="n">
        <v>0</v>
      </c>
      <c r="R931" s="2" t="inlineStr"/>
    </row>
    <row r="932" ht="15" customHeight="1">
      <c r="A932" t="inlineStr">
        <is>
          <t>A 58888-2020</t>
        </is>
      </c>
      <c r="B932" s="1" t="n">
        <v>44146</v>
      </c>
      <c r="C932" s="1" t="n">
        <v>45879</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10098-2022</t>
        </is>
      </c>
      <c r="B933" s="1" t="n">
        <v>44621</v>
      </c>
      <c r="C933" s="1" t="n">
        <v>45879</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35647-2024</t>
        </is>
      </c>
      <c r="B934" s="1" t="n">
        <v>45532</v>
      </c>
      <c r="C934" s="1" t="n">
        <v>45879</v>
      </c>
      <c r="D934" t="inlineStr">
        <is>
          <t>STOCKHOLMS LÄN</t>
        </is>
      </c>
      <c r="E934" t="inlineStr">
        <is>
          <t>NORRTÄLJE</t>
        </is>
      </c>
      <c r="G934" t="n">
        <v>5.3</v>
      </c>
      <c r="H934" t="n">
        <v>0</v>
      </c>
      <c r="I934" t="n">
        <v>0</v>
      </c>
      <c r="J934" t="n">
        <v>0</v>
      </c>
      <c r="K934" t="n">
        <v>0</v>
      </c>
      <c r="L934" t="n">
        <v>0</v>
      </c>
      <c r="M934" t="n">
        <v>0</v>
      </c>
      <c r="N934" t="n">
        <v>0</v>
      </c>
      <c r="O934" t="n">
        <v>0</v>
      </c>
      <c r="P934" t="n">
        <v>0</v>
      </c>
      <c r="Q934" t="n">
        <v>0</v>
      </c>
      <c r="R934" s="2" t="inlineStr"/>
    </row>
    <row r="935" ht="15" customHeight="1">
      <c r="A935" t="inlineStr">
        <is>
          <t>A 49700-2023</t>
        </is>
      </c>
      <c r="B935" s="1" t="n">
        <v>45212</v>
      </c>
      <c r="C935" s="1" t="n">
        <v>45879</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59875-2024</t>
        </is>
      </c>
      <c r="B936" s="1" t="n">
        <v>45640.58716435185</v>
      </c>
      <c r="C936" s="1" t="n">
        <v>45879</v>
      </c>
      <c r="D936" t="inlineStr">
        <is>
          <t>STOCKHOLMS LÄN</t>
        </is>
      </c>
      <c r="E936" t="inlineStr">
        <is>
          <t>NORRTÄLJE</t>
        </is>
      </c>
      <c r="G936" t="n">
        <v>0.3</v>
      </c>
      <c r="H936" t="n">
        <v>0</v>
      </c>
      <c r="I936" t="n">
        <v>0</v>
      </c>
      <c r="J936" t="n">
        <v>0</v>
      </c>
      <c r="K936" t="n">
        <v>0</v>
      </c>
      <c r="L936" t="n">
        <v>0</v>
      </c>
      <c r="M936" t="n">
        <v>0</v>
      </c>
      <c r="N936" t="n">
        <v>0</v>
      </c>
      <c r="O936" t="n">
        <v>0</v>
      </c>
      <c r="P936" t="n">
        <v>0</v>
      </c>
      <c r="Q936" t="n">
        <v>0</v>
      </c>
      <c r="R936" s="2" t="inlineStr"/>
    </row>
    <row r="937" ht="15" customHeight="1">
      <c r="A937" t="inlineStr">
        <is>
          <t>A 31874-2025</t>
        </is>
      </c>
      <c r="B937" s="1" t="n">
        <v>45834</v>
      </c>
      <c r="C937" s="1" t="n">
        <v>45879</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37261-2025</t>
        </is>
      </c>
      <c r="B938" s="1" t="n">
        <v>45876.45253472222</v>
      </c>
      <c r="C938" s="1" t="n">
        <v>45879</v>
      </c>
      <c r="D938" t="inlineStr">
        <is>
          <t>STOCKHOLMS LÄN</t>
        </is>
      </c>
      <c r="E938" t="inlineStr">
        <is>
          <t>NORRTÄLJE</t>
        </is>
      </c>
      <c r="F938" t="inlineStr">
        <is>
          <t>Kommuner</t>
        </is>
      </c>
      <c r="G938" t="n">
        <v>2.2</v>
      </c>
      <c r="H938" t="n">
        <v>0</v>
      </c>
      <c r="I938" t="n">
        <v>0</v>
      </c>
      <c r="J938" t="n">
        <v>0</v>
      </c>
      <c r="K938" t="n">
        <v>0</v>
      </c>
      <c r="L938" t="n">
        <v>0</v>
      </c>
      <c r="M938" t="n">
        <v>0</v>
      </c>
      <c r="N938" t="n">
        <v>0</v>
      </c>
      <c r="O938" t="n">
        <v>0</v>
      </c>
      <c r="P938" t="n">
        <v>0</v>
      </c>
      <c r="Q938" t="n">
        <v>0</v>
      </c>
      <c r="R938" s="2" t="inlineStr"/>
    </row>
    <row r="939" ht="15" customHeight="1">
      <c r="A939" t="inlineStr">
        <is>
          <t>A 45220-2024</t>
        </is>
      </c>
      <c r="B939" s="1" t="n">
        <v>45575</v>
      </c>
      <c r="C939" s="1" t="n">
        <v>45879</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31868-2025</t>
        </is>
      </c>
      <c r="B940" s="1" t="n">
        <v>45834.6447337963</v>
      </c>
      <c r="C940" s="1" t="n">
        <v>45879</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6413-2025</t>
        </is>
      </c>
      <c r="B941" s="1" t="n">
        <v>45699.46283564815</v>
      </c>
      <c r="C941" s="1" t="n">
        <v>45879</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31880-2025</t>
        </is>
      </c>
      <c r="B942" s="1" t="n">
        <v>45834.65538194445</v>
      </c>
      <c r="C942" s="1" t="n">
        <v>45879</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4658-2024</t>
        </is>
      </c>
      <c r="B943" s="1" t="n">
        <v>45328.46336805556</v>
      </c>
      <c r="C943" s="1" t="n">
        <v>45879</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48145-2024</t>
        </is>
      </c>
      <c r="B944" s="1" t="n">
        <v>45589.6756712963</v>
      </c>
      <c r="C944" s="1" t="n">
        <v>45879</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60166-2024</t>
        </is>
      </c>
      <c r="B945" s="1" t="n">
        <v>45642.63512731482</v>
      </c>
      <c r="C945" s="1" t="n">
        <v>45879</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45879</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45879</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60321-2020</t>
        </is>
      </c>
      <c r="B948" s="1" t="n">
        <v>44152</v>
      </c>
      <c r="C948" s="1" t="n">
        <v>45879</v>
      </c>
      <c r="D948" t="inlineStr">
        <is>
          <t>STOCKHOLMS LÄN</t>
        </is>
      </c>
      <c r="E948" t="inlineStr">
        <is>
          <t>NORRTÄLJE</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34444-2024</t>
        </is>
      </c>
      <c r="B949" s="1" t="n">
        <v>45525</v>
      </c>
      <c r="C949" s="1" t="n">
        <v>45879</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35532-2024</t>
        </is>
      </c>
      <c r="B950" s="1" t="n">
        <v>45531</v>
      </c>
      <c r="C950" s="1" t="n">
        <v>45879</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21291-2021</t>
        </is>
      </c>
      <c r="B951" s="1" t="n">
        <v>44319</v>
      </c>
      <c r="C951" s="1" t="n">
        <v>45879</v>
      </c>
      <c r="D951" t="inlineStr">
        <is>
          <t>STOCKHOLMS LÄN</t>
        </is>
      </c>
      <c r="E951" t="inlineStr">
        <is>
          <t>NORRTÄLJE</t>
        </is>
      </c>
      <c r="G951" t="n">
        <v>12.7</v>
      </c>
      <c r="H951" t="n">
        <v>0</v>
      </c>
      <c r="I951" t="n">
        <v>0</v>
      </c>
      <c r="J951" t="n">
        <v>0</v>
      </c>
      <c r="K951" t="n">
        <v>0</v>
      </c>
      <c r="L951" t="n">
        <v>0</v>
      </c>
      <c r="M951" t="n">
        <v>0</v>
      </c>
      <c r="N951" t="n">
        <v>0</v>
      </c>
      <c r="O951" t="n">
        <v>0</v>
      </c>
      <c r="P951" t="n">
        <v>0</v>
      </c>
      <c r="Q951" t="n">
        <v>0</v>
      </c>
      <c r="R951" s="2" t="inlineStr"/>
    </row>
    <row r="952" ht="15" customHeight="1">
      <c r="A952" t="inlineStr">
        <is>
          <t>A 19118-2022</t>
        </is>
      </c>
      <c r="B952" s="1" t="n">
        <v>44691.5652662037</v>
      </c>
      <c r="C952" s="1" t="n">
        <v>45879</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22421-2021</t>
        </is>
      </c>
      <c r="B953" s="1" t="n">
        <v>44326</v>
      </c>
      <c r="C953" s="1" t="n">
        <v>45879</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59893-2022</t>
        </is>
      </c>
      <c r="B954" s="1" t="n">
        <v>44908.77368055555</v>
      </c>
      <c r="C954" s="1" t="n">
        <v>45879</v>
      </c>
      <c r="D954" t="inlineStr">
        <is>
          <t>STOCKHOLMS LÄN</t>
        </is>
      </c>
      <c r="E954" t="inlineStr">
        <is>
          <t>NORRTÄLJE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9469-2021</t>
        </is>
      </c>
      <c r="B955" s="1" t="n">
        <v>44251</v>
      </c>
      <c r="C955" s="1" t="n">
        <v>45879</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33226-2024</t>
        </is>
      </c>
      <c r="B956" s="1" t="n">
        <v>45518</v>
      </c>
      <c r="C956" s="1" t="n">
        <v>45879</v>
      </c>
      <c r="D956" t="inlineStr">
        <is>
          <t>STOCKHOLMS LÄN</t>
        </is>
      </c>
      <c r="E956" t="inlineStr">
        <is>
          <t>NORRTÄLJE</t>
        </is>
      </c>
      <c r="G956" t="n">
        <v>13.8</v>
      </c>
      <c r="H956" t="n">
        <v>0</v>
      </c>
      <c r="I956" t="n">
        <v>0</v>
      </c>
      <c r="J956" t="n">
        <v>0</v>
      </c>
      <c r="K956" t="n">
        <v>0</v>
      </c>
      <c r="L956" t="n">
        <v>0</v>
      </c>
      <c r="M956" t="n">
        <v>0</v>
      </c>
      <c r="N956" t="n">
        <v>0</v>
      </c>
      <c r="O956" t="n">
        <v>0</v>
      </c>
      <c r="P956" t="n">
        <v>0</v>
      </c>
      <c r="Q956" t="n">
        <v>0</v>
      </c>
      <c r="R956" s="2" t="inlineStr"/>
    </row>
    <row r="957" ht="15" customHeight="1">
      <c r="A957" t="inlineStr">
        <is>
          <t>A 16980-2023</t>
        </is>
      </c>
      <c r="B957" s="1" t="n">
        <v>45033</v>
      </c>
      <c r="C957" s="1" t="n">
        <v>45879</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31107-2022</t>
        </is>
      </c>
      <c r="B958" s="1" t="n">
        <v>44769.66864583334</v>
      </c>
      <c r="C958" s="1" t="n">
        <v>45879</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18539-2021</t>
        </is>
      </c>
      <c r="B959" s="1" t="n">
        <v>44306</v>
      </c>
      <c r="C959" s="1" t="n">
        <v>45879</v>
      </c>
      <c r="D959" t="inlineStr">
        <is>
          <t>STOCKHOLMS LÄN</t>
        </is>
      </c>
      <c r="E959" t="inlineStr">
        <is>
          <t>NORRTÄLJE</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43170-2023</t>
        </is>
      </c>
      <c r="B960" s="1" t="n">
        <v>45183</v>
      </c>
      <c r="C960" s="1" t="n">
        <v>45879</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47626-2022</t>
        </is>
      </c>
      <c r="B961" s="1" t="n">
        <v>44854</v>
      </c>
      <c r="C961" s="1" t="n">
        <v>45879</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32101-2022</t>
        </is>
      </c>
      <c r="B962" s="1" t="n">
        <v>44778.69210648148</v>
      </c>
      <c r="C962" s="1" t="n">
        <v>45879</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28365-2022</t>
        </is>
      </c>
      <c r="B963" s="1" t="n">
        <v>44747</v>
      </c>
      <c r="C963" s="1" t="n">
        <v>45879</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42867-2022</t>
        </is>
      </c>
      <c r="B964" s="1" t="n">
        <v>44832</v>
      </c>
      <c r="C964" s="1" t="n">
        <v>45879</v>
      </c>
      <c r="D964" t="inlineStr">
        <is>
          <t>STOCKHOLMS LÄN</t>
        </is>
      </c>
      <c r="E964" t="inlineStr">
        <is>
          <t>NORRTÄLJE</t>
        </is>
      </c>
      <c r="G964" t="n">
        <v>6.4</v>
      </c>
      <c r="H964" t="n">
        <v>0</v>
      </c>
      <c r="I964" t="n">
        <v>0</v>
      </c>
      <c r="J964" t="n">
        <v>0</v>
      </c>
      <c r="K964" t="n">
        <v>0</v>
      </c>
      <c r="L964" t="n">
        <v>0</v>
      </c>
      <c r="M964" t="n">
        <v>0</v>
      </c>
      <c r="N964" t="n">
        <v>0</v>
      </c>
      <c r="O964" t="n">
        <v>0</v>
      </c>
      <c r="P964" t="n">
        <v>0</v>
      </c>
      <c r="Q964" t="n">
        <v>0</v>
      </c>
      <c r="R964" s="2" t="inlineStr"/>
    </row>
    <row r="965" ht="15" customHeight="1">
      <c r="A965" t="inlineStr">
        <is>
          <t>A 5645-2023</t>
        </is>
      </c>
      <c r="B965" s="1" t="n">
        <v>44960.60469907407</v>
      </c>
      <c r="C965" s="1" t="n">
        <v>45879</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17775-2022</t>
        </is>
      </c>
      <c r="B966" s="1" t="n">
        <v>44682.78430555556</v>
      </c>
      <c r="C966" s="1" t="n">
        <v>45879</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9703-2021</t>
        </is>
      </c>
      <c r="B967" s="1" t="n">
        <v>44252</v>
      </c>
      <c r="C967" s="1" t="n">
        <v>45879</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47481-2024</t>
        </is>
      </c>
      <c r="B968" s="1" t="n">
        <v>45587</v>
      </c>
      <c r="C968" s="1" t="n">
        <v>45879</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24933-2023</t>
        </is>
      </c>
      <c r="B969" s="1" t="n">
        <v>45085.5309375</v>
      </c>
      <c r="C969" s="1" t="n">
        <v>45879</v>
      </c>
      <c r="D969" t="inlineStr">
        <is>
          <t>STOCKHOLMS LÄN</t>
        </is>
      </c>
      <c r="E969" t="inlineStr">
        <is>
          <t>NORRTÄLJE</t>
        </is>
      </c>
      <c r="F969" t="inlineStr">
        <is>
          <t>Holmen skog AB</t>
        </is>
      </c>
      <c r="G969" t="n">
        <v>1.8</v>
      </c>
      <c r="H969" t="n">
        <v>0</v>
      </c>
      <c r="I969" t="n">
        <v>0</v>
      </c>
      <c r="J969" t="n">
        <v>0</v>
      </c>
      <c r="K969" t="n">
        <v>0</v>
      </c>
      <c r="L969" t="n">
        <v>0</v>
      </c>
      <c r="M969" t="n">
        <v>0</v>
      </c>
      <c r="N969" t="n">
        <v>0</v>
      </c>
      <c r="O969" t="n">
        <v>0</v>
      </c>
      <c r="P969" t="n">
        <v>0</v>
      </c>
      <c r="Q969" t="n">
        <v>0</v>
      </c>
      <c r="R969" s="2" t="inlineStr"/>
    </row>
    <row r="970" ht="15" customHeight="1">
      <c r="A970" t="inlineStr">
        <is>
          <t>A 11062-2024</t>
        </is>
      </c>
      <c r="B970" s="1" t="n">
        <v>45370</v>
      </c>
      <c r="C970" s="1" t="n">
        <v>45879</v>
      </c>
      <c r="D970" t="inlineStr">
        <is>
          <t>STOCKHOLMS LÄN</t>
        </is>
      </c>
      <c r="E970" t="inlineStr">
        <is>
          <t>NORRTÄLJE</t>
        </is>
      </c>
      <c r="G970" t="n">
        <v>3.2</v>
      </c>
      <c r="H970" t="n">
        <v>0</v>
      </c>
      <c r="I970" t="n">
        <v>0</v>
      </c>
      <c r="J970" t="n">
        <v>0</v>
      </c>
      <c r="K970" t="n">
        <v>0</v>
      </c>
      <c r="L970" t="n">
        <v>0</v>
      </c>
      <c r="M970" t="n">
        <v>0</v>
      </c>
      <c r="N970" t="n">
        <v>0</v>
      </c>
      <c r="O970" t="n">
        <v>0</v>
      </c>
      <c r="P970" t="n">
        <v>0</v>
      </c>
      <c r="Q970" t="n">
        <v>0</v>
      </c>
      <c r="R970" s="2" t="inlineStr"/>
    </row>
    <row r="971" ht="15" customHeight="1">
      <c r="A971" t="inlineStr">
        <is>
          <t>A 576-2023</t>
        </is>
      </c>
      <c r="B971" s="1" t="n">
        <v>44925</v>
      </c>
      <c r="C971" s="1" t="n">
        <v>45879</v>
      </c>
      <c r="D971" t="inlineStr">
        <is>
          <t>STOCKHOLMS LÄN</t>
        </is>
      </c>
      <c r="E971" t="inlineStr">
        <is>
          <t>NORRTÄLJE</t>
        </is>
      </c>
      <c r="G971" t="n">
        <v>7.2</v>
      </c>
      <c r="H971" t="n">
        <v>0</v>
      </c>
      <c r="I971" t="n">
        <v>0</v>
      </c>
      <c r="J971" t="n">
        <v>0</v>
      </c>
      <c r="K971" t="n">
        <v>0</v>
      </c>
      <c r="L971" t="n">
        <v>0</v>
      </c>
      <c r="M971" t="n">
        <v>0</v>
      </c>
      <c r="N971" t="n">
        <v>0</v>
      </c>
      <c r="O971" t="n">
        <v>0</v>
      </c>
      <c r="P971" t="n">
        <v>0</v>
      </c>
      <c r="Q971" t="n">
        <v>0</v>
      </c>
      <c r="R971" s="2" t="inlineStr"/>
    </row>
    <row r="972" ht="15" customHeight="1">
      <c r="A972" t="inlineStr">
        <is>
          <t>A 12908-2025</t>
        </is>
      </c>
      <c r="B972" s="1" t="n">
        <v>45733.82105324074</v>
      </c>
      <c r="C972" s="1" t="n">
        <v>45879</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68361-2021</t>
        </is>
      </c>
      <c r="B973" s="1" t="n">
        <v>44528.91494212963</v>
      </c>
      <c r="C973" s="1" t="n">
        <v>45879</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44866.49827546296</v>
      </c>
      <c r="C974" s="1" t="n">
        <v>45879</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41976-2024</t>
        </is>
      </c>
      <c r="B975" s="1" t="n">
        <v>45561.62141203704</v>
      </c>
      <c r="C975" s="1" t="n">
        <v>45879</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62206-2022</t>
        </is>
      </c>
      <c r="B976" s="1" t="n">
        <v>44922</v>
      </c>
      <c r="C976" s="1" t="n">
        <v>45879</v>
      </c>
      <c r="D976" t="inlineStr">
        <is>
          <t>STOCKHOLMS LÄN</t>
        </is>
      </c>
      <c r="E976" t="inlineStr">
        <is>
          <t>NORRTÄLJE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30886-2022</t>
        </is>
      </c>
      <c r="B977" s="1" t="n">
        <v>44767.60601851852</v>
      </c>
      <c r="C977" s="1" t="n">
        <v>45879</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58989-2021</t>
        </is>
      </c>
      <c r="B978" s="1" t="n">
        <v>44490.02482638889</v>
      </c>
      <c r="C978" s="1" t="n">
        <v>45879</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58990-2021</t>
        </is>
      </c>
      <c r="B979" s="1" t="n">
        <v>44490.03621527777</v>
      </c>
      <c r="C979" s="1" t="n">
        <v>45879</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11940-2023</t>
        </is>
      </c>
      <c r="B980" s="1" t="n">
        <v>44995</v>
      </c>
      <c r="C980" s="1" t="n">
        <v>45879</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45879</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29266-2022</t>
        </is>
      </c>
      <c r="B982" s="1" t="n">
        <v>44750.66068287037</v>
      </c>
      <c r="C982" s="1" t="n">
        <v>45879</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29278-2022</t>
        </is>
      </c>
      <c r="B983" s="1" t="n">
        <v>44750</v>
      </c>
      <c r="C983" s="1" t="n">
        <v>45879</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6401-2024</t>
        </is>
      </c>
      <c r="B984" s="1" t="n">
        <v>45338</v>
      </c>
      <c r="C984" s="1" t="n">
        <v>45879</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24501-2023</t>
        </is>
      </c>
      <c r="B985" s="1" t="n">
        <v>45082</v>
      </c>
      <c r="C985" s="1" t="n">
        <v>45879</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24520-2023</t>
        </is>
      </c>
      <c r="B986" s="1" t="n">
        <v>45082.68922453704</v>
      </c>
      <c r="C986" s="1" t="n">
        <v>45879</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31281-2022</t>
        </is>
      </c>
      <c r="B987" s="1" t="n">
        <v>44771</v>
      </c>
      <c r="C987" s="1" t="n">
        <v>45879</v>
      </c>
      <c r="D987" t="inlineStr">
        <is>
          <t>STOCKHOLMS LÄN</t>
        </is>
      </c>
      <c r="E987" t="inlineStr">
        <is>
          <t>NORRTÄLJE</t>
        </is>
      </c>
      <c r="F987" t="inlineStr">
        <is>
          <t>Holmen skog AB</t>
        </is>
      </c>
      <c r="G987" t="n">
        <v>5.2</v>
      </c>
      <c r="H987" t="n">
        <v>0</v>
      </c>
      <c r="I987" t="n">
        <v>0</v>
      </c>
      <c r="J987" t="n">
        <v>0</v>
      </c>
      <c r="K987" t="n">
        <v>0</v>
      </c>
      <c r="L987" t="n">
        <v>0</v>
      </c>
      <c r="M987" t="n">
        <v>0</v>
      </c>
      <c r="N987" t="n">
        <v>0</v>
      </c>
      <c r="O987" t="n">
        <v>0</v>
      </c>
      <c r="P987" t="n">
        <v>0</v>
      </c>
      <c r="Q987" t="n">
        <v>0</v>
      </c>
      <c r="R987" s="2" t="inlineStr"/>
    </row>
    <row r="988" ht="15" customHeight="1">
      <c r="A988" t="inlineStr">
        <is>
          <t>A 38612-2022</t>
        </is>
      </c>
      <c r="B988" s="1" t="n">
        <v>44813</v>
      </c>
      <c r="C988" s="1" t="n">
        <v>45879</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33040-2021</t>
        </is>
      </c>
      <c r="B989" s="1" t="n">
        <v>44376.50728009259</v>
      </c>
      <c r="C989" s="1" t="n">
        <v>45879</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26117-2024</t>
        </is>
      </c>
      <c r="B990" s="1" t="n">
        <v>45468.45877314815</v>
      </c>
      <c r="C990" s="1" t="n">
        <v>45879</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61113-2023</t>
        </is>
      </c>
      <c r="B991" s="1" t="n">
        <v>45261</v>
      </c>
      <c r="C991" s="1" t="n">
        <v>45879</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60822-2023</t>
        </is>
      </c>
      <c r="B992" s="1" t="n">
        <v>45259</v>
      </c>
      <c r="C992" s="1" t="n">
        <v>45879</v>
      </c>
      <c r="D992" t="inlineStr">
        <is>
          <t>STOCKHOLMS LÄN</t>
        </is>
      </c>
      <c r="E992" t="inlineStr">
        <is>
          <t>NORRTÄLJE</t>
        </is>
      </c>
      <c r="G992" t="n">
        <v>5.2</v>
      </c>
      <c r="H992" t="n">
        <v>0</v>
      </c>
      <c r="I992" t="n">
        <v>0</v>
      </c>
      <c r="J992" t="n">
        <v>0</v>
      </c>
      <c r="K992" t="n">
        <v>0</v>
      </c>
      <c r="L992" t="n">
        <v>0</v>
      </c>
      <c r="M992" t="n">
        <v>0</v>
      </c>
      <c r="N992" t="n">
        <v>0</v>
      </c>
      <c r="O992" t="n">
        <v>0</v>
      </c>
      <c r="P992" t="n">
        <v>0</v>
      </c>
      <c r="Q992" t="n">
        <v>0</v>
      </c>
      <c r="R992" s="2" t="inlineStr"/>
    </row>
    <row r="993" ht="15" customHeight="1">
      <c r="A993" t="inlineStr">
        <is>
          <t>A 59310-2023</t>
        </is>
      </c>
      <c r="B993" s="1" t="n">
        <v>45253.61146990741</v>
      </c>
      <c r="C993" s="1" t="n">
        <v>45879</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20343-2024</t>
        </is>
      </c>
      <c r="B994" s="1" t="n">
        <v>45435.43466435185</v>
      </c>
      <c r="C994" s="1" t="n">
        <v>45879</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20345-2024</t>
        </is>
      </c>
      <c r="B995" s="1" t="n">
        <v>45435.43820601852</v>
      </c>
      <c r="C995" s="1" t="n">
        <v>45879</v>
      </c>
      <c r="D995" t="inlineStr">
        <is>
          <t>STOCKHOLMS LÄN</t>
        </is>
      </c>
      <c r="E995" t="inlineStr">
        <is>
          <t>NORRTÄLJE</t>
        </is>
      </c>
      <c r="G995" t="n">
        <v>3.8</v>
      </c>
      <c r="H995" t="n">
        <v>0</v>
      </c>
      <c r="I995" t="n">
        <v>0</v>
      </c>
      <c r="J995" t="n">
        <v>0</v>
      </c>
      <c r="K995" t="n">
        <v>0</v>
      </c>
      <c r="L995" t="n">
        <v>0</v>
      </c>
      <c r="M995" t="n">
        <v>0</v>
      </c>
      <c r="N995" t="n">
        <v>0</v>
      </c>
      <c r="O995" t="n">
        <v>0</v>
      </c>
      <c r="P995" t="n">
        <v>0</v>
      </c>
      <c r="Q995" t="n">
        <v>0</v>
      </c>
      <c r="R995" s="2" t="inlineStr"/>
    </row>
    <row r="996" ht="15" customHeight="1">
      <c r="A996" t="inlineStr">
        <is>
          <t>A 55010-2024</t>
        </is>
      </c>
      <c r="B996" s="1" t="n">
        <v>45621.34425925926</v>
      </c>
      <c r="C996" s="1" t="n">
        <v>45879</v>
      </c>
      <c r="D996" t="inlineStr">
        <is>
          <t>STOCKHOLMS LÄN</t>
        </is>
      </c>
      <c r="E996" t="inlineStr">
        <is>
          <t>NORRTÄLJE</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55018-2024</t>
        </is>
      </c>
      <c r="B997" s="1" t="n">
        <v>45621.35712962963</v>
      </c>
      <c r="C997" s="1" t="n">
        <v>45879</v>
      </c>
      <c r="D997" t="inlineStr">
        <is>
          <t>STOCKHOLMS LÄN</t>
        </is>
      </c>
      <c r="E997" t="inlineStr">
        <is>
          <t>NORRTÄLJE</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50113-2024</t>
        </is>
      </c>
      <c r="B998" s="1" t="n">
        <v>45600.411875</v>
      </c>
      <c r="C998" s="1" t="n">
        <v>45879</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20336-2024</t>
        </is>
      </c>
      <c r="B999" s="1" t="n">
        <v>45435.43123842592</v>
      </c>
      <c r="C999" s="1" t="n">
        <v>45879</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64899-2023</t>
        </is>
      </c>
      <c r="B1000" s="1" t="n">
        <v>45282</v>
      </c>
      <c r="C1000" s="1" t="n">
        <v>45879</v>
      </c>
      <c r="D1000" t="inlineStr">
        <is>
          <t>STOCKHOLMS LÄN</t>
        </is>
      </c>
      <c r="E1000" t="inlineStr">
        <is>
          <t>NORRTÄLJE</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1847-2023</t>
        </is>
      </c>
      <c r="B1001" s="1" t="n">
        <v>44938</v>
      </c>
      <c r="C1001" s="1" t="n">
        <v>45879</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11122-2021</t>
        </is>
      </c>
      <c r="B1002" s="1" t="n">
        <v>44260</v>
      </c>
      <c r="C1002" s="1" t="n">
        <v>45879</v>
      </c>
      <c r="D1002" t="inlineStr">
        <is>
          <t>STOCKHOLMS LÄN</t>
        </is>
      </c>
      <c r="E1002" t="inlineStr">
        <is>
          <t>NORRTÄLJE</t>
        </is>
      </c>
      <c r="F1002" t="inlineStr">
        <is>
          <t>Holmen skog AB</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29362-2022</t>
        </is>
      </c>
      <c r="B1003" s="1" t="n">
        <v>44753</v>
      </c>
      <c r="C1003" s="1" t="n">
        <v>45879</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20291-2022</t>
        </is>
      </c>
      <c r="B1004" s="1" t="n">
        <v>44698</v>
      </c>
      <c r="C1004" s="1" t="n">
        <v>45879</v>
      </c>
      <c r="D1004" t="inlineStr">
        <is>
          <t>STOCKHOLMS LÄN</t>
        </is>
      </c>
      <c r="E1004" t="inlineStr">
        <is>
          <t>NORRTÄLJE</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12302-2025</t>
        </is>
      </c>
      <c r="B1005" s="1" t="n">
        <v>45729.72851851852</v>
      </c>
      <c r="C1005" s="1" t="n">
        <v>45879</v>
      </c>
      <c r="D1005" t="inlineStr">
        <is>
          <t>STOCKHOLMS LÄN</t>
        </is>
      </c>
      <c r="E1005" t="inlineStr">
        <is>
          <t>NORRTÄLJE</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31926-2022</t>
        </is>
      </c>
      <c r="B1006" s="1" t="n">
        <v>44777</v>
      </c>
      <c r="C1006" s="1" t="n">
        <v>45879</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1425-2025</t>
        </is>
      </c>
      <c r="B1007" s="1" t="n">
        <v>45668.67446759259</v>
      </c>
      <c r="C1007" s="1" t="n">
        <v>45879</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1453-2025</t>
        </is>
      </c>
      <c r="B1008" s="1" t="n">
        <v>45670.3079050926</v>
      </c>
      <c r="C1008" s="1" t="n">
        <v>45879</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3386-2021</t>
        </is>
      </c>
      <c r="B1009" s="1" t="n">
        <v>44218</v>
      </c>
      <c r="C1009" s="1" t="n">
        <v>45879</v>
      </c>
      <c r="D1009" t="inlineStr">
        <is>
          <t>STOCKHOLMS LÄN</t>
        </is>
      </c>
      <c r="E1009" t="inlineStr">
        <is>
          <t>NORRTÄLJE</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13860-2023</t>
        </is>
      </c>
      <c r="B1010" s="1" t="n">
        <v>45007</v>
      </c>
      <c r="C1010" s="1" t="n">
        <v>45879</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6070-2022</t>
        </is>
      </c>
      <c r="B1011" s="1" t="n">
        <v>44599.58428240741</v>
      </c>
      <c r="C1011" s="1" t="n">
        <v>45879</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9130-2025</t>
        </is>
      </c>
      <c r="B1012" s="1" t="n">
        <v>45713.92623842593</v>
      </c>
      <c r="C1012" s="1" t="n">
        <v>45879</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27828-2022</t>
        </is>
      </c>
      <c r="B1013" s="1" t="n">
        <v>44743.59765046297</v>
      </c>
      <c r="C1013" s="1" t="n">
        <v>45879</v>
      </c>
      <c r="D1013" t="inlineStr">
        <is>
          <t>STOCKHOLMS LÄN</t>
        </is>
      </c>
      <c r="E1013" t="inlineStr">
        <is>
          <t>NORRTÄLJE</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27870-2022</t>
        </is>
      </c>
      <c r="B1014" s="1" t="n">
        <v>44743.64592592593</v>
      </c>
      <c r="C1014" s="1" t="n">
        <v>45879</v>
      </c>
      <c r="D1014" t="inlineStr">
        <is>
          <t>STOCKHOLMS LÄN</t>
        </is>
      </c>
      <c r="E1014" t="inlineStr">
        <is>
          <t>NORRTÄLJE</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36689-2023</t>
        </is>
      </c>
      <c r="B1015" s="1" t="n">
        <v>45152</v>
      </c>
      <c r="C1015" s="1" t="n">
        <v>45879</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59873-2024</t>
        </is>
      </c>
      <c r="B1016" s="1" t="n">
        <v>45640.57305555556</v>
      </c>
      <c r="C1016" s="1" t="n">
        <v>45879</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22412-2021</t>
        </is>
      </c>
      <c r="B1017" s="1" t="n">
        <v>44326.61967592593</v>
      </c>
      <c r="C1017" s="1" t="n">
        <v>45879</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48161-2022</t>
        </is>
      </c>
      <c r="B1018" s="1" t="n">
        <v>44858</v>
      </c>
      <c r="C1018" s="1" t="n">
        <v>45879</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43150-2023</t>
        </is>
      </c>
      <c r="B1019" s="1" t="n">
        <v>45183</v>
      </c>
      <c r="C1019" s="1" t="n">
        <v>45879</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59534-2024</t>
        </is>
      </c>
      <c r="B1020" s="1" t="n">
        <v>45638.5987037037</v>
      </c>
      <c r="C1020" s="1" t="n">
        <v>45879</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23307-2024</t>
        </is>
      </c>
      <c r="B1021" s="1" t="n">
        <v>45453</v>
      </c>
      <c r="C1021" s="1" t="n">
        <v>45879</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19450-2025</t>
        </is>
      </c>
      <c r="B1022" s="1" t="n">
        <v>45770</v>
      </c>
      <c r="C1022" s="1" t="n">
        <v>45879</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2281-2024</t>
        </is>
      </c>
      <c r="B1023" s="1" t="n">
        <v>45310.40628472222</v>
      </c>
      <c r="C1023" s="1" t="n">
        <v>45879</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2287-2024</t>
        </is>
      </c>
      <c r="B1024" s="1" t="n">
        <v>45310</v>
      </c>
      <c r="C1024" s="1" t="n">
        <v>45879</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45879</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59504-2023</t>
        </is>
      </c>
      <c r="B1026" s="1" t="n">
        <v>45254</v>
      </c>
      <c r="C1026" s="1" t="n">
        <v>45879</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25656-2023</t>
        </is>
      </c>
      <c r="B1027" s="1" t="n">
        <v>45089</v>
      </c>
      <c r="C1027" s="1" t="n">
        <v>45879</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38049-2023</t>
        </is>
      </c>
      <c r="B1028" s="1" t="n">
        <v>45159</v>
      </c>
      <c r="C1028" s="1" t="n">
        <v>45879</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c r="A1029" t="inlineStr">
        <is>
          <t>A 3966-2024</t>
        </is>
      </c>
      <c r="B1029" s="1" t="n">
        <v>45322</v>
      </c>
      <c r="C1029" s="1" t="n">
        <v>45879</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2025-08-10T08:28:42Z</dcterms:created>
  <dcterms:modified xmlns:dcterms="http://purl.org/dc/terms/" xmlns:xsi="http://www.w3.org/2001/XMLSchema-instance" xsi:type="dcterms:W3CDTF">2025-08-10T08:28:42Z</dcterms:modified>
</cp:coreProperties>
</file>