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45895</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45895</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45895</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45895</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45895</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45895</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45895</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45895</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45895</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45895</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45895</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45895</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45895</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45895</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45895</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45895</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45895</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45895</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45895</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45895</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45895</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45895</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45895</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45895</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45895</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15804-2025</t>
        </is>
      </c>
      <c r="B28" s="1" t="n">
        <v>45748.6521875</v>
      </c>
      <c r="C28" s="1" t="n">
        <v>45895</v>
      </c>
      <c r="D28" t="inlineStr">
        <is>
          <t>STOCKHOLMS LÄN</t>
        </is>
      </c>
      <c r="E28" t="inlineStr">
        <is>
          <t>NORRTÄLJE</t>
        </is>
      </c>
      <c r="F28" t="inlineStr">
        <is>
          <t>Holmen skog AB</t>
        </is>
      </c>
      <c r="G28" t="n">
        <v>1.7</v>
      </c>
      <c r="H28" t="n">
        <v>1</v>
      </c>
      <c r="I28" t="n">
        <v>1</v>
      </c>
      <c r="J28" t="n">
        <v>3</v>
      </c>
      <c r="K28" t="n">
        <v>0</v>
      </c>
      <c r="L28" t="n">
        <v>1</v>
      </c>
      <c r="M28" t="n">
        <v>0</v>
      </c>
      <c r="N28" t="n">
        <v>0</v>
      </c>
      <c r="O28" t="n">
        <v>4</v>
      </c>
      <c r="P28" t="n">
        <v>1</v>
      </c>
      <c r="Q28" t="n">
        <v>5</v>
      </c>
      <c r="R28" s="2" t="inlineStr">
        <is>
          <t>Asknätfjäril
Gullklöver
Skogsklocka
Slåtterfibbla
Spetsvaxing</t>
        </is>
      </c>
      <c r="S28">
        <f>HYPERLINK("https://klasma.github.io/Logging_0188/artfynd/A 15804-2025 artfynd.xlsx", "A 15804-2025")</f>
        <v/>
      </c>
      <c r="T28">
        <f>HYPERLINK("https://klasma.github.io/Logging_0188/kartor/A 15804-2025 karta.png", "A 15804-2025")</f>
        <v/>
      </c>
      <c r="V28">
        <f>HYPERLINK("https://klasma.github.io/Logging_0188/klagomål/A 15804-2025 FSC-klagomål.docx", "A 15804-2025")</f>
        <v/>
      </c>
      <c r="W28">
        <f>HYPERLINK("https://klasma.github.io/Logging_0188/klagomålsmail/A 15804-2025 FSC-klagomål mail.docx", "A 15804-2025")</f>
        <v/>
      </c>
      <c r="X28">
        <f>HYPERLINK("https://klasma.github.io/Logging_0188/tillsyn/A 15804-2025 tillsynsbegäran.docx", "A 15804-2025")</f>
        <v/>
      </c>
      <c r="Y28">
        <f>HYPERLINK("https://klasma.github.io/Logging_0188/tillsynsmail/A 15804-2025 tillsynsbegäran mail.docx", "A 15804-2025")</f>
        <v/>
      </c>
    </row>
    <row r="29" ht="15" customHeight="1">
      <c r="A29" t="inlineStr">
        <is>
          <t>A 30687-2025</t>
        </is>
      </c>
      <c r="B29" s="1" t="n">
        <v>45831.53390046296</v>
      </c>
      <c r="C29" s="1" t="n">
        <v>45895</v>
      </c>
      <c r="D29" t="inlineStr">
        <is>
          <t>STOCKHOLMS LÄN</t>
        </is>
      </c>
      <c r="E29" t="inlineStr">
        <is>
          <t>NORRTÄLJE</t>
        </is>
      </c>
      <c r="G29" t="n">
        <v>6.7</v>
      </c>
      <c r="H29" t="n">
        <v>1</v>
      </c>
      <c r="I29" t="n">
        <v>2</v>
      </c>
      <c r="J29" t="n">
        <v>2</v>
      </c>
      <c r="K29" t="n">
        <v>0</v>
      </c>
      <c r="L29" t="n">
        <v>0</v>
      </c>
      <c r="M29" t="n">
        <v>0</v>
      </c>
      <c r="N29" t="n">
        <v>0</v>
      </c>
      <c r="O29" t="n">
        <v>2</v>
      </c>
      <c r="P29" t="n">
        <v>0</v>
      </c>
      <c r="Q29" t="n">
        <v>5</v>
      </c>
      <c r="R29" s="2" t="inlineStr">
        <is>
          <t>Ekvaxskivling
Kandelabersvamp
Stinkbrosking
Svart trolldruva
Blåsippa</t>
        </is>
      </c>
      <c r="S29">
        <f>HYPERLINK("https://klasma.github.io/Logging_0188/artfynd/A 30687-2025 artfynd.xlsx", "A 30687-2025")</f>
        <v/>
      </c>
      <c r="T29">
        <f>HYPERLINK("https://klasma.github.io/Logging_0188/kartor/A 30687-2025 karta.png", "A 30687-2025")</f>
        <v/>
      </c>
      <c r="V29">
        <f>HYPERLINK("https://klasma.github.io/Logging_0188/klagomål/A 30687-2025 FSC-klagomål.docx", "A 30687-2025")</f>
        <v/>
      </c>
      <c r="W29">
        <f>HYPERLINK("https://klasma.github.io/Logging_0188/klagomålsmail/A 30687-2025 FSC-klagomål mail.docx", "A 30687-2025")</f>
        <v/>
      </c>
      <c r="X29">
        <f>HYPERLINK("https://klasma.github.io/Logging_0188/tillsyn/A 30687-2025 tillsynsbegäran.docx", "A 30687-2025")</f>
        <v/>
      </c>
      <c r="Y29">
        <f>HYPERLINK("https://klasma.github.io/Logging_0188/tillsynsmail/A 30687-2025 tillsynsbegäran mail.docx", "A 30687-2025")</f>
        <v/>
      </c>
    </row>
    <row r="30" ht="15" customHeight="1">
      <c r="A30" t="inlineStr">
        <is>
          <t>A 42457-2020</t>
        </is>
      </c>
      <c r="B30" s="1" t="n">
        <v>44076</v>
      </c>
      <c r="C30" s="1" t="n">
        <v>45895</v>
      </c>
      <c r="D30" t="inlineStr">
        <is>
          <t>STOCKHOLMS LÄN</t>
        </is>
      </c>
      <c r="E30" t="inlineStr">
        <is>
          <t>NORRTÄLJE</t>
        </is>
      </c>
      <c r="F30" t="inlineStr">
        <is>
          <t>Kommuner</t>
        </is>
      </c>
      <c r="G30" t="n">
        <v>3.1</v>
      </c>
      <c r="H30" t="n">
        <v>2</v>
      </c>
      <c r="I30" t="n">
        <v>3</v>
      </c>
      <c r="J30" t="n">
        <v>1</v>
      </c>
      <c r="K30" t="n">
        <v>0</v>
      </c>
      <c r="L30" t="n">
        <v>0</v>
      </c>
      <c r="M30" t="n">
        <v>0</v>
      </c>
      <c r="N30" t="n">
        <v>0</v>
      </c>
      <c r="O30" t="n">
        <v>1</v>
      </c>
      <c r="P30" t="n">
        <v>0</v>
      </c>
      <c r="Q30" t="n">
        <v>5</v>
      </c>
      <c r="R30" s="2" t="inlineStr">
        <is>
          <t>Spillkråka
Granbräken
Jättesvampmal
Thomsons trägnagare
Blåsippa</t>
        </is>
      </c>
      <c r="S30">
        <f>HYPERLINK("https://klasma.github.io/Logging_0188/artfynd/A 42457-2020 artfynd.xlsx", "A 42457-2020")</f>
        <v/>
      </c>
      <c r="T30">
        <f>HYPERLINK("https://klasma.github.io/Logging_0188/kartor/A 42457-2020 karta.png", "A 42457-2020")</f>
        <v/>
      </c>
      <c r="V30">
        <f>HYPERLINK("https://klasma.github.io/Logging_0188/klagomål/A 42457-2020 FSC-klagomål.docx", "A 42457-2020")</f>
        <v/>
      </c>
      <c r="W30">
        <f>HYPERLINK("https://klasma.github.io/Logging_0188/klagomålsmail/A 42457-2020 FSC-klagomål mail.docx", "A 42457-2020")</f>
        <v/>
      </c>
      <c r="X30">
        <f>HYPERLINK("https://klasma.github.io/Logging_0188/tillsyn/A 42457-2020 tillsynsbegäran.docx", "A 42457-2020")</f>
        <v/>
      </c>
      <c r="Y30">
        <f>HYPERLINK("https://klasma.github.io/Logging_0188/tillsynsmail/A 42457-2020 tillsynsbegäran mail.docx", "A 42457-2020")</f>
        <v/>
      </c>
      <c r="Z30">
        <f>HYPERLINK("https://klasma.github.io/Logging_0188/fåglar/A 42457-2020 prioriterade fågelarter.docx", "A 42457-2020")</f>
        <v/>
      </c>
    </row>
    <row r="31" ht="15" customHeight="1">
      <c r="A31" t="inlineStr">
        <is>
          <t>A 21922-2023</t>
        </is>
      </c>
      <c r="B31" s="1" t="n">
        <v>45068</v>
      </c>
      <c r="C31" s="1" t="n">
        <v>45895</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45895</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45895</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45895</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45895</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45895</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45895</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45895</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44709-2022</t>
        </is>
      </c>
      <c r="B39" s="1" t="n">
        <v>44839</v>
      </c>
      <c r="C39" s="1" t="n">
        <v>45895</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45895</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17673-2021</t>
        </is>
      </c>
      <c r="B41" s="1" t="n">
        <v>44300</v>
      </c>
      <c r="C41" s="1" t="n">
        <v>45895</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45895</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45895</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45895</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45895</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54110-2024</t>
        </is>
      </c>
      <c r="B46" s="1" t="n">
        <v>45616.54866898148</v>
      </c>
      <c r="C46" s="1" t="n">
        <v>45895</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50618-2022</t>
        </is>
      </c>
      <c r="B47" s="1" t="n">
        <v>44866</v>
      </c>
      <c r="C47" s="1" t="n">
        <v>45895</v>
      </c>
      <c r="D47" t="inlineStr">
        <is>
          <t>STOCKHOLMS LÄN</t>
        </is>
      </c>
      <c r="E47" t="inlineStr">
        <is>
          <t>NORRTÄLJE</t>
        </is>
      </c>
      <c r="G47" t="n">
        <v>7.8</v>
      </c>
      <c r="H47" t="n">
        <v>2</v>
      </c>
      <c r="I47" t="n">
        <v>2</v>
      </c>
      <c r="J47" t="n">
        <v>0</v>
      </c>
      <c r="K47" t="n">
        <v>0</v>
      </c>
      <c r="L47" t="n">
        <v>0</v>
      </c>
      <c r="M47" t="n">
        <v>0</v>
      </c>
      <c r="N47" t="n">
        <v>0</v>
      </c>
      <c r="O47" t="n">
        <v>0</v>
      </c>
      <c r="P47" t="n">
        <v>0</v>
      </c>
      <c r="Q47" t="n">
        <v>3</v>
      </c>
      <c r="R47" s="2" t="inlineStr">
        <is>
          <t>Skogsknipprot
Vårärt
Blåsippa</t>
        </is>
      </c>
      <c r="S47">
        <f>HYPERLINK("https://klasma.github.io/Logging_0188/artfynd/A 50618-2022 artfynd.xlsx", "A 50618-2022")</f>
        <v/>
      </c>
      <c r="T47">
        <f>HYPERLINK("https://klasma.github.io/Logging_0188/kartor/A 50618-2022 karta.png", "A 50618-2022")</f>
        <v/>
      </c>
      <c r="V47">
        <f>HYPERLINK("https://klasma.github.io/Logging_0188/klagomål/A 50618-2022 FSC-klagomål.docx", "A 50618-2022")</f>
        <v/>
      </c>
      <c r="W47">
        <f>HYPERLINK("https://klasma.github.io/Logging_0188/klagomålsmail/A 50618-2022 FSC-klagomål mail.docx", "A 50618-2022")</f>
        <v/>
      </c>
      <c r="X47">
        <f>HYPERLINK("https://klasma.github.io/Logging_0188/tillsyn/A 50618-2022 tillsynsbegäran.docx", "A 50618-2022")</f>
        <v/>
      </c>
      <c r="Y47">
        <f>HYPERLINK("https://klasma.github.io/Logging_0188/tillsynsmail/A 50618-2022 tillsynsbegäran mail.docx", "A 50618-2022")</f>
        <v/>
      </c>
    </row>
    <row r="48" ht="15" customHeight="1">
      <c r="A48" t="inlineStr">
        <is>
          <t>A 2851-2023</t>
        </is>
      </c>
      <c r="B48" s="1" t="n">
        <v>44945</v>
      </c>
      <c r="C48" s="1" t="n">
        <v>45895</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20185-2022</t>
        </is>
      </c>
      <c r="B49" s="1" t="n">
        <v>44698</v>
      </c>
      <c r="C49" s="1" t="n">
        <v>45895</v>
      </c>
      <c r="D49" t="inlineStr">
        <is>
          <t>STOCKHOLMS LÄN</t>
        </is>
      </c>
      <c r="E49" t="inlineStr">
        <is>
          <t>NORRTÄLJE</t>
        </is>
      </c>
      <c r="G49" t="n">
        <v>8.4</v>
      </c>
      <c r="H49" t="n">
        <v>1</v>
      </c>
      <c r="I49" t="n">
        <v>2</v>
      </c>
      <c r="J49" t="n">
        <v>0</v>
      </c>
      <c r="K49" t="n">
        <v>1</v>
      </c>
      <c r="L49" t="n">
        <v>0</v>
      </c>
      <c r="M49" t="n">
        <v>0</v>
      </c>
      <c r="N49" t="n">
        <v>0</v>
      </c>
      <c r="O49" t="n">
        <v>1</v>
      </c>
      <c r="P49" t="n">
        <v>1</v>
      </c>
      <c r="Q49" t="n">
        <v>3</v>
      </c>
      <c r="R49" s="2" t="inlineStr">
        <is>
          <t>Tallbit
Gullgröppa
Vedticka</t>
        </is>
      </c>
      <c r="S49">
        <f>HYPERLINK("https://klasma.github.io/Logging_0188/artfynd/A 20185-2022 artfynd.xlsx", "A 20185-2022")</f>
        <v/>
      </c>
      <c r="T49">
        <f>HYPERLINK("https://klasma.github.io/Logging_0188/kartor/A 20185-2022 karta.png", "A 20185-2022")</f>
        <v/>
      </c>
      <c r="V49">
        <f>HYPERLINK("https://klasma.github.io/Logging_0188/klagomål/A 20185-2022 FSC-klagomål.docx", "A 20185-2022")</f>
        <v/>
      </c>
      <c r="W49">
        <f>HYPERLINK("https://klasma.github.io/Logging_0188/klagomålsmail/A 20185-2022 FSC-klagomål mail.docx", "A 20185-2022")</f>
        <v/>
      </c>
      <c r="X49">
        <f>HYPERLINK("https://klasma.github.io/Logging_0188/tillsyn/A 20185-2022 tillsynsbegäran.docx", "A 20185-2022")</f>
        <v/>
      </c>
      <c r="Y49">
        <f>HYPERLINK("https://klasma.github.io/Logging_0188/tillsynsmail/A 20185-2022 tillsynsbegäran mail.docx", "A 20185-2022")</f>
        <v/>
      </c>
      <c r="Z49">
        <f>HYPERLINK("https://klasma.github.io/Logging_0188/fåglar/A 20185-2022 prioriterade fågelarter.docx", "A 20185-2022")</f>
        <v/>
      </c>
    </row>
    <row r="50" ht="15" customHeight="1">
      <c r="A50" t="inlineStr">
        <is>
          <t>A 29185-2025</t>
        </is>
      </c>
      <c r="B50" s="1" t="n">
        <v>45821</v>
      </c>
      <c r="C50" s="1" t="n">
        <v>45895</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45895</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45895</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11031-2025</t>
        </is>
      </c>
      <c r="B53" s="1" t="n">
        <v>45723</v>
      </c>
      <c r="C53" s="1" t="n">
        <v>45895</v>
      </c>
      <c r="D53" t="inlineStr">
        <is>
          <t>STOCKHOLMS LÄN</t>
        </is>
      </c>
      <c r="E53" t="inlineStr">
        <is>
          <t>NORRTÄLJE</t>
        </is>
      </c>
      <c r="F53" t="inlineStr">
        <is>
          <t>Övriga Aktiebolag</t>
        </is>
      </c>
      <c r="G53" t="n">
        <v>13.2</v>
      </c>
      <c r="H53" t="n">
        <v>1</v>
      </c>
      <c r="I53" t="n">
        <v>0</v>
      </c>
      <c r="J53" t="n">
        <v>2</v>
      </c>
      <c r="K53" t="n">
        <v>0</v>
      </c>
      <c r="L53" t="n">
        <v>0</v>
      </c>
      <c r="M53" t="n">
        <v>0</v>
      </c>
      <c r="N53" t="n">
        <v>0</v>
      </c>
      <c r="O53" t="n">
        <v>2</v>
      </c>
      <c r="P53" t="n">
        <v>0</v>
      </c>
      <c r="Q53" t="n">
        <v>2</v>
      </c>
      <c r="R53" s="2" t="inlineStr">
        <is>
          <t>Järpe
Ullticka</t>
        </is>
      </c>
      <c r="S53">
        <f>HYPERLINK("https://klasma.github.io/Logging_0188/artfynd/A 11031-2025 artfynd.xlsx", "A 11031-2025")</f>
        <v/>
      </c>
      <c r="T53">
        <f>HYPERLINK("https://klasma.github.io/Logging_0188/kartor/A 11031-2025 karta.png", "A 11031-2025")</f>
        <v/>
      </c>
      <c r="V53">
        <f>HYPERLINK("https://klasma.github.io/Logging_0188/klagomål/A 11031-2025 FSC-klagomål.docx", "A 11031-2025")</f>
        <v/>
      </c>
      <c r="W53">
        <f>HYPERLINK("https://klasma.github.io/Logging_0188/klagomålsmail/A 11031-2025 FSC-klagomål mail.docx", "A 11031-2025")</f>
        <v/>
      </c>
      <c r="X53">
        <f>HYPERLINK("https://klasma.github.io/Logging_0188/tillsyn/A 11031-2025 tillsynsbegäran.docx", "A 11031-2025")</f>
        <v/>
      </c>
      <c r="Y53">
        <f>HYPERLINK("https://klasma.github.io/Logging_0188/tillsynsmail/A 11031-2025 tillsynsbegäran mail.docx", "A 11031-2025")</f>
        <v/>
      </c>
      <c r="Z53">
        <f>HYPERLINK("https://klasma.github.io/Logging_0188/fåglar/A 11031-2025 prioriterade fågelarter.docx", "A 11031-2025")</f>
        <v/>
      </c>
    </row>
    <row r="54" ht="15" customHeight="1">
      <c r="A54" t="inlineStr">
        <is>
          <t>A 51220-2023</t>
        </is>
      </c>
      <c r="B54" s="1" t="n">
        <v>45219</v>
      </c>
      <c r="C54" s="1" t="n">
        <v>45895</v>
      </c>
      <c r="D54" t="inlineStr">
        <is>
          <t>STOCKHOLMS LÄN</t>
        </is>
      </c>
      <c r="E54" t="inlineStr">
        <is>
          <t>NORRTÄLJE</t>
        </is>
      </c>
      <c r="G54" t="n">
        <v>7.7</v>
      </c>
      <c r="H54" t="n">
        <v>1</v>
      </c>
      <c r="I54" t="n">
        <v>0</v>
      </c>
      <c r="J54" t="n">
        <v>1</v>
      </c>
      <c r="K54" t="n">
        <v>0</v>
      </c>
      <c r="L54" t="n">
        <v>0</v>
      </c>
      <c r="M54" t="n">
        <v>0</v>
      </c>
      <c r="N54" t="n">
        <v>0</v>
      </c>
      <c r="O54" t="n">
        <v>1</v>
      </c>
      <c r="P54" t="n">
        <v>0</v>
      </c>
      <c r="Q54" t="n">
        <v>2</v>
      </c>
      <c r="R54" s="2" t="inlineStr">
        <is>
          <t>Ullticka
Blåsippa</t>
        </is>
      </c>
      <c r="S54">
        <f>HYPERLINK("https://klasma.github.io/Logging_0188/artfynd/A 51220-2023 artfynd.xlsx", "A 51220-2023")</f>
        <v/>
      </c>
      <c r="T54">
        <f>HYPERLINK("https://klasma.github.io/Logging_0188/kartor/A 51220-2023 karta.png", "A 51220-2023")</f>
        <v/>
      </c>
      <c r="V54">
        <f>HYPERLINK("https://klasma.github.io/Logging_0188/klagomål/A 51220-2023 FSC-klagomål.docx", "A 51220-2023")</f>
        <v/>
      </c>
      <c r="W54">
        <f>HYPERLINK("https://klasma.github.io/Logging_0188/klagomålsmail/A 51220-2023 FSC-klagomål mail.docx", "A 51220-2023")</f>
        <v/>
      </c>
      <c r="X54">
        <f>HYPERLINK("https://klasma.github.io/Logging_0188/tillsyn/A 51220-2023 tillsynsbegäran.docx", "A 51220-2023")</f>
        <v/>
      </c>
      <c r="Y54">
        <f>HYPERLINK("https://klasma.github.io/Logging_0188/tillsynsmail/A 51220-2023 tillsynsbegäran mail.docx", "A 51220-2023")</f>
        <v/>
      </c>
    </row>
    <row r="55" ht="15" customHeight="1">
      <c r="A55" t="inlineStr">
        <is>
          <t>A 30693-2022</t>
        </is>
      </c>
      <c r="B55" s="1" t="n">
        <v>44763</v>
      </c>
      <c r="C55" s="1" t="n">
        <v>45895</v>
      </c>
      <c r="D55" t="inlineStr">
        <is>
          <t>STOCKHOLMS LÄN</t>
        </is>
      </c>
      <c r="E55" t="inlineStr">
        <is>
          <t>NORRTÄLJE</t>
        </is>
      </c>
      <c r="F55" t="inlineStr">
        <is>
          <t>Sveaskog</t>
        </is>
      </c>
      <c r="G55" t="n">
        <v>3.4</v>
      </c>
      <c r="H55" t="n">
        <v>2</v>
      </c>
      <c r="I55" t="n">
        <v>0</v>
      </c>
      <c r="J55" t="n">
        <v>1</v>
      </c>
      <c r="K55" t="n">
        <v>0</v>
      </c>
      <c r="L55" t="n">
        <v>0</v>
      </c>
      <c r="M55" t="n">
        <v>0</v>
      </c>
      <c r="N55" t="n">
        <v>0</v>
      </c>
      <c r="O55" t="n">
        <v>1</v>
      </c>
      <c r="P55" t="n">
        <v>0</v>
      </c>
      <c r="Q55" t="n">
        <v>2</v>
      </c>
      <c r="R55" s="2" t="inlineStr">
        <is>
          <t>Gulsparv
Gullviva</t>
        </is>
      </c>
      <c r="S55">
        <f>HYPERLINK("https://klasma.github.io/Logging_0188/artfynd/A 30693-2022 artfynd.xlsx", "A 30693-2022")</f>
        <v/>
      </c>
      <c r="T55">
        <f>HYPERLINK("https://klasma.github.io/Logging_0188/kartor/A 30693-2022 karta.png", "A 30693-2022")</f>
        <v/>
      </c>
      <c r="V55">
        <f>HYPERLINK("https://klasma.github.io/Logging_0188/klagomål/A 30693-2022 FSC-klagomål.docx", "A 30693-2022")</f>
        <v/>
      </c>
      <c r="W55">
        <f>HYPERLINK("https://klasma.github.io/Logging_0188/klagomålsmail/A 30693-2022 FSC-klagomål mail.docx", "A 30693-2022")</f>
        <v/>
      </c>
      <c r="X55">
        <f>HYPERLINK("https://klasma.github.io/Logging_0188/tillsyn/A 30693-2022 tillsynsbegäran.docx", "A 30693-2022")</f>
        <v/>
      </c>
      <c r="Y55">
        <f>HYPERLINK("https://klasma.github.io/Logging_0188/tillsynsmail/A 30693-2022 tillsynsbegäran mail.docx", "A 30693-2022")</f>
        <v/>
      </c>
      <c r="Z55">
        <f>HYPERLINK("https://klasma.github.io/Logging_0188/fåglar/A 30693-2022 prioriterade fågelarter.docx", "A 30693-2022")</f>
        <v/>
      </c>
    </row>
    <row r="56" ht="15" customHeight="1">
      <c r="A56" t="inlineStr">
        <is>
          <t>A 52360-2024</t>
        </is>
      </c>
      <c r="B56" s="1" t="n">
        <v>45609.37094907407</v>
      </c>
      <c r="C56" s="1" t="n">
        <v>45895</v>
      </c>
      <c r="D56" t="inlineStr">
        <is>
          <t>STOCKHOLMS LÄN</t>
        </is>
      </c>
      <c r="E56" t="inlineStr">
        <is>
          <t>NORRTÄLJE</t>
        </is>
      </c>
      <c r="G56" t="n">
        <v>2.2</v>
      </c>
      <c r="H56" t="n">
        <v>1</v>
      </c>
      <c r="I56" t="n">
        <v>1</v>
      </c>
      <c r="J56" t="n">
        <v>0</v>
      </c>
      <c r="K56" t="n">
        <v>0</v>
      </c>
      <c r="L56" t="n">
        <v>0</v>
      </c>
      <c r="M56" t="n">
        <v>0</v>
      </c>
      <c r="N56" t="n">
        <v>0</v>
      </c>
      <c r="O56" t="n">
        <v>0</v>
      </c>
      <c r="P56" t="n">
        <v>0</v>
      </c>
      <c r="Q56" t="n">
        <v>2</v>
      </c>
      <c r="R56" s="2" t="inlineStr">
        <is>
          <t>Brandticka
Blåsippa</t>
        </is>
      </c>
      <c r="S56">
        <f>HYPERLINK("https://klasma.github.io/Logging_0188/artfynd/A 52360-2024 artfynd.xlsx", "A 52360-2024")</f>
        <v/>
      </c>
      <c r="T56">
        <f>HYPERLINK("https://klasma.github.io/Logging_0188/kartor/A 52360-2024 karta.png", "A 52360-2024")</f>
        <v/>
      </c>
      <c r="V56">
        <f>HYPERLINK("https://klasma.github.io/Logging_0188/klagomål/A 52360-2024 FSC-klagomål.docx", "A 52360-2024")</f>
        <v/>
      </c>
      <c r="W56">
        <f>HYPERLINK("https://klasma.github.io/Logging_0188/klagomålsmail/A 52360-2024 FSC-klagomål mail.docx", "A 52360-2024")</f>
        <v/>
      </c>
      <c r="X56">
        <f>HYPERLINK("https://klasma.github.io/Logging_0188/tillsyn/A 52360-2024 tillsynsbegäran.docx", "A 52360-2024")</f>
        <v/>
      </c>
      <c r="Y56">
        <f>HYPERLINK("https://klasma.github.io/Logging_0188/tillsynsmail/A 52360-2024 tillsynsbegäran mail.docx", "A 52360-2024")</f>
        <v/>
      </c>
    </row>
    <row r="57" ht="15" customHeight="1">
      <c r="A57" t="inlineStr">
        <is>
          <t>A 16260-2022</t>
        </is>
      </c>
      <c r="B57" s="1" t="n">
        <v>44670</v>
      </c>
      <c r="C57" s="1" t="n">
        <v>45895</v>
      </c>
      <c r="D57" t="inlineStr">
        <is>
          <t>STOCKHOLMS LÄN</t>
        </is>
      </c>
      <c r="E57" t="inlineStr">
        <is>
          <t>NORRTÄLJE</t>
        </is>
      </c>
      <c r="G57" t="n">
        <v>6.6</v>
      </c>
      <c r="H57" t="n">
        <v>1</v>
      </c>
      <c r="I57" t="n">
        <v>2</v>
      </c>
      <c r="J57" t="n">
        <v>0</v>
      </c>
      <c r="K57" t="n">
        <v>0</v>
      </c>
      <c r="L57" t="n">
        <v>0</v>
      </c>
      <c r="M57" t="n">
        <v>0</v>
      </c>
      <c r="N57" t="n">
        <v>0</v>
      </c>
      <c r="O57" t="n">
        <v>0</v>
      </c>
      <c r="P57" t="n">
        <v>0</v>
      </c>
      <c r="Q57" t="n">
        <v>2</v>
      </c>
      <c r="R57" s="2" t="inlineStr">
        <is>
          <t>Nästrot
Vårärt</t>
        </is>
      </c>
      <c r="S57">
        <f>HYPERLINK("https://klasma.github.io/Logging_0188/artfynd/A 16260-2022 artfynd.xlsx", "A 16260-2022")</f>
        <v/>
      </c>
      <c r="T57">
        <f>HYPERLINK("https://klasma.github.io/Logging_0188/kartor/A 16260-2022 karta.png", "A 16260-2022")</f>
        <v/>
      </c>
      <c r="V57">
        <f>HYPERLINK("https://klasma.github.io/Logging_0188/klagomål/A 16260-2022 FSC-klagomål.docx", "A 16260-2022")</f>
        <v/>
      </c>
      <c r="W57">
        <f>HYPERLINK("https://klasma.github.io/Logging_0188/klagomålsmail/A 16260-2022 FSC-klagomål mail.docx", "A 16260-2022")</f>
        <v/>
      </c>
      <c r="X57">
        <f>HYPERLINK("https://klasma.github.io/Logging_0188/tillsyn/A 16260-2022 tillsynsbegäran.docx", "A 16260-2022")</f>
        <v/>
      </c>
      <c r="Y57">
        <f>HYPERLINK("https://klasma.github.io/Logging_0188/tillsynsmail/A 16260-2022 tillsynsbegäran mail.docx", "A 16260-2022")</f>
        <v/>
      </c>
    </row>
    <row r="58" ht="15" customHeight="1">
      <c r="A58" t="inlineStr">
        <is>
          <t>A 52825-2023</t>
        </is>
      </c>
      <c r="B58" s="1" t="n">
        <v>45226</v>
      </c>
      <c r="C58" s="1" t="n">
        <v>45895</v>
      </c>
      <c r="D58" t="inlineStr">
        <is>
          <t>STOCKHOLMS LÄN</t>
        </is>
      </c>
      <c r="E58" t="inlineStr">
        <is>
          <t>NORRTÄLJE</t>
        </is>
      </c>
      <c r="G58" t="n">
        <v>1</v>
      </c>
      <c r="H58" t="n">
        <v>0</v>
      </c>
      <c r="I58" t="n">
        <v>2</v>
      </c>
      <c r="J58" t="n">
        <v>0</v>
      </c>
      <c r="K58" t="n">
        <v>0</v>
      </c>
      <c r="L58" t="n">
        <v>0</v>
      </c>
      <c r="M58" t="n">
        <v>0</v>
      </c>
      <c r="N58" t="n">
        <v>0</v>
      </c>
      <c r="O58" t="n">
        <v>0</v>
      </c>
      <c r="P58" t="n">
        <v>0</v>
      </c>
      <c r="Q58" t="n">
        <v>2</v>
      </c>
      <c r="R58" s="2" t="inlineStr">
        <is>
          <t>Fjällig taggsvamp s.str.
Strimspindling</t>
        </is>
      </c>
      <c r="S58">
        <f>HYPERLINK("https://klasma.github.io/Logging_0188/artfynd/A 52825-2023 artfynd.xlsx", "A 52825-2023")</f>
        <v/>
      </c>
      <c r="T58">
        <f>HYPERLINK("https://klasma.github.io/Logging_0188/kartor/A 52825-2023 karta.png", "A 52825-2023")</f>
        <v/>
      </c>
      <c r="V58">
        <f>HYPERLINK("https://klasma.github.io/Logging_0188/klagomål/A 52825-2023 FSC-klagomål.docx", "A 52825-2023")</f>
        <v/>
      </c>
      <c r="W58">
        <f>HYPERLINK("https://klasma.github.io/Logging_0188/klagomålsmail/A 52825-2023 FSC-klagomål mail.docx", "A 52825-2023")</f>
        <v/>
      </c>
      <c r="X58">
        <f>HYPERLINK("https://klasma.github.io/Logging_0188/tillsyn/A 52825-2023 tillsynsbegäran.docx", "A 52825-2023")</f>
        <v/>
      </c>
      <c r="Y58">
        <f>HYPERLINK("https://klasma.github.io/Logging_0188/tillsynsmail/A 52825-2023 tillsynsbegäran mail.docx", "A 52825-2023")</f>
        <v/>
      </c>
    </row>
    <row r="59" ht="15" customHeight="1">
      <c r="A59" t="inlineStr">
        <is>
          <t>A 22190-2024</t>
        </is>
      </c>
      <c r="B59" s="1" t="n">
        <v>45446.35888888889</v>
      </c>
      <c r="C59" s="1" t="n">
        <v>45895</v>
      </c>
      <c r="D59" t="inlineStr">
        <is>
          <t>STOCKHOLMS LÄN</t>
        </is>
      </c>
      <c r="E59" t="inlineStr">
        <is>
          <t>NORRTÄLJE</t>
        </is>
      </c>
      <c r="G59" t="n">
        <v>2.8</v>
      </c>
      <c r="H59" t="n">
        <v>2</v>
      </c>
      <c r="I59" t="n">
        <v>1</v>
      </c>
      <c r="J59" t="n">
        <v>0</v>
      </c>
      <c r="K59" t="n">
        <v>0</v>
      </c>
      <c r="L59" t="n">
        <v>0</v>
      </c>
      <c r="M59" t="n">
        <v>0</v>
      </c>
      <c r="N59" t="n">
        <v>0</v>
      </c>
      <c r="O59" t="n">
        <v>0</v>
      </c>
      <c r="P59" t="n">
        <v>0</v>
      </c>
      <c r="Q59" t="n">
        <v>2</v>
      </c>
      <c r="R59" s="2" t="inlineStr">
        <is>
          <t>Skogsknipprot
Vanlig groda</t>
        </is>
      </c>
      <c r="S59">
        <f>HYPERLINK("https://klasma.github.io/Logging_0188/artfynd/A 22190-2024 artfynd.xlsx", "A 22190-2024")</f>
        <v/>
      </c>
      <c r="T59">
        <f>HYPERLINK("https://klasma.github.io/Logging_0188/kartor/A 22190-2024 karta.png", "A 22190-2024")</f>
        <v/>
      </c>
      <c r="V59">
        <f>HYPERLINK("https://klasma.github.io/Logging_0188/klagomål/A 22190-2024 FSC-klagomål.docx", "A 22190-2024")</f>
        <v/>
      </c>
      <c r="W59">
        <f>HYPERLINK("https://klasma.github.io/Logging_0188/klagomålsmail/A 22190-2024 FSC-klagomål mail.docx", "A 22190-2024")</f>
        <v/>
      </c>
      <c r="X59">
        <f>HYPERLINK("https://klasma.github.io/Logging_0188/tillsyn/A 22190-2024 tillsynsbegäran.docx", "A 22190-2024")</f>
        <v/>
      </c>
      <c r="Y59">
        <f>HYPERLINK("https://klasma.github.io/Logging_0188/tillsynsmail/A 22190-2024 tillsynsbegäran mail.docx", "A 22190-2024")</f>
        <v/>
      </c>
    </row>
    <row r="60" ht="15" customHeight="1">
      <c r="A60" t="inlineStr">
        <is>
          <t>A 20012-2025</t>
        </is>
      </c>
      <c r="B60" s="1" t="n">
        <v>45772.30234953704</v>
      </c>
      <c r="C60" s="1" t="n">
        <v>45895</v>
      </c>
      <c r="D60" t="inlineStr">
        <is>
          <t>STOCKHOLMS LÄN</t>
        </is>
      </c>
      <c r="E60" t="inlineStr">
        <is>
          <t>NORRTÄLJE</t>
        </is>
      </c>
      <c r="G60" t="n">
        <v>3.8</v>
      </c>
      <c r="H60" t="n">
        <v>0</v>
      </c>
      <c r="I60" t="n">
        <v>2</v>
      </c>
      <c r="J60" t="n">
        <v>0</v>
      </c>
      <c r="K60" t="n">
        <v>0</v>
      </c>
      <c r="L60" t="n">
        <v>0</v>
      </c>
      <c r="M60" t="n">
        <v>0</v>
      </c>
      <c r="N60" t="n">
        <v>0</v>
      </c>
      <c r="O60" t="n">
        <v>0</v>
      </c>
      <c r="P60" t="n">
        <v>0</v>
      </c>
      <c r="Q60" t="n">
        <v>2</v>
      </c>
      <c r="R60" s="2" t="inlineStr">
        <is>
          <t>Barkticka
Stor aspticka</t>
        </is>
      </c>
      <c r="S60">
        <f>HYPERLINK("https://klasma.github.io/Logging_0188/artfynd/A 20012-2025 artfynd.xlsx", "A 20012-2025")</f>
        <v/>
      </c>
      <c r="T60">
        <f>HYPERLINK("https://klasma.github.io/Logging_0188/kartor/A 20012-2025 karta.png", "A 20012-2025")</f>
        <v/>
      </c>
      <c r="V60">
        <f>HYPERLINK("https://klasma.github.io/Logging_0188/klagomål/A 20012-2025 FSC-klagomål.docx", "A 20012-2025")</f>
        <v/>
      </c>
      <c r="W60">
        <f>HYPERLINK("https://klasma.github.io/Logging_0188/klagomålsmail/A 20012-2025 FSC-klagomål mail.docx", "A 20012-2025")</f>
        <v/>
      </c>
      <c r="X60">
        <f>HYPERLINK("https://klasma.github.io/Logging_0188/tillsyn/A 20012-2025 tillsynsbegäran.docx", "A 20012-2025")</f>
        <v/>
      </c>
      <c r="Y60">
        <f>HYPERLINK("https://klasma.github.io/Logging_0188/tillsynsmail/A 20012-2025 tillsynsbegäran mail.docx", "A 20012-2025")</f>
        <v/>
      </c>
    </row>
    <row r="61" ht="15" customHeight="1">
      <c r="A61" t="inlineStr">
        <is>
          <t>A 25731-2025</t>
        </is>
      </c>
      <c r="B61" s="1" t="n">
        <v>45800</v>
      </c>
      <c r="C61" s="1" t="n">
        <v>45895</v>
      </c>
      <c r="D61" t="inlineStr">
        <is>
          <t>STOCKHOLMS LÄN</t>
        </is>
      </c>
      <c r="E61" t="inlineStr">
        <is>
          <t>NORRTÄLJE</t>
        </is>
      </c>
      <c r="G61" t="n">
        <v>11.9</v>
      </c>
      <c r="H61" t="n">
        <v>2</v>
      </c>
      <c r="I61" t="n">
        <v>0</v>
      </c>
      <c r="J61" t="n">
        <v>0</v>
      </c>
      <c r="K61" t="n">
        <v>1</v>
      </c>
      <c r="L61" t="n">
        <v>0</v>
      </c>
      <c r="M61" t="n">
        <v>0</v>
      </c>
      <c r="N61" t="n">
        <v>0</v>
      </c>
      <c r="O61" t="n">
        <v>1</v>
      </c>
      <c r="P61" t="n">
        <v>1</v>
      </c>
      <c r="Q61" t="n">
        <v>2</v>
      </c>
      <c r="R61" s="2" t="inlineStr">
        <is>
          <t>Knärot
Tjäder</t>
        </is>
      </c>
      <c r="S61">
        <f>HYPERLINK("https://klasma.github.io/Logging_0188/artfynd/A 25731-2025 artfynd.xlsx", "A 25731-2025")</f>
        <v/>
      </c>
      <c r="T61">
        <f>HYPERLINK("https://klasma.github.io/Logging_0188/kartor/A 25731-2025 karta.png", "A 25731-2025")</f>
        <v/>
      </c>
      <c r="U61">
        <f>HYPERLINK("https://klasma.github.io/Logging_0188/knärot/A 25731-2025 karta knärot.png", "A 25731-2025")</f>
        <v/>
      </c>
      <c r="V61">
        <f>HYPERLINK("https://klasma.github.io/Logging_0188/klagomål/A 25731-2025 FSC-klagomål.docx", "A 25731-2025")</f>
        <v/>
      </c>
      <c r="W61">
        <f>HYPERLINK("https://klasma.github.io/Logging_0188/klagomålsmail/A 25731-2025 FSC-klagomål mail.docx", "A 25731-2025")</f>
        <v/>
      </c>
      <c r="X61">
        <f>HYPERLINK("https://klasma.github.io/Logging_0188/tillsyn/A 25731-2025 tillsynsbegäran.docx", "A 25731-2025")</f>
        <v/>
      </c>
      <c r="Y61">
        <f>HYPERLINK("https://klasma.github.io/Logging_0188/tillsynsmail/A 25731-2025 tillsynsbegäran mail.docx", "A 25731-2025")</f>
        <v/>
      </c>
      <c r="Z61">
        <f>HYPERLINK("https://klasma.github.io/Logging_0188/fåglar/A 25731-2025 prioriterade fågelarter.docx", "A 25731-2025")</f>
        <v/>
      </c>
    </row>
    <row r="62" ht="15" customHeight="1">
      <c r="A62" t="inlineStr">
        <is>
          <t>A 34524-2025</t>
        </is>
      </c>
      <c r="B62" s="1" t="n">
        <v>45847.47685185185</v>
      </c>
      <c r="C62" s="1" t="n">
        <v>45895</v>
      </c>
      <c r="D62" t="inlineStr">
        <is>
          <t>STOCKHOLMS LÄN</t>
        </is>
      </c>
      <c r="E62" t="inlineStr">
        <is>
          <t>NORRTÄLJE</t>
        </is>
      </c>
      <c r="G62" t="n">
        <v>3.3</v>
      </c>
      <c r="H62" t="n">
        <v>0</v>
      </c>
      <c r="I62" t="n">
        <v>0</v>
      </c>
      <c r="J62" t="n">
        <v>2</v>
      </c>
      <c r="K62" t="n">
        <v>0</v>
      </c>
      <c r="L62" t="n">
        <v>0</v>
      </c>
      <c r="M62" t="n">
        <v>0</v>
      </c>
      <c r="N62" t="n">
        <v>0</v>
      </c>
      <c r="O62" t="n">
        <v>2</v>
      </c>
      <c r="P62" t="n">
        <v>0</v>
      </c>
      <c r="Q62" t="n">
        <v>2</v>
      </c>
      <c r="R62" s="2" t="inlineStr">
        <is>
          <t>Tallticka
Vedtrappmossa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34528-2025</t>
        </is>
      </c>
      <c r="B63" s="1" t="n">
        <v>45847.48436342592</v>
      </c>
      <c r="C63" s="1" t="n">
        <v>45895</v>
      </c>
      <c r="D63" t="inlineStr">
        <is>
          <t>STOCKHOLMS LÄN</t>
        </is>
      </c>
      <c r="E63" t="inlineStr">
        <is>
          <t>NORRTÄLJE</t>
        </is>
      </c>
      <c r="G63" t="n">
        <v>1</v>
      </c>
      <c r="H63" t="n">
        <v>0</v>
      </c>
      <c r="I63" t="n">
        <v>0</v>
      </c>
      <c r="J63" t="n">
        <v>1</v>
      </c>
      <c r="K63" t="n">
        <v>1</v>
      </c>
      <c r="L63" t="n">
        <v>0</v>
      </c>
      <c r="M63" t="n">
        <v>0</v>
      </c>
      <c r="N63" t="n">
        <v>0</v>
      </c>
      <c r="O63" t="n">
        <v>2</v>
      </c>
      <c r="P63" t="n">
        <v>1</v>
      </c>
      <c r="Q63" t="n">
        <v>2</v>
      </c>
      <c r="R63" s="2" t="inlineStr">
        <is>
          <t>Gyllenfingersvamp
Motaggsvamp</t>
        </is>
      </c>
      <c r="S63">
        <f>HYPERLINK("https://klasma.github.io/Logging_0188/artfynd/A 34528-2025 artfynd.xlsx", "A 34528-2025")</f>
        <v/>
      </c>
      <c r="T63">
        <f>HYPERLINK("https://klasma.github.io/Logging_0188/kartor/A 34528-2025 karta.png", "A 34528-2025")</f>
        <v/>
      </c>
      <c r="V63">
        <f>HYPERLINK("https://klasma.github.io/Logging_0188/klagomål/A 34528-2025 FSC-klagomål.docx", "A 34528-2025")</f>
        <v/>
      </c>
      <c r="W63">
        <f>HYPERLINK("https://klasma.github.io/Logging_0188/klagomålsmail/A 34528-2025 FSC-klagomål mail.docx", "A 34528-2025")</f>
        <v/>
      </c>
      <c r="X63">
        <f>HYPERLINK("https://klasma.github.io/Logging_0188/tillsyn/A 34528-2025 tillsynsbegäran.docx", "A 34528-2025")</f>
        <v/>
      </c>
      <c r="Y63">
        <f>HYPERLINK("https://klasma.github.io/Logging_0188/tillsynsmail/A 34528-2025 tillsynsbegäran mail.docx", "A 34528-2025")</f>
        <v/>
      </c>
    </row>
    <row r="64" ht="15" customHeight="1">
      <c r="A64" t="inlineStr">
        <is>
          <t>A 52124-2022</t>
        </is>
      </c>
      <c r="B64" s="1" t="n">
        <v>44868</v>
      </c>
      <c r="C64" s="1" t="n">
        <v>45895</v>
      </c>
      <c r="D64" t="inlineStr">
        <is>
          <t>STOCKHOLMS LÄN</t>
        </is>
      </c>
      <c r="E64" t="inlineStr">
        <is>
          <t>NORRTÄLJE</t>
        </is>
      </c>
      <c r="G64" t="n">
        <v>4.8</v>
      </c>
      <c r="H64" t="n">
        <v>1</v>
      </c>
      <c r="I64" t="n">
        <v>0</v>
      </c>
      <c r="J64" t="n">
        <v>1</v>
      </c>
      <c r="K64" t="n">
        <v>0</v>
      </c>
      <c r="L64" t="n">
        <v>0</v>
      </c>
      <c r="M64" t="n">
        <v>0</v>
      </c>
      <c r="N64" t="n">
        <v>0</v>
      </c>
      <c r="O64" t="n">
        <v>1</v>
      </c>
      <c r="P64" t="n">
        <v>0</v>
      </c>
      <c r="Q64" t="n">
        <v>2</v>
      </c>
      <c r="R64" s="2" t="inlineStr">
        <is>
          <t>Kandelabersvamp
Blåsippa</t>
        </is>
      </c>
      <c r="S64">
        <f>HYPERLINK("https://klasma.github.io/Logging_0188/artfynd/A 52124-2022 artfynd.xlsx", "A 52124-2022")</f>
        <v/>
      </c>
      <c r="T64">
        <f>HYPERLINK("https://klasma.github.io/Logging_0188/kartor/A 52124-2022 karta.png", "A 52124-2022")</f>
        <v/>
      </c>
      <c r="V64">
        <f>HYPERLINK("https://klasma.github.io/Logging_0188/klagomål/A 52124-2022 FSC-klagomål.docx", "A 52124-2022")</f>
        <v/>
      </c>
      <c r="W64">
        <f>HYPERLINK("https://klasma.github.io/Logging_0188/klagomålsmail/A 52124-2022 FSC-klagomål mail.docx", "A 52124-2022")</f>
        <v/>
      </c>
      <c r="X64">
        <f>HYPERLINK("https://klasma.github.io/Logging_0188/tillsyn/A 52124-2022 tillsynsbegäran.docx", "A 52124-2022")</f>
        <v/>
      </c>
      <c r="Y64">
        <f>HYPERLINK("https://klasma.github.io/Logging_0188/tillsynsmail/A 52124-2022 tillsynsbegäran mail.docx", "A 52124-2022")</f>
        <v/>
      </c>
    </row>
    <row r="65" ht="15" customHeight="1">
      <c r="A65" t="inlineStr">
        <is>
          <t>A 51980-2022</t>
        </is>
      </c>
      <c r="B65" s="1" t="n">
        <v>44872</v>
      </c>
      <c r="C65" s="1" t="n">
        <v>45895</v>
      </c>
      <c r="D65" t="inlineStr">
        <is>
          <t>STOCKHOLMS LÄN</t>
        </is>
      </c>
      <c r="E65" t="inlineStr">
        <is>
          <t>NORRTÄLJE</t>
        </is>
      </c>
      <c r="G65" t="n">
        <v>7.9</v>
      </c>
      <c r="H65" t="n">
        <v>1</v>
      </c>
      <c r="I65" t="n">
        <v>2</v>
      </c>
      <c r="J65" t="n">
        <v>0</v>
      </c>
      <c r="K65" t="n">
        <v>0</v>
      </c>
      <c r="L65" t="n">
        <v>0</v>
      </c>
      <c r="M65" t="n">
        <v>0</v>
      </c>
      <c r="N65" t="n">
        <v>0</v>
      </c>
      <c r="O65" t="n">
        <v>0</v>
      </c>
      <c r="P65" t="n">
        <v>0</v>
      </c>
      <c r="Q65" t="n">
        <v>2</v>
      </c>
      <c r="R65" s="2" t="inlineStr">
        <is>
          <t>Rödgul trumpetsvamp
Skogsknipprot</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1547-2022</t>
        </is>
      </c>
      <c r="B66" s="1" t="n">
        <v>44573</v>
      </c>
      <c r="C66" s="1" t="n">
        <v>45895</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45895</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45895</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45895</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45895</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45895</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45895</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19829-2022</t>
        </is>
      </c>
      <c r="B73" s="1" t="n">
        <v>44695.43527777777</v>
      </c>
      <c r="C73" s="1" t="n">
        <v>45895</v>
      </c>
      <c r="D73" t="inlineStr">
        <is>
          <t>STOCKHOLMS LÄN</t>
        </is>
      </c>
      <c r="E73" t="inlineStr">
        <is>
          <t>NORRTÄLJE</t>
        </is>
      </c>
      <c r="G73" t="n">
        <v>2</v>
      </c>
      <c r="H73" t="n">
        <v>1</v>
      </c>
      <c r="I73" t="n">
        <v>1</v>
      </c>
      <c r="J73" t="n">
        <v>0</v>
      </c>
      <c r="K73" t="n">
        <v>0</v>
      </c>
      <c r="L73" t="n">
        <v>0</v>
      </c>
      <c r="M73" t="n">
        <v>0</v>
      </c>
      <c r="N73" t="n">
        <v>0</v>
      </c>
      <c r="O73" t="n">
        <v>0</v>
      </c>
      <c r="P73" t="n">
        <v>0</v>
      </c>
      <c r="Q73" t="n">
        <v>1</v>
      </c>
      <c r="R73" s="2" t="inlineStr">
        <is>
          <t>Guckusko</t>
        </is>
      </c>
      <c r="S73">
        <f>HYPERLINK("https://klasma.github.io/Logging_0188/artfynd/A 19829-2022 artfynd.xlsx", "A 19829-2022")</f>
        <v/>
      </c>
      <c r="T73">
        <f>HYPERLINK("https://klasma.github.io/Logging_0188/kartor/A 19829-2022 karta.png", "A 19829-2022")</f>
        <v/>
      </c>
      <c r="V73">
        <f>HYPERLINK("https://klasma.github.io/Logging_0188/klagomål/A 19829-2022 FSC-klagomål.docx", "A 19829-2022")</f>
        <v/>
      </c>
      <c r="W73">
        <f>HYPERLINK("https://klasma.github.io/Logging_0188/klagomålsmail/A 19829-2022 FSC-klagomål mail.docx", "A 19829-2022")</f>
        <v/>
      </c>
      <c r="X73">
        <f>HYPERLINK("https://klasma.github.io/Logging_0188/tillsyn/A 19829-2022 tillsynsbegäran.docx", "A 19829-2022")</f>
        <v/>
      </c>
      <c r="Y73">
        <f>HYPERLINK("https://klasma.github.io/Logging_0188/tillsynsmail/A 19829-2022 tillsynsbegäran mail.docx", "A 19829-2022")</f>
        <v/>
      </c>
    </row>
    <row r="74" ht="15" customHeight="1">
      <c r="A74" t="inlineStr">
        <is>
          <t>A 47898-2022</t>
        </is>
      </c>
      <c r="B74" s="1" t="n">
        <v>44855</v>
      </c>
      <c r="C74" s="1" t="n">
        <v>45895</v>
      </c>
      <c r="D74" t="inlineStr">
        <is>
          <t>STOCKHOLMS LÄN</t>
        </is>
      </c>
      <c r="E74" t="inlineStr">
        <is>
          <t>NORRTÄLJE</t>
        </is>
      </c>
      <c r="G74" t="n">
        <v>6.7</v>
      </c>
      <c r="H74" t="n">
        <v>1</v>
      </c>
      <c r="I74" t="n">
        <v>1</v>
      </c>
      <c r="J74" t="n">
        <v>0</v>
      </c>
      <c r="K74" t="n">
        <v>0</v>
      </c>
      <c r="L74" t="n">
        <v>0</v>
      </c>
      <c r="M74" t="n">
        <v>0</v>
      </c>
      <c r="N74" t="n">
        <v>0</v>
      </c>
      <c r="O74" t="n">
        <v>0</v>
      </c>
      <c r="P74" t="n">
        <v>0</v>
      </c>
      <c r="Q74" t="n">
        <v>1</v>
      </c>
      <c r="R74" s="2" t="inlineStr">
        <is>
          <t>Guckusko</t>
        </is>
      </c>
      <c r="S74">
        <f>HYPERLINK("https://klasma.github.io/Logging_0188/artfynd/A 47898-2022 artfynd.xlsx", "A 47898-2022")</f>
        <v/>
      </c>
      <c r="T74">
        <f>HYPERLINK("https://klasma.github.io/Logging_0188/kartor/A 47898-2022 karta.png", "A 47898-2022")</f>
        <v/>
      </c>
      <c r="V74">
        <f>HYPERLINK("https://klasma.github.io/Logging_0188/klagomål/A 47898-2022 FSC-klagomål.docx", "A 47898-2022")</f>
        <v/>
      </c>
      <c r="W74">
        <f>HYPERLINK("https://klasma.github.io/Logging_0188/klagomålsmail/A 47898-2022 FSC-klagomål mail.docx", "A 47898-2022")</f>
        <v/>
      </c>
      <c r="X74">
        <f>HYPERLINK("https://klasma.github.io/Logging_0188/tillsyn/A 47898-2022 tillsynsbegäran.docx", "A 47898-2022")</f>
        <v/>
      </c>
      <c r="Y74">
        <f>HYPERLINK("https://klasma.github.io/Logging_0188/tillsynsmail/A 47898-2022 tillsynsbegäran mail.docx", "A 47898-2022")</f>
        <v/>
      </c>
    </row>
    <row r="75" ht="15" customHeight="1">
      <c r="A75" t="inlineStr">
        <is>
          <t>A 21927-2025</t>
        </is>
      </c>
      <c r="B75" s="1" t="n">
        <v>45784.54878472222</v>
      </c>
      <c r="C75" s="1" t="n">
        <v>45895</v>
      </c>
      <c r="D75" t="inlineStr">
        <is>
          <t>STOCKHOLMS LÄN</t>
        </is>
      </c>
      <c r="E75" t="inlineStr">
        <is>
          <t>NORRTÄLJE</t>
        </is>
      </c>
      <c r="G75" t="n">
        <v>3.4</v>
      </c>
      <c r="H75" t="n">
        <v>1</v>
      </c>
      <c r="I75" t="n">
        <v>1</v>
      </c>
      <c r="J75" t="n">
        <v>0</v>
      </c>
      <c r="K75" t="n">
        <v>0</v>
      </c>
      <c r="L75" t="n">
        <v>0</v>
      </c>
      <c r="M75" t="n">
        <v>0</v>
      </c>
      <c r="N75" t="n">
        <v>0</v>
      </c>
      <c r="O75" t="n">
        <v>0</v>
      </c>
      <c r="P75" t="n">
        <v>0</v>
      </c>
      <c r="Q75" t="n">
        <v>1</v>
      </c>
      <c r="R75" s="2" t="inlineStr">
        <is>
          <t>Nästrot</t>
        </is>
      </c>
      <c r="S75">
        <f>HYPERLINK("https://klasma.github.io/Logging_0188/artfynd/A 21927-2025 artfynd.xlsx", "A 21927-2025")</f>
        <v/>
      </c>
      <c r="T75">
        <f>HYPERLINK("https://klasma.github.io/Logging_0188/kartor/A 21927-2025 karta.png", "A 21927-2025")</f>
        <v/>
      </c>
      <c r="V75">
        <f>HYPERLINK("https://klasma.github.io/Logging_0188/klagomål/A 21927-2025 FSC-klagomål.docx", "A 21927-2025")</f>
        <v/>
      </c>
      <c r="W75">
        <f>HYPERLINK("https://klasma.github.io/Logging_0188/klagomålsmail/A 21927-2025 FSC-klagomål mail.docx", "A 21927-2025")</f>
        <v/>
      </c>
      <c r="X75">
        <f>HYPERLINK("https://klasma.github.io/Logging_0188/tillsyn/A 21927-2025 tillsynsbegäran.docx", "A 21927-2025")</f>
        <v/>
      </c>
      <c r="Y75">
        <f>HYPERLINK("https://klasma.github.io/Logging_0188/tillsynsmail/A 21927-2025 tillsynsbegäran mail.docx", "A 21927-2025")</f>
        <v/>
      </c>
    </row>
    <row r="76" ht="15" customHeight="1">
      <c r="A76" t="inlineStr">
        <is>
          <t>A 4595-2023</t>
        </is>
      </c>
      <c r="B76" s="1" t="n">
        <v>44956</v>
      </c>
      <c r="C76" s="1" t="n">
        <v>45895</v>
      </c>
      <c r="D76" t="inlineStr">
        <is>
          <t>STOCKHOLMS LÄN</t>
        </is>
      </c>
      <c r="E76" t="inlineStr">
        <is>
          <t>NORRTÄLJE</t>
        </is>
      </c>
      <c r="G76" t="n">
        <v>0.6</v>
      </c>
      <c r="H76" t="n">
        <v>1</v>
      </c>
      <c r="I76" t="n">
        <v>0</v>
      </c>
      <c r="J76" t="n">
        <v>0</v>
      </c>
      <c r="K76" t="n">
        <v>0</v>
      </c>
      <c r="L76" t="n">
        <v>0</v>
      </c>
      <c r="M76" t="n">
        <v>0</v>
      </c>
      <c r="N76" t="n">
        <v>0</v>
      </c>
      <c r="O76" t="n">
        <v>0</v>
      </c>
      <c r="P76" t="n">
        <v>0</v>
      </c>
      <c r="Q76" t="n">
        <v>1</v>
      </c>
      <c r="R76" s="2" t="inlineStr">
        <is>
          <t>Blåsippa</t>
        </is>
      </c>
      <c r="S76">
        <f>HYPERLINK("https://klasma.github.io/Logging_0188/artfynd/A 4595-2023 artfynd.xlsx", "A 4595-2023")</f>
        <v/>
      </c>
      <c r="T76">
        <f>HYPERLINK("https://klasma.github.io/Logging_0188/kartor/A 4595-2023 karta.png", "A 4595-2023")</f>
        <v/>
      </c>
      <c r="V76">
        <f>HYPERLINK("https://klasma.github.io/Logging_0188/klagomål/A 4595-2023 FSC-klagomål.docx", "A 4595-2023")</f>
        <v/>
      </c>
      <c r="W76">
        <f>HYPERLINK("https://klasma.github.io/Logging_0188/klagomålsmail/A 4595-2023 FSC-klagomål mail.docx", "A 4595-2023")</f>
        <v/>
      </c>
      <c r="X76">
        <f>HYPERLINK("https://klasma.github.io/Logging_0188/tillsyn/A 4595-2023 tillsynsbegäran.docx", "A 4595-2023")</f>
        <v/>
      </c>
      <c r="Y76">
        <f>HYPERLINK("https://klasma.github.io/Logging_0188/tillsynsmail/A 4595-2023 tillsynsbegäran mail.docx", "A 4595-2023")</f>
        <v/>
      </c>
    </row>
    <row r="77" ht="15" customHeight="1">
      <c r="A77" t="inlineStr">
        <is>
          <t>A 9955-2022</t>
        </is>
      </c>
      <c r="B77" s="1" t="n">
        <v>44620</v>
      </c>
      <c r="C77" s="1" t="n">
        <v>45895</v>
      </c>
      <c r="D77" t="inlineStr">
        <is>
          <t>STOCKHOLMS LÄN</t>
        </is>
      </c>
      <c r="E77" t="inlineStr">
        <is>
          <t>NORRTÄLJE</t>
        </is>
      </c>
      <c r="G77" t="n">
        <v>7.8</v>
      </c>
      <c r="H77" t="n">
        <v>1</v>
      </c>
      <c r="I77" t="n">
        <v>0</v>
      </c>
      <c r="J77" t="n">
        <v>0</v>
      </c>
      <c r="K77" t="n">
        <v>0</v>
      </c>
      <c r="L77" t="n">
        <v>0</v>
      </c>
      <c r="M77" t="n">
        <v>0</v>
      </c>
      <c r="N77" t="n">
        <v>0</v>
      </c>
      <c r="O77" t="n">
        <v>0</v>
      </c>
      <c r="P77" t="n">
        <v>0</v>
      </c>
      <c r="Q77" t="n">
        <v>1</v>
      </c>
      <c r="R77" s="2" t="inlineStr">
        <is>
          <t>Åkergroda</t>
        </is>
      </c>
      <c r="S77">
        <f>HYPERLINK("https://klasma.github.io/Logging_0188/artfynd/A 9955-2022 artfynd.xlsx", "A 9955-2022")</f>
        <v/>
      </c>
      <c r="T77">
        <f>HYPERLINK("https://klasma.github.io/Logging_0188/kartor/A 9955-2022 karta.png", "A 9955-2022")</f>
        <v/>
      </c>
      <c r="V77">
        <f>HYPERLINK("https://klasma.github.io/Logging_0188/klagomål/A 9955-2022 FSC-klagomål.docx", "A 9955-2022")</f>
        <v/>
      </c>
      <c r="W77">
        <f>HYPERLINK("https://klasma.github.io/Logging_0188/klagomålsmail/A 9955-2022 FSC-klagomål mail.docx", "A 9955-2022")</f>
        <v/>
      </c>
      <c r="X77">
        <f>HYPERLINK("https://klasma.github.io/Logging_0188/tillsyn/A 9955-2022 tillsynsbegäran.docx", "A 9955-2022")</f>
        <v/>
      </c>
      <c r="Y77">
        <f>HYPERLINK("https://klasma.github.io/Logging_0188/tillsynsmail/A 9955-2022 tillsynsbegäran mail.docx", "A 9955-2022")</f>
        <v/>
      </c>
    </row>
    <row r="78" ht="15" customHeight="1">
      <c r="A78" t="inlineStr">
        <is>
          <t>A 23905-2025</t>
        </is>
      </c>
      <c r="B78" s="1" t="n">
        <v>45794.63298611111</v>
      </c>
      <c r="C78" s="1" t="n">
        <v>45895</v>
      </c>
      <c r="D78" t="inlineStr">
        <is>
          <t>STOCKHOLMS LÄN</t>
        </is>
      </c>
      <c r="E78" t="inlineStr">
        <is>
          <t>NORRTÄLJE</t>
        </is>
      </c>
      <c r="G78" t="n">
        <v>8.4</v>
      </c>
      <c r="H78" t="n">
        <v>1</v>
      </c>
      <c r="I78" t="n">
        <v>0</v>
      </c>
      <c r="J78" t="n">
        <v>0</v>
      </c>
      <c r="K78" t="n">
        <v>0</v>
      </c>
      <c r="L78" t="n">
        <v>0</v>
      </c>
      <c r="M78" t="n">
        <v>0</v>
      </c>
      <c r="N78" t="n">
        <v>0</v>
      </c>
      <c r="O78" t="n">
        <v>0</v>
      </c>
      <c r="P78" t="n">
        <v>0</v>
      </c>
      <c r="Q78" t="n">
        <v>1</v>
      </c>
      <c r="R78" s="2" t="inlineStr">
        <is>
          <t>Blåsippa</t>
        </is>
      </c>
      <c r="S78">
        <f>HYPERLINK("https://klasma.github.io/Logging_0188/artfynd/A 23905-2025 artfynd.xlsx", "A 23905-2025")</f>
        <v/>
      </c>
      <c r="T78">
        <f>HYPERLINK("https://klasma.github.io/Logging_0188/kartor/A 23905-2025 karta.png", "A 23905-2025")</f>
        <v/>
      </c>
      <c r="V78">
        <f>HYPERLINK("https://klasma.github.io/Logging_0188/klagomål/A 23905-2025 FSC-klagomål.docx", "A 23905-2025")</f>
        <v/>
      </c>
      <c r="W78">
        <f>HYPERLINK("https://klasma.github.io/Logging_0188/klagomålsmail/A 23905-2025 FSC-klagomål mail.docx", "A 23905-2025")</f>
        <v/>
      </c>
      <c r="X78">
        <f>HYPERLINK("https://klasma.github.io/Logging_0188/tillsyn/A 23905-2025 tillsynsbegäran.docx", "A 23905-2025")</f>
        <v/>
      </c>
      <c r="Y78">
        <f>HYPERLINK("https://klasma.github.io/Logging_0188/tillsynsmail/A 23905-2025 tillsynsbegäran mail.docx", "A 23905-2025")</f>
        <v/>
      </c>
    </row>
    <row r="79" ht="15" customHeight="1">
      <c r="A79" t="inlineStr">
        <is>
          <t>A 4532-2025</t>
        </is>
      </c>
      <c r="B79" s="1" t="n">
        <v>45687.34177083334</v>
      </c>
      <c r="C79" s="1" t="n">
        <v>45895</v>
      </c>
      <c r="D79" t="inlineStr">
        <is>
          <t>STOCKHOLMS LÄN</t>
        </is>
      </c>
      <c r="E79" t="inlineStr">
        <is>
          <t>NORRTÄLJE</t>
        </is>
      </c>
      <c r="F79" t="inlineStr">
        <is>
          <t>Holmen skog AB</t>
        </is>
      </c>
      <c r="G79" t="n">
        <v>6.4</v>
      </c>
      <c r="H79" t="n">
        <v>1</v>
      </c>
      <c r="I79" t="n">
        <v>0</v>
      </c>
      <c r="J79" t="n">
        <v>0</v>
      </c>
      <c r="K79" t="n">
        <v>0</v>
      </c>
      <c r="L79" t="n">
        <v>1</v>
      </c>
      <c r="M79" t="n">
        <v>0</v>
      </c>
      <c r="N79" t="n">
        <v>0</v>
      </c>
      <c r="O79" t="n">
        <v>1</v>
      </c>
      <c r="P79" t="n">
        <v>1</v>
      </c>
      <c r="Q79" t="n">
        <v>1</v>
      </c>
      <c r="R79" s="2" t="inlineStr">
        <is>
          <t>Asknätfjäril</t>
        </is>
      </c>
      <c r="S79">
        <f>HYPERLINK("https://klasma.github.io/Logging_0188/artfynd/A 4532-2025 artfynd.xlsx", "A 4532-2025")</f>
        <v/>
      </c>
      <c r="T79">
        <f>HYPERLINK("https://klasma.github.io/Logging_0188/kartor/A 4532-2025 karta.png", "A 4532-2025")</f>
        <v/>
      </c>
      <c r="V79">
        <f>HYPERLINK("https://klasma.github.io/Logging_0188/klagomål/A 4532-2025 FSC-klagomål.docx", "A 4532-2025")</f>
        <v/>
      </c>
      <c r="W79">
        <f>HYPERLINK("https://klasma.github.io/Logging_0188/klagomålsmail/A 4532-2025 FSC-klagomål mail.docx", "A 4532-2025")</f>
        <v/>
      </c>
      <c r="X79">
        <f>HYPERLINK("https://klasma.github.io/Logging_0188/tillsyn/A 4532-2025 tillsynsbegäran.docx", "A 4532-2025")</f>
        <v/>
      </c>
      <c r="Y79">
        <f>HYPERLINK("https://klasma.github.io/Logging_0188/tillsynsmail/A 4532-2025 tillsynsbegäran mail.docx", "A 4532-2025")</f>
        <v/>
      </c>
    </row>
    <row r="80" ht="15" customHeight="1">
      <c r="A80" t="inlineStr">
        <is>
          <t>A 25687-2025</t>
        </is>
      </c>
      <c r="B80" s="1" t="n">
        <v>45800</v>
      </c>
      <c r="C80" s="1" t="n">
        <v>45895</v>
      </c>
      <c r="D80" t="inlineStr">
        <is>
          <t>STOCKHOLMS LÄN</t>
        </is>
      </c>
      <c r="E80" t="inlineStr">
        <is>
          <t>NORRTÄLJE</t>
        </is>
      </c>
      <c r="G80" t="n">
        <v>15.7</v>
      </c>
      <c r="H80" t="n">
        <v>0</v>
      </c>
      <c r="I80" t="n">
        <v>1</v>
      </c>
      <c r="J80" t="n">
        <v>0</v>
      </c>
      <c r="K80" t="n">
        <v>0</v>
      </c>
      <c r="L80" t="n">
        <v>0</v>
      </c>
      <c r="M80" t="n">
        <v>0</v>
      </c>
      <c r="N80" t="n">
        <v>0</v>
      </c>
      <c r="O80" t="n">
        <v>0</v>
      </c>
      <c r="P80" t="n">
        <v>0</v>
      </c>
      <c r="Q80" t="n">
        <v>1</v>
      </c>
      <c r="R80" s="2" t="inlineStr">
        <is>
          <t>Grönpyrola</t>
        </is>
      </c>
      <c r="S80">
        <f>HYPERLINK("https://klasma.github.io/Logging_0188/artfynd/A 25687-2025 artfynd.xlsx", "A 25687-2025")</f>
        <v/>
      </c>
      <c r="T80">
        <f>HYPERLINK("https://klasma.github.io/Logging_0188/kartor/A 25687-2025 karta.png", "A 25687-2025")</f>
        <v/>
      </c>
      <c r="V80">
        <f>HYPERLINK("https://klasma.github.io/Logging_0188/klagomål/A 25687-2025 FSC-klagomål.docx", "A 25687-2025")</f>
        <v/>
      </c>
      <c r="W80">
        <f>HYPERLINK("https://klasma.github.io/Logging_0188/klagomålsmail/A 25687-2025 FSC-klagomål mail.docx", "A 25687-2025")</f>
        <v/>
      </c>
      <c r="X80">
        <f>HYPERLINK("https://klasma.github.io/Logging_0188/tillsyn/A 25687-2025 tillsynsbegäran.docx", "A 25687-2025")</f>
        <v/>
      </c>
      <c r="Y80">
        <f>HYPERLINK("https://klasma.github.io/Logging_0188/tillsynsmail/A 25687-2025 tillsynsbegäran mail.docx", "A 25687-2025")</f>
        <v/>
      </c>
    </row>
    <row r="81" ht="15" customHeight="1">
      <c r="A81" t="inlineStr">
        <is>
          <t>A 35649-2023</t>
        </is>
      </c>
      <c r="B81" s="1" t="n">
        <v>45146</v>
      </c>
      <c r="C81" s="1" t="n">
        <v>45895</v>
      </c>
      <c r="D81" t="inlineStr">
        <is>
          <t>STOCKHOLMS LÄN</t>
        </is>
      </c>
      <c r="E81" t="inlineStr">
        <is>
          <t>NORRTÄLJE</t>
        </is>
      </c>
      <c r="G81" t="n">
        <v>25.1</v>
      </c>
      <c r="H81" t="n">
        <v>0</v>
      </c>
      <c r="I81" t="n">
        <v>0</v>
      </c>
      <c r="J81" t="n">
        <v>1</v>
      </c>
      <c r="K81" t="n">
        <v>0</v>
      </c>
      <c r="L81" t="n">
        <v>0</v>
      </c>
      <c r="M81" t="n">
        <v>0</v>
      </c>
      <c r="N81" t="n">
        <v>0</v>
      </c>
      <c r="O81" t="n">
        <v>1</v>
      </c>
      <c r="P81" t="n">
        <v>0</v>
      </c>
      <c r="Q81" t="n">
        <v>1</v>
      </c>
      <c r="R81" s="2" t="inlineStr">
        <is>
          <t>Månlåsbräken</t>
        </is>
      </c>
      <c r="S81">
        <f>HYPERLINK("https://klasma.github.io/Logging_0188/artfynd/A 35649-2023 artfynd.xlsx", "A 35649-2023")</f>
        <v/>
      </c>
      <c r="T81">
        <f>HYPERLINK("https://klasma.github.io/Logging_0188/kartor/A 35649-2023 karta.png", "A 35649-2023")</f>
        <v/>
      </c>
      <c r="V81">
        <f>HYPERLINK("https://klasma.github.io/Logging_0188/klagomål/A 35649-2023 FSC-klagomål.docx", "A 35649-2023")</f>
        <v/>
      </c>
      <c r="W81">
        <f>HYPERLINK("https://klasma.github.io/Logging_0188/klagomålsmail/A 35649-2023 FSC-klagomål mail.docx", "A 35649-2023")</f>
        <v/>
      </c>
      <c r="X81">
        <f>HYPERLINK("https://klasma.github.io/Logging_0188/tillsyn/A 35649-2023 tillsynsbegäran.docx", "A 35649-2023")</f>
        <v/>
      </c>
      <c r="Y81">
        <f>HYPERLINK("https://klasma.github.io/Logging_0188/tillsynsmail/A 35649-2023 tillsynsbegäran mail.docx", "A 35649-2023")</f>
        <v/>
      </c>
    </row>
    <row r="82" ht="15" customHeight="1">
      <c r="A82" t="inlineStr">
        <is>
          <t>A 35764-2024</t>
        </is>
      </c>
      <c r="B82" s="1" t="n">
        <v>45532</v>
      </c>
      <c r="C82" s="1" t="n">
        <v>45895</v>
      </c>
      <c r="D82" t="inlineStr">
        <is>
          <t>STOCKHOLMS LÄN</t>
        </is>
      </c>
      <c r="E82" t="inlineStr">
        <is>
          <t>NORRTÄLJE</t>
        </is>
      </c>
      <c r="G82" t="n">
        <v>14.2</v>
      </c>
      <c r="H82" t="n">
        <v>1</v>
      </c>
      <c r="I82" t="n">
        <v>0</v>
      </c>
      <c r="J82" t="n">
        <v>0</v>
      </c>
      <c r="K82" t="n">
        <v>1</v>
      </c>
      <c r="L82" t="n">
        <v>0</v>
      </c>
      <c r="M82" t="n">
        <v>0</v>
      </c>
      <c r="N82" t="n">
        <v>0</v>
      </c>
      <c r="O82" t="n">
        <v>1</v>
      </c>
      <c r="P82" t="n">
        <v>1</v>
      </c>
      <c r="Q82" t="n">
        <v>1</v>
      </c>
      <c r="R82" s="2" t="inlineStr">
        <is>
          <t>Knärot</t>
        </is>
      </c>
      <c r="S82">
        <f>HYPERLINK("https://klasma.github.io/Logging_0188/artfynd/A 35764-2024 artfynd.xlsx", "A 35764-2024")</f>
        <v/>
      </c>
      <c r="T82">
        <f>HYPERLINK("https://klasma.github.io/Logging_0188/kartor/A 35764-2024 karta.png", "A 35764-2024")</f>
        <v/>
      </c>
      <c r="U82">
        <f>HYPERLINK("https://klasma.github.io/Logging_0188/knärot/A 35764-2024 karta knärot.png", "A 35764-2024")</f>
        <v/>
      </c>
      <c r="V82">
        <f>HYPERLINK("https://klasma.github.io/Logging_0188/klagomål/A 35764-2024 FSC-klagomål.docx", "A 35764-2024")</f>
        <v/>
      </c>
      <c r="W82">
        <f>HYPERLINK("https://klasma.github.io/Logging_0188/klagomålsmail/A 35764-2024 FSC-klagomål mail.docx", "A 35764-2024")</f>
        <v/>
      </c>
      <c r="X82">
        <f>HYPERLINK("https://klasma.github.io/Logging_0188/tillsyn/A 35764-2024 tillsynsbegäran.docx", "A 35764-2024")</f>
        <v/>
      </c>
      <c r="Y82">
        <f>HYPERLINK("https://klasma.github.io/Logging_0188/tillsynsmail/A 35764-2024 tillsynsbegäran mail.docx", "A 35764-2024")</f>
        <v/>
      </c>
    </row>
    <row r="83" ht="15" customHeight="1">
      <c r="A83" t="inlineStr">
        <is>
          <t>A 25669-2025</t>
        </is>
      </c>
      <c r="B83" s="1" t="n">
        <v>45803.62766203703</v>
      </c>
      <c r="C83" s="1" t="n">
        <v>45895</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16870-2025</t>
        </is>
      </c>
      <c r="B84" s="1" t="n">
        <v>45754</v>
      </c>
      <c r="C84" s="1" t="n">
        <v>45895</v>
      </c>
      <c r="D84" t="inlineStr">
        <is>
          <t>STOCKHOLMS LÄN</t>
        </is>
      </c>
      <c r="E84" t="inlineStr">
        <is>
          <t>NORRTÄLJE</t>
        </is>
      </c>
      <c r="G84" t="n">
        <v>24.6</v>
      </c>
      <c r="H84" t="n">
        <v>1</v>
      </c>
      <c r="I84" t="n">
        <v>0</v>
      </c>
      <c r="J84" t="n">
        <v>0</v>
      </c>
      <c r="K84" t="n">
        <v>0</v>
      </c>
      <c r="L84" t="n">
        <v>0</v>
      </c>
      <c r="M84" t="n">
        <v>0</v>
      </c>
      <c r="N84" t="n">
        <v>0</v>
      </c>
      <c r="O84" t="n">
        <v>0</v>
      </c>
      <c r="P84" t="n">
        <v>0</v>
      </c>
      <c r="Q84" t="n">
        <v>1</v>
      </c>
      <c r="R84" s="2" t="inlineStr">
        <is>
          <t>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14365-2025</t>
        </is>
      </c>
      <c r="B85" s="1" t="n">
        <v>45741.38688657407</v>
      </c>
      <c r="C85" s="1" t="n">
        <v>45895</v>
      </c>
      <c r="D85" t="inlineStr">
        <is>
          <t>STOCKHOLMS LÄN</t>
        </is>
      </c>
      <c r="E85" t="inlineStr">
        <is>
          <t>NORRTÄLJE</t>
        </is>
      </c>
      <c r="G85" t="n">
        <v>2.4</v>
      </c>
      <c r="H85" t="n">
        <v>0</v>
      </c>
      <c r="I85" t="n">
        <v>0</v>
      </c>
      <c r="J85" t="n">
        <v>1</v>
      </c>
      <c r="K85" t="n">
        <v>0</v>
      </c>
      <c r="L85" t="n">
        <v>0</v>
      </c>
      <c r="M85" t="n">
        <v>0</v>
      </c>
      <c r="N85" t="n">
        <v>0</v>
      </c>
      <c r="O85" t="n">
        <v>1</v>
      </c>
      <c r="P85" t="n">
        <v>0</v>
      </c>
      <c r="Q85" t="n">
        <v>1</v>
      </c>
      <c r="R85" s="2" t="inlineStr">
        <is>
          <t>Granticka</t>
        </is>
      </c>
      <c r="S85">
        <f>HYPERLINK("https://klasma.github.io/Logging_0188/artfynd/A 14365-2025 artfynd.xlsx", "A 14365-2025")</f>
        <v/>
      </c>
      <c r="T85">
        <f>HYPERLINK("https://klasma.github.io/Logging_0188/kartor/A 14365-2025 karta.png", "A 14365-2025")</f>
        <v/>
      </c>
      <c r="V85">
        <f>HYPERLINK("https://klasma.github.io/Logging_0188/klagomål/A 14365-2025 FSC-klagomål.docx", "A 14365-2025")</f>
        <v/>
      </c>
      <c r="W85">
        <f>HYPERLINK("https://klasma.github.io/Logging_0188/klagomålsmail/A 14365-2025 FSC-klagomål mail.docx", "A 14365-2025")</f>
        <v/>
      </c>
      <c r="X85">
        <f>HYPERLINK("https://klasma.github.io/Logging_0188/tillsyn/A 14365-2025 tillsynsbegäran.docx", "A 14365-2025")</f>
        <v/>
      </c>
      <c r="Y85">
        <f>HYPERLINK("https://klasma.github.io/Logging_0188/tillsynsmail/A 14365-2025 tillsynsbegäran mail.docx", "A 14365-2025")</f>
        <v/>
      </c>
    </row>
    <row r="86" ht="15" customHeight="1">
      <c r="A86" t="inlineStr">
        <is>
          <t>A 58888-2021</t>
        </is>
      </c>
      <c r="B86" s="1" t="n">
        <v>44489</v>
      </c>
      <c r="C86" s="1" t="n">
        <v>45895</v>
      </c>
      <c r="D86" t="inlineStr">
        <is>
          <t>STOCKHOLMS LÄN</t>
        </is>
      </c>
      <c r="E86" t="inlineStr">
        <is>
          <t>NORRTÄLJE</t>
        </is>
      </c>
      <c r="F86" t="inlineStr">
        <is>
          <t>Holmen skog AB</t>
        </is>
      </c>
      <c r="G86" t="n">
        <v>2.5</v>
      </c>
      <c r="H86" t="n">
        <v>1</v>
      </c>
      <c r="I86" t="n">
        <v>0</v>
      </c>
      <c r="J86" t="n">
        <v>0</v>
      </c>
      <c r="K86" t="n">
        <v>0</v>
      </c>
      <c r="L86" t="n">
        <v>1</v>
      </c>
      <c r="M86" t="n">
        <v>0</v>
      </c>
      <c r="N86" t="n">
        <v>0</v>
      </c>
      <c r="O86" t="n">
        <v>1</v>
      </c>
      <c r="P86" t="n">
        <v>1</v>
      </c>
      <c r="Q86" t="n">
        <v>1</v>
      </c>
      <c r="R86" s="2" t="inlineStr">
        <is>
          <t>Asknätfjäril</t>
        </is>
      </c>
      <c r="S86">
        <f>HYPERLINK("https://klasma.github.io/Logging_0188/artfynd/A 58888-2021 artfynd.xlsx", "A 58888-2021")</f>
        <v/>
      </c>
      <c r="T86">
        <f>HYPERLINK("https://klasma.github.io/Logging_0188/kartor/A 58888-2021 karta.png", "A 58888-2021")</f>
        <v/>
      </c>
      <c r="V86">
        <f>HYPERLINK("https://klasma.github.io/Logging_0188/klagomål/A 58888-2021 FSC-klagomål.docx", "A 58888-2021")</f>
        <v/>
      </c>
      <c r="W86">
        <f>HYPERLINK("https://klasma.github.io/Logging_0188/klagomålsmail/A 58888-2021 FSC-klagomål mail.docx", "A 58888-2021")</f>
        <v/>
      </c>
      <c r="X86">
        <f>HYPERLINK("https://klasma.github.io/Logging_0188/tillsyn/A 58888-2021 tillsynsbegäran.docx", "A 58888-2021")</f>
        <v/>
      </c>
      <c r="Y86">
        <f>HYPERLINK("https://klasma.github.io/Logging_0188/tillsynsmail/A 58888-2021 tillsynsbegäran mail.docx", "A 58888-2021")</f>
        <v/>
      </c>
    </row>
    <row r="87" ht="15" customHeight="1">
      <c r="A87" t="inlineStr">
        <is>
          <t>A 21150-2022</t>
        </is>
      </c>
      <c r="B87" s="1" t="n">
        <v>44704</v>
      </c>
      <c r="C87" s="1" t="n">
        <v>45895</v>
      </c>
      <c r="D87" t="inlineStr">
        <is>
          <t>STOCKHOLMS LÄN</t>
        </is>
      </c>
      <c r="E87" t="inlineStr">
        <is>
          <t>NORRTÄLJE</t>
        </is>
      </c>
      <c r="G87" t="n">
        <v>12.5</v>
      </c>
      <c r="H87" t="n">
        <v>1</v>
      </c>
      <c r="I87" t="n">
        <v>0</v>
      </c>
      <c r="J87" t="n">
        <v>0</v>
      </c>
      <c r="K87" t="n">
        <v>0</v>
      </c>
      <c r="L87" t="n">
        <v>1</v>
      </c>
      <c r="M87" t="n">
        <v>0</v>
      </c>
      <c r="N87" t="n">
        <v>0</v>
      </c>
      <c r="O87" t="n">
        <v>1</v>
      </c>
      <c r="P87" t="n">
        <v>1</v>
      </c>
      <c r="Q87" t="n">
        <v>1</v>
      </c>
      <c r="R87" s="2" t="inlineStr">
        <is>
          <t>Asknätfjäril</t>
        </is>
      </c>
      <c r="S87">
        <f>HYPERLINK("https://klasma.github.io/Logging_0188/artfynd/A 21150-2022 artfynd.xlsx", "A 21150-2022")</f>
        <v/>
      </c>
      <c r="T87">
        <f>HYPERLINK("https://klasma.github.io/Logging_0188/kartor/A 21150-2022 karta.png", "A 21150-2022")</f>
        <v/>
      </c>
      <c r="V87">
        <f>HYPERLINK("https://klasma.github.io/Logging_0188/klagomål/A 21150-2022 FSC-klagomål.docx", "A 21150-2022")</f>
        <v/>
      </c>
      <c r="W87">
        <f>HYPERLINK("https://klasma.github.io/Logging_0188/klagomålsmail/A 21150-2022 FSC-klagomål mail.docx", "A 21150-2022")</f>
        <v/>
      </c>
      <c r="X87">
        <f>HYPERLINK("https://klasma.github.io/Logging_0188/tillsyn/A 21150-2022 tillsynsbegäran.docx", "A 21150-2022")</f>
        <v/>
      </c>
      <c r="Y87">
        <f>HYPERLINK("https://klasma.github.io/Logging_0188/tillsynsmail/A 21150-2022 tillsynsbegäran mail.docx", "A 21150-2022")</f>
        <v/>
      </c>
    </row>
    <row r="88" ht="15" customHeight="1">
      <c r="A88" t="inlineStr">
        <is>
          <t>A 6381-2023</t>
        </is>
      </c>
      <c r="B88" s="1" t="n">
        <v>44965</v>
      </c>
      <c r="C88" s="1" t="n">
        <v>45895</v>
      </c>
      <c r="D88" t="inlineStr">
        <is>
          <t>STOCKHOLMS LÄN</t>
        </is>
      </c>
      <c r="E88" t="inlineStr">
        <is>
          <t>NORRTÄLJE</t>
        </is>
      </c>
      <c r="G88" t="n">
        <v>3.5</v>
      </c>
      <c r="H88" t="n">
        <v>1</v>
      </c>
      <c r="I88" t="n">
        <v>1</v>
      </c>
      <c r="J88" t="n">
        <v>0</v>
      </c>
      <c r="K88" t="n">
        <v>0</v>
      </c>
      <c r="L88" t="n">
        <v>0</v>
      </c>
      <c r="M88" t="n">
        <v>0</v>
      </c>
      <c r="N88" t="n">
        <v>0</v>
      </c>
      <c r="O88" t="n">
        <v>0</v>
      </c>
      <c r="P88" t="n">
        <v>0</v>
      </c>
      <c r="Q88" t="n">
        <v>1</v>
      </c>
      <c r="R88" s="2" t="inlineStr">
        <is>
          <t>Guckusko</t>
        </is>
      </c>
      <c r="S88">
        <f>HYPERLINK("https://klasma.github.io/Logging_0188/artfynd/A 6381-2023 artfynd.xlsx", "A 6381-2023")</f>
        <v/>
      </c>
      <c r="T88">
        <f>HYPERLINK("https://klasma.github.io/Logging_0188/kartor/A 6381-2023 karta.png", "A 6381-2023")</f>
        <v/>
      </c>
      <c r="V88">
        <f>HYPERLINK("https://klasma.github.io/Logging_0188/klagomål/A 6381-2023 FSC-klagomål.docx", "A 6381-2023")</f>
        <v/>
      </c>
      <c r="W88">
        <f>HYPERLINK("https://klasma.github.io/Logging_0188/klagomålsmail/A 6381-2023 FSC-klagomål mail.docx", "A 6381-2023")</f>
        <v/>
      </c>
      <c r="X88">
        <f>HYPERLINK("https://klasma.github.io/Logging_0188/tillsyn/A 6381-2023 tillsynsbegäran.docx", "A 6381-2023")</f>
        <v/>
      </c>
      <c r="Y88">
        <f>HYPERLINK("https://klasma.github.io/Logging_0188/tillsynsmail/A 6381-2023 tillsynsbegäran mail.docx", "A 6381-2023")</f>
        <v/>
      </c>
    </row>
    <row r="89" ht="15" customHeight="1">
      <c r="A89" t="inlineStr">
        <is>
          <t>A 1162-2021</t>
        </is>
      </c>
      <c r="B89" s="1" t="n">
        <v>44207</v>
      </c>
      <c r="C89" s="1" t="n">
        <v>45895</v>
      </c>
      <c r="D89" t="inlineStr">
        <is>
          <t>STOCKHOLMS LÄN</t>
        </is>
      </c>
      <c r="E89" t="inlineStr">
        <is>
          <t>NORRTÄLJE</t>
        </is>
      </c>
      <c r="G89" t="n">
        <v>2.2</v>
      </c>
      <c r="H89" t="n">
        <v>1</v>
      </c>
      <c r="I89" t="n">
        <v>0</v>
      </c>
      <c r="J89" t="n">
        <v>0</v>
      </c>
      <c r="K89" t="n">
        <v>1</v>
      </c>
      <c r="L89" t="n">
        <v>0</v>
      </c>
      <c r="M89" t="n">
        <v>0</v>
      </c>
      <c r="N89" t="n">
        <v>0</v>
      </c>
      <c r="O89" t="n">
        <v>1</v>
      </c>
      <c r="P89" t="n">
        <v>1</v>
      </c>
      <c r="Q89" t="n">
        <v>1</v>
      </c>
      <c r="R89" s="2" t="inlineStr">
        <is>
          <t>Hällebräcka</t>
        </is>
      </c>
      <c r="S89">
        <f>HYPERLINK("https://klasma.github.io/Logging_0188/artfynd/A 1162-2021 artfynd.xlsx", "A 1162-2021")</f>
        <v/>
      </c>
      <c r="T89">
        <f>HYPERLINK("https://klasma.github.io/Logging_0188/kartor/A 1162-2021 karta.png", "A 1162-2021")</f>
        <v/>
      </c>
      <c r="V89">
        <f>HYPERLINK("https://klasma.github.io/Logging_0188/klagomål/A 1162-2021 FSC-klagomål.docx", "A 1162-2021")</f>
        <v/>
      </c>
      <c r="W89">
        <f>HYPERLINK("https://klasma.github.io/Logging_0188/klagomålsmail/A 1162-2021 FSC-klagomål mail.docx", "A 1162-2021")</f>
        <v/>
      </c>
      <c r="X89">
        <f>HYPERLINK("https://klasma.github.io/Logging_0188/tillsyn/A 1162-2021 tillsynsbegäran.docx", "A 1162-2021")</f>
        <v/>
      </c>
      <c r="Y89">
        <f>HYPERLINK("https://klasma.github.io/Logging_0188/tillsynsmail/A 1162-2021 tillsynsbegäran mail.docx", "A 1162-2021")</f>
        <v/>
      </c>
    </row>
    <row r="90" ht="15" customHeight="1">
      <c r="A90" t="inlineStr">
        <is>
          <t>A 29946-2025</t>
        </is>
      </c>
      <c r="B90" s="1" t="n">
        <v>45826.46392361111</v>
      </c>
      <c r="C90" s="1" t="n">
        <v>45895</v>
      </c>
      <c r="D90" t="inlineStr">
        <is>
          <t>STOCKHOLMS LÄN</t>
        </is>
      </c>
      <c r="E90" t="inlineStr">
        <is>
          <t>NORRTÄLJE</t>
        </is>
      </c>
      <c r="F90" t="inlineStr">
        <is>
          <t>Holmen skog AB</t>
        </is>
      </c>
      <c r="G90" t="n">
        <v>3.6</v>
      </c>
      <c r="H90" t="n">
        <v>1</v>
      </c>
      <c r="I90" t="n">
        <v>0</v>
      </c>
      <c r="J90" t="n">
        <v>0</v>
      </c>
      <c r="K90" t="n">
        <v>0</v>
      </c>
      <c r="L90" t="n">
        <v>1</v>
      </c>
      <c r="M90" t="n">
        <v>0</v>
      </c>
      <c r="N90" t="n">
        <v>0</v>
      </c>
      <c r="O90" t="n">
        <v>1</v>
      </c>
      <c r="P90" t="n">
        <v>1</v>
      </c>
      <c r="Q90" t="n">
        <v>1</v>
      </c>
      <c r="R90" s="2" t="inlineStr">
        <is>
          <t>Asknätfjäril</t>
        </is>
      </c>
      <c r="S90">
        <f>HYPERLINK("https://klasma.github.io/Logging_0188/artfynd/A 29946-2025 artfynd.xlsx", "A 29946-2025")</f>
        <v/>
      </c>
      <c r="T90">
        <f>HYPERLINK("https://klasma.github.io/Logging_0188/kartor/A 29946-2025 karta.png", "A 29946-2025")</f>
        <v/>
      </c>
      <c r="V90">
        <f>HYPERLINK("https://klasma.github.io/Logging_0188/klagomål/A 29946-2025 FSC-klagomål.docx", "A 29946-2025")</f>
        <v/>
      </c>
      <c r="W90">
        <f>HYPERLINK("https://klasma.github.io/Logging_0188/klagomålsmail/A 29946-2025 FSC-klagomål mail.docx", "A 29946-2025")</f>
        <v/>
      </c>
      <c r="X90">
        <f>HYPERLINK("https://klasma.github.io/Logging_0188/tillsyn/A 29946-2025 tillsynsbegäran.docx", "A 29946-2025")</f>
        <v/>
      </c>
      <c r="Y90">
        <f>HYPERLINK("https://klasma.github.io/Logging_0188/tillsynsmail/A 29946-2025 tillsynsbegäran mail.docx", "A 29946-2025")</f>
        <v/>
      </c>
    </row>
    <row r="91" ht="15" customHeight="1">
      <c r="A91" t="inlineStr">
        <is>
          <t>A 26120-2024</t>
        </is>
      </c>
      <c r="B91" s="1" t="n">
        <v>45468.45995370371</v>
      </c>
      <c r="C91" s="1" t="n">
        <v>45895</v>
      </c>
      <c r="D91" t="inlineStr">
        <is>
          <t>STOCKHOLMS LÄN</t>
        </is>
      </c>
      <c r="E91" t="inlineStr">
        <is>
          <t>NORRTÄLJE</t>
        </is>
      </c>
      <c r="G91" t="n">
        <v>1.8</v>
      </c>
      <c r="H91" t="n">
        <v>0</v>
      </c>
      <c r="I91" t="n">
        <v>0</v>
      </c>
      <c r="J91" t="n">
        <v>1</v>
      </c>
      <c r="K91" t="n">
        <v>0</v>
      </c>
      <c r="L91" t="n">
        <v>0</v>
      </c>
      <c r="M91" t="n">
        <v>0</v>
      </c>
      <c r="N91" t="n">
        <v>0</v>
      </c>
      <c r="O91" t="n">
        <v>1</v>
      </c>
      <c r="P91" t="n">
        <v>0</v>
      </c>
      <c r="Q91" t="n">
        <v>1</v>
      </c>
      <c r="R91" s="2" t="inlineStr">
        <is>
          <t>Majviva</t>
        </is>
      </c>
      <c r="S91">
        <f>HYPERLINK("https://klasma.github.io/Logging_0188/artfynd/A 26120-2024 artfynd.xlsx", "A 26120-2024")</f>
        <v/>
      </c>
      <c r="T91">
        <f>HYPERLINK("https://klasma.github.io/Logging_0188/kartor/A 26120-2024 karta.png", "A 26120-2024")</f>
        <v/>
      </c>
      <c r="V91">
        <f>HYPERLINK("https://klasma.github.io/Logging_0188/klagomål/A 26120-2024 FSC-klagomål.docx", "A 26120-2024")</f>
        <v/>
      </c>
      <c r="W91">
        <f>HYPERLINK("https://klasma.github.io/Logging_0188/klagomålsmail/A 26120-2024 FSC-klagomål mail.docx", "A 26120-2024")</f>
        <v/>
      </c>
      <c r="X91">
        <f>HYPERLINK("https://klasma.github.io/Logging_0188/tillsyn/A 26120-2024 tillsynsbegäran.docx", "A 26120-2024")</f>
        <v/>
      </c>
      <c r="Y91">
        <f>HYPERLINK("https://klasma.github.io/Logging_0188/tillsynsmail/A 26120-2024 tillsynsbegäran mail.docx", "A 26120-2024")</f>
        <v/>
      </c>
    </row>
    <row r="92" ht="15" customHeight="1">
      <c r="A92" t="inlineStr">
        <is>
          <t>A 21744-2023</t>
        </is>
      </c>
      <c r="B92" s="1" t="n">
        <v>45065</v>
      </c>
      <c r="C92" s="1" t="n">
        <v>45895</v>
      </c>
      <c r="D92" t="inlineStr">
        <is>
          <t>STOCKHOLMS LÄN</t>
        </is>
      </c>
      <c r="E92" t="inlineStr">
        <is>
          <t>NORRTÄLJE</t>
        </is>
      </c>
      <c r="F92" t="inlineStr">
        <is>
          <t>Holmen skog AB</t>
        </is>
      </c>
      <c r="G92" t="n">
        <v>4.2</v>
      </c>
      <c r="H92" t="n">
        <v>0</v>
      </c>
      <c r="I92" t="n">
        <v>1</v>
      </c>
      <c r="J92" t="n">
        <v>0</v>
      </c>
      <c r="K92" t="n">
        <v>0</v>
      </c>
      <c r="L92" t="n">
        <v>0</v>
      </c>
      <c r="M92" t="n">
        <v>0</v>
      </c>
      <c r="N92" t="n">
        <v>0</v>
      </c>
      <c r="O92" t="n">
        <v>0</v>
      </c>
      <c r="P92" t="n">
        <v>0</v>
      </c>
      <c r="Q92" t="n">
        <v>1</v>
      </c>
      <c r="R92" s="2" t="inlineStr">
        <is>
          <t>Korallblylav</t>
        </is>
      </c>
      <c r="S92">
        <f>HYPERLINK("https://klasma.github.io/Logging_0188/artfynd/A 21744-2023 artfynd.xlsx", "A 21744-2023")</f>
        <v/>
      </c>
      <c r="T92">
        <f>HYPERLINK("https://klasma.github.io/Logging_0188/kartor/A 21744-2023 karta.png", "A 21744-2023")</f>
        <v/>
      </c>
      <c r="V92">
        <f>HYPERLINK("https://klasma.github.io/Logging_0188/klagomål/A 21744-2023 FSC-klagomål.docx", "A 21744-2023")</f>
        <v/>
      </c>
      <c r="W92">
        <f>HYPERLINK("https://klasma.github.io/Logging_0188/klagomålsmail/A 21744-2023 FSC-klagomål mail.docx", "A 21744-2023")</f>
        <v/>
      </c>
      <c r="X92">
        <f>HYPERLINK("https://klasma.github.io/Logging_0188/tillsyn/A 21744-2023 tillsynsbegäran.docx", "A 21744-2023")</f>
        <v/>
      </c>
      <c r="Y92">
        <f>HYPERLINK("https://klasma.github.io/Logging_0188/tillsynsmail/A 21744-2023 tillsynsbegäran mail.docx", "A 21744-2023")</f>
        <v/>
      </c>
    </row>
    <row r="93" ht="15" customHeight="1">
      <c r="A93" t="inlineStr">
        <is>
          <t>A 17952-2022</t>
        </is>
      </c>
      <c r="B93" s="1" t="n">
        <v>44683</v>
      </c>
      <c r="C93" s="1" t="n">
        <v>45895</v>
      </c>
      <c r="D93" t="inlineStr">
        <is>
          <t>STOCKHOLMS LÄN</t>
        </is>
      </c>
      <c r="E93" t="inlineStr">
        <is>
          <t>NORRTÄLJE</t>
        </is>
      </c>
      <c r="G93" t="n">
        <v>51.1</v>
      </c>
      <c r="H93" t="n">
        <v>0</v>
      </c>
      <c r="I93" t="n">
        <v>0</v>
      </c>
      <c r="J93" t="n">
        <v>0</v>
      </c>
      <c r="K93" t="n">
        <v>1</v>
      </c>
      <c r="L93" t="n">
        <v>0</v>
      </c>
      <c r="M93" t="n">
        <v>0</v>
      </c>
      <c r="N93" t="n">
        <v>0</v>
      </c>
      <c r="O93" t="n">
        <v>1</v>
      </c>
      <c r="P93" t="n">
        <v>1</v>
      </c>
      <c r="Q93" t="n">
        <v>1</v>
      </c>
      <c r="R93" s="2" t="inlineStr">
        <is>
          <t>Kattunvisslare</t>
        </is>
      </c>
      <c r="S93">
        <f>HYPERLINK("https://klasma.github.io/Logging_0188/artfynd/A 17952-2022 artfynd.xlsx", "A 17952-2022")</f>
        <v/>
      </c>
      <c r="T93">
        <f>HYPERLINK("https://klasma.github.io/Logging_0188/kartor/A 17952-2022 karta.png", "A 17952-2022")</f>
        <v/>
      </c>
      <c r="V93">
        <f>HYPERLINK("https://klasma.github.io/Logging_0188/klagomål/A 17952-2022 FSC-klagomål.docx", "A 17952-2022")</f>
        <v/>
      </c>
      <c r="W93">
        <f>HYPERLINK("https://klasma.github.io/Logging_0188/klagomålsmail/A 17952-2022 FSC-klagomål mail.docx", "A 17952-2022")</f>
        <v/>
      </c>
      <c r="X93">
        <f>HYPERLINK("https://klasma.github.io/Logging_0188/tillsyn/A 17952-2022 tillsynsbegäran.docx", "A 17952-2022")</f>
        <v/>
      </c>
      <c r="Y93">
        <f>HYPERLINK("https://klasma.github.io/Logging_0188/tillsynsmail/A 17952-2022 tillsynsbegäran mail.docx", "A 17952-2022")</f>
        <v/>
      </c>
    </row>
    <row r="94" ht="15" customHeight="1">
      <c r="A94" t="inlineStr">
        <is>
          <t>A 11429-2023</t>
        </is>
      </c>
      <c r="B94" s="1" t="n">
        <v>44993</v>
      </c>
      <c r="C94" s="1" t="n">
        <v>45895</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50854-2022</t>
        </is>
      </c>
      <c r="B95" s="1" t="n">
        <v>44863</v>
      </c>
      <c r="C95" s="1" t="n">
        <v>45895</v>
      </c>
      <c r="D95" t="inlineStr">
        <is>
          <t>STOCKHOLMS LÄN</t>
        </is>
      </c>
      <c r="E95" t="inlineStr">
        <is>
          <t>NORRTÄLJE</t>
        </is>
      </c>
      <c r="G95" t="n">
        <v>2.9</v>
      </c>
      <c r="H95" t="n">
        <v>0</v>
      </c>
      <c r="I95" t="n">
        <v>1</v>
      </c>
      <c r="J95" t="n">
        <v>0</v>
      </c>
      <c r="K95" t="n">
        <v>0</v>
      </c>
      <c r="L95" t="n">
        <v>0</v>
      </c>
      <c r="M95" t="n">
        <v>0</v>
      </c>
      <c r="N95" t="n">
        <v>0</v>
      </c>
      <c r="O95" t="n">
        <v>0</v>
      </c>
      <c r="P95" t="n">
        <v>0</v>
      </c>
      <c r="Q95" t="n">
        <v>1</v>
      </c>
      <c r="R95" s="2" t="inlineStr">
        <is>
          <t>Tibast</t>
        </is>
      </c>
      <c r="S95">
        <f>HYPERLINK("https://klasma.github.io/Logging_0188/artfynd/A 50854-2022 artfynd.xlsx", "A 50854-2022")</f>
        <v/>
      </c>
      <c r="T95">
        <f>HYPERLINK("https://klasma.github.io/Logging_0188/kartor/A 50854-2022 karta.png", "A 50854-2022")</f>
        <v/>
      </c>
      <c r="V95">
        <f>HYPERLINK("https://klasma.github.io/Logging_0188/klagomål/A 50854-2022 FSC-klagomål.docx", "A 50854-2022")</f>
        <v/>
      </c>
      <c r="W95">
        <f>HYPERLINK("https://klasma.github.io/Logging_0188/klagomålsmail/A 50854-2022 FSC-klagomål mail.docx", "A 50854-2022")</f>
        <v/>
      </c>
      <c r="X95">
        <f>HYPERLINK("https://klasma.github.io/Logging_0188/tillsyn/A 50854-2022 tillsynsbegäran.docx", "A 50854-2022")</f>
        <v/>
      </c>
      <c r="Y95">
        <f>HYPERLINK("https://klasma.github.io/Logging_0188/tillsynsmail/A 50854-2022 tillsynsbegäran mail.docx", "A 50854-2022")</f>
        <v/>
      </c>
    </row>
    <row r="96" ht="15" customHeight="1">
      <c r="A96" t="inlineStr">
        <is>
          <t>A 8371-2025</t>
        </is>
      </c>
      <c r="B96" s="1" t="n">
        <v>45708</v>
      </c>
      <c r="C96" s="1" t="n">
        <v>45895</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23146-2024</t>
        </is>
      </c>
      <c r="B97" s="1" t="n">
        <v>45450.63958333333</v>
      </c>
      <c r="C97" s="1" t="n">
        <v>45895</v>
      </c>
      <c r="D97" t="inlineStr">
        <is>
          <t>STOCKHOLMS LÄN</t>
        </is>
      </c>
      <c r="E97" t="inlineStr">
        <is>
          <t>NORRTÄLJE</t>
        </is>
      </c>
      <c r="F97" t="inlineStr">
        <is>
          <t>Kommuner</t>
        </is>
      </c>
      <c r="G97" t="n">
        <v>6</v>
      </c>
      <c r="H97" t="n">
        <v>0</v>
      </c>
      <c r="I97" t="n">
        <v>0</v>
      </c>
      <c r="J97" t="n">
        <v>1</v>
      </c>
      <c r="K97" t="n">
        <v>0</v>
      </c>
      <c r="L97" t="n">
        <v>0</v>
      </c>
      <c r="M97" t="n">
        <v>0</v>
      </c>
      <c r="N97" t="n">
        <v>0</v>
      </c>
      <c r="O97" t="n">
        <v>1</v>
      </c>
      <c r="P97" t="n">
        <v>0</v>
      </c>
      <c r="Q97" t="n">
        <v>1</v>
      </c>
      <c r="R97" s="2" t="inlineStr">
        <is>
          <t>Motaggsvamp</t>
        </is>
      </c>
      <c r="S97">
        <f>HYPERLINK("https://klasma.github.io/Logging_0188/artfynd/A 23146-2024 artfynd.xlsx", "A 23146-2024")</f>
        <v/>
      </c>
      <c r="T97">
        <f>HYPERLINK("https://klasma.github.io/Logging_0188/kartor/A 23146-2024 karta.png", "A 23146-2024")</f>
        <v/>
      </c>
      <c r="V97">
        <f>HYPERLINK("https://klasma.github.io/Logging_0188/klagomål/A 23146-2024 FSC-klagomål.docx", "A 23146-2024")</f>
        <v/>
      </c>
      <c r="W97">
        <f>HYPERLINK("https://klasma.github.io/Logging_0188/klagomålsmail/A 23146-2024 FSC-klagomål mail.docx", "A 23146-2024")</f>
        <v/>
      </c>
      <c r="X97">
        <f>HYPERLINK("https://klasma.github.io/Logging_0188/tillsyn/A 23146-2024 tillsynsbegäran.docx", "A 23146-2024")</f>
        <v/>
      </c>
      <c r="Y97">
        <f>HYPERLINK("https://klasma.github.io/Logging_0188/tillsynsmail/A 23146-2024 tillsynsbegäran mail.docx", "A 23146-2024")</f>
        <v/>
      </c>
    </row>
    <row r="98" ht="15" customHeight="1">
      <c r="A98" t="inlineStr">
        <is>
          <t>A 64456-2023</t>
        </is>
      </c>
      <c r="B98" s="1" t="n">
        <v>45280</v>
      </c>
      <c r="C98" s="1" t="n">
        <v>45895</v>
      </c>
      <c r="D98" t="inlineStr">
        <is>
          <t>STOCKHOLMS LÄN</t>
        </is>
      </c>
      <c r="E98" t="inlineStr">
        <is>
          <t>NORRTÄLJE</t>
        </is>
      </c>
      <c r="G98" t="n">
        <v>2.5</v>
      </c>
      <c r="H98" t="n">
        <v>0</v>
      </c>
      <c r="I98" t="n">
        <v>1</v>
      </c>
      <c r="J98" t="n">
        <v>0</v>
      </c>
      <c r="K98" t="n">
        <v>0</v>
      </c>
      <c r="L98" t="n">
        <v>0</v>
      </c>
      <c r="M98" t="n">
        <v>0</v>
      </c>
      <c r="N98" t="n">
        <v>0</v>
      </c>
      <c r="O98" t="n">
        <v>0</v>
      </c>
      <c r="P98" t="n">
        <v>0</v>
      </c>
      <c r="Q98" t="n">
        <v>1</v>
      </c>
      <c r="R98" s="2" t="inlineStr">
        <is>
          <t>Rödgul trumpetsvamp</t>
        </is>
      </c>
      <c r="S98">
        <f>HYPERLINK("https://klasma.github.io/Logging_0188/artfynd/A 64456-2023 artfynd.xlsx", "A 64456-2023")</f>
        <v/>
      </c>
      <c r="T98">
        <f>HYPERLINK("https://klasma.github.io/Logging_0188/kartor/A 64456-2023 karta.png", "A 64456-2023")</f>
        <v/>
      </c>
      <c r="V98">
        <f>HYPERLINK("https://klasma.github.io/Logging_0188/klagomål/A 64456-2023 FSC-klagomål.docx", "A 64456-2023")</f>
        <v/>
      </c>
      <c r="W98">
        <f>HYPERLINK("https://klasma.github.io/Logging_0188/klagomålsmail/A 64456-2023 FSC-klagomål mail.docx", "A 64456-2023")</f>
        <v/>
      </c>
      <c r="X98">
        <f>HYPERLINK("https://klasma.github.io/Logging_0188/tillsyn/A 64456-2023 tillsynsbegäran.docx", "A 64456-2023")</f>
        <v/>
      </c>
      <c r="Y98">
        <f>HYPERLINK("https://klasma.github.io/Logging_0188/tillsynsmail/A 64456-2023 tillsynsbegäran mail.docx", "A 64456-2023")</f>
        <v/>
      </c>
    </row>
    <row r="99" ht="15" customHeight="1">
      <c r="A99" t="inlineStr">
        <is>
          <t>A 24692-2025</t>
        </is>
      </c>
      <c r="B99" s="1" t="n">
        <v>45798</v>
      </c>
      <c r="C99" s="1" t="n">
        <v>45895</v>
      </c>
      <c r="D99" t="inlineStr">
        <is>
          <t>STOCKHOLMS LÄN</t>
        </is>
      </c>
      <c r="E99" t="inlineStr">
        <is>
          <t>NORRTÄLJE</t>
        </is>
      </c>
      <c r="G99" t="n">
        <v>26.3</v>
      </c>
      <c r="H99" t="n">
        <v>1</v>
      </c>
      <c r="I99" t="n">
        <v>0</v>
      </c>
      <c r="J99" t="n">
        <v>0</v>
      </c>
      <c r="K99" t="n">
        <v>0</v>
      </c>
      <c r="L99" t="n">
        <v>1</v>
      </c>
      <c r="M99" t="n">
        <v>0</v>
      </c>
      <c r="N99" t="n">
        <v>0</v>
      </c>
      <c r="O99" t="n">
        <v>1</v>
      </c>
      <c r="P99" t="n">
        <v>1</v>
      </c>
      <c r="Q99" t="n">
        <v>1</v>
      </c>
      <c r="R99" s="2" t="inlineStr">
        <is>
          <t>Asknätfjäril</t>
        </is>
      </c>
      <c r="S99">
        <f>HYPERLINK("https://klasma.github.io/Logging_0188/artfynd/A 24692-2025 artfynd.xlsx", "A 24692-2025")</f>
        <v/>
      </c>
      <c r="T99">
        <f>HYPERLINK("https://klasma.github.io/Logging_0188/kartor/A 24692-2025 karta.png", "A 24692-2025")</f>
        <v/>
      </c>
      <c r="V99">
        <f>HYPERLINK("https://klasma.github.io/Logging_0188/klagomål/A 24692-2025 FSC-klagomål.docx", "A 24692-2025")</f>
        <v/>
      </c>
      <c r="W99">
        <f>HYPERLINK("https://klasma.github.io/Logging_0188/klagomålsmail/A 24692-2025 FSC-klagomål mail.docx", "A 24692-2025")</f>
        <v/>
      </c>
      <c r="X99">
        <f>HYPERLINK("https://klasma.github.io/Logging_0188/tillsyn/A 24692-2025 tillsynsbegäran.docx", "A 24692-2025")</f>
        <v/>
      </c>
      <c r="Y99">
        <f>HYPERLINK("https://klasma.github.io/Logging_0188/tillsynsmail/A 24692-2025 tillsynsbegäran mail.docx", "A 24692-2025")</f>
        <v/>
      </c>
    </row>
    <row r="100" ht="15" customHeight="1">
      <c r="A100" t="inlineStr">
        <is>
          <t>A 33548-2025</t>
        </is>
      </c>
      <c r="B100" s="1" t="n">
        <v>45841.5721875</v>
      </c>
      <c r="C100" s="1" t="n">
        <v>45895</v>
      </c>
      <c r="D100" t="inlineStr">
        <is>
          <t>STOCKHOLMS LÄN</t>
        </is>
      </c>
      <c r="E100" t="inlineStr">
        <is>
          <t>NORRTÄLJE</t>
        </is>
      </c>
      <c r="G100" t="n">
        <v>12.2</v>
      </c>
      <c r="H100" t="n">
        <v>0</v>
      </c>
      <c r="I100" t="n">
        <v>0</v>
      </c>
      <c r="J100" t="n">
        <v>1</v>
      </c>
      <c r="K100" t="n">
        <v>0</v>
      </c>
      <c r="L100" t="n">
        <v>0</v>
      </c>
      <c r="M100" t="n">
        <v>0</v>
      </c>
      <c r="N100" t="n">
        <v>0</v>
      </c>
      <c r="O100" t="n">
        <v>1</v>
      </c>
      <c r="P100" t="n">
        <v>0</v>
      </c>
      <c r="Q100" t="n">
        <v>1</v>
      </c>
      <c r="R100" s="2" t="inlineStr">
        <is>
          <t>Dofttaggsvamp</t>
        </is>
      </c>
      <c r="S100">
        <f>HYPERLINK("https://klasma.github.io/Logging_0188/artfynd/A 33548-2025 artfynd.xlsx", "A 33548-2025")</f>
        <v/>
      </c>
      <c r="T100">
        <f>HYPERLINK("https://klasma.github.io/Logging_0188/kartor/A 33548-2025 karta.png", "A 33548-2025")</f>
        <v/>
      </c>
      <c r="V100">
        <f>HYPERLINK("https://klasma.github.io/Logging_0188/klagomål/A 33548-2025 FSC-klagomål.docx", "A 33548-2025")</f>
        <v/>
      </c>
      <c r="W100">
        <f>HYPERLINK("https://klasma.github.io/Logging_0188/klagomålsmail/A 33548-2025 FSC-klagomål mail.docx", "A 33548-2025")</f>
        <v/>
      </c>
      <c r="X100">
        <f>HYPERLINK("https://klasma.github.io/Logging_0188/tillsyn/A 33548-2025 tillsynsbegäran.docx", "A 33548-2025")</f>
        <v/>
      </c>
      <c r="Y100">
        <f>HYPERLINK("https://klasma.github.io/Logging_0188/tillsynsmail/A 33548-2025 tillsynsbegäran mail.docx", "A 33548-2025")</f>
        <v/>
      </c>
    </row>
    <row r="101" ht="15" customHeight="1">
      <c r="A101" t="inlineStr">
        <is>
          <t>A 27538-2024</t>
        </is>
      </c>
      <c r="B101" s="1" t="n">
        <v>45474</v>
      </c>
      <c r="C101" s="1" t="n">
        <v>45895</v>
      </c>
      <c r="D101" t="inlineStr">
        <is>
          <t>STOCKHOLMS LÄN</t>
        </is>
      </c>
      <c r="E101" t="inlineStr">
        <is>
          <t>NORRTÄLJE</t>
        </is>
      </c>
      <c r="G101" t="n">
        <v>1.5</v>
      </c>
      <c r="H101" t="n">
        <v>1</v>
      </c>
      <c r="I101" t="n">
        <v>1</v>
      </c>
      <c r="J101" t="n">
        <v>0</v>
      </c>
      <c r="K101" t="n">
        <v>0</v>
      </c>
      <c r="L101" t="n">
        <v>0</v>
      </c>
      <c r="M101" t="n">
        <v>0</v>
      </c>
      <c r="N101" t="n">
        <v>0</v>
      </c>
      <c r="O101" t="n">
        <v>0</v>
      </c>
      <c r="P101" t="n">
        <v>0</v>
      </c>
      <c r="Q101" t="n">
        <v>1</v>
      </c>
      <c r="R101" s="2" t="inlineStr">
        <is>
          <t>Skogsknipprot</t>
        </is>
      </c>
      <c r="S101">
        <f>HYPERLINK("https://klasma.github.io/Logging_0188/artfynd/A 27538-2024 artfynd.xlsx", "A 27538-2024")</f>
        <v/>
      </c>
      <c r="T101">
        <f>HYPERLINK("https://klasma.github.io/Logging_0188/kartor/A 27538-2024 karta.png", "A 27538-2024")</f>
        <v/>
      </c>
      <c r="V101">
        <f>HYPERLINK("https://klasma.github.io/Logging_0188/klagomål/A 27538-2024 FSC-klagomål.docx", "A 27538-2024")</f>
        <v/>
      </c>
      <c r="W101">
        <f>HYPERLINK("https://klasma.github.io/Logging_0188/klagomålsmail/A 27538-2024 FSC-klagomål mail.docx", "A 27538-2024")</f>
        <v/>
      </c>
      <c r="X101">
        <f>HYPERLINK("https://klasma.github.io/Logging_0188/tillsyn/A 27538-2024 tillsynsbegäran.docx", "A 27538-2024")</f>
        <v/>
      </c>
      <c r="Y101">
        <f>HYPERLINK("https://klasma.github.io/Logging_0188/tillsynsmail/A 27538-2024 tillsynsbegäran mail.docx", "A 27538-2024")</f>
        <v/>
      </c>
    </row>
    <row r="102" ht="15" customHeight="1">
      <c r="A102" t="inlineStr">
        <is>
          <t>A 13271-2025</t>
        </is>
      </c>
      <c r="B102" s="1" t="n">
        <v>45735.54510416667</v>
      </c>
      <c r="C102" s="1" t="n">
        <v>45895</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39158-2025</t>
        </is>
      </c>
      <c r="B103" s="1" t="n">
        <v>45888.62712962963</v>
      </c>
      <c r="C103" s="1" t="n">
        <v>45895</v>
      </c>
      <c r="D103" t="inlineStr">
        <is>
          <t>STOCKHOLMS LÄN</t>
        </is>
      </c>
      <c r="E103" t="inlineStr">
        <is>
          <t>NORRTÄLJE</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HYPERLINK("https://klasma.github.io/Logging_0188/artfynd/A 39158-2025 artfynd.xlsx", "A 39158-2025")</f>
        <v/>
      </c>
      <c r="T103">
        <f>HYPERLINK("https://klasma.github.io/Logging_0188/kartor/A 39158-2025 karta.png", "A 39158-2025")</f>
        <v/>
      </c>
      <c r="V103">
        <f>HYPERLINK("https://klasma.github.io/Logging_0188/klagomål/A 39158-2025 FSC-klagomål.docx", "A 39158-2025")</f>
        <v/>
      </c>
      <c r="W103">
        <f>HYPERLINK("https://klasma.github.io/Logging_0188/klagomålsmail/A 39158-2025 FSC-klagomål mail.docx", "A 39158-2025")</f>
        <v/>
      </c>
      <c r="X103">
        <f>HYPERLINK("https://klasma.github.io/Logging_0188/tillsyn/A 39158-2025 tillsynsbegäran.docx", "A 39158-2025")</f>
        <v/>
      </c>
      <c r="Y103">
        <f>HYPERLINK("https://klasma.github.io/Logging_0188/tillsynsmail/A 39158-2025 tillsynsbegäran mail.docx", "A 39158-2025")</f>
        <v/>
      </c>
    </row>
    <row r="104" ht="15" customHeight="1">
      <c r="A104" t="inlineStr">
        <is>
          <t>A 4385-2023</t>
        </is>
      </c>
      <c r="B104" s="1" t="n">
        <v>44955.71322916666</v>
      </c>
      <c r="C104" s="1" t="n">
        <v>45895</v>
      </c>
      <c r="D104" t="inlineStr">
        <is>
          <t>STOCKHOLMS LÄN</t>
        </is>
      </c>
      <c r="E104" t="inlineStr">
        <is>
          <t>NORRTÄLJE</t>
        </is>
      </c>
      <c r="G104" t="n">
        <v>7.8</v>
      </c>
      <c r="H104" t="n">
        <v>1</v>
      </c>
      <c r="I104" t="n">
        <v>1</v>
      </c>
      <c r="J104" t="n">
        <v>0</v>
      </c>
      <c r="K104" t="n">
        <v>0</v>
      </c>
      <c r="L104" t="n">
        <v>0</v>
      </c>
      <c r="M104" t="n">
        <v>0</v>
      </c>
      <c r="N104" t="n">
        <v>0</v>
      </c>
      <c r="O104" t="n">
        <v>0</v>
      </c>
      <c r="P104" t="n">
        <v>0</v>
      </c>
      <c r="Q104" t="n">
        <v>1</v>
      </c>
      <c r="R104" s="2" t="inlineStr">
        <is>
          <t>Skogsknipprot</t>
        </is>
      </c>
      <c r="S104">
        <f>HYPERLINK("https://klasma.github.io/Logging_0188/artfynd/A 4385-2023 artfynd.xlsx", "A 4385-2023")</f>
        <v/>
      </c>
      <c r="T104">
        <f>HYPERLINK("https://klasma.github.io/Logging_0188/kartor/A 4385-2023 karta.png", "A 4385-2023")</f>
        <v/>
      </c>
      <c r="V104">
        <f>HYPERLINK("https://klasma.github.io/Logging_0188/klagomål/A 4385-2023 FSC-klagomål.docx", "A 4385-2023")</f>
        <v/>
      </c>
      <c r="W104">
        <f>HYPERLINK("https://klasma.github.io/Logging_0188/klagomålsmail/A 4385-2023 FSC-klagomål mail.docx", "A 4385-2023")</f>
        <v/>
      </c>
      <c r="X104">
        <f>HYPERLINK("https://klasma.github.io/Logging_0188/tillsyn/A 4385-2023 tillsynsbegäran.docx", "A 4385-2023")</f>
        <v/>
      </c>
      <c r="Y104">
        <f>HYPERLINK("https://klasma.github.io/Logging_0188/tillsynsmail/A 4385-2023 tillsynsbegäran mail.docx", "A 4385-2023")</f>
        <v/>
      </c>
    </row>
    <row r="105" ht="15" customHeight="1">
      <c r="A105" t="inlineStr">
        <is>
          <t>A 24330-2023</t>
        </is>
      </c>
      <c r="B105" s="1" t="n">
        <v>45081</v>
      </c>
      <c r="C105" s="1" t="n">
        <v>45895</v>
      </c>
      <c r="D105" t="inlineStr">
        <is>
          <t>STOCKHOLMS LÄN</t>
        </is>
      </c>
      <c r="E105" t="inlineStr">
        <is>
          <t>NORRTÄLJE</t>
        </is>
      </c>
      <c r="G105" t="n">
        <v>5</v>
      </c>
      <c r="H105" t="n">
        <v>1</v>
      </c>
      <c r="I105" t="n">
        <v>0</v>
      </c>
      <c r="J105" t="n">
        <v>1</v>
      </c>
      <c r="K105" t="n">
        <v>0</v>
      </c>
      <c r="L105" t="n">
        <v>0</v>
      </c>
      <c r="M105" t="n">
        <v>0</v>
      </c>
      <c r="N105" t="n">
        <v>0</v>
      </c>
      <c r="O105" t="n">
        <v>1</v>
      </c>
      <c r="P105" t="n">
        <v>0</v>
      </c>
      <c r="Q105" t="n">
        <v>1</v>
      </c>
      <c r="R105" s="2" t="inlineStr">
        <is>
          <t>Mindre hackspett</t>
        </is>
      </c>
      <c r="S105">
        <f>HYPERLINK("https://klasma.github.io/Logging_0188/artfynd/A 24330-2023 artfynd.xlsx", "A 24330-2023")</f>
        <v/>
      </c>
      <c r="T105">
        <f>HYPERLINK("https://klasma.github.io/Logging_0188/kartor/A 24330-2023 karta.png", "A 24330-2023")</f>
        <v/>
      </c>
      <c r="V105">
        <f>HYPERLINK("https://klasma.github.io/Logging_0188/klagomål/A 24330-2023 FSC-klagomål.docx", "A 24330-2023")</f>
        <v/>
      </c>
      <c r="W105">
        <f>HYPERLINK("https://klasma.github.io/Logging_0188/klagomålsmail/A 24330-2023 FSC-klagomål mail.docx", "A 24330-2023")</f>
        <v/>
      </c>
      <c r="X105">
        <f>HYPERLINK("https://klasma.github.io/Logging_0188/tillsyn/A 24330-2023 tillsynsbegäran.docx", "A 24330-2023")</f>
        <v/>
      </c>
      <c r="Y105">
        <f>HYPERLINK("https://klasma.github.io/Logging_0188/tillsynsmail/A 24330-2023 tillsynsbegäran mail.docx", "A 24330-2023")</f>
        <v/>
      </c>
      <c r="Z105">
        <f>HYPERLINK("https://klasma.github.io/Logging_0188/fåglar/A 24330-2023 prioriterade fågelarter.docx", "A 24330-2023")</f>
        <v/>
      </c>
    </row>
    <row r="106" ht="15" customHeight="1">
      <c r="A106" t="inlineStr">
        <is>
          <t>A 24535-2023</t>
        </is>
      </c>
      <c r="B106" s="1" t="n">
        <v>45082</v>
      </c>
      <c r="C106" s="1" t="n">
        <v>45895</v>
      </c>
      <c r="D106" t="inlineStr">
        <is>
          <t>STOCKHOLMS LÄN</t>
        </is>
      </c>
      <c r="E106" t="inlineStr">
        <is>
          <t>NORRTÄLJE</t>
        </is>
      </c>
      <c r="F106" t="inlineStr">
        <is>
          <t>Kommuner</t>
        </is>
      </c>
      <c r="G106" t="n">
        <v>2</v>
      </c>
      <c r="H106" t="n">
        <v>1</v>
      </c>
      <c r="I106" t="n">
        <v>0</v>
      </c>
      <c r="J106" t="n">
        <v>0</v>
      </c>
      <c r="K106" t="n">
        <v>0</v>
      </c>
      <c r="L106" t="n">
        <v>0</v>
      </c>
      <c r="M106" t="n">
        <v>0</v>
      </c>
      <c r="N106" t="n">
        <v>0</v>
      </c>
      <c r="O106" t="n">
        <v>0</v>
      </c>
      <c r="P106" t="n">
        <v>0</v>
      </c>
      <c r="Q106" t="n">
        <v>1</v>
      </c>
      <c r="R106" s="2" t="inlineStr">
        <is>
          <t>Blåsippa</t>
        </is>
      </c>
      <c r="S106">
        <f>HYPERLINK("https://klasma.github.io/Logging_0188/artfynd/A 24535-2023 artfynd.xlsx", "A 24535-2023")</f>
        <v/>
      </c>
      <c r="T106">
        <f>HYPERLINK("https://klasma.github.io/Logging_0188/kartor/A 24535-2023 karta.png", "A 24535-2023")</f>
        <v/>
      </c>
      <c r="V106">
        <f>HYPERLINK("https://klasma.github.io/Logging_0188/klagomål/A 24535-2023 FSC-klagomål.docx", "A 24535-2023")</f>
        <v/>
      </c>
      <c r="W106">
        <f>HYPERLINK("https://klasma.github.io/Logging_0188/klagomålsmail/A 24535-2023 FSC-klagomål mail.docx", "A 24535-2023")</f>
        <v/>
      </c>
      <c r="X106">
        <f>HYPERLINK("https://klasma.github.io/Logging_0188/tillsyn/A 24535-2023 tillsynsbegäran.docx", "A 24535-2023")</f>
        <v/>
      </c>
      <c r="Y106">
        <f>HYPERLINK("https://klasma.github.io/Logging_0188/tillsynsmail/A 24535-2023 tillsynsbegäran mail.docx", "A 24535-2023")</f>
        <v/>
      </c>
    </row>
    <row r="107" ht="15" customHeight="1">
      <c r="A107" t="inlineStr">
        <is>
          <t>A 52611-2024</t>
        </is>
      </c>
      <c r="B107" s="1" t="n">
        <v>45609.83747685186</v>
      </c>
      <c r="C107" s="1" t="n">
        <v>45895</v>
      </c>
      <c r="D107" t="inlineStr">
        <is>
          <t>STOCKHOLMS LÄN</t>
        </is>
      </c>
      <c r="E107" t="inlineStr">
        <is>
          <t>NORRTÄLJE</t>
        </is>
      </c>
      <c r="G107" t="n">
        <v>10.6</v>
      </c>
      <c r="H107" t="n">
        <v>1</v>
      </c>
      <c r="I107" t="n">
        <v>0</v>
      </c>
      <c r="J107" t="n">
        <v>0</v>
      </c>
      <c r="K107" t="n">
        <v>0</v>
      </c>
      <c r="L107" t="n">
        <v>0</v>
      </c>
      <c r="M107" t="n">
        <v>0</v>
      </c>
      <c r="N107" t="n">
        <v>0</v>
      </c>
      <c r="O107" t="n">
        <v>0</v>
      </c>
      <c r="P107" t="n">
        <v>0</v>
      </c>
      <c r="Q107" t="n">
        <v>1</v>
      </c>
      <c r="R107" s="2" t="inlineStr">
        <is>
          <t>Blåsippa</t>
        </is>
      </c>
      <c r="S107">
        <f>HYPERLINK("https://klasma.github.io/Logging_0188/artfynd/A 52611-2024 artfynd.xlsx", "A 52611-2024")</f>
        <v/>
      </c>
      <c r="T107">
        <f>HYPERLINK("https://klasma.github.io/Logging_0188/kartor/A 52611-2024 karta.png", "A 52611-2024")</f>
        <v/>
      </c>
      <c r="V107">
        <f>HYPERLINK("https://klasma.github.io/Logging_0188/klagomål/A 52611-2024 FSC-klagomål.docx", "A 52611-2024")</f>
        <v/>
      </c>
      <c r="W107">
        <f>HYPERLINK("https://klasma.github.io/Logging_0188/klagomålsmail/A 52611-2024 FSC-klagomål mail.docx", "A 52611-2024")</f>
        <v/>
      </c>
      <c r="X107">
        <f>HYPERLINK("https://klasma.github.io/Logging_0188/tillsyn/A 52611-2024 tillsynsbegäran.docx", "A 52611-2024")</f>
        <v/>
      </c>
      <c r="Y107">
        <f>HYPERLINK("https://klasma.github.io/Logging_0188/tillsynsmail/A 52611-2024 tillsynsbegäran mail.docx", "A 52611-2024")</f>
        <v/>
      </c>
    </row>
    <row r="108" ht="15" customHeight="1">
      <c r="A108" t="inlineStr">
        <is>
          <t>A 52508-2023</t>
        </is>
      </c>
      <c r="B108" s="1" t="n">
        <v>45225</v>
      </c>
      <c r="C108" s="1" t="n">
        <v>45895</v>
      </c>
      <c r="D108" t="inlineStr">
        <is>
          <t>STOCKHOLMS LÄN</t>
        </is>
      </c>
      <c r="E108" t="inlineStr">
        <is>
          <t>NORRTÄLJE</t>
        </is>
      </c>
      <c r="G108" t="n">
        <v>19.7</v>
      </c>
      <c r="H108" t="n">
        <v>1</v>
      </c>
      <c r="I108" t="n">
        <v>0</v>
      </c>
      <c r="J108" t="n">
        <v>0</v>
      </c>
      <c r="K108" t="n">
        <v>1</v>
      </c>
      <c r="L108" t="n">
        <v>0</v>
      </c>
      <c r="M108" t="n">
        <v>0</v>
      </c>
      <c r="N108" t="n">
        <v>0</v>
      </c>
      <c r="O108" t="n">
        <v>1</v>
      </c>
      <c r="P108" t="n">
        <v>1</v>
      </c>
      <c r="Q108" t="n">
        <v>1</v>
      </c>
      <c r="R108" s="2" t="inlineStr">
        <is>
          <t>Svärta</t>
        </is>
      </c>
      <c r="S108">
        <f>HYPERLINK("https://klasma.github.io/Logging_0188/artfynd/A 52508-2023 artfynd.xlsx", "A 52508-2023")</f>
        <v/>
      </c>
      <c r="T108">
        <f>HYPERLINK("https://klasma.github.io/Logging_0188/kartor/A 52508-2023 karta.png", "A 52508-2023")</f>
        <v/>
      </c>
      <c r="V108">
        <f>HYPERLINK("https://klasma.github.io/Logging_0188/klagomål/A 52508-2023 FSC-klagomål.docx", "A 52508-2023")</f>
        <v/>
      </c>
      <c r="W108">
        <f>HYPERLINK("https://klasma.github.io/Logging_0188/klagomålsmail/A 52508-2023 FSC-klagomål mail.docx", "A 52508-2023")</f>
        <v/>
      </c>
      <c r="X108">
        <f>HYPERLINK("https://klasma.github.io/Logging_0188/tillsyn/A 52508-2023 tillsynsbegäran.docx", "A 52508-2023")</f>
        <v/>
      </c>
      <c r="Y108">
        <f>HYPERLINK("https://klasma.github.io/Logging_0188/tillsynsmail/A 52508-2023 tillsynsbegäran mail.docx", "A 52508-2023")</f>
        <v/>
      </c>
    </row>
    <row r="109" ht="15" customHeight="1">
      <c r="A109" t="inlineStr">
        <is>
          <t>A 26635-2023</t>
        </is>
      </c>
      <c r="B109" s="1" t="n">
        <v>45092</v>
      </c>
      <c r="C109" s="1" t="n">
        <v>45895</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48131-2023</t>
        </is>
      </c>
      <c r="B110" s="1" t="n">
        <v>45205</v>
      </c>
      <c r="C110" s="1" t="n">
        <v>45895</v>
      </c>
      <c r="D110" t="inlineStr">
        <is>
          <t>STOCKHOLMS LÄN</t>
        </is>
      </c>
      <c r="E110" t="inlineStr">
        <is>
          <t>NORRTÄLJE</t>
        </is>
      </c>
      <c r="G110" t="n">
        <v>2.3</v>
      </c>
      <c r="H110" t="n">
        <v>0</v>
      </c>
      <c r="I110" t="n">
        <v>0</v>
      </c>
      <c r="J110" t="n">
        <v>1</v>
      </c>
      <c r="K110" t="n">
        <v>0</v>
      </c>
      <c r="L110" t="n">
        <v>0</v>
      </c>
      <c r="M110" t="n">
        <v>0</v>
      </c>
      <c r="N110" t="n">
        <v>0</v>
      </c>
      <c r="O110" t="n">
        <v>1</v>
      </c>
      <c r="P110" t="n">
        <v>0</v>
      </c>
      <c r="Q110" t="n">
        <v>1</v>
      </c>
      <c r="R110" s="2" t="inlineStr">
        <is>
          <t>Slåtterfibbla</t>
        </is>
      </c>
      <c r="S110">
        <f>HYPERLINK("https://klasma.github.io/Logging_0188/artfynd/A 48131-2023 artfynd.xlsx", "A 48131-2023")</f>
        <v/>
      </c>
      <c r="T110">
        <f>HYPERLINK("https://klasma.github.io/Logging_0188/kartor/A 48131-2023 karta.png", "A 48131-2023")</f>
        <v/>
      </c>
      <c r="V110">
        <f>HYPERLINK("https://klasma.github.io/Logging_0188/klagomål/A 48131-2023 FSC-klagomål.docx", "A 48131-2023")</f>
        <v/>
      </c>
      <c r="W110">
        <f>HYPERLINK("https://klasma.github.io/Logging_0188/klagomålsmail/A 48131-2023 FSC-klagomål mail.docx", "A 48131-2023")</f>
        <v/>
      </c>
      <c r="X110">
        <f>HYPERLINK("https://klasma.github.io/Logging_0188/tillsyn/A 48131-2023 tillsynsbegäran.docx", "A 48131-2023")</f>
        <v/>
      </c>
      <c r="Y110">
        <f>HYPERLINK("https://klasma.github.io/Logging_0188/tillsynsmail/A 48131-2023 tillsynsbegäran mail.docx", "A 48131-2023")</f>
        <v/>
      </c>
    </row>
    <row r="111" ht="15" customHeight="1">
      <c r="A111" t="inlineStr">
        <is>
          <t>A 1970-2021</t>
        </is>
      </c>
      <c r="B111" s="1" t="n">
        <v>44210</v>
      </c>
      <c r="C111" s="1" t="n">
        <v>45895</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45895</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45895</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45895</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45895</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45895</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43036-2022</t>
        </is>
      </c>
      <c r="B117" s="1" t="n">
        <v>44833</v>
      </c>
      <c r="C117" s="1" t="n">
        <v>45895</v>
      </c>
      <c r="D117" t="inlineStr">
        <is>
          <t>STOCKHOLMS LÄN</t>
        </is>
      </c>
      <c r="E117" t="inlineStr">
        <is>
          <t>NORRTÄLJE</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47344-2021</t>
        </is>
      </c>
      <c r="B118" s="1" t="n">
        <v>44447</v>
      </c>
      <c r="C118" s="1" t="n">
        <v>45895</v>
      </c>
      <c r="D118" t="inlineStr">
        <is>
          <t>STOCKHOLMS LÄN</t>
        </is>
      </c>
      <c r="E118" t="inlineStr">
        <is>
          <t>NORRTÄLJE</t>
        </is>
      </c>
      <c r="G118" t="n">
        <v>3.3</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45895</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45895</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45895</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45895</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45895</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45895</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45895</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45895</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45895</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45895</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45895</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11821-2022</t>
        </is>
      </c>
      <c r="B130" s="1" t="n">
        <v>44634</v>
      </c>
      <c r="C130" s="1" t="n">
        <v>45895</v>
      </c>
      <c r="D130" t="inlineStr">
        <is>
          <t>STOCKHOLMS LÄN</t>
        </is>
      </c>
      <c r="E130" t="inlineStr">
        <is>
          <t>NORRTÄLJE</t>
        </is>
      </c>
      <c r="G130" t="n">
        <v>1.1</v>
      </c>
      <c r="H130" t="n">
        <v>0</v>
      </c>
      <c r="I130" t="n">
        <v>0</v>
      </c>
      <c r="J130" t="n">
        <v>0</v>
      </c>
      <c r="K130" t="n">
        <v>0</v>
      </c>
      <c r="L130" t="n">
        <v>0</v>
      </c>
      <c r="M130" t="n">
        <v>0</v>
      </c>
      <c r="N130" t="n">
        <v>0</v>
      </c>
      <c r="O130" t="n">
        <v>0</v>
      </c>
      <c r="P130" t="n">
        <v>0</v>
      </c>
      <c r="Q130" t="n">
        <v>0</v>
      </c>
      <c r="R130" s="2" t="inlineStr"/>
    </row>
    <row r="131" ht="15" customHeight="1">
      <c r="A131" t="inlineStr">
        <is>
          <t>A 2977-2022</t>
        </is>
      </c>
      <c r="B131" s="1" t="n">
        <v>44581.75819444445</v>
      </c>
      <c r="C131" s="1" t="n">
        <v>45895</v>
      </c>
      <c r="D131" t="inlineStr">
        <is>
          <t>STOCKHOLMS LÄN</t>
        </is>
      </c>
      <c r="E131" t="inlineStr">
        <is>
          <t>NORRTÄLJE</t>
        </is>
      </c>
      <c r="G131" t="n">
        <v>0.9</v>
      </c>
      <c r="H131" t="n">
        <v>0</v>
      </c>
      <c r="I131" t="n">
        <v>0</v>
      </c>
      <c r="J131" t="n">
        <v>0</v>
      </c>
      <c r="K131" t="n">
        <v>0</v>
      </c>
      <c r="L131" t="n">
        <v>0</v>
      </c>
      <c r="M131" t="n">
        <v>0</v>
      </c>
      <c r="N131" t="n">
        <v>0</v>
      </c>
      <c r="O131" t="n">
        <v>0</v>
      </c>
      <c r="P131" t="n">
        <v>0</v>
      </c>
      <c r="Q131" t="n">
        <v>0</v>
      </c>
      <c r="R131" s="2" t="inlineStr"/>
    </row>
    <row r="132" ht="15" customHeight="1">
      <c r="A132" t="inlineStr">
        <is>
          <t>A 54272-2021</t>
        </is>
      </c>
      <c r="B132" s="1" t="n">
        <v>44470.72148148148</v>
      </c>
      <c r="C132" s="1" t="n">
        <v>45895</v>
      </c>
      <c r="D132" t="inlineStr">
        <is>
          <t>STOCKHOLMS LÄN</t>
        </is>
      </c>
      <c r="E132" t="inlineStr">
        <is>
          <t>NORRTÄLJE</t>
        </is>
      </c>
      <c r="G132" t="n">
        <v>5.8</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45895</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45895</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45895</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45895</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45895</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65737-2021</t>
        </is>
      </c>
      <c r="B138" s="1" t="n">
        <v>44516.72827546296</v>
      </c>
      <c r="C138" s="1" t="n">
        <v>45895</v>
      </c>
      <c r="D138" t="inlineStr">
        <is>
          <t>STOCKHOLMS LÄN</t>
        </is>
      </c>
      <c r="E138" t="inlineStr">
        <is>
          <t>NORRTÄLJE</t>
        </is>
      </c>
      <c r="G138" t="n">
        <v>3</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45895</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48496-2020</t>
        </is>
      </c>
      <c r="B140" s="1" t="n">
        <v>44103</v>
      </c>
      <c r="C140" s="1" t="n">
        <v>45895</v>
      </c>
      <c r="D140" t="inlineStr">
        <is>
          <t>STOCKHOLMS LÄN</t>
        </is>
      </c>
      <c r="E140" t="inlineStr">
        <is>
          <t>NORRTÄLJE</t>
        </is>
      </c>
      <c r="F140" t="inlineStr">
        <is>
          <t>Holmen skog AB</t>
        </is>
      </c>
      <c r="G140" t="n">
        <v>1.5</v>
      </c>
      <c r="H140" t="n">
        <v>0</v>
      </c>
      <c r="I140" t="n">
        <v>0</v>
      </c>
      <c r="J140" t="n">
        <v>0</v>
      </c>
      <c r="K140" t="n">
        <v>0</v>
      </c>
      <c r="L140" t="n">
        <v>0</v>
      </c>
      <c r="M140" t="n">
        <v>0</v>
      </c>
      <c r="N140" t="n">
        <v>0</v>
      </c>
      <c r="O140" t="n">
        <v>0</v>
      </c>
      <c r="P140" t="n">
        <v>0</v>
      </c>
      <c r="Q140" t="n">
        <v>0</v>
      </c>
      <c r="R140" s="2" t="inlineStr"/>
    </row>
    <row r="141" ht="15" customHeight="1">
      <c r="A141" t="inlineStr">
        <is>
          <t>A 52133-2022</t>
        </is>
      </c>
      <c r="B141" s="1" t="n">
        <v>44868</v>
      </c>
      <c r="C141" s="1" t="n">
        <v>45895</v>
      </c>
      <c r="D141" t="inlineStr">
        <is>
          <t>STOCKHOLMS LÄN</t>
        </is>
      </c>
      <c r="E141" t="inlineStr">
        <is>
          <t>NORRTÄLJE</t>
        </is>
      </c>
      <c r="G141" t="n">
        <v>11.5</v>
      </c>
      <c r="H141" t="n">
        <v>0</v>
      </c>
      <c r="I141" t="n">
        <v>0</v>
      </c>
      <c r="J141" t="n">
        <v>0</v>
      </c>
      <c r="K141" t="n">
        <v>0</v>
      </c>
      <c r="L141" t="n">
        <v>0</v>
      </c>
      <c r="M141" t="n">
        <v>0</v>
      </c>
      <c r="N141" t="n">
        <v>0</v>
      </c>
      <c r="O141" t="n">
        <v>0</v>
      </c>
      <c r="P141" t="n">
        <v>0</v>
      </c>
      <c r="Q141" t="n">
        <v>0</v>
      </c>
      <c r="R141" s="2" t="inlineStr"/>
    </row>
    <row r="142" ht="15" customHeight="1">
      <c r="A142" t="inlineStr">
        <is>
          <t>A 43374-2022</t>
        </is>
      </c>
      <c r="B142" s="1" t="n">
        <v>44834</v>
      </c>
      <c r="C142" s="1" t="n">
        <v>45895</v>
      </c>
      <c r="D142" t="inlineStr">
        <is>
          <t>STOCKHOLMS LÄN</t>
        </is>
      </c>
      <c r="E142" t="inlineStr">
        <is>
          <t>NORRTÄLJE</t>
        </is>
      </c>
      <c r="G142" t="n">
        <v>0.7</v>
      </c>
      <c r="H142" t="n">
        <v>0</v>
      </c>
      <c r="I142" t="n">
        <v>0</v>
      </c>
      <c r="J142" t="n">
        <v>0</v>
      </c>
      <c r="K142" t="n">
        <v>0</v>
      </c>
      <c r="L142" t="n">
        <v>0</v>
      </c>
      <c r="M142" t="n">
        <v>0</v>
      </c>
      <c r="N142" t="n">
        <v>0</v>
      </c>
      <c r="O142" t="n">
        <v>0</v>
      </c>
      <c r="P142" t="n">
        <v>0</v>
      </c>
      <c r="Q142" t="n">
        <v>0</v>
      </c>
      <c r="R142" s="2" t="inlineStr"/>
    </row>
    <row r="143" ht="15" customHeight="1">
      <c r="A143" t="inlineStr">
        <is>
          <t>A 19283-2021</t>
        </is>
      </c>
      <c r="B143" s="1" t="n">
        <v>44309.47061342592</v>
      </c>
      <c r="C143" s="1" t="n">
        <v>45895</v>
      </c>
      <c r="D143" t="inlineStr">
        <is>
          <t>STOCKHOLMS LÄN</t>
        </is>
      </c>
      <c r="E143" t="inlineStr">
        <is>
          <t>NORRTÄLJE</t>
        </is>
      </c>
      <c r="F143" t="inlineStr">
        <is>
          <t>Holmen skog AB</t>
        </is>
      </c>
      <c r="G143" t="n">
        <v>0.6</v>
      </c>
      <c r="H143" t="n">
        <v>0</v>
      </c>
      <c r="I143" t="n">
        <v>0</v>
      </c>
      <c r="J143" t="n">
        <v>0</v>
      </c>
      <c r="K143" t="n">
        <v>0</v>
      </c>
      <c r="L143" t="n">
        <v>0</v>
      </c>
      <c r="M143" t="n">
        <v>0</v>
      </c>
      <c r="N143" t="n">
        <v>0</v>
      </c>
      <c r="O143" t="n">
        <v>0</v>
      </c>
      <c r="P143" t="n">
        <v>0</v>
      </c>
      <c r="Q143" t="n">
        <v>0</v>
      </c>
      <c r="R143" s="2" t="inlineStr"/>
    </row>
    <row r="144" ht="15" customHeight="1">
      <c r="A144" t="inlineStr">
        <is>
          <t>A 37712-2021</t>
        </is>
      </c>
      <c r="B144" s="1" t="n">
        <v>44400</v>
      </c>
      <c r="C144" s="1" t="n">
        <v>45895</v>
      </c>
      <c r="D144" t="inlineStr">
        <is>
          <t>STOCKHOLMS LÄN</t>
        </is>
      </c>
      <c r="E144" t="inlineStr">
        <is>
          <t>NORRTÄLJE</t>
        </is>
      </c>
      <c r="G144" t="n">
        <v>22.9</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45895</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48492-2022</t>
        </is>
      </c>
      <c r="B146" s="1" t="n">
        <v>44858</v>
      </c>
      <c r="C146" s="1" t="n">
        <v>45895</v>
      </c>
      <c r="D146" t="inlineStr">
        <is>
          <t>STOCKHOLMS LÄN</t>
        </is>
      </c>
      <c r="E146" t="inlineStr">
        <is>
          <t>NORRTÄLJE</t>
        </is>
      </c>
      <c r="G146" t="n">
        <v>0.7</v>
      </c>
      <c r="H146" t="n">
        <v>0</v>
      </c>
      <c r="I146" t="n">
        <v>0</v>
      </c>
      <c r="J146" t="n">
        <v>0</v>
      </c>
      <c r="K146" t="n">
        <v>0</v>
      </c>
      <c r="L146" t="n">
        <v>0</v>
      </c>
      <c r="M146" t="n">
        <v>0</v>
      </c>
      <c r="N146" t="n">
        <v>0</v>
      </c>
      <c r="O146" t="n">
        <v>0</v>
      </c>
      <c r="P146" t="n">
        <v>0</v>
      </c>
      <c r="Q146" t="n">
        <v>0</v>
      </c>
      <c r="R146" s="2" t="inlineStr"/>
    </row>
    <row r="147" ht="15" customHeight="1">
      <c r="A147" t="inlineStr">
        <is>
          <t>A 8338-2021</t>
        </is>
      </c>
      <c r="B147" s="1" t="n">
        <v>44244</v>
      </c>
      <c r="C147" s="1" t="n">
        <v>45895</v>
      </c>
      <c r="D147" t="inlineStr">
        <is>
          <t>STOCKHOLMS LÄN</t>
        </is>
      </c>
      <c r="E147" t="inlineStr">
        <is>
          <t>NORRTÄLJE</t>
        </is>
      </c>
      <c r="G147" t="n">
        <v>1.4</v>
      </c>
      <c r="H147" t="n">
        <v>0</v>
      </c>
      <c r="I147" t="n">
        <v>0</v>
      </c>
      <c r="J147" t="n">
        <v>0</v>
      </c>
      <c r="K147" t="n">
        <v>0</v>
      </c>
      <c r="L147" t="n">
        <v>0</v>
      </c>
      <c r="M147" t="n">
        <v>0</v>
      </c>
      <c r="N147" t="n">
        <v>0</v>
      </c>
      <c r="O147" t="n">
        <v>0</v>
      </c>
      <c r="P147" t="n">
        <v>0</v>
      </c>
      <c r="Q147" t="n">
        <v>0</v>
      </c>
      <c r="R147" s="2" t="inlineStr"/>
    </row>
    <row r="148" ht="15" customHeight="1">
      <c r="A148" t="inlineStr">
        <is>
          <t>A 18905-2022</t>
        </is>
      </c>
      <c r="B148" s="1" t="n">
        <v>44690</v>
      </c>
      <c r="C148" s="1" t="n">
        <v>45895</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60822-2021</t>
        </is>
      </c>
      <c r="B149" s="1" t="n">
        <v>44496</v>
      </c>
      <c r="C149" s="1" t="n">
        <v>45895</v>
      </c>
      <c r="D149" t="inlineStr">
        <is>
          <t>STOCKHOLMS LÄN</t>
        </is>
      </c>
      <c r="E149" t="inlineStr">
        <is>
          <t>NORRTÄLJE</t>
        </is>
      </c>
      <c r="G149" t="n">
        <v>7.6</v>
      </c>
      <c r="H149" t="n">
        <v>0</v>
      </c>
      <c r="I149" t="n">
        <v>0</v>
      </c>
      <c r="J149" t="n">
        <v>0</v>
      </c>
      <c r="K149" t="n">
        <v>0</v>
      </c>
      <c r="L149" t="n">
        <v>0</v>
      </c>
      <c r="M149" t="n">
        <v>0</v>
      </c>
      <c r="N149" t="n">
        <v>0</v>
      </c>
      <c r="O149" t="n">
        <v>0</v>
      </c>
      <c r="P149" t="n">
        <v>0</v>
      </c>
      <c r="Q149" t="n">
        <v>0</v>
      </c>
      <c r="R149" s="2" t="inlineStr"/>
    </row>
    <row r="150" ht="15" customHeight="1">
      <c r="A150" t="inlineStr">
        <is>
          <t>A 10711-2022</t>
        </is>
      </c>
      <c r="B150" s="1" t="n">
        <v>44626</v>
      </c>
      <c r="C150" s="1" t="n">
        <v>45895</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17777-2022</t>
        </is>
      </c>
      <c r="B151" s="1" t="n">
        <v>44682.79203703703</v>
      </c>
      <c r="C151" s="1" t="n">
        <v>45895</v>
      </c>
      <c r="D151" t="inlineStr">
        <is>
          <t>STOCKHOLMS LÄN</t>
        </is>
      </c>
      <c r="E151" t="inlineStr">
        <is>
          <t>NORRTÄLJE</t>
        </is>
      </c>
      <c r="G151" t="n">
        <v>3.7</v>
      </c>
      <c r="H151" t="n">
        <v>0</v>
      </c>
      <c r="I151" t="n">
        <v>0</v>
      </c>
      <c r="J151" t="n">
        <v>0</v>
      </c>
      <c r="K151" t="n">
        <v>0</v>
      </c>
      <c r="L151" t="n">
        <v>0</v>
      </c>
      <c r="M151" t="n">
        <v>0</v>
      </c>
      <c r="N151" t="n">
        <v>0</v>
      </c>
      <c r="O151" t="n">
        <v>0</v>
      </c>
      <c r="P151" t="n">
        <v>0</v>
      </c>
      <c r="Q151" t="n">
        <v>0</v>
      </c>
      <c r="R151" s="2" t="inlineStr"/>
    </row>
    <row r="152" ht="15" customHeight="1">
      <c r="A152" t="inlineStr">
        <is>
          <t>A 21723-2022</t>
        </is>
      </c>
      <c r="B152" s="1" t="n">
        <v>44708</v>
      </c>
      <c r="C152" s="1" t="n">
        <v>45895</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12816-2022</t>
        </is>
      </c>
      <c r="B153" s="1" t="n">
        <v>44642</v>
      </c>
      <c r="C153" s="1" t="n">
        <v>45895</v>
      </c>
      <c r="D153" t="inlineStr">
        <is>
          <t>STOCKHOLMS LÄN</t>
        </is>
      </c>
      <c r="E153" t="inlineStr">
        <is>
          <t>NORRTÄLJE</t>
        </is>
      </c>
      <c r="G153" t="n">
        <v>4.4</v>
      </c>
      <c r="H153" t="n">
        <v>0</v>
      </c>
      <c r="I153" t="n">
        <v>0</v>
      </c>
      <c r="J153" t="n">
        <v>0</v>
      </c>
      <c r="K153" t="n">
        <v>0</v>
      </c>
      <c r="L153" t="n">
        <v>0</v>
      </c>
      <c r="M153" t="n">
        <v>0</v>
      </c>
      <c r="N153" t="n">
        <v>0</v>
      </c>
      <c r="O153" t="n">
        <v>0</v>
      </c>
      <c r="P153" t="n">
        <v>0</v>
      </c>
      <c r="Q153" t="n">
        <v>0</v>
      </c>
      <c r="R153" s="2" t="inlineStr"/>
    </row>
    <row r="154" ht="15" customHeight="1">
      <c r="A154" t="inlineStr">
        <is>
          <t>A 9719-2021</t>
        </is>
      </c>
      <c r="B154" s="1" t="n">
        <v>44252</v>
      </c>
      <c r="C154" s="1" t="n">
        <v>45895</v>
      </c>
      <c r="D154" t="inlineStr">
        <is>
          <t>STOCKHOLMS LÄN</t>
        </is>
      </c>
      <c r="E154" t="inlineStr">
        <is>
          <t>NORRTÄLJE</t>
        </is>
      </c>
      <c r="F154" t="inlineStr">
        <is>
          <t>Holmen skog AB</t>
        </is>
      </c>
      <c r="G154" t="n">
        <v>2</v>
      </c>
      <c r="H154" t="n">
        <v>0</v>
      </c>
      <c r="I154" t="n">
        <v>0</v>
      </c>
      <c r="J154" t="n">
        <v>0</v>
      </c>
      <c r="K154" t="n">
        <v>0</v>
      </c>
      <c r="L154" t="n">
        <v>0</v>
      </c>
      <c r="M154" t="n">
        <v>0</v>
      </c>
      <c r="N154" t="n">
        <v>0</v>
      </c>
      <c r="O154" t="n">
        <v>0</v>
      </c>
      <c r="P154" t="n">
        <v>0</v>
      </c>
      <c r="Q154" t="n">
        <v>0</v>
      </c>
      <c r="R154" s="2" t="inlineStr"/>
    </row>
    <row r="155" ht="15" customHeight="1">
      <c r="A155" t="inlineStr">
        <is>
          <t>A 48384-2021</t>
        </is>
      </c>
      <c r="B155" s="1" t="n">
        <v>44451</v>
      </c>
      <c r="C155" s="1" t="n">
        <v>45895</v>
      </c>
      <c r="D155" t="inlineStr">
        <is>
          <t>STOCKHOLMS LÄN</t>
        </is>
      </c>
      <c r="E155" t="inlineStr">
        <is>
          <t>NORRTÄLJE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31807-2022</t>
        </is>
      </c>
      <c r="B156" s="1" t="n">
        <v>44776</v>
      </c>
      <c r="C156" s="1" t="n">
        <v>45895</v>
      </c>
      <c r="D156" t="inlineStr">
        <is>
          <t>STOCKHOLMS LÄN</t>
        </is>
      </c>
      <c r="E156" t="inlineStr">
        <is>
          <t>NORRTÄLJE</t>
        </is>
      </c>
      <c r="G156" t="n">
        <v>2.5</v>
      </c>
      <c r="H156" t="n">
        <v>0</v>
      </c>
      <c r="I156" t="n">
        <v>0</v>
      </c>
      <c r="J156" t="n">
        <v>0</v>
      </c>
      <c r="K156" t="n">
        <v>0</v>
      </c>
      <c r="L156" t="n">
        <v>0</v>
      </c>
      <c r="M156" t="n">
        <v>0</v>
      </c>
      <c r="N156" t="n">
        <v>0</v>
      </c>
      <c r="O156" t="n">
        <v>0</v>
      </c>
      <c r="P156" t="n">
        <v>0</v>
      </c>
      <c r="Q156" t="n">
        <v>0</v>
      </c>
      <c r="R156" s="2" t="inlineStr"/>
    </row>
    <row r="157" ht="15" customHeight="1">
      <c r="A157" t="inlineStr">
        <is>
          <t>A 48522-2020</t>
        </is>
      </c>
      <c r="B157" s="1" t="n">
        <v>44103</v>
      </c>
      <c r="C157" s="1" t="n">
        <v>45895</v>
      </c>
      <c r="D157" t="inlineStr">
        <is>
          <t>STOCKHOLMS LÄN</t>
        </is>
      </c>
      <c r="E157" t="inlineStr">
        <is>
          <t>NORRTÄLJE</t>
        </is>
      </c>
      <c r="F157" t="inlineStr">
        <is>
          <t>Holmen skog AB</t>
        </is>
      </c>
      <c r="G157" t="n">
        <v>1.3</v>
      </c>
      <c r="H157" t="n">
        <v>0</v>
      </c>
      <c r="I157" t="n">
        <v>0</v>
      </c>
      <c r="J157" t="n">
        <v>0</v>
      </c>
      <c r="K157" t="n">
        <v>0</v>
      </c>
      <c r="L157" t="n">
        <v>0</v>
      </c>
      <c r="M157" t="n">
        <v>0</v>
      </c>
      <c r="N157" t="n">
        <v>0</v>
      </c>
      <c r="O157" t="n">
        <v>0</v>
      </c>
      <c r="P157" t="n">
        <v>0</v>
      </c>
      <c r="Q157" t="n">
        <v>0</v>
      </c>
      <c r="R157" s="2" t="inlineStr"/>
    </row>
    <row r="158" ht="15" customHeight="1">
      <c r="A158" t="inlineStr">
        <is>
          <t>A 28209-2022</t>
        </is>
      </c>
      <c r="B158" s="1" t="n">
        <v>44746</v>
      </c>
      <c r="C158" s="1" t="n">
        <v>45895</v>
      </c>
      <c r="D158" t="inlineStr">
        <is>
          <t>STOCKHOLMS LÄN</t>
        </is>
      </c>
      <c r="E158" t="inlineStr">
        <is>
          <t>NORRTÄLJE</t>
        </is>
      </c>
      <c r="G158" t="n">
        <v>0.6</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45895</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2447-2021</t>
        </is>
      </c>
      <c r="B160" s="1" t="n">
        <v>44214</v>
      </c>
      <c r="C160" s="1" t="n">
        <v>45895</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45895</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24534-2022</t>
        </is>
      </c>
      <c r="B162" s="1" t="n">
        <v>44727</v>
      </c>
      <c r="C162" s="1" t="n">
        <v>45895</v>
      </c>
      <c r="D162" t="inlineStr">
        <is>
          <t>STOCKHOLMS LÄN</t>
        </is>
      </c>
      <c r="E162" t="inlineStr">
        <is>
          <t>NORRTÄLJE</t>
        </is>
      </c>
      <c r="G162" t="n">
        <v>2.8</v>
      </c>
      <c r="H162" t="n">
        <v>0</v>
      </c>
      <c r="I162" t="n">
        <v>0</v>
      </c>
      <c r="J162" t="n">
        <v>0</v>
      </c>
      <c r="K162" t="n">
        <v>0</v>
      </c>
      <c r="L162" t="n">
        <v>0</v>
      </c>
      <c r="M162" t="n">
        <v>0</v>
      </c>
      <c r="N162" t="n">
        <v>0</v>
      </c>
      <c r="O162" t="n">
        <v>0</v>
      </c>
      <c r="P162" t="n">
        <v>0</v>
      </c>
      <c r="Q162" t="n">
        <v>0</v>
      </c>
      <c r="R162" s="2" t="inlineStr"/>
    </row>
    <row r="163" ht="15" customHeight="1">
      <c r="A163" t="inlineStr">
        <is>
          <t>A 71876-2021</t>
        </is>
      </c>
      <c r="B163" s="1" t="n">
        <v>44543</v>
      </c>
      <c r="C163" s="1" t="n">
        <v>45895</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71878-2021</t>
        </is>
      </c>
      <c r="B164" s="1" t="n">
        <v>44543</v>
      </c>
      <c r="C164" s="1" t="n">
        <v>45895</v>
      </c>
      <c r="D164" t="inlineStr">
        <is>
          <t>STOCKHOLMS LÄN</t>
        </is>
      </c>
      <c r="E164" t="inlineStr">
        <is>
          <t>NORRTÄLJE</t>
        </is>
      </c>
      <c r="G164" t="n">
        <v>1.2</v>
      </c>
      <c r="H164" t="n">
        <v>0</v>
      </c>
      <c r="I164" t="n">
        <v>0</v>
      </c>
      <c r="J164" t="n">
        <v>0</v>
      </c>
      <c r="K164" t="n">
        <v>0</v>
      </c>
      <c r="L164" t="n">
        <v>0</v>
      </c>
      <c r="M164" t="n">
        <v>0</v>
      </c>
      <c r="N164" t="n">
        <v>0</v>
      </c>
      <c r="O164" t="n">
        <v>0</v>
      </c>
      <c r="P164" t="n">
        <v>0</v>
      </c>
      <c r="Q164" t="n">
        <v>0</v>
      </c>
      <c r="R164" s="2" t="inlineStr"/>
    </row>
    <row r="165" ht="15" customHeight="1">
      <c r="A165" t="inlineStr">
        <is>
          <t>A 45539-2022</t>
        </is>
      </c>
      <c r="B165" s="1" t="n">
        <v>44845.47585648148</v>
      </c>
      <c r="C165" s="1" t="n">
        <v>45895</v>
      </c>
      <c r="D165" t="inlineStr">
        <is>
          <t>STOCKHOLMS LÄN</t>
        </is>
      </c>
      <c r="E165" t="inlineStr">
        <is>
          <t>NORRTÄLJE</t>
        </is>
      </c>
      <c r="G165" t="n">
        <v>0.3</v>
      </c>
      <c r="H165" t="n">
        <v>0</v>
      </c>
      <c r="I165" t="n">
        <v>0</v>
      </c>
      <c r="J165" t="n">
        <v>0</v>
      </c>
      <c r="K165" t="n">
        <v>0</v>
      </c>
      <c r="L165" t="n">
        <v>0</v>
      </c>
      <c r="M165" t="n">
        <v>0</v>
      </c>
      <c r="N165" t="n">
        <v>0</v>
      </c>
      <c r="O165" t="n">
        <v>0</v>
      </c>
      <c r="P165" t="n">
        <v>0</v>
      </c>
      <c r="Q165" t="n">
        <v>0</v>
      </c>
      <c r="R165" s="2" t="inlineStr"/>
    </row>
    <row r="166" ht="15" customHeight="1">
      <c r="A166" t="inlineStr">
        <is>
          <t>A 19729-2022</t>
        </is>
      </c>
      <c r="B166" s="1" t="n">
        <v>44694.57549768518</v>
      </c>
      <c r="C166" s="1" t="n">
        <v>45895</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60186-2021</t>
        </is>
      </c>
      <c r="B167" s="1" t="n">
        <v>44495</v>
      </c>
      <c r="C167" s="1" t="n">
        <v>45895</v>
      </c>
      <c r="D167" t="inlineStr">
        <is>
          <t>STOCKHOLMS LÄN</t>
        </is>
      </c>
      <c r="E167" t="inlineStr">
        <is>
          <t>NORRTÄLJE</t>
        </is>
      </c>
      <c r="G167" t="n">
        <v>1.7</v>
      </c>
      <c r="H167" t="n">
        <v>0</v>
      </c>
      <c r="I167" t="n">
        <v>0</v>
      </c>
      <c r="J167" t="n">
        <v>0</v>
      </c>
      <c r="K167" t="n">
        <v>0</v>
      </c>
      <c r="L167" t="n">
        <v>0</v>
      </c>
      <c r="M167" t="n">
        <v>0</v>
      </c>
      <c r="N167" t="n">
        <v>0</v>
      </c>
      <c r="O167" t="n">
        <v>0</v>
      </c>
      <c r="P167" t="n">
        <v>0</v>
      </c>
      <c r="Q167" t="n">
        <v>0</v>
      </c>
      <c r="R167" s="2" t="inlineStr"/>
    </row>
    <row r="168" ht="15" customHeight="1">
      <c r="A168" t="inlineStr">
        <is>
          <t>A 28959-2022</t>
        </is>
      </c>
      <c r="B168" s="1" t="n">
        <v>44749.61980324074</v>
      </c>
      <c r="C168" s="1" t="n">
        <v>45895</v>
      </c>
      <c r="D168" t="inlineStr">
        <is>
          <t>STOCKHOLMS LÄN</t>
        </is>
      </c>
      <c r="E168" t="inlineStr">
        <is>
          <t>NORRTÄLJE</t>
        </is>
      </c>
      <c r="G168" t="n">
        <v>5.2</v>
      </c>
      <c r="H168" t="n">
        <v>0</v>
      </c>
      <c r="I168" t="n">
        <v>0</v>
      </c>
      <c r="J168" t="n">
        <v>0</v>
      </c>
      <c r="K168" t="n">
        <v>0</v>
      </c>
      <c r="L168" t="n">
        <v>0</v>
      </c>
      <c r="M168" t="n">
        <v>0</v>
      </c>
      <c r="N168" t="n">
        <v>0</v>
      </c>
      <c r="O168" t="n">
        <v>0</v>
      </c>
      <c r="P168" t="n">
        <v>0</v>
      </c>
      <c r="Q168" t="n">
        <v>0</v>
      </c>
      <c r="R168" s="2" t="inlineStr"/>
    </row>
    <row r="169" ht="15" customHeight="1">
      <c r="A169" t="inlineStr">
        <is>
          <t>A 54340-2022</t>
        </is>
      </c>
      <c r="B169" s="1" t="n">
        <v>44882.44732638889</v>
      </c>
      <c r="C169" s="1" t="n">
        <v>45895</v>
      </c>
      <c r="D169" t="inlineStr">
        <is>
          <t>STOCKHOLMS LÄN</t>
        </is>
      </c>
      <c r="E169" t="inlineStr">
        <is>
          <t>NORRTÄLJE</t>
        </is>
      </c>
      <c r="G169" t="n">
        <v>6.7</v>
      </c>
      <c r="H169" t="n">
        <v>0</v>
      </c>
      <c r="I169" t="n">
        <v>0</v>
      </c>
      <c r="J169" t="n">
        <v>0</v>
      </c>
      <c r="K169" t="n">
        <v>0</v>
      </c>
      <c r="L169" t="n">
        <v>0</v>
      </c>
      <c r="M169" t="n">
        <v>0</v>
      </c>
      <c r="N169" t="n">
        <v>0</v>
      </c>
      <c r="O169" t="n">
        <v>0</v>
      </c>
      <c r="P169" t="n">
        <v>0</v>
      </c>
      <c r="Q169" t="n">
        <v>0</v>
      </c>
      <c r="R169" s="2" t="inlineStr"/>
    </row>
    <row r="170" ht="15" customHeight="1">
      <c r="A170" t="inlineStr">
        <is>
          <t>A 54355-2022</t>
        </is>
      </c>
      <c r="B170" s="1" t="n">
        <v>44882</v>
      </c>
      <c r="C170" s="1" t="n">
        <v>45895</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4634-2021</t>
        </is>
      </c>
      <c r="B171" s="1" t="n">
        <v>44224</v>
      </c>
      <c r="C171" s="1" t="n">
        <v>45895</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72308-2021</t>
        </is>
      </c>
      <c r="B172" s="1" t="n">
        <v>44545.4189699074</v>
      </c>
      <c r="C172" s="1" t="n">
        <v>45895</v>
      </c>
      <c r="D172" t="inlineStr">
        <is>
          <t>STOCKHOLMS LÄN</t>
        </is>
      </c>
      <c r="E172" t="inlineStr">
        <is>
          <t>NORRTÄLJE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20073-2021</t>
        </is>
      </c>
      <c r="B173" s="1" t="n">
        <v>44314</v>
      </c>
      <c r="C173" s="1" t="n">
        <v>45895</v>
      </c>
      <c r="D173" t="inlineStr">
        <is>
          <t>STOCKHOLMS LÄN</t>
        </is>
      </c>
      <c r="E173" t="inlineStr">
        <is>
          <t>NORRTÄLJE</t>
        </is>
      </c>
      <c r="G173" t="n">
        <v>4.6</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45895</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17703-2021</t>
        </is>
      </c>
      <c r="B175" s="1" t="n">
        <v>44300</v>
      </c>
      <c r="C175" s="1" t="n">
        <v>45895</v>
      </c>
      <c r="D175" t="inlineStr">
        <is>
          <t>STOCKHOLMS LÄN</t>
        </is>
      </c>
      <c r="E175" t="inlineStr">
        <is>
          <t>NORRTÄLJE</t>
        </is>
      </c>
      <c r="F175" t="inlineStr">
        <is>
          <t>Holmen skog AB</t>
        </is>
      </c>
      <c r="G175" t="n">
        <v>1.1</v>
      </c>
      <c r="H175" t="n">
        <v>0</v>
      </c>
      <c r="I175" t="n">
        <v>0</v>
      </c>
      <c r="J175" t="n">
        <v>0</v>
      </c>
      <c r="K175" t="n">
        <v>0</v>
      </c>
      <c r="L175" t="n">
        <v>0</v>
      </c>
      <c r="M175" t="n">
        <v>0</v>
      </c>
      <c r="N175" t="n">
        <v>0</v>
      </c>
      <c r="O175" t="n">
        <v>0</v>
      </c>
      <c r="P175" t="n">
        <v>0</v>
      </c>
      <c r="Q175" t="n">
        <v>0</v>
      </c>
      <c r="R175" s="2" t="inlineStr"/>
    </row>
    <row r="176" ht="15" customHeight="1">
      <c r="A176" t="inlineStr">
        <is>
          <t>A 23770-2022</t>
        </is>
      </c>
      <c r="B176" s="1" t="n">
        <v>44722</v>
      </c>
      <c r="C176" s="1" t="n">
        <v>45895</v>
      </c>
      <c r="D176" t="inlineStr">
        <is>
          <t>STOCKHOLMS LÄN</t>
        </is>
      </c>
      <c r="E176" t="inlineStr">
        <is>
          <t>NORRTÄLJE</t>
        </is>
      </c>
      <c r="G176" t="n">
        <v>1.6</v>
      </c>
      <c r="H176" t="n">
        <v>0</v>
      </c>
      <c r="I176" t="n">
        <v>0</v>
      </c>
      <c r="J176" t="n">
        <v>0</v>
      </c>
      <c r="K176" t="n">
        <v>0</v>
      </c>
      <c r="L176" t="n">
        <v>0</v>
      </c>
      <c r="M176" t="n">
        <v>0</v>
      </c>
      <c r="N176" t="n">
        <v>0</v>
      </c>
      <c r="O176" t="n">
        <v>0</v>
      </c>
      <c r="P176" t="n">
        <v>0</v>
      </c>
      <c r="Q176" t="n">
        <v>0</v>
      </c>
      <c r="R176" s="2" t="inlineStr"/>
    </row>
    <row r="177" ht="15" customHeight="1">
      <c r="A177" t="inlineStr">
        <is>
          <t>A 27538-2022</t>
        </is>
      </c>
      <c r="B177" s="1" t="n">
        <v>44742</v>
      </c>
      <c r="C177" s="1" t="n">
        <v>45895</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29868-2022</t>
        </is>
      </c>
      <c r="B178" s="1" t="n">
        <v>44756.40881944444</v>
      </c>
      <c r="C178" s="1" t="n">
        <v>45895</v>
      </c>
      <c r="D178" t="inlineStr">
        <is>
          <t>STOCKHOLMS LÄN</t>
        </is>
      </c>
      <c r="E178" t="inlineStr">
        <is>
          <t>NORRTÄLJE</t>
        </is>
      </c>
      <c r="G178" t="n">
        <v>1.8</v>
      </c>
      <c r="H178" t="n">
        <v>0</v>
      </c>
      <c r="I178" t="n">
        <v>0</v>
      </c>
      <c r="J178" t="n">
        <v>0</v>
      </c>
      <c r="K178" t="n">
        <v>0</v>
      </c>
      <c r="L178" t="n">
        <v>0</v>
      </c>
      <c r="M178" t="n">
        <v>0</v>
      </c>
      <c r="N178" t="n">
        <v>0</v>
      </c>
      <c r="O178" t="n">
        <v>0</v>
      </c>
      <c r="P178" t="n">
        <v>0</v>
      </c>
      <c r="Q178" t="n">
        <v>0</v>
      </c>
      <c r="R178" s="2" t="inlineStr"/>
    </row>
    <row r="179" ht="15" customHeight="1">
      <c r="A179" t="inlineStr">
        <is>
          <t>A 53690-2020</t>
        </is>
      </c>
      <c r="B179" s="1" t="n">
        <v>44124</v>
      </c>
      <c r="C179" s="1" t="n">
        <v>45895</v>
      </c>
      <c r="D179" t="inlineStr">
        <is>
          <t>STOCKHOLMS LÄN</t>
        </is>
      </c>
      <c r="E179" t="inlineStr">
        <is>
          <t>NORRTÄLJE</t>
        </is>
      </c>
      <c r="G179" t="n">
        <v>0.5</v>
      </c>
      <c r="H179" t="n">
        <v>0</v>
      </c>
      <c r="I179" t="n">
        <v>0</v>
      </c>
      <c r="J179" t="n">
        <v>0</v>
      </c>
      <c r="K179" t="n">
        <v>0</v>
      </c>
      <c r="L179" t="n">
        <v>0</v>
      </c>
      <c r="M179" t="n">
        <v>0</v>
      </c>
      <c r="N179" t="n">
        <v>0</v>
      </c>
      <c r="O179" t="n">
        <v>0</v>
      </c>
      <c r="P179" t="n">
        <v>0</v>
      </c>
      <c r="Q179" t="n">
        <v>0</v>
      </c>
      <c r="R179" s="2" t="inlineStr"/>
    </row>
    <row r="180" ht="15" customHeight="1">
      <c r="A180" t="inlineStr">
        <is>
          <t>A 16668-2021</t>
        </is>
      </c>
      <c r="B180" s="1" t="n">
        <v>44294</v>
      </c>
      <c r="C180" s="1" t="n">
        <v>45895</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45895</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23122-2021</t>
        </is>
      </c>
      <c r="B182" s="1" t="n">
        <v>44330</v>
      </c>
      <c r="C182" s="1" t="n">
        <v>45895</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64599-2021</t>
        </is>
      </c>
      <c r="B183" s="1" t="n">
        <v>44511.69885416667</v>
      </c>
      <c r="C183" s="1" t="n">
        <v>45895</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45895</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64212-2021</t>
        </is>
      </c>
      <c r="B185" s="1" t="n">
        <v>44510</v>
      </c>
      <c r="C185" s="1" t="n">
        <v>45895</v>
      </c>
      <c r="D185" t="inlineStr">
        <is>
          <t>STOCKHOLMS LÄN</t>
        </is>
      </c>
      <c r="E185" t="inlineStr">
        <is>
          <t>NORRTÄLJE</t>
        </is>
      </c>
      <c r="G185" t="n">
        <v>28.7</v>
      </c>
      <c r="H185" t="n">
        <v>0</v>
      </c>
      <c r="I185" t="n">
        <v>0</v>
      </c>
      <c r="J185" t="n">
        <v>0</v>
      </c>
      <c r="K185" t="n">
        <v>0</v>
      </c>
      <c r="L185" t="n">
        <v>0</v>
      </c>
      <c r="M185" t="n">
        <v>0</v>
      </c>
      <c r="N185" t="n">
        <v>0</v>
      </c>
      <c r="O185" t="n">
        <v>0</v>
      </c>
      <c r="P185" t="n">
        <v>0</v>
      </c>
      <c r="Q185" t="n">
        <v>0</v>
      </c>
      <c r="R185" s="2" t="inlineStr"/>
    </row>
    <row r="186" ht="15" customHeight="1">
      <c r="A186" t="inlineStr">
        <is>
          <t>A 47349-2021</t>
        </is>
      </c>
      <c r="B186" s="1" t="n">
        <v>44447</v>
      </c>
      <c r="C186" s="1" t="n">
        <v>45895</v>
      </c>
      <c r="D186" t="inlineStr">
        <is>
          <t>STOCKHOLMS LÄN</t>
        </is>
      </c>
      <c r="E186" t="inlineStr">
        <is>
          <t>NORRTÄLJE</t>
        </is>
      </c>
      <c r="G186" t="n">
        <v>3.3</v>
      </c>
      <c r="H186" t="n">
        <v>0</v>
      </c>
      <c r="I186" t="n">
        <v>0</v>
      </c>
      <c r="J186" t="n">
        <v>0</v>
      </c>
      <c r="K186" t="n">
        <v>0</v>
      </c>
      <c r="L186" t="n">
        <v>0</v>
      </c>
      <c r="M186" t="n">
        <v>0</v>
      </c>
      <c r="N186" t="n">
        <v>0</v>
      </c>
      <c r="O186" t="n">
        <v>0</v>
      </c>
      <c r="P186" t="n">
        <v>0</v>
      </c>
      <c r="Q186" t="n">
        <v>0</v>
      </c>
      <c r="R186" s="2" t="inlineStr"/>
    </row>
    <row r="187" ht="15" customHeight="1">
      <c r="A187" t="inlineStr">
        <is>
          <t>A 36565-2021</t>
        </is>
      </c>
      <c r="B187" s="1" t="n">
        <v>44391.5580787037</v>
      </c>
      <c r="C187" s="1" t="n">
        <v>45895</v>
      </c>
      <c r="D187" t="inlineStr">
        <is>
          <t>STOCKHOLMS LÄN</t>
        </is>
      </c>
      <c r="E187" t="inlineStr">
        <is>
          <t>NORRTÄLJE</t>
        </is>
      </c>
      <c r="G187" t="n">
        <v>1.8</v>
      </c>
      <c r="H187" t="n">
        <v>0</v>
      </c>
      <c r="I187" t="n">
        <v>0</v>
      </c>
      <c r="J187" t="n">
        <v>0</v>
      </c>
      <c r="K187" t="n">
        <v>0</v>
      </c>
      <c r="L187" t="n">
        <v>0</v>
      </c>
      <c r="M187" t="n">
        <v>0</v>
      </c>
      <c r="N187" t="n">
        <v>0</v>
      </c>
      <c r="O187" t="n">
        <v>0</v>
      </c>
      <c r="P187" t="n">
        <v>0</v>
      </c>
      <c r="Q187" t="n">
        <v>0</v>
      </c>
      <c r="R187" s="2" t="inlineStr"/>
    </row>
    <row r="188" ht="15" customHeight="1">
      <c r="A188" t="inlineStr">
        <is>
          <t>A 44274-2021</t>
        </is>
      </c>
      <c r="B188" s="1" t="n">
        <v>44435</v>
      </c>
      <c r="C188" s="1" t="n">
        <v>45895</v>
      </c>
      <c r="D188" t="inlineStr">
        <is>
          <t>STOCKHOLMS LÄN</t>
        </is>
      </c>
      <c r="E188" t="inlineStr">
        <is>
          <t>NORRTÄLJE</t>
        </is>
      </c>
      <c r="G188" t="n">
        <v>1</v>
      </c>
      <c r="H188" t="n">
        <v>0</v>
      </c>
      <c r="I188" t="n">
        <v>0</v>
      </c>
      <c r="J188" t="n">
        <v>0</v>
      </c>
      <c r="K188" t="n">
        <v>0</v>
      </c>
      <c r="L188" t="n">
        <v>0</v>
      </c>
      <c r="M188" t="n">
        <v>0</v>
      </c>
      <c r="N188" t="n">
        <v>0</v>
      </c>
      <c r="O188" t="n">
        <v>0</v>
      </c>
      <c r="P188" t="n">
        <v>0</v>
      </c>
      <c r="Q188" t="n">
        <v>0</v>
      </c>
      <c r="R188" s="2" t="inlineStr"/>
    </row>
    <row r="189" ht="15" customHeight="1">
      <c r="A189" t="inlineStr">
        <is>
          <t>A 50970-2022</t>
        </is>
      </c>
      <c r="B189" s="1" t="n">
        <v>44867</v>
      </c>
      <c r="C189" s="1" t="n">
        <v>45895</v>
      </c>
      <c r="D189" t="inlineStr">
        <is>
          <t>STOCKHOLMS LÄN</t>
        </is>
      </c>
      <c r="E189" t="inlineStr">
        <is>
          <t>NORRTÄLJE</t>
        </is>
      </c>
      <c r="G189" t="n">
        <v>9</v>
      </c>
      <c r="H189" t="n">
        <v>0</v>
      </c>
      <c r="I189" t="n">
        <v>0</v>
      </c>
      <c r="J189" t="n">
        <v>0</v>
      </c>
      <c r="K189" t="n">
        <v>0</v>
      </c>
      <c r="L189" t="n">
        <v>0</v>
      </c>
      <c r="M189" t="n">
        <v>0</v>
      </c>
      <c r="N189" t="n">
        <v>0</v>
      </c>
      <c r="O189" t="n">
        <v>0</v>
      </c>
      <c r="P189" t="n">
        <v>0</v>
      </c>
      <c r="Q189" t="n">
        <v>0</v>
      </c>
      <c r="R189" s="2" t="inlineStr"/>
    </row>
    <row r="190" ht="15" customHeight="1">
      <c r="A190" t="inlineStr">
        <is>
          <t>A 1054-2022</t>
        </is>
      </c>
      <c r="B190" s="1" t="n">
        <v>44571</v>
      </c>
      <c r="C190" s="1" t="n">
        <v>45895</v>
      </c>
      <c r="D190" t="inlineStr">
        <is>
          <t>STOCKHOLMS LÄN</t>
        </is>
      </c>
      <c r="E190" t="inlineStr">
        <is>
          <t>NORRTÄLJE</t>
        </is>
      </c>
      <c r="G190" t="n">
        <v>5</v>
      </c>
      <c r="H190" t="n">
        <v>0</v>
      </c>
      <c r="I190" t="n">
        <v>0</v>
      </c>
      <c r="J190" t="n">
        <v>0</v>
      </c>
      <c r="K190" t="n">
        <v>0</v>
      </c>
      <c r="L190" t="n">
        <v>0</v>
      </c>
      <c r="M190" t="n">
        <v>0</v>
      </c>
      <c r="N190" t="n">
        <v>0</v>
      </c>
      <c r="O190" t="n">
        <v>0</v>
      </c>
      <c r="P190" t="n">
        <v>0</v>
      </c>
      <c r="Q190" t="n">
        <v>0</v>
      </c>
      <c r="R190" s="2" t="inlineStr"/>
    </row>
    <row r="191" ht="15" customHeight="1">
      <c r="A191" t="inlineStr">
        <is>
          <t>A 49113-2021</t>
        </is>
      </c>
      <c r="B191" s="1" t="n">
        <v>44453</v>
      </c>
      <c r="C191" s="1" t="n">
        <v>45895</v>
      </c>
      <c r="D191" t="inlineStr">
        <is>
          <t>STOCKHOLMS LÄN</t>
        </is>
      </c>
      <c r="E191" t="inlineStr">
        <is>
          <t>NORRTÄLJE</t>
        </is>
      </c>
      <c r="G191" t="n">
        <v>0.7</v>
      </c>
      <c r="H191" t="n">
        <v>0</v>
      </c>
      <c r="I191" t="n">
        <v>0</v>
      </c>
      <c r="J191" t="n">
        <v>0</v>
      </c>
      <c r="K191" t="n">
        <v>0</v>
      </c>
      <c r="L191" t="n">
        <v>0</v>
      </c>
      <c r="M191" t="n">
        <v>0</v>
      </c>
      <c r="N191" t="n">
        <v>0</v>
      </c>
      <c r="O191" t="n">
        <v>0</v>
      </c>
      <c r="P191" t="n">
        <v>0</v>
      </c>
      <c r="Q191" t="n">
        <v>0</v>
      </c>
      <c r="R191" s="2" t="inlineStr"/>
    </row>
    <row r="192" ht="15" customHeight="1">
      <c r="A192" t="inlineStr">
        <is>
          <t>A 64628-2021</t>
        </is>
      </c>
      <c r="B192" s="1" t="n">
        <v>44511</v>
      </c>
      <c r="C192" s="1" t="n">
        <v>45895</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60209-2021</t>
        </is>
      </c>
      <c r="B193" s="1" t="n">
        <v>44495</v>
      </c>
      <c r="C193" s="1" t="n">
        <v>45895</v>
      </c>
      <c r="D193" t="inlineStr">
        <is>
          <t>STOCKHOLMS LÄN</t>
        </is>
      </c>
      <c r="E193" t="inlineStr">
        <is>
          <t>NORRTÄLJE</t>
        </is>
      </c>
      <c r="G193" t="n">
        <v>4.3</v>
      </c>
      <c r="H193" t="n">
        <v>0</v>
      </c>
      <c r="I193" t="n">
        <v>0</v>
      </c>
      <c r="J193" t="n">
        <v>0</v>
      </c>
      <c r="K193" t="n">
        <v>0</v>
      </c>
      <c r="L193" t="n">
        <v>0</v>
      </c>
      <c r="M193" t="n">
        <v>0</v>
      </c>
      <c r="N193" t="n">
        <v>0</v>
      </c>
      <c r="O193" t="n">
        <v>0</v>
      </c>
      <c r="P193" t="n">
        <v>0</v>
      </c>
      <c r="Q193" t="n">
        <v>0</v>
      </c>
      <c r="R193" s="2" t="inlineStr"/>
    </row>
    <row r="194" ht="15" customHeight="1">
      <c r="A194" t="inlineStr">
        <is>
          <t>A 17803-2022</t>
        </is>
      </c>
      <c r="B194" s="1" t="n">
        <v>44683</v>
      </c>
      <c r="C194" s="1" t="n">
        <v>45895</v>
      </c>
      <c r="D194" t="inlineStr">
        <is>
          <t>STOCKHOLMS LÄN</t>
        </is>
      </c>
      <c r="E194" t="inlineStr">
        <is>
          <t>NORRTÄLJE</t>
        </is>
      </c>
      <c r="G194" t="n">
        <v>1.4</v>
      </c>
      <c r="H194" t="n">
        <v>0</v>
      </c>
      <c r="I194" t="n">
        <v>0</v>
      </c>
      <c r="J194" t="n">
        <v>0</v>
      </c>
      <c r="K194" t="n">
        <v>0</v>
      </c>
      <c r="L194" t="n">
        <v>0</v>
      </c>
      <c r="M194" t="n">
        <v>0</v>
      </c>
      <c r="N194" t="n">
        <v>0</v>
      </c>
      <c r="O194" t="n">
        <v>0</v>
      </c>
      <c r="P194" t="n">
        <v>0</v>
      </c>
      <c r="Q194" t="n">
        <v>0</v>
      </c>
      <c r="R194" s="2" t="inlineStr"/>
    </row>
    <row r="195" ht="15" customHeight="1">
      <c r="A195" t="inlineStr">
        <is>
          <t>A 348-2021</t>
        </is>
      </c>
      <c r="B195" s="1" t="n">
        <v>44201</v>
      </c>
      <c r="C195" s="1" t="n">
        <v>45895</v>
      </c>
      <c r="D195" t="inlineStr">
        <is>
          <t>STOCKHOLMS LÄN</t>
        </is>
      </c>
      <c r="E195" t="inlineStr">
        <is>
          <t>NORRTÄLJE</t>
        </is>
      </c>
      <c r="G195" t="n">
        <v>0.1</v>
      </c>
      <c r="H195" t="n">
        <v>0</v>
      </c>
      <c r="I195" t="n">
        <v>0</v>
      </c>
      <c r="J195" t="n">
        <v>0</v>
      </c>
      <c r="K195" t="n">
        <v>0</v>
      </c>
      <c r="L195" t="n">
        <v>0</v>
      </c>
      <c r="M195" t="n">
        <v>0</v>
      </c>
      <c r="N195" t="n">
        <v>0</v>
      </c>
      <c r="O195" t="n">
        <v>0</v>
      </c>
      <c r="P195" t="n">
        <v>0</v>
      </c>
      <c r="Q195" t="n">
        <v>0</v>
      </c>
      <c r="R195" s="2" t="inlineStr"/>
    </row>
    <row r="196" ht="15" customHeight="1">
      <c r="A196" t="inlineStr">
        <is>
          <t>A 367-2021</t>
        </is>
      </c>
      <c r="B196" s="1" t="n">
        <v>44201</v>
      </c>
      <c r="C196" s="1" t="n">
        <v>45895</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32561-2021</t>
        </is>
      </c>
      <c r="B197" s="1" t="n">
        <v>44375</v>
      </c>
      <c r="C197" s="1" t="n">
        <v>45895</v>
      </c>
      <c r="D197" t="inlineStr">
        <is>
          <t>STOCKHOLMS LÄN</t>
        </is>
      </c>
      <c r="E197" t="inlineStr">
        <is>
          <t>NORRTÄLJE</t>
        </is>
      </c>
      <c r="G197" t="n">
        <v>3.4</v>
      </c>
      <c r="H197" t="n">
        <v>0</v>
      </c>
      <c r="I197" t="n">
        <v>0</v>
      </c>
      <c r="J197" t="n">
        <v>0</v>
      </c>
      <c r="K197" t="n">
        <v>0</v>
      </c>
      <c r="L197" t="n">
        <v>0</v>
      </c>
      <c r="M197" t="n">
        <v>0</v>
      </c>
      <c r="N197" t="n">
        <v>0</v>
      </c>
      <c r="O197" t="n">
        <v>0</v>
      </c>
      <c r="P197" t="n">
        <v>0</v>
      </c>
      <c r="Q197" t="n">
        <v>0</v>
      </c>
      <c r="R197" s="2" t="inlineStr"/>
    </row>
    <row r="198" ht="15" customHeight="1">
      <c r="A198" t="inlineStr">
        <is>
          <t>A 71325-2021</t>
        </is>
      </c>
      <c r="B198" s="1" t="n">
        <v>44539</v>
      </c>
      <c r="C198" s="1" t="n">
        <v>45895</v>
      </c>
      <c r="D198" t="inlineStr">
        <is>
          <t>STOCKHOLMS LÄN</t>
        </is>
      </c>
      <c r="E198" t="inlineStr">
        <is>
          <t>NORRTÄLJE</t>
        </is>
      </c>
      <c r="G198" t="n">
        <v>2.1</v>
      </c>
      <c r="H198" t="n">
        <v>0</v>
      </c>
      <c r="I198" t="n">
        <v>0</v>
      </c>
      <c r="J198" t="n">
        <v>0</v>
      </c>
      <c r="K198" t="n">
        <v>0</v>
      </c>
      <c r="L198" t="n">
        <v>0</v>
      </c>
      <c r="M198" t="n">
        <v>0</v>
      </c>
      <c r="N198" t="n">
        <v>0</v>
      </c>
      <c r="O198" t="n">
        <v>0</v>
      </c>
      <c r="P198" t="n">
        <v>0</v>
      </c>
      <c r="Q198" t="n">
        <v>0</v>
      </c>
      <c r="R198" s="2" t="inlineStr"/>
    </row>
    <row r="199" ht="15" customHeight="1">
      <c r="A199" t="inlineStr">
        <is>
          <t>A 65611-2021</t>
        </is>
      </c>
      <c r="B199" s="1" t="n">
        <v>44516.5275462963</v>
      </c>
      <c r="C199" s="1" t="n">
        <v>45895</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60813-2021</t>
        </is>
      </c>
      <c r="B200" s="1" t="n">
        <v>44496</v>
      </c>
      <c r="C200" s="1" t="n">
        <v>45895</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39497-2021</t>
        </is>
      </c>
      <c r="B201" s="1" t="n">
        <v>44414.81494212963</v>
      </c>
      <c r="C201" s="1" t="n">
        <v>45895</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17460-2021</t>
        </is>
      </c>
      <c r="B202" s="1" t="n">
        <v>44299</v>
      </c>
      <c r="C202" s="1" t="n">
        <v>45895</v>
      </c>
      <c r="D202" t="inlineStr">
        <is>
          <t>STOCKHOLMS LÄN</t>
        </is>
      </c>
      <c r="E202" t="inlineStr">
        <is>
          <t>NORRTÄLJE</t>
        </is>
      </c>
      <c r="G202" t="n">
        <v>3.2</v>
      </c>
      <c r="H202" t="n">
        <v>0</v>
      </c>
      <c r="I202" t="n">
        <v>0</v>
      </c>
      <c r="J202" t="n">
        <v>0</v>
      </c>
      <c r="K202" t="n">
        <v>0</v>
      </c>
      <c r="L202" t="n">
        <v>0</v>
      </c>
      <c r="M202" t="n">
        <v>0</v>
      </c>
      <c r="N202" t="n">
        <v>0</v>
      </c>
      <c r="O202" t="n">
        <v>0</v>
      </c>
      <c r="P202" t="n">
        <v>0</v>
      </c>
      <c r="Q202" t="n">
        <v>0</v>
      </c>
      <c r="R202" s="2" t="inlineStr"/>
    </row>
    <row r="203" ht="15" customHeight="1">
      <c r="A203" t="inlineStr">
        <is>
          <t>A 34431-2021</t>
        </is>
      </c>
      <c r="B203" s="1" t="n">
        <v>44380</v>
      </c>
      <c r="C203" s="1" t="n">
        <v>45895</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5351-2022</t>
        </is>
      </c>
      <c r="B204" s="1" t="n">
        <v>44594.75950231482</v>
      </c>
      <c r="C204" s="1" t="n">
        <v>45895</v>
      </c>
      <c r="D204" t="inlineStr">
        <is>
          <t>STOCKHOLMS LÄN</t>
        </is>
      </c>
      <c r="E204" t="inlineStr">
        <is>
          <t>NORRTÄLJE</t>
        </is>
      </c>
      <c r="G204" t="n">
        <v>4</v>
      </c>
      <c r="H204" t="n">
        <v>0</v>
      </c>
      <c r="I204" t="n">
        <v>0</v>
      </c>
      <c r="J204" t="n">
        <v>0</v>
      </c>
      <c r="K204" t="n">
        <v>0</v>
      </c>
      <c r="L204" t="n">
        <v>0</v>
      </c>
      <c r="M204" t="n">
        <v>0</v>
      </c>
      <c r="N204" t="n">
        <v>0</v>
      </c>
      <c r="O204" t="n">
        <v>0</v>
      </c>
      <c r="P204" t="n">
        <v>0</v>
      </c>
      <c r="Q204" t="n">
        <v>0</v>
      </c>
      <c r="R204" s="2" t="inlineStr"/>
    </row>
    <row r="205" ht="15" customHeight="1">
      <c r="A205" t="inlineStr">
        <is>
          <t>A 30129-2021</t>
        </is>
      </c>
      <c r="B205" s="1" t="n">
        <v>44363.5784375</v>
      </c>
      <c r="C205" s="1" t="n">
        <v>45895</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22316-2022</t>
        </is>
      </c>
      <c r="B206" s="1" t="n">
        <v>44712.83118055556</v>
      </c>
      <c r="C206" s="1" t="n">
        <v>45895</v>
      </c>
      <c r="D206" t="inlineStr">
        <is>
          <t>STOCKHOLMS LÄN</t>
        </is>
      </c>
      <c r="E206" t="inlineStr">
        <is>
          <t>NORRTÄLJE</t>
        </is>
      </c>
      <c r="G206" t="n">
        <v>6.3</v>
      </c>
      <c r="H206" t="n">
        <v>0</v>
      </c>
      <c r="I206" t="n">
        <v>0</v>
      </c>
      <c r="J206" t="n">
        <v>0</v>
      </c>
      <c r="K206" t="n">
        <v>0</v>
      </c>
      <c r="L206" t="n">
        <v>0</v>
      </c>
      <c r="M206" t="n">
        <v>0</v>
      </c>
      <c r="N206" t="n">
        <v>0</v>
      </c>
      <c r="O206" t="n">
        <v>0</v>
      </c>
      <c r="P206" t="n">
        <v>0</v>
      </c>
      <c r="Q206" t="n">
        <v>0</v>
      </c>
      <c r="R206" s="2" t="inlineStr"/>
    </row>
    <row r="207" ht="15" customHeight="1">
      <c r="A207" t="inlineStr">
        <is>
          <t>A 19398-2021</t>
        </is>
      </c>
      <c r="B207" s="1" t="n">
        <v>44309</v>
      </c>
      <c r="C207" s="1" t="n">
        <v>45895</v>
      </c>
      <c r="D207" t="inlineStr">
        <is>
          <t>STOCKHOLMS LÄN</t>
        </is>
      </c>
      <c r="E207" t="inlineStr">
        <is>
          <t>NORRTÄLJE</t>
        </is>
      </c>
      <c r="F207" t="inlineStr">
        <is>
          <t>Kommuner</t>
        </is>
      </c>
      <c r="G207" t="n">
        <v>2.1</v>
      </c>
      <c r="H207" t="n">
        <v>0</v>
      </c>
      <c r="I207" t="n">
        <v>0</v>
      </c>
      <c r="J207" t="n">
        <v>0</v>
      </c>
      <c r="K207" t="n">
        <v>0</v>
      </c>
      <c r="L207" t="n">
        <v>0</v>
      </c>
      <c r="M207" t="n">
        <v>0</v>
      </c>
      <c r="N207" t="n">
        <v>0</v>
      </c>
      <c r="O207" t="n">
        <v>0</v>
      </c>
      <c r="P207" t="n">
        <v>0</v>
      </c>
      <c r="Q207" t="n">
        <v>0</v>
      </c>
      <c r="R207" s="2" t="inlineStr"/>
    </row>
    <row r="208" ht="15" customHeight="1">
      <c r="A208" t="inlineStr">
        <is>
          <t>A 31092-2022</t>
        </is>
      </c>
      <c r="B208" s="1" t="n">
        <v>44769.62320601852</v>
      </c>
      <c r="C208" s="1" t="n">
        <v>45895</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1229-2022</t>
        </is>
      </c>
      <c r="B209" s="1" t="n">
        <v>44572</v>
      </c>
      <c r="C209" s="1" t="n">
        <v>45895</v>
      </c>
      <c r="D209" t="inlineStr">
        <is>
          <t>STOCKHOLMS LÄN</t>
        </is>
      </c>
      <c r="E209" t="inlineStr">
        <is>
          <t>NORRTÄLJE</t>
        </is>
      </c>
      <c r="G209" t="n">
        <v>11.5</v>
      </c>
      <c r="H209" t="n">
        <v>0</v>
      </c>
      <c r="I209" t="n">
        <v>0</v>
      </c>
      <c r="J209" t="n">
        <v>0</v>
      </c>
      <c r="K209" t="n">
        <v>0</v>
      </c>
      <c r="L209" t="n">
        <v>0</v>
      </c>
      <c r="M209" t="n">
        <v>0</v>
      </c>
      <c r="N209" t="n">
        <v>0</v>
      </c>
      <c r="O209" t="n">
        <v>0</v>
      </c>
      <c r="P209" t="n">
        <v>0</v>
      </c>
      <c r="Q209" t="n">
        <v>0</v>
      </c>
      <c r="R209" s="2" t="inlineStr"/>
    </row>
    <row r="210" ht="15" customHeight="1">
      <c r="A210" t="inlineStr">
        <is>
          <t>A 14051-2022</t>
        </is>
      </c>
      <c r="B210" s="1" t="n">
        <v>44650.92714120371</v>
      </c>
      <c r="C210" s="1" t="n">
        <v>45895</v>
      </c>
      <c r="D210" t="inlineStr">
        <is>
          <t>STOCKHOLMS LÄN</t>
        </is>
      </c>
      <c r="E210" t="inlineStr">
        <is>
          <t>NORRTÄLJE</t>
        </is>
      </c>
      <c r="G210" t="n">
        <v>2.3</v>
      </c>
      <c r="H210" t="n">
        <v>0</v>
      </c>
      <c r="I210" t="n">
        <v>0</v>
      </c>
      <c r="J210" t="n">
        <v>0</v>
      </c>
      <c r="K210" t="n">
        <v>0</v>
      </c>
      <c r="L210" t="n">
        <v>0</v>
      </c>
      <c r="M210" t="n">
        <v>0</v>
      </c>
      <c r="N210" t="n">
        <v>0</v>
      </c>
      <c r="O210" t="n">
        <v>0</v>
      </c>
      <c r="P210" t="n">
        <v>0</v>
      </c>
      <c r="Q210" t="n">
        <v>0</v>
      </c>
      <c r="R210" s="2" t="inlineStr"/>
    </row>
    <row r="211" ht="15" customHeight="1">
      <c r="A211" t="inlineStr">
        <is>
          <t>A 45541-2022</t>
        </is>
      </c>
      <c r="B211" s="1" t="n">
        <v>44845.47672453704</v>
      </c>
      <c r="C211" s="1" t="n">
        <v>45895</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45895</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12779-2021</t>
        </is>
      </c>
      <c r="B213" s="1" t="n">
        <v>44270</v>
      </c>
      <c r="C213" s="1" t="n">
        <v>45895</v>
      </c>
      <c r="D213" t="inlineStr">
        <is>
          <t>STOCKHOLMS LÄN</t>
        </is>
      </c>
      <c r="E213" t="inlineStr">
        <is>
          <t>NORRTÄLJE</t>
        </is>
      </c>
      <c r="G213" t="n">
        <v>10.8</v>
      </c>
      <c r="H213" t="n">
        <v>0</v>
      </c>
      <c r="I213" t="n">
        <v>0</v>
      </c>
      <c r="J213" t="n">
        <v>0</v>
      </c>
      <c r="K213" t="n">
        <v>0</v>
      </c>
      <c r="L213" t="n">
        <v>0</v>
      </c>
      <c r="M213" t="n">
        <v>0</v>
      </c>
      <c r="N213" t="n">
        <v>0</v>
      </c>
      <c r="O213" t="n">
        <v>0</v>
      </c>
      <c r="P213" t="n">
        <v>0</v>
      </c>
      <c r="Q213" t="n">
        <v>0</v>
      </c>
      <c r="R213" s="2" t="inlineStr"/>
    </row>
    <row r="214" ht="15" customHeight="1">
      <c r="A214" t="inlineStr">
        <is>
          <t>A 12782-2021</t>
        </is>
      </c>
      <c r="B214" s="1" t="n">
        <v>44270</v>
      </c>
      <c r="C214" s="1" t="n">
        <v>45895</v>
      </c>
      <c r="D214" t="inlineStr">
        <is>
          <t>STOCKHOLMS LÄN</t>
        </is>
      </c>
      <c r="E214" t="inlineStr">
        <is>
          <t>NORRTÄLJE</t>
        </is>
      </c>
      <c r="G214" t="n">
        <v>3.8</v>
      </c>
      <c r="H214" t="n">
        <v>0</v>
      </c>
      <c r="I214" t="n">
        <v>0</v>
      </c>
      <c r="J214" t="n">
        <v>0</v>
      </c>
      <c r="K214" t="n">
        <v>0</v>
      </c>
      <c r="L214" t="n">
        <v>0</v>
      </c>
      <c r="M214" t="n">
        <v>0</v>
      </c>
      <c r="N214" t="n">
        <v>0</v>
      </c>
      <c r="O214" t="n">
        <v>0</v>
      </c>
      <c r="P214" t="n">
        <v>0</v>
      </c>
      <c r="Q214" t="n">
        <v>0</v>
      </c>
      <c r="R214" s="2" t="inlineStr"/>
    </row>
    <row r="215" ht="15" customHeight="1">
      <c r="A215" t="inlineStr">
        <is>
          <t>A 20295-2022</t>
        </is>
      </c>
      <c r="B215" s="1" t="n">
        <v>44698</v>
      </c>
      <c r="C215" s="1" t="n">
        <v>45895</v>
      </c>
      <c r="D215" t="inlineStr">
        <is>
          <t>STOCKHOLMS LÄN</t>
        </is>
      </c>
      <c r="E215" t="inlineStr">
        <is>
          <t>NORRTÄLJE</t>
        </is>
      </c>
      <c r="G215" t="n">
        <v>1.3</v>
      </c>
      <c r="H215" t="n">
        <v>0</v>
      </c>
      <c r="I215" t="n">
        <v>0</v>
      </c>
      <c r="J215" t="n">
        <v>0</v>
      </c>
      <c r="K215" t="n">
        <v>0</v>
      </c>
      <c r="L215" t="n">
        <v>0</v>
      </c>
      <c r="M215" t="n">
        <v>0</v>
      </c>
      <c r="N215" t="n">
        <v>0</v>
      </c>
      <c r="O215" t="n">
        <v>0</v>
      </c>
      <c r="P215" t="n">
        <v>0</v>
      </c>
      <c r="Q215" t="n">
        <v>0</v>
      </c>
      <c r="R215" s="2" t="inlineStr"/>
    </row>
    <row r="216" ht="15" customHeight="1">
      <c r="A216" t="inlineStr">
        <is>
          <t>A 37415-2021</t>
        </is>
      </c>
      <c r="B216" s="1" t="n">
        <v>44397</v>
      </c>
      <c r="C216" s="1" t="n">
        <v>45895</v>
      </c>
      <c r="D216" t="inlineStr">
        <is>
          <t>STOCKHOLMS LÄN</t>
        </is>
      </c>
      <c r="E216" t="inlineStr">
        <is>
          <t>NORRTÄLJE</t>
        </is>
      </c>
      <c r="F216" t="inlineStr">
        <is>
          <t>Övriga Aktiebolag</t>
        </is>
      </c>
      <c r="G216" t="n">
        <v>3</v>
      </c>
      <c r="H216" t="n">
        <v>0</v>
      </c>
      <c r="I216" t="n">
        <v>0</v>
      </c>
      <c r="J216" t="n">
        <v>0</v>
      </c>
      <c r="K216" t="n">
        <v>0</v>
      </c>
      <c r="L216" t="n">
        <v>0</v>
      </c>
      <c r="M216" t="n">
        <v>0</v>
      </c>
      <c r="N216" t="n">
        <v>0</v>
      </c>
      <c r="O216" t="n">
        <v>0</v>
      </c>
      <c r="P216" t="n">
        <v>0</v>
      </c>
      <c r="Q216" t="n">
        <v>0</v>
      </c>
      <c r="R216" s="2" t="inlineStr"/>
    </row>
    <row r="217" ht="15" customHeight="1">
      <c r="A217" t="inlineStr">
        <is>
          <t>A 68273-2021</t>
        </is>
      </c>
      <c r="B217" s="1" t="n">
        <v>44526</v>
      </c>
      <c r="C217" s="1" t="n">
        <v>45895</v>
      </c>
      <c r="D217" t="inlineStr">
        <is>
          <t>STOCKHOLMS LÄN</t>
        </is>
      </c>
      <c r="E217" t="inlineStr">
        <is>
          <t>NORRTÄLJE</t>
        </is>
      </c>
      <c r="G217" t="n">
        <v>5.3</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45895</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45895</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24167-2022</t>
        </is>
      </c>
      <c r="B220" s="1" t="n">
        <v>44725.49491898148</v>
      </c>
      <c r="C220" s="1" t="n">
        <v>45895</v>
      </c>
      <c r="D220" t="inlineStr">
        <is>
          <t>STOCKHOLMS LÄN</t>
        </is>
      </c>
      <c r="E220" t="inlineStr">
        <is>
          <t>NORRTÄLJE</t>
        </is>
      </c>
      <c r="G220" t="n">
        <v>3.4</v>
      </c>
      <c r="H220" t="n">
        <v>0</v>
      </c>
      <c r="I220" t="n">
        <v>0</v>
      </c>
      <c r="J220" t="n">
        <v>0</v>
      </c>
      <c r="K220" t="n">
        <v>0</v>
      </c>
      <c r="L220" t="n">
        <v>0</v>
      </c>
      <c r="M220" t="n">
        <v>0</v>
      </c>
      <c r="N220" t="n">
        <v>0</v>
      </c>
      <c r="O220" t="n">
        <v>0</v>
      </c>
      <c r="P220" t="n">
        <v>0</v>
      </c>
      <c r="Q220" t="n">
        <v>0</v>
      </c>
      <c r="R220" s="2" t="inlineStr"/>
    </row>
    <row r="221" ht="15" customHeight="1">
      <c r="A221" t="inlineStr">
        <is>
          <t>A 42396-2021</t>
        </is>
      </c>
      <c r="B221" s="1" t="n">
        <v>44427</v>
      </c>
      <c r="C221" s="1" t="n">
        <v>45895</v>
      </c>
      <c r="D221" t="inlineStr">
        <is>
          <t>STOCKHOLMS LÄN</t>
        </is>
      </c>
      <c r="E221" t="inlineStr">
        <is>
          <t>NORRTÄLJE</t>
        </is>
      </c>
      <c r="G221" t="n">
        <v>2</v>
      </c>
      <c r="H221" t="n">
        <v>0</v>
      </c>
      <c r="I221" t="n">
        <v>0</v>
      </c>
      <c r="J221" t="n">
        <v>0</v>
      </c>
      <c r="K221" t="n">
        <v>0</v>
      </c>
      <c r="L221" t="n">
        <v>0</v>
      </c>
      <c r="M221" t="n">
        <v>0</v>
      </c>
      <c r="N221" t="n">
        <v>0</v>
      </c>
      <c r="O221" t="n">
        <v>0</v>
      </c>
      <c r="P221" t="n">
        <v>0</v>
      </c>
      <c r="Q221" t="n">
        <v>0</v>
      </c>
      <c r="R221" s="2" t="inlineStr"/>
    </row>
    <row r="222" ht="15" customHeight="1">
      <c r="A222" t="inlineStr">
        <is>
          <t>A 30286-2022</t>
        </is>
      </c>
      <c r="B222" s="1" t="n">
        <v>44760</v>
      </c>
      <c r="C222" s="1" t="n">
        <v>45895</v>
      </c>
      <c r="D222" t="inlineStr">
        <is>
          <t>STOCKHOLMS LÄN</t>
        </is>
      </c>
      <c r="E222" t="inlineStr">
        <is>
          <t>NORRTÄLJE</t>
        </is>
      </c>
      <c r="G222" t="n">
        <v>0.3</v>
      </c>
      <c r="H222" t="n">
        <v>0</v>
      </c>
      <c r="I222" t="n">
        <v>0</v>
      </c>
      <c r="J222" t="n">
        <v>0</v>
      </c>
      <c r="K222" t="n">
        <v>0</v>
      </c>
      <c r="L222" t="n">
        <v>0</v>
      </c>
      <c r="M222" t="n">
        <v>0</v>
      </c>
      <c r="N222" t="n">
        <v>0</v>
      </c>
      <c r="O222" t="n">
        <v>0</v>
      </c>
      <c r="P222" t="n">
        <v>0</v>
      </c>
      <c r="Q222" t="n">
        <v>0</v>
      </c>
      <c r="R222" s="2" t="inlineStr"/>
    </row>
    <row r="223" ht="15" customHeight="1">
      <c r="A223" t="inlineStr">
        <is>
          <t>A 8160-2022</t>
        </is>
      </c>
      <c r="B223" s="1" t="n">
        <v>44609</v>
      </c>
      <c r="C223" s="1" t="n">
        <v>45895</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5562-2021</t>
        </is>
      </c>
      <c r="B224" s="1" t="n">
        <v>44230</v>
      </c>
      <c r="C224" s="1" t="n">
        <v>45895</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5566-2021</t>
        </is>
      </c>
      <c r="B225" s="1" t="n">
        <v>44230</v>
      </c>
      <c r="C225" s="1" t="n">
        <v>45895</v>
      </c>
      <c r="D225" t="inlineStr">
        <is>
          <t>STOCKHOLMS LÄN</t>
        </is>
      </c>
      <c r="E225" t="inlineStr">
        <is>
          <t>NORRTÄLJE</t>
        </is>
      </c>
      <c r="G225" t="n">
        <v>3.1</v>
      </c>
      <c r="H225" t="n">
        <v>0</v>
      </c>
      <c r="I225" t="n">
        <v>0</v>
      </c>
      <c r="J225" t="n">
        <v>0</v>
      </c>
      <c r="K225" t="n">
        <v>0</v>
      </c>
      <c r="L225" t="n">
        <v>0</v>
      </c>
      <c r="M225" t="n">
        <v>0</v>
      </c>
      <c r="N225" t="n">
        <v>0</v>
      </c>
      <c r="O225" t="n">
        <v>0</v>
      </c>
      <c r="P225" t="n">
        <v>0</v>
      </c>
      <c r="Q225" t="n">
        <v>0</v>
      </c>
      <c r="R225" s="2" t="inlineStr"/>
    </row>
    <row r="226" ht="15" customHeight="1">
      <c r="A226" t="inlineStr">
        <is>
          <t>A 39319-2022</t>
        </is>
      </c>
      <c r="B226" s="1" t="n">
        <v>44817.70516203704</v>
      </c>
      <c r="C226" s="1" t="n">
        <v>45895</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72355-2021</t>
        </is>
      </c>
      <c r="B227" s="1" t="n">
        <v>44545</v>
      </c>
      <c r="C227" s="1" t="n">
        <v>45895</v>
      </c>
      <c r="D227" t="inlineStr">
        <is>
          <t>STOCKHOLMS LÄN</t>
        </is>
      </c>
      <c r="E227" t="inlineStr">
        <is>
          <t>NORRTÄLJE</t>
        </is>
      </c>
      <c r="G227" t="n">
        <v>3.6</v>
      </c>
      <c r="H227" t="n">
        <v>0</v>
      </c>
      <c r="I227" t="n">
        <v>0</v>
      </c>
      <c r="J227" t="n">
        <v>0</v>
      </c>
      <c r="K227" t="n">
        <v>0</v>
      </c>
      <c r="L227" t="n">
        <v>0</v>
      </c>
      <c r="M227" t="n">
        <v>0</v>
      </c>
      <c r="N227" t="n">
        <v>0</v>
      </c>
      <c r="O227" t="n">
        <v>0</v>
      </c>
      <c r="P227" t="n">
        <v>0</v>
      </c>
      <c r="Q227" t="n">
        <v>0</v>
      </c>
      <c r="R227" s="2" t="inlineStr"/>
    </row>
    <row r="228" ht="15" customHeight="1">
      <c r="A228" t="inlineStr">
        <is>
          <t>A 72357-2021</t>
        </is>
      </c>
      <c r="B228" s="1" t="n">
        <v>44545</v>
      </c>
      <c r="C228" s="1" t="n">
        <v>45895</v>
      </c>
      <c r="D228" t="inlineStr">
        <is>
          <t>STOCKHOLMS LÄN</t>
        </is>
      </c>
      <c r="E228" t="inlineStr">
        <is>
          <t>NORRTÄLJE</t>
        </is>
      </c>
      <c r="G228" t="n">
        <v>5.1</v>
      </c>
      <c r="H228" t="n">
        <v>0</v>
      </c>
      <c r="I228" t="n">
        <v>0</v>
      </c>
      <c r="J228" t="n">
        <v>0</v>
      </c>
      <c r="K228" t="n">
        <v>0</v>
      </c>
      <c r="L228" t="n">
        <v>0</v>
      </c>
      <c r="M228" t="n">
        <v>0</v>
      </c>
      <c r="N228" t="n">
        <v>0</v>
      </c>
      <c r="O228" t="n">
        <v>0</v>
      </c>
      <c r="P228" t="n">
        <v>0</v>
      </c>
      <c r="Q228" t="n">
        <v>0</v>
      </c>
      <c r="R228" s="2" t="inlineStr"/>
    </row>
    <row r="229" ht="15" customHeight="1">
      <c r="A229" t="inlineStr">
        <is>
          <t>A 56219-2021</t>
        </is>
      </c>
      <c r="B229" s="1" t="n">
        <v>44477</v>
      </c>
      <c r="C229" s="1" t="n">
        <v>45895</v>
      </c>
      <c r="D229" t="inlineStr">
        <is>
          <t>STOCKHOLMS LÄN</t>
        </is>
      </c>
      <c r="E229" t="inlineStr">
        <is>
          <t>NORRTÄLJE</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52139-2022</t>
        </is>
      </c>
      <c r="B230" s="1" t="n">
        <v>44868</v>
      </c>
      <c r="C230" s="1" t="n">
        <v>45895</v>
      </c>
      <c r="D230" t="inlineStr">
        <is>
          <t>STOCKHOLMS LÄN</t>
        </is>
      </c>
      <c r="E230" t="inlineStr">
        <is>
          <t>NORRTÄLJE</t>
        </is>
      </c>
      <c r="G230" t="n">
        <v>3.2</v>
      </c>
      <c r="H230" t="n">
        <v>0</v>
      </c>
      <c r="I230" t="n">
        <v>0</v>
      </c>
      <c r="J230" t="n">
        <v>0</v>
      </c>
      <c r="K230" t="n">
        <v>0</v>
      </c>
      <c r="L230" t="n">
        <v>0</v>
      </c>
      <c r="M230" t="n">
        <v>0</v>
      </c>
      <c r="N230" t="n">
        <v>0</v>
      </c>
      <c r="O230" t="n">
        <v>0</v>
      </c>
      <c r="P230" t="n">
        <v>0</v>
      </c>
      <c r="Q230" t="n">
        <v>0</v>
      </c>
      <c r="R230" s="2" t="inlineStr"/>
    </row>
    <row r="231" ht="15" customHeight="1">
      <c r="A231" t="inlineStr">
        <is>
          <t>A 2732-2022</t>
        </is>
      </c>
      <c r="B231" s="1" t="n">
        <v>44580</v>
      </c>
      <c r="C231" s="1" t="n">
        <v>45895</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9446-2021</t>
        </is>
      </c>
      <c r="B232" s="1" t="n">
        <v>44251</v>
      </c>
      <c r="C232" s="1" t="n">
        <v>45895</v>
      </c>
      <c r="D232" t="inlineStr">
        <is>
          <t>STOCKHOLMS LÄN</t>
        </is>
      </c>
      <c r="E232" t="inlineStr">
        <is>
          <t>NORRTÄLJE</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45895</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45895</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16119-2022</t>
        </is>
      </c>
      <c r="B235" s="1" t="n">
        <v>44665.66407407408</v>
      </c>
      <c r="C235" s="1" t="n">
        <v>45895</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45895</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45895</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45895</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15226-2022</t>
        </is>
      </c>
      <c r="B239" s="1" t="n">
        <v>44658</v>
      </c>
      <c r="C239" s="1" t="n">
        <v>45895</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48071-2020</t>
        </is>
      </c>
      <c r="B240" s="1" t="n">
        <v>44100</v>
      </c>
      <c r="C240" s="1" t="n">
        <v>45895</v>
      </c>
      <c r="D240" t="inlineStr">
        <is>
          <t>STOCKHOLMS LÄN</t>
        </is>
      </c>
      <c r="E240" t="inlineStr">
        <is>
          <t>NORRTÄLJE</t>
        </is>
      </c>
      <c r="G240" t="n">
        <v>6.8</v>
      </c>
      <c r="H240" t="n">
        <v>0</v>
      </c>
      <c r="I240" t="n">
        <v>0</v>
      </c>
      <c r="J240" t="n">
        <v>0</v>
      </c>
      <c r="K240" t="n">
        <v>0</v>
      </c>
      <c r="L240" t="n">
        <v>0</v>
      </c>
      <c r="M240" t="n">
        <v>0</v>
      </c>
      <c r="N240" t="n">
        <v>0</v>
      </c>
      <c r="O240" t="n">
        <v>0</v>
      </c>
      <c r="P240" t="n">
        <v>0</v>
      </c>
      <c r="Q240" t="n">
        <v>0</v>
      </c>
      <c r="R240" s="2" t="inlineStr"/>
    </row>
    <row r="241" ht="15" customHeight="1">
      <c r="A241" t="inlineStr">
        <is>
          <t>A 17673-2021</t>
        </is>
      </c>
      <c r="B241" s="1" t="n">
        <v>44300</v>
      </c>
      <c r="C241" s="1" t="n">
        <v>45895</v>
      </c>
      <c r="D241" t="inlineStr">
        <is>
          <t>STOCKHOLMS LÄN</t>
        </is>
      </c>
      <c r="E241" t="inlineStr">
        <is>
          <t>NORRTÄLJE</t>
        </is>
      </c>
      <c r="G241" t="n">
        <v>1.1</v>
      </c>
      <c r="H241" t="n">
        <v>0</v>
      </c>
      <c r="I241" t="n">
        <v>0</v>
      </c>
      <c r="J241" t="n">
        <v>0</v>
      </c>
      <c r="K241" t="n">
        <v>0</v>
      </c>
      <c r="L241" t="n">
        <v>0</v>
      </c>
      <c r="M241" t="n">
        <v>0</v>
      </c>
      <c r="N241" t="n">
        <v>0</v>
      </c>
      <c r="O241" t="n">
        <v>0</v>
      </c>
      <c r="P241" t="n">
        <v>0</v>
      </c>
      <c r="Q241" t="n">
        <v>0</v>
      </c>
      <c r="R241" s="2" t="inlineStr"/>
      <c r="T241">
        <f>HYPERLINK("https://klasma.github.io/Logging_0188/kartor/A 17673-2021 karta.png", "A 17673-2021")</f>
        <v/>
      </c>
      <c r="V241">
        <f>HYPERLINK("https://klasma.github.io/Logging_0188/klagomål/A 17673-2021 FSC-klagomål.docx", "A 17673-2021")</f>
        <v/>
      </c>
      <c r="W241">
        <f>HYPERLINK("https://klasma.github.io/Logging_0188/klagomålsmail/A 17673-2021 FSC-klagomål mail.docx", "A 17673-2021")</f>
        <v/>
      </c>
      <c r="X241">
        <f>HYPERLINK("https://klasma.github.io/Logging_0188/tillsyn/A 17673-2021 tillsynsbegäran.docx", "A 17673-2021")</f>
        <v/>
      </c>
      <c r="Y241">
        <f>HYPERLINK("https://klasma.github.io/Logging_0188/tillsynsmail/A 17673-2021 tillsynsbegäran mail.docx", "A 17673-2021")</f>
        <v/>
      </c>
      <c r="Z241">
        <f>HYPERLINK("https://klasma.github.io/Logging_0188/fåglar/A 17673-2021 prioriterade fågelarter.docx", "A 17673-2021")</f>
        <v/>
      </c>
    </row>
    <row r="242" ht="15" customHeight="1">
      <c r="A242" t="inlineStr">
        <is>
          <t>A 3300-2022</t>
        </is>
      </c>
      <c r="B242" s="1" t="n">
        <v>44584.91538194445</v>
      </c>
      <c r="C242" s="1" t="n">
        <v>45895</v>
      </c>
      <c r="D242" t="inlineStr">
        <is>
          <t>STOCKHOLMS LÄN</t>
        </is>
      </c>
      <c r="E242" t="inlineStr">
        <is>
          <t>NORRTÄLJE</t>
        </is>
      </c>
      <c r="G242" t="n">
        <v>0.4</v>
      </c>
      <c r="H242" t="n">
        <v>0</v>
      </c>
      <c r="I242" t="n">
        <v>0</v>
      </c>
      <c r="J242" t="n">
        <v>0</v>
      </c>
      <c r="K242" t="n">
        <v>0</v>
      </c>
      <c r="L242" t="n">
        <v>0</v>
      </c>
      <c r="M242" t="n">
        <v>0</v>
      </c>
      <c r="N242" t="n">
        <v>0</v>
      </c>
      <c r="O242" t="n">
        <v>0</v>
      </c>
      <c r="P242" t="n">
        <v>0</v>
      </c>
      <c r="Q242" t="n">
        <v>0</v>
      </c>
      <c r="R242" s="2" t="inlineStr"/>
    </row>
    <row r="243" ht="15" customHeight="1">
      <c r="A243" t="inlineStr">
        <is>
          <t>A 17388-2022</t>
        </is>
      </c>
      <c r="B243" s="1" t="n">
        <v>44678</v>
      </c>
      <c r="C243" s="1" t="n">
        <v>45895</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38991-2022</t>
        </is>
      </c>
      <c r="B244" s="1" t="n">
        <v>44816.89569444444</v>
      </c>
      <c r="C244" s="1" t="n">
        <v>45895</v>
      </c>
      <c r="D244" t="inlineStr">
        <is>
          <t>STOCKHOLMS LÄN</t>
        </is>
      </c>
      <c r="E244" t="inlineStr">
        <is>
          <t>NORRTÄLJE</t>
        </is>
      </c>
      <c r="G244" t="n">
        <v>1.9</v>
      </c>
      <c r="H244" t="n">
        <v>0</v>
      </c>
      <c r="I244" t="n">
        <v>0</v>
      </c>
      <c r="J244" t="n">
        <v>0</v>
      </c>
      <c r="K244" t="n">
        <v>0</v>
      </c>
      <c r="L244" t="n">
        <v>0</v>
      </c>
      <c r="M244" t="n">
        <v>0</v>
      </c>
      <c r="N244" t="n">
        <v>0</v>
      </c>
      <c r="O244" t="n">
        <v>0</v>
      </c>
      <c r="P244" t="n">
        <v>0</v>
      </c>
      <c r="Q244" t="n">
        <v>0</v>
      </c>
      <c r="R244" s="2" t="inlineStr"/>
    </row>
    <row r="245" ht="15" customHeight="1">
      <c r="A245" t="inlineStr">
        <is>
          <t>A 17771-2022</t>
        </is>
      </c>
      <c r="B245" s="1" t="n">
        <v>44682.75924768519</v>
      </c>
      <c r="C245" s="1" t="n">
        <v>45895</v>
      </c>
      <c r="D245" t="inlineStr">
        <is>
          <t>STOCKHOLMS LÄN</t>
        </is>
      </c>
      <c r="E245" t="inlineStr">
        <is>
          <t>NORRTÄLJE</t>
        </is>
      </c>
      <c r="G245" t="n">
        <v>13.3</v>
      </c>
      <c r="H245" t="n">
        <v>0</v>
      </c>
      <c r="I245" t="n">
        <v>0</v>
      </c>
      <c r="J245" t="n">
        <v>0</v>
      </c>
      <c r="K245" t="n">
        <v>0</v>
      </c>
      <c r="L245" t="n">
        <v>0</v>
      </c>
      <c r="M245" t="n">
        <v>0</v>
      </c>
      <c r="N245" t="n">
        <v>0</v>
      </c>
      <c r="O245" t="n">
        <v>0</v>
      </c>
      <c r="P245" t="n">
        <v>0</v>
      </c>
      <c r="Q245" t="n">
        <v>0</v>
      </c>
      <c r="R245" s="2" t="inlineStr"/>
    </row>
    <row r="246" ht="15" customHeight="1">
      <c r="A246" t="inlineStr">
        <is>
          <t>A 17773-2022</t>
        </is>
      </c>
      <c r="B246" s="1" t="n">
        <v>44682.77616898148</v>
      </c>
      <c r="C246" s="1" t="n">
        <v>45895</v>
      </c>
      <c r="D246" t="inlineStr">
        <is>
          <t>STOCKHOLMS LÄN</t>
        </is>
      </c>
      <c r="E246" t="inlineStr">
        <is>
          <t>NORRTÄLJE</t>
        </is>
      </c>
      <c r="G246" t="n">
        <v>10.8</v>
      </c>
      <c r="H246" t="n">
        <v>0</v>
      </c>
      <c r="I246" t="n">
        <v>0</v>
      </c>
      <c r="J246" t="n">
        <v>0</v>
      </c>
      <c r="K246" t="n">
        <v>0</v>
      </c>
      <c r="L246" t="n">
        <v>0</v>
      </c>
      <c r="M246" t="n">
        <v>0</v>
      </c>
      <c r="N246" t="n">
        <v>0</v>
      </c>
      <c r="O246" t="n">
        <v>0</v>
      </c>
      <c r="P246" t="n">
        <v>0</v>
      </c>
      <c r="Q246" t="n">
        <v>0</v>
      </c>
      <c r="R246" s="2" t="inlineStr"/>
    </row>
    <row r="247" ht="15" customHeight="1">
      <c r="A247" t="inlineStr">
        <is>
          <t>A 53884-2022</t>
        </is>
      </c>
      <c r="B247" s="1" t="n">
        <v>44880.68423611111</v>
      </c>
      <c r="C247" s="1" t="n">
        <v>45895</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12357-2022</t>
        </is>
      </c>
      <c r="B248" s="1" t="n">
        <v>44637</v>
      </c>
      <c r="C248" s="1" t="n">
        <v>45895</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10521-2022</t>
        </is>
      </c>
      <c r="B249" s="1" t="n">
        <v>44623</v>
      </c>
      <c r="C249" s="1" t="n">
        <v>45895</v>
      </c>
      <c r="D249" t="inlineStr">
        <is>
          <t>STOCKHOLMS LÄN</t>
        </is>
      </c>
      <c r="E249" t="inlineStr">
        <is>
          <t>NORRTÄLJE</t>
        </is>
      </c>
      <c r="G249" t="n">
        <v>2.9</v>
      </c>
      <c r="H249" t="n">
        <v>0</v>
      </c>
      <c r="I249" t="n">
        <v>0</v>
      </c>
      <c r="J249" t="n">
        <v>0</v>
      </c>
      <c r="K249" t="n">
        <v>0</v>
      </c>
      <c r="L249" t="n">
        <v>0</v>
      </c>
      <c r="M249" t="n">
        <v>0</v>
      </c>
      <c r="N249" t="n">
        <v>0</v>
      </c>
      <c r="O249" t="n">
        <v>0</v>
      </c>
      <c r="P249" t="n">
        <v>0</v>
      </c>
      <c r="Q249" t="n">
        <v>0</v>
      </c>
      <c r="R249" s="2" t="inlineStr"/>
    </row>
    <row r="250" ht="15" customHeight="1">
      <c r="A250" t="inlineStr">
        <is>
          <t>A 26335-2022</t>
        </is>
      </c>
      <c r="B250" s="1" t="n">
        <v>44735</v>
      </c>
      <c r="C250" s="1" t="n">
        <v>45895</v>
      </c>
      <c r="D250" t="inlineStr">
        <is>
          <t>STOCKHOLMS LÄN</t>
        </is>
      </c>
      <c r="E250" t="inlineStr">
        <is>
          <t>NORRTÄLJE</t>
        </is>
      </c>
      <c r="G250" t="n">
        <v>3.3</v>
      </c>
      <c r="H250" t="n">
        <v>0</v>
      </c>
      <c r="I250" t="n">
        <v>0</v>
      </c>
      <c r="J250" t="n">
        <v>0</v>
      </c>
      <c r="K250" t="n">
        <v>0</v>
      </c>
      <c r="L250" t="n">
        <v>0</v>
      </c>
      <c r="M250" t="n">
        <v>0</v>
      </c>
      <c r="N250" t="n">
        <v>0</v>
      </c>
      <c r="O250" t="n">
        <v>0</v>
      </c>
      <c r="P250" t="n">
        <v>0</v>
      </c>
      <c r="Q250" t="n">
        <v>0</v>
      </c>
      <c r="R250" s="2" t="inlineStr"/>
    </row>
    <row r="251" ht="15" customHeight="1">
      <c r="A251" t="inlineStr">
        <is>
          <t>A 27217-2021</t>
        </is>
      </c>
      <c r="B251" s="1" t="n">
        <v>44350</v>
      </c>
      <c r="C251" s="1" t="n">
        <v>45895</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57957-2020</t>
        </is>
      </c>
      <c r="B252" s="1" t="n">
        <v>44143</v>
      </c>
      <c r="C252" s="1" t="n">
        <v>45895</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49334-2020</t>
        </is>
      </c>
      <c r="B253" s="1" t="n">
        <v>44105</v>
      </c>
      <c r="C253" s="1" t="n">
        <v>45895</v>
      </c>
      <c r="D253" t="inlineStr">
        <is>
          <t>STOCKHOLMS LÄN</t>
        </is>
      </c>
      <c r="E253" t="inlineStr">
        <is>
          <t>NORRTÄLJE</t>
        </is>
      </c>
      <c r="G253" t="n">
        <v>1.5</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45895</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45895</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30624-2022</t>
        </is>
      </c>
      <c r="B256" s="1" t="n">
        <v>44763.4182175926</v>
      </c>
      <c r="C256" s="1" t="n">
        <v>45895</v>
      </c>
      <c r="D256" t="inlineStr">
        <is>
          <t>STOCKHOLMS LÄN</t>
        </is>
      </c>
      <c r="E256" t="inlineStr">
        <is>
          <t>NORRTÄLJE</t>
        </is>
      </c>
      <c r="G256" t="n">
        <v>0.7</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45895</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45895</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70170-2021</t>
        </is>
      </c>
      <c r="B259" s="1" t="n">
        <v>44533</v>
      </c>
      <c r="C259" s="1" t="n">
        <v>45895</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45895</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55982-2020</t>
        </is>
      </c>
      <c r="B261" s="1" t="n">
        <v>44132</v>
      </c>
      <c r="C261" s="1" t="n">
        <v>45895</v>
      </c>
      <c r="D261" t="inlineStr">
        <is>
          <t>STOCKHOLMS LÄN</t>
        </is>
      </c>
      <c r="E261" t="inlineStr">
        <is>
          <t>NORRTÄLJE</t>
        </is>
      </c>
      <c r="G261" t="n">
        <v>11.3</v>
      </c>
      <c r="H261" t="n">
        <v>0</v>
      </c>
      <c r="I261" t="n">
        <v>0</v>
      </c>
      <c r="J261" t="n">
        <v>0</v>
      </c>
      <c r="K261" t="n">
        <v>0</v>
      </c>
      <c r="L261" t="n">
        <v>0</v>
      </c>
      <c r="M261" t="n">
        <v>0</v>
      </c>
      <c r="N261" t="n">
        <v>0</v>
      </c>
      <c r="O261" t="n">
        <v>0</v>
      </c>
      <c r="P261" t="n">
        <v>0</v>
      </c>
      <c r="Q261" t="n">
        <v>0</v>
      </c>
      <c r="R261" s="2" t="inlineStr"/>
    </row>
    <row r="262" ht="15" customHeight="1">
      <c r="A262" t="inlineStr">
        <is>
          <t>A 60542-2020</t>
        </is>
      </c>
      <c r="B262" s="1" t="n">
        <v>44153</v>
      </c>
      <c r="C262" s="1" t="n">
        <v>45895</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25463-2021</t>
        </is>
      </c>
      <c r="B263" s="1" t="n">
        <v>44342</v>
      </c>
      <c r="C263" s="1" t="n">
        <v>45895</v>
      </c>
      <c r="D263" t="inlineStr">
        <is>
          <t>STOCKHOLMS LÄN</t>
        </is>
      </c>
      <c r="E263" t="inlineStr">
        <is>
          <t>NORRTÄLJE</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52449-2021</t>
        </is>
      </c>
      <c r="B264" s="1" t="n">
        <v>44466.37496527778</v>
      </c>
      <c r="C264" s="1" t="n">
        <v>45895</v>
      </c>
      <c r="D264" t="inlineStr">
        <is>
          <t>STOCKHOLMS LÄN</t>
        </is>
      </c>
      <c r="E264" t="inlineStr">
        <is>
          <t>NORRTÄLJE</t>
        </is>
      </c>
      <c r="F264" t="inlineStr">
        <is>
          <t>Holmen skog AB</t>
        </is>
      </c>
      <c r="G264" t="n">
        <v>1.8</v>
      </c>
      <c r="H264" t="n">
        <v>0</v>
      </c>
      <c r="I264" t="n">
        <v>0</v>
      </c>
      <c r="J264" t="n">
        <v>0</v>
      </c>
      <c r="K264" t="n">
        <v>0</v>
      </c>
      <c r="L264" t="n">
        <v>0</v>
      </c>
      <c r="M264" t="n">
        <v>0</v>
      </c>
      <c r="N264" t="n">
        <v>0</v>
      </c>
      <c r="O264" t="n">
        <v>0</v>
      </c>
      <c r="P264" t="n">
        <v>0</v>
      </c>
      <c r="Q264" t="n">
        <v>0</v>
      </c>
      <c r="R264" s="2" t="inlineStr"/>
    </row>
    <row r="265" ht="15" customHeight="1">
      <c r="A265" t="inlineStr">
        <is>
          <t>A 21102-2022</t>
        </is>
      </c>
      <c r="B265" s="1" t="n">
        <v>44704</v>
      </c>
      <c r="C265" s="1" t="n">
        <v>45895</v>
      </c>
      <c r="D265" t="inlineStr">
        <is>
          <t>STOCKHOLMS LÄN</t>
        </is>
      </c>
      <c r="E265" t="inlineStr">
        <is>
          <t>NORRTÄLJE</t>
        </is>
      </c>
      <c r="G265" t="n">
        <v>0.2</v>
      </c>
      <c r="H265" t="n">
        <v>0</v>
      </c>
      <c r="I265" t="n">
        <v>0</v>
      </c>
      <c r="J265" t="n">
        <v>0</v>
      </c>
      <c r="K265" t="n">
        <v>0</v>
      </c>
      <c r="L265" t="n">
        <v>0</v>
      </c>
      <c r="M265" t="n">
        <v>0</v>
      </c>
      <c r="N265" t="n">
        <v>0</v>
      </c>
      <c r="O265" t="n">
        <v>0</v>
      </c>
      <c r="P265" t="n">
        <v>0</v>
      </c>
      <c r="Q265" t="n">
        <v>0</v>
      </c>
      <c r="R265" s="2" t="inlineStr"/>
    </row>
    <row r="266" ht="15" customHeight="1">
      <c r="A266" t="inlineStr">
        <is>
          <t>A 42365-2020</t>
        </is>
      </c>
      <c r="B266" s="1" t="n">
        <v>44076</v>
      </c>
      <c r="C266" s="1" t="n">
        <v>45895</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28042-2022</t>
        </is>
      </c>
      <c r="B267" s="1" t="n">
        <v>44744</v>
      </c>
      <c r="C267" s="1" t="n">
        <v>45895</v>
      </c>
      <c r="D267" t="inlineStr">
        <is>
          <t>STOCKHOLMS LÄN</t>
        </is>
      </c>
      <c r="E267" t="inlineStr">
        <is>
          <t>NORRTÄLJE</t>
        </is>
      </c>
      <c r="G267" t="n">
        <v>0.2</v>
      </c>
      <c r="H267" t="n">
        <v>0</v>
      </c>
      <c r="I267" t="n">
        <v>0</v>
      </c>
      <c r="J267" t="n">
        <v>0</v>
      </c>
      <c r="K267" t="n">
        <v>0</v>
      </c>
      <c r="L267" t="n">
        <v>0</v>
      </c>
      <c r="M267" t="n">
        <v>0</v>
      </c>
      <c r="N267" t="n">
        <v>0</v>
      </c>
      <c r="O267" t="n">
        <v>0</v>
      </c>
      <c r="P267" t="n">
        <v>0</v>
      </c>
      <c r="Q267" t="n">
        <v>0</v>
      </c>
      <c r="R267" s="2" t="inlineStr"/>
    </row>
    <row r="268" ht="15" customHeight="1">
      <c r="A268" t="inlineStr">
        <is>
          <t>A 71880-2021</t>
        </is>
      </c>
      <c r="B268" s="1" t="n">
        <v>44543</v>
      </c>
      <c r="C268" s="1" t="n">
        <v>45895</v>
      </c>
      <c r="D268" t="inlineStr">
        <is>
          <t>STOCKHOLMS LÄN</t>
        </is>
      </c>
      <c r="E268" t="inlineStr">
        <is>
          <t>NORRTÄLJE</t>
        </is>
      </c>
      <c r="G268" t="n">
        <v>2</v>
      </c>
      <c r="H268" t="n">
        <v>0</v>
      </c>
      <c r="I268" t="n">
        <v>0</v>
      </c>
      <c r="J268" t="n">
        <v>0</v>
      </c>
      <c r="K268" t="n">
        <v>0</v>
      </c>
      <c r="L268" t="n">
        <v>0</v>
      </c>
      <c r="M268" t="n">
        <v>0</v>
      </c>
      <c r="N268" t="n">
        <v>0</v>
      </c>
      <c r="O268" t="n">
        <v>0</v>
      </c>
      <c r="P268" t="n">
        <v>0</v>
      </c>
      <c r="Q268" t="n">
        <v>0</v>
      </c>
      <c r="R268" s="2" t="inlineStr"/>
    </row>
    <row r="269" ht="15" customHeight="1">
      <c r="A269" t="inlineStr">
        <is>
          <t>A 33046-2021</t>
        </is>
      </c>
      <c r="B269" s="1" t="n">
        <v>44376</v>
      </c>
      <c r="C269" s="1" t="n">
        <v>45895</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45895</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67285-2021</t>
        </is>
      </c>
      <c r="B271" s="1" t="n">
        <v>44523.61635416667</v>
      </c>
      <c r="C271" s="1" t="n">
        <v>45895</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5611-2022</t>
        </is>
      </c>
      <c r="B272" s="1" t="n">
        <v>44595</v>
      </c>
      <c r="C272" s="1" t="n">
        <v>45895</v>
      </c>
      <c r="D272" t="inlineStr">
        <is>
          <t>STOCKHOLMS LÄN</t>
        </is>
      </c>
      <c r="E272" t="inlineStr">
        <is>
          <t>NORRTÄLJE</t>
        </is>
      </c>
      <c r="G272" t="n">
        <v>0.5</v>
      </c>
      <c r="H272" t="n">
        <v>0</v>
      </c>
      <c r="I272" t="n">
        <v>0</v>
      </c>
      <c r="J272" t="n">
        <v>0</v>
      </c>
      <c r="K272" t="n">
        <v>0</v>
      </c>
      <c r="L272" t="n">
        <v>0</v>
      </c>
      <c r="M272" t="n">
        <v>0</v>
      </c>
      <c r="N272" t="n">
        <v>0</v>
      </c>
      <c r="O272" t="n">
        <v>0</v>
      </c>
      <c r="P272" t="n">
        <v>0</v>
      </c>
      <c r="Q272" t="n">
        <v>0</v>
      </c>
      <c r="R272" s="2" t="inlineStr"/>
    </row>
    <row r="273" ht="15" customHeight="1">
      <c r="A273" t="inlineStr">
        <is>
          <t>A 32055-2021</t>
        </is>
      </c>
      <c r="B273" s="1" t="n">
        <v>44370.72197916666</v>
      </c>
      <c r="C273" s="1" t="n">
        <v>45895</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45895</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23453-2021</t>
        </is>
      </c>
      <c r="B275" s="1" t="n">
        <v>44333</v>
      </c>
      <c r="C275" s="1" t="n">
        <v>45895</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26328-2022</t>
        </is>
      </c>
      <c r="B276" s="1" t="n">
        <v>44735</v>
      </c>
      <c r="C276" s="1" t="n">
        <v>45895</v>
      </c>
      <c r="D276" t="inlineStr">
        <is>
          <t>STOCKHOLMS LÄN</t>
        </is>
      </c>
      <c r="E276" t="inlineStr">
        <is>
          <t>NORRTÄLJE</t>
        </is>
      </c>
      <c r="G276" t="n">
        <v>2.8</v>
      </c>
      <c r="H276" t="n">
        <v>0</v>
      </c>
      <c r="I276" t="n">
        <v>0</v>
      </c>
      <c r="J276" t="n">
        <v>0</v>
      </c>
      <c r="K276" t="n">
        <v>0</v>
      </c>
      <c r="L276" t="n">
        <v>0</v>
      </c>
      <c r="M276" t="n">
        <v>0</v>
      </c>
      <c r="N276" t="n">
        <v>0</v>
      </c>
      <c r="O276" t="n">
        <v>0</v>
      </c>
      <c r="P276" t="n">
        <v>0</v>
      </c>
      <c r="Q276" t="n">
        <v>0</v>
      </c>
      <c r="R276" s="2" t="inlineStr"/>
    </row>
    <row r="277" ht="15" customHeight="1">
      <c r="A277" t="inlineStr">
        <is>
          <t>A 66372-2020</t>
        </is>
      </c>
      <c r="B277" s="1" t="n">
        <v>44176</v>
      </c>
      <c r="C277" s="1" t="n">
        <v>45895</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41398-2022</t>
        </is>
      </c>
      <c r="B278" s="1" t="n">
        <v>44826</v>
      </c>
      <c r="C278" s="1" t="n">
        <v>45895</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22369-2021</t>
        </is>
      </c>
      <c r="B279" s="1" t="n">
        <v>44326</v>
      </c>
      <c r="C279" s="1" t="n">
        <v>45895</v>
      </c>
      <c r="D279" t="inlineStr">
        <is>
          <t>STOCKHOLMS LÄN</t>
        </is>
      </c>
      <c r="E279" t="inlineStr">
        <is>
          <t>NORRTÄLJE</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27214-2021</t>
        </is>
      </c>
      <c r="B280" s="1" t="n">
        <v>44350</v>
      </c>
      <c r="C280" s="1" t="n">
        <v>45895</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38721-2022</t>
        </is>
      </c>
      <c r="B281" s="1" t="n">
        <v>44815</v>
      </c>
      <c r="C281" s="1" t="n">
        <v>45895</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12355-2022</t>
        </is>
      </c>
      <c r="B282" s="1" t="n">
        <v>44637</v>
      </c>
      <c r="C282" s="1" t="n">
        <v>45895</v>
      </c>
      <c r="D282" t="inlineStr">
        <is>
          <t>STOCKHOLMS LÄN</t>
        </is>
      </c>
      <c r="E282" t="inlineStr">
        <is>
          <t>NORRTÄLJE</t>
        </is>
      </c>
      <c r="G282" t="n">
        <v>10.4</v>
      </c>
      <c r="H282" t="n">
        <v>0</v>
      </c>
      <c r="I282" t="n">
        <v>0</v>
      </c>
      <c r="J282" t="n">
        <v>0</v>
      </c>
      <c r="K282" t="n">
        <v>0</v>
      </c>
      <c r="L282" t="n">
        <v>0</v>
      </c>
      <c r="M282" t="n">
        <v>0</v>
      </c>
      <c r="N282" t="n">
        <v>0</v>
      </c>
      <c r="O282" t="n">
        <v>0</v>
      </c>
      <c r="P282" t="n">
        <v>0</v>
      </c>
      <c r="Q282" t="n">
        <v>0</v>
      </c>
      <c r="R282" s="2" t="inlineStr"/>
    </row>
    <row r="283" ht="15" customHeight="1">
      <c r="A283" t="inlineStr">
        <is>
          <t>A 60184-2021</t>
        </is>
      </c>
      <c r="B283" s="1" t="n">
        <v>44495</v>
      </c>
      <c r="C283" s="1" t="n">
        <v>45895</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23271-2023</t>
        </is>
      </c>
      <c r="B284" s="1" t="n">
        <v>45075.91362268518</v>
      </c>
      <c r="C284" s="1" t="n">
        <v>45895</v>
      </c>
      <c r="D284" t="inlineStr">
        <is>
          <t>STOCKHOLMS LÄN</t>
        </is>
      </c>
      <c r="E284" t="inlineStr">
        <is>
          <t>NORRTÄLJE</t>
        </is>
      </c>
      <c r="G284" t="n">
        <v>5.1</v>
      </c>
      <c r="H284" t="n">
        <v>0</v>
      </c>
      <c r="I284" t="n">
        <v>0</v>
      </c>
      <c r="J284" t="n">
        <v>0</v>
      </c>
      <c r="K284" t="n">
        <v>0</v>
      </c>
      <c r="L284" t="n">
        <v>0</v>
      </c>
      <c r="M284" t="n">
        <v>0</v>
      </c>
      <c r="N284" t="n">
        <v>0</v>
      </c>
      <c r="O284" t="n">
        <v>0</v>
      </c>
      <c r="P284" t="n">
        <v>0</v>
      </c>
      <c r="Q284" t="n">
        <v>0</v>
      </c>
      <c r="R284" s="2" t="inlineStr"/>
    </row>
    <row r="285" ht="15" customHeight="1">
      <c r="A285" t="inlineStr">
        <is>
          <t>A 23273-2023</t>
        </is>
      </c>
      <c r="B285" s="1" t="n">
        <v>45075.91971064815</v>
      </c>
      <c r="C285" s="1" t="n">
        <v>45895</v>
      </c>
      <c r="D285" t="inlineStr">
        <is>
          <t>STOCKHOLMS LÄN</t>
        </is>
      </c>
      <c r="E285" t="inlineStr">
        <is>
          <t>NORRTÄLJE</t>
        </is>
      </c>
      <c r="G285" t="n">
        <v>7.5</v>
      </c>
      <c r="H285" t="n">
        <v>0</v>
      </c>
      <c r="I285" t="n">
        <v>0</v>
      </c>
      <c r="J285" t="n">
        <v>0</v>
      </c>
      <c r="K285" t="n">
        <v>0</v>
      </c>
      <c r="L285" t="n">
        <v>0</v>
      </c>
      <c r="M285" t="n">
        <v>0</v>
      </c>
      <c r="N285" t="n">
        <v>0</v>
      </c>
      <c r="O285" t="n">
        <v>0</v>
      </c>
      <c r="P285" t="n">
        <v>0</v>
      </c>
      <c r="Q285" t="n">
        <v>0</v>
      </c>
      <c r="R285" s="2" t="inlineStr"/>
    </row>
    <row r="286" ht="15" customHeight="1">
      <c r="A286" t="inlineStr">
        <is>
          <t>A 30802-2022</t>
        </is>
      </c>
      <c r="B286" s="1" t="n">
        <v>44764</v>
      </c>
      <c r="C286" s="1" t="n">
        <v>45895</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19706-2023</t>
        </is>
      </c>
      <c r="B287" s="1" t="n">
        <v>45051.455</v>
      </c>
      <c r="C287" s="1" t="n">
        <v>45895</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47869-2020</t>
        </is>
      </c>
      <c r="B288" s="1" t="n">
        <v>44098</v>
      </c>
      <c r="C288" s="1" t="n">
        <v>45895</v>
      </c>
      <c r="D288" t="inlineStr">
        <is>
          <t>STOCKHOLMS LÄN</t>
        </is>
      </c>
      <c r="E288" t="inlineStr">
        <is>
          <t>NORRTÄLJE</t>
        </is>
      </c>
      <c r="G288" t="n">
        <v>0.7</v>
      </c>
      <c r="H288" t="n">
        <v>0</v>
      </c>
      <c r="I288" t="n">
        <v>0</v>
      </c>
      <c r="J288" t="n">
        <v>0</v>
      </c>
      <c r="K288" t="n">
        <v>0</v>
      </c>
      <c r="L288" t="n">
        <v>0</v>
      </c>
      <c r="M288" t="n">
        <v>0</v>
      </c>
      <c r="N288" t="n">
        <v>0</v>
      </c>
      <c r="O288" t="n">
        <v>0</v>
      </c>
      <c r="P288" t="n">
        <v>0</v>
      </c>
      <c r="Q288" t="n">
        <v>0</v>
      </c>
      <c r="R288" s="2" t="inlineStr"/>
    </row>
    <row r="289" ht="15" customHeight="1">
      <c r="A289" t="inlineStr">
        <is>
          <t>A 16008-2025</t>
        </is>
      </c>
      <c r="B289" s="1" t="n">
        <v>45749</v>
      </c>
      <c r="C289" s="1" t="n">
        <v>45895</v>
      </c>
      <c r="D289" t="inlineStr">
        <is>
          <t>STOCKHOLMS LÄN</t>
        </is>
      </c>
      <c r="E289" t="inlineStr">
        <is>
          <t>NORRTÄLJE</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9765-2024</t>
        </is>
      </c>
      <c r="B290" s="1" t="n">
        <v>45362.62811342593</v>
      </c>
      <c r="C290" s="1" t="n">
        <v>45895</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15441-2021</t>
        </is>
      </c>
      <c r="B291" s="1" t="n">
        <v>44284</v>
      </c>
      <c r="C291" s="1" t="n">
        <v>45895</v>
      </c>
      <c r="D291" t="inlineStr">
        <is>
          <t>STOCKHOLMS LÄN</t>
        </is>
      </c>
      <c r="E291" t="inlineStr">
        <is>
          <t>NORRTÄLJE</t>
        </is>
      </c>
      <c r="G291" t="n">
        <v>27</v>
      </c>
      <c r="H291" t="n">
        <v>0</v>
      </c>
      <c r="I291" t="n">
        <v>0</v>
      </c>
      <c r="J291" t="n">
        <v>0</v>
      </c>
      <c r="K291" t="n">
        <v>0</v>
      </c>
      <c r="L291" t="n">
        <v>0</v>
      </c>
      <c r="M291" t="n">
        <v>0</v>
      </c>
      <c r="N291" t="n">
        <v>0</v>
      </c>
      <c r="O291" t="n">
        <v>0</v>
      </c>
      <c r="P291" t="n">
        <v>0</v>
      </c>
      <c r="Q291" t="n">
        <v>0</v>
      </c>
      <c r="R291" s="2" t="inlineStr"/>
    </row>
    <row r="292" ht="15" customHeight="1">
      <c r="A292" t="inlineStr">
        <is>
          <t>A 32111-2022</t>
        </is>
      </c>
      <c r="B292" s="1" t="n">
        <v>44778.92797453704</v>
      </c>
      <c r="C292" s="1" t="n">
        <v>45895</v>
      </c>
      <c r="D292" t="inlineStr">
        <is>
          <t>STOCKHOLMS LÄN</t>
        </is>
      </c>
      <c r="E292" t="inlineStr">
        <is>
          <t>NORRTÄLJE</t>
        </is>
      </c>
      <c r="G292" t="n">
        <v>3.1</v>
      </c>
      <c r="H292" t="n">
        <v>0</v>
      </c>
      <c r="I292" t="n">
        <v>0</v>
      </c>
      <c r="J292" t="n">
        <v>0</v>
      </c>
      <c r="K292" t="n">
        <v>0</v>
      </c>
      <c r="L292" t="n">
        <v>0</v>
      </c>
      <c r="M292" t="n">
        <v>0</v>
      </c>
      <c r="N292" t="n">
        <v>0</v>
      </c>
      <c r="O292" t="n">
        <v>0</v>
      </c>
      <c r="P292" t="n">
        <v>0</v>
      </c>
      <c r="Q292" t="n">
        <v>0</v>
      </c>
      <c r="R292" s="2" t="inlineStr"/>
    </row>
    <row r="293" ht="15" customHeight="1">
      <c r="A293" t="inlineStr">
        <is>
          <t>A 7565-2022</t>
        </is>
      </c>
      <c r="B293" s="1" t="n">
        <v>44607</v>
      </c>
      <c r="C293" s="1" t="n">
        <v>45895</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41822-2021</t>
        </is>
      </c>
      <c r="B294" s="1" t="n">
        <v>44425</v>
      </c>
      <c r="C294" s="1" t="n">
        <v>45895</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41823-2021</t>
        </is>
      </c>
      <c r="B295" s="1" t="n">
        <v>44425</v>
      </c>
      <c r="C295" s="1" t="n">
        <v>45895</v>
      </c>
      <c r="D295" t="inlineStr">
        <is>
          <t>STOCKHOLMS LÄN</t>
        </is>
      </c>
      <c r="E295" t="inlineStr">
        <is>
          <t>NORRTÄLJE</t>
        </is>
      </c>
      <c r="G295" t="n">
        <v>2.4</v>
      </c>
      <c r="H295" t="n">
        <v>0</v>
      </c>
      <c r="I295" t="n">
        <v>0</v>
      </c>
      <c r="J295" t="n">
        <v>0</v>
      </c>
      <c r="K295" t="n">
        <v>0</v>
      </c>
      <c r="L295" t="n">
        <v>0</v>
      </c>
      <c r="M295" t="n">
        <v>0</v>
      </c>
      <c r="N295" t="n">
        <v>0</v>
      </c>
      <c r="O295" t="n">
        <v>0</v>
      </c>
      <c r="P295" t="n">
        <v>0</v>
      </c>
      <c r="Q295" t="n">
        <v>0</v>
      </c>
      <c r="R295" s="2" t="inlineStr"/>
    </row>
    <row r="296" ht="15" customHeight="1">
      <c r="A296" t="inlineStr">
        <is>
          <t>A 47694-2023</t>
        </is>
      </c>
      <c r="B296" s="1" t="n">
        <v>45203.63303240741</v>
      </c>
      <c r="C296" s="1" t="n">
        <v>45895</v>
      </c>
      <c r="D296" t="inlineStr">
        <is>
          <t>STOCKHOLMS LÄN</t>
        </is>
      </c>
      <c r="E296" t="inlineStr">
        <is>
          <t>NORRTÄLJE</t>
        </is>
      </c>
      <c r="G296" t="n">
        <v>5.2</v>
      </c>
      <c r="H296" t="n">
        <v>0</v>
      </c>
      <c r="I296" t="n">
        <v>0</v>
      </c>
      <c r="J296" t="n">
        <v>0</v>
      </c>
      <c r="K296" t="n">
        <v>0</v>
      </c>
      <c r="L296" t="n">
        <v>0</v>
      </c>
      <c r="M296" t="n">
        <v>0</v>
      </c>
      <c r="N296" t="n">
        <v>0</v>
      </c>
      <c r="O296" t="n">
        <v>0</v>
      </c>
      <c r="P296" t="n">
        <v>0</v>
      </c>
      <c r="Q296" t="n">
        <v>0</v>
      </c>
      <c r="R296" s="2" t="inlineStr"/>
    </row>
    <row r="297" ht="15" customHeight="1">
      <c r="A297" t="inlineStr">
        <is>
          <t>A 40656-2022</t>
        </is>
      </c>
      <c r="B297" s="1" t="n">
        <v>44824.36069444445</v>
      </c>
      <c r="C297" s="1" t="n">
        <v>45895</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45895</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40425-2021</t>
        </is>
      </c>
      <c r="B299" s="1" t="n">
        <v>44419</v>
      </c>
      <c r="C299" s="1" t="n">
        <v>45895</v>
      </c>
      <c r="D299" t="inlineStr">
        <is>
          <t>STOCKHOLMS LÄN</t>
        </is>
      </c>
      <c r="E299" t="inlineStr">
        <is>
          <t>NORRTÄLJE</t>
        </is>
      </c>
      <c r="G299" t="n">
        <v>5</v>
      </c>
      <c r="H299" t="n">
        <v>0</v>
      </c>
      <c r="I299" t="n">
        <v>0</v>
      </c>
      <c r="J299" t="n">
        <v>0</v>
      </c>
      <c r="K299" t="n">
        <v>0</v>
      </c>
      <c r="L299" t="n">
        <v>0</v>
      </c>
      <c r="M299" t="n">
        <v>0</v>
      </c>
      <c r="N299" t="n">
        <v>0</v>
      </c>
      <c r="O299" t="n">
        <v>0</v>
      </c>
      <c r="P299" t="n">
        <v>0</v>
      </c>
      <c r="Q299" t="n">
        <v>0</v>
      </c>
      <c r="R299" s="2" t="inlineStr"/>
    </row>
    <row r="300" ht="15" customHeight="1">
      <c r="A300" t="inlineStr">
        <is>
          <t>A 20014-2025</t>
        </is>
      </c>
      <c r="B300" s="1" t="n">
        <v>45772.3078125</v>
      </c>
      <c r="C300" s="1" t="n">
        <v>45895</v>
      </c>
      <c r="D300" t="inlineStr">
        <is>
          <t>STOCKHOLMS LÄN</t>
        </is>
      </c>
      <c r="E300" t="inlineStr">
        <is>
          <t>NORRTÄLJE</t>
        </is>
      </c>
      <c r="G300" t="n">
        <v>4.4</v>
      </c>
      <c r="H300" t="n">
        <v>0</v>
      </c>
      <c r="I300" t="n">
        <v>0</v>
      </c>
      <c r="J300" t="n">
        <v>0</v>
      </c>
      <c r="K300" t="n">
        <v>0</v>
      </c>
      <c r="L300" t="n">
        <v>0</v>
      </c>
      <c r="M300" t="n">
        <v>0</v>
      </c>
      <c r="N300" t="n">
        <v>0</v>
      </c>
      <c r="O300" t="n">
        <v>0</v>
      </c>
      <c r="P300" t="n">
        <v>0</v>
      </c>
      <c r="Q300" t="n">
        <v>0</v>
      </c>
      <c r="R300" s="2" t="inlineStr"/>
    </row>
    <row r="301" ht="15" customHeight="1">
      <c r="A301" t="inlineStr">
        <is>
          <t>A 67598-2021</t>
        </is>
      </c>
      <c r="B301" s="1" t="n">
        <v>44524</v>
      </c>
      <c r="C301" s="1" t="n">
        <v>45895</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26639-2023</t>
        </is>
      </c>
      <c r="B302" s="1" t="n">
        <v>45092</v>
      </c>
      <c r="C302" s="1" t="n">
        <v>45895</v>
      </c>
      <c r="D302" t="inlineStr">
        <is>
          <t>STOCKHOLMS LÄN</t>
        </is>
      </c>
      <c r="E302" t="inlineStr">
        <is>
          <t>NORRTÄLJE</t>
        </is>
      </c>
      <c r="G302" t="n">
        <v>3.4</v>
      </c>
      <c r="H302" t="n">
        <v>0</v>
      </c>
      <c r="I302" t="n">
        <v>0</v>
      </c>
      <c r="J302" t="n">
        <v>0</v>
      </c>
      <c r="K302" t="n">
        <v>0</v>
      </c>
      <c r="L302" t="n">
        <v>0</v>
      </c>
      <c r="M302" t="n">
        <v>0</v>
      </c>
      <c r="N302" t="n">
        <v>0</v>
      </c>
      <c r="O302" t="n">
        <v>0</v>
      </c>
      <c r="P302" t="n">
        <v>0</v>
      </c>
      <c r="Q302" t="n">
        <v>0</v>
      </c>
      <c r="R302" s="2" t="inlineStr"/>
    </row>
    <row r="303" ht="15" customHeight="1">
      <c r="A303" t="inlineStr">
        <is>
          <t>A 56631-2024</t>
        </is>
      </c>
      <c r="B303" s="1" t="n">
        <v>45625</v>
      </c>
      <c r="C303" s="1" t="n">
        <v>45895</v>
      </c>
      <c r="D303" t="inlineStr">
        <is>
          <t>STOCKHOLMS LÄN</t>
        </is>
      </c>
      <c r="E303" t="inlineStr">
        <is>
          <t>NORRTÄLJE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48587-2023</t>
        </is>
      </c>
      <c r="B304" s="1" t="n">
        <v>45208</v>
      </c>
      <c r="C304" s="1" t="n">
        <v>45895</v>
      </c>
      <c r="D304" t="inlineStr">
        <is>
          <t>STOCKHOLMS LÄN</t>
        </is>
      </c>
      <c r="E304" t="inlineStr">
        <is>
          <t>NORRTÄLJE</t>
        </is>
      </c>
      <c r="G304" t="n">
        <v>7</v>
      </c>
      <c r="H304" t="n">
        <v>0</v>
      </c>
      <c r="I304" t="n">
        <v>0</v>
      </c>
      <c r="J304" t="n">
        <v>0</v>
      </c>
      <c r="K304" t="n">
        <v>0</v>
      </c>
      <c r="L304" t="n">
        <v>0</v>
      </c>
      <c r="M304" t="n">
        <v>0</v>
      </c>
      <c r="N304" t="n">
        <v>0</v>
      </c>
      <c r="O304" t="n">
        <v>0</v>
      </c>
      <c r="P304" t="n">
        <v>0</v>
      </c>
      <c r="Q304" t="n">
        <v>0</v>
      </c>
      <c r="R304" s="2" t="inlineStr"/>
    </row>
    <row r="305" ht="15" customHeight="1">
      <c r="A305" t="inlineStr">
        <is>
          <t>A 34520-2021</t>
        </is>
      </c>
      <c r="B305" s="1" t="n">
        <v>44379</v>
      </c>
      <c r="C305" s="1" t="n">
        <v>45895</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53600-2022</t>
        </is>
      </c>
      <c r="B306" s="1" t="n">
        <v>44879.70518518519</v>
      </c>
      <c r="C306" s="1" t="n">
        <v>45895</v>
      </c>
      <c r="D306" t="inlineStr">
        <is>
          <t>STOCKHOLMS LÄN</t>
        </is>
      </c>
      <c r="E306" t="inlineStr">
        <is>
          <t>NORRTÄLJE</t>
        </is>
      </c>
      <c r="G306" t="n">
        <v>4.3</v>
      </c>
      <c r="H306" t="n">
        <v>0</v>
      </c>
      <c r="I306" t="n">
        <v>0</v>
      </c>
      <c r="J306" t="n">
        <v>0</v>
      </c>
      <c r="K306" t="n">
        <v>0</v>
      </c>
      <c r="L306" t="n">
        <v>0</v>
      </c>
      <c r="M306" t="n">
        <v>0</v>
      </c>
      <c r="N306" t="n">
        <v>0</v>
      </c>
      <c r="O306" t="n">
        <v>0</v>
      </c>
      <c r="P306" t="n">
        <v>0</v>
      </c>
      <c r="Q306" t="n">
        <v>0</v>
      </c>
      <c r="R306" s="2" t="inlineStr"/>
    </row>
    <row r="307" ht="15" customHeight="1">
      <c r="A307" t="inlineStr">
        <is>
          <t>A 12348-2025</t>
        </is>
      </c>
      <c r="B307" s="1" t="n">
        <v>45730.35026620371</v>
      </c>
      <c r="C307" s="1" t="n">
        <v>45895</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5950-2021</t>
        </is>
      </c>
      <c r="B308" s="1" t="n">
        <v>44231</v>
      </c>
      <c r="C308" s="1" t="n">
        <v>45895</v>
      </c>
      <c r="D308" t="inlineStr">
        <is>
          <t>STOCKHOLMS LÄN</t>
        </is>
      </c>
      <c r="E308" t="inlineStr">
        <is>
          <t>NORRTÄLJE</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3444-2023</t>
        </is>
      </c>
      <c r="B309" s="1" t="n">
        <v>44949</v>
      </c>
      <c r="C309" s="1" t="n">
        <v>45895</v>
      </c>
      <c r="D309" t="inlineStr">
        <is>
          <t>STOCKHOLMS LÄN</t>
        </is>
      </c>
      <c r="E309" t="inlineStr">
        <is>
          <t>NORRTÄLJE</t>
        </is>
      </c>
      <c r="G309" t="n">
        <v>5.1</v>
      </c>
      <c r="H309" t="n">
        <v>0</v>
      </c>
      <c r="I309" t="n">
        <v>0</v>
      </c>
      <c r="J309" t="n">
        <v>0</v>
      </c>
      <c r="K309" t="n">
        <v>0</v>
      </c>
      <c r="L309" t="n">
        <v>0</v>
      </c>
      <c r="M309" t="n">
        <v>0</v>
      </c>
      <c r="N309" t="n">
        <v>0</v>
      </c>
      <c r="O309" t="n">
        <v>0</v>
      </c>
      <c r="P309" t="n">
        <v>0</v>
      </c>
      <c r="Q309" t="n">
        <v>0</v>
      </c>
      <c r="R309" s="2" t="inlineStr"/>
    </row>
    <row r="310" ht="15" customHeight="1">
      <c r="A310" t="inlineStr">
        <is>
          <t>A 13053-2022</t>
        </is>
      </c>
      <c r="B310" s="1" t="n">
        <v>44643</v>
      </c>
      <c r="C310" s="1" t="n">
        <v>45895</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42955-2022</t>
        </is>
      </c>
      <c r="B311" s="1" t="n">
        <v>44833.40876157407</v>
      </c>
      <c r="C311" s="1" t="n">
        <v>45895</v>
      </c>
      <c r="D311" t="inlineStr">
        <is>
          <t>STOCKHOLMS LÄN</t>
        </is>
      </c>
      <c r="E311" t="inlineStr">
        <is>
          <t>NORRTÄLJE</t>
        </is>
      </c>
      <c r="G311" t="n">
        <v>13.1</v>
      </c>
      <c r="H311" t="n">
        <v>0</v>
      </c>
      <c r="I311" t="n">
        <v>0</v>
      </c>
      <c r="J311" t="n">
        <v>0</v>
      </c>
      <c r="K311" t="n">
        <v>0</v>
      </c>
      <c r="L311" t="n">
        <v>0</v>
      </c>
      <c r="M311" t="n">
        <v>0</v>
      </c>
      <c r="N311" t="n">
        <v>0</v>
      </c>
      <c r="O311" t="n">
        <v>0</v>
      </c>
      <c r="P311" t="n">
        <v>0</v>
      </c>
      <c r="Q311" t="n">
        <v>0</v>
      </c>
      <c r="R311" s="2" t="inlineStr"/>
    </row>
    <row r="312" ht="15" customHeight="1">
      <c r="A312" t="inlineStr">
        <is>
          <t>A 13148-2021</t>
        </is>
      </c>
      <c r="B312" s="1" t="n">
        <v>44272</v>
      </c>
      <c r="C312" s="1" t="n">
        <v>45895</v>
      </c>
      <c r="D312" t="inlineStr">
        <is>
          <t>STOCKHOLMS LÄN</t>
        </is>
      </c>
      <c r="E312" t="inlineStr">
        <is>
          <t>NORRTÄLJE</t>
        </is>
      </c>
      <c r="G312" t="n">
        <v>12.4</v>
      </c>
      <c r="H312" t="n">
        <v>0</v>
      </c>
      <c r="I312" t="n">
        <v>0</v>
      </c>
      <c r="J312" t="n">
        <v>0</v>
      </c>
      <c r="K312" t="n">
        <v>0</v>
      </c>
      <c r="L312" t="n">
        <v>0</v>
      </c>
      <c r="M312" t="n">
        <v>0</v>
      </c>
      <c r="N312" t="n">
        <v>0</v>
      </c>
      <c r="O312" t="n">
        <v>0</v>
      </c>
      <c r="P312" t="n">
        <v>0</v>
      </c>
      <c r="Q312" t="n">
        <v>0</v>
      </c>
      <c r="R312" s="2" t="inlineStr"/>
    </row>
    <row r="313" ht="15" customHeight="1">
      <c r="A313" t="inlineStr">
        <is>
          <t>A 27715-2022</t>
        </is>
      </c>
      <c r="B313" s="1" t="n">
        <v>44743.47407407407</v>
      </c>
      <c r="C313" s="1" t="n">
        <v>45895</v>
      </c>
      <c r="D313" t="inlineStr">
        <is>
          <t>STOCKHOLMS LÄN</t>
        </is>
      </c>
      <c r="E313" t="inlineStr">
        <is>
          <t>NORRTÄLJE</t>
        </is>
      </c>
      <c r="G313" t="n">
        <v>2.2</v>
      </c>
      <c r="H313" t="n">
        <v>0</v>
      </c>
      <c r="I313" t="n">
        <v>0</v>
      </c>
      <c r="J313" t="n">
        <v>0</v>
      </c>
      <c r="K313" t="n">
        <v>0</v>
      </c>
      <c r="L313" t="n">
        <v>0</v>
      </c>
      <c r="M313" t="n">
        <v>0</v>
      </c>
      <c r="N313" t="n">
        <v>0</v>
      </c>
      <c r="O313" t="n">
        <v>0</v>
      </c>
      <c r="P313" t="n">
        <v>0</v>
      </c>
      <c r="Q313" t="n">
        <v>0</v>
      </c>
      <c r="R313" s="2" t="inlineStr"/>
    </row>
    <row r="314" ht="15" customHeight="1">
      <c r="A314" t="inlineStr">
        <is>
          <t>A 3383-2023</t>
        </is>
      </c>
      <c r="B314" s="1" t="n">
        <v>44949</v>
      </c>
      <c r="C314" s="1" t="n">
        <v>45895</v>
      </c>
      <c r="D314" t="inlineStr">
        <is>
          <t>STOCKHOLMS LÄN</t>
        </is>
      </c>
      <c r="E314" t="inlineStr">
        <is>
          <t>NORRTÄLJE</t>
        </is>
      </c>
      <c r="G314" t="n">
        <v>14.6</v>
      </c>
      <c r="H314" t="n">
        <v>0</v>
      </c>
      <c r="I314" t="n">
        <v>0</v>
      </c>
      <c r="J314" t="n">
        <v>0</v>
      </c>
      <c r="K314" t="n">
        <v>0</v>
      </c>
      <c r="L314" t="n">
        <v>0</v>
      </c>
      <c r="M314" t="n">
        <v>0</v>
      </c>
      <c r="N314" t="n">
        <v>0</v>
      </c>
      <c r="O314" t="n">
        <v>0</v>
      </c>
      <c r="P314" t="n">
        <v>0</v>
      </c>
      <c r="Q314" t="n">
        <v>0</v>
      </c>
      <c r="R314" s="2" t="inlineStr"/>
    </row>
    <row r="315" ht="15" customHeight="1">
      <c r="A315" t="inlineStr">
        <is>
          <t>A 4316-2023</t>
        </is>
      </c>
      <c r="B315" s="1" t="n">
        <v>44953.67443287037</v>
      </c>
      <c r="C315" s="1" t="n">
        <v>45895</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12111-2021</t>
        </is>
      </c>
      <c r="B316" s="1" t="n">
        <v>44266</v>
      </c>
      <c r="C316" s="1" t="n">
        <v>45895</v>
      </c>
      <c r="D316" t="inlineStr">
        <is>
          <t>STOCKHOLMS LÄN</t>
        </is>
      </c>
      <c r="E316" t="inlineStr">
        <is>
          <t>NORRTÄLJE</t>
        </is>
      </c>
      <c r="G316" t="n">
        <v>5.5</v>
      </c>
      <c r="H316" t="n">
        <v>0</v>
      </c>
      <c r="I316" t="n">
        <v>0</v>
      </c>
      <c r="J316" t="n">
        <v>0</v>
      </c>
      <c r="K316" t="n">
        <v>0</v>
      </c>
      <c r="L316" t="n">
        <v>0</v>
      </c>
      <c r="M316" t="n">
        <v>0</v>
      </c>
      <c r="N316" t="n">
        <v>0</v>
      </c>
      <c r="O316" t="n">
        <v>0</v>
      </c>
      <c r="P316" t="n">
        <v>0</v>
      </c>
      <c r="Q316" t="n">
        <v>0</v>
      </c>
      <c r="R316" s="2" t="inlineStr"/>
    </row>
    <row r="317" ht="15" customHeight="1">
      <c r="A317" t="inlineStr">
        <is>
          <t>A 33053-2021</t>
        </is>
      </c>
      <c r="B317" s="1" t="n">
        <v>44376</v>
      </c>
      <c r="C317" s="1" t="n">
        <v>45895</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5839-2023</t>
        </is>
      </c>
      <c r="B318" s="1" t="n">
        <v>44963</v>
      </c>
      <c r="C318" s="1" t="n">
        <v>45895</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20013-2025</t>
        </is>
      </c>
      <c r="B319" s="1" t="n">
        <v>45772.30436342592</v>
      </c>
      <c r="C319" s="1" t="n">
        <v>45895</v>
      </c>
      <c r="D319" t="inlineStr">
        <is>
          <t>STOCKHOLMS LÄN</t>
        </is>
      </c>
      <c r="E319" t="inlineStr">
        <is>
          <t>NORRTÄLJE</t>
        </is>
      </c>
      <c r="G319" t="n">
        <v>2.3</v>
      </c>
      <c r="H319" t="n">
        <v>0</v>
      </c>
      <c r="I319" t="n">
        <v>0</v>
      </c>
      <c r="J319" t="n">
        <v>0</v>
      </c>
      <c r="K319" t="n">
        <v>0</v>
      </c>
      <c r="L319" t="n">
        <v>0</v>
      </c>
      <c r="M319" t="n">
        <v>0</v>
      </c>
      <c r="N319" t="n">
        <v>0</v>
      </c>
      <c r="O319" t="n">
        <v>0</v>
      </c>
      <c r="P319" t="n">
        <v>0</v>
      </c>
      <c r="Q319" t="n">
        <v>0</v>
      </c>
      <c r="R319" s="2" t="inlineStr"/>
    </row>
    <row r="320" ht="15" customHeight="1">
      <c r="A320" t="inlineStr">
        <is>
          <t>A 20136-2025</t>
        </is>
      </c>
      <c r="B320" s="1" t="n">
        <v>45772.51127314815</v>
      </c>
      <c r="C320" s="1" t="n">
        <v>45895</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15978-2024</t>
        </is>
      </c>
      <c r="B321" s="1" t="n">
        <v>45405.57927083333</v>
      </c>
      <c r="C321" s="1" t="n">
        <v>45895</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63161-2023</t>
        </is>
      </c>
      <c r="B322" s="1" t="n">
        <v>45273</v>
      </c>
      <c r="C322" s="1" t="n">
        <v>45895</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5804-2025</t>
        </is>
      </c>
      <c r="B323" s="1" t="n">
        <v>45694.68207175926</v>
      </c>
      <c r="C323" s="1" t="n">
        <v>45895</v>
      </c>
      <c r="D323" t="inlineStr">
        <is>
          <t>STOCKHOLMS LÄN</t>
        </is>
      </c>
      <c r="E323" t="inlineStr">
        <is>
          <t>NORRTÄLJE</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1968-2022</t>
        </is>
      </c>
      <c r="B324" s="1" t="n">
        <v>44575.52831018518</v>
      </c>
      <c r="C324" s="1" t="n">
        <v>45895</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60694-2024</t>
        </is>
      </c>
      <c r="B325" s="1" t="n">
        <v>45644.47878472223</v>
      </c>
      <c r="C325" s="1" t="n">
        <v>45895</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24705-2023</t>
        </is>
      </c>
      <c r="B326" s="1" t="n">
        <v>45084.54459490741</v>
      </c>
      <c r="C326" s="1" t="n">
        <v>45895</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20473-2021</t>
        </is>
      </c>
      <c r="B327" s="1" t="n">
        <v>44315</v>
      </c>
      <c r="C327" s="1" t="n">
        <v>45895</v>
      </c>
      <c r="D327" t="inlineStr">
        <is>
          <t>STOCKHOLMS LÄN</t>
        </is>
      </c>
      <c r="E327" t="inlineStr">
        <is>
          <t>NORRTÄLJE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7603-2025</t>
        </is>
      </c>
      <c r="B328" s="1" t="n">
        <v>45705.66126157407</v>
      </c>
      <c r="C328" s="1" t="n">
        <v>45895</v>
      </c>
      <c r="D328" t="inlineStr">
        <is>
          <t>STOCKHOLMS LÄN</t>
        </is>
      </c>
      <c r="E328" t="inlineStr">
        <is>
          <t>NORRTÄLJE</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25094-2023</t>
        </is>
      </c>
      <c r="B329" s="1" t="n">
        <v>45086.3629050926</v>
      </c>
      <c r="C329" s="1" t="n">
        <v>45895</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54358-2022</t>
        </is>
      </c>
      <c r="B330" s="1" t="n">
        <v>44882</v>
      </c>
      <c r="C330" s="1" t="n">
        <v>45895</v>
      </c>
      <c r="D330" t="inlineStr">
        <is>
          <t>STOCKHOLMS LÄN</t>
        </is>
      </c>
      <c r="E330" t="inlineStr">
        <is>
          <t>NORRTÄLJE</t>
        </is>
      </c>
      <c r="G330" t="n">
        <v>3.3</v>
      </c>
      <c r="H330" t="n">
        <v>0</v>
      </c>
      <c r="I330" t="n">
        <v>0</v>
      </c>
      <c r="J330" t="n">
        <v>0</v>
      </c>
      <c r="K330" t="n">
        <v>0</v>
      </c>
      <c r="L330" t="n">
        <v>0</v>
      </c>
      <c r="M330" t="n">
        <v>0</v>
      </c>
      <c r="N330" t="n">
        <v>0</v>
      </c>
      <c r="O330" t="n">
        <v>0</v>
      </c>
      <c r="P330" t="n">
        <v>0</v>
      </c>
      <c r="Q330" t="n">
        <v>0</v>
      </c>
      <c r="R330" s="2" t="inlineStr"/>
    </row>
    <row r="331" ht="15" customHeight="1">
      <c r="A331" t="inlineStr">
        <is>
          <t>A 59276-2023</t>
        </is>
      </c>
      <c r="B331" s="1" t="n">
        <v>45253.55641203704</v>
      </c>
      <c r="C331" s="1" t="n">
        <v>45895</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13767-2025</t>
        </is>
      </c>
      <c r="B332" s="1" t="n">
        <v>45737.43347222222</v>
      </c>
      <c r="C332" s="1" t="n">
        <v>45895</v>
      </c>
      <c r="D332" t="inlineStr">
        <is>
          <t>STOCKHOLMS LÄN</t>
        </is>
      </c>
      <c r="E332" t="inlineStr">
        <is>
          <t>NORRTÄLJE</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23749-2024</t>
        </is>
      </c>
      <c r="B333" s="1" t="n">
        <v>45455.33037037037</v>
      </c>
      <c r="C333" s="1" t="n">
        <v>45895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35691-2023</t>
        </is>
      </c>
      <c r="B334" s="1" t="n">
        <v>45147.65222222222</v>
      </c>
      <c r="C334" s="1" t="n">
        <v>45895</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35693-2023</t>
        </is>
      </c>
      <c r="B335" s="1" t="n">
        <v>45147.65311342593</v>
      </c>
      <c r="C335" s="1" t="n">
        <v>45895</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35698-2023</t>
        </is>
      </c>
      <c r="B336" s="1" t="n">
        <v>45147</v>
      </c>
      <c r="C336" s="1" t="n">
        <v>45895</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5158-2024</t>
        </is>
      </c>
      <c r="B337" s="1" t="n">
        <v>45330.50098379629</v>
      </c>
      <c r="C337" s="1" t="n">
        <v>45895</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41587-2023</t>
        </is>
      </c>
      <c r="B338" s="1" t="n">
        <v>45175</v>
      </c>
      <c r="C338" s="1" t="n">
        <v>45895</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51046-2023</t>
        </is>
      </c>
      <c r="B339" s="1" t="n">
        <v>45218</v>
      </c>
      <c r="C339" s="1" t="n">
        <v>45895</v>
      </c>
      <c r="D339" t="inlineStr">
        <is>
          <t>STOCKHOLMS LÄN</t>
        </is>
      </c>
      <c r="E339" t="inlineStr">
        <is>
          <t>NORRTÄLJE</t>
        </is>
      </c>
      <c r="G339" t="n">
        <v>2.5</v>
      </c>
      <c r="H339" t="n">
        <v>0</v>
      </c>
      <c r="I339" t="n">
        <v>0</v>
      </c>
      <c r="J339" t="n">
        <v>0</v>
      </c>
      <c r="K339" t="n">
        <v>0</v>
      </c>
      <c r="L339" t="n">
        <v>0</v>
      </c>
      <c r="M339" t="n">
        <v>0</v>
      </c>
      <c r="N339" t="n">
        <v>0</v>
      </c>
      <c r="O339" t="n">
        <v>0</v>
      </c>
      <c r="P339" t="n">
        <v>0</v>
      </c>
      <c r="Q339" t="n">
        <v>0</v>
      </c>
      <c r="R339" s="2" t="inlineStr"/>
    </row>
    <row r="340" ht="15" customHeight="1">
      <c r="A340" t="inlineStr">
        <is>
          <t>A 73992-2021</t>
        </is>
      </c>
      <c r="B340" s="1" t="n">
        <v>44556</v>
      </c>
      <c r="C340" s="1" t="n">
        <v>45895</v>
      </c>
      <c r="D340" t="inlineStr">
        <is>
          <t>STOCKHOLMS LÄN</t>
        </is>
      </c>
      <c r="E340" t="inlineStr">
        <is>
          <t>NORRTÄLJE</t>
        </is>
      </c>
      <c r="G340" t="n">
        <v>12.5</v>
      </c>
      <c r="H340" t="n">
        <v>0</v>
      </c>
      <c r="I340" t="n">
        <v>0</v>
      </c>
      <c r="J340" t="n">
        <v>0</v>
      </c>
      <c r="K340" t="n">
        <v>0</v>
      </c>
      <c r="L340" t="n">
        <v>0</v>
      </c>
      <c r="M340" t="n">
        <v>0</v>
      </c>
      <c r="N340" t="n">
        <v>0</v>
      </c>
      <c r="O340" t="n">
        <v>0</v>
      </c>
      <c r="P340" t="n">
        <v>0</v>
      </c>
      <c r="Q340" t="n">
        <v>0</v>
      </c>
      <c r="R340" s="2" t="inlineStr"/>
    </row>
    <row r="341" ht="15" customHeight="1">
      <c r="A341" t="inlineStr">
        <is>
          <t>A 21329-2022</t>
        </is>
      </c>
      <c r="B341" s="1" t="n">
        <v>44705.60626157407</v>
      </c>
      <c r="C341" s="1" t="n">
        <v>45895</v>
      </c>
      <c r="D341" t="inlineStr">
        <is>
          <t>STOCKHOLMS LÄN</t>
        </is>
      </c>
      <c r="E341" t="inlineStr">
        <is>
          <t>NORRTÄLJE</t>
        </is>
      </c>
      <c r="G341" t="n">
        <v>4.1</v>
      </c>
      <c r="H341" t="n">
        <v>0</v>
      </c>
      <c r="I341" t="n">
        <v>0</v>
      </c>
      <c r="J341" t="n">
        <v>0</v>
      </c>
      <c r="K341" t="n">
        <v>0</v>
      </c>
      <c r="L341" t="n">
        <v>0</v>
      </c>
      <c r="M341" t="n">
        <v>0</v>
      </c>
      <c r="N341" t="n">
        <v>0</v>
      </c>
      <c r="O341" t="n">
        <v>0</v>
      </c>
      <c r="P341" t="n">
        <v>0</v>
      </c>
      <c r="Q341" t="n">
        <v>0</v>
      </c>
      <c r="R341" s="2" t="inlineStr"/>
    </row>
    <row r="342" ht="15" customHeight="1">
      <c r="A342" t="inlineStr">
        <is>
          <t>A 8736-2024</t>
        </is>
      </c>
      <c r="B342" s="1" t="n">
        <v>45356.4722800926</v>
      </c>
      <c r="C342" s="1" t="n">
        <v>45895</v>
      </c>
      <c r="D342" t="inlineStr">
        <is>
          <t>STOCKHOLMS LÄN</t>
        </is>
      </c>
      <c r="E342" t="inlineStr">
        <is>
          <t>NORRTÄLJE</t>
        </is>
      </c>
      <c r="G342" t="n">
        <v>8.9</v>
      </c>
      <c r="H342" t="n">
        <v>0</v>
      </c>
      <c r="I342" t="n">
        <v>0</v>
      </c>
      <c r="J342" t="n">
        <v>0</v>
      </c>
      <c r="K342" t="n">
        <v>0</v>
      </c>
      <c r="L342" t="n">
        <v>0</v>
      </c>
      <c r="M342" t="n">
        <v>0</v>
      </c>
      <c r="N342" t="n">
        <v>0</v>
      </c>
      <c r="O342" t="n">
        <v>0</v>
      </c>
      <c r="P342" t="n">
        <v>0</v>
      </c>
      <c r="Q342" t="n">
        <v>0</v>
      </c>
      <c r="R342" s="2" t="inlineStr"/>
    </row>
    <row r="343" ht="15" customHeight="1">
      <c r="A343" t="inlineStr">
        <is>
          <t>A 54276-2021</t>
        </is>
      </c>
      <c r="B343" s="1" t="n">
        <v>44470</v>
      </c>
      <c r="C343" s="1" t="n">
        <v>45895</v>
      </c>
      <c r="D343" t="inlineStr">
        <is>
          <t>STOCKHOLMS LÄN</t>
        </is>
      </c>
      <c r="E343" t="inlineStr">
        <is>
          <t>NORRTÄLJE</t>
        </is>
      </c>
      <c r="G343" t="n">
        <v>7.3</v>
      </c>
      <c r="H343" t="n">
        <v>0</v>
      </c>
      <c r="I343" t="n">
        <v>0</v>
      </c>
      <c r="J343" t="n">
        <v>0</v>
      </c>
      <c r="K343" t="n">
        <v>0</v>
      </c>
      <c r="L343" t="n">
        <v>0</v>
      </c>
      <c r="M343" t="n">
        <v>0</v>
      </c>
      <c r="N343" t="n">
        <v>0</v>
      </c>
      <c r="O343" t="n">
        <v>0</v>
      </c>
      <c r="P343" t="n">
        <v>0</v>
      </c>
      <c r="Q343" t="n">
        <v>0</v>
      </c>
      <c r="R343" s="2" t="inlineStr"/>
    </row>
    <row r="344" ht="15" customHeight="1">
      <c r="A344" t="inlineStr">
        <is>
          <t>A 15552-2021</t>
        </is>
      </c>
      <c r="B344" s="1" t="n">
        <v>44285</v>
      </c>
      <c r="C344" s="1" t="n">
        <v>45895</v>
      </c>
      <c r="D344" t="inlineStr">
        <is>
          <t>STOCKHOLMS LÄN</t>
        </is>
      </c>
      <c r="E344" t="inlineStr">
        <is>
          <t>NORRTÄLJE</t>
        </is>
      </c>
      <c r="G344" t="n">
        <v>10</v>
      </c>
      <c r="H344" t="n">
        <v>0</v>
      </c>
      <c r="I344" t="n">
        <v>0</v>
      </c>
      <c r="J344" t="n">
        <v>0</v>
      </c>
      <c r="K344" t="n">
        <v>0</v>
      </c>
      <c r="L344" t="n">
        <v>0</v>
      </c>
      <c r="M344" t="n">
        <v>0</v>
      </c>
      <c r="N344" t="n">
        <v>0</v>
      </c>
      <c r="O344" t="n">
        <v>0</v>
      </c>
      <c r="P344" t="n">
        <v>0</v>
      </c>
      <c r="Q344" t="n">
        <v>0</v>
      </c>
      <c r="R344" s="2" t="inlineStr"/>
    </row>
    <row r="345" ht="15" customHeight="1">
      <c r="A345" t="inlineStr">
        <is>
          <t>A 10090-2022</t>
        </is>
      </c>
      <c r="B345" s="1" t="n">
        <v>44621</v>
      </c>
      <c r="C345" s="1" t="n">
        <v>45895</v>
      </c>
      <c r="D345" t="inlineStr">
        <is>
          <t>STOCKHOLMS LÄN</t>
        </is>
      </c>
      <c r="E345" t="inlineStr">
        <is>
          <t>NORRTÄLJE</t>
        </is>
      </c>
      <c r="G345" t="n">
        <v>5.2</v>
      </c>
      <c r="H345" t="n">
        <v>0</v>
      </c>
      <c r="I345" t="n">
        <v>0</v>
      </c>
      <c r="J345" t="n">
        <v>0</v>
      </c>
      <c r="K345" t="n">
        <v>0</v>
      </c>
      <c r="L345" t="n">
        <v>0</v>
      </c>
      <c r="M345" t="n">
        <v>0</v>
      </c>
      <c r="N345" t="n">
        <v>0</v>
      </c>
      <c r="O345" t="n">
        <v>0</v>
      </c>
      <c r="P345" t="n">
        <v>0</v>
      </c>
      <c r="Q345" t="n">
        <v>0</v>
      </c>
      <c r="R345" s="2" t="inlineStr"/>
    </row>
    <row r="346" ht="15" customHeight="1">
      <c r="A346" t="inlineStr">
        <is>
          <t>A 13785-2024</t>
        </is>
      </c>
      <c r="B346" s="1" t="n">
        <v>45391.3395949074</v>
      </c>
      <c r="C346" s="1" t="n">
        <v>45895</v>
      </c>
      <c r="D346" t="inlineStr">
        <is>
          <t>STOCKHOLMS LÄN</t>
        </is>
      </c>
      <c r="E346" t="inlineStr">
        <is>
          <t>NORRTÄLJE</t>
        </is>
      </c>
      <c r="G346" t="n">
        <v>5</v>
      </c>
      <c r="H346" t="n">
        <v>0</v>
      </c>
      <c r="I346" t="n">
        <v>0</v>
      </c>
      <c r="J346" t="n">
        <v>0</v>
      </c>
      <c r="K346" t="n">
        <v>0</v>
      </c>
      <c r="L346" t="n">
        <v>0</v>
      </c>
      <c r="M346" t="n">
        <v>0</v>
      </c>
      <c r="N346" t="n">
        <v>0</v>
      </c>
      <c r="O346" t="n">
        <v>0</v>
      </c>
      <c r="P346" t="n">
        <v>0</v>
      </c>
      <c r="Q346" t="n">
        <v>0</v>
      </c>
      <c r="R346" s="2" t="inlineStr"/>
    </row>
    <row r="347" ht="15" customHeight="1">
      <c r="A347" t="inlineStr">
        <is>
          <t>A 51116-2022</t>
        </is>
      </c>
      <c r="B347" s="1" t="n">
        <v>44868.45741898148</v>
      </c>
      <c r="C347" s="1" t="n">
        <v>45895</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45255-2022</t>
        </is>
      </c>
      <c r="B348" s="1" t="n">
        <v>44840</v>
      </c>
      <c r="C348" s="1" t="n">
        <v>45895</v>
      </c>
      <c r="D348" t="inlineStr">
        <is>
          <t>STOCKHOLMS LÄN</t>
        </is>
      </c>
      <c r="E348" t="inlineStr">
        <is>
          <t>NORRTÄLJE</t>
        </is>
      </c>
      <c r="G348" t="n">
        <v>4.1</v>
      </c>
      <c r="H348" t="n">
        <v>0</v>
      </c>
      <c r="I348" t="n">
        <v>0</v>
      </c>
      <c r="J348" t="n">
        <v>0</v>
      </c>
      <c r="K348" t="n">
        <v>0</v>
      </c>
      <c r="L348" t="n">
        <v>0</v>
      </c>
      <c r="M348" t="n">
        <v>0</v>
      </c>
      <c r="N348" t="n">
        <v>0</v>
      </c>
      <c r="O348" t="n">
        <v>0</v>
      </c>
      <c r="P348" t="n">
        <v>0</v>
      </c>
      <c r="Q348" t="n">
        <v>0</v>
      </c>
      <c r="R348" s="2" t="inlineStr"/>
    </row>
    <row r="349" ht="15" customHeight="1">
      <c r="A349" t="inlineStr">
        <is>
          <t>A 19915-2024</t>
        </is>
      </c>
      <c r="B349" s="1" t="n">
        <v>45433.58431712963</v>
      </c>
      <c r="C349" s="1" t="n">
        <v>45895</v>
      </c>
      <c r="D349" t="inlineStr">
        <is>
          <t>STOCKHOLMS LÄN</t>
        </is>
      </c>
      <c r="E349" t="inlineStr">
        <is>
          <t>NORRTÄLJE</t>
        </is>
      </c>
      <c r="G349" t="n">
        <v>2</v>
      </c>
      <c r="H349" t="n">
        <v>0</v>
      </c>
      <c r="I349" t="n">
        <v>0</v>
      </c>
      <c r="J349" t="n">
        <v>0</v>
      </c>
      <c r="K349" t="n">
        <v>0</v>
      </c>
      <c r="L349" t="n">
        <v>0</v>
      </c>
      <c r="M349" t="n">
        <v>0</v>
      </c>
      <c r="N349" t="n">
        <v>0</v>
      </c>
      <c r="O349" t="n">
        <v>0</v>
      </c>
      <c r="P349" t="n">
        <v>0</v>
      </c>
      <c r="Q349" t="n">
        <v>0</v>
      </c>
      <c r="R349" s="2" t="inlineStr"/>
    </row>
    <row r="350" ht="15" customHeight="1">
      <c r="A350" t="inlineStr">
        <is>
          <t>A 29972-2024</t>
        </is>
      </c>
      <c r="B350" s="1" t="n">
        <v>45485</v>
      </c>
      <c r="C350" s="1" t="n">
        <v>45895</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27381-2024</t>
        </is>
      </c>
      <c r="B351" s="1" t="n">
        <v>45473.94501157408</v>
      </c>
      <c r="C351" s="1" t="n">
        <v>45895</v>
      </c>
      <c r="D351" t="inlineStr">
        <is>
          <t>STOCKHOLMS LÄN</t>
        </is>
      </c>
      <c r="E351" t="inlineStr">
        <is>
          <t>NORRTÄLJE</t>
        </is>
      </c>
      <c r="G351" t="n">
        <v>4.5</v>
      </c>
      <c r="H351" t="n">
        <v>0</v>
      </c>
      <c r="I351" t="n">
        <v>0</v>
      </c>
      <c r="J351" t="n">
        <v>0</v>
      </c>
      <c r="K351" t="n">
        <v>0</v>
      </c>
      <c r="L351" t="n">
        <v>0</v>
      </c>
      <c r="M351" t="n">
        <v>0</v>
      </c>
      <c r="N351" t="n">
        <v>0</v>
      </c>
      <c r="O351" t="n">
        <v>0</v>
      </c>
      <c r="P351" t="n">
        <v>0</v>
      </c>
      <c r="Q351" t="n">
        <v>0</v>
      </c>
      <c r="R351" s="2" t="inlineStr"/>
    </row>
    <row r="352" ht="15" customHeight="1">
      <c r="A352" t="inlineStr">
        <is>
          <t>A 12629-2024</t>
        </is>
      </c>
      <c r="B352" s="1" t="n">
        <v>45383</v>
      </c>
      <c r="C352" s="1" t="n">
        <v>45895</v>
      </c>
      <c r="D352" t="inlineStr">
        <is>
          <t>STOCKHOLMS LÄN</t>
        </is>
      </c>
      <c r="E352" t="inlineStr">
        <is>
          <t>NORRTÄLJE</t>
        </is>
      </c>
      <c r="G352" t="n">
        <v>2.6</v>
      </c>
      <c r="H352" t="n">
        <v>0</v>
      </c>
      <c r="I352" t="n">
        <v>0</v>
      </c>
      <c r="J352" t="n">
        <v>0</v>
      </c>
      <c r="K352" t="n">
        <v>0</v>
      </c>
      <c r="L352" t="n">
        <v>0</v>
      </c>
      <c r="M352" t="n">
        <v>0</v>
      </c>
      <c r="N352" t="n">
        <v>0</v>
      </c>
      <c r="O352" t="n">
        <v>0</v>
      </c>
      <c r="P352" t="n">
        <v>0</v>
      </c>
      <c r="Q352" t="n">
        <v>0</v>
      </c>
      <c r="R352" s="2" t="inlineStr"/>
    </row>
    <row r="353" ht="15" customHeight="1">
      <c r="A353" t="inlineStr">
        <is>
          <t>A 20428-2024</t>
        </is>
      </c>
      <c r="B353" s="1" t="n">
        <v>45435</v>
      </c>
      <c r="C353" s="1" t="n">
        <v>45895</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60529-2023</t>
        </is>
      </c>
      <c r="B354" s="1" t="n">
        <v>45259</v>
      </c>
      <c r="C354" s="1" t="n">
        <v>45895</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28809-2023</t>
        </is>
      </c>
      <c r="B355" s="1" t="n">
        <v>45104</v>
      </c>
      <c r="C355" s="1" t="n">
        <v>45895</v>
      </c>
      <c r="D355" t="inlineStr">
        <is>
          <t>STOCKHOLMS LÄN</t>
        </is>
      </c>
      <c r="E355" t="inlineStr">
        <is>
          <t>NORRTÄLJE</t>
        </is>
      </c>
      <c r="G355" t="n">
        <v>1.8</v>
      </c>
      <c r="H355" t="n">
        <v>0</v>
      </c>
      <c r="I355" t="n">
        <v>0</v>
      </c>
      <c r="J355" t="n">
        <v>0</v>
      </c>
      <c r="K355" t="n">
        <v>0</v>
      </c>
      <c r="L355" t="n">
        <v>0</v>
      </c>
      <c r="M355" t="n">
        <v>0</v>
      </c>
      <c r="N355" t="n">
        <v>0</v>
      </c>
      <c r="O355" t="n">
        <v>0</v>
      </c>
      <c r="P355" t="n">
        <v>0</v>
      </c>
      <c r="Q355" t="n">
        <v>0</v>
      </c>
      <c r="R355" s="2" t="inlineStr"/>
    </row>
    <row r="356" ht="15" customHeight="1">
      <c r="A356" t="inlineStr">
        <is>
          <t>A 28813-2023</t>
        </is>
      </c>
      <c r="B356" s="1" t="n">
        <v>45104</v>
      </c>
      <c r="C356" s="1" t="n">
        <v>45895</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57037-2022</t>
        </is>
      </c>
      <c r="B357" s="1" t="n">
        <v>44895</v>
      </c>
      <c r="C357" s="1" t="n">
        <v>45895</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14762-2024</t>
        </is>
      </c>
      <c r="B358" s="1" t="n">
        <v>45397</v>
      </c>
      <c r="C358" s="1" t="n">
        <v>45895</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19131-2025</t>
        </is>
      </c>
      <c r="B359" s="1" t="n">
        <v>45769</v>
      </c>
      <c r="C359" s="1" t="n">
        <v>45895</v>
      </c>
      <c r="D359" t="inlineStr">
        <is>
          <t>STOCKHOLMS LÄN</t>
        </is>
      </c>
      <c r="E359" t="inlineStr">
        <is>
          <t>NORRTÄLJE</t>
        </is>
      </c>
      <c r="G359" t="n">
        <v>1.6</v>
      </c>
      <c r="H359" t="n">
        <v>0</v>
      </c>
      <c r="I359" t="n">
        <v>0</v>
      </c>
      <c r="J359" t="n">
        <v>0</v>
      </c>
      <c r="K359" t="n">
        <v>0</v>
      </c>
      <c r="L359" t="n">
        <v>0</v>
      </c>
      <c r="M359" t="n">
        <v>0</v>
      </c>
      <c r="N359" t="n">
        <v>0</v>
      </c>
      <c r="O359" t="n">
        <v>0</v>
      </c>
      <c r="P359" t="n">
        <v>0</v>
      </c>
      <c r="Q359" t="n">
        <v>0</v>
      </c>
      <c r="R359" s="2" t="inlineStr"/>
    </row>
    <row r="360" ht="15" customHeight="1">
      <c r="A360" t="inlineStr">
        <is>
          <t>A 59326-2023</t>
        </is>
      </c>
      <c r="B360" s="1" t="n">
        <v>45253.63089120371</v>
      </c>
      <c r="C360" s="1" t="n">
        <v>45895</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11929-2024</t>
        </is>
      </c>
      <c r="B361" s="1" t="n">
        <v>45376.64532407407</v>
      </c>
      <c r="C361" s="1" t="n">
        <v>45895</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20790-2025</t>
        </is>
      </c>
      <c r="B362" s="1" t="n">
        <v>45776.62563657408</v>
      </c>
      <c r="C362" s="1" t="n">
        <v>45895</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3152-2024</t>
        </is>
      </c>
      <c r="B363" s="1" t="n">
        <v>45316.60306712963</v>
      </c>
      <c r="C363" s="1" t="n">
        <v>45895</v>
      </c>
      <c r="D363" t="inlineStr">
        <is>
          <t>STOCKHOLMS LÄN</t>
        </is>
      </c>
      <c r="E363" t="inlineStr">
        <is>
          <t>NORRTÄLJE</t>
        </is>
      </c>
      <c r="G363" t="n">
        <v>7.9</v>
      </c>
      <c r="H363" t="n">
        <v>0</v>
      </c>
      <c r="I363" t="n">
        <v>0</v>
      </c>
      <c r="J363" t="n">
        <v>0</v>
      </c>
      <c r="K363" t="n">
        <v>0</v>
      </c>
      <c r="L363" t="n">
        <v>0</v>
      </c>
      <c r="M363" t="n">
        <v>0</v>
      </c>
      <c r="N363" t="n">
        <v>0</v>
      </c>
      <c r="O363" t="n">
        <v>0</v>
      </c>
      <c r="P363" t="n">
        <v>0</v>
      </c>
      <c r="Q363" t="n">
        <v>0</v>
      </c>
      <c r="R363" s="2" t="inlineStr"/>
    </row>
    <row r="364" ht="15" customHeight="1">
      <c r="A364" t="inlineStr">
        <is>
          <t>A 20699-2025</t>
        </is>
      </c>
      <c r="B364" s="1" t="n">
        <v>45776.47346064815</v>
      </c>
      <c r="C364" s="1" t="n">
        <v>45895</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20692-2025</t>
        </is>
      </c>
      <c r="B365" s="1" t="n">
        <v>45776.46369212963</v>
      </c>
      <c r="C365" s="1" t="n">
        <v>45895</v>
      </c>
      <c r="D365" t="inlineStr">
        <is>
          <t>STOCKHOLMS LÄN</t>
        </is>
      </c>
      <c r="E365" t="inlineStr">
        <is>
          <t>NORRTÄLJE</t>
        </is>
      </c>
      <c r="G365" t="n">
        <v>2.1</v>
      </c>
      <c r="H365" t="n">
        <v>0</v>
      </c>
      <c r="I365" t="n">
        <v>0</v>
      </c>
      <c r="J365" t="n">
        <v>0</v>
      </c>
      <c r="K365" t="n">
        <v>0</v>
      </c>
      <c r="L365" t="n">
        <v>0</v>
      </c>
      <c r="M365" t="n">
        <v>0</v>
      </c>
      <c r="N365" t="n">
        <v>0</v>
      </c>
      <c r="O365" t="n">
        <v>0</v>
      </c>
      <c r="P365" t="n">
        <v>0</v>
      </c>
      <c r="Q365" t="n">
        <v>0</v>
      </c>
      <c r="R365" s="2" t="inlineStr"/>
    </row>
    <row r="366" ht="15" customHeight="1">
      <c r="A366" t="inlineStr">
        <is>
          <t>A 23149-2024</t>
        </is>
      </c>
      <c r="B366" s="1" t="n">
        <v>45450.64208333333</v>
      </c>
      <c r="C366" s="1" t="n">
        <v>45895</v>
      </c>
      <c r="D366" t="inlineStr">
        <is>
          <t>STOCKHOLMS LÄN</t>
        </is>
      </c>
      <c r="E366" t="inlineStr">
        <is>
          <t>NORRTÄLJE</t>
        </is>
      </c>
      <c r="F366" t="inlineStr">
        <is>
          <t>Kommuner</t>
        </is>
      </c>
      <c r="G366" t="n">
        <v>1.3</v>
      </c>
      <c r="H366" t="n">
        <v>0</v>
      </c>
      <c r="I366" t="n">
        <v>0</v>
      </c>
      <c r="J366" t="n">
        <v>0</v>
      </c>
      <c r="K366" t="n">
        <v>0</v>
      </c>
      <c r="L366" t="n">
        <v>0</v>
      </c>
      <c r="M366" t="n">
        <v>0</v>
      </c>
      <c r="N366" t="n">
        <v>0</v>
      </c>
      <c r="O366" t="n">
        <v>0</v>
      </c>
      <c r="P366" t="n">
        <v>0</v>
      </c>
      <c r="Q366" t="n">
        <v>0</v>
      </c>
      <c r="R366" s="2" t="inlineStr"/>
    </row>
    <row r="367" ht="15" customHeight="1">
      <c r="A367" t="inlineStr">
        <is>
          <t>A 23151-2024</t>
        </is>
      </c>
      <c r="B367" s="1" t="n">
        <v>45450</v>
      </c>
      <c r="C367" s="1" t="n">
        <v>45895</v>
      </c>
      <c r="D367" t="inlineStr">
        <is>
          <t>STOCKHOLMS LÄN</t>
        </is>
      </c>
      <c r="E367" t="inlineStr">
        <is>
          <t>NORRTÄLJE</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16913-2025</t>
        </is>
      </c>
      <c r="B368" s="1" t="n">
        <v>45755.36583333334</v>
      </c>
      <c r="C368" s="1" t="n">
        <v>45895</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20779-2025</t>
        </is>
      </c>
      <c r="B369" s="1" t="n">
        <v>45776.59871527777</v>
      </c>
      <c r="C369" s="1" t="n">
        <v>45895</v>
      </c>
      <c r="D369" t="inlineStr">
        <is>
          <t>STOCKHOLMS LÄN</t>
        </is>
      </c>
      <c r="E369" t="inlineStr">
        <is>
          <t>NORRTÄLJE</t>
        </is>
      </c>
      <c r="G369" t="n">
        <v>6.9</v>
      </c>
      <c r="H369" t="n">
        <v>0</v>
      </c>
      <c r="I369" t="n">
        <v>0</v>
      </c>
      <c r="J369" t="n">
        <v>0</v>
      </c>
      <c r="K369" t="n">
        <v>0</v>
      </c>
      <c r="L369" t="n">
        <v>0</v>
      </c>
      <c r="M369" t="n">
        <v>0</v>
      </c>
      <c r="N369" t="n">
        <v>0</v>
      </c>
      <c r="O369" t="n">
        <v>0</v>
      </c>
      <c r="P369" t="n">
        <v>0</v>
      </c>
      <c r="Q369" t="n">
        <v>0</v>
      </c>
      <c r="R369" s="2" t="inlineStr"/>
    </row>
    <row r="370" ht="15" customHeight="1">
      <c r="A370" t="inlineStr">
        <is>
          <t>A 44836-2023</t>
        </is>
      </c>
      <c r="B370" s="1" t="n">
        <v>45190.55609953704</v>
      </c>
      <c r="C370" s="1" t="n">
        <v>45895</v>
      </c>
      <c r="D370" t="inlineStr">
        <is>
          <t>STOCKHOLMS LÄN</t>
        </is>
      </c>
      <c r="E370" t="inlineStr">
        <is>
          <t>NORRTÄLJE</t>
        </is>
      </c>
      <c r="G370" t="n">
        <v>2.3</v>
      </c>
      <c r="H370" t="n">
        <v>0</v>
      </c>
      <c r="I370" t="n">
        <v>0</v>
      </c>
      <c r="J370" t="n">
        <v>0</v>
      </c>
      <c r="K370" t="n">
        <v>0</v>
      </c>
      <c r="L370" t="n">
        <v>0</v>
      </c>
      <c r="M370" t="n">
        <v>0</v>
      </c>
      <c r="N370" t="n">
        <v>0</v>
      </c>
      <c r="O370" t="n">
        <v>0</v>
      </c>
      <c r="P370" t="n">
        <v>0</v>
      </c>
      <c r="Q370" t="n">
        <v>0</v>
      </c>
      <c r="R370" s="2" t="inlineStr"/>
    </row>
    <row r="371" ht="15" customHeight="1">
      <c r="A371" t="inlineStr">
        <is>
          <t>A 64145-2021</t>
        </is>
      </c>
      <c r="B371" s="1" t="n">
        <v>44510</v>
      </c>
      <c r="C371" s="1" t="n">
        <v>45895</v>
      </c>
      <c r="D371" t="inlineStr">
        <is>
          <t>STOCKHOLMS LÄN</t>
        </is>
      </c>
      <c r="E371" t="inlineStr">
        <is>
          <t>NORRTÄLJE</t>
        </is>
      </c>
      <c r="F371" t="inlineStr">
        <is>
          <t>Holmen skog AB</t>
        </is>
      </c>
      <c r="G371" t="n">
        <v>1.5</v>
      </c>
      <c r="H371" t="n">
        <v>0</v>
      </c>
      <c r="I371" t="n">
        <v>0</v>
      </c>
      <c r="J371" t="n">
        <v>0</v>
      </c>
      <c r="K371" t="n">
        <v>0</v>
      </c>
      <c r="L371" t="n">
        <v>0</v>
      </c>
      <c r="M371" t="n">
        <v>0</v>
      </c>
      <c r="N371" t="n">
        <v>0</v>
      </c>
      <c r="O371" t="n">
        <v>0</v>
      </c>
      <c r="P371" t="n">
        <v>0</v>
      </c>
      <c r="Q371" t="n">
        <v>0</v>
      </c>
      <c r="R371" s="2" t="inlineStr"/>
    </row>
    <row r="372" ht="15" customHeight="1">
      <c r="A372" t="inlineStr">
        <is>
          <t>A 51978-2023</t>
        </is>
      </c>
      <c r="B372" s="1" t="n">
        <v>45223</v>
      </c>
      <c r="C372" s="1" t="n">
        <v>45895</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13051-2021</t>
        </is>
      </c>
      <c r="B373" s="1" t="n">
        <v>44272</v>
      </c>
      <c r="C373" s="1" t="n">
        <v>45895</v>
      </c>
      <c r="D373" t="inlineStr">
        <is>
          <t>STOCKHOLMS LÄN</t>
        </is>
      </c>
      <c r="E373" t="inlineStr">
        <is>
          <t>NORRTÄLJE</t>
        </is>
      </c>
      <c r="G373" t="n">
        <v>9.1</v>
      </c>
      <c r="H373" t="n">
        <v>0</v>
      </c>
      <c r="I373" t="n">
        <v>0</v>
      </c>
      <c r="J373" t="n">
        <v>0</v>
      </c>
      <c r="K373" t="n">
        <v>0</v>
      </c>
      <c r="L373" t="n">
        <v>0</v>
      </c>
      <c r="M373" t="n">
        <v>0</v>
      </c>
      <c r="N373" t="n">
        <v>0</v>
      </c>
      <c r="O373" t="n">
        <v>0</v>
      </c>
      <c r="P373" t="n">
        <v>0</v>
      </c>
      <c r="Q373" t="n">
        <v>0</v>
      </c>
      <c r="R373" s="2" t="inlineStr"/>
    </row>
    <row r="374" ht="15" customHeight="1">
      <c r="A374" t="inlineStr">
        <is>
          <t>A 20698-2025</t>
        </is>
      </c>
      <c r="B374" s="1" t="n">
        <v>45776.47122685185</v>
      </c>
      <c r="C374" s="1" t="n">
        <v>45895</v>
      </c>
      <c r="D374" t="inlineStr">
        <is>
          <t>STOCKHOLMS LÄN</t>
        </is>
      </c>
      <c r="E374" t="inlineStr">
        <is>
          <t>NORRTÄLJE</t>
        </is>
      </c>
      <c r="G374" t="n">
        <v>1.7</v>
      </c>
      <c r="H374" t="n">
        <v>0</v>
      </c>
      <c r="I374" t="n">
        <v>0</v>
      </c>
      <c r="J374" t="n">
        <v>0</v>
      </c>
      <c r="K374" t="n">
        <v>0</v>
      </c>
      <c r="L374" t="n">
        <v>0</v>
      </c>
      <c r="M374" t="n">
        <v>0</v>
      </c>
      <c r="N374" t="n">
        <v>0</v>
      </c>
      <c r="O374" t="n">
        <v>0</v>
      </c>
      <c r="P374" t="n">
        <v>0</v>
      </c>
      <c r="Q374" t="n">
        <v>0</v>
      </c>
      <c r="R374" s="2" t="inlineStr"/>
    </row>
    <row r="375" ht="15" customHeight="1">
      <c r="A375" t="inlineStr">
        <is>
          <t>A 55755-2023</t>
        </is>
      </c>
      <c r="B375" s="1" t="n">
        <v>45239</v>
      </c>
      <c r="C375" s="1" t="n">
        <v>45895</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45451-2024</t>
        </is>
      </c>
      <c r="B376" s="1" t="n">
        <v>45576</v>
      </c>
      <c r="C376" s="1" t="n">
        <v>45895</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45549-2022</t>
        </is>
      </c>
      <c r="B377" s="1" t="n">
        <v>44845.48064814815</v>
      </c>
      <c r="C377" s="1" t="n">
        <v>45895</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49327-2020</t>
        </is>
      </c>
      <c r="B378" s="1" t="n">
        <v>44105</v>
      </c>
      <c r="C378" s="1" t="n">
        <v>45895</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40761-2024</t>
        </is>
      </c>
      <c r="B379" s="1" t="n">
        <v>45558.46283564815</v>
      </c>
      <c r="C379" s="1" t="n">
        <v>45895</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23692-2024</t>
        </is>
      </c>
      <c r="B380" s="1" t="n">
        <v>45454.65774305556</v>
      </c>
      <c r="C380" s="1" t="n">
        <v>45895</v>
      </c>
      <c r="D380" t="inlineStr">
        <is>
          <t>STOCKHOLMS LÄN</t>
        </is>
      </c>
      <c r="E380" t="inlineStr">
        <is>
          <t>NORRTÄLJE</t>
        </is>
      </c>
      <c r="G380" t="n">
        <v>3.7</v>
      </c>
      <c r="H380" t="n">
        <v>0</v>
      </c>
      <c r="I380" t="n">
        <v>0</v>
      </c>
      <c r="J380" t="n">
        <v>0</v>
      </c>
      <c r="K380" t="n">
        <v>0</v>
      </c>
      <c r="L380" t="n">
        <v>0</v>
      </c>
      <c r="M380" t="n">
        <v>0</v>
      </c>
      <c r="N380" t="n">
        <v>0</v>
      </c>
      <c r="O380" t="n">
        <v>0</v>
      </c>
      <c r="P380" t="n">
        <v>0</v>
      </c>
      <c r="Q380" t="n">
        <v>0</v>
      </c>
      <c r="R380" s="2" t="inlineStr"/>
    </row>
    <row r="381" ht="15" customHeight="1">
      <c r="A381" t="inlineStr">
        <is>
          <t>A 17843-2024</t>
        </is>
      </c>
      <c r="B381" s="1" t="n">
        <v>45418</v>
      </c>
      <c r="C381" s="1" t="n">
        <v>45895</v>
      </c>
      <c r="D381" t="inlineStr">
        <is>
          <t>STOCKHOLMS LÄN</t>
        </is>
      </c>
      <c r="E381" t="inlineStr">
        <is>
          <t>NORRTÄLJE</t>
        </is>
      </c>
      <c r="G381" t="n">
        <v>5.4</v>
      </c>
      <c r="H381" t="n">
        <v>0</v>
      </c>
      <c r="I381" t="n">
        <v>0</v>
      </c>
      <c r="J381" t="n">
        <v>0</v>
      </c>
      <c r="K381" t="n">
        <v>0</v>
      </c>
      <c r="L381" t="n">
        <v>0</v>
      </c>
      <c r="M381" t="n">
        <v>0</v>
      </c>
      <c r="N381" t="n">
        <v>0</v>
      </c>
      <c r="O381" t="n">
        <v>0</v>
      </c>
      <c r="P381" t="n">
        <v>0</v>
      </c>
      <c r="Q381" t="n">
        <v>0</v>
      </c>
      <c r="R381" s="2" t="inlineStr"/>
    </row>
    <row r="382" ht="15" customHeight="1">
      <c r="A382" t="inlineStr">
        <is>
          <t>A 12890-2024</t>
        </is>
      </c>
      <c r="B382" s="1" t="n">
        <v>45385.36243055556</v>
      </c>
      <c r="C382" s="1" t="n">
        <v>45895</v>
      </c>
      <c r="D382" t="inlineStr">
        <is>
          <t>STOCKHOLMS LÄN</t>
        </is>
      </c>
      <c r="E382" t="inlineStr">
        <is>
          <t>NORRTÄLJE</t>
        </is>
      </c>
      <c r="G382" t="n">
        <v>1.3</v>
      </c>
      <c r="H382" t="n">
        <v>0</v>
      </c>
      <c r="I382" t="n">
        <v>0</v>
      </c>
      <c r="J382" t="n">
        <v>0</v>
      </c>
      <c r="K382" t="n">
        <v>0</v>
      </c>
      <c r="L382" t="n">
        <v>0</v>
      </c>
      <c r="M382" t="n">
        <v>0</v>
      </c>
      <c r="N382" t="n">
        <v>0</v>
      </c>
      <c r="O382" t="n">
        <v>0</v>
      </c>
      <c r="P382" t="n">
        <v>0</v>
      </c>
      <c r="Q382" t="n">
        <v>0</v>
      </c>
      <c r="R382" s="2" t="inlineStr"/>
    </row>
    <row r="383" ht="15" customHeight="1">
      <c r="A383" t="inlineStr">
        <is>
          <t>A 37550-2022</t>
        </is>
      </c>
      <c r="B383" s="1" t="n">
        <v>44809</v>
      </c>
      <c r="C383" s="1" t="n">
        <v>45895</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47431-2023</t>
        </is>
      </c>
      <c r="B384" s="1" t="n">
        <v>45202</v>
      </c>
      <c r="C384" s="1" t="n">
        <v>45895</v>
      </c>
      <c r="D384" t="inlineStr">
        <is>
          <t>STOCKHOLMS LÄN</t>
        </is>
      </c>
      <c r="E384" t="inlineStr">
        <is>
          <t>NORRTÄLJE</t>
        </is>
      </c>
      <c r="F384" t="inlineStr">
        <is>
          <t>Naturvårdsverket</t>
        </is>
      </c>
      <c r="G384" t="n">
        <v>1.2</v>
      </c>
      <c r="H384" t="n">
        <v>0</v>
      </c>
      <c r="I384" t="n">
        <v>0</v>
      </c>
      <c r="J384" t="n">
        <v>0</v>
      </c>
      <c r="K384" t="n">
        <v>0</v>
      </c>
      <c r="L384" t="n">
        <v>0</v>
      </c>
      <c r="M384" t="n">
        <v>0</v>
      </c>
      <c r="N384" t="n">
        <v>0</v>
      </c>
      <c r="O384" t="n">
        <v>0</v>
      </c>
      <c r="P384" t="n">
        <v>0</v>
      </c>
      <c r="Q384" t="n">
        <v>0</v>
      </c>
      <c r="R384" s="2" t="inlineStr"/>
    </row>
    <row r="385" ht="15" customHeight="1">
      <c r="A385" t="inlineStr">
        <is>
          <t>A 29841-2024</t>
        </is>
      </c>
      <c r="B385" s="1" t="n">
        <v>45485.60261574074</v>
      </c>
      <c r="C385" s="1" t="n">
        <v>45895</v>
      </c>
      <c r="D385" t="inlineStr">
        <is>
          <t>STOCKHOLMS LÄN</t>
        </is>
      </c>
      <c r="E385" t="inlineStr">
        <is>
          <t>NORRTÄLJE</t>
        </is>
      </c>
      <c r="G385" t="n">
        <v>15.9</v>
      </c>
      <c r="H385" t="n">
        <v>0</v>
      </c>
      <c r="I385" t="n">
        <v>0</v>
      </c>
      <c r="J385" t="n">
        <v>0</v>
      </c>
      <c r="K385" t="n">
        <v>0</v>
      </c>
      <c r="L385" t="n">
        <v>0</v>
      </c>
      <c r="M385" t="n">
        <v>0</v>
      </c>
      <c r="N385" t="n">
        <v>0</v>
      </c>
      <c r="O385" t="n">
        <v>0</v>
      </c>
      <c r="P385" t="n">
        <v>0</v>
      </c>
      <c r="Q385" t="n">
        <v>0</v>
      </c>
      <c r="R385" s="2" t="inlineStr"/>
    </row>
    <row r="386" ht="15" customHeight="1">
      <c r="A386" t="inlineStr">
        <is>
          <t>A 36430-2024</t>
        </is>
      </c>
      <c r="B386" s="1" t="n">
        <v>45536</v>
      </c>
      <c r="C386" s="1" t="n">
        <v>45895</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23262-2023</t>
        </is>
      </c>
      <c r="B387" s="1" t="n">
        <v>45075.90270833333</v>
      </c>
      <c r="C387" s="1" t="n">
        <v>45895</v>
      </c>
      <c r="D387" t="inlineStr">
        <is>
          <t>STOCKHOLMS LÄN</t>
        </is>
      </c>
      <c r="E387" t="inlineStr">
        <is>
          <t>NORRTÄLJE</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23268-2023</t>
        </is>
      </c>
      <c r="B388" s="1" t="n">
        <v>45075.91042824074</v>
      </c>
      <c r="C388" s="1" t="n">
        <v>45895</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23270-2023</t>
        </is>
      </c>
      <c r="B389" s="1" t="n">
        <v>45075.91265046296</v>
      </c>
      <c r="C389" s="1" t="n">
        <v>45895</v>
      </c>
      <c r="D389" t="inlineStr">
        <is>
          <t>STOCKHOLMS LÄN</t>
        </is>
      </c>
      <c r="E389" t="inlineStr">
        <is>
          <t>NORRTÄLJE</t>
        </is>
      </c>
      <c r="G389" t="n">
        <v>12.3</v>
      </c>
      <c r="H389" t="n">
        <v>0</v>
      </c>
      <c r="I389" t="n">
        <v>0</v>
      </c>
      <c r="J389" t="n">
        <v>0</v>
      </c>
      <c r="K389" t="n">
        <v>0</v>
      </c>
      <c r="L389" t="n">
        <v>0</v>
      </c>
      <c r="M389" t="n">
        <v>0</v>
      </c>
      <c r="N389" t="n">
        <v>0</v>
      </c>
      <c r="O389" t="n">
        <v>0</v>
      </c>
      <c r="P389" t="n">
        <v>0</v>
      </c>
      <c r="Q389" t="n">
        <v>0</v>
      </c>
      <c r="R389" s="2" t="inlineStr"/>
    </row>
    <row r="390" ht="15" customHeight="1">
      <c r="A390" t="inlineStr">
        <is>
          <t>A 23274-2023</t>
        </is>
      </c>
      <c r="B390" s="1" t="n">
        <v>45075.92153935185</v>
      </c>
      <c r="C390" s="1" t="n">
        <v>45895</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5732-2023</t>
        </is>
      </c>
      <c r="B391" s="1" t="n">
        <v>44962</v>
      </c>
      <c r="C391" s="1" t="n">
        <v>45895</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41172-2023</t>
        </is>
      </c>
      <c r="B392" s="1" t="n">
        <v>45170</v>
      </c>
      <c r="C392" s="1" t="n">
        <v>45895</v>
      </c>
      <c r="D392" t="inlineStr">
        <is>
          <t>STOCKHOLMS LÄN</t>
        </is>
      </c>
      <c r="E392" t="inlineStr">
        <is>
          <t>NORRTÄLJE</t>
        </is>
      </c>
      <c r="G392" t="n">
        <v>1.6</v>
      </c>
      <c r="H392" t="n">
        <v>0</v>
      </c>
      <c r="I392" t="n">
        <v>0</v>
      </c>
      <c r="J392" t="n">
        <v>0</v>
      </c>
      <c r="K392" t="n">
        <v>0</v>
      </c>
      <c r="L392" t="n">
        <v>0</v>
      </c>
      <c r="M392" t="n">
        <v>0</v>
      </c>
      <c r="N392" t="n">
        <v>0</v>
      </c>
      <c r="O392" t="n">
        <v>0</v>
      </c>
      <c r="P392" t="n">
        <v>0</v>
      </c>
      <c r="Q392" t="n">
        <v>0</v>
      </c>
      <c r="R392" s="2" t="inlineStr"/>
    </row>
    <row r="393" ht="15" customHeight="1">
      <c r="A393" t="inlineStr">
        <is>
          <t>A 25609-2023</t>
        </is>
      </c>
      <c r="B393" s="1" t="n">
        <v>45089</v>
      </c>
      <c r="C393" s="1" t="n">
        <v>45895</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67921-2021</t>
        </is>
      </c>
      <c r="B394" s="1" t="n">
        <v>44525</v>
      </c>
      <c r="C394" s="1" t="n">
        <v>45895</v>
      </c>
      <c r="D394" t="inlineStr">
        <is>
          <t>STOCKHOLMS LÄN</t>
        </is>
      </c>
      <c r="E394" t="inlineStr">
        <is>
          <t>NORRTÄLJE</t>
        </is>
      </c>
      <c r="G394" t="n">
        <v>6.3</v>
      </c>
      <c r="H394" t="n">
        <v>0</v>
      </c>
      <c r="I394" t="n">
        <v>0</v>
      </c>
      <c r="J394" t="n">
        <v>0</v>
      </c>
      <c r="K394" t="n">
        <v>0</v>
      </c>
      <c r="L394" t="n">
        <v>0</v>
      </c>
      <c r="M394" t="n">
        <v>0</v>
      </c>
      <c r="N394" t="n">
        <v>0</v>
      </c>
      <c r="O394" t="n">
        <v>0</v>
      </c>
      <c r="P394" t="n">
        <v>0</v>
      </c>
      <c r="Q394" t="n">
        <v>0</v>
      </c>
      <c r="R394" s="2" t="inlineStr"/>
    </row>
    <row r="395" ht="15" customHeight="1">
      <c r="A395" t="inlineStr">
        <is>
          <t>A 72704-2021</t>
        </is>
      </c>
      <c r="B395" s="1" t="n">
        <v>44546</v>
      </c>
      <c r="C395" s="1" t="n">
        <v>45895</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65499-2021</t>
        </is>
      </c>
      <c r="B396" s="1" t="n">
        <v>44516</v>
      </c>
      <c r="C396" s="1" t="n">
        <v>45895</v>
      </c>
      <c r="D396" t="inlineStr">
        <is>
          <t>STOCKHOLMS LÄN</t>
        </is>
      </c>
      <c r="E396" t="inlineStr">
        <is>
          <t>NORRTÄLJE</t>
        </is>
      </c>
      <c r="F396" t="inlineStr">
        <is>
          <t>Kommuner</t>
        </is>
      </c>
      <c r="G396" t="n">
        <v>5.2</v>
      </c>
      <c r="H396" t="n">
        <v>0</v>
      </c>
      <c r="I396" t="n">
        <v>0</v>
      </c>
      <c r="J396" t="n">
        <v>0</v>
      </c>
      <c r="K396" t="n">
        <v>0</v>
      </c>
      <c r="L396" t="n">
        <v>0</v>
      </c>
      <c r="M396" t="n">
        <v>0</v>
      </c>
      <c r="N396" t="n">
        <v>0</v>
      </c>
      <c r="O396" t="n">
        <v>0</v>
      </c>
      <c r="P396" t="n">
        <v>0</v>
      </c>
      <c r="Q396" t="n">
        <v>0</v>
      </c>
      <c r="R396" s="2" t="inlineStr"/>
    </row>
    <row r="397" ht="15" customHeight="1">
      <c r="A397" t="inlineStr">
        <is>
          <t>A 65511-2021</t>
        </is>
      </c>
      <c r="B397" s="1" t="n">
        <v>44516.40674768519</v>
      </c>
      <c r="C397" s="1" t="n">
        <v>45895</v>
      </c>
      <c r="D397" t="inlineStr">
        <is>
          <t>STOCKHOLMS LÄN</t>
        </is>
      </c>
      <c r="E397" t="inlineStr">
        <is>
          <t>NORRTÄLJE</t>
        </is>
      </c>
      <c r="F397" t="inlineStr">
        <is>
          <t>Kommuner</t>
        </is>
      </c>
      <c r="G397" t="n">
        <v>2.8</v>
      </c>
      <c r="H397" t="n">
        <v>0</v>
      </c>
      <c r="I397" t="n">
        <v>0</v>
      </c>
      <c r="J397" t="n">
        <v>0</v>
      </c>
      <c r="K397" t="n">
        <v>0</v>
      </c>
      <c r="L397" t="n">
        <v>0</v>
      </c>
      <c r="M397" t="n">
        <v>0</v>
      </c>
      <c r="N397" t="n">
        <v>0</v>
      </c>
      <c r="O397" t="n">
        <v>0</v>
      </c>
      <c r="P397" t="n">
        <v>0</v>
      </c>
      <c r="Q397" t="n">
        <v>0</v>
      </c>
      <c r="R397" s="2" t="inlineStr"/>
    </row>
    <row r="398" ht="15" customHeight="1">
      <c r="A398" t="inlineStr">
        <is>
          <t>A 21771-2025</t>
        </is>
      </c>
      <c r="B398" s="1" t="n">
        <v>45783</v>
      </c>
      <c r="C398" s="1" t="n">
        <v>45895</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33569-2023</t>
        </is>
      </c>
      <c r="B399" s="1" t="n">
        <v>45131.666875</v>
      </c>
      <c r="C399" s="1" t="n">
        <v>45895</v>
      </c>
      <c r="D399" t="inlineStr">
        <is>
          <t>STOCKHOLMS LÄN</t>
        </is>
      </c>
      <c r="E399" t="inlineStr">
        <is>
          <t>NORRTÄLJE</t>
        </is>
      </c>
      <c r="G399" t="n">
        <v>2.3</v>
      </c>
      <c r="H399" t="n">
        <v>0</v>
      </c>
      <c r="I399" t="n">
        <v>0</v>
      </c>
      <c r="J399" t="n">
        <v>0</v>
      </c>
      <c r="K399" t="n">
        <v>0</v>
      </c>
      <c r="L399" t="n">
        <v>0</v>
      </c>
      <c r="M399" t="n">
        <v>0</v>
      </c>
      <c r="N399" t="n">
        <v>0</v>
      </c>
      <c r="O399" t="n">
        <v>0</v>
      </c>
      <c r="P399" t="n">
        <v>0</v>
      </c>
      <c r="Q399" t="n">
        <v>0</v>
      </c>
      <c r="R399" s="2" t="inlineStr"/>
    </row>
    <row r="400" ht="15" customHeight="1">
      <c r="A400" t="inlineStr">
        <is>
          <t>A 26113-2024</t>
        </is>
      </c>
      <c r="B400" s="1" t="n">
        <v>45468.45541666666</v>
      </c>
      <c r="C400" s="1" t="n">
        <v>45895</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26116-2024</t>
        </is>
      </c>
      <c r="B401" s="1" t="n">
        <v>45468.45747685185</v>
      </c>
      <c r="C401" s="1" t="n">
        <v>45895</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50569-2022</t>
        </is>
      </c>
      <c r="B402" s="1" t="n">
        <v>44866.63775462963</v>
      </c>
      <c r="C402" s="1" t="n">
        <v>45895</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52686-2024</t>
        </is>
      </c>
      <c r="B403" s="1" t="n">
        <v>45610.39271990741</v>
      </c>
      <c r="C403" s="1" t="n">
        <v>45895</v>
      </c>
      <c r="D403" t="inlineStr">
        <is>
          <t>STOCKHOLMS LÄN</t>
        </is>
      </c>
      <c r="E403" t="inlineStr">
        <is>
          <t>NORRTÄLJE</t>
        </is>
      </c>
      <c r="G403" t="n">
        <v>5.7</v>
      </c>
      <c r="H403" t="n">
        <v>0</v>
      </c>
      <c r="I403" t="n">
        <v>0</v>
      </c>
      <c r="J403" t="n">
        <v>0</v>
      </c>
      <c r="K403" t="n">
        <v>0</v>
      </c>
      <c r="L403" t="n">
        <v>0</v>
      </c>
      <c r="M403" t="n">
        <v>0</v>
      </c>
      <c r="N403" t="n">
        <v>0</v>
      </c>
      <c r="O403" t="n">
        <v>0</v>
      </c>
      <c r="P403" t="n">
        <v>0</v>
      </c>
      <c r="Q403" t="n">
        <v>0</v>
      </c>
      <c r="R403" s="2" t="inlineStr"/>
    </row>
    <row r="404" ht="15" customHeight="1">
      <c r="A404" t="inlineStr">
        <is>
          <t>A 22833-2024</t>
        </is>
      </c>
      <c r="B404" s="1" t="n">
        <v>45448.56746527777</v>
      </c>
      <c r="C404" s="1" t="n">
        <v>45895</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31105-2022</t>
        </is>
      </c>
      <c r="B405" s="1" t="n">
        <v>44769.66039351852</v>
      </c>
      <c r="C405" s="1" t="n">
        <v>45895</v>
      </c>
      <c r="D405" t="inlineStr">
        <is>
          <t>STOCKHOLMS LÄN</t>
        </is>
      </c>
      <c r="E405" t="inlineStr">
        <is>
          <t>NORRTÄLJE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60224-2023</t>
        </is>
      </c>
      <c r="B406" s="1" t="n">
        <v>45257</v>
      </c>
      <c r="C406" s="1" t="n">
        <v>45895</v>
      </c>
      <c r="D406" t="inlineStr">
        <is>
          <t>STOCKHOLMS LÄN</t>
        </is>
      </c>
      <c r="E406" t="inlineStr">
        <is>
          <t>NORRTÄLJE</t>
        </is>
      </c>
      <c r="G406" t="n">
        <v>8.1</v>
      </c>
      <c r="H406" t="n">
        <v>0</v>
      </c>
      <c r="I406" t="n">
        <v>0</v>
      </c>
      <c r="J406" t="n">
        <v>0</v>
      </c>
      <c r="K406" t="n">
        <v>0</v>
      </c>
      <c r="L406" t="n">
        <v>0</v>
      </c>
      <c r="M406" t="n">
        <v>0</v>
      </c>
      <c r="N406" t="n">
        <v>0</v>
      </c>
      <c r="O406" t="n">
        <v>0</v>
      </c>
      <c r="P406" t="n">
        <v>0</v>
      </c>
      <c r="Q406" t="n">
        <v>0</v>
      </c>
      <c r="R406" s="2" t="inlineStr"/>
    </row>
    <row r="407" ht="15" customHeight="1">
      <c r="A407" t="inlineStr">
        <is>
          <t>A 21778-2025</t>
        </is>
      </c>
      <c r="B407" s="1" t="n">
        <v>45783.66429398148</v>
      </c>
      <c r="C407" s="1" t="n">
        <v>45895</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21679-2025</t>
        </is>
      </c>
      <c r="B408" s="1" t="n">
        <v>45783.48878472222</v>
      </c>
      <c r="C408" s="1" t="n">
        <v>45895</v>
      </c>
      <c r="D408" t="inlineStr">
        <is>
          <t>STOCKHOLMS LÄN</t>
        </is>
      </c>
      <c r="E408" t="inlineStr">
        <is>
          <t>NORRTÄLJE</t>
        </is>
      </c>
      <c r="G408" t="n">
        <v>17.5</v>
      </c>
      <c r="H408" t="n">
        <v>0</v>
      </c>
      <c r="I408" t="n">
        <v>0</v>
      </c>
      <c r="J408" t="n">
        <v>0</v>
      </c>
      <c r="K408" t="n">
        <v>0</v>
      </c>
      <c r="L408" t="n">
        <v>0</v>
      </c>
      <c r="M408" t="n">
        <v>0</v>
      </c>
      <c r="N408" t="n">
        <v>0</v>
      </c>
      <c r="O408" t="n">
        <v>0</v>
      </c>
      <c r="P408" t="n">
        <v>0</v>
      </c>
      <c r="Q408" t="n">
        <v>0</v>
      </c>
      <c r="R408" s="2" t="inlineStr"/>
    </row>
    <row r="409" ht="15" customHeight="1">
      <c r="A409" t="inlineStr">
        <is>
          <t>A 17785-2024</t>
        </is>
      </c>
      <c r="B409" s="1" t="n">
        <v>45418.6968287037</v>
      </c>
      <c r="C409" s="1" t="n">
        <v>45895</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29684-2021</t>
        </is>
      </c>
      <c r="B410" s="1" t="n">
        <v>44362.37172453704</v>
      </c>
      <c r="C410" s="1" t="n">
        <v>45895</v>
      </c>
      <c r="D410" t="inlineStr">
        <is>
          <t>STOCKHOLMS LÄN</t>
        </is>
      </c>
      <c r="E410" t="inlineStr">
        <is>
          <t>NORRTÄLJE</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62644-2023</t>
        </is>
      </c>
      <c r="B411" s="1" t="n">
        <v>45271</v>
      </c>
      <c r="C411" s="1" t="n">
        <v>45895</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60185-2024</t>
        </is>
      </c>
      <c r="B412" s="1" t="n">
        <v>45642.64634259259</v>
      </c>
      <c r="C412" s="1" t="n">
        <v>45895</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12902-2024</t>
        </is>
      </c>
      <c r="B413" s="1" t="n">
        <v>45385.38146990741</v>
      </c>
      <c r="C413" s="1" t="n">
        <v>45895</v>
      </c>
      <c r="D413" t="inlineStr">
        <is>
          <t>STOCKHOLMS LÄN</t>
        </is>
      </c>
      <c r="E413" t="inlineStr">
        <is>
          <t>NORRTÄLJE</t>
        </is>
      </c>
      <c r="G413" t="n">
        <v>3.7</v>
      </c>
      <c r="H413" t="n">
        <v>0</v>
      </c>
      <c r="I413" t="n">
        <v>0</v>
      </c>
      <c r="J413" t="n">
        <v>0</v>
      </c>
      <c r="K413" t="n">
        <v>0</v>
      </c>
      <c r="L413" t="n">
        <v>0</v>
      </c>
      <c r="M413" t="n">
        <v>0</v>
      </c>
      <c r="N413" t="n">
        <v>0</v>
      </c>
      <c r="O413" t="n">
        <v>0</v>
      </c>
      <c r="P413" t="n">
        <v>0</v>
      </c>
      <c r="Q413" t="n">
        <v>0</v>
      </c>
      <c r="R413" s="2" t="inlineStr"/>
    </row>
    <row r="414" ht="15" customHeight="1">
      <c r="A414" t="inlineStr">
        <is>
          <t>A 21386-2023</t>
        </is>
      </c>
      <c r="B414" s="1" t="n">
        <v>45063.35880787037</v>
      </c>
      <c r="C414" s="1" t="n">
        <v>45895</v>
      </c>
      <c r="D414" t="inlineStr">
        <is>
          <t>STOCKHOLMS LÄN</t>
        </is>
      </c>
      <c r="E414" t="inlineStr">
        <is>
          <t>NORRTÄLJE</t>
        </is>
      </c>
      <c r="G414" t="n">
        <v>1.8</v>
      </c>
      <c r="H414" t="n">
        <v>0</v>
      </c>
      <c r="I414" t="n">
        <v>0</v>
      </c>
      <c r="J414" t="n">
        <v>0</v>
      </c>
      <c r="K414" t="n">
        <v>0</v>
      </c>
      <c r="L414" t="n">
        <v>0</v>
      </c>
      <c r="M414" t="n">
        <v>0</v>
      </c>
      <c r="N414" t="n">
        <v>0</v>
      </c>
      <c r="O414" t="n">
        <v>0</v>
      </c>
      <c r="P414" t="n">
        <v>0</v>
      </c>
      <c r="Q414" t="n">
        <v>0</v>
      </c>
      <c r="R414" s="2" t="inlineStr"/>
    </row>
    <row r="415" ht="15" customHeight="1">
      <c r="A415" t="inlineStr">
        <is>
          <t>A 60765-2023</t>
        </is>
      </c>
      <c r="B415" s="1" t="n">
        <v>45260</v>
      </c>
      <c r="C415" s="1" t="n">
        <v>45895</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4593-2023</t>
        </is>
      </c>
      <c r="B416" s="1" t="n">
        <v>44956</v>
      </c>
      <c r="C416" s="1" t="n">
        <v>45895</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54396-2021</t>
        </is>
      </c>
      <c r="B417" s="1" t="n">
        <v>44472</v>
      </c>
      <c r="C417" s="1" t="n">
        <v>45895</v>
      </c>
      <c r="D417" t="inlineStr">
        <is>
          <t>STOCKHOLMS LÄN</t>
        </is>
      </c>
      <c r="E417" t="inlineStr">
        <is>
          <t>NORRTÄLJE</t>
        </is>
      </c>
      <c r="G417" t="n">
        <v>2.6</v>
      </c>
      <c r="H417" t="n">
        <v>0</v>
      </c>
      <c r="I417" t="n">
        <v>0</v>
      </c>
      <c r="J417" t="n">
        <v>0</v>
      </c>
      <c r="K417" t="n">
        <v>0</v>
      </c>
      <c r="L417" t="n">
        <v>0</v>
      </c>
      <c r="M417" t="n">
        <v>0</v>
      </c>
      <c r="N417" t="n">
        <v>0</v>
      </c>
      <c r="O417" t="n">
        <v>0</v>
      </c>
      <c r="P417" t="n">
        <v>0</v>
      </c>
      <c r="Q417" t="n">
        <v>0</v>
      </c>
      <c r="R417" s="2" t="inlineStr"/>
    </row>
    <row r="418" ht="15" customHeight="1">
      <c r="A418" t="inlineStr">
        <is>
          <t>A 12268-2022</t>
        </is>
      </c>
      <c r="B418" s="1" t="n">
        <v>44637</v>
      </c>
      <c r="C418" s="1" t="n">
        <v>45895</v>
      </c>
      <c r="D418" t="inlineStr">
        <is>
          <t>STOCKHOLMS LÄN</t>
        </is>
      </c>
      <c r="E418" t="inlineStr">
        <is>
          <t>NORRTÄLJE</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39237-2024</t>
        </is>
      </c>
      <c r="B419" s="1" t="n">
        <v>45549</v>
      </c>
      <c r="C419" s="1" t="n">
        <v>45895</v>
      </c>
      <c r="D419" t="inlineStr">
        <is>
          <t>STOCKHOLMS LÄN</t>
        </is>
      </c>
      <c r="E419" t="inlineStr">
        <is>
          <t>NORRTÄLJE</t>
        </is>
      </c>
      <c r="G419" t="n">
        <v>13.3</v>
      </c>
      <c r="H419" t="n">
        <v>0</v>
      </c>
      <c r="I419" t="n">
        <v>0</v>
      </c>
      <c r="J419" t="n">
        <v>0</v>
      </c>
      <c r="K419" t="n">
        <v>0</v>
      </c>
      <c r="L419" t="n">
        <v>0</v>
      </c>
      <c r="M419" t="n">
        <v>0</v>
      </c>
      <c r="N419" t="n">
        <v>0</v>
      </c>
      <c r="O419" t="n">
        <v>0</v>
      </c>
      <c r="P419" t="n">
        <v>0</v>
      </c>
      <c r="Q419" t="n">
        <v>0</v>
      </c>
      <c r="R419" s="2" t="inlineStr"/>
    </row>
    <row r="420" ht="15" customHeight="1">
      <c r="A420" t="inlineStr">
        <is>
          <t>A 32071-2023</t>
        </is>
      </c>
      <c r="B420" s="1" t="n">
        <v>45119.57728009259</v>
      </c>
      <c r="C420" s="1" t="n">
        <v>45895</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25681-2024</t>
        </is>
      </c>
      <c r="B421" s="1" t="n">
        <v>45463.80486111111</v>
      </c>
      <c r="C421" s="1" t="n">
        <v>45895</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22832-2021</t>
        </is>
      </c>
      <c r="B422" s="1" t="n">
        <v>44325</v>
      </c>
      <c r="C422" s="1" t="n">
        <v>45895</v>
      </c>
      <c r="D422" t="inlineStr">
        <is>
          <t>STOCKHOLMS LÄN</t>
        </is>
      </c>
      <c r="E422" t="inlineStr">
        <is>
          <t>NORRTÄLJE</t>
        </is>
      </c>
      <c r="G422" t="n">
        <v>6.8</v>
      </c>
      <c r="H422" t="n">
        <v>0</v>
      </c>
      <c r="I422" t="n">
        <v>0</v>
      </c>
      <c r="J422" t="n">
        <v>0</v>
      </c>
      <c r="K422" t="n">
        <v>0</v>
      </c>
      <c r="L422" t="n">
        <v>0</v>
      </c>
      <c r="M422" t="n">
        <v>0</v>
      </c>
      <c r="N422" t="n">
        <v>0</v>
      </c>
      <c r="O422" t="n">
        <v>0</v>
      </c>
      <c r="P422" t="n">
        <v>0</v>
      </c>
      <c r="Q422" t="n">
        <v>0</v>
      </c>
      <c r="R422" s="2" t="inlineStr"/>
    </row>
    <row r="423" ht="15" customHeight="1">
      <c r="A423" t="inlineStr">
        <is>
          <t>A 51315-2021</t>
        </is>
      </c>
      <c r="B423" s="1" t="n">
        <v>44461</v>
      </c>
      <c r="C423" s="1" t="n">
        <v>45895</v>
      </c>
      <c r="D423" t="inlineStr">
        <is>
          <t>STOCKHOLMS LÄN</t>
        </is>
      </c>
      <c r="E423" t="inlineStr">
        <is>
          <t>NORRTÄLJE</t>
        </is>
      </c>
      <c r="F423" t="inlineStr">
        <is>
          <t>Holmen skog AB</t>
        </is>
      </c>
      <c r="G423" t="n">
        <v>2.2</v>
      </c>
      <c r="H423" t="n">
        <v>0</v>
      </c>
      <c r="I423" t="n">
        <v>0</v>
      </c>
      <c r="J423" t="n">
        <v>0</v>
      </c>
      <c r="K423" t="n">
        <v>0</v>
      </c>
      <c r="L423" t="n">
        <v>0</v>
      </c>
      <c r="M423" t="n">
        <v>0</v>
      </c>
      <c r="N423" t="n">
        <v>0</v>
      </c>
      <c r="O423" t="n">
        <v>0</v>
      </c>
      <c r="P423" t="n">
        <v>0</v>
      </c>
      <c r="Q423" t="n">
        <v>0</v>
      </c>
      <c r="R423" s="2" t="inlineStr"/>
    </row>
    <row r="424" ht="15" customHeight="1">
      <c r="A424" t="inlineStr">
        <is>
          <t>A 24245-2024</t>
        </is>
      </c>
      <c r="B424" s="1" t="n">
        <v>45457</v>
      </c>
      <c r="C424" s="1" t="n">
        <v>45895</v>
      </c>
      <c r="D424" t="inlineStr">
        <is>
          <t>STOCKHOLMS LÄN</t>
        </is>
      </c>
      <c r="E424" t="inlineStr">
        <is>
          <t>NORRTÄLJE</t>
        </is>
      </c>
      <c r="F424" t="inlineStr">
        <is>
          <t>Holmen skog AB</t>
        </is>
      </c>
      <c r="G424" t="n">
        <v>3.4</v>
      </c>
      <c r="H424" t="n">
        <v>0</v>
      </c>
      <c r="I424" t="n">
        <v>0</v>
      </c>
      <c r="J424" t="n">
        <v>0</v>
      </c>
      <c r="K424" t="n">
        <v>0</v>
      </c>
      <c r="L424" t="n">
        <v>0</v>
      </c>
      <c r="M424" t="n">
        <v>0</v>
      </c>
      <c r="N424" t="n">
        <v>0</v>
      </c>
      <c r="O424" t="n">
        <v>0</v>
      </c>
      <c r="P424" t="n">
        <v>0</v>
      </c>
      <c r="Q424" t="n">
        <v>0</v>
      </c>
      <c r="R424" s="2" t="inlineStr"/>
    </row>
    <row r="425" ht="15" customHeight="1">
      <c r="A425" t="inlineStr">
        <is>
          <t>A 44891-2023</t>
        </is>
      </c>
      <c r="B425" s="1" t="n">
        <v>45187</v>
      </c>
      <c r="C425" s="1" t="n">
        <v>45895</v>
      </c>
      <c r="D425" t="inlineStr">
        <is>
          <t>STOCKHOLMS LÄN</t>
        </is>
      </c>
      <c r="E425" t="inlineStr">
        <is>
          <t>NORRTÄLJE</t>
        </is>
      </c>
      <c r="G425" t="n">
        <v>15</v>
      </c>
      <c r="H425" t="n">
        <v>0</v>
      </c>
      <c r="I425" t="n">
        <v>0</v>
      </c>
      <c r="J425" t="n">
        <v>0</v>
      </c>
      <c r="K425" t="n">
        <v>0</v>
      </c>
      <c r="L425" t="n">
        <v>0</v>
      </c>
      <c r="M425" t="n">
        <v>0</v>
      </c>
      <c r="N425" t="n">
        <v>0</v>
      </c>
      <c r="O425" t="n">
        <v>0</v>
      </c>
      <c r="P425" t="n">
        <v>0</v>
      </c>
      <c r="Q425" t="n">
        <v>0</v>
      </c>
      <c r="R425" s="2" t="inlineStr"/>
    </row>
    <row r="426" ht="15" customHeight="1">
      <c r="A426" t="inlineStr">
        <is>
          <t>A 13268-2025</t>
        </is>
      </c>
      <c r="B426" s="1" t="n">
        <v>45735</v>
      </c>
      <c r="C426" s="1" t="n">
        <v>45895</v>
      </c>
      <c r="D426" t="inlineStr">
        <is>
          <t>STOCKHOLMS LÄN</t>
        </is>
      </c>
      <c r="E426" t="inlineStr">
        <is>
          <t>NORRTÄLJE</t>
        </is>
      </c>
      <c r="G426" t="n">
        <v>11.4</v>
      </c>
      <c r="H426" t="n">
        <v>0</v>
      </c>
      <c r="I426" t="n">
        <v>0</v>
      </c>
      <c r="J426" t="n">
        <v>0</v>
      </c>
      <c r="K426" t="n">
        <v>0</v>
      </c>
      <c r="L426" t="n">
        <v>0</v>
      </c>
      <c r="M426" t="n">
        <v>0</v>
      </c>
      <c r="N426" t="n">
        <v>0</v>
      </c>
      <c r="O426" t="n">
        <v>0</v>
      </c>
      <c r="P426" t="n">
        <v>0</v>
      </c>
      <c r="Q426" t="n">
        <v>0</v>
      </c>
      <c r="R426" s="2" t="inlineStr"/>
    </row>
    <row r="427" ht="15" customHeight="1">
      <c r="A427" t="inlineStr">
        <is>
          <t>A 22008-2024</t>
        </is>
      </c>
      <c r="B427" s="1" t="n">
        <v>45443</v>
      </c>
      <c r="C427" s="1" t="n">
        <v>45895</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26115-2024</t>
        </is>
      </c>
      <c r="B428" s="1" t="n">
        <v>45468.45628472222</v>
      </c>
      <c r="C428" s="1" t="n">
        <v>45895</v>
      </c>
      <c r="D428" t="inlineStr">
        <is>
          <t>STOCKHOLMS LÄN</t>
        </is>
      </c>
      <c r="E428" t="inlineStr">
        <is>
          <t>NORRTÄLJE</t>
        </is>
      </c>
      <c r="G428" t="n">
        <v>0.3</v>
      </c>
      <c r="H428" t="n">
        <v>0</v>
      </c>
      <c r="I428" t="n">
        <v>0</v>
      </c>
      <c r="J428" t="n">
        <v>0</v>
      </c>
      <c r="K428" t="n">
        <v>0</v>
      </c>
      <c r="L428" t="n">
        <v>0</v>
      </c>
      <c r="M428" t="n">
        <v>0</v>
      </c>
      <c r="N428" t="n">
        <v>0</v>
      </c>
      <c r="O428" t="n">
        <v>0</v>
      </c>
      <c r="P428" t="n">
        <v>0</v>
      </c>
      <c r="Q428" t="n">
        <v>0</v>
      </c>
      <c r="R428" s="2" t="inlineStr"/>
    </row>
    <row r="429" ht="15" customHeight="1">
      <c r="A429" t="inlineStr">
        <is>
          <t>A 42361-2020</t>
        </is>
      </c>
      <c r="B429" s="1" t="n">
        <v>44076</v>
      </c>
      <c r="C429" s="1" t="n">
        <v>45895</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8414-2025</t>
        </is>
      </c>
      <c r="B430" s="1" t="n">
        <v>45709.39361111111</v>
      </c>
      <c r="C430" s="1" t="n">
        <v>45895</v>
      </c>
      <c r="D430" t="inlineStr">
        <is>
          <t>STOCKHOLMS LÄN</t>
        </is>
      </c>
      <c r="E430" t="inlineStr">
        <is>
          <t>NORRTÄLJE</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58277-2023</t>
        </is>
      </c>
      <c r="B431" s="1" t="n">
        <v>45245</v>
      </c>
      <c r="C431" s="1" t="n">
        <v>45895</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9480-2025</t>
        </is>
      </c>
      <c r="B432" s="1" t="n">
        <v>45715</v>
      </c>
      <c r="C432" s="1" t="n">
        <v>45895</v>
      </c>
      <c r="D432" t="inlineStr">
        <is>
          <t>STOCKHOLMS LÄN</t>
        </is>
      </c>
      <c r="E432" t="inlineStr">
        <is>
          <t>NORRTÄLJE</t>
        </is>
      </c>
      <c r="F432" t="inlineStr">
        <is>
          <t>Övriga Aktiebolag</t>
        </is>
      </c>
      <c r="G432" t="n">
        <v>3.9</v>
      </c>
      <c r="H432" t="n">
        <v>0</v>
      </c>
      <c r="I432" t="n">
        <v>0</v>
      </c>
      <c r="J432" t="n">
        <v>0</v>
      </c>
      <c r="K432" t="n">
        <v>0</v>
      </c>
      <c r="L432" t="n">
        <v>0</v>
      </c>
      <c r="M432" t="n">
        <v>0</v>
      </c>
      <c r="N432" t="n">
        <v>0</v>
      </c>
      <c r="O432" t="n">
        <v>0</v>
      </c>
      <c r="P432" t="n">
        <v>0</v>
      </c>
      <c r="Q432" t="n">
        <v>0</v>
      </c>
      <c r="R432" s="2" t="inlineStr"/>
    </row>
    <row r="433" ht="15" customHeight="1">
      <c r="A433" t="inlineStr">
        <is>
          <t>A 49898-2020</t>
        </is>
      </c>
      <c r="B433" s="1" t="n">
        <v>44108</v>
      </c>
      <c r="C433" s="1" t="n">
        <v>45895</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4322-2023</t>
        </is>
      </c>
      <c r="B434" s="1" t="n">
        <v>44953.69298611111</v>
      </c>
      <c r="C434" s="1" t="n">
        <v>45895</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44032-2024</t>
        </is>
      </c>
      <c r="B435" s="1" t="n">
        <v>45572.57828703704</v>
      </c>
      <c r="C435" s="1" t="n">
        <v>45895</v>
      </c>
      <c r="D435" t="inlineStr">
        <is>
          <t>STOCKHOLMS LÄN</t>
        </is>
      </c>
      <c r="E435" t="inlineStr">
        <is>
          <t>NORRTÄLJE</t>
        </is>
      </c>
      <c r="G435" t="n">
        <v>8.6</v>
      </c>
      <c r="H435" t="n">
        <v>0</v>
      </c>
      <c r="I435" t="n">
        <v>0</v>
      </c>
      <c r="J435" t="n">
        <v>0</v>
      </c>
      <c r="K435" t="n">
        <v>0</v>
      </c>
      <c r="L435" t="n">
        <v>0</v>
      </c>
      <c r="M435" t="n">
        <v>0</v>
      </c>
      <c r="N435" t="n">
        <v>0</v>
      </c>
      <c r="O435" t="n">
        <v>0</v>
      </c>
      <c r="P435" t="n">
        <v>0</v>
      </c>
      <c r="Q435" t="n">
        <v>0</v>
      </c>
      <c r="R435" s="2" t="inlineStr"/>
    </row>
    <row r="436" ht="15" customHeight="1">
      <c r="A436" t="inlineStr">
        <is>
          <t>A 54273-2021</t>
        </is>
      </c>
      <c r="B436" s="1" t="n">
        <v>44470.72987268519</v>
      </c>
      <c r="C436" s="1" t="n">
        <v>45895</v>
      </c>
      <c r="D436" t="inlineStr">
        <is>
          <t>STOCKHOLMS LÄN</t>
        </is>
      </c>
      <c r="E436" t="inlineStr">
        <is>
          <t>NORRTÄLJE</t>
        </is>
      </c>
      <c r="G436" t="n">
        <v>2.7</v>
      </c>
      <c r="H436" t="n">
        <v>0</v>
      </c>
      <c r="I436" t="n">
        <v>0</v>
      </c>
      <c r="J436" t="n">
        <v>0</v>
      </c>
      <c r="K436" t="n">
        <v>0</v>
      </c>
      <c r="L436" t="n">
        <v>0</v>
      </c>
      <c r="M436" t="n">
        <v>0</v>
      </c>
      <c r="N436" t="n">
        <v>0</v>
      </c>
      <c r="O436" t="n">
        <v>0</v>
      </c>
      <c r="P436" t="n">
        <v>0</v>
      </c>
      <c r="Q436" t="n">
        <v>0</v>
      </c>
      <c r="R436" s="2" t="inlineStr"/>
    </row>
    <row r="437" ht="15" customHeight="1">
      <c r="A437" t="inlineStr">
        <is>
          <t>A 43212-2022</t>
        </is>
      </c>
      <c r="B437" s="1" t="n">
        <v>44834.38636574074</v>
      </c>
      <c r="C437" s="1" t="n">
        <v>45895</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51720-2020</t>
        </is>
      </c>
      <c r="B438" s="1" t="n">
        <v>44113</v>
      </c>
      <c r="C438" s="1" t="n">
        <v>45895</v>
      </c>
      <c r="D438" t="inlineStr">
        <is>
          <t>STOCKHOLMS LÄN</t>
        </is>
      </c>
      <c r="E438" t="inlineStr">
        <is>
          <t>NORRTÄLJE</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35916-2024</t>
        </is>
      </c>
      <c r="B439" s="1" t="n">
        <v>45533</v>
      </c>
      <c r="C439" s="1" t="n">
        <v>45895</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38889-2024</t>
        </is>
      </c>
      <c r="B440" s="1" t="n">
        <v>45547</v>
      </c>
      <c r="C440" s="1" t="n">
        <v>45895</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57216-2020</t>
        </is>
      </c>
      <c r="B441" s="1" t="n">
        <v>44139.54078703704</v>
      </c>
      <c r="C441" s="1" t="n">
        <v>45895</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24563-2024</t>
        </is>
      </c>
      <c r="B442" s="1" t="n">
        <v>45460.44347222222</v>
      </c>
      <c r="C442" s="1" t="n">
        <v>45895</v>
      </c>
      <c r="D442" t="inlineStr">
        <is>
          <t>STOCKHOLMS LÄN</t>
        </is>
      </c>
      <c r="E442" t="inlineStr">
        <is>
          <t>NORRTÄLJE</t>
        </is>
      </c>
      <c r="G442" t="n">
        <v>1.9</v>
      </c>
      <c r="H442" t="n">
        <v>0</v>
      </c>
      <c r="I442" t="n">
        <v>0</v>
      </c>
      <c r="J442" t="n">
        <v>0</v>
      </c>
      <c r="K442" t="n">
        <v>0</v>
      </c>
      <c r="L442" t="n">
        <v>0</v>
      </c>
      <c r="M442" t="n">
        <v>0</v>
      </c>
      <c r="N442" t="n">
        <v>0</v>
      </c>
      <c r="O442" t="n">
        <v>0</v>
      </c>
      <c r="P442" t="n">
        <v>0</v>
      </c>
      <c r="Q442" t="n">
        <v>0</v>
      </c>
      <c r="R442" s="2" t="inlineStr"/>
    </row>
    <row r="443" ht="15" customHeight="1">
      <c r="A443" t="inlineStr">
        <is>
          <t>A 22202-2025</t>
        </is>
      </c>
      <c r="B443" s="1" t="n">
        <v>45785.65300925926</v>
      </c>
      <c r="C443" s="1" t="n">
        <v>45895</v>
      </c>
      <c r="D443" t="inlineStr">
        <is>
          <t>STOCKHOLMS LÄN</t>
        </is>
      </c>
      <c r="E443" t="inlineStr">
        <is>
          <t>NORRTÄLJE</t>
        </is>
      </c>
      <c r="G443" t="n">
        <v>10.2</v>
      </c>
      <c r="H443" t="n">
        <v>0</v>
      </c>
      <c r="I443" t="n">
        <v>0</v>
      </c>
      <c r="J443" t="n">
        <v>0</v>
      </c>
      <c r="K443" t="n">
        <v>0</v>
      </c>
      <c r="L443" t="n">
        <v>0</v>
      </c>
      <c r="M443" t="n">
        <v>0</v>
      </c>
      <c r="N443" t="n">
        <v>0</v>
      </c>
      <c r="O443" t="n">
        <v>0</v>
      </c>
      <c r="P443" t="n">
        <v>0</v>
      </c>
      <c r="Q443" t="n">
        <v>0</v>
      </c>
      <c r="R443" s="2" t="inlineStr"/>
    </row>
    <row r="444" ht="15" customHeight="1">
      <c r="A444" t="inlineStr">
        <is>
          <t>A 36625-2024</t>
        </is>
      </c>
      <c r="B444" s="1" t="n">
        <v>45537</v>
      </c>
      <c r="C444" s="1" t="n">
        <v>45895</v>
      </c>
      <c r="D444" t="inlineStr">
        <is>
          <t>STOCKHOLMS LÄN</t>
        </is>
      </c>
      <c r="E444" t="inlineStr">
        <is>
          <t>NORRTÄLJE</t>
        </is>
      </c>
      <c r="G444" t="n">
        <v>3.8</v>
      </c>
      <c r="H444" t="n">
        <v>0</v>
      </c>
      <c r="I444" t="n">
        <v>0</v>
      </c>
      <c r="J444" t="n">
        <v>0</v>
      </c>
      <c r="K444" t="n">
        <v>0</v>
      </c>
      <c r="L444" t="n">
        <v>0</v>
      </c>
      <c r="M444" t="n">
        <v>0</v>
      </c>
      <c r="N444" t="n">
        <v>0</v>
      </c>
      <c r="O444" t="n">
        <v>0</v>
      </c>
      <c r="P444" t="n">
        <v>0</v>
      </c>
      <c r="Q444" t="n">
        <v>0</v>
      </c>
      <c r="R444" s="2" t="inlineStr"/>
    </row>
    <row r="445" ht="15" customHeight="1">
      <c r="A445" t="inlineStr">
        <is>
          <t>A 45746-2024</t>
        </is>
      </c>
      <c r="B445" s="1" t="n">
        <v>45579</v>
      </c>
      <c r="C445" s="1" t="n">
        <v>45895</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3299-2022</t>
        </is>
      </c>
      <c r="B446" s="1" t="n">
        <v>44584.91001157407</v>
      </c>
      <c r="C446" s="1" t="n">
        <v>45895</v>
      </c>
      <c r="D446" t="inlineStr">
        <is>
          <t>STOCKHOLMS LÄN</t>
        </is>
      </c>
      <c r="E446" t="inlineStr">
        <is>
          <t>NORRTÄLJE</t>
        </is>
      </c>
      <c r="G446" t="n">
        <v>2.7</v>
      </c>
      <c r="H446" t="n">
        <v>0</v>
      </c>
      <c r="I446" t="n">
        <v>0</v>
      </c>
      <c r="J446" t="n">
        <v>0</v>
      </c>
      <c r="K446" t="n">
        <v>0</v>
      </c>
      <c r="L446" t="n">
        <v>0</v>
      </c>
      <c r="M446" t="n">
        <v>0</v>
      </c>
      <c r="N446" t="n">
        <v>0</v>
      </c>
      <c r="O446" t="n">
        <v>0</v>
      </c>
      <c r="P446" t="n">
        <v>0</v>
      </c>
      <c r="Q446" t="n">
        <v>0</v>
      </c>
      <c r="R446" s="2" t="inlineStr"/>
    </row>
    <row r="447" ht="15" customHeight="1">
      <c r="A447" t="inlineStr">
        <is>
          <t>A 42075-2023</t>
        </is>
      </c>
      <c r="B447" s="1" t="n">
        <v>45177</v>
      </c>
      <c r="C447" s="1" t="n">
        <v>45895</v>
      </c>
      <c r="D447" t="inlineStr">
        <is>
          <t>STOCKHOLMS LÄN</t>
        </is>
      </c>
      <c r="E447" t="inlineStr">
        <is>
          <t>NORRTÄLJE</t>
        </is>
      </c>
      <c r="G447" t="n">
        <v>2.5</v>
      </c>
      <c r="H447" t="n">
        <v>0</v>
      </c>
      <c r="I447" t="n">
        <v>0</v>
      </c>
      <c r="J447" t="n">
        <v>0</v>
      </c>
      <c r="K447" t="n">
        <v>0</v>
      </c>
      <c r="L447" t="n">
        <v>0</v>
      </c>
      <c r="M447" t="n">
        <v>0</v>
      </c>
      <c r="N447" t="n">
        <v>0</v>
      </c>
      <c r="O447" t="n">
        <v>0</v>
      </c>
      <c r="P447" t="n">
        <v>0</v>
      </c>
      <c r="Q447" t="n">
        <v>0</v>
      </c>
      <c r="R447" s="2" t="inlineStr"/>
    </row>
    <row r="448" ht="15" customHeight="1">
      <c r="A448" t="inlineStr">
        <is>
          <t>A 10676-2025</t>
        </is>
      </c>
      <c r="B448" s="1" t="n">
        <v>45721.88684027778</v>
      </c>
      <c r="C448" s="1" t="n">
        <v>45895</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30719-2025</t>
        </is>
      </c>
      <c r="B449" s="1" t="n">
        <v>45831.56521990741</v>
      </c>
      <c r="C449" s="1" t="n">
        <v>45895</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50154-2024</t>
        </is>
      </c>
      <c r="B450" s="1" t="n">
        <v>45600.4558912037</v>
      </c>
      <c r="C450" s="1" t="n">
        <v>45895</v>
      </c>
      <c r="D450" t="inlineStr">
        <is>
          <t>STOCKHOLMS LÄN</t>
        </is>
      </c>
      <c r="E450" t="inlineStr">
        <is>
          <t>NORRTÄLJE</t>
        </is>
      </c>
      <c r="G450" t="n">
        <v>2.5</v>
      </c>
      <c r="H450" t="n">
        <v>0</v>
      </c>
      <c r="I450" t="n">
        <v>0</v>
      </c>
      <c r="J450" t="n">
        <v>0</v>
      </c>
      <c r="K450" t="n">
        <v>0</v>
      </c>
      <c r="L450" t="n">
        <v>0</v>
      </c>
      <c r="M450" t="n">
        <v>0</v>
      </c>
      <c r="N450" t="n">
        <v>0</v>
      </c>
      <c r="O450" t="n">
        <v>0</v>
      </c>
      <c r="P450" t="n">
        <v>0</v>
      </c>
      <c r="Q450" t="n">
        <v>0</v>
      </c>
      <c r="R450" s="2" t="inlineStr"/>
    </row>
    <row r="451" ht="15" customHeight="1">
      <c r="A451" t="inlineStr">
        <is>
          <t>A 37273-2024</t>
        </is>
      </c>
      <c r="B451" s="1" t="n">
        <v>45540</v>
      </c>
      <c r="C451" s="1" t="n">
        <v>45895</v>
      </c>
      <c r="D451" t="inlineStr">
        <is>
          <t>STOCKHOLMS LÄN</t>
        </is>
      </c>
      <c r="E451" t="inlineStr">
        <is>
          <t>NORRTÄLJE</t>
        </is>
      </c>
      <c r="F451" t="inlineStr">
        <is>
          <t>Sveaskog</t>
        </is>
      </c>
      <c r="G451" t="n">
        <v>12.5</v>
      </c>
      <c r="H451" t="n">
        <v>0</v>
      </c>
      <c r="I451" t="n">
        <v>0</v>
      </c>
      <c r="J451" t="n">
        <v>0</v>
      </c>
      <c r="K451" t="n">
        <v>0</v>
      </c>
      <c r="L451" t="n">
        <v>0</v>
      </c>
      <c r="M451" t="n">
        <v>0</v>
      </c>
      <c r="N451" t="n">
        <v>0</v>
      </c>
      <c r="O451" t="n">
        <v>0</v>
      </c>
      <c r="P451" t="n">
        <v>0</v>
      </c>
      <c r="Q451" t="n">
        <v>0</v>
      </c>
      <c r="R451" s="2" t="inlineStr"/>
    </row>
    <row r="452" ht="15" customHeight="1">
      <c r="A452" t="inlineStr">
        <is>
          <t>A 8400-2024</t>
        </is>
      </c>
      <c r="B452" s="1" t="n">
        <v>45352.74090277778</v>
      </c>
      <c r="C452" s="1" t="n">
        <v>45895</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2182-2022</t>
        </is>
      </c>
      <c r="B453" s="1" t="n">
        <v>44578</v>
      </c>
      <c r="C453" s="1" t="n">
        <v>45895</v>
      </c>
      <c r="D453" t="inlineStr">
        <is>
          <t>STOCKHOLMS LÄN</t>
        </is>
      </c>
      <c r="E453" t="inlineStr">
        <is>
          <t>NORRTÄLJE</t>
        </is>
      </c>
      <c r="G453" t="n">
        <v>7.2</v>
      </c>
      <c r="H453" t="n">
        <v>0</v>
      </c>
      <c r="I453" t="n">
        <v>0</v>
      </c>
      <c r="J453" t="n">
        <v>0</v>
      </c>
      <c r="K453" t="n">
        <v>0</v>
      </c>
      <c r="L453" t="n">
        <v>0</v>
      </c>
      <c r="M453" t="n">
        <v>0</v>
      </c>
      <c r="N453" t="n">
        <v>0</v>
      </c>
      <c r="O453" t="n">
        <v>0</v>
      </c>
      <c r="P453" t="n">
        <v>0</v>
      </c>
      <c r="Q453" t="n">
        <v>0</v>
      </c>
      <c r="R453" s="2" t="inlineStr"/>
    </row>
    <row r="454" ht="15" customHeight="1">
      <c r="A454" t="inlineStr">
        <is>
          <t>A 34773-2022</t>
        </is>
      </c>
      <c r="B454" s="1" t="n">
        <v>44795</v>
      </c>
      <c r="C454" s="1" t="n">
        <v>45895</v>
      </c>
      <c r="D454" t="inlineStr">
        <is>
          <t>STOCKHOLMS LÄN</t>
        </is>
      </c>
      <c r="E454" t="inlineStr">
        <is>
          <t>NORRTÄLJE</t>
        </is>
      </c>
      <c r="G454" t="n">
        <v>3.9</v>
      </c>
      <c r="H454" t="n">
        <v>0</v>
      </c>
      <c r="I454" t="n">
        <v>0</v>
      </c>
      <c r="J454" t="n">
        <v>0</v>
      </c>
      <c r="K454" t="n">
        <v>0</v>
      </c>
      <c r="L454" t="n">
        <v>0</v>
      </c>
      <c r="M454" t="n">
        <v>0</v>
      </c>
      <c r="N454" t="n">
        <v>0</v>
      </c>
      <c r="O454" t="n">
        <v>0</v>
      </c>
      <c r="P454" t="n">
        <v>0</v>
      </c>
      <c r="Q454" t="n">
        <v>0</v>
      </c>
      <c r="R454" s="2" t="inlineStr"/>
    </row>
    <row r="455" ht="15" customHeight="1">
      <c r="A455" t="inlineStr">
        <is>
          <t>A 23263-2023</t>
        </is>
      </c>
      <c r="B455" s="1" t="n">
        <v>45075</v>
      </c>
      <c r="C455" s="1" t="n">
        <v>45895</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23264-2023</t>
        </is>
      </c>
      <c r="B456" s="1" t="n">
        <v>45075</v>
      </c>
      <c r="C456" s="1" t="n">
        <v>45895</v>
      </c>
      <c r="D456" t="inlineStr">
        <is>
          <t>STOCKHOLMS LÄN</t>
        </is>
      </c>
      <c r="E456" t="inlineStr">
        <is>
          <t>NORRTÄLJE</t>
        </is>
      </c>
      <c r="G456" t="n">
        <v>2.9</v>
      </c>
      <c r="H456" t="n">
        <v>0</v>
      </c>
      <c r="I456" t="n">
        <v>0</v>
      </c>
      <c r="J456" t="n">
        <v>0</v>
      </c>
      <c r="K456" t="n">
        <v>0</v>
      </c>
      <c r="L456" t="n">
        <v>0</v>
      </c>
      <c r="M456" t="n">
        <v>0</v>
      </c>
      <c r="N456" t="n">
        <v>0</v>
      </c>
      <c r="O456" t="n">
        <v>0</v>
      </c>
      <c r="P456" t="n">
        <v>0</v>
      </c>
      <c r="Q456" t="n">
        <v>0</v>
      </c>
      <c r="R456" s="2" t="inlineStr"/>
    </row>
    <row r="457" ht="15" customHeight="1">
      <c r="A457" t="inlineStr">
        <is>
          <t>A 23267-2023</t>
        </is>
      </c>
      <c r="B457" s="1" t="n">
        <v>45075.90934027778</v>
      </c>
      <c r="C457" s="1" t="n">
        <v>45895</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25654-2023</t>
        </is>
      </c>
      <c r="B458" s="1" t="n">
        <v>45089</v>
      </c>
      <c r="C458" s="1" t="n">
        <v>45895</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16620-2024</t>
        </is>
      </c>
      <c r="B459" s="1" t="n">
        <v>45408.57707175926</v>
      </c>
      <c r="C459" s="1" t="n">
        <v>45895</v>
      </c>
      <c r="D459" t="inlineStr">
        <is>
          <t>STOCKHOLMS LÄN</t>
        </is>
      </c>
      <c r="E459" t="inlineStr">
        <is>
          <t>NORRTÄLJE</t>
        </is>
      </c>
      <c r="G459" t="n">
        <v>2.7</v>
      </c>
      <c r="H459" t="n">
        <v>0</v>
      </c>
      <c r="I459" t="n">
        <v>0</v>
      </c>
      <c r="J459" t="n">
        <v>0</v>
      </c>
      <c r="K459" t="n">
        <v>0</v>
      </c>
      <c r="L459" t="n">
        <v>0</v>
      </c>
      <c r="M459" t="n">
        <v>0</v>
      </c>
      <c r="N459" t="n">
        <v>0</v>
      </c>
      <c r="O459" t="n">
        <v>0</v>
      </c>
      <c r="P459" t="n">
        <v>0</v>
      </c>
      <c r="Q459" t="n">
        <v>0</v>
      </c>
      <c r="R459" s="2" t="inlineStr"/>
    </row>
    <row r="460" ht="15" customHeight="1">
      <c r="A460" t="inlineStr">
        <is>
          <t>A 47758-2023</t>
        </is>
      </c>
      <c r="B460" s="1" t="n">
        <v>45203.83891203703</v>
      </c>
      <c r="C460" s="1" t="n">
        <v>45895</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48151-2024</t>
        </is>
      </c>
      <c r="B461" s="1" t="n">
        <v>45589.68289351852</v>
      </c>
      <c r="C461" s="1" t="n">
        <v>45895</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34295-2024</t>
        </is>
      </c>
      <c r="B462" s="1" t="n">
        <v>45524</v>
      </c>
      <c r="C462" s="1" t="n">
        <v>45895</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22416-2025</t>
        </is>
      </c>
      <c r="B463" s="1" t="n">
        <v>45786.55645833333</v>
      </c>
      <c r="C463" s="1" t="n">
        <v>45895</v>
      </c>
      <c r="D463" t="inlineStr">
        <is>
          <t>STOCKHOLMS LÄN</t>
        </is>
      </c>
      <c r="E463" t="inlineStr">
        <is>
          <t>NORRTÄLJE</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58785-2024</t>
        </is>
      </c>
      <c r="B464" s="1" t="n">
        <v>45635.88849537037</v>
      </c>
      <c r="C464" s="1" t="n">
        <v>45895</v>
      </c>
      <c r="D464" t="inlineStr">
        <is>
          <t>STOCKHOLMS LÄN</t>
        </is>
      </c>
      <c r="E464" t="inlineStr">
        <is>
          <t>NORRTÄLJE</t>
        </is>
      </c>
      <c r="G464" t="n">
        <v>3.3</v>
      </c>
      <c r="H464" t="n">
        <v>0</v>
      </c>
      <c r="I464" t="n">
        <v>0</v>
      </c>
      <c r="J464" t="n">
        <v>0</v>
      </c>
      <c r="K464" t="n">
        <v>0</v>
      </c>
      <c r="L464" t="n">
        <v>0</v>
      </c>
      <c r="M464" t="n">
        <v>0</v>
      </c>
      <c r="N464" t="n">
        <v>0</v>
      </c>
      <c r="O464" t="n">
        <v>0</v>
      </c>
      <c r="P464" t="n">
        <v>0</v>
      </c>
      <c r="Q464" t="n">
        <v>0</v>
      </c>
      <c r="R464" s="2" t="inlineStr"/>
    </row>
    <row r="465" ht="15" customHeight="1">
      <c r="A465" t="inlineStr">
        <is>
          <t>A 6537-2024</t>
        </is>
      </c>
      <c r="B465" s="1" t="n">
        <v>45341.39853009259</v>
      </c>
      <c r="C465" s="1" t="n">
        <v>45895</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5831-2022</t>
        </is>
      </c>
      <c r="B466" s="1" t="n">
        <v>44596</v>
      </c>
      <c r="C466" s="1" t="n">
        <v>45895</v>
      </c>
      <c r="D466" t="inlineStr">
        <is>
          <t>STOCKHOLMS LÄN</t>
        </is>
      </c>
      <c r="E466" t="inlineStr">
        <is>
          <t>NORRTÄLJE</t>
        </is>
      </c>
      <c r="G466" t="n">
        <v>4.8</v>
      </c>
      <c r="H466" t="n">
        <v>0</v>
      </c>
      <c r="I466" t="n">
        <v>0</v>
      </c>
      <c r="J466" t="n">
        <v>0</v>
      </c>
      <c r="K466" t="n">
        <v>0</v>
      </c>
      <c r="L466" t="n">
        <v>0</v>
      </c>
      <c r="M466" t="n">
        <v>0</v>
      </c>
      <c r="N466" t="n">
        <v>0</v>
      </c>
      <c r="O466" t="n">
        <v>0</v>
      </c>
      <c r="P466" t="n">
        <v>0</v>
      </c>
      <c r="Q466" t="n">
        <v>0</v>
      </c>
      <c r="R466" s="2" t="inlineStr"/>
    </row>
    <row r="467" ht="15" customHeight="1">
      <c r="A467" t="inlineStr">
        <is>
          <t>A 29369-2024</t>
        </is>
      </c>
      <c r="B467" s="1" t="n">
        <v>45483.57244212963</v>
      </c>
      <c r="C467" s="1" t="n">
        <v>45895</v>
      </c>
      <c r="D467" t="inlineStr">
        <is>
          <t>STOCKHOLMS LÄN</t>
        </is>
      </c>
      <c r="E467" t="inlineStr">
        <is>
          <t>NORRTÄLJE</t>
        </is>
      </c>
      <c r="G467" t="n">
        <v>15.9</v>
      </c>
      <c r="H467" t="n">
        <v>0</v>
      </c>
      <c r="I467" t="n">
        <v>0</v>
      </c>
      <c r="J467" t="n">
        <v>0</v>
      </c>
      <c r="K467" t="n">
        <v>0</v>
      </c>
      <c r="L467" t="n">
        <v>0</v>
      </c>
      <c r="M467" t="n">
        <v>0</v>
      </c>
      <c r="N467" t="n">
        <v>0</v>
      </c>
      <c r="O467" t="n">
        <v>0</v>
      </c>
      <c r="P467" t="n">
        <v>0</v>
      </c>
      <c r="Q467" t="n">
        <v>0</v>
      </c>
      <c r="R467" s="2" t="inlineStr"/>
    </row>
    <row r="468" ht="15" customHeight="1">
      <c r="A468" t="inlineStr">
        <is>
          <t>A 48066-2020</t>
        </is>
      </c>
      <c r="B468" s="1" t="n">
        <v>44100</v>
      </c>
      <c r="C468" s="1" t="n">
        <v>45895</v>
      </c>
      <c r="D468" t="inlineStr">
        <is>
          <t>STOCKHOLMS LÄN</t>
        </is>
      </c>
      <c r="E468" t="inlineStr">
        <is>
          <t>NORRTÄLJE</t>
        </is>
      </c>
      <c r="G468" t="n">
        <v>3.7</v>
      </c>
      <c r="H468" t="n">
        <v>0</v>
      </c>
      <c r="I468" t="n">
        <v>0</v>
      </c>
      <c r="J468" t="n">
        <v>0</v>
      </c>
      <c r="K468" t="n">
        <v>0</v>
      </c>
      <c r="L468" t="n">
        <v>0</v>
      </c>
      <c r="M468" t="n">
        <v>0</v>
      </c>
      <c r="N468" t="n">
        <v>0</v>
      </c>
      <c r="O468" t="n">
        <v>0</v>
      </c>
      <c r="P468" t="n">
        <v>0</v>
      </c>
      <c r="Q468" t="n">
        <v>0</v>
      </c>
      <c r="R468" s="2" t="inlineStr"/>
    </row>
    <row r="469" ht="15" customHeight="1">
      <c r="A469" t="inlineStr">
        <is>
          <t>A 52260-2022</t>
        </is>
      </c>
      <c r="B469" s="1" t="n">
        <v>44869</v>
      </c>
      <c r="C469" s="1" t="n">
        <v>45895</v>
      </c>
      <c r="D469" t="inlineStr">
        <is>
          <t>STOCKHOLMS LÄN</t>
        </is>
      </c>
      <c r="E469" t="inlineStr">
        <is>
          <t>NORRTÄLJE</t>
        </is>
      </c>
      <c r="G469" t="n">
        <v>3.1</v>
      </c>
      <c r="H469" t="n">
        <v>0</v>
      </c>
      <c r="I469" t="n">
        <v>0</v>
      </c>
      <c r="J469" t="n">
        <v>0</v>
      </c>
      <c r="K469" t="n">
        <v>0</v>
      </c>
      <c r="L469" t="n">
        <v>0</v>
      </c>
      <c r="M469" t="n">
        <v>0</v>
      </c>
      <c r="N469" t="n">
        <v>0</v>
      </c>
      <c r="O469" t="n">
        <v>0</v>
      </c>
      <c r="P469" t="n">
        <v>0</v>
      </c>
      <c r="Q469" t="n">
        <v>0</v>
      </c>
      <c r="R469" s="2" t="inlineStr"/>
    </row>
    <row r="470" ht="15" customHeight="1">
      <c r="A470" t="inlineStr">
        <is>
          <t>A 58853-2024</t>
        </is>
      </c>
      <c r="B470" s="1" t="n">
        <v>45636.38974537037</v>
      </c>
      <c r="C470" s="1" t="n">
        <v>45895</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55058-2021</t>
        </is>
      </c>
      <c r="B471" s="1" t="n">
        <v>44474.62141203704</v>
      </c>
      <c r="C471" s="1" t="n">
        <v>45895</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40192-2023</t>
        </is>
      </c>
      <c r="B472" s="1" t="n">
        <v>45169</v>
      </c>
      <c r="C472" s="1" t="n">
        <v>45895</v>
      </c>
      <c r="D472" t="inlineStr">
        <is>
          <t>STOCKHOLMS LÄN</t>
        </is>
      </c>
      <c r="E472" t="inlineStr">
        <is>
          <t>NORRTÄLJE</t>
        </is>
      </c>
      <c r="F472" t="inlineStr">
        <is>
          <t>Kyrkan</t>
        </is>
      </c>
      <c r="G472" t="n">
        <v>0.7</v>
      </c>
      <c r="H472" t="n">
        <v>0</v>
      </c>
      <c r="I472" t="n">
        <v>0</v>
      </c>
      <c r="J472" t="n">
        <v>0</v>
      </c>
      <c r="K472" t="n">
        <v>0</v>
      </c>
      <c r="L472" t="n">
        <v>0</v>
      </c>
      <c r="M472" t="n">
        <v>0</v>
      </c>
      <c r="N472" t="n">
        <v>0</v>
      </c>
      <c r="O472" t="n">
        <v>0</v>
      </c>
      <c r="P472" t="n">
        <v>0</v>
      </c>
      <c r="Q472" t="n">
        <v>0</v>
      </c>
      <c r="R472" s="2" t="inlineStr"/>
    </row>
    <row r="473" ht="15" customHeight="1">
      <c r="A473" t="inlineStr">
        <is>
          <t>A 4035-2023</t>
        </is>
      </c>
      <c r="B473" s="1" t="n">
        <v>44952.57989583333</v>
      </c>
      <c r="C473" s="1" t="n">
        <v>45895</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59712-2024</t>
        </is>
      </c>
      <c r="B474" s="1" t="n">
        <v>45639.45166666667</v>
      </c>
      <c r="C474" s="1" t="n">
        <v>45895</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26644-2024</t>
        </is>
      </c>
      <c r="B475" s="1" t="n">
        <v>45469</v>
      </c>
      <c r="C475" s="1" t="n">
        <v>45895</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26668-2024</t>
        </is>
      </c>
      <c r="B476" s="1" t="n">
        <v>45469</v>
      </c>
      <c r="C476" s="1" t="n">
        <v>45895</v>
      </c>
      <c r="D476" t="inlineStr">
        <is>
          <t>STOCKHOLMS LÄN</t>
        </is>
      </c>
      <c r="E476" t="inlineStr">
        <is>
          <t>NORRTÄLJE</t>
        </is>
      </c>
      <c r="G476" t="n">
        <v>4.8</v>
      </c>
      <c r="H476" t="n">
        <v>0</v>
      </c>
      <c r="I476" t="n">
        <v>0</v>
      </c>
      <c r="J476" t="n">
        <v>0</v>
      </c>
      <c r="K476" t="n">
        <v>0</v>
      </c>
      <c r="L476" t="n">
        <v>0</v>
      </c>
      <c r="M476" t="n">
        <v>0</v>
      </c>
      <c r="N476" t="n">
        <v>0</v>
      </c>
      <c r="O476" t="n">
        <v>0</v>
      </c>
      <c r="P476" t="n">
        <v>0</v>
      </c>
      <c r="Q476" t="n">
        <v>0</v>
      </c>
      <c r="R476" s="2" t="inlineStr"/>
    </row>
    <row r="477" ht="15" customHeight="1">
      <c r="A477" t="inlineStr">
        <is>
          <t>A 59721-2024</t>
        </is>
      </c>
      <c r="B477" s="1" t="n">
        <v>45639.47385416667</v>
      </c>
      <c r="C477" s="1" t="n">
        <v>45895</v>
      </c>
      <c r="D477" t="inlineStr">
        <is>
          <t>STOCKHOLMS LÄN</t>
        </is>
      </c>
      <c r="E477" t="inlineStr">
        <is>
          <t>NORRTÄLJE</t>
        </is>
      </c>
      <c r="G477" t="n">
        <v>4.6</v>
      </c>
      <c r="H477" t="n">
        <v>0</v>
      </c>
      <c r="I477" t="n">
        <v>0</v>
      </c>
      <c r="J477" t="n">
        <v>0</v>
      </c>
      <c r="K477" t="n">
        <v>0</v>
      </c>
      <c r="L477" t="n">
        <v>0</v>
      </c>
      <c r="M477" t="n">
        <v>0</v>
      </c>
      <c r="N477" t="n">
        <v>0</v>
      </c>
      <c r="O477" t="n">
        <v>0</v>
      </c>
      <c r="P477" t="n">
        <v>0</v>
      </c>
      <c r="Q477" t="n">
        <v>0</v>
      </c>
      <c r="R477" s="2" t="inlineStr"/>
    </row>
    <row r="478" ht="15" customHeight="1">
      <c r="A478" t="inlineStr">
        <is>
          <t>A 60884-2024</t>
        </is>
      </c>
      <c r="B478" s="1" t="n">
        <v>45644.90815972222</v>
      </c>
      <c r="C478" s="1" t="n">
        <v>45895</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23150-2024</t>
        </is>
      </c>
      <c r="B479" s="1" t="n">
        <v>45450.64643518518</v>
      </c>
      <c r="C479" s="1" t="n">
        <v>45895</v>
      </c>
      <c r="D479" t="inlineStr">
        <is>
          <t>STOCKHOLMS LÄN</t>
        </is>
      </c>
      <c r="E479" t="inlineStr">
        <is>
          <t>NORRTÄLJE</t>
        </is>
      </c>
      <c r="F479" t="inlineStr">
        <is>
          <t>Kommuner</t>
        </is>
      </c>
      <c r="G479" t="n">
        <v>2.7</v>
      </c>
      <c r="H479" t="n">
        <v>0</v>
      </c>
      <c r="I479" t="n">
        <v>0</v>
      </c>
      <c r="J479" t="n">
        <v>0</v>
      </c>
      <c r="K479" t="n">
        <v>0</v>
      </c>
      <c r="L479" t="n">
        <v>0</v>
      </c>
      <c r="M479" t="n">
        <v>0</v>
      </c>
      <c r="N479" t="n">
        <v>0</v>
      </c>
      <c r="O479" t="n">
        <v>0</v>
      </c>
      <c r="P479" t="n">
        <v>0</v>
      </c>
      <c r="Q479" t="n">
        <v>0</v>
      </c>
      <c r="R479" s="2" t="inlineStr"/>
    </row>
    <row r="480" ht="15" customHeight="1">
      <c r="A480" t="inlineStr">
        <is>
          <t>A 59878-2024</t>
        </is>
      </c>
      <c r="B480" s="1" t="n">
        <v>45640.60240740741</v>
      </c>
      <c r="C480" s="1" t="n">
        <v>45895</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50182-2024</t>
        </is>
      </c>
      <c r="B481" s="1" t="n">
        <v>45600.47275462963</v>
      </c>
      <c r="C481" s="1" t="n">
        <v>45895</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2549-2022</t>
        </is>
      </c>
      <c r="B482" s="1" t="n">
        <v>44580</v>
      </c>
      <c r="C482" s="1" t="n">
        <v>45895</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31140-2023</t>
        </is>
      </c>
      <c r="B483" s="1" t="n">
        <v>45113</v>
      </c>
      <c r="C483" s="1" t="n">
        <v>45895</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31149-2023</t>
        </is>
      </c>
      <c r="B484" s="1" t="n">
        <v>45113</v>
      </c>
      <c r="C484" s="1" t="n">
        <v>45895</v>
      </c>
      <c r="D484" t="inlineStr">
        <is>
          <t>STOCKHOLMS LÄN</t>
        </is>
      </c>
      <c r="E484" t="inlineStr">
        <is>
          <t>NORRTÄLJE</t>
        </is>
      </c>
      <c r="G484" t="n">
        <v>7.1</v>
      </c>
      <c r="H484" t="n">
        <v>0</v>
      </c>
      <c r="I484" t="n">
        <v>0</v>
      </c>
      <c r="J484" t="n">
        <v>0</v>
      </c>
      <c r="K484" t="n">
        <v>0</v>
      </c>
      <c r="L484" t="n">
        <v>0</v>
      </c>
      <c r="M484" t="n">
        <v>0</v>
      </c>
      <c r="N484" t="n">
        <v>0</v>
      </c>
      <c r="O484" t="n">
        <v>0</v>
      </c>
      <c r="P484" t="n">
        <v>0</v>
      </c>
      <c r="Q484" t="n">
        <v>0</v>
      </c>
      <c r="R484" s="2" t="inlineStr"/>
    </row>
    <row r="485" ht="15" customHeight="1">
      <c r="A485" t="inlineStr">
        <is>
          <t>A 16835-2022</t>
        </is>
      </c>
      <c r="B485" s="1" t="n">
        <v>44673</v>
      </c>
      <c r="C485" s="1" t="n">
        <v>45895</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37085-2021</t>
        </is>
      </c>
      <c r="B486" s="1" t="n">
        <v>44395</v>
      </c>
      <c r="C486" s="1" t="n">
        <v>45895</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55890-2020</t>
        </is>
      </c>
      <c r="B487" s="1" t="n">
        <v>44132</v>
      </c>
      <c r="C487" s="1" t="n">
        <v>45895</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13701-2022</t>
        </is>
      </c>
      <c r="B488" s="1" t="n">
        <v>44648</v>
      </c>
      <c r="C488" s="1" t="n">
        <v>45895</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13089-2022</t>
        </is>
      </c>
      <c r="B489" s="1" t="n">
        <v>44643</v>
      </c>
      <c r="C489" s="1" t="n">
        <v>45895</v>
      </c>
      <c r="D489" t="inlineStr">
        <is>
          <t>STOCKHOLMS LÄN</t>
        </is>
      </c>
      <c r="E489" t="inlineStr">
        <is>
          <t>NORRTÄLJE</t>
        </is>
      </c>
      <c r="G489" t="n">
        <v>4.5</v>
      </c>
      <c r="H489" t="n">
        <v>0</v>
      </c>
      <c r="I489" t="n">
        <v>0</v>
      </c>
      <c r="J489" t="n">
        <v>0</v>
      </c>
      <c r="K489" t="n">
        <v>0</v>
      </c>
      <c r="L489" t="n">
        <v>0</v>
      </c>
      <c r="M489" t="n">
        <v>0</v>
      </c>
      <c r="N489" t="n">
        <v>0</v>
      </c>
      <c r="O489" t="n">
        <v>0</v>
      </c>
      <c r="P489" t="n">
        <v>0</v>
      </c>
      <c r="Q489" t="n">
        <v>0</v>
      </c>
      <c r="R489" s="2" t="inlineStr"/>
    </row>
    <row r="490" ht="15" customHeight="1">
      <c r="A490" t="inlineStr">
        <is>
          <t>A 62998-2023</t>
        </is>
      </c>
      <c r="B490" s="1" t="n">
        <v>45272.64479166667</v>
      </c>
      <c r="C490" s="1" t="n">
        <v>45895</v>
      </c>
      <c r="D490" t="inlineStr">
        <is>
          <t>STOCKHOLMS LÄN</t>
        </is>
      </c>
      <c r="E490" t="inlineStr">
        <is>
          <t>NORRTÄLJE</t>
        </is>
      </c>
      <c r="G490" t="n">
        <v>16.3</v>
      </c>
      <c r="H490" t="n">
        <v>0</v>
      </c>
      <c r="I490" t="n">
        <v>0</v>
      </c>
      <c r="J490" t="n">
        <v>0</v>
      </c>
      <c r="K490" t="n">
        <v>0</v>
      </c>
      <c r="L490" t="n">
        <v>0</v>
      </c>
      <c r="M490" t="n">
        <v>0</v>
      </c>
      <c r="N490" t="n">
        <v>0</v>
      </c>
      <c r="O490" t="n">
        <v>0</v>
      </c>
      <c r="P490" t="n">
        <v>0</v>
      </c>
      <c r="Q490" t="n">
        <v>0</v>
      </c>
      <c r="R490" s="2" t="inlineStr"/>
    </row>
    <row r="491" ht="15" customHeight="1">
      <c r="A491" t="inlineStr">
        <is>
          <t>A 63015-2023</t>
        </is>
      </c>
      <c r="B491" s="1" t="n">
        <v>45272</v>
      </c>
      <c r="C491" s="1" t="n">
        <v>45895</v>
      </c>
      <c r="D491" t="inlineStr">
        <is>
          <t>STOCKHOLMS LÄN</t>
        </is>
      </c>
      <c r="E491" t="inlineStr">
        <is>
          <t>NORRTÄLJE</t>
        </is>
      </c>
      <c r="G491" t="n">
        <v>13.1</v>
      </c>
      <c r="H491" t="n">
        <v>0</v>
      </c>
      <c r="I491" t="n">
        <v>0</v>
      </c>
      <c r="J491" t="n">
        <v>0</v>
      </c>
      <c r="K491" t="n">
        <v>0</v>
      </c>
      <c r="L491" t="n">
        <v>0</v>
      </c>
      <c r="M491" t="n">
        <v>0</v>
      </c>
      <c r="N491" t="n">
        <v>0</v>
      </c>
      <c r="O491" t="n">
        <v>0</v>
      </c>
      <c r="P491" t="n">
        <v>0</v>
      </c>
      <c r="Q491" t="n">
        <v>0</v>
      </c>
      <c r="R491" s="2" t="inlineStr"/>
    </row>
    <row r="492" ht="15" customHeight="1">
      <c r="A492" t="inlineStr">
        <is>
          <t>A 46988-2024</t>
        </is>
      </c>
      <c r="B492" s="1" t="n">
        <v>45586</v>
      </c>
      <c r="C492" s="1" t="n">
        <v>45895</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71552-2021</t>
        </is>
      </c>
      <c r="B493" s="1" t="n">
        <v>44540</v>
      </c>
      <c r="C493" s="1" t="n">
        <v>45895</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17382-2024</t>
        </is>
      </c>
      <c r="B494" s="1" t="n">
        <v>45414.65855324074</v>
      </c>
      <c r="C494" s="1" t="n">
        <v>45895</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56166-2020</t>
        </is>
      </c>
      <c r="B495" s="1" t="n">
        <v>44133</v>
      </c>
      <c r="C495" s="1" t="n">
        <v>45895</v>
      </c>
      <c r="D495" t="inlineStr">
        <is>
          <t>STOCKHOLMS LÄN</t>
        </is>
      </c>
      <c r="E495" t="inlineStr">
        <is>
          <t>NORRTÄLJE</t>
        </is>
      </c>
      <c r="G495" t="n">
        <v>4.4</v>
      </c>
      <c r="H495" t="n">
        <v>0</v>
      </c>
      <c r="I495" t="n">
        <v>0</v>
      </c>
      <c r="J495" t="n">
        <v>0</v>
      </c>
      <c r="K495" t="n">
        <v>0</v>
      </c>
      <c r="L495" t="n">
        <v>0</v>
      </c>
      <c r="M495" t="n">
        <v>0</v>
      </c>
      <c r="N495" t="n">
        <v>0</v>
      </c>
      <c r="O495" t="n">
        <v>0</v>
      </c>
      <c r="P495" t="n">
        <v>0</v>
      </c>
      <c r="Q495" t="n">
        <v>0</v>
      </c>
      <c r="R495" s="2" t="inlineStr"/>
    </row>
    <row r="496" ht="15" customHeight="1">
      <c r="A496" t="inlineStr">
        <is>
          <t>A 25557-2023</t>
        </is>
      </c>
      <c r="B496" s="1" t="n">
        <v>45089</v>
      </c>
      <c r="C496" s="1" t="n">
        <v>45895</v>
      </c>
      <c r="D496" t="inlineStr">
        <is>
          <t>STOCKHOLMS LÄN</t>
        </is>
      </c>
      <c r="E496" t="inlineStr">
        <is>
          <t>NORRTÄLJE</t>
        </is>
      </c>
      <c r="G496" t="n">
        <v>1</v>
      </c>
      <c r="H496" t="n">
        <v>0</v>
      </c>
      <c r="I496" t="n">
        <v>0</v>
      </c>
      <c r="J496" t="n">
        <v>0</v>
      </c>
      <c r="K496" t="n">
        <v>0</v>
      </c>
      <c r="L496" t="n">
        <v>0</v>
      </c>
      <c r="M496" t="n">
        <v>0</v>
      </c>
      <c r="N496" t="n">
        <v>0</v>
      </c>
      <c r="O496" t="n">
        <v>0</v>
      </c>
      <c r="P496" t="n">
        <v>0</v>
      </c>
      <c r="Q496" t="n">
        <v>0</v>
      </c>
      <c r="R496" s="2" t="inlineStr"/>
    </row>
    <row r="497" ht="15" customHeight="1">
      <c r="A497" t="inlineStr">
        <is>
          <t>A 12901-2024</t>
        </is>
      </c>
      <c r="B497" s="1" t="n">
        <v>45385.37922453704</v>
      </c>
      <c r="C497" s="1" t="n">
        <v>45895</v>
      </c>
      <c r="D497" t="inlineStr">
        <is>
          <t>STOCKHOLMS LÄN</t>
        </is>
      </c>
      <c r="E497" t="inlineStr">
        <is>
          <t>NORRTÄLJE</t>
        </is>
      </c>
      <c r="G497" t="n">
        <v>2.7</v>
      </c>
      <c r="H497" t="n">
        <v>0</v>
      </c>
      <c r="I497" t="n">
        <v>0</v>
      </c>
      <c r="J497" t="n">
        <v>0</v>
      </c>
      <c r="K497" t="n">
        <v>0</v>
      </c>
      <c r="L497" t="n">
        <v>0</v>
      </c>
      <c r="M497" t="n">
        <v>0</v>
      </c>
      <c r="N497" t="n">
        <v>0</v>
      </c>
      <c r="O497" t="n">
        <v>0</v>
      </c>
      <c r="P497" t="n">
        <v>0</v>
      </c>
      <c r="Q497" t="n">
        <v>0</v>
      </c>
      <c r="R497" s="2" t="inlineStr"/>
    </row>
    <row r="498" ht="15" customHeight="1">
      <c r="A498" t="inlineStr">
        <is>
          <t>A 12301-2025</t>
        </is>
      </c>
      <c r="B498" s="1" t="n">
        <v>45729.7271875</v>
      </c>
      <c r="C498" s="1" t="n">
        <v>45895</v>
      </c>
      <c r="D498" t="inlineStr">
        <is>
          <t>STOCKHOLMS LÄN</t>
        </is>
      </c>
      <c r="E498" t="inlineStr">
        <is>
          <t>NORRTÄLJE</t>
        </is>
      </c>
      <c r="G498" t="n">
        <v>3.2</v>
      </c>
      <c r="H498" t="n">
        <v>0</v>
      </c>
      <c r="I498" t="n">
        <v>0</v>
      </c>
      <c r="J498" t="n">
        <v>0</v>
      </c>
      <c r="K498" t="n">
        <v>0</v>
      </c>
      <c r="L498" t="n">
        <v>0</v>
      </c>
      <c r="M498" t="n">
        <v>0</v>
      </c>
      <c r="N498" t="n">
        <v>0</v>
      </c>
      <c r="O498" t="n">
        <v>0</v>
      </c>
      <c r="P498" t="n">
        <v>0</v>
      </c>
      <c r="Q498" t="n">
        <v>0</v>
      </c>
      <c r="R498" s="2" t="inlineStr"/>
    </row>
    <row r="499" ht="15" customHeight="1">
      <c r="A499" t="inlineStr">
        <is>
          <t>A 38759-2022</t>
        </is>
      </c>
      <c r="B499" s="1" t="n">
        <v>44816</v>
      </c>
      <c r="C499" s="1" t="n">
        <v>45895</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9914-2023</t>
        </is>
      </c>
      <c r="B500" s="1" t="n">
        <v>44985</v>
      </c>
      <c r="C500" s="1" t="n">
        <v>45895</v>
      </c>
      <c r="D500" t="inlineStr">
        <is>
          <t>STOCKHOLMS LÄN</t>
        </is>
      </c>
      <c r="E500" t="inlineStr">
        <is>
          <t>NORRTÄLJE</t>
        </is>
      </c>
      <c r="G500" t="n">
        <v>4.2</v>
      </c>
      <c r="H500" t="n">
        <v>0</v>
      </c>
      <c r="I500" t="n">
        <v>0</v>
      </c>
      <c r="J500" t="n">
        <v>0</v>
      </c>
      <c r="K500" t="n">
        <v>0</v>
      </c>
      <c r="L500" t="n">
        <v>0</v>
      </c>
      <c r="M500" t="n">
        <v>0</v>
      </c>
      <c r="N500" t="n">
        <v>0</v>
      </c>
      <c r="O500" t="n">
        <v>0</v>
      </c>
      <c r="P500" t="n">
        <v>0</v>
      </c>
      <c r="Q500" t="n">
        <v>0</v>
      </c>
      <c r="R500" s="2" t="inlineStr"/>
    </row>
    <row r="501" ht="15" customHeight="1">
      <c r="A501" t="inlineStr">
        <is>
          <t>A 23998-2024</t>
        </is>
      </c>
      <c r="B501" s="1" t="n">
        <v>45456</v>
      </c>
      <c r="C501" s="1" t="n">
        <v>45895</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8950-2025</t>
        </is>
      </c>
      <c r="B502" s="1" t="n">
        <v>45713</v>
      </c>
      <c r="C502" s="1" t="n">
        <v>45895</v>
      </c>
      <c r="D502" t="inlineStr">
        <is>
          <t>STOCKHOLMS LÄN</t>
        </is>
      </c>
      <c r="E502" t="inlineStr">
        <is>
          <t>NORRTÄLJE</t>
        </is>
      </c>
      <c r="F502" t="inlineStr">
        <is>
          <t>Övriga Aktiebolag</t>
        </is>
      </c>
      <c r="G502" t="n">
        <v>3.6</v>
      </c>
      <c r="H502" t="n">
        <v>0</v>
      </c>
      <c r="I502" t="n">
        <v>0</v>
      </c>
      <c r="J502" t="n">
        <v>0</v>
      </c>
      <c r="K502" t="n">
        <v>0</v>
      </c>
      <c r="L502" t="n">
        <v>0</v>
      </c>
      <c r="M502" t="n">
        <v>0</v>
      </c>
      <c r="N502" t="n">
        <v>0</v>
      </c>
      <c r="O502" t="n">
        <v>0</v>
      </c>
      <c r="P502" t="n">
        <v>0</v>
      </c>
      <c r="Q502" t="n">
        <v>0</v>
      </c>
      <c r="R502" s="2" t="inlineStr"/>
    </row>
    <row r="503" ht="15" customHeight="1">
      <c r="A503" t="inlineStr">
        <is>
          <t>A 54504-2024</t>
        </is>
      </c>
      <c r="B503" s="1" t="n">
        <v>45617.58453703704</v>
      </c>
      <c r="C503" s="1" t="n">
        <v>45895</v>
      </c>
      <c r="D503" t="inlineStr">
        <is>
          <t>STOCKHOLMS LÄN</t>
        </is>
      </c>
      <c r="E503" t="inlineStr">
        <is>
          <t>NORRTÄLJE</t>
        </is>
      </c>
      <c r="G503" t="n">
        <v>3.4</v>
      </c>
      <c r="H503" t="n">
        <v>0</v>
      </c>
      <c r="I503" t="n">
        <v>0</v>
      </c>
      <c r="J503" t="n">
        <v>0</v>
      </c>
      <c r="K503" t="n">
        <v>0</v>
      </c>
      <c r="L503" t="n">
        <v>0</v>
      </c>
      <c r="M503" t="n">
        <v>0</v>
      </c>
      <c r="N503" t="n">
        <v>0</v>
      </c>
      <c r="O503" t="n">
        <v>0</v>
      </c>
      <c r="P503" t="n">
        <v>0</v>
      </c>
      <c r="Q503" t="n">
        <v>0</v>
      </c>
      <c r="R503" s="2" t="inlineStr"/>
    </row>
    <row r="504" ht="15" customHeight="1">
      <c r="A504" t="inlineStr">
        <is>
          <t>A 60525-2022</t>
        </is>
      </c>
      <c r="B504" s="1" t="n">
        <v>44904</v>
      </c>
      <c r="C504" s="1" t="n">
        <v>45895</v>
      </c>
      <c r="D504" t="inlineStr">
        <is>
          <t>STOCKHOLMS LÄN</t>
        </is>
      </c>
      <c r="E504" t="inlineStr">
        <is>
          <t>NORRTÄLJE</t>
        </is>
      </c>
      <c r="G504" t="n">
        <v>13.4</v>
      </c>
      <c r="H504" t="n">
        <v>0</v>
      </c>
      <c r="I504" t="n">
        <v>0</v>
      </c>
      <c r="J504" t="n">
        <v>0</v>
      </c>
      <c r="K504" t="n">
        <v>0</v>
      </c>
      <c r="L504" t="n">
        <v>0</v>
      </c>
      <c r="M504" t="n">
        <v>0</v>
      </c>
      <c r="N504" t="n">
        <v>0</v>
      </c>
      <c r="O504" t="n">
        <v>0</v>
      </c>
      <c r="P504" t="n">
        <v>0</v>
      </c>
      <c r="Q504" t="n">
        <v>0</v>
      </c>
      <c r="R504" s="2" t="inlineStr"/>
    </row>
    <row r="505" ht="15" customHeight="1">
      <c r="A505" t="inlineStr">
        <is>
          <t>A 20730-2024</t>
        </is>
      </c>
      <c r="B505" s="1" t="n">
        <v>45436</v>
      </c>
      <c r="C505" s="1" t="n">
        <v>45895</v>
      </c>
      <c r="D505" t="inlineStr">
        <is>
          <t>STOCKHOLMS LÄN</t>
        </is>
      </c>
      <c r="E505" t="inlineStr">
        <is>
          <t>NORRTÄLJE</t>
        </is>
      </c>
      <c r="G505" t="n">
        <v>7.3</v>
      </c>
      <c r="H505" t="n">
        <v>0</v>
      </c>
      <c r="I505" t="n">
        <v>0</v>
      </c>
      <c r="J505" t="n">
        <v>0</v>
      </c>
      <c r="K505" t="n">
        <v>0</v>
      </c>
      <c r="L505" t="n">
        <v>0</v>
      </c>
      <c r="M505" t="n">
        <v>0</v>
      </c>
      <c r="N505" t="n">
        <v>0</v>
      </c>
      <c r="O505" t="n">
        <v>0</v>
      </c>
      <c r="P505" t="n">
        <v>0</v>
      </c>
      <c r="Q505" t="n">
        <v>0</v>
      </c>
      <c r="R505" s="2" t="inlineStr"/>
    </row>
    <row r="506" ht="15" customHeight="1">
      <c r="A506" t="inlineStr">
        <is>
          <t>A 33175-2024</t>
        </is>
      </c>
      <c r="B506" s="1" t="n">
        <v>45518</v>
      </c>
      <c r="C506" s="1" t="n">
        <v>45895</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13283-2025</t>
        </is>
      </c>
      <c r="B507" s="1" t="n">
        <v>45735</v>
      </c>
      <c r="C507" s="1" t="n">
        <v>45895</v>
      </c>
      <c r="D507" t="inlineStr">
        <is>
          <t>STOCKHOLMS LÄN</t>
        </is>
      </c>
      <c r="E507" t="inlineStr">
        <is>
          <t>NORRTÄLJE</t>
        </is>
      </c>
      <c r="G507" t="n">
        <v>4.9</v>
      </c>
      <c r="H507" t="n">
        <v>0</v>
      </c>
      <c r="I507" t="n">
        <v>0</v>
      </c>
      <c r="J507" t="n">
        <v>0</v>
      </c>
      <c r="K507" t="n">
        <v>0</v>
      </c>
      <c r="L507" t="n">
        <v>0</v>
      </c>
      <c r="M507" t="n">
        <v>0</v>
      </c>
      <c r="N507" t="n">
        <v>0</v>
      </c>
      <c r="O507" t="n">
        <v>0</v>
      </c>
      <c r="P507" t="n">
        <v>0</v>
      </c>
      <c r="Q507" t="n">
        <v>0</v>
      </c>
      <c r="R507" s="2" t="inlineStr"/>
    </row>
    <row r="508" ht="15" customHeight="1">
      <c r="A508" t="inlineStr">
        <is>
          <t>A 57987-2020</t>
        </is>
      </c>
      <c r="B508" s="1" t="n">
        <v>44143</v>
      </c>
      <c r="C508" s="1" t="n">
        <v>45895</v>
      </c>
      <c r="D508" t="inlineStr">
        <is>
          <t>STOCKHOLMS LÄN</t>
        </is>
      </c>
      <c r="E508" t="inlineStr">
        <is>
          <t>NORRTÄLJE</t>
        </is>
      </c>
      <c r="G508" t="n">
        <v>1.3</v>
      </c>
      <c r="H508" t="n">
        <v>0</v>
      </c>
      <c r="I508" t="n">
        <v>0</v>
      </c>
      <c r="J508" t="n">
        <v>0</v>
      </c>
      <c r="K508" t="n">
        <v>0</v>
      </c>
      <c r="L508" t="n">
        <v>0</v>
      </c>
      <c r="M508" t="n">
        <v>0</v>
      </c>
      <c r="N508" t="n">
        <v>0</v>
      </c>
      <c r="O508" t="n">
        <v>0</v>
      </c>
      <c r="P508" t="n">
        <v>0</v>
      </c>
      <c r="Q508" t="n">
        <v>0</v>
      </c>
      <c r="R508" s="2" t="inlineStr"/>
    </row>
    <row r="509" ht="15" customHeight="1">
      <c r="A509" t="inlineStr">
        <is>
          <t>A 32595-2023</t>
        </is>
      </c>
      <c r="B509" s="1" t="n">
        <v>45121</v>
      </c>
      <c r="C509" s="1" t="n">
        <v>45895</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58302-2022</t>
        </is>
      </c>
      <c r="B510" s="1" t="n">
        <v>44901</v>
      </c>
      <c r="C510" s="1" t="n">
        <v>45895</v>
      </c>
      <c r="D510" t="inlineStr">
        <is>
          <t>STOCKHOLMS LÄN</t>
        </is>
      </c>
      <c r="E510" t="inlineStr">
        <is>
          <t>NORRTÄLJE</t>
        </is>
      </c>
      <c r="G510" t="n">
        <v>3.9</v>
      </c>
      <c r="H510" t="n">
        <v>0</v>
      </c>
      <c r="I510" t="n">
        <v>0</v>
      </c>
      <c r="J510" t="n">
        <v>0</v>
      </c>
      <c r="K510" t="n">
        <v>0</v>
      </c>
      <c r="L510" t="n">
        <v>0</v>
      </c>
      <c r="M510" t="n">
        <v>0</v>
      </c>
      <c r="N510" t="n">
        <v>0</v>
      </c>
      <c r="O510" t="n">
        <v>0</v>
      </c>
      <c r="P510" t="n">
        <v>0</v>
      </c>
      <c r="Q510" t="n">
        <v>0</v>
      </c>
      <c r="R510" s="2" t="inlineStr"/>
    </row>
    <row r="511" ht="15" customHeight="1">
      <c r="A511" t="inlineStr">
        <is>
          <t>A 27831-2024</t>
        </is>
      </c>
      <c r="B511" s="1" t="n">
        <v>45475.61896990741</v>
      </c>
      <c r="C511" s="1" t="n">
        <v>45895</v>
      </c>
      <c r="D511" t="inlineStr">
        <is>
          <t>STOCKHOLMS LÄN</t>
        </is>
      </c>
      <c r="E511" t="inlineStr">
        <is>
          <t>NORRTÄLJE</t>
        </is>
      </c>
      <c r="G511" t="n">
        <v>3.8</v>
      </c>
      <c r="H511" t="n">
        <v>0</v>
      </c>
      <c r="I511" t="n">
        <v>0</v>
      </c>
      <c r="J511" t="n">
        <v>0</v>
      </c>
      <c r="K511" t="n">
        <v>0</v>
      </c>
      <c r="L511" t="n">
        <v>0</v>
      </c>
      <c r="M511" t="n">
        <v>0</v>
      </c>
      <c r="N511" t="n">
        <v>0</v>
      </c>
      <c r="O511" t="n">
        <v>0</v>
      </c>
      <c r="P511" t="n">
        <v>0</v>
      </c>
      <c r="Q511" t="n">
        <v>0</v>
      </c>
      <c r="R511" s="2" t="inlineStr"/>
    </row>
    <row r="512" ht="15" customHeight="1">
      <c r="A512" t="inlineStr">
        <is>
          <t>A 11332-2025</t>
        </is>
      </c>
      <c r="B512" s="1" t="n">
        <v>45726.48152777777</v>
      </c>
      <c r="C512" s="1" t="n">
        <v>45895</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4860-2022</t>
        </is>
      </c>
      <c r="B513" s="1" t="n">
        <v>44592</v>
      </c>
      <c r="C513" s="1" t="n">
        <v>45895</v>
      </c>
      <c r="D513" t="inlineStr">
        <is>
          <t>STOCKHOLMS LÄN</t>
        </is>
      </c>
      <c r="E513" t="inlineStr">
        <is>
          <t>NORRTÄLJE</t>
        </is>
      </c>
      <c r="G513" t="n">
        <v>22.3</v>
      </c>
      <c r="H513" t="n">
        <v>0</v>
      </c>
      <c r="I513" t="n">
        <v>0</v>
      </c>
      <c r="J513" t="n">
        <v>0</v>
      </c>
      <c r="K513" t="n">
        <v>0</v>
      </c>
      <c r="L513" t="n">
        <v>0</v>
      </c>
      <c r="M513" t="n">
        <v>0</v>
      </c>
      <c r="N513" t="n">
        <v>0</v>
      </c>
      <c r="O513" t="n">
        <v>0</v>
      </c>
      <c r="P513" t="n">
        <v>0</v>
      </c>
      <c r="Q513" t="n">
        <v>0</v>
      </c>
      <c r="R513" s="2" t="inlineStr"/>
    </row>
    <row r="514" ht="15" customHeight="1">
      <c r="A514" t="inlineStr">
        <is>
          <t>A 10557-2025</t>
        </is>
      </c>
      <c r="B514" s="1" t="n">
        <v>45721</v>
      </c>
      <c r="C514" s="1" t="n">
        <v>45895</v>
      </c>
      <c r="D514" t="inlineStr">
        <is>
          <t>STOCKHOLMS LÄN</t>
        </is>
      </c>
      <c r="E514" t="inlineStr">
        <is>
          <t>NORRTÄLJE</t>
        </is>
      </c>
      <c r="G514" t="n">
        <v>3.8</v>
      </c>
      <c r="H514" t="n">
        <v>0</v>
      </c>
      <c r="I514" t="n">
        <v>0</v>
      </c>
      <c r="J514" t="n">
        <v>0</v>
      </c>
      <c r="K514" t="n">
        <v>0</v>
      </c>
      <c r="L514" t="n">
        <v>0</v>
      </c>
      <c r="M514" t="n">
        <v>0</v>
      </c>
      <c r="N514" t="n">
        <v>0</v>
      </c>
      <c r="O514" t="n">
        <v>0</v>
      </c>
      <c r="P514" t="n">
        <v>0</v>
      </c>
      <c r="Q514" t="n">
        <v>0</v>
      </c>
      <c r="R514" s="2" t="inlineStr"/>
    </row>
    <row r="515" ht="15" customHeight="1">
      <c r="A515" t="inlineStr">
        <is>
          <t>A 23269-2023</t>
        </is>
      </c>
      <c r="B515" s="1" t="n">
        <v>45075.91148148148</v>
      </c>
      <c r="C515" s="1" t="n">
        <v>45895</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13718-2022</t>
        </is>
      </c>
      <c r="B516" s="1" t="n">
        <v>44649</v>
      </c>
      <c r="C516" s="1" t="n">
        <v>45895</v>
      </c>
      <c r="D516" t="inlineStr">
        <is>
          <t>STOCKHOLMS LÄN</t>
        </is>
      </c>
      <c r="E516" t="inlineStr">
        <is>
          <t>NORRTÄLJE</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61363-2020</t>
        </is>
      </c>
      <c r="B517" s="1" t="n">
        <v>44155.69458333333</v>
      </c>
      <c r="C517" s="1" t="n">
        <v>45895</v>
      </c>
      <c r="D517" t="inlineStr">
        <is>
          <t>STOCKHOLMS LÄN</t>
        </is>
      </c>
      <c r="E517" t="inlineStr">
        <is>
          <t>NORRTÄLJE</t>
        </is>
      </c>
      <c r="G517" t="n">
        <v>2.3</v>
      </c>
      <c r="H517" t="n">
        <v>0</v>
      </c>
      <c r="I517" t="n">
        <v>0</v>
      </c>
      <c r="J517" t="n">
        <v>0</v>
      </c>
      <c r="K517" t="n">
        <v>0</v>
      </c>
      <c r="L517" t="n">
        <v>0</v>
      </c>
      <c r="M517" t="n">
        <v>0</v>
      </c>
      <c r="N517" t="n">
        <v>0</v>
      </c>
      <c r="O517" t="n">
        <v>0</v>
      </c>
      <c r="P517" t="n">
        <v>0</v>
      </c>
      <c r="Q517" t="n">
        <v>0</v>
      </c>
      <c r="R517" s="2" t="inlineStr"/>
    </row>
    <row r="518" ht="15" customHeight="1">
      <c r="A518" t="inlineStr">
        <is>
          <t>A 23060-2023</t>
        </is>
      </c>
      <c r="B518" s="1" t="n">
        <v>45075</v>
      </c>
      <c r="C518" s="1" t="n">
        <v>45895</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58661-2020</t>
        </is>
      </c>
      <c r="B519" s="1" t="n">
        <v>44145</v>
      </c>
      <c r="C519" s="1" t="n">
        <v>45895</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52743-2024</t>
        </is>
      </c>
      <c r="B520" s="1" t="n">
        <v>45610.47414351852</v>
      </c>
      <c r="C520" s="1" t="n">
        <v>45895</v>
      </c>
      <c r="D520" t="inlineStr">
        <is>
          <t>STOCKHOLMS LÄN</t>
        </is>
      </c>
      <c r="E520" t="inlineStr">
        <is>
          <t>NORRTÄLJE</t>
        </is>
      </c>
      <c r="G520" t="n">
        <v>1.5</v>
      </c>
      <c r="H520" t="n">
        <v>0</v>
      </c>
      <c r="I520" t="n">
        <v>0</v>
      </c>
      <c r="J520" t="n">
        <v>0</v>
      </c>
      <c r="K520" t="n">
        <v>0</v>
      </c>
      <c r="L520" t="n">
        <v>0</v>
      </c>
      <c r="M520" t="n">
        <v>0</v>
      </c>
      <c r="N520" t="n">
        <v>0</v>
      </c>
      <c r="O520" t="n">
        <v>0</v>
      </c>
      <c r="P520" t="n">
        <v>0</v>
      </c>
      <c r="Q520" t="n">
        <v>0</v>
      </c>
      <c r="R520" s="2" t="inlineStr"/>
    </row>
    <row r="521" ht="15" customHeight="1">
      <c r="A521" t="inlineStr">
        <is>
          <t>A 21803-2022</t>
        </is>
      </c>
      <c r="B521" s="1" t="n">
        <v>44708.67822916667</v>
      </c>
      <c r="C521" s="1" t="n">
        <v>45895</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33279-2025</t>
        </is>
      </c>
      <c r="B522" s="1" t="n">
        <v>45840.70885416667</v>
      </c>
      <c r="C522" s="1" t="n">
        <v>45895</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24687-2025</t>
        </is>
      </c>
      <c r="B523" s="1" t="n">
        <v>45798.66767361111</v>
      </c>
      <c r="C523" s="1" t="n">
        <v>45895</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22359-2025</t>
        </is>
      </c>
      <c r="B524" s="1" t="n">
        <v>45786</v>
      </c>
      <c r="C524" s="1" t="n">
        <v>45895</v>
      </c>
      <c r="D524" t="inlineStr">
        <is>
          <t>STOCKHOLMS LÄN</t>
        </is>
      </c>
      <c r="E524" t="inlineStr">
        <is>
          <t>NORRTÄLJE</t>
        </is>
      </c>
      <c r="G524" t="n">
        <v>5</v>
      </c>
      <c r="H524" t="n">
        <v>0</v>
      </c>
      <c r="I524" t="n">
        <v>0</v>
      </c>
      <c r="J524" t="n">
        <v>0</v>
      </c>
      <c r="K524" t="n">
        <v>0</v>
      </c>
      <c r="L524" t="n">
        <v>0</v>
      </c>
      <c r="M524" t="n">
        <v>0</v>
      </c>
      <c r="N524" t="n">
        <v>0</v>
      </c>
      <c r="O524" t="n">
        <v>0</v>
      </c>
      <c r="P524" t="n">
        <v>0</v>
      </c>
      <c r="Q524" t="n">
        <v>0</v>
      </c>
      <c r="R524" s="2" t="inlineStr"/>
    </row>
    <row r="525" ht="15" customHeight="1">
      <c r="A525" t="inlineStr">
        <is>
          <t>A 11499-2023</t>
        </is>
      </c>
      <c r="B525" s="1" t="n">
        <v>44993.66707175926</v>
      </c>
      <c r="C525" s="1" t="n">
        <v>45895</v>
      </c>
      <c r="D525" t="inlineStr">
        <is>
          <t>STOCKHOLMS LÄN</t>
        </is>
      </c>
      <c r="E525" t="inlineStr">
        <is>
          <t>NORRTÄLJE</t>
        </is>
      </c>
      <c r="F525" t="inlineStr">
        <is>
          <t>Holmen skog AB</t>
        </is>
      </c>
      <c r="G525" t="n">
        <v>2.8</v>
      </c>
      <c r="H525" t="n">
        <v>0</v>
      </c>
      <c r="I525" t="n">
        <v>0</v>
      </c>
      <c r="J525" t="n">
        <v>0</v>
      </c>
      <c r="K525" t="n">
        <v>0</v>
      </c>
      <c r="L525" t="n">
        <v>0</v>
      </c>
      <c r="M525" t="n">
        <v>0</v>
      </c>
      <c r="N525" t="n">
        <v>0</v>
      </c>
      <c r="O525" t="n">
        <v>0</v>
      </c>
      <c r="P525" t="n">
        <v>0</v>
      </c>
      <c r="Q525" t="n">
        <v>0</v>
      </c>
      <c r="R525" s="2" t="inlineStr"/>
    </row>
    <row r="526" ht="15" customHeight="1">
      <c r="A526" t="inlineStr">
        <is>
          <t>A 53652-2020</t>
        </is>
      </c>
      <c r="B526" s="1" t="n">
        <v>44124</v>
      </c>
      <c r="C526" s="1" t="n">
        <v>45895</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64600-2021</t>
        </is>
      </c>
      <c r="B527" s="1" t="n">
        <v>44511.70518518519</v>
      </c>
      <c r="C527" s="1" t="n">
        <v>45895</v>
      </c>
      <c r="D527" t="inlineStr">
        <is>
          <t>STOCKHOLMS LÄN</t>
        </is>
      </c>
      <c r="E527" t="inlineStr">
        <is>
          <t>NORRTÄLJE</t>
        </is>
      </c>
      <c r="G527" t="n">
        <v>6.2</v>
      </c>
      <c r="H527" t="n">
        <v>0</v>
      </c>
      <c r="I527" t="n">
        <v>0</v>
      </c>
      <c r="J527" t="n">
        <v>0</v>
      </c>
      <c r="K527" t="n">
        <v>0</v>
      </c>
      <c r="L527" t="n">
        <v>0</v>
      </c>
      <c r="M527" t="n">
        <v>0</v>
      </c>
      <c r="N527" t="n">
        <v>0</v>
      </c>
      <c r="O527" t="n">
        <v>0</v>
      </c>
      <c r="P527" t="n">
        <v>0</v>
      </c>
      <c r="Q527" t="n">
        <v>0</v>
      </c>
      <c r="R527" s="2" t="inlineStr"/>
    </row>
    <row r="528" ht="15" customHeight="1">
      <c r="A528" t="inlineStr">
        <is>
          <t>A 35640-2024</t>
        </is>
      </c>
      <c r="B528" s="1" t="n">
        <v>45531</v>
      </c>
      <c r="C528" s="1" t="n">
        <v>45895</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54259-2023</t>
        </is>
      </c>
      <c r="B529" s="1" t="n">
        <v>45232</v>
      </c>
      <c r="C529" s="1" t="n">
        <v>45895</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13171-2025</t>
        </is>
      </c>
      <c r="B530" s="1" t="n">
        <v>45735.36594907408</v>
      </c>
      <c r="C530" s="1" t="n">
        <v>45895</v>
      </c>
      <c r="D530" t="inlineStr">
        <is>
          <t>STOCKHOLMS LÄN</t>
        </is>
      </c>
      <c r="E530" t="inlineStr">
        <is>
          <t>NORRTÄLJE</t>
        </is>
      </c>
      <c r="G530" t="n">
        <v>5.1</v>
      </c>
      <c r="H530" t="n">
        <v>0</v>
      </c>
      <c r="I530" t="n">
        <v>0</v>
      </c>
      <c r="J530" t="n">
        <v>0</v>
      </c>
      <c r="K530" t="n">
        <v>0</v>
      </c>
      <c r="L530" t="n">
        <v>0</v>
      </c>
      <c r="M530" t="n">
        <v>0</v>
      </c>
      <c r="N530" t="n">
        <v>0</v>
      </c>
      <c r="O530" t="n">
        <v>0</v>
      </c>
      <c r="P530" t="n">
        <v>0</v>
      </c>
      <c r="Q530" t="n">
        <v>0</v>
      </c>
      <c r="R530" s="2" t="inlineStr"/>
    </row>
    <row r="531" ht="15" customHeight="1">
      <c r="A531" t="inlineStr">
        <is>
          <t>A 12299-2025</t>
        </is>
      </c>
      <c r="B531" s="1" t="n">
        <v>45729.71065972222</v>
      </c>
      <c r="C531" s="1" t="n">
        <v>45895</v>
      </c>
      <c r="D531" t="inlineStr">
        <is>
          <t>STOCKHOLMS LÄN</t>
        </is>
      </c>
      <c r="E531" t="inlineStr">
        <is>
          <t>NORRTÄLJE</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8586-2023</t>
        </is>
      </c>
      <c r="B532" s="1" t="n">
        <v>44977</v>
      </c>
      <c r="C532" s="1" t="n">
        <v>45895</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11900-2024</t>
        </is>
      </c>
      <c r="B533" s="1" t="n">
        <v>45376.55484953704</v>
      </c>
      <c r="C533" s="1" t="n">
        <v>45895</v>
      </c>
      <c r="D533" t="inlineStr">
        <is>
          <t>STOCKHOLMS LÄN</t>
        </is>
      </c>
      <c r="E533" t="inlineStr">
        <is>
          <t>NORRTÄLJE</t>
        </is>
      </c>
      <c r="G533" t="n">
        <v>4.2</v>
      </c>
      <c r="H533" t="n">
        <v>0</v>
      </c>
      <c r="I533" t="n">
        <v>0</v>
      </c>
      <c r="J533" t="n">
        <v>0</v>
      </c>
      <c r="K533" t="n">
        <v>0</v>
      </c>
      <c r="L533" t="n">
        <v>0</v>
      </c>
      <c r="M533" t="n">
        <v>0</v>
      </c>
      <c r="N533" t="n">
        <v>0</v>
      </c>
      <c r="O533" t="n">
        <v>0</v>
      </c>
      <c r="P533" t="n">
        <v>0</v>
      </c>
      <c r="Q533" t="n">
        <v>0</v>
      </c>
      <c r="R533" s="2" t="inlineStr"/>
    </row>
    <row r="534" ht="15" customHeight="1">
      <c r="A534" t="inlineStr">
        <is>
          <t>A 67990-2021</t>
        </is>
      </c>
      <c r="B534" s="1" t="n">
        <v>44525</v>
      </c>
      <c r="C534" s="1" t="n">
        <v>45895</v>
      </c>
      <c r="D534" t="inlineStr">
        <is>
          <t>STOCKHOLMS LÄN</t>
        </is>
      </c>
      <c r="E534" t="inlineStr">
        <is>
          <t>NORRTÄLJE</t>
        </is>
      </c>
      <c r="F534" t="inlineStr">
        <is>
          <t>Sveaskog</t>
        </is>
      </c>
      <c r="G534" t="n">
        <v>7.8</v>
      </c>
      <c r="H534" t="n">
        <v>0</v>
      </c>
      <c r="I534" t="n">
        <v>0</v>
      </c>
      <c r="J534" t="n">
        <v>0</v>
      </c>
      <c r="K534" t="n">
        <v>0</v>
      </c>
      <c r="L534" t="n">
        <v>0</v>
      </c>
      <c r="M534" t="n">
        <v>0</v>
      </c>
      <c r="N534" t="n">
        <v>0</v>
      </c>
      <c r="O534" t="n">
        <v>0</v>
      </c>
      <c r="P534" t="n">
        <v>0</v>
      </c>
      <c r="Q534" t="n">
        <v>0</v>
      </c>
      <c r="R534" s="2" t="inlineStr"/>
    </row>
    <row r="535" ht="15" customHeight="1">
      <c r="A535" t="inlineStr">
        <is>
          <t>A 24690-2025</t>
        </is>
      </c>
      <c r="B535" s="1" t="n">
        <v>45798.67082175926</v>
      </c>
      <c r="C535" s="1" t="n">
        <v>45895</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39854-2022</t>
        </is>
      </c>
      <c r="B536" s="1" t="n">
        <v>44819</v>
      </c>
      <c r="C536" s="1" t="n">
        <v>45895</v>
      </c>
      <c r="D536" t="inlineStr">
        <is>
          <t>STOCKHOLMS LÄN</t>
        </is>
      </c>
      <c r="E536" t="inlineStr">
        <is>
          <t>NORRTÄLJE</t>
        </is>
      </c>
      <c r="G536" t="n">
        <v>4.4</v>
      </c>
      <c r="H536" t="n">
        <v>0</v>
      </c>
      <c r="I536" t="n">
        <v>0</v>
      </c>
      <c r="J536" t="n">
        <v>0</v>
      </c>
      <c r="K536" t="n">
        <v>0</v>
      </c>
      <c r="L536" t="n">
        <v>0</v>
      </c>
      <c r="M536" t="n">
        <v>0</v>
      </c>
      <c r="N536" t="n">
        <v>0</v>
      </c>
      <c r="O536" t="n">
        <v>0</v>
      </c>
      <c r="P536" t="n">
        <v>0</v>
      </c>
      <c r="Q536" t="n">
        <v>0</v>
      </c>
      <c r="R536" s="2" t="inlineStr"/>
    </row>
    <row r="537" ht="15" customHeight="1">
      <c r="A537" t="inlineStr">
        <is>
          <t>A 24638-2025</t>
        </is>
      </c>
      <c r="B537" s="1" t="n">
        <v>45798</v>
      </c>
      <c r="C537" s="1" t="n">
        <v>45895</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24683-2025</t>
        </is>
      </c>
      <c r="B538" s="1" t="n">
        <v>45798.66104166667</v>
      </c>
      <c r="C538" s="1" t="n">
        <v>45895</v>
      </c>
      <c r="D538" t="inlineStr">
        <is>
          <t>STOCKHOLMS LÄN</t>
        </is>
      </c>
      <c r="E538" t="inlineStr">
        <is>
          <t>NORRTÄLJE</t>
        </is>
      </c>
      <c r="G538" t="n">
        <v>7.9</v>
      </c>
      <c r="H538" t="n">
        <v>0</v>
      </c>
      <c r="I538" t="n">
        <v>0</v>
      </c>
      <c r="J538" t="n">
        <v>0</v>
      </c>
      <c r="K538" t="n">
        <v>0</v>
      </c>
      <c r="L538" t="n">
        <v>0</v>
      </c>
      <c r="M538" t="n">
        <v>0</v>
      </c>
      <c r="N538" t="n">
        <v>0</v>
      </c>
      <c r="O538" t="n">
        <v>0</v>
      </c>
      <c r="P538" t="n">
        <v>0</v>
      </c>
      <c r="Q538" t="n">
        <v>0</v>
      </c>
      <c r="R538" s="2" t="inlineStr"/>
    </row>
    <row r="539" ht="15" customHeight="1">
      <c r="A539" t="inlineStr">
        <is>
          <t>A 24351-2025</t>
        </is>
      </c>
      <c r="B539" s="1" t="n">
        <v>45797.58399305555</v>
      </c>
      <c r="C539" s="1" t="n">
        <v>45895</v>
      </c>
      <c r="D539" t="inlineStr">
        <is>
          <t>STOCKHOLMS LÄN</t>
        </is>
      </c>
      <c r="E539" t="inlineStr">
        <is>
          <t>NORRTÄLJE</t>
        </is>
      </c>
      <c r="G539" t="n">
        <v>1.5</v>
      </c>
      <c r="H539" t="n">
        <v>0</v>
      </c>
      <c r="I539" t="n">
        <v>0</v>
      </c>
      <c r="J539" t="n">
        <v>0</v>
      </c>
      <c r="K539" t="n">
        <v>0</v>
      </c>
      <c r="L539" t="n">
        <v>0</v>
      </c>
      <c r="M539" t="n">
        <v>0</v>
      </c>
      <c r="N539" t="n">
        <v>0</v>
      </c>
      <c r="O539" t="n">
        <v>0</v>
      </c>
      <c r="P539" t="n">
        <v>0</v>
      </c>
      <c r="Q539" t="n">
        <v>0</v>
      </c>
      <c r="R539" s="2" t="inlineStr"/>
    </row>
    <row r="540" ht="15" customHeight="1">
      <c r="A540" t="inlineStr">
        <is>
          <t>A 13137-2024</t>
        </is>
      </c>
      <c r="B540" s="1" t="n">
        <v>45386.34175925926</v>
      </c>
      <c r="C540" s="1" t="n">
        <v>45895</v>
      </c>
      <c r="D540" t="inlineStr">
        <is>
          <t>STOCKHOLMS LÄN</t>
        </is>
      </c>
      <c r="E540" t="inlineStr">
        <is>
          <t>NORRTÄLJE</t>
        </is>
      </c>
      <c r="G540" t="n">
        <v>5</v>
      </c>
      <c r="H540" t="n">
        <v>0</v>
      </c>
      <c r="I540" t="n">
        <v>0</v>
      </c>
      <c r="J540" t="n">
        <v>0</v>
      </c>
      <c r="K540" t="n">
        <v>0</v>
      </c>
      <c r="L540" t="n">
        <v>0</v>
      </c>
      <c r="M540" t="n">
        <v>0</v>
      </c>
      <c r="N540" t="n">
        <v>0</v>
      </c>
      <c r="O540" t="n">
        <v>0</v>
      </c>
      <c r="P540" t="n">
        <v>0</v>
      </c>
      <c r="Q540" t="n">
        <v>0</v>
      </c>
      <c r="R540" s="2" t="inlineStr"/>
    </row>
    <row r="541" ht="15" customHeight="1">
      <c r="A541" t="inlineStr">
        <is>
          <t>A 43300-2023</t>
        </is>
      </c>
      <c r="B541" s="1" t="n">
        <v>45183</v>
      </c>
      <c r="C541" s="1" t="n">
        <v>45895</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13276-2022</t>
        </is>
      </c>
      <c r="B542" s="1" t="n">
        <v>44644</v>
      </c>
      <c r="C542" s="1" t="n">
        <v>45895</v>
      </c>
      <c r="D542" t="inlineStr">
        <is>
          <t>STOCKHOLMS LÄN</t>
        </is>
      </c>
      <c r="E542" t="inlineStr">
        <is>
          <t>NORRTÄLJE</t>
        </is>
      </c>
      <c r="G542" t="n">
        <v>0.7</v>
      </c>
      <c r="H542" t="n">
        <v>0</v>
      </c>
      <c r="I542" t="n">
        <v>0</v>
      </c>
      <c r="J542" t="n">
        <v>0</v>
      </c>
      <c r="K542" t="n">
        <v>0</v>
      </c>
      <c r="L542" t="n">
        <v>0</v>
      </c>
      <c r="M542" t="n">
        <v>0</v>
      </c>
      <c r="N542" t="n">
        <v>0</v>
      </c>
      <c r="O542" t="n">
        <v>0</v>
      </c>
      <c r="P542" t="n">
        <v>0</v>
      </c>
      <c r="Q542" t="n">
        <v>0</v>
      </c>
      <c r="R542" s="2" t="inlineStr"/>
    </row>
    <row r="543" ht="15" customHeight="1">
      <c r="A543" t="inlineStr">
        <is>
          <t>A 11900-2022</t>
        </is>
      </c>
      <c r="B543" s="1" t="n">
        <v>44635</v>
      </c>
      <c r="C543" s="1" t="n">
        <v>45895</v>
      </c>
      <c r="D543" t="inlineStr">
        <is>
          <t>STOCKHOLMS LÄN</t>
        </is>
      </c>
      <c r="E543" t="inlineStr">
        <is>
          <t>NORRTÄLJE</t>
        </is>
      </c>
      <c r="G543" t="n">
        <v>2.4</v>
      </c>
      <c r="H543" t="n">
        <v>0</v>
      </c>
      <c r="I543" t="n">
        <v>0</v>
      </c>
      <c r="J543" t="n">
        <v>0</v>
      </c>
      <c r="K543" t="n">
        <v>0</v>
      </c>
      <c r="L543" t="n">
        <v>0</v>
      </c>
      <c r="M543" t="n">
        <v>0</v>
      </c>
      <c r="N543" t="n">
        <v>0</v>
      </c>
      <c r="O543" t="n">
        <v>0</v>
      </c>
      <c r="P543" t="n">
        <v>0</v>
      </c>
      <c r="Q543" t="n">
        <v>0</v>
      </c>
      <c r="R543" s="2" t="inlineStr"/>
    </row>
    <row r="544" ht="15" customHeight="1">
      <c r="A544" t="inlineStr">
        <is>
          <t>A 14724-2022</t>
        </is>
      </c>
      <c r="B544" s="1" t="n">
        <v>44656</v>
      </c>
      <c r="C544" s="1" t="n">
        <v>45895</v>
      </c>
      <c r="D544" t="inlineStr">
        <is>
          <t>STOCKHOLMS LÄN</t>
        </is>
      </c>
      <c r="E544" t="inlineStr">
        <is>
          <t>NORRTÄLJE</t>
        </is>
      </c>
      <c r="F544" t="inlineStr">
        <is>
          <t>Sveaskog</t>
        </is>
      </c>
      <c r="G544" t="n">
        <v>9</v>
      </c>
      <c r="H544" t="n">
        <v>0</v>
      </c>
      <c r="I544" t="n">
        <v>0</v>
      </c>
      <c r="J544" t="n">
        <v>0</v>
      </c>
      <c r="K544" t="n">
        <v>0</v>
      </c>
      <c r="L544" t="n">
        <v>0</v>
      </c>
      <c r="M544" t="n">
        <v>0</v>
      </c>
      <c r="N544" t="n">
        <v>0</v>
      </c>
      <c r="O544" t="n">
        <v>0</v>
      </c>
      <c r="P544" t="n">
        <v>0</v>
      </c>
      <c r="Q544" t="n">
        <v>0</v>
      </c>
      <c r="R544" s="2" t="inlineStr"/>
    </row>
    <row r="545" ht="15" customHeight="1">
      <c r="A545" t="inlineStr">
        <is>
          <t>A 21696-2024</t>
        </is>
      </c>
      <c r="B545" s="1" t="n">
        <v>45442.45686342593</v>
      </c>
      <c r="C545" s="1" t="n">
        <v>45895</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4580-2025</t>
        </is>
      </c>
      <c r="B546" s="1" t="n">
        <v>45687.5038425926</v>
      </c>
      <c r="C546" s="1" t="n">
        <v>45895</v>
      </c>
      <c r="D546" t="inlineStr">
        <is>
          <t>STOCKHOLMS LÄN</t>
        </is>
      </c>
      <c r="E546" t="inlineStr">
        <is>
          <t>NORRTÄLJE</t>
        </is>
      </c>
      <c r="F546" t="inlineStr">
        <is>
          <t>Holmen skog AB</t>
        </is>
      </c>
      <c r="G546" t="n">
        <v>4.8</v>
      </c>
      <c r="H546" t="n">
        <v>0</v>
      </c>
      <c r="I546" t="n">
        <v>0</v>
      </c>
      <c r="J546" t="n">
        <v>0</v>
      </c>
      <c r="K546" t="n">
        <v>0</v>
      </c>
      <c r="L546" t="n">
        <v>0</v>
      </c>
      <c r="M546" t="n">
        <v>0</v>
      </c>
      <c r="N546" t="n">
        <v>0</v>
      </c>
      <c r="O546" t="n">
        <v>0</v>
      </c>
      <c r="P546" t="n">
        <v>0</v>
      </c>
      <c r="Q546" t="n">
        <v>0</v>
      </c>
      <c r="R546" s="2" t="inlineStr"/>
    </row>
    <row r="547" ht="15" customHeight="1">
      <c r="A547" t="inlineStr">
        <is>
          <t>A 37136-2023</t>
        </is>
      </c>
      <c r="B547" s="1" t="n">
        <v>45155</v>
      </c>
      <c r="C547" s="1" t="n">
        <v>45895</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24350-2025</t>
        </is>
      </c>
      <c r="B548" s="1" t="n">
        <v>45797.58350694444</v>
      </c>
      <c r="C548" s="1" t="n">
        <v>45895</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16202-2022</t>
        </is>
      </c>
      <c r="B549" s="1" t="n">
        <v>44670</v>
      </c>
      <c r="C549" s="1" t="n">
        <v>45895</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6003-2025</t>
        </is>
      </c>
      <c r="B550" s="1" t="n">
        <v>45695.57881944445</v>
      </c>
      <c r="C550" s="1" t="n">
        <v>45895</v>
      </c>
      <c r="D550" t="inlineStr">
        <is>
          <t>STOCKHOLMS LÄN</t>
        </is>
      </c>
      <c r="E550" t="inlineStr">
        <is>
          <t>NORRTÄLJE</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52321-2024</t>
        </is>
      </c>
      <c r="B551" s="1" t="n">
        <v>45608</v>
      </c>
      <c r="C551" s="1" t="n">
        <v>45895</v>
      </c>
      <c r="D551" t="inlineStr">
        <is>
          <t>STOCKHOLMS LÄN</t>
        </is>
      </c>
      <c r="E551" t="inlineStr">
        <is>
          <t>NORRTÄLJE</t>
        </is>
      </c>
      <c r="G551" t="n">
        <v>18.1</v>
      </c>
      <c r="H551" t="n">
        <v>0</v>
      </c>
      <c r="I551" t="n">
        <v>0</v>
      </c>
      <c r="J551" t="n">
        <v>0</v>
      </c>
      <c r="K551" t="n">
        <v>0</v>
      </c>
      <c r="L551" t="n">
        <v>0</v>
      </c>
      <c r="M551" t="n">
        <v>0</v>
      </c>
      <c r="N551" t="n">
        <v>0</v>
      </c>
      <c r="O551" t="n">
        <v>0</v>
      </c>
      <c r="P551" t="n">
        <v>0</v>
      </c>
      <c r="Q551" t="n">
        <v>0</v>
      </c>
      <c r="R551" s="2" t="inlineStr"/>
    </row>
    <row r="552" ht="15" customHeight="1">
      <c r="A552" t="inlineStr">
        <is>
          <t>A 1740-2023</t>
        </is>
      </c>
      <c r="B552" s="1" t="n">
        <v>44938</v>
      </c>
      <c r="C552" s="1" t="n">
        <v>45895</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54558-2024</t>
        </is>
      </c>
      <c r="B553" s="1" t="n">
        <v>45617.62358796296</v>
      </c>
      <c r="C553" s="1" t="n">
        <v>45895</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22157-2023</t>
        </is>
      </c>
      <c r="B554" s="1" t="n">
        <v>45069</v>
      </c>
      <c r="C554" s="1" t="n">
        <v>45895</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c r="U554">
        <f>HYPERLINK("https://klasma.github.io/Logging_0188/knärot/A 22157-2023 karta knärot.png", "A 22157-2023")</f>
        <v/>
      </c>
      <c r="V554">
        <f>HYPERLINK("https://klasma.github.io/Logging_0188/klagomål/A 22157-2023 FSC-klagomål.docx", "A 22157-2023")</f>
        <v/>
      </c>
      <c r="W554">
        <f>HYPERLINK("https://klasma.github.io/Logging_0188/klagomålsmail/A 22157-2023 FSC-klagomål mail.docx", "A 22157-2023")</f>
        <v/>
      </c>
      <c r="X554">
        <f>HYPERLINK("https://klasma.github.io/Logging_0188/tillsyn/A 22157-2023 tillsynsbegäran.docx", "A 22157-2023")</f>
        <v/>
      </c>
      <c r="Y554">
        <f>HYPERLINK("https://klasma.github.io/Logging_0188/tillsynsmail/A 22157-2023 tillsynsbegäran mail.docx", "A 22157-2023")</f>
        <v/>
      </c>
    </row>
    <row r="555" ht="15" customHeight="1">
      <c r="A555" t="inlineStr">
        <is>
          <t>A 28603-2024</t>
        </is>
      </c>
      <c r="B555" s="1" t="n">
        <v>45478.42887731481</v>
      </c>
      <c r="C555" s="1" t="n">
        <v>45895</v>
      </c>
      <c r="D555" t="inlineStr">
        <is>
          <t>STOCKHOLMS LÄN</t>
        </is>
      </c>
      <c r="E555" t="inlineStr">
        <is>
          <t>NORRTÄLJE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48633-2023</t>
        </is>
      </c>
      <c r="B556" s="1" t="n">
        <v>45208.58004629629</v>
      </c>
      <c r="C556" s="1" t="n">
        <v>45895</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25702-2025</t>
        </is>
      </c>
      <c r="B557" s="1" t="n">
        <v>45800</v>
      </c>
      <c r="C557" s="1" t="n">
        <v>45895</v>
      </c>
      <c r="D557" t="inlineStr">
        <is>
          <t>STOCKHOLMS LÄN</t>
        </is>
      </c>
      <c r="E557" t="inlineStr">
        <is>
          <t>NORRTÄLJE</t>
        </is>
      </c>
      <c r="G557" t="n">
        <v>5.3</v>
      </c>
      <c r="H557" t="n">
        <v>0</v>
      </c>
      <c r="I557" t="n">
        <v>0</v>
      </c>
      <c r="J557" t="n">
        <v>0</v>
      </c>
      <c r="K557" t="n">
        <v>0</v>
      </c>
      <c r="L557" t="n">
        <v>0</v>
      </c>
      <c r="M557" t="n">
        <v>0</v>
      </c>
      <c r="N557" t="n">
        <v>0</v>
      </c>
      <c r="O557" t="n">
        <v>0</v>
      </c>
      <c r="P557" t="n">
        <v>0</v>
      </c>
      <c r="Q557" t="n">
        <v>0</v>
      </c>
      <c r="R557" s="2" t="inlineStr"/>
    </row>
    <row r="558" ht="15" customHeight="1">
      <c r="A558" t="inlineStr">
        <is>
          <t>A 25709-2025</t>
        </is>
      </c>
      <c r="B558" s="1" t="n">
        <v>45800</v>
      </c>
      <c r="C558" s="1" t="n">
        <v>45895</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25721-2025</t>
        </is>
      </c>
      <c r="B559" s="1" t="n">
        <v>45800</v>
      </c>
      <c r="C559" s="1" t="n">
        <v>45895</v>
      </c>
      <c r="D559" t="inlineStr">
        <is>
          <t>STOCKHOLMS LÄN</t>
        </is>
      </c>
      <c r="E559" t="inlineStr">
        <is>
          <t>NORRTÄLJE</t>
        </is>
      </c>
      <c r="G559" t="n">
        <v>6</v>
      </c>
      <c r="H559" t="n">
        <v>0</v>
      </c>
      <c r="I559" t="n">
        <v>0</v>
      </c>
      <c r="J559" t="n">
        <v>0</v>
      </c>
      <c r="K559" t="n">
        <v>0</v>
      </c>
      <c r="L559" t="n">
        <v>0</v>
      </c>
      <c r="M559" t="n">
        <v>0</v>
      </c>
      <c r="N559" t="n">
        <v>0</v>
      </c>
      <c r="O559" t="n">
        <v>0</v>
      </c>
      <c r="P559" t="n">
        <v>0</v>
      </c>
      <c r="Q559" t="n">
        <v>0</v>
      </c>
      <c r="R559" s="2" t="inlineStr"/>
    </row>
    <row r="560" ht="15" customHeight="1">
      <c r="A560" t="inlineStr">
        <is>
          <t>A 19057-2024</t>
        </is>
      </c>
      <c r="B560" s="1" t="n">
        <v>45427.88731481481</v>
      </c>
      <c r="C560" s="1" t="n">
        <v>45895</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47419-2023</t>
        </is>
      </c>
      <c r="B561" s="1" t="n">
        <v>45202.65660879629</v>
      </c>
      <c r="C561" s="1" t="n">
        <v>45895</v>
      </c>
      <c r="D561" t="inlineStr">
        <is>
          <t>STOCKHOLMS LÄN</t>
        </is>
      </c>
      <c r="E561" t="inlineStr">
        <is>
          <t>NORRTÄLJE</t>
        </is>
      </c>
      <c r="G561" t="n">
        <v>11.4</v>
      </c>
      <c r="H561" t="n">
        <v>0</v>
      </c>
      <c r="I561" t="n">
        <v>0</v>
      </c>
      <c r="J561" t="n">
        <v>0</v>
      </c>
      <c r="K561" t="n">
        <v>0</v>
      </c>
      <c r="L561" t="n">
        <v>0</v>
      </c>
      <c r="M561" t="n">
        <v>0</v>
      </c>
      <c r="N561" t="n">
        <v>0</v>
      </c>
      <c r="O561" t="n">
        <v>0</v>
      </c>
      <c r="P561" t="n">
        <v>0</v>
      </c>
      <c r="Q561" t="n">
        <v>0</v>
      </c>
      <c r="R561" s="2" t="inlineStr"/>
    </row>
    <row r="562" ht="15" customHeight="1">
      <c r="A562" t="inlineStr">
        <is>
          <t>A 652-2025</t>
        </is>
      </c>
      <c r="B562" s="1" t="n">
        <v>45664</v>
      </c>
      <c r="C562" s="1" t="n">
        <v>45895</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24835-2025</t>
        </is>
      </c>
      <c r="B563" s="1" t="n">
        <v>45799</v>
      </c>
      <c r="C563" s="1" t="n">
        <v>45895</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66662-2020</t>
        </is>
      </c>
      <c r="B564" s="1" t="n">
        <v>44179</v>
      </c>
      <c r="C564" s="1" t="n">
        <v>45895</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63824-2020</t>
        </is>
      </c>
      <c r="B565" s="1" t="n">
        <v>44162</v>
      </c>
      <c r="C565" s="1" t="n">
        <v>45895</v>
      </c>
      <c r="D565" t="inlineStr">
        <is>
          <t>STOCKHOLMS LÄN</t>
        </is>
      </c>
      <c r="E565" t="inlineStr">
        <is>
          <t>NORRTÄLJE</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10653-2022</t>
        </is>
      </c>
      <c r="B566" s="1" t="n">
        <v>44624.59434027778</v>
      </c>
      <c r="C566" s="1" t="n">
        <v>45895</v>
      </c>
      <c r="D566" t="inlineStr">
        <is>
          <t>STOCKHOLMS LÄN</t>
        </is>
      </c>
      <c r="E566" t="inlineStr">
        <is>
          <t>NORRTÄLJE</t>
        </is>
      </c>
      <c r="G566" t="n">
        <v>2.3</v>
      </c>
      <c r="H566" t="n">
        <v>0</v>
      </c>
      <c r="I566" t="n">
        <v>0</v>
      </c>
      <c r="J566" t="n">
        <v>0</v>
      </c>
      <c r="K566" t="n">
        <v>0</v>
      </c>
      <c r="L566" t="n">
        <v>0</v>
      </c>
      <c r="M566" t="n">
        <v>0</v>
      </c>
      <c r="N566" t="n">
        <v>0</v>
      </c>
      <c r="O566" t="n">
        <v>0</v>
      </c>
      <c r="P566" t="n">
        <v>0</v>
      </c>
      <c r="Q566" t="n">
        <v>0</v>
      </c>
      <c r="R566" s="2" t="inlineStr"/>
    </row>
    <row r="567" ht="15" customHeight="1">
      <c r="A567" t="inlineStr">
        <is>
          <t>A 5423-2023</t>
        </is>
      </c>
      <c r="B567" s="1" t="n">
        <v>44959.74533564815</v>
      </c>
      <c r="C567" s="1" t="n">
        <v>45895</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25733-2025</t>
        </is>
      </c>
      <c r="B568" s="1" t="n">
        <v>45800</v>
      </c>
      <c r="C568" s="1" t="n">
        <v>45895</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58492-2022</t>
        </is>
      </c>
      <c r="B569" s="1" t="n">
        <v>44902</v>
      </c>
      <c r="C569" s="1" t="n">
        <v>45895</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25725-2025</t>
        </is>
      </c>
      <c r="B570" s="1" t="n">
        <v>45800</v>
      </c>
      <c r="C570" s="1" t="n">
        <v>45895</v>
      </c>
      <c r="D570" t="inlineStr">
        <is>
          <t>STOCKHOLMS LÄN</t>
        </is>
      </c>
      <c r="E570" t="inlineStr">
        <is>
          <t>NORRTÄLJE</t>
        </is>
      </c>
      <c r="G570" t="n">
        <v>5.2</v>
      </c>
      <c r="H570" t="n">
        <v>0</v>
      </c>
      <c r="I570" t="n">
        <v>0</v>
      </c>
      <c r="J570" t="n">
        <v>0</v>
      </c>
      <c r="K570" t="n">
        <v>0</v>
      </c>
      <c r="L570" t="n">
        <v>0</v>
      </c>
      <c r="M570" t="n">
        <v>0</v>
      </c>
      <c r="N570" t="n">
        <v>0</v>
      </c>
      <c r="O570" t="n">
        <v>0</v>
      </c>
      <c r="P570" t="n">
        <v>0</v>
      </c>
      <c r="Q570" t="n">
        <v>0</v>
      </c>
      <c r="R570" s="2" t="inlineStr"/>
    </row>
    <row r="571" ht="15" customHeight="1">
      <c r="A571" t="inlineStr">
        <is>
          <t>A 35695-2023</t>
        </is>
      </c>
      <c r="B571" s="1" t="n">
        <v>45147.65407407407</v>
      </c>
      <c r="C571" s="1" t="n">
        <v>45895</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18665-2022</t>
        </is>
      </c>
      <c r="B572" s="1" t="n">
        <v>44687</v>
      </c>
      <c r="C572" s="1" t="n">
        <v>45895</v>
      </c>
      <c r="D572" t="inlineStr">
        <is>
          <t>STOCKHOLMS LÄN</t>
        </is>
      </c>
      <c r="E572" t="inlineStr">
        <is>
          <t>NORRTÄLJE</t>
        </is>
      </c>
      <c r="F572" t="inlineStr">
        <is>
          <t>Kyrkan</t>
        </is>
      </c>
      <c r="G572" t="n">
        <v>1.1</v>
      </c>
      <c r="H572" t="n">
        <v>0</v>
      </c>
      <c r="I572" t="n">
        <v>0</v>
      </c>
      <c r="J572" t="n">
        <v>0</v>
      </c>
      <c r="K572" t="n">
        <v>0</v>
      </c>
      <c r="L572" t="n">
        <v>0</v>
      </c>
      <c r="M572" t="n">
        <v>0</v>
      </c>
      <c r="N572" t="n">
        <v>0</v>
      </c>
      <c r="O572" t="n">
        <v>0</v>
      </c>
      <c r="P572" t="n">
        <v>0</v>
      </c>
      <c r="Q572" t="n">
        <v>0</v>
      </c>
      <c r="R572" s="2" t="inlineStr"/>
    </row>
    <row r="573" ht="15" customHeight="1">
      <c r="A573" t="inlineStr">
        <is>
          <t>A 25571-2025</t>
        </is>
      </c>
      <c r="B573" s="1" t="n">
        <v>45803.4675</v>
      </c>
      <c r="C573" s="1" t="n">
        <v>45895</v>
      </c>
      <c r="D573" t="inlineStr">
        <is>
          <t>STOCKHOLMS LÄN</t>
        </is>
      </c>
      <c r="E573" t="inlineStr">
        <is>
          <t>NORRTÄLJE</t>
        </is>
      </c>
      <c r="G573" t="n">
        <v>5.4</v>
      </c>
      <c r="H573" t="n">
        <v>0</v>
      </c>
      <c r="I573" t="n">
        <v>0</v>
      </c>
      <c r="J573" t="n">
        <v>0</v>
      </c>
      <c r="K573" t="n">
        <v>0</v>
      </c>
      <c r="L573" t="n">
        <v>0</v>
      </c>
      <c r="M573" t="n">
        <v>0</v>
      </c>
      <c r="N573" t="n">
        <v>0</v>
      </c>
      <c r="O573" t="n">
        <v>0</v>
      </c>
      <c r="P573" t="n">
        <v>0</v>
      </c>
      <c r="Q573" t="n">
        <v>0</v>
      </c>
      <c r="R573" s="2" t="inlineStr"/>
    </row>
    <row r="574" ht="15" customHeight="1">
      <c r="A574" t="inlineStr">
        <is>
          <t>A 13291-2025</t>
        </is>
      </c>
      <c r="B574" s="1" t="n">
        <v>45735</v>
      </c>
      <c r="C574" s="1" t="n">
        <v>45895</v>
      </c>
      <c r="D574" t="inlineStr">
        <is>
          <t>STOCKHOLMS LÄN</t>
        </is>
      </c>
      <c r="E574" t="inlineStr">
        <is>
          <t>NORRTÄLJE</t>
        </is>
      </c>
      <c r="G574" t="n">
        <v>3.8</v>
      </c>
      <c r="H574" t="n">
        <v>0</v>
      </c>
      <c r="I574" t="n">
        <v>0</v>
      </c>
      <c r="J574" t="n">
        <v>0</v>
      </c>
      <c r="K574" t="n">
        <v>0</v>
      </c>
      <c r="L574" t="n">
        <v>0</v>
      </c>
      <c r="M574" t="n">
        <v>0</v>
      </c>
      <c r="N574" t="n">
        <v>0</v>
      </c>
      <c r="O574" t="n">
        <v>0</v>
      </c>
      <c r="P574" t="n">
        <v>0</v>
      </c>
      <c r="Q574" t="n">
        <v>0</v>
      </c>
      <c r="R574" s="2" t="inlineStr"/>
    </row>
    <row r="575" ht="15" customHeight="1">
      <c r="A575" t="inlineStr">
        <is>
          <t>A 17574-2025</t>
        </is>
      </c>
      <c r="B575" s="1" t="n">
        <v>45757.65178240741</v>
      </c>
      <c r="C575" s="1" t="n">
        <v>45895</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20370-2025</t>
        </is>
      </c>
      <c r="B576" s="1" t="n">
        <v>45775.41451388889</v>
      </c>
      <c r="C576" s="1" t="n">
        <v>45895</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53561-2023</t>
        </is>
      </c>
      <c r="B577" s="1" t="n">
        <v>45224</v>
      </c>
      <c r="C577" s="1" t="n">
        <v>45895</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19982-2022</t>
        </is>
      </c>
      <c r="B578" s="1" t="n">
        <v>44697</v>
      </c>
      <c r="C578" s="1" t="n">
        <v>45895</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25270-2025</t>
        </is>
      </c>
      <c r="B579" s="1" t="n">
        <v>45800</v>
      </c>
      <c r="C579" s="1" t="n">
        <v>45895</v>
      </c>
      <c r="D579" t="inlineStr">
        <is>
          <t>STOCKHOLMS LÄN</t>
        </is>
      </c>
      <c r="E579" t="inlineStr">
        <is>
          <t>NORRTÄLJE</t>
        </is>
      </c>
      <c r="F579" t="inlineStr">
        <is>
          <t>Övriga Aktiebolag</t>
        </is>
      </c>
      <c r="G579" t="n">
        <v>30</v>
      </c>
      <c r="H579" t="n">
        <v>0</v>
      </c>
      <c r="I579" t="n">
        <v>0</v>
      </c>
      <c r="J579" t="n">
        <v>0</v>
      </c>
      <c r="K579" t="n">
        <v>0</v>
      </c>
      <c r="L579" t="n">
        <v>0</v>
      </c>
      <c r="M579" t="n">
        <v>0</v>
      </c>
      <c r="N579" t="n">
        <v>0</v>
      </c>
      <c r="O579" t="n">
        <v>0</v>
      </c>
      <c r="P579" t="n">
        <v>0</v>
      </c>
      <c r="Q579" t="n">
        <v>0</v>
      </c>
      <c r="R579" s="2" t="inlineStr"/>
    </row>
    <row r="580" ht="15" customHeight="1">
      <c r="A580" t="inlineStr">
        <is>
          <t>A 25712-2025</t>
        </is>
      </c>
      <c r="B580" s="1" t="n">
        <v>45803.69228009259</v>
      </c>
      <c r="C580" s="1" t="n">
        <v>45895</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4581-2025</t>
        </is>
      </c>
      <c r="B581" s="1" t="n">
        <v>45687</v>
      </c>
      <c r="C581" s="1" t="n">
        <v>45895</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41218-2024</t>
        </is>
      </c>
      <c r="B582" s="1" t="n">
        <v>45559.54706018518</v>
      </c>
      <c r="C582" s="1" t="n">
        <v>45895</v>
      </c>
      <c r="D582" t="inlineStr">
        <is>
          <t>STOCKHOLMS LÄN</t>
        </is>
      </c>
      <c r="E582" t="inlineStr">
        <is>
          <t>NORRTÄLJE</t>
        </is>
      </c>
      <c r="G582" t="n">
        <v>6</v>
      </c>
      <c r="H582" t="n">
        <v>0</v>
      </c>
      <c r="I582" t="n">
        <v>0</v>
      </c>
      <c r="J582" t="n">
        <v>0</v>
      </c>
      <c r="K582" t="n">
        <v>0</v>
      </c>
      <c r="L582" t="n">
        <v>0</v>
      </c>
      <c r="M582" t="n">
        <v>0</v>
      </c>
      <c r="N582" t="n">
        <v>0</v>
      </c>
      <c r="O582" t="n">
        <v>0</v>
      </c>
      <c r="P582" t="n">
        <v>0</v>
      </c>
      <c r="Q582" t="n">
        <v>0</v>
      </c>
      <c r="R582" s="2" t="inlineStr"/>
    </row>
    <row r="583" ht="15" customHeight="1">
      <c r="A583" t="inlineStr">
        <is>
          <t>A 35438-2023</t>
        </is>
      </c>
      <c r="B583" s="1" t="n">
        <v>45146</v>
      </c>
      <c r="C583" s="1" t="n">
        <v>45895</v>
      </c>
      <c r="D583" t="inlineStr">
        <is>
          <t>STOCKHOLMS LÄN</t>
        </is>
      </c>
      <c r="E583" t="inlineStr">
        <is>
          <t>NORRTÄLJE</t>
        </is>
      </c>
      <c r="F583" t="inlineStr">
        <is>
          <t>Kommuner</t>
        </is>
      </c>
      <c r="G583" t="n">
        <v>1.9</v>
      </c>
      <c r="H583" t="n">
        <v>0</v>
      </c>
      <c r="I583" t="n">
        <v>0</v>
      </c>
      <c r="J583" t="n">
        <v>0</v>
      </c>
      <c r="K583" t="n">
        <v>0</v>
      </c>
      <c r="L583" t="n">
        <v>0</v>
      </c>
      <c r="M583" t="n">
        <v>0</v>
      </c>
      <c r="N583" t="n">
        <v>0</v>
      </c>
      <c r="O583" t="n">
        <v>0</v>
      </c>
      <c r="P583" t="n">
        <v>0</v>
      </c>
      <c r="Q583" t="n">
        <v>0</v>
      </c>
      <c r="R583" s="2" t="inlineStr"/>
    </row>
    <row r="584" ht="15" customHeight="1">
      <c r="A584" t="inlineStr">
        <is>
          <t>A 26051-2025</t>
        </is>
      </c>
      <c r="B584" s="1" t="n">
        <v>45804.74479166666</v>
      </c>
      <c r="C584" s="1" t="n">
        <v>45895</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33878-2024</t>
        </is>
      </c>
      <c r="B585" s="1" t="n">
        <v>45522.44414351852</v>
      </c>
      <c r="C585" s="1" t="n">
        <v>45895</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39238-2024</t>
        </is>
      </c>
      <c r="B586" s="1" t="n">
        <v>45549</v>
      </c>
      <c r="C586" s="1" t="n">
        <v>45895</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38449-2022</t>
        </is>
      </c>
      <c r="B587" s="1" t="n">
        <v>44813</v>
      </c>
      <c r="C587" s="1" t="n">
        <v>45895</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25697-2025</t>
        </is>
      </c>
      <c r="B588" s="1" t="n">
        <v>45803.66587962963</v>
      </c>
      <c r="C588" s="1" t="n">
        <v>45895</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36157-2024</t>
        </is>
      </c>
      <c r="B589" s="1" t="n">
        <v>45534.38240740741</v>
      </c>
      <c r="C589" s="1" t="n">
        <v>45895</v>
      </c>
      <c r="D589" t="inlineStr">
        <is>
          <t>STOCKHOLMS LÄN</t>
        </is>
      </c>
      <c r="E589" t="inlineStr">
        <is>
          <t>NORRTÄLJE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62398-2022</t>
        </is>
      </c>
      <c r="B590" s="1" t="n">
        <v>44923.90159722222</v>
      </c>
      <c r="C590" s="1" t="n">
        <v>45895</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68081-2020</t>
        </is>
      </c>
      <c r="B591" s="1" t="n">
        <v>44183</v>
      </c>
      <c r="C591" s="1" t="n">
        <v>45895</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17039-2024</t>
        </is>
      </c>
      <c r="B592" s="1" t="n">
        <v>45412.4104050926</v>
      </c>
      <c r="C592" s="1" t="n">
        <v>45895</v>
      </c>
      <c r="D592" t="inlineStr">
        <is>
          <t>STOCKHOLMS LÄN</t>
        </is>
      </c>
      <c r="E592" t="inlineStr">
        <is>
          <t>NORRTÄLJE</t>
        </is>
      </c>
      <c r="G592" t="n">
        <v>5.9</v>
      </c>
      <c r="H592" t="n">
        <v>0</v>
      </c>
      <c r="I592" t="n">
        <v>0</v>
      </c>
      <c r="J592" t="n">
        <v>0</v>
      </c>
      <c r="K592" t="n">
        <v>0</v>
      </c>
      <c r="L592" t="n">
        <v>0</v>
      </c>
      <c r="M592" t="n">
        <v>0</v>
      </c>
      <c r="N592" t="n">
        <v>0</v>
      </c>
      <c r="O592" t="n">
        <v>0</v>
      </c>
      <c r="P592" t="n">
        <v>0</v>
      </c>
      <c r="Q592" t="n">
        <v>0</v>
      </c>
      <c r="R592" s="2" t="inlineStr"/>
    </row>
    <row r="593" ht="15" customHeight="1">
      <c r="A593" t="inlineStr">
        <is>
          <t>A 4183-2025</t>
        </is>
      </c>
      <c r="B593" s="1" t="n">
        <v>45685.44592592592</v>
      </c>
      <c r="C593" s="1" t="n">
        <v>45895</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11893-2024</t>
        </is>
      </c>
      <c r="B594" s="1" t="n">
        <v>45376.54115740741</v>
      </c>
      <c r="C594" s="1" t="n">
        <v>45895</v>
      </c>
      <c r="D594" t="inlineStr">
        <is>
          <t>STOCKHOLMS LÄN</t>
        </is>
      </c>
      <c r="E594" t="inlineStr">
        <is>
          <t>NORRTÄLJE</t>
        </is>
      </c>
      <c r="G594" t="n">
        <v>9.9</v>
      </c>
      <c r="H594" t="n">
        <v>0</v>
      </c>
      <c r="I594" t="n">
        <v>0</v>
      </c>
      <c r="J594" t="n">
        <v>0</v>
      </c>
      <c r="K594" t="n">
        <v>0</v>
      </c>
      <c r="L594" t="n">
        <v>0</v>
      </c>
      <c r="M594" t="n">
        <v>0</v>
      </c>
      <c r="N594" t="n">
        <v>0</v>
      </c>
      <c r="O594" t="n">
        <v>0</v>
      </c>
      <c r="P594" t="n">
        <v>0</v>
      </c>
      <c r="Q594" t="n">
        <v>0</v>
      </c>
      <c r="R594" s="2" t="inlineStr"/>
    </row>
    <row r="595" ht="15" customHeight="1">
      <c r="A595" t="inlineStr">
        <is>
          <t>A 3509-2022</t>
        </is>
      </c>
      <c r="B595" s="1" t="n">
        <v>44585</v>
      </c>
      <c r="C595" s="1" t="n">
        <v>45895</v>
      </c>
      <c r="D595" t="inlineStr">
        <is>
          <t>STOCKHOLMS LÄN</t>
        </is>
      </c>
      <c r="E595" t="inlineStr">
        <is>
          <t>NORRTÄLJE</t>
        </is>
      </c>
      <c r="F595" t="inlineStr">
        <is>
          <t>Kommuner</t>
        </is>
      </c>
      <c r="G595" t="n">
        <v>0.8</v>
      </c>
      <c r="H595" t="n">
        <v>0</v>
      </c>
      <c r="I595" t="n">
        <v>0</v>
      </c>
      <c r="J595" t="n">
        <v>0</v>
      </c>
      <c r="K595" t="n">
        <v>0</v>
      </c>
      <c r="L595" t="n">
        <v>0</v>
      </c>
      <c r="M595" t="n">
        <v>0</v>
      </c>
      <c r="N595" t="n">
        <v>0</v>
      </c>
      <c r="O595" t="n">
        <v>0</v>
      </c>
      <c r="P595" t="n">
        <v>0</v>
      </c>
      <c r="Q595" t="n">
        <v>0</v>
      </c>
      <c r="R595" s="2" t="inlineStr"/>
    </row>
    <row r="596" ht="15" customHeight="1">
      <c r="A596" t="inlineStr">
        <is>
          <t>A 47259-2024</t>
        </is>
      </c>
      <c r="B596" s="1" t="n">
        <v>45586</v>
      </c>
      <c r="C596" s="1" t="n">
        <v>45895</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17556-2025</t>
        </is>
      </c>
      <c r="B597" s="1" t="n">
        <v>45757.62482638889</v>
      </c>
      <c r="C597" s="1" t="n">
        <v>45895</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41335-2023</t>
        </is>
      </c>
      <c r="B598" s="1" t="n">
        <v>45174.68702546296</v>
      </c>
      <c r="C598" s="1" t="n">
        <v>45895</v>
      </c>
      <c r="D598" t="inlineStr">
        <is>
          <t>STOCKHOLMS LÄN</t>
        </is>
      </c>
      <c r="E598" t="inlineStr">
        <is>
          <t>NORRTÄLJE</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4484-2025</t>
        </is>
      </c>
      <c r="B599" s="1" t="n">
        <v>45686.65545138889</v>
      </c>
      <c r="C599" s="1" t="n">
        <v>45895</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10511-2025</t>
        </is>
      </c>
      <c r="B600" s="1" t="n">
        <v>45721.40780092592</v>
      </c>
      <c r="C600" s="1" t="n">
        <v>45895</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7697-2025</t>
        </is>
      </c>
      <c r="B601" s="1" t="n">
        <v>45706.40086805556</v>
      </c>
      <c r="C601" s="1" t="n">
        <v>45895</v>
      </c>
      <c r="D601" t="inlineStr">
        <is>
          <t>STOCKHOLMS LÄN</t>
        </is>
      </c>
      <c r="E601" t="inlineStr">
        <is>
          <t>NORRTÄLJE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39669-2024</t>
        </is>
      </c>
      <c r="B602" s="1" t="n">
        <v>45552.52827546297</v>
      </c>
      <c r="C602" s="1" t="n">
        <v>45895</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8419-2025</t>
        </is>
      </c>
      <c r="B603" s="1" t="n">
        <v>45709.40231481481</v>
      </c>
      <c r="C603" s="1" t="n">
        <v>45895</v>
      </c>
      <c r="D603" t="inlineStr">
        <is>
          <t>STOCKHOLMS LÄN</t>
        </is>
      </c>
      <c r="E603" t="inlineStr">
        <is>
          <t>NORRTÄLJE</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21480-2022</t>
        </is>
      </c>
      <c r="B604" s="1" t="n">
        <v>44704</v>
      </c>
      <c r="C604" s="1" t="n">
        <v>45895</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34478-2025</t>
        </is>
      </c>
      <c r="B605" s="1" t="n">
        <v>45847.37414351852</v>
      </c>
      <c r="C605" s="1" t="n">
        <v>45895</v>
      </c>
      <c r="D605" t="inlineStr">
        <is>
          <t>STOCKHOLMS LÄN</t>
        </is>
      </c>
      <c r="E605" t="inlineStr">
        <is>
          <t>NORRTÄLJE</t>
        </is>
      </c>
      <c r="F605" t="inlineStr">
        <is>
          <t>Övriga Aktiebolag</t>
        </is>
      </c>
      <c r="G605" t="n">
        <v>10.8</v>
      </c>
      <c r="H605" t="n">
        <v>0</v>
      </c>
      <c r="I605" t="n">
        <v>0</v>
      </c>
      <c r="J605" t="n">
        <v>0</v>
      </c>
      <c r="K605" t="n">
        <v>0</v>
      </c>
      <c r="L605" t="n">
        <v>0</v>
      </c>
      <c r="M605" t="n">
        <v>0</v>
      </c>
      <c r="N605" t="n">
        <v>0</v>
      </c>
      <c r="O605" t="n">
        <v>0</v>
      </c>
      <c r="P605" t="n">
        <v>0</v>
      </c>
      <c r="Q605" t="n">
        <v>0</v>
      </c>
      <c r="R605" s="2" t="inlineStr"/>
    </row>
    <row r="606" ht="15" customHeight="1">
      <c r="A606" t="inlineStr">
        <is>
          <t>A 2982-2023</t>
        </is>
      </c>
      <c r="B606" s="1" t="n">
        <v>44945.67409722223</v>
      </c>
      <c r="C606" s="1" t="n">
        <v>45895</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1448-2023</t>
        </is>
      </c>
      <c r="B607" s="1" t="n">
        <v>44937</v>
      </c>
      <c r="C607" s="1" t="n">
        <v>45895</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1654-2025</t>
        </is>
      </c>
      <c r="B608" s="1" t="n">
        <v>45670.65921296296</v>
      </c>
      <c r="C608" s="1" t="n">
        <v>45895</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35127-2023</t>
        </is>
      </c>
      <c r="B609" s="1" t="n">
        <v>45145.51</v>
      </c>
      <c r="C609" s="1" t="n">
        <v>45895</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48686-2023</t>
        </is>
      </c>
      <c r="B610" s="1" t="n">
        <v>45208</v>
      </c>
      <c r="C610" s="1" t="n">
        <v>45895</v>
      </c>
      <c r="D610" t="inlineStr">
        <is>
          <t>STOCKHOLMS LÄN</t>
        </is>
      </c>
      <c r="E610" t="inlineStr">
        <is>
          <t>NORRTÄLJE</t>
        </is>
      </c>
      <c r="G610" t="n">
        <v>6</v>
      </c>
      <c r="H610" t="n">
        <v>0</v>
      </c>
      <c r="I610" t="n">
        <v>0</v>
      </c>
      <c r="J610" t="n">
        <v>0</v>
      </c>
      <c r="K610" t="n">
        <v>0</v>
      </c>
      <c r="L610" t="n">
        <v>0</v>
      </c>
      <c r="M610" t="n">
        <v>0</v>
      </c>
      <c r="N610" t="n">
        <v>0</v>
      </c>
      <c r="O610" t="n">
        <v>0</v>
      </c>
      <c r="P610" t="n">
        <v>0</v>
      </c>
      <c r="Q610" t="n">
        <v>0</v>
      </c>
      <c r="R610" s="2" t="inlineStr"/>
    </row>
    <row r="611" ht="15" customHeight="1">
      <c r="A611" t="inlineStr">
        <is>
          <t>A 48691-2023</t>
        </is>
      </c>
      <c r="B611" s="1" t="n">
        <v>45208</v>
      </c>
      <c r="C611" s="1" t="n">
        <v>45895</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50136-2023</t>
        </is>
      </c>
      <c r="B612" s="1" t="n">
        <v>45215</v>
      </c>
      <c r="C612" s="1" t="n">
        <v>45895</v>
      </c>
      <c r="D612" t="inlineStr">
        <is>
          <t>STOCKHOLMS LÄN</t>
        </is>
      </c>
      <c r="E612" t="inlineStr">
        <is>
          <t>NORRTÄLJE</t>
        </is>
      </c>
      <c r="G612" t="n">
        <v>5.2</v>
      </c>
      <c r="H612" t="n">
        <v>0</v>
      </c>
      <c r="I612" t="n">
        <v>0</v>
      </c>
      <c r="J612" t="n">
        <v>0</v>
      </c>
      <c r="K612" t="n">
        <v>0</v>
      </c>
      <c r="L612" t="n">
        <v>0</v>
      </c>
      <c r="M612" t="n">
        <v>0</v>
      </c>
      <c r="N612" t="n">
        <v>0</v>
      </c>
      <c r="O612" t="n">
        <v>0</v>
      </c>
      <c r="P612" t="n">
        <v>0</v>
      </c>
      <c r="Q612" t="n">
        <v>0</v>
      </c>
      <c r="R612" s="2" t="inlineStr"/>
    </row>
    <row r="613" ht="15" customHeight="1">
      <c r="A613" t="inlineStr">
        <is>
          <t>A 11229-2022</t>
        </is>
      </c>
      <c r="B613" s="1" t="n">
        <v>44629</v>
      </c>
      <c r="C613" s="1" t="n">
        <v>45895</v>
      </c>
      <c r="D613" t="inlineStr">
        <is>
          <t>STOCKHOLMS LÄN</t>
        </is>
      </c>
      <c r="E613" t="inlineStr">
        <is>
          <t>NORRTÄLJE</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9654-2022</t>
        </is>
      </c>
      <c r="B614" s="1" t="n">
        <v>44617</v>
      </c>
      <c r="C614" s="1" t="n">
        <v>45895</v>
      </c>
      <c r="D614" t="inlineStr">
        <is>
          <t>STOCKHOLMS LÄN</t>
        </is>
      </c>
      <c r="E614" t="inlineStr">
        <is>
          <t>NORRTÄLJE</t>
        </is>
      </c>
      <c r="G614" t="n">
        <v>6.4</v>
      </c>
      <c r="H614" t="n">
        <v>0</v>
      </c>
      <c r="I614" t="n">
        <v>0</v>
      </c>
      <c r="J614" t="n">
        <v>0</v>
      </c>
      <c r="K614" t="n">
        <v>0</v>
      </c>
      <c r="L614" t="n">
        <v>0</v>
      </c>
      <c r="M614" t="n">
        <v>0</v>
      </c>
      <c r="N614" t="n">
        <v>0</v>
      </c>
      <c r="O614" t="n">
        <v>0</v>
      </c>
      <c r="P614" t="n">
        <v>0</v>
      </c>
      <c r="Q614" t="n">
        <v>0</v>
      </c>
      <c r="R614" s="2" t="inlineStr"/>
    </row>
    <row r="615" ht="15" customHeight="1">
      <c r="A615" t="inlineStr">
        <is>
          <t>A 5389-2025</t>
        </is>
      </c>
      <c r="B615" s="1" t="n">
        <v>45692</v>
      </c>
      <c r="C615" s="1" t="n">
        <v>45895</v>
      </c>
      <c r="D615" t="inlineStr">
        <is>
          <t>STOCKHOLMS LÄN</t>
        </is>
      </c>
      <c r="E615" t="inlineStr">
        <is>
          <t>NORRTÄLJE</t>
        </is>
      </c>
      <c r="G615" t="n">
        <v>0.8</v>
      </c>
      <c r="H615" t="n">
        <v>0</v>
      </c>
      <c r="I615" t="n">
        <v>0</v>
      </c>
      <c r="J615" t="n">
        <v>0</v>
      </c>
      <c r="K615" t="n">
        <v>0</v>
      </c>
      <c r="L615" t="n">
        <v>0</v>
      </c>
      <c r="M615" t="n">
        <v>0</v>
      </c>
      <c r="N615" t="n">
        <v>0</v>
      </c>
      <c r="O615" t="n">
        <v>0</v>
      </c>
      <c r="P615" t="n">
        <v>0</v>
      </c>
      <c r="Q615" t="n">
        <v>0</v>
      </c>
      <c r="R615" s="2" t="inlineStr"/>
    </row>
    <row r="616" ht="15" customHeight="1">
      <c r="A616" t="inlineStr">
        <is>
          <t>A 55243-2023</t>
        </is>
      </c>
      <c r="B616" s="1" t="n">
        <v>45237</v>
      </c>
      <c r="C616" s="1" t="n">
        <v>45895</v>
      </c>
      <c r="D616" t="inlineStr">
        <is>
          <t>STOCKHOLMS LÄN</t>
        </is>
      </c>
      <c r="E616" t="inlineStr">
        <is>
          <t>NORRTÄLJE</t>
        </is>
      </c>
      <c r="G616" t="n">
        <v>6.5</v>
      </c>
      <c r="H616" t="n">
        <v>0</v>
      </c>
      <c r="I616" t="n">
        <v>0</v>
      </c>
      <c r="J616" t="n">
        <v>0</v>
      </c>
      <c r="K616" t="n">
        <v>0</v>
      </c>
      <c r="L616" t="n">
        <v>0</v>
      </c>
      <c r="M616" t="n">
        <v>0</v>
      </c>
      <c r="N616" t="n">
        <v>0</v>
      </c>
      <c r="O616" t="n">
        <v>0</v>
      </c>
      <c r="P616" t="n">
        <v>0</v>
      </c>
      <c r="Q616" t="n">
        <v>0</v>
      </c>
      <c r="R616" s="2" t="inlineStr"/>
    </row>
    <row r="617" ht="15" customHeight="1">
      <c r="A617" t="inlineStr">
        <is>
          <t>A 35210-2023</t>
        </is>
      </c>
      <c r="B617" s="1" t="n">
        <v>45145.63584490741</v>
      </c>
      <c r="C617" s="1" t="n">
        <v>45895</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37147-2023</t>
        </is>
      </c>
      <c r="B618" s="1" t="n">
        <v>45155</v>
      </c>
      <c r="C618" s="1" t="n">
        <v>45895</v>
      </c>
      <c r="D618" t="inlineStr">
        <is>
          <t>STOCKHOLMS LÄN</t>
        </is>
      </c>
      <c r="E618" t="inlineStr">
        <is>
          <t>NORRTÄLJE</t>
        </is>
      </c>
      <c r="G618" t="n">
        <v>8</v>
      </c>
      <c r="H618" t="n">
        <v>0</v>
      </c>
      <c r="I618" t="n">
        <v>0</v>
      </c>
      <c r="J618" t="n">
        <v>0</v>
      </c>
      <c r="K618" t="n">
        <v>0</v>
      </c>
      <c r="L618" t="n">
        <v>0</v>
      </c>
      <c r="M618" t="n">
        <v>0</v>
      </c>
      <c r="N618" t="n">
        <v>0</v>
      </c>
      <c r="O618" t="n">
        <v>0</v>
      </c>
      <c r="P618" t="n">
        <v>0</v>
      </c>
      <c r="Q618" t="n">
        <v>0</v>
      </c>
      <c r="R618" s="2" t="inlineStr"/>
    </row>
    <row r="619" ht="15" customHeight="1">
      <c r="A619" t="inlineStr">
        <is>
          <t>A 59499-2023</t>
        </is>
      </c>
      <c r="B619" s="1" t="n">
        <v>45254</v>
      </c>
      <c r="C619" s="1" t="n">
        <v>45895</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60654-2023</t>
        </is>
      </c>
      <c r="B620" s="1" t="n">
        <v>45260.43225694444</v>
      </c>
      <c r="C620" s="1" t="n">
        <v>45895</v>
      </c>
      <c r="D620" t="inlineStr">
        <is>
          <t>STOCKHOLMS LÄN</t>
        </is>
      </c>
      <c r="E620" t="inlineStr">
        <is>
          <t>NORRTÄLJE</t>
        </is>
      </c>
      <c r="G620" t="n">
        <v>2.1</v>
      </c>
      <c r="H620" t="n">
        <v>0</v>
      </c>
      <c r="I620" t="n">
        <v>0</v>
      </c>
      <c r="J620" t="n">
        <v>0</v>
      </c>
      <c r="K620" t="n">
        <v>0</v>
      </c>
      <c r="L620" t="n">
        <v>0</v>
      </c>
      <c r="M620" t="n">
        <v>0</v>
      </c>
      <c r="N620" t="n">
        <v>0</v>
      </c>
      <c r="O620" t="n">
        <v>0</v>
      </c>
      <c r="P620" t="n">
        <v>0</v>
      </c>
      <c r="Q620" t="n">
        <v>0</v>
      </c>
      <c r="R620" s="2" t="inlineStr"/>
    </row>
    <row r="621" ht="15" customHeight="1">
      <c r="A621" t="inlineStr">
        <is>
          <t>A 60656-2023</t>
        </is>
      </c>
      <c r="B621" s="1" t="n">
        <v>45260.4333449074</v>
      </c>
      <c r="C621" s="1" t="n">
        <v>45895</v>
      </c>
      <c r="D621" t="inlineStr">
        <is>
          <t>STOCKHOLMS LÄN</t>
        </is>
      </c>
      <c r="E621" t="inlineStr">
        <is>
          <t>NORRTÄLJE</t>
        </is>
      </c>
      <c r="G621" t="n">
        <v>4.8</v>
      </c>
      <c r="H621" t="n">
        <v>0</v>
      </c>
      <c r="I621" t="n">
        <v>0</v>
      </c>
      <c r="J621" t="n">
        <v>0</v>
      </c>
      <c r="K621" t="n">
        <v>0</v>
      </c>
      <c r="L621" t="n">
        <v>0</v>
      </c>
      <c r="M621" t="n">
        <v>0</v>
      </c>
      <c r="N621" t="n">
        <v>0</v>
      </c>
      <c r="O621" t="n">
        <v>0</v>
      </c>
      <c r="P621" t="n">
        <v>0</v>
      </c>
      <c r="Q621" t="n">
        <v>0</v>
      </c>
      <c r="R621" s="2" t="inlineStr"/>
    </row>
    <row r="622" ht="15" customHeight="1">
      <c r="A622" t="inlineStr">
        <is>
          <t>A 6678-2025</t>
        </is>
      </c>
      <c r="B622" s="1" t="n">
        <v>45700</v>
      </c>
      <c r="C622" s="1" t="n">
        <v>45895</v>
      </c>
      <c r="D622" t="inlineStr">
        <is>
          <t>STOCKHOLMS LÄN</t>
        </is>
      </c>
      <c r="E622" t="inlineStr">
        <is>
          <t>NORRTÄLJE</t>
        </is>
      </c>
      <c r="F622" t="inlineStr">
        <is>
          <t>Övriga Aktiebolag</t>
        </is>
      </c>
      <c r="G622" t="n">
        <v>6.6</v>
      </c>
      <c r="H622" t="n">
        <v>0</v>
      </c>
      <c r="I622" t="n">
        <v>0</v>
      </c>
      <c r="J622" t="n">
        <v>0</v>
      </c>
      <c r="K622" t="n">
        <v>0</v>
      </c>
      <c r="L622" t="n">
        <v>0</v>
      </c>
      <c r="M622" t="n">
        <v>0</v>
      </c>
      <c r="N622" t="n">
        <v>0</v>
      </c>
      <c r="O622" t="n">
        <v>0</v>
      </c>
      <c r="P622" t="n">
        <v>0</v>
      </c>
      <c r="Q622" t="n">
        <v>0</v>
      </c>
      <c r="R622" s="2" t="inlineStr"/>
    </row>
    <row r="623" ht="15" customHeight="1">
      <c r="A623" t="inlineStr">
        <is>
          <t>A 22697-2022</t>
        </is>
      </c>
      <c r="B623" s="1" t="n">
        <v>44714.56040509259</v>
      </c>
      <c r="C623" s="1" t="n">
        <v>45895</v>
      </c>
      <c r="D623" t="inlineStr">
        <is>
          <t>STOCKHOLMS LÄN</t>
        </is>
      </c>
      <c r="E623" t="inlineStr">
        <is>
          <t>NORRTÄLJE</t>
        </is>
      </c>
      <c r="G623" t="n">
        <v>5.6</v>
      </c>
      <c r="H623" t="n">
        <v>0</v>
      </c>
      <c r="I623" t="n">
        <v>0</v>
      </c>
      <c r="J623" t="n">
        <v>0</v>
      </c>
      <c r="K623" t="n">
        <v>0</v>
      </c>
      <c r="L623" t="n">
        <v>0</v>
      </c>
      <c r="M623" t="n">
        <v>0</v>
      </c>
      <c r="N623" t="n">
        <v>0</v>
      </c>
      <c r="O623" t="n">
        <v>0</v>
      </c>
      <c r="P623" t="n">
        <v>0</v>
      </c>
      <c r="Q623" t="n">
        <v>0</v>
      </c>
      <c r="R623" s="2" t="inlineStr"/>
    </row>
    <row r="624" ht="15" customHeight="1">
      <c r="A624" t="inlineStr">
        <is>
          <t>A 26675-2025</t>
        </is>
      </c>
      <c r="B624" s="1" t="n">
        <v>45810.42393518519</v>
      </c>
      <c r="C624" s="1" t="n">
        <v>45895</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17612-2022</t>
        </is>
      </c>
      <c r="B625" s="1" t="n">
        <v>44680</v>
      </c>
      <c r="C625" s="1" t="n">
        <v>45895</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58297-2023</t>
        </is>
      </c>
      <c r="B626" s="1" t="n">
        <v>45245</v>
      </c>
      <c r="C626" s="1" t="n">
        <v>45895</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21726-2022</t>
        </is>
      </c>
      <c r="B627" s="1" t="n">
        <v>44708</v>
      </c>
      <c r="C627" s="1" t="n">
        <v>45895</v>
      </c>
      <c r="D627" t="inlineStr">
        <is>
          <t>STOCKHOLMS LÄN</t>
        </is>
      </c>
      <c r="E627" t="inlineStr">
        <is>
          <t>NORRTÄLJE</t>
        </is>
      </c>
      <c r="G627" t="n">
        <v>0.2</v>
      </c>
      <c r="H627" t="n">
        <v>0</v>
      </c>
      <c r="I627" t="n">
        <v>0</v>
      </c>
      <c r="J627" t="n">
        <v>0</v>
      </c>
      <c r="K627" t="n">
        <v>0</v>
      </c>
      <c r="L627" t="n">
        <v>0</v>
      </c>
      <c r="M627" t="n">
        <v>0</v>
      </c>
      <c r="N627" t="n">
        <v>0</v>
      </c>
      <c r="O627" t="n">
        <v>0</v>
      </c>
      <c r="P627" t="n">
        <v>0</v>
      </c>
      <c r="Q627" t="n">
        <v>0</v>
      </c>
      <c r="R627" s="2" t="inlineStr"/>
    </row>
    <row r="628" ht="15" customHeight="1">
      <c r="A628" t="inlineStr">
        <is>
          <t>A 21739-2022</t>
        </is>
      </c>
      <c r="B628" s="1" t="n">
        <v>44708.36708333333</v>
      </c>
      <c r="C628" s="1" t="n">
        <v>45895</v>
      </c>
      <c r="D628" t="inlineStr">
        <is>
          <t>STOCKHOLMS LÄN</t>
        </is>
      </c>
      <c r="E628" t="inlineStr">
        <is>
          <t>NORRTÄLJE</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28182-2022</t>
        </is>
      </c>
      <c r="B629" s="1" t="n">
        <v>44746.58530092592</v>
      </c>
      <c r="C629" s="1" t="n">
        <v>45895</v>
      </c>
      <c r="D629" t="inlineStr">
        <is>
          <t>STOCKHOLMS LÄN</t>
        </is>
      </c>
      <c r="E629" t="inlineStr">
        <is>
          <t>NORRTÄLJE</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23061-2025</t>
        </is>
      </c>
      <c r="B630" s="1" t="n">
        <v>45790.81410879629</v>
      </c>
      <c r="C630" s="1" t="n">
        <v>45895</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3283-2025</t>
        </is>
      </c>
      <c r="B631" s="1" t="n">
        <v>45679</v>
      </c>
      <c r="C631" s="1" t="n">
        <v>45895</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18092-2022</t>
        </is>
      </c>
      <c r="B632" s="1" t="n">
        <v>44684</v>
      </c>
      <c r="C632" s="1" t="n">
        <v>45895</v>
      </c>
      <c r="D632" t="inlineStr">
        <is>
          <t>STOCKHOLMS LÄN</t>
        </is>
      </c>
      <c r="E632" t="inlineStr">
        <is>
          <t>NORRTÄLJE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33295-2023</t>
        </is>
      </c>
      <c r="B633" s="1" t="n">
        <v>45127.69371527778</v>
      </c>
      <c r="C633" s="1" t="n">
        <v>45895</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26747-2025</t>
        </is>
      </c>
      <c r="B634" s="1" t="n">
        <v>45810.5333912037</v>
      </c>
      <c r="C634" s="1" t="n">
        <v>45895</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58404-2023</t>
        </is>
      </c>
      <c r="B635" s="1" t="n">
        <v>45245</v>
      </c>
      <c r="C635" s="1" t="n">
        <v>45895</v>
      </c>
      <c r="D635" t="inlineStr">
        <is>
          <t>STOCKHOLMS LÄN</t>
        </is>
      </c>
      <c r="E635" t="inlineStr">
        <is>
          <t>NORRTÄLJE</t>
        </is>
      </c>
      <c r="G635" t="n">
        <v>53.5</v>
      </c>
      <c r="H635" t="n">
        <v>0</v>
      </c>
      <c r="I635" t="n">
        <v>0</v>
      </c>
      <c r="J635" t="n">
        <v>0</v>
      </c>
      <c r="K635" t="n">
        <v>0</v>
      </c>
      <c r="L635" t="n">
        <v>0</v>
      </c>
      <c r="M635" t="n">
        <v>0</v>
      </c>
      <c r="N635" t="n">
        <v>0</v>
      </c>
      <c r="O635" t="n">
        <v>0</v>
      </c>
      <c r="P635" t="n">
        <v>0</v>
      </c>
      <c r="Q635" t="n">
        <v>0</v>
      </c>
      <c r="R635" s="2" t="inlineStr"/>
    </row>
    <row r="636" ht="15" customHeight="1">
      <c r="A636" t="inlineStr">
        <is>
          <t>A 27885-2022</t>
        </is>
      </c>
      <c r="B636" s="1" t="n">
        <v>44743.67418981482</v>
      </c>
      <c r="C636" s="1" t="n">
        <v>45895</v>
      </c>
      <c r="D636" t="inlineStr">
        <is>
          <t>STOCKHOLMS LÄN</t>
        </is>
      </c>
      <c r="E636" t="inlineStr">
        <is>
          <t>NORRTÄLJE</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48180-2023</t>
        </is>
      </c>
      <c r="B637" s="1" t="n">
        <v>45205</v>
      </c>
      <c r="C637" s="1" t="n">
        <v>45895</v>
      </c>
      <c r="D637" t="inlineStr">
        <is>
          <t>STOCKHOLMS LÄN</t>
        </is>
      </c>
      <c r="E637" t="inlineStr">
        <is>
          <t>NORRTÄLJE</t>
        </is>
      </c>
      <c r="G637" t="n">
        <v>1.5</v>
      </c>
      <c r="H637" t="n">
        <v>0</v>
      </c>
      <c r="I637" t="n">
        <v>0</v>
      </c>
      <c r="J637" t="n">
        <v>0</v>
      </c>
      <c r="K637" t="n">
        <v>0</v>
      </c>
      <c r="L637" t="n">
        <v>0</v>
      </c>
      <c r="M637" t="n">
        <v>0</v>
      </c>
      <c r="N637" t="n">
        <v>0</v>
      </c>
      <c r="O637" t="n">
        <v>0</v>
      </c>
      <c r="P637" t="n">
        <v>0</v>
      </c>
      <c r="Q637" t="n">
        <v>0</v>
      </c>
      <c r="R637" s="2" t="inlineStr"/>
    </row>
    <row r="638" ht="15" customHeight="1">
      <c r="A638" t="inlineStr">
        <is>
          <t>A 57353-2024</t>
        </is>
      </c>
      <c r="B638" s="1" t="n">
        <v>45629.65143518519</v>
      </c>
      <c r="C638" s="1" t="n">
        <v>45895</v>
      </c>
      <c r="D638" t="inlineStr">
        <is>
          <t>STOCKHOLMS LÄN</t>
        </is>
      </c>
      <c r="E638" t="inlineStr">
        <is>
          <t>NORRTÄLJE</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26702-2025</t>
        </is>
      </c>
      <c r="B639" s="1" t="n">
        <v>45810.45236111111</v>
      </c>
      <c r="C639" s="1" t="n">
        <v>45895</v>
      </c>
      <c r="D639" t="inlineStr">
        <is>
          <t>STOCKHOLMS LÄN</t>
        </is>
      </c>
      <c r="E639" t="inlineStr">
        <is>
          <t>NORRTÄLJE</t>
        </is>
      </c>
      <c r="G639" t="n">
        <v>7.3</v>
      </c>
      <c r="H639" t="n">
        <v>0</v>
      </c>
      <c r="I639" t="n">
        <v>0</v>
      </c>
      <c r="J639" t="n">
        <v>0</v>
      </c>
      <c r="K639" t="n">
        <v>0</v>
      </c>
      <c r="L639" t="n">
        <v>0</v>
      </c>
      <c r="M639" t="n">
        <v>0</v>
      </c>
      <c r="N639" t="n">
        <v>0</v>
      </c>
      <c r="O639" t="n">
        <v>0</v>
      </c>
      <c r="P639" t="n">
        <v>0</v>
      </c>
      <c r="Q639" t="n">
        <v>0</v>
      </c>
      <c r="R639" s="2" t="inlineStr"/>
    </row>
    <row r="640" ht="15" customHeight="1">
      <c r="A640" t="inlineStr">
        <is>
          <t>A 26703-2025</t>
        </is>
      </c>
      <c r="B640" s="1" t="n">
        <v>45810.45263888889</v>
      </c>
      <c r="C640" s="1" t="n">
        <v>45895</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55696-2022</t>
        </is>
      </c>
      <c r="B641" s="1" t="n">
        <v>44888</v>
      </c>
      <c r="C641" s="1" t="n">
        <v>45895</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50907-2022</t>
        </is>
      </c>
      <c r="B642" s="1" t="n">
        <v>44867.62090277778</v>
      </c>
      <c r="C642" s="1" t="n">
        <v>45895</v>
      </c>
      <c r="D642" t="inlineStr">
        <is>
          <t>STOCKHOLMS LÄN</t>
        </is>
      </c>
      <c r="E642" t="inlineStr">
        <is>
          <t>NORRTÄLJE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6919-2025</t>
        </is>
      </c>
      <c r="B643" s="1" t="n">
        <v>45701.44372685185</v>
      </c>
      <c r="C643" s="1" t="n">
        <v>45895</v>
      </c>
      <c r="D643" t="inlineStr">
        <is>
          <t>STOCKHOLMS LÄN</t>
        </is>
      </c>
      <c r="E643" t="inlineStr">
        <is>
          <t>NORRTÄLJE</t>
        </is>
      </c>
      <c r="G643" t="n">
        <v>3.5</v>
      </c>
      <c r="H643" t="n">
        <v>0</v>
      </c>
      <c r="I643" t="n">
        <v>0</v>
      </c>
      <c r="J643" t="n">
        <v>0</v>
      </c>
      <c r="K643" t="n">
        <v>0</v>
      </c>
      <c r="L643" t="n">
        <v>0</v>
      </c>
      <c r="M643" t="n">
        <v>0</v>
      </c>
      <c r="N643" t="n">
        <v>0</v>
      </c>
      <c r="O643" t="n">
        <v>0</v>
      </c>
      <c r="P643" t="n">
        <v>0</v>
      </c>
      <c r="Q643" t="n">
        <v>0</v>
      </c>
      <c r="R643" s="2" t="inlineStr"/>
    </row>
    <row r="644" ht="15" customHeight="1">
      <c r="A644" t="inlineStr">
        <is>
          <t>A 25525-2022</t>
        </is>
      </c>
      <c r="B644" s="1" t="n">
        <v>44732</v>
      </c>
      <c r="C644" s="1" t="n">
        <v>45895</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53362-2023</t>
        </is>
      </c>
      <c r="B645" s="1" t="n">
        <v>45223</v>
      </c>
      <c r="C645" s="1" t="n">
        <v>45895</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48722-2023</t>
        </is>
      </c>
      <c r="B646" s="1" t="n">
        <v>45208.70996527778</v>
      </c>
      <c r="C646" s="1" t="n">
        <v>45895</v>
      </c>
      <c r="D646" t="inlineStr">
        <is>
          <t>STOCKHOLMS LÄN</t>
        </is>
      </c>
      <c r="E646" t="inlineStr">
        <is>
          <t>NORRTÄLJE</t>
        </is>
      </c>
      <c r="G646" t="n">
        <v>0.3</v>
      </c>
      <c r="H646" t="n">
        <v>0</v>
      </c>
      <c r="I646" t="n">
        <v>0</v>
      </c>
      <c r="J646" t="n">
        <v>0</v>
      </c>
      <c r="K646" t="n">
        <v>0</v>
      </c>
      <c r="L646" t="n">
        <v>0</v>
      </c>
      <c r="M646" t="n">
        <v>0</v>
      </c>
      <c r="N646" t="n">
        <v>0</v>
      </c>
      <c r="O646" t="n">
        <v>0</v>
      </c>
      <c r="P646" t="n">
        <v>0</v>
      </c>
      <c r="Q646" t="n">
        <v>0</v>
      </c>
      <c r="R646" s="2" t="inlineStr"/>
    </row>
    <row r="647" ht="15" customHeight="1">
      <c r="A647" t="inlineStr">
        <is>
          <t>A 26708-2025</t>
        </is>
      </c>
      <c r="B647" s="1" t="n">
        <v>45810.45633101852</v>
      </c>
      <c r="C647" s="1" t="n">
        <v>45895</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27040-2025</t>
        </is>
      </c>
      <c r="B648" s="1" t="n">
        <v>45811.60451388889</v>
      </c>
      <c r="C648" s="1" t="n">
        <v>45895</v>
      </c>
      <c r="D648" t="inlineStr">
        <is>
          <t>STOCKHOLMS LÄN</t>
        </is>
      </c>
      <c r="E648" t="inlineStr">
        <is>
          <t>NORRTÄLJE</t>
        </is>
      </c>
      <c r="G648" t="n">
        <v>4.3</v>
      </c>
      <c r="H648" t="n">
        <v>0</v>
      </c>
      <c r="I648" t="n">
        <v>0</v>
      </c>
      <c r="J648" t="n">
        <v>0</v>
      </c>
      <c r="K648" t="n">
        <v>0</v>
      </c>
      <c r="L648" t="n">
        <v>0</v>
      </c>
      <c r="M648" t="n">
        <v>0</v>
      </c>
      <c r="N648" t="n">
        <v>0</v>
      </c>
      <c r="O648" t="n">
        <v>0</v>
      </c>
      <c r="P648" t="n">
        <v>0</v>
      </c>
      <c r="Q648" t="n">
        <v>0</v>
      </c>
      <c r="R648" s="2" t="inlineStr"/>
    </row>
    <row r="649" ht="15" customHeight="1">
      <c r="A649" t="inlineStr">
        <is>
          <t>A 8433-2022</t>
        </is>
      </c>
      <c r="B649" s="1" t="n">
        <v>44611</v>
      </c>
      <c r="C649" s="1" t="n">
        <v>45895</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10215-2023</t>
        </is>
      </c>
      <c r="B650" s="1" t="n">
        <v>44986.5887962963</v>
      </c>
      <c r="C650" s="1" t="n">
        <v>45895</v>
      </c>
      <c r="D650" t="inlineStr">
        <is>
          <t>STOCKHOLMS LÄN</t>
        </is>
      </c>
      <c r="E650" t="inlineStr">
        <is>
          <t>NORRTÄLJE</t>
        </is>
      </c>
      <c r="G650" t="n">
        <v>6.5</v>
      </c>
      <c r="H650" t="n">
        <v>0</v>
      </c>
      <c r="I650" t="n">
        <v>0</v>
      </c>
      <c r="J650" t="n">
        <v>0</v>
      </c>
      <c r="K650" t="n">
        <v>0</v>
      </c>
      <c r="L650" t="n">
        <v>0</v>
      </c>
      <c r="M650" t="n">
        <v>0</v>
      </c>
      <c r="N650" t="n">
        <v>0</v>
      </c>
      <c r="O650" t="n">
        <v>0</v>
      </c>
      <c r="P650" t="n">
        <v>0</v>
      </c>
      <c r="Q650" t="n">
        <v>0</v>
      </c>
      <c r="R650" s="2" t="inlineStr"/>
    </row>
    <row r="651" ht="15" customHeight="1">
      <c r="A651" t="inlineStr">
        <is>
          <t>A 19058-2023</t>
        </is>
      </c>
      <c r="B651" s="1" t="n">
        <v>45048</v>
      </c>
      <c r="C651" s="1" t="n">
        <v>45895</v>
      </c>
      <c r="D651" t="inlineStr">
        <is>
          <t>STOCKHOLMS LÄN</t>
        </is>
      </c>
      <c r="E651" t="inlineStr">
        <is>
          <t>NORRTÄLJE</t>
        </is>
      </c>
      <c r="G651" t="n">
        <v>3.7</v>
      </c>
      <c r="H651" t="n">
        <v>0</v>
      </c>
      <c r="I651" t="n">
        <v>0</v>
      </c>
      <c r="J651" t="n">
        <v>0</v>
      </c>
      <c r="K651" t="n">
        <v>0</v>
      </c>
      <c r="L651" t="n">
        <v>0</v>
      </c>
      <c r="M651" t="n">
        <v>0</v>
      </c>
      <c r="N651" t="n">
        <v>0</v>
      </c>
      <c r="O651" t="n">
        <v>0</v>
      </c>
      <c r="P651" t="n">
        <v>0</v>
      </c>
      <c r="Q651" t="n">
        <v>0</v>
      </c>
      <c r="R651" s="2" t="inlineStr"/>
    </row>
    <row r="652" ht="15" customHeight="1">
      <c r="A652" t="inlineStr">
        <is>
          <t>A 67393-2020</t>
        </is>
      </c>
      <c r="B652" s="1" t="n">
        <v>44181</v>
      </c>
      <c r="C652" s="1" t="n">
        <v>45895</v>
      </c>
      <c r="D652" t="inlineStr">
        <is>
          <t>STOCKHOLMS LÄN</t>
        </is>
      </c>
      <c r="E652" t="inlineStr">
        <is>
          <t>NORRTÄLJE</t>
        </is>
      </c>
      <c r="G652" t="n">
        <v>5.5</v>
      </c>
      <c r="H652" t="n">
        <v>0</v>
      </c>
      <c r="I652" t="n">
        <v>0</v>
      </c>
      <c r="J652" t="n">
        <v>0</v>
      </c>
      <c r="K652" t="n">
        <v>0</v>
      </c>
      <c r="L652" t="n">
        <v>0</v>
      </c>
      <c r="M652" t="n">
        <v>0</v>
      </c>
      <c r="N652" t="n">
        <v>0</v>
      </c>
      <c r="O652" t="n">
        <v>0</v>
      </c>
      <c r="P652" t="n">
        <v>0</v>
      </c>
      <c r="Q652" t="n">
        <v>0</v>
      </c>
      <c r="R652" s="2" t="inlineStr"/>
    </row>
    <row r="653" ht="15" customHeight="1">
      <c r="A653" t="inlineStr">
        <is>
          <t>A 23801-2022</t>
        </is>
      </c>
      <c r="B653" s="1" t="n">
        <v>44722</v>
      </c>
      <c r="C653" s="1" t="n">
        <v>45895</v>
      </c>
      <c r="D653" t="inlineStr">
        <is>
          <t>STOCKHOLMS LÄN</t>
        </is>
      </c>
      <c r="E653" t="inlineStr">
        <is>
          <t>NORRTÄLJE</t>
        </is>
      </c>
      <c r="G653" t="n">
        <v>6.8</v>
      </c>
      <c r="H653" t="n">
        <v>0</v>
      </c>
      <c r="I653" t="n">
        <v>0</v>
      </c>
      <c r="J653" t="n">
        <v>0</v>
      </c>
      <c r="K653" t="n">
        <v>0</v>
      </c>
      <c r="L653" t="n">
        <v>0</v>
      </c>
      <c r="M653" t="n">
        <v>0</v>
      </c>
      <c r="N653" t="n">
        <v>0</v>
      </c>
      <c r="O653" t="n">
        <v>0</v>
      </c>
      <c r="P653" t="n">
        <v>0</v>
      </c>
      <c r="Q653" t="n">
        <v>0</v>
      </c>
      <c r="R653" s="2" t="inlineStr"/>
    </row>
    <row r="654" ht="15" customHeight="1">
      <c r="A654" t="inlineStr">
        <is>
          <t>A 14127-2025</t>
        </is>
      </c>
      <c r="B654" s="1" t="n">
        <v>45740.47055555556</v>
      </c>
      <c r="C654" s="1" t="n">
        <v>45895</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31559-2022</t>
        </is>
      </c>
      <c r="B655" s="1" t="n">
        <v>44775</v>
      </c>
      <c r="C655" s="1" t="n">
        <v>45895</v>
      </c>
      <c r="D655" t="inlineStr">
        <is>
          <t>STOCKHOLMS LÄN</t>
        </is>
      </c>
      <c r="E655" t="inlineStr">
        <is>
          <t>NORRTÄLJE</t>
        </is>
      </c>
      <c r="G655" t="n">
        <v>5.6</v>
      </c>
      <c r="H655" t="n">
        <v>0</v>
      </c>
      <c r="I655" t="n">
        <v>0</v>
      </c>
      <c r="J655" t="n">
        <v>0</v>
      </c>
      <c r="K655" t="n">
        <v>0</v>
      </c>
      <c r="L655" t="n">
        <v>0</v>
      </c>
      <c r="M655" t="n">
        <v>0</v>
      </c>
      <c r="N655" t="n">
        <v>0</v>
      </c>
      <c r="O655" t="n">
        <v>0</v>
      </c>
      <c r="P655" t="n">
        <v>0</v>
      </c>
      <c r="Q655" t="n">
        <v>0</v>
      </c>
      <c r="R655" s="2" t="inlineStr"/>
    </row>
    <row r="656" ht="15" customHeight="1">
      <c r="A656" t="inlineStr">
        <is>
          <t>A 52001-2023</t>
        </is>
      </c>
      <c r="B656" s="1" t="n">
        <v>45223</v>
      </c>
      <c r="C656" s="1" t="n">
        <v>45895</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33353-2023</t>
        </is>
      </c>
      <c r="B657" s="1" t="n">
        <v>45128</v>
      </c>
      <c r="C657" s="1" t="n">
        <v>45895</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22456-2023</t>
        </is>
      </c>
      <c r="B658" s="1" t="n">
        <v>45070</v>
      </c>
      <c r="C658" s="1" t="n">
        <v>45895</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35478-2025</t>
        </is>
      </c>
      <c r="B659" s="1" t="n">
        <v>45855.68413194444</v>
      </c>
      <c r="C659" s="1" t="n">
        <v>45895</v>
      </c>
      <c r="D659" t="inlineStr">
        <is>
          <t>STOCKHOLMS LÄN</t>
        </is>
      </c>
      <c r="E659" t="inlineStr">
        <is>
          <t>NORRTÄLJE</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35451-2025</t>
        </is>
      </c>
      <c r="B660" s="1" t="n">
        <v>45855.57033564815</v>
      </c>
      <c r="C660" s="1" t="n">
        <v>45895</v>
      </c>
      <c r="D660" t="inlineStr">
        <is>
          <t>STOCKHOLMS LÄN</t>
        </is>
      </c>
      <c r="E660" t="inlineStr">
        <is>
          <t>NORRTÄLJE</t>
        </is>
      </c>
      <c r="F660" t="inlineStr">
        <is>
          <t>Holmen skog AB</t>
        </is>
      </c>
      <c r="G660" t="n">
        <v>7.4</v>
      </c>
      <c r="H660" t="n">
        <v>0</v>
      </c>
      <c r="I660" t="n">
        <v>0</v>
      </c>
      <c r="J660" t="n">
        <v>0</v>
      </c>
      <c r="K660" t="n">
        <v>0</v>
      </c>
      <c r="L660" t="n">
        <v>0</v>
      </c>
      <c r="M660" t="n">
        <v>0</v>
      </c>
      <c r="N660" t="n">
        <v>0</v>
      </c>
      <c r="O660" t="n">
        <v>0</v>
      </c>
      <c r="P660" t="n">
        <v>0</v>
      </c>
      <c r="Q660" t="n">
        <v>0</v>
      </c>
      <c r="R660" s="2" t="inlineStr"/>
    </row>
    <row r="661" ht="15" customHeight="1">
      <c r="A661" t="inlineStr">
        <is>
          <t>A 27677-2025</t>
        </is>
      </c>
      <c r="B661" s="1" t="n">
        <v>45813.63650462963</v>
      </c>
      <c r="C661" s="1" t="n">
        <v>45895</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27697-2025</t>
        </is>
      </c>
      <c r="B662" s="1" t="n">
        <v>45813.66961805556</v>
      </c>
      <c r="C662" s="1" t="n">
        <v>45895</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27700-2025</t>
        </is>
      </c>
      <c r="B663" s="1" t="n">
        <v>45813.6799537037</v>
      </c>
      <c r="C663" s="1" t="n">
        <v>45895</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19580-2022</t>
        </is>
      </c>
      <c r="B664" s="1" t="n">
        <v>44693</v>
      </c>
      <c r="C664" s="1" t="n">
        <v>45895</v>
      </c>
      <c r="D664" t="inlineStr">
        <is>
          <t>STOCKHOLMS LÄN</t>
        </is>
      </c>
      <c r="E664" t="inlineStr">
        <is>
          <t>NORRTÄLJE</t>
        </is>
      </c>
      <c r="G664" t="n">
        <v>0.4</v>
      </c>
      <c r="H664" t="n">
        <v>0</v>
      </c>
      <c r="I664" t="n">
        <v>0</v>
      </c>
      <c r="J664" t="n">
        <v>0</v>
      </c>
      <c r="K664" t="n">
        <v>0</v>
      </c>
      <c r="L664" t="n">
        <v>0</v>
      </c>
      <c r="M664" t="n">
        <v>0</v>
      </c>
      <c r="N664" t="n">
        <v>0</v>
      </c>
      <c r="O664" t="n">
        <v>0</v>
      </c>
      <c r="P664" t="n">
        <v>0</v>
      </c>
      <c r="Q664" t="n">
        <v>0</v>
      </c>
      <c r="R664" s="2" t="inlineStr"/>
    </row>
    <row r="665" ht="15" customHeight="1">
      <c r="A665" t="inlineStr">
        <is>
          <t>A 35479-2025</t>
        </is>
      </c>
      <c r="B665" s="1" t="n">
        <v>45855.69387731481</v>
      </c>
      <c r="C665" s="1" t="n">
        <v>45895</v>
      </c>
      <c r="D665" t="inlineStr">
        <is>
          <t>STOCKHOLMS LÄN</t>
        </is>
      </c>
      <c r="E665" t="inlineStr">
        <is>
          <t>NORRTÄLJE</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35708-2022</t>
        </is>
      </c>
      <c r="B666" s="1" t="n">
        <v>44799.65013888889</v>
      </c>
      <c r="C666" s="1" t="n">
        <v>45895</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5823-2023</t>
        </is>
      </c>
      <c r="B667" s="1" t="n">
        <v>44963</v>
      </c>
      <c r="C667" s="1" t="n">
        <v>45895</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30731-2023</t>
        </is>
      </c>
      <c r="B668" s="1" t="n">
        <v>45112</v>
      </c>
      <c r="C668" s="1" t="n">
        <v>45895</v>
      </c>
      <c r="D668" t="inlineStr">
        <is>
          <t>STOCKHOLMS LÄN</t>
        </is>
      </c>
      <c r="E668" t="inlineStr">
        <is>
          <t>NORRTÄLJE</t>
        </is>
      </c>
      <c r="G668" t="n">
        <v>1.6</v>
      </c>
      <c r="H668" t="n">
        <v>0</v>
      </c>
      <c r="I668" t="n">
        <v>0</v>
      </c>
      <c r="J668" t="n">
        <v>0</v>
      </c>
      <c r="K668" t="n">
        <v>0</v>
      </c>
      <c r="L668" t="n">
        <v>0</v>
      </c>
      <c r="M668" t="n">
        <v>0</v>
      </c>
      <c r="N668" t="n">
        <v>0</v>
      </c>
      <c r="O668" t="n">
        <v>0</v>
      </c>
      <c r="P668" t="n">
        <v>0</v>
      </c>
      <c r="Q668" t="n">
        <v>0</v>
      </c>
      <c r="R668" s="2" t="inlineStr"/>
    </row>
    <row r="669" ht="15" customHeight="1">
      <c r="A669" t="inlineStr">
        <is>
          <t>A 3426-2025</t>
        </is>
      </c>
      <c r="B669" s="1" t="n">
        <v>45680.42665509259</v>
      </c>
      <c r="C669" s="1" t="n">
        <v>45895</v>
      </c>
      <c r="D669" t="inlineStr">
        <is>
          <t>STOCKHOLMS LÄN</t>
        </is>
      </c>
      <c r="E669" t="inlineStr">
        <is>
          <t>NORRTÄLJE</t>
        </is>
      </c>
      <c r="G669" t="n">
        <v>3.2</v>
      </c>
      <c r="H669" t="n">
        <v>0</v>
      </c>
      <c r="I669" t="n">
        <v>0</v>
      </c>
      <c r="J669" t="n">
        <v>0</v>
      </c>
      <c r="K669" t="n">
        <v>0</v>
      </c>
      <c r="L669" t="n">
        <v>0</v>
      </c>
      <c r="M669" t="n">
        <v>0</v>
      </c>
      <c r="N669" t="n">
        <v>0</v>
      </c>
      <c r="O669" t="n">
        <v>0</v>
      </c>
      <c r="P669" t="n">
        <v>0</v>
      </c>
      <c r="Q669" t="n">
        <v>0</v>
      </c>
      <c r="R669" s="2" t="inlineStr"/>
    </row>
    <row r="670" ht="15" customHeight="1">
      <c r="A670" t="inlineStr">
        <is>
          <t>A 9-2024</t>
        </is>
      </c>
      <c r="B670" s="1" t="n">
        <v>45293</v>
      </c>
      <c r="C670" s="1" t="n">
        <v>45895</v>
      </c>
      <c r="D670" t="inlineStr">
        <is>
          <t>STOCKHOLMS LÄN</t>
        </is>
      </c>
      <c r="E670" t="inlineStr">
        <is>
          <t>NORRTÄLJE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51312-2023</t>
        </is>
      </c>
      <c r="B671" s="1" t="n">
        <v>45219.56697916667</v>
      </c>
      <c r="C671" s="1" t="n">
        <v>45895</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11988-2021</t>
        </is>
      </c>
      <c r="B672" s="1" t="n">
        <v>44266</v>
      </c>
      <c r="C672" s="1" t="n">
        <v>45895</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12132-2021</t>
        </is>
      </c>
      <c r="B673" s="1" t="n">
        <v>44266</v>
      </c>
      <c r="C673" s="1" t="n">
        <v>45895</v>
      </c>
      <c r="D673" t="inlineStr">
        <is>
          <t>STOCKHOLMS LÄN</t>
        </is>
      </c>
      <c r="E673" t="inlineStr">
        <is>
          <t>NORRTÄLJE</t>
        </is>
      </c>
      <c r="G673" t="n">
        <v>4</v>
      </c>
      <c r="H673" t="n">
        <v>0</v>
      </c>
      <c r="I673" t="n">
        <v>0</v>
      </c>
      <c r="J673" t="n">
        <v>0</v>
      </c>
      <c r="K673" t="n">
        <v>0</v>
      </c>
      <c r="L673" t="n">
        <v>0</v>
      </c>
      <c r="M673" t="n">
        <v>0</v>
      </c>
      <c r="N673" t="n">
        <v>0</v>
      </c>
      <c r="O673" t="n">
        <v>0</v>
      </c>
      <c r="P673" t="n">
        <v>0</v>
      </c>
      <c r="Q673" t="n">
        <v>0</v>
      </c>
      <c r="R673" s="2" t="inlineStr"/>
    </row>
    <row r="674" ht="15" customHeight="1">
      <c r="A674" t="inlineStr">
        <is>
          <t>A 27554-2025</t>
        </is>
      </c>
      <c r="B674" s="1" t="n">
        <v>45813.4709375</v>
      </c>
      <c r="C674" s="1" t="n">
        <v>45895</v>
      </c>
      <c r="D674" t="inlineStr">
        <is>
          <t>STOCKHOLMS LÄN</t>
        </is>
      </c>
      <c r="E674" t="inlineStr">
        <is>
          <t>NORRTÄLJE</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11849-2025</t>
        </is>
      </c>
      <c r="B675" s="1" t="n">
        <v>45728.38409722222</v>
      </c>
      <c r="C675" s="1" t="n">
        <v>45895</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38610-2022</t>
        </is>
      </c>
      <c r="B676" s="1" t="n">
        <v>44813.59915509259</v>
      </c>
      <c r="C676" s="1" t="n">
        <v>45895</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22816-2021</t>
        </is>
      </c>
      <c r="B677" s="1" t="n">
        <v>44325</v>
      </c>
      <c r="C677" s="1" t="n">
        <v>45895</v>
      </c>
      <c r="D677" t="inlineStr">
        <is>
          <t>STOCKHOLMS LÄN</t>
        </is>
      </c>
      <c r="E677" t="inlineStr">
        <is>
          <t>NORRTÄLJE</t>
        </is>
      </c>
      <c r="G677" t="n">
        <v>4.5</v>
      </c>
      <c r="H677" t="n">
        <v>0</v>
      </c>
      <c r="I677" t="n">
        <v>0</v>
      </c>
      <c r="J677" t="n">
        <v>0</v>
      </c>
      <c r="K677" t="n">
        <v>0</v>
      </c>
      <c r="L677" t="n">
        <v>0</v>
      </c>
      <c r="M677" t="n">
        <v>0</v>
      </c>
      <c r="N677" t="n">
        <v>0</v>
      </c>
      <c r="O677" t="n">
        <v>0</v>
      </c>
      <c r="P677" t="n">
        <v>0</v>
      </c>
      <c r="Q677" t="n">
        <v>0</v>
      </c>
      <c r="R677" s="2" t="inlineStr"/>
    </row>
    <row r="678" ht="15" customHeight="1">
      <c r="A678" t="inlineStr">
        <is>
          <t>A 51653-2022</t>
        </is>
      </c>
      <c r="B678" s="1" t="n">
        <v>44867</v>
      </c>
      <c r="C678" s="1" t="n">
        <v>45895</v>
      </c>
      <c r="D678" t="inlineStr">
        <is>
          <t>STOCKHOLMS LÄN</t>
        </is>
      </c>
      <c r="E678" t="inlineStr">
        <is>
          <t>NORRTÄLJE</t>
        </is>
      </c>
      <c r="G678" t="n">
        <v>6.6</v>
      </c>
      <c r="H678" t="n">
        <v>0</v>
      </c>
      <c r="I678" t="n">
        <v>0</v>
      </c>
      <c r="J678" t="n">
        <v>0</v>
      </c>
      <c r="K678" t="n">
        <v>0</v>
      </c>
      <c r="L678" t="n">
        <v>0</v>
      </c>
      <c r="M678" t="n">
        <v>0</v>
      </c>
      <c r="N678" t="n">
        <v>0</v>
      </c>
      <c r="O678" t="n">
        <v>0</v>
      </c>
      <c r="P678" t="n">
        <v>0</v>
      </c>
      <c r="Q678" t="n">
        <v>0</v>
      </c>
      <c r="R678" s="2" t="inlineStr"/>
    </row>
    <row r="679" ht="15" customHeight="1">
      <c r="A679" t="inlineStr">
        <is>
          <t>A 32103-2022</t>
        </is>
      </c>
      <c r="B679" s="1" t="n">
        <v>44778</v>
      </c>
      <c r="C679" s="1" t="n">
        <v>45895</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55952-2024</t>
        </is>
      </c>
      <c r="B680" s="1" t="n">
        <v>45623.62563657408</v>
      </c>
      <c r="C680" s="1" t="n">
        <v>45895</v>
      </c>
      <c r="D680" t="inlineStr">
        <is>
          <t>STOCKHOLMS LÄN</t>
        </is>
      </c>
      <c r="E680" t="inlineStr">
        <is>
          <t>NORRTÄLJE</t>
        </is>
      </c>
      <c r="F680" t="inlineStr">
        <is>
          <t>Holmen skog AB</t>
        </is>
      </c>
      <c r="G680" t="n">
        <v>2.8</v>
      </c>
      <c r="H680" t="n">
        <v>0</v>
      </c>
      <c r="I680" t="n">
        <v>0</v>
      </c>
      <c r="J680" t="n">
        <v>0</v>
      </c>
      <c r="K680" t="n">
        <v>0</v>
      </c>
      <c r="L680" t="n">
        <v>0</v>
      </c>
      <c r="M680" t="n">
        <v>0</v>
      </c>
      <c r="N680" t="n">
        <v>0</v>
      </c>
      <c r="O680" t="n">
        <v>0</v>
      </c>
      <c r="P680" t="n">
        <v>0</v>
      </c>
      <c r="Q680" t="n">
        <v>0</v>
      </c>
      <c r="R680" s="2" t="inlineStr"/>
    </row>
    <row r="681" ht="15" customHeight="1">
      <c r="A681" t="inlineStr">
        <is>
          <t>A 23070-2023</t>
        </is>
      </c>
      <c r="B681" s="1" t="n">
        <v>45075</v>
      </c>
      <c r="C681" s="1" t="n">
        <v>45895</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8792-2025</t>
        </is>
      </c>
      <c r="B682" s="1" t="n">
        <v>45712</v>
      </c>
      <c r="C682" s="1" t="n">
        <v>45895</v>
      </c>
      <c r="D682" t="inlineStr">
        <is>
          <t>STOCKHOLMS LÄN</t>
        </is>
      </c>
      <c r="E682" t="inlineStr">
        <is>
          <t>NORRTÄLJE</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7571-2024</t>
        </is>
      </c>
      <c r="B683" s="1" t="n">
        <v>45348.46300925926</v>
      </c>
      <c r="C683" s="1" t="n">
        <v>45895</v>
      </c>
      <c r="D683" t="inlineStr">
        <is>
          <t>STOCKHOLMS LÄN</t>
        </is>
      </c>
      <c r="E683" t="inlineStr">
        <is>
          <t>NORRTÄLJE</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11901-2024</t>
        </is>
      </c>
      <c r="B684" s="1" t="n">
        <v>45376.55638888889</v>
      </c>
      <c r="C684" s="1" t="n">
        <v>45895</v>
      </c>
      <c r="D684" t="inlineStr">
        <is>
          <t>STOCKHOLMS LÄN</t>
        </is>
      </c>
      <c r="E684" t="inlineStr">
        <is>
          <t>NORRTÄLJE</t>
        </is>
      </c>
      <c r="F684" t="inlineStr">
        <is>
          <t>Holmen skog AB</t>
        </is>
      </c>
      <c r="G684" t="n">
        <v>3.5</v>
      </c>
      <c r="H684" t="n">
        <v>0</v>
      </c>
      <c r="I684" t="n">
        <v>0</v>
      </c>
      <c r="J684" t="n">
        <v>0</v>
      </c>
      <c r="K684" t="n">
        <v>0</v>
      </c>
      <c r="L684" t="n">
        <v>0</v>
      </c>
      <c r="M684" t="n">
        <v>0</v>
      </c>
      <c r="N684" t="n">
        <v>0</v>
      </c>
      <c r="O684" t="n">
        <v>0</v>
      </c>
      <c r="P684" t="n">
        <v>0</v>
      </c>
      <c r="Q684" t="n">
        <v>0</v>
      </c>
      <c r="R684" s="2" t="inlineStr"/>
    </row>
    <row r="685" ht="15" customHeight="1">
      <c r="A685" t="inlineStr">
        <is>
          <t>A 36269-2022</t>
        </is>
      </c>
      <c r="B685" s="1" t="n">
        <v>44803</v>
      </c>
      <c r="C685" s="1" t="n">
        <v>45895</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46071-2024</t>
        </is>
      </c>
      <c r="B686" s="1" t="n">
        <v>45581</v>
      </c>
      <c r="C686" s="1" t="n">
        <v>45895</v>
      </c>
      <c r="D686" t="inlineStr">
        <is>
          <t>STOCKHOLMS LÄN</t>
        </is>
      </c>
      <c r="E686" t="inlineStr">
        <is>
          <t>NORRTÄLJE</t>
        </is>
      </c>
      <c r="G686" t="n">
        <v>2.3</v>
      </c>
      <c r="H686" t="n">
        <v>0</v>
      </c>
      <c r="I686" t="n">
        <v>0</v>
      </c>
      <c r="J686" t="n">
        <v>0</v>
      </c>
      <c r="K686" t="n">
        <v>0</v>
      </c>
      <c r="L686" t="n">
        <v>0</v>
      </c>
      <c r="M686" t="n">
        <v>0</v>
      </c>
      <c r="N686" t="n">
        <v>0</v>
      </c>
      <c r="O686" t="n">
        <v>0</v>
      </c>
      <c r="P686" t="n">
        <v>0</v>
      </c>
      <c r="Q686" t="n">
        <v>0</v>
      </c>
      <c r="R686" s="2" t="inlineStr"/>
    </row>
    <row r="687" ht="15" customHeight="1">
      <c r="A687" t="inlineStr">
        <is>
          <t>A 59468-2023</t>
        </is>
      </c>
      <c r="B687" s="1" t="n">
        <v>45254.41509259259</v>
      </c>
      <c r="C687" s="1" t="n">
        <v>45895</v>
      </c>
      <c r="D687" t="inlineStr">
        <is>
          <t>STOCKHOLMS LÄN</t>
        </is>
      </c>
      <c r="E687" t="inlineStr">
        <is>
          <t>NORRTÄLJE</t>
        </is>
      </c>
      <c r="G687" t="n">
        <v>1.7</v>
      </c>
      <c r="H687" t="n">
        <v>0</v>
      </c>
      <c r="I687" t="n">
        <v>0</v>
      </c>
      <c r="J687" t="n">
        <v>0</v>
      </c>
      <c r="K687" t="n">
        <v>0</v>
      </c>
      <c r="L687" t="n">
        <v>0</v>
      </c>
      <c r="M687" t="n">
        <v>0</v>
      </c>
      <c r="N687" t="n">
        <v>0</v>
      </c>
      <c r="O687" t="n">
        <v>0</v>
      </c>
      <c r="P687" t="n">
        <v>0</v>
      </c>
      <c r="Q687" t="n">
        <v>0</v>
      </c>
      <c r="R687" s="2" t="inlineStr"/>
    </row>
    <row r="688" ht="15" customHeight="1">
      <c r="A688" t="inlineStr">
        <is>
          <t>A 18846-2022</t>
        </is>
      </c>
      <c r="B688" s="1" t="n">
        <v>44690</v>
      </c>
      <c r="C688" s="1" t="n">
        <v>45895</v>
      </c>
      <c r="D688" t="inlineStr">
        <is>
          <t>STOCKHOLMS LÄN</t>
        </is>
      </c>
      <c r="E688" t="inlineStr">
        <is>
          <t>NORRTÄLJE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5665-2025</t>
        </is>
      </c>
      <c r="B689" s="1" t="n">
        <v>45693</v>
      </c>
      <c r="C689" s="1" t="n">
        <v>45895</v>
      </c>
      <c r="D689" t="inlineStr">
        <is>
          <t>STOCKHOLMS LÄN</t>
        </is>
      </c>
      <c r="E689" t="inlineStr">
        <is>
          <t>NORRTÄLJE</t>
        </is>
      </c>
      <c r="G689" t="n">
        <v>4</v>
      </c>
      <c r="H689" t="n">
        <v>0</v>
      </c>
      <c r="I689" t="n">
        <v>0</v>
      </c>
      <c r="J689" t="n">
        <v>0</v>
      </c>
      <c r="K689" t="n">
        <v>0</v>
      </c>
      <c r="L689" t="n">
        <v>0</v>
      </c>
      <c r="M689" t="n">
        <v>0</v>
      </c>
      <c r="N689" t="n">
        <v>0</v>
      </c>
      <c r="O689" t="n">
        <v>0</v>
      </c>
      <c r="P689" t="n">
        <v>0</v>
      </c>
      <c r="Q689" t="n">
        <v>0</v>
      </c>
      <c r="R689" s="2" t="inlineStr"/>
    </row>
    <row r="690" ht="15" customHeight="1">
      <c r="A690" t="inlineStr">
        <is>
          <t>A 12407-2025</t>
        </is>
      </c>
      <c r="B690" s="1" t="n">
        <v>45730.42851851852</v>
      </c>
      <c r="C690" s="1" t="n">
        <v>45895</v>
      </c>
      <c r="D690" t="inlineStr">
        <is>
          <t>STOCKHOLMS LÄN</t>
        </is>
      </c>
      <c r="E690" t="inlineStr">
        <is>
          <t>NORRTÄLJE</t>
        </is>
      </c>
      <c r="F690" t="inlineStr">
        <is>
          <t>Holmen skog AB</t>
        </is>
      </c>
      <c r="G690" t="n">
        <v>2.6</v>
      </c>
      <c r="H690" t="n">
        <v>0</v>
      </c>
      <c r="I690" t="n">
        <v>0</v>
      </c>
      <c r="J690" t="n">
        <v>0</v>
      </c>
      <c r="K690" t="n">
        <v>0</v>
      </c>
      <c r="L690" t="n">
        <v>0</v>
      </c>
      <c r="M690" t="n">
        <v>0</v>
      </c>
      <c r="N690" t="n">
        <v>0</v>
      </c>
      <c r="O690" t="n">
        <v>0</v>
      </c>
      <c r="P690" t="n">
        <v>0</v>
      </c>
      <c r="Q690" t="n">
        <v>0</v>
      </c>
      <c r="R690" s="2" t="inlineStr"/>
    </row>
    <row r="691" ht="15" customHeight="1">
      <c r="A691" t="inlineStr">
        <is>
          <t>A 26636-2023</t>
        </is>
      </c>
      <c r="B691" s="1" t="n">
        <v>45092</v>
      </c>
      <c r="C691" s="1" t="n">
        <v>45895</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26637-2023</t>
        </is>
      </c>
      <c r="B692" s="1" t="n">
        <v>45092</v>
      </c>
      <c r="C692" s="1" t="n">
        <v>45895</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27802-2025</t>
        </is>
      </c>
      <c r="B693" s="1" t="n">
        <v>45817.2565625</v>
      </c>
      <c r="C693" s="1" t="n">
        <v>45895</v>
      </c>
      <c r="D693" t="inlineStr">
        <is>
          <t>STOCKHOLMS LÄN</t>
        </is>
      </c>
      <c r="E693" t="inlineStr">
        <is>
          <t>NORRTÄLJE</t>
        </is>
      </c>
      <c r="G693" t="n">
        <v>3</v>
      </c>
      <c r="H693" t="n">
        <v>0</v>
      </c>
      <c r="I693" t="n">
        <v>0</v>
      </c>
      <c r="J693" t="n">
        <v>0</v>
      </c>
      <c r="K693" t="n">
        <v>0</v>
      </c>
      <c r="L693" t="n">
        <v>0</v>
      </c>
      <c r="M693" t="n">
        <v>0</v>
      </c>
      <c r="N693" t="n">
        <v>0</v>
      </c>
      <c r="O693" t="n">
        <v>0</v>
      </c>
      <c r="P693" t="n">
        <v>0</v>
      </c>
      <c r="Q693" t="n">
        <v>0</v>
      </c>
      <c r="R693" s="2" t="inlineStr"/>
    </row>
    <row r="694" ht="15" customHeight="1">
      <c r="A694" t="inlineStr">
        <is>
          <t>A 27806-2025</t>
        </is>
      </c>
      <c r="B694" s="1" t="n">
        <v>45817.30329861111</v>
      </c>
      <c r="C694" s="1" t="n">
        <v>45895</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27808-2025</t>
        </is>
      </c>
      <c r="B695" s="1" t="n">
        <v>45817.31085648148</v>
      </c>
      <c r="C695" s="1" t="n">
        <v>45895</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27810-2025</t>
        </is>
      </c>
      <c r="B696" s="1" t="n">
        <v>45817.31708333334</v>
      </c>
      <c r="C696" s="1" t="n">
        <v>45895</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27811-2025</t>
        </is>
      </c>
      <c r="B697" s="1" t="n">
        <v>45817.31986111111</v>
      </c>
      <c r="C697" s="1" t="n">
        <v>45895</v>
      </c>
      <c r="D697" t="inlineStr">
        <is>
          <t>STOCKHOLMS LÄN</t>
        </is>
      </c>
      <c r="E697" t="inlineStr">
        <is>
          <t>NORRTÄLJE</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27818-2025</t>
        </is>
      </c>
      <c r="B698" s="1" t="n">
        <v>45817.33503472222</v>
      </c>
      <c r="C698" s="1" t="n">
        <v>45895</v>
      </c>
      <c r="D698" t="inlineStr">
        <is>
          <t>STOCKHOLMS LÄN</t>
        </is>
      </c>
      <c r="E698" t="inlineStr">
        <is>
          <t>NORRTÄLJE</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35636-2025</t>
        </is>
      </c>
      <c r="B699" s="1" t="n">
        <v>45859</v>
      </c>
      <c r="C699" s="1" t="n">
        <v>45895</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35639-2025</t>
        </is>
      </c>
      <c r="B700" s="1" t="n">
        <v>45859</v>
      </c>
      <c r="C700" s="1" t="n">
        <v>45895</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23266-2023</t>
        </is>
      </c>
      <c r="B701" s="1" t="n">
        <v>45075.90817129629</v>
      </c>
      <c r="C701" s="1" t="n">
        <v>45895</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15528-2025</t>
        </is>
      </c>
      <c r="B702" s="1" t="n">
        <v>45747.63471064815</v>
      </c>
      <c r="C702" s="1" t="n">
        <v>45895</v>
      </c>
      <c r="D702" t="inlineStr">
        <is>
          <t>STOCKHOLMS LÄN</t>
        </is>
      </c>
      <c r="E702" t="inlineStr">
        <is>
          <t>NORRTÄLJE</t>
        </is>
      </c>
      <c r="G702" t="n">
        <v>10</v>
      </c>
      <c r="H702" t="n">
        <v>0</v>
      </c>
      <c r="I702" t="n">
        <v>0</v>
      </c>
      <c r="J702" t="n">
        <v>0</v>
      </c>
      <c r="K702" t="n">
        <v>0</v>
      </c>
      <c r="L702" t="n">
        <v>0</v>
      </c>
      <c r="M702" t="n">
        <v>0</v>
      </c>
      <c r="N702" t="n">
        <v>0</v>
      </c>
      <c r="O702" t="n">
        <v>0</v>
      </c>
      <c r="P702" t="n">
        <v>0</v>
      </c>
      <c r="Q702" t="n">
        <v>0</v>
      </c>
      <c r="R702" s="2" t="inlineStr"/>
    </row>
    <row r="703" ht="15" customHeight="1">
      <c r="A703" t="inlineStr">
        <is>
          <t>A 35161-2022</t>
        </is>
      </c>
      <c r="B703" s="1" t="n">
        <v>44797</v>
      </c>
      <c r="C703" s="1" t="n">
        <v>45895</v>
      </c>
      <c r="D703" t="inlineStr">
        <is>
          <t>STOCKHOLMS LÄN</t>
        </is>
      </c>
      <c r="E703" t="inlineStr">
        <is>
          <t>NORRTÄLJE</t>
        </is>
      </c>
      <c r="G703" t="n">
        <v>6</v>
      </c>
      <c r="H703" t="n">
        <v>0</v>
      </c>
      <c r="I703" t="n">
        <v>0</v>
      </c>
      <c r="J703" t="n">
        <v>0</v>
      </c>
      <c r="K703" t="n">
        <v>0</v>
      </c>
      <c r="L703" t="n">
        <v>0</v>
      </c>
      <c r="M703" t="n">
        <v>0</v>
      </c>
      <c r="N703" t="n">
        <v>0</v>
      </c>
      <c r="O703" t="n">
        <v>0</v>
      </c>
      <c r="P703" t="n">
        <v>0</v>
      </c>
      <c r="Q703" t="n">
        <v>0</v>
      </c>
      <c r="R703" s="2" t="inlineStr"/>
    </row>
    <row r="704" ht="15" customHeight="1">
      <c r="A704" t="inlineStr">
        <is>
          <t>A 27803-2025</t>
        </is>
      </c>
      <c r="B704" s="1" t="n">
        <v>45817.291875</v>
      </c>
      <c r="C704" s="1" t="n">
        <v>45895</v>
      </c>
      <c r="D704" t="inlineStr">
        <is>
          <t>STOCKHOLMS LÄN</t>
        </is>
      </c>
      <c r="E704" t="inlineStr">
        <is>
          <t>NORRTÄLJE</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27813-2025</t>
        </is>
      </c>
      <c r="B705" s="1" t="n">
        <v>45817.32538194444</v>
      </c>
      <c r="C705" s="1" t="n">
        <v>45895</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12535-2025</t>
        </is>
      </c>
      <c r="B706" s="1" t="n">
        <v>45730.69502314815</v>
      </c>
      <c r="C706" s="1" t="n">
        <v>45895</v>
      </c>
      <c r="D706" t="inlineStr">
        <is>
          <t>STOCKHOLMS LÄN</t>
        </is>
      </c>
      <c r="E706" t="inlineStr">
        <is>
          <t>NORRTÄLJE</t>
        </is>
      </c>
      <c r="G706" t="n">
        <v>7.1</v>
      </c>
      <c r="H706" t="n">
        <v>0</v>
      </c>
      <c r="I706" t="n">
        <v>0</v>
      </c>
      <c r="J706" t="n">
        <v>0</v>
      </c>
      <c r="K706" t="n">
        <v>0</v>
      </c>
      <c r="L706" t="n">
        <v>0</v>
      </c>
      <c r="M706" t="n">
        <v>0</v>
      </c>
      <c r="N706" t="n">
        <v>0</v>
      </c>
      <c r="O706" t="n">
        <v>0</v>
      </c>
      <c r="P706" t="n">
        <v>0</v>
      </c>
      <c r="Q706" t="n">
        <v>0</v>
      </c>
      <c r="R706" s="2" t="inlineStr"/>
    </row>
    <row r="707" ht="15" customHeight="1">
      <c r="A707" t="inlineStr">
        <is>
          <t>A 27801-2025</t>
        </is>
      </c>
      <c r="B707" s="1" t="n">
        <v>45817.25471064815</v>
      </c>
      <c r="C707" s="1" t="n">
        <v>45895</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574-2023</t>
        </is>
      </c>
      <c r="B708" s="1" t="n">
        <v>44925</v>
      </c>
      <c r="C708" s="1" t="n">
        <v>45895</v>
      </c>
      <c r="D708" t="inlineStr">
        <is>
          <t>STOCKHOLMS LÄN</t>
        </is>
      </c>
      <c r="E708" t="inlineStr">
        <is>
          <t>NORRTÄLJE</t>
        </is>
      </c>
      <c r="G708" t="n">
        <v>5</v>
      </c>
      <c r="H708" t="n">
        <v>0</v>
      </c>
      <c r="I708" t="n">
        <v>0</v>
      </c>
      <c r="J708" t="n">
        <v>0</v>
      </c>
      <c r="K708" t="n">
        <v>0</v>
      </c>
      <c r="L708" t="n">
        <v>0</v>
      </c>
      <c r="M708" t="n">
        <v>0</v>
      </c>
      <c r="N708" t="n">
        <v>0</v>
      </c>
      <c r="O708" t="n">
        <v>0</v>
      </c>
      <c r="P708" t="n">
        <v>0</v>
      </c>
      <c r="Q708" t="n">
        <v>0</v>
      </c>
      <c r="R708" s="2" t="inlineStr"/>
    </row>
    <row r="709" ht="15" customHeight="1">
      <c r="A709" t="inlineStr">
        <is>
          <t>A 27821-2025</t>
        </is>
      </c>
      <c r="B709" s="1" t="n">
        <v>45817.34083333334</v>
      </c>
      <c r="C709" s="1" t="n">
        <v>45895</v>
      </c>
      <c r="D709" t="inlineStr">
        <is>
          <t>STOCKHOLMS LÄN</t>
        </is>
      </c>
      <c r="E709" t="inlineStr">
        <is>
          <t>NORRTÄLJE</t>
        </is>
      </c>
      <c r="G709" t="n">
        <v>3.2</v>
      </c>
      <c r="H709" t="n">
        <v>0</v>
      </c>
      <c r="I709" t="n">
        <v>0</v>
      </c>
      <c r="J709" t="n">
        <v>0</v>
      </c>
      <c r="K709" t="n">
        <v>0</v>
      </c>
      <c r="L709" t="n">
        <v>0</v>
      </c>
      <c r="M709" t="n">
        <v>0</v>
      </c>
      <c r="N709" t="n">
        <v>0</v>
      </c>
      <c r="O709" t="n">
        <v>0</v>
      </c>
      <c r="P709" t="n">
        <v>0</v>
      </c>
      <c r="Q709" t="n">
        <v>0</v>
      </c>
      <c r="R709" s="2" t="inlineStr"/>
    </row>
    <row r="710" ht="15" customHeight="1">
      <c r="A710" t="inlineStr">
        <is>
          <t>A 33219-2025</t>
        </is>
      </c>
      <c r="B710" s="1" t="n">
        <v>45840</v>
      </c>
      <c r="C710" s="1" t="n">
        <v>45895</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7903-2021</t>
        </is>
      </c>
      <c r="B711" s="1" t="n">
        <v>44243.33587962963</v>
      </c>
      <c r="C711" s="1" t="n">
        <v>45895</v>
      </c>
      <c r="D711" t="inlineStr">
        <is>
          <t>STOCKHOLMS LÄN</t>
        </is>
      </c>
      <c r="E711" t="inlineStr">
        <is>
          <t>NORRTÄLJE</t>
        </is>
      </c>
      <c r="G711" t="n">
        <v>3.5</v>
      </c>
      <c r="H711" t="n">
        <v>0</v>
      </c>
      <c r="I711" t="n">
        <v>0</v>
      </c>
      <c r="J711" t="n">
        <v>0</v>
      </c>
      <c r="K711" t="n">
        <v>0</v>
      </c>
      <c r="L711" t="n">
        <v>0</v>
      </c>
      <c r="M711" t="n">
        <v>0</v>
      </c>
      <c r="N711" t="n">
        <v>0</v>
      </c>
      <c r="O711" t="n">
        <v>0</v>
      </c>
      <c r="P711" t="n">
        <v>0</v>
      </c>
      <c r="Q711" t="n">
        <v>0</v>
      </c>
      <c r="R711" s="2" t="inlineStr"/>
    </row>
    <row r="712" ht="15" customHeight="1">
      <c r="A712" t="inlineStr">
        <is>
          <t>A 58863-2024</t>
        </is>
      </c>
      <c r="B712" s="1" t="n">
        <v>45636.41572916666</v>
      </c>
      <c r="C712" s="1" t="n">
        <v>45895</v>
      </c>
      <c r="D712" t="inlineStr">
        <is>
          <t>STOCKHOLMS LÄN</t>
        </is>
      </c>
      <c r="E712" t="inlineStr">
        <is>
          <t>NORRTÄLJE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15447-2023</t>
        </is>
      </c>
      <c r="B713" s="1" t="n">
        <v>45020</v>
      </c>
      <c r="C713" s="1" t="n">
        <v>45895</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34391-2023</t>
        </is>
      </c>
      <c r="B714" s="1" t="n">
        <v>45139.51457175926</v>
      </c>
      <c r="C714" s="1" t="n">
        <v>45895</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50738-2020</t>
        </is>
      </c>
      <c r="B715" s="1" t="n">
        <v>44111.44373842593</v>
      </c>
      <c r="C715" s="1" t="n">
        <v>45895</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53312-2024</t>
        </is>
      </c>
      <c r="B716" s="1" t="n">
        <v>45614.39627314815</v>
      </c>
      <c r="C716" s="1" t="n">
        <v>45895</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37010-2022</t>
        </is>
      </c>
      <c r="B717" s="1" t="n">
        <v>44806.41576388889</v>
      </c>
      <c r="C717" s="1" t="n">
        <v>45895</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21158-2022</t>
        </is>
      </c>
      <c r="B718" s="1" t="n">
        <v>44704</v>
      </c>
      <c r="C718" s="1" t="n">
        <v>45895</v>
      </c>
      <c r="D718" t="inlineStr">
        <is>
          <t>STOCKHOLMS LÄN</t>
        </is>
      </c>
      <c r="E718" t="inlineStr">
        <is>
          <t>NORRTÄLJE</t>
        </is>
      </c>
      <c r="G718" t="n">
        <v>17.8</v>
      </c>
      <c r="H718" t="n">
        <v>0</v>
      </c>
      <c r="I718" t="n">
        <v>0</v>
      </c>
      <c r="J718" t="n">
        <v>0</v>
      </c>
      <c r="K718" t="n">
        <v>0</v>
      </c>
      <c r="L718" t="n">
        <v>0</v>
      </c>
      <c r="M718" t="n">
        <v>0</v>
      </c>
      <c r="N718" t="n">
        <v>0</v>
      </c>
      <c r="O718" t="n">
        <v>0</v>
      </c>
      <c r="P718" t="n">
        <v>0</v>
      </c>
      <c r="Q718" t="n">
        <v>0</v>
      </c>
      <c r="R718" s="2" t="inlineStr"/>
    </row>
    <row r="719" ht="15" customHeight="1">
      <c r="A719" t="inlineStr">
        <is>
          <t>A 32705-2022</t>
        </is>
      </c>
      <c r="B719" s="1" t="n">
        <v>44783</v>
      </c>
      <c r="C719" s="1" t="n">
        <v>45895</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15915-2023</t>
        </is>
      </c>
      <c r="B720" s="1" t="n">
        <v>45022</v>
      </c>
      <c r="C720" s="1" t="n">
        <v>45895</v>
      </c>
      <c r="D720" t="inlineStr">
        <is>
          <t>STOCKHOLMS LÄN</t>
        </is>
      </c>
      <c r="E720" t="inlineStr">
        <is>
          <t>NORRTÄLJE</t>
        </is>
      </c>
      <c r="G720" t="n">
        <v>2.9</v>
      </c>
      <c r="H720" t="n">
        <v>0</v>
      </c>
      <c r="I720" t="n">
        <v>0</v>
      </c>
      <c r="J720" t="n">
        <v>0</v>
      </c>
      <c r="K720" t="n">
        <v>0</v>
      </c>
      <c r="L720" t="n">
        <v>0</v>
      </c>
      <c r="M720" t="n">
        <v>0</v>
      </c>
      <c r="N720" t="n">
        <v>0</v>
      </c>
      <c r="O720" t="n">
        <v>0</v>
      </c>
      <c r="P720" t="n">
        <v>0</v>
      </c>
      <c r="Q720" t="n">
        <v>0</v>
      </c>
      <c r="R720" s="2" t="inlineStr"/>
    </row>
    <row r="721" ht="15" customHeight="1">
      <c r="A721" t="inlineStr">
        <is>
          <t>A 33149-2022</t>
        </is>
      </c>
      <c r="B721" s="1" t="n">
        <v>44785</v>
      </c>
      <c r="C721" s="1" t="n">
        <v>45895</v>
      </c>
      <c r="D721" t="inlineStr">
        <is>
          <t>STOCKHOLMS LÄN</t>
        </is>
      </c>
      <c r="E721" t="inlineStr">
        <is>
          <t>NORRTÄLJE</t>
        </is>
      </c>
      <c r="F721" t="inlineStr">
        <is>
          <t>Holmen skog AB</t>
        </is>
      </c>
      <c r="G721" t="n">
        <v>4.4</v>
      </c>
      <c r="H721" t="n">
        <v>0</v>
      </c>
      <c r="I721" t="n">
        <v>0</v>
      </c>
      <c r="J721" t="n">
        <v>0</v>
      </c>
      <c r="K721" t="n">
        <v>0</v>
      </c>
      <c r="L721" t="n">
        <v>0</v>
      </c>
      <c r="M721" t="n">
        <v>0</v>
      </c>
      <c r="N721" t="n">
        <v>0</v>
      </c>
      <c r="O721" t="n">
        <v>0</v>
      </c>
      <c r="P721" t="n">
        <v>0</v>
      </c>
      <c r="Q721" t="n">
        <v>0</v>
      </c>
      <c r="R721" s="2" t="inlineStr"/>
    </row>
    <row r="722" ht="15" customHeight="1">
      <c r="A722" t="inlineStr">
        <is>
          <t>A 44075-2023</t>
        </is>
      </c>
      <c r="B722" s="1" t="n">
        <v>45188.41637731482</v>
      </c>
      <c r="C722" s="1" t="n">
        <v>45895</v>
      </c>
      <c r="D722" t="inlineStr">
        <is>
          <t>STOCKHOLMS LÄN</t>
        </is>
      </c>
      <c r="E722" t="inlineStr">
        <is>
          <t>NORRTÄLJE</t>
        </is>
      </c>
      <c r="F722" t="inlineStr">
        <is>
          <t>Holmen skog AB</t>
        </is>
      </c>
      <c r="G722" t="n">
        <v>2.4</v>
      </c>
      <c r="H722" t="n">
        <v>0</v>
      </c>
      <c r="I722" t="n">
        <v>0</v>
      </c>
      <c r="J722" t="n">
        <v>0</v>
      </c>
      <c r="K722" t="n">
        <v>0</v>
      </c>
      <c r="L722" t="n">
        <v>0</v>
      </c>
      <c r="M722" t="n">
        <v>0</v>
      </c>
      <c r="N722" t="n">
        <v>0</v>
      </c>
      <c r="O722" t="n">
        <v>0</v>
      </c>
      <c r="P722" t="n">
        <v>0</v>
      </c>
      <c r="Q722" t="n">
        <v>0</v>
      </c>
      <c r="R722" s="2" t="inlineStr"/>
    </row>
    <row r="723" ht="15" customHeight="1">
      <c r="A723" t="inlineStr">
        <is>
          <t>A 58993-2022</t>
        </is>
      </c>
      <c r="B723" s="1" t="n">
        <v>44903</v>
      </c>
      <c r="C723" s="1" t="n">
        <v>45895</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14559-2024</t>
        </is>
      </c>
      <c r="B724" s="1" t="n">
        <v>45394.72869212963</v>
      </c>
      <c r="C724" s="1" t="n">
        <v>45895</v>
      </c>
      <c r="D724" t="inlineStr">
        <is>
          <t>STOCKHOLMS LÄN</t>
        </is>
      </c>
      <c r="E724" t="inlineStr">
        <is>
          <t>NORRTÄLJE</t>
        </is>
      </c>
      <c r="G724" t="n">
        <v>4.2</v>
      </c>
      <c r="H724" t="n">
        <v>0</v>
      </c>
      <c r="I724" t="n">
        <v>0</v>
      </c>
      <c r="J724" t="n">
        <v>0</v>
      </c>
      <c r="K724" t="n">
        <v>0</v>
      </c>
      <c r="L724" t="n">
        <v>0</v>
      </c>
      <c r="M724" t="n">
        <v>0</v>
      </c>
      <c r="N724" t="n">
        <v>0</v>
      </c>
      <c r="O724" t="n">
        <v>0</v>
      </c>
      <c r="P724" t="n">
        <v>0</v>
      </c>
      <c r="Q724" t="n">
        <v>0</v>
      </c>
      <c r="R724" s="2" t="inlineStr"/>
    </row>
    <row r="725" ht="15" customHeight="1">
      <c r="A725" t="inlineStr">
        <is>
          <t>A 39905-2023</t>
        </is>
      </c>
      <c r="B725" s="1" t="n">
        <v>45168.44489583333</v>
      </c>
      <c r="C725" s="1" t="n">
        <v>45895</v>
      </c>
      <c r="D725" t="inlineStr">
        <is>
          <t>STOCKHOLMS LÄN</t>
        </is>
      </c>
      <c r="E725" t="inlineStr">
        <is>
          <t>NORRTÄLJE</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22232-2024</t>
        </is>
      </c>
      <c r="B726" s="1" t="n">
        <v>45446.4287962963</v>
      </c>
      <c r="C726" s="1" t="n">
        <v>45895</v>
      </c>
      <c r="D726" t="inlineStr">
        <is>
          <t>STOCKHOLMS LÄN</t>
        </is>
      </c>
      <c r="E726" t="inlineStr">
        <is>
          <t>NORRTÄLJE</t>
        </is>
      </c>
      <c r="G726" t="n">
        <v>12.8</v>
      </c>
      <c r="H726" t="n">
        <v>0</v>
      </c>
      <c r="I726" t="n">
        <v>0</v>
      </c>
      <c r="J726" t="n">
        <v>0</v>
      </c>
      <c r="K726" t="n">
        <v>0</v>
      </c>
      <c r="L726" t="n">
        <v>0</v>
      </c>
      <c r="M726" t="n">
        <v>0</v>
      </c>
      <c r="N726" t="n">
        <v>0</v>
      </c>
      <c r="O726" t="n">
        <v>0</v>
      </c>
      <c r="P726" t="n">
        <v>0</v>
      </c>
      <c r="Q726" t="n">
        <v>0</v>
      </c>
      <c r="R726" s="2" t="inlineStr"/>
    </row>
    <row r="727" ht="15" customHeight="1">
      <c r="A727" t="inlineStr">
        <is>
          <t>A 33793-2022</t>
        </is>
      </c>
      <c r="B727" s="1" t="n">
        <v>44790</v>
      </c>
      <c r="C727" s="1" t="n">
        <v>45895</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17304-2024</t>
        </is>
      </c>
      <c r="B728" s="1" t="n">
        <v>45414</v>
      </c>
      <c r="C728" s="1" t="n">
        <v>45895</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29250-2025</t>
        </is>
      </c>
      <c r="B729" s="1" t="n">
        <v>45824.37275462963</v>
      </c>
      <c r="C729" s="1" t="n">
        <v>45895</v>
      </c>
      <c r="D729" t="inlineStr">
        <is>
          <t>STOCKHOLMS LÄN</t>
        </is>
      </c>
      <c r="E729" t="inlineStr">
        <is>
          <t>NORRTÄLJE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11-2024</t>
        </is>
      </c>
      <c r="B730" s="1" t="n">
        <v>45293</v>
      </c>
      <c r="C730" s="1" t="n">
        <v>45895</v>
      </c>
      <c r="D730" t="inlineStr">
        <is>
          <t>STOCKHOLMS LÄN</t>
        </is>
      </c>
      <c r="E730" t="inlineStr">
        <is>
          <t>NORRTÄLJE</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15256-2023</t>
        </is>
      </c>
      <c r="B731" s="1" t="n">
        <v>45019.3959837963</v>
      </c>
      <c r="C731" s="1" t="n">
        <v>45895</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16852-2024</t>
        </is>
      </c>
      <c r="B732" s="1" t="n">
        <v>45411.54768518519</v>
      </c>
      <c r="C732" s="1" t="n">
        <v>45895</v>
      </c>
      <c r="D732" t="inlineStr">
        <is>
          <t>STOCKHOLMS LÄN</t>
        </is>
      </c>
      <c r="E732" t="inlineStr">
        <is>
          <t>NORRTÄLJE</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4326-2023</t>
        </is>
      </c>
      <c r="B733" s="1" t="n">
        <v>44953.70481481482</v>
      </c>
      <c r="C733" s="1" t="n">
        <v>45895</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7413-2024</t>
        </is>
      </c>
      <c r="B734" s="1" t="n">
        <v>45345.6059837963</v>
      </c>
      <c r="C734" s="1" t="n">
        <v>45895</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58040-2024</t>
        </is>
      </c>
      <c r="B735" s="1" t="n">
        <v>45631.73952546297</v>
      </c>
      <c r="C735" s="1" t="n">
        <v>45895</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58041-2024</t>
        </is>
      </c>
      <c r="B736" s="1" t="n">
        <v>45631.74673611111</v>
      </c>
      <c r="C736" s="1" t="n">
        <v>45895</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31057-2022</t>
        </is>
      </c>
      <c r="B737" s="1" t="n">
        <v>44769</v>
      </c>
      <c r="C737" s="1" t="n">
        <v>45895</v>
      </c>
      <c r="D737" t="inlineStr">
        <is>
          <t>STOCKHOLMS LÄN</t>
        </is>
      </c>
      <c r="E737" t="inlineStr">
        <is>
          <t>NORRTÄLJE</t>
        </is>
      </c>
      <c r="G737" t="n">
        <v>6.5</v>
      </c>
      <c r="H737" t="n">
        <v>0</v>
      </c>
      <c r="I737" t="n">
        <v>0</v>
      </c>
      <c r="J737" t="n">
        <v>0</v>
      </c>
      <c r="K737" t="n">
        <v>0</v>
      </c>
      <c r="L737" t="n">
        <v>0</v>
      </c>
      <c r="M737" t="n">
        <v>0</v>
      </c>
      <c r="N737" t="n">
        <v>0</v>
      </c>
      <c r="O737" t="n">
        <v>0</v>
      </c>
      <c r="P737" t="n">
        <v>0</v>
      </c>
      <c r="Q737" t="n">
        <v>0</v>
      </c>
      <c r="R737" s="2" t="inlineStr"/>
    </row>
    <row r="738" ht="15" customHeight="1">
      <c r="A738" t="inlineStr">
        <is>
          <t>A 33385-2024</t>
        </is>
      </c>
      <c r="B738" s="1" t="n">
        <v>45519</v>
      </c>
      <c r="C738" s="1" t="n">
        <v>45895</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29714-2023</t>
        </is>
      </c>
      <c r="B739" s="1" t="n">
        <v>45107.42538194444</v>
      </c>
      <c r="C739" s="1" t="n">
        <v>45895</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30508-2023</t>
        </is>
      </c>
      <c r="B740" s="1" t="n">
        <v>45111</v>
      </c>
      <c r="C740" s="1" t="n">
        <v>45895</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12031-2021</t>
        </is>
      </c>
      <c r="B741" s="1" t="n">
        <v>44266</v>
      </c>
      <c r="C741" s="1" t="n">
        <v>45895</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3143-2021</t>
        </is>
      </c>
      <c r="B742" s="1" t="n">
        <v>44217.40149305556</v>
      </c>
      <c r="C742" s="1" t="n">
        <v>45895</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25619-2022</t>
        </is>
      </c>
      <c r="B743" s="1" t="n">
        <v>44732</v>
      </c>
      <c r="C743" s="1" t="n">
        <v>45895</v>
      </c>
      <c r="D743" t="inlineStr">
        <is>
          <t>STOCKHOLMS LÄN</t>
        </is>
      </c>
      <c r="E743" t="inlineStr">
        <is>
          <t>NORRTÄLJE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15422-2024</t>
        </is>
      </c>
      <c r="B744" s="1" t="n">
        <v>45401.3653125</v>
      </c>
      <c r="C744" s="1" t="n">
        <v>45895</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48716-2023</t>
        </is>
      </c>
      <c r="B745" s="1" t="n">
        <v>45208.69671296296</v>
      </c>
      <c r="C745" s="1" t="n">
        <v>45895</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55369-2023</t>
        </is>
      </c>
      <c r="B746" s="1" t="n">
        <v>45238</v>
      </c>
      <c r="C746" s="1" t="n">
        <v>45895</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8296-2023</t>
        </is>
      </c>
      <c r="B747" s="1" t="n">
        <v>44974</v>
      </c>
      <c r="C747" s="1" t="n">
        <v>45895</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20121-2022</t>
        </is>
      </c>
      <c r="B748" s="1" t="n">
        <v>44698</v>
      </c>
      <c r="C748" s="1" t="n">
        <v>45895</v>
      </c>
      <c r="D748" t="inlineStr">
        <is>
          <t>STOCKHOLMS LÄN</t>
        </is>
      </c>
      <c r="E748" t="inlineStr">
        <is>
          <t>NORRTÄLJE</t>
        </is>
      </c>
      <c r="G748" t="n">
        <v>4.2</v>
      </c>
      <c r="H748" t="n">
        <v>0</v>
      </c>
      <c r="I748" t="n">
        <v>0</v>
      </c>
      <c r="J748" t="n">
        <v>0</v>
      </c>
      <c r="K748" t="n">
        <v>0</v>
      </c>
      <c r="L748" t="n">
        <v>0</v>
      </c>
      <c r="M748" t="n">
        <v>0</v>
      </c>
      <c r="N748" t="n">
        <v>0</v>
      </c>
      <c r="O748" t="n">
        <v>0</v>
      </c>
      <c r="P748" t="n">
        <v>0</v>
      </c>
      <c r="Q748" t="n">
        <v>0</v>
      </c>
      <c r="R748" s="2" t="inlineStr"/>
    </row>
    <row r="749" ht="15" customHeight="1">
      <c r="A749" t="inlineStr">
        <is>
          <t>A 36396-2025</t>
        </is>
      </c>
      <c r="B749" s="1" t="n">
        <v>45868.62267361111</v>
      </c>
      <c r="C749" s="1" t="n">
        <v>45895</v>
      </c>
      <c r="D749" t="inlineStr">
        <is>
          <t>STOCKHOLMS LÄN</t>
        </is>
      </c>
      <c r="E749" t="inlineStr">
        <is>
          <t>NORRTÄLJE</t>
        </is>
      </c>
      <c r="G749" t="n">
        <v>4.1</v>
      </c>
      <c r="H749" t="n">
        <v>0</v>
      </c>
      <c r="I749" t="n">
        <v>0</v>
      </c>
      <c r="J749" t="n">
        <v>0</v>
      </c>
      <c r="K749" t="n">
        <v>0</v>
      </c>
      <c r="L749" t="n">
        <v>0</v>
      </c>
      <c r="M749" t="n">
        <v>0</v>
      </c>
      <c r="N749" t="n">
        <v>0</v>
      </c>
      <c r="O749" t="n">
        <v>0</v>
      </c>
      <c r="P749" t="n">
        <v>0</v>
      </c>
      <c r="Q749" t="n">
        <v>0</v>
      </c>
      <c r="R749" s="2" t="inlineStr"/>
    </row>
    <row r="750" ht="15" customHeight="1">
      <c r="A750" t="inlineStr">
        <is>
          <t>A 26407-2024</t>
        </is>
      </c>
      <c r="B750" s="1" t="n">
        <v>45469</v>
      </c>
      <c r="C750" s="1" t="n">
        <v>45895</v>
      </c>
      <c r="D750" t="inlineStr">
        <is>
          <t>STOCKHOLMS LÄN</t>
        </is>
      </c>
      <c r="E750" t="inlineStr">
        <is>
          <t>NORRTÄLJE</t>
        </is>
      </c>
      <c r="G750" t="n">
        <v>3.5</v>
      </c>
      <c r="H750" t="n">
        <v>0</v>
      </c>
      <c r="I750" t="n">
        <v>0</v>
      </c>
      <c r="J750" t="n">
        <v>0</v>
      </c>
      <c r="K750" t="n">
        <v>0</v>
      </c>
      <c r="L750" t="n">
        <v>0</v>
      </c>
      <c r="M750" t="n">
        <v>0</v>
      </c>
      <c r="N750" t="n">
        <v>0</v>
      </c>
      <c r="O750" t="n">
        <v>0</v>
      </c>
      <c r="P750" t="n">
        <v>0</v>
      </c>
      <c r="Q750" t="n">
        <v>0</v>
      </c>
      <c r="R750" s="2" t="inlineStr"/>
    </row>
    <row r="751" ht="15" customHeight="1">
      <c r="A751" t="inlineStr">
        <is>
          <t>A 31236-2022</t>
        </is>
      </c>
      <c r="B751" s="1" t="n">
        <v>44771</v>
      </c>
      <c r="C751" s="1" t="n">
        <v>45895</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58888-2020</t>
        </is>
      </c>
      <c r="B752" s="1" t="n">
        <v>44146</v>
      </c>
      <c r="C752" s="1" t="n">
        <v>45895</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10098-2022</t>
        </is>
      </c>
      <c r="B753" s="1" t="n">
        <v>44621</v>
      </c>
      <c r="C753" s="1" t="n">
        <v>45895</v>
      </c>
      <c r="D753" t="inlineStr">
        <is>
          <t>STOCKHOLMS LÄN</t>
        </is>
      </c>
      <c r="E753" t="inlineStr">
        <is>
          <t>NORRTÄLJE</t>
        </is>
      </c>
      <c r="G753" t="n">
        <v>2.2</v>
      </c>
      <c r="H753" t="n">
        <v>0</v>
      </c>
      <c r="I753" t="n">
        <v>0</v>
      </c>
      <c r="J753" t="n">
        <v>0</v>
      </c>
      <c r="K753" t="n">
        <v>0</v>
      </c>
      <c r="L753" t="n">
        <v>0</v>
      </c>
      <c r="M753" t="n">
        <v>0</v>
      </c>
      <c r="N753" t="n">
        <v>0</v>
      </c>
      <c r="O753" t="n">
        <v>0</v>
      </c>
      <c r="P753" t="n">
        <v>0</v>
      </c>
      <c r="Q753" t="n">
        <v>0</v>
      </c>
      <c r="R753" s="2" t="inlineStr"/>
    </row>
    <row r="754" ht="15" customHeight="1">
      <c r="A754" t="inlineStr">
        <is>
          <t>A 35647-2024</t>
        </is>
      </c>
      <c r="B754" s="1" t="n">
        <v>45532</v>
      </c>
      <c r="C754" s="1" t="n">
        <v>45895</v>
      </c>
      <c r="D754" t="inlineStr">
        <is>
          <t>STOCKHOLMS LÄN</t>
        </is>
      </c>
      <c r="E754" t="inlineStr">
        <is>
          <t>NORRTÄLJE</t>
        </is>
      </c>
      <c r="G754" t="n">
        <v>5.3</v>
      </c>
      <c r="H754" t="n">
        <v>0</v>
      </c>
      <c r="I754" t="n">
        <v>0</v>
      </c>
      <c r="J754" t="n">
        <v>0</v>
      </c>
      <c r="K754" t="n">
        <v>0</v>
      </c>
      <c r="L754" t="n">
        <v>0</v>
      </c>
      <c r="M754" t="n">
        <v>0</v>
      </c>
      <c r="N754" t="n">
        <v>0</v>
      </c>
      <c r="O754" t="n">
        <v>0</v>
      </c>
      <c r="P754" t="n">
        <v>0</v>
      </c>
      <c r="Q754" t="n">
        <v>0</v>
      </c>
      <c r="R754" s="2" t="inlineStr"/>
    </row>
    <row r="755" ht="15" customHeight="1">
      <c r="A755" t="inlineStr">
        <is>
          <t>A 52593-2024</t>
        </is>
      </c>
      <c r="B755" s="1" t="n">
        <v>45609.70778935185</v>
      </c>
      <c r="C755" s="1" t="n">
        <v>45895</v>
      </c>
      <c r="D755" t="inlineStr">
        <is>
          <t>STOCKHOLMS LÄN</t>
        </is>
      </c>
      <c r="E755" t="inlineStr">
        <is>
          <t>NORRTÄLJE</t>
        </is>
      </c>
      <c r="F755" t="inlineStr">
        <is>
          <t>Holmen skog AB</t>
        </is>
      </c>
      <c r="G755" t="n">
        <v>2.4</v>
      </c>
      <c r="H755" t="n">
        <v>0</v>
      </c>
      <c r="I755" t="n">
        <v>0</v>
      </c>
      <c r="J755" t="n">
        <v>0</v>
      </c>
      <c r="K755" t="n">
        <v>0</v>
      </c>
      <c r="L755" t="n">
        <v>0</v>
      </c>
      <c r="M755" t="n">
        <v>0</v>
      </c>
      <c r="N755" t="n">
        <v>0</v>
      </c>
      <c r="O755" t="n">
        <v>0</v>
      </c>
      <c r="P755" t="n">
        <v>0</v>
      </c>
      <c r="Q755" t="n">
        <v>0</v>
      </c>
      <c r="R755" s="2" t="inlineStr"/>
    </row>
    <row r="756" ht="15" customHeight="1">
      <c r="A756" t="inlineStr">
        <is>
          <t>A 52617-2024</t>
        </is>
      </c>
      <c r="B756" s="1" t="n">
        <v>45609.85146990741</v>
      </c>
      <c r="C756" s="1" t="n">
        <v>45895</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27824-2022</t>
        </is>
      </c>
      <c r="B757" s="1" t="n">
        <v>44743.59331018518</v>
      </c>
      <c r="C757" s="1" t="n">
        <v>45895</v>
      </c>
      <c r="D757" t="inlineStr">
        <is>
          <t>STOCKHOLMS LÄN</t>
        </is>
      </c>
      <c r="E757" t="inlineStr">
        <is>
          <t>NORRTÄLJE</t>
        </is>
      </c>
      <c r="F757" t="inlineStr">
        <is>
          <t>Kommuner</t>
        </is>
      </c>
      <c r="G757" t="n">
        <v>3.1</v>
      </c>
      <c r="H757" t="n">
        <v>0</v>
      </c>
      <c r="I757" t="n">
        <v>0</v>
      </c>
      <c r="J757" t="n">
        <v>0</v>
      </c>
      <c r="K757" t="n">
        <v>0</v>
      </c>
      <c r="L757" t="n">
        <v>0</v>
      </c>
      <c r="M757" t="n">
        <v>0</v>
      </c>
      <c r="N757" t="n">
        <v>0</v>
      </c>
      <c r="O757" t="n">
        <v>0</v>
      </c>
      <c r="P757" t="n">
        <v>0</v>
      </c>
      <c r="Q757" t="n">
        <v>0</v>
      </c>
      <c r="R757" s="2" t="inlineStr"/>
    </row>
    <row r="758" ht="15" customHeight="1">
      <c r="A758" t="inlineStr">
        <is>
          <t>A 49700-2023</t>
        </is>
      </c>
      <c r="B758" s="1" t="n">
        <v>45212</v>
      </c>
      <c r="C758" s="1" t="n">
        <v>45895</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19058-2024</t>
        </is>
      </c>
      <c r="B759" s="1" t="n">
        <v>45427.89121527778</v>
      </c>
      <c r="C759" s="1" t="n">
        <v>45895</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59875-2024</t>
        </is>
      </c>
      <c r="B760" s="1" t="n">
        <v>45640.58716435185</v>
      </c>
      <c r="C760" s="1" t="n">
        <v>45895</v>
      </c>
      <c r="D760" t="inlineStr">
        <is>
          <t>STOCKHOLMS LÄN</t>
        </is>
      </c>
      <c r="E760" t="inlineStr">
        <is>
          <t>NORRTÄLJE</t>
        </is>
      </c>
      <c r="G760" t="n">
        <v>0.3</v>
      </c>
      <c r="H760" t="n">
        <v>0</v>
      </c>
      <c r="I760" t="n">
        <v>0</v>
      </c>
      <c r="J760" t="n">
        <v>0</v>
      </c>
      <c r="K760" t="n">
        <v>0</v>
      </c>
      <c r="L760" t="n">
        <v>0</v>
      </c>
      <c r="M760" t="n">
        <v>0</v>
      </c>
      <c r="N760" t="n">
        <v>0</v>
      </c>
      <c r="O760" t="n">
        <v>0</v>
      </c>
      <c r="P760" t="n">
        <v>0</v>
      </c>
      <c r="Q760" t="n">
        <v>0</v>
      </c>
      <c r="R760" s="2" t="inlineStr"/>
    </row>
    <row r="761" ht="15" customHeight="1">
      <c r="A761" t="inlineStr">
        <is>
          <t>A 47521-2024</t>
        </is>
      </c>
      <c r="B761" s="1" t="n">
        <v>45587.62565972222</v>
      </c>
      <c r="C761" s="1" t="n">
        <v>45895</v>
      </c>
      <c r="D761" t="inlineStr">
        <is>
          <t>STOCKHOLMS LÄN</t>
        </is>
      </c>
      <c r="E761" t="inlineStr">
        <is>
          <t>NORRTÄLJE</t>
        </is>
      </c>
      <c r="G761" t="n">
        <v>4.7</v>
      </c>
      <c r="H761" t="n">
        <v>0</v>
      </c>
      <c r="I761" t="n">
        <v>0</v>
      </c>
      <c r="J761" t="n">
        <v>0</v>
      </c>
      <c r="K761" t="n">
        <v>0</v>
      </c>
      <c r="L761" t="n">
        <v>0</v>
      </c>
      <c r="M761" t="n">
        <v>0</v>
      </c>
      <c r="N761" t="n">
        <v>0</v>
      </c>
      <c r="O761" t="n">
        <v>0</v>
      </c>
      <c r="P761" t="n">
        <v>0</v>
      </c>
      <c r="Q761" t="n">
        <v>0</v>
      </c>
      <c r="R761" s="2" t="inlineStr"/>
    </row>
    <row r="762" ht="15" customHeight="1">
      <c r="A762" t="inlineStr">
        <is>
          <t>A 45220-2024</t>
        </is>
      </c>
      <c r="B762" s="1" t="n">
        <v>45575</v>
      </c>
      <c r="C762" s="1" t="n">
        <v>45895</v>
      </c>
      <c r="D762" t="inlineStr">
        <is>
          <t>STOCKHOLMS LÄN</t>
        </is>
      </c>
      <c r="E762" t="inlineStr">
        <is>
          <t>NORRTÄLJE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50534-2024</t>
        </is>
      </c>
      <c r="B763" s="1" t="n">
        <v>45601.56726851852</v>
      </c>
      <c r="C763" s="1" t="n">
        <v>45895</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42094-2023</t>
        </is>
      </c>
      <c r="B764" s="1" t="n">
        <v>45177.61498842593</v>
      </c>
      <c r="C764" s="1" t="n">
        <v>45895</v>
      </c>
      <c r="D764" t="inlineStr">
        <is>
          <t>STOCKHOLMS LÄN</t>
        </is>
      </c>
      <c r="E764" t="inlineStr">
        <is>
          <t>NORRTÄLJE</t>
        </is>
      </c>
      <c r="G764" t="n">
        <v>0.3</v>
      </c>
      <c r="H764" t="n">
        <v>0</v>
      </c>
      <c r="I764" t="n">
        <v>0</v>
      </c>
      <c r="J764" t="n">
        <v>0</v>
      </c>
      <c r="K764" t="n">
        <v>0</v>
      </c>
      <c r="L764" t="n">
        <v>0</v>
      </c>
      <c r="M764" t="n">
        <v>0</v>
      </c>
      <c r="N764" t="n">
        <v>0</v>
      </c>
      <c r="O764" t="n">
        <v>0</v>
      </c>
      <c r="P764" t="n">
        <v>0</v>
      </c>
      <c r="Q764" t="n">
        <v>0</v>
      </c>
      <c r="R764" s="2" t="inlineStr"/>
    </row>
    <row r="765" ht="15" customHeight="1">
      <c r="A765" t="inlineStr">
        <is>
          <t>A 58530-2024</t>
        </is>
      </c>
      <c r="B765" s="1" t="n">
        <v>45635.44788194444</v>
      </c>
      <c r="C765" s="1" t="n">
        <v>45895</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4658-2024</t>
        </is>
      </c>
      <c r="B766" s="1" t="n">
        <v>45328.46336805556</v>
      </c>
      <c r="C766" s="1" t="n">
        <v>45895</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30668-2025</t>
        </is>
      </c>
      <c r="B767" s="1" t="n">
        <v>45831.51659722222</v>
      </c>
      <c r="C767" s="1" t="n">
        <v>45895</v>
      </c>
      <c r="D767" t="inlineStr">
        <is>
          <t>STOCKHOLMS LÄN</t>
        </is>
      </c>
      <c r="E767" t="inlineStr">
        <is>
          <t>NORRTÄLJE</t>
        </is>
      </c>
      <c r="G767" t="n">
        <v>4.9</v>
      </c>
      <c r="H767" t="n">
        <v>0</v>
      </c>
      <c r="I767" t="n">
        <v>0</v>
      </c>
      <c r="J767" t="n">
        <v>0</v>
      </c>
      <c r="K767" t="n">
        <v>0</v>
      </c>
      <c r="L767" t="n">
        <v>0</v>
      </c>
      <c r="M767" t="n">
        <v>0</v>
      </c>
      <c r="N767" t="n">
        <v>0</v>
      </c>
      <c r="O767" t="n">
        <v>0</v>
      </c>
      <c r="P767" t="n">
        <v>0</v>
      </c>
      <c r="Q767" t="n">
        <v>0</v>
      </c>
      <c r="R767" s="2" t="inlineStr"/>
    </row>
    <row r="768" ht="15" customHeight="1">
      <c r="A768" t="inlineStr">
        <is>
          <t>A 30620-2022</t>
        </is>
      </c>
      <c r="B768" s="1" t="n">
        <v>44763.40914351852</v>
      </c>
      <c r="C768" s="1" t="n">
        <v>45895</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48145-2024</t>
        </is>
      </c>
      <c r="B769" s="1" t="n">
        <v>45589.6756712963</v>
      </c>
      <c r="C769" s="1" t="n">
        <v>45895</v>
      </c>
      <c r="D769" t="inlineStr">
        <is>
          <t>STOCKHOLMS LÄN</t>
        </is>
      </c>
      <c r="E769" t="inlineStr">
        <is>
          <t>NORRTÄLJE</t>
        </is>
      </c>
      <c r="G769" t="n">
        <v>3.4</v>
      </c>
      <c r="H769" t="n">
        <v>0</v>
      </c>
      <c r="I769" t="n">
        <v>0</v>
      </c>
      <c r="J769" t="n">
        <v>0</v>
      </c>
      <c r="K769" t="n">
        <v>0</v>
      </c>
      <c r="L769" t="n">
        <v>0</v>
      </c>
      <c r="M769" t="n">
        <v>0</v>
      </c>
      <c r="N769" t="n">
        <v>0</v>
      </c>
      <c r="O769" t="n">
        <v>0</v>
      </c>
      <c r="P769" t="n">
        <v>0</v>
      </c>
      <c r="Q769" t="n">
        <v>0</v>
      </c>
      <c r="R769" s="2" t="inlineStr"/>
    </row>
    <row r="770" ht="15" customHeight="1">
      <c r="A770" t="inlineStr">
        <is>
          <t>A 30799-2025</t>
        </is>
      </c>
      <c r="B770" s="1" t="n">
        <v>45831.65079861111</v>
      </c>
      <c r="C770" s="1" t="n">
        <v>45895</v>
      </c>
      <c r="D770" t="inlineStr">
        <is>
          <t>STOCKHOLMS LÄN</t>
        </is>
      </c>
      <c r="E770" t="inlineStr">
        <is>
          <t>NORRTÄLJE</t>
        </is>
      </c>
      <c r="F770" t="inlineStr">
        <is>
          <t>Holmen skog AB</t>
        </is>
      </c>
      <c r="G770" t="n">
        <v>7.9</v>
      </c>
      <c r="H770" t="n">
        <v>0</v>
      </c>
      <c r="I770" t="n">
        <v>0</v>
      </c>
      <c r="J770" t="n">
        <v>0</v>
      </c>
      <c r="K770" t="n">
        <v>0</v>
      </c>
      <c r="L770" t="n">
        <v>0</v>
      </c>
      <c r="M770" t="n">
        <v>0</v>
      </c>
      <c r="N770" t="n">
        <v>0</v>
      </c>
      <c r="O770" t="n">
        <v>0</v>
      </c>
      <c r="P770" t="n">
        <v>0</v>
      </c>
      <c r="Q770" t="n">
        <v>0</v>
      </c>
      <c r="R770" s="2" t="inlineStr"/>
    </row>
    <row r="771" ht="15" customHeight="1">
      <c r="A771" t="inlineStr">
        <is>
          <t>A 57602-2024</t>
        </is>
      </c>
      <c r="B771" s="1" t="n">
        <v>45630.52866898148</v>
      </c>
      <c r="C771" s="1" t="n">
        <v>45895</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11854-2025</t>
        </is>
      </c>
      <c r="B772" s="1" t="n">
        <v>45728.38924768518</v>
      </c>
      <c r="C772" s="1" t="n">
        <v>45895</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1283-2025</t>
        </is>
      </c>
      <c r="B773" s="1" t="n">
        <v>45667.49878472222</v>
      </c>
      <c r="C773" s="1" t="n">
        <v>45895</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10642-2025</t>
        </is>
      </c>
      <c r="B774" s="1" t="n">
        <v>45721.65858796296</v>
      </c>
      <c r="C774" s="1" t="n">
        <v>45895</v>
      </c>
      <c r="D774" t="inlineStr">
        <is>
          <t>STOCKHOLMS LÄN</t>
        </is>
      </c>
      <c r="E774" t="inlineStr">
        <is>
          <t>NORRTÄLJE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24024-2024</t>
        </is>
      </c>
      <c r="B775" s="1" t="n">
        <v>45456</v>
      </c>
      <c r="C775" s="1" t="n">
        <v>45895</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48392-2020</t>
        </is>
      </c>
      <c r="B776" s="1" t="n">
        <v>44097</v>
      </c>
      <c r="C776" s="1" t="n">
        <v>45895</v>
      </c>
      <c r="D776" t="inlineStr">
        <is>
          <t>STOCKHOLMS LÄN</t>
        </is>
      </c>
      <c r="E776" t="inlineStr">
        <is>
          <t>NORRTÄLJE</t>
        </is>
      </c>
      <c r="G776" t="n">
        <v>12.5</v>
      </c>
      <c r="H776" t="n">
        <v>0</v>
      </c>
      <c r="I776" t="n">
        <v>0</v>
      </c>
      <c r="J776" t="n">
        <v>0</v>
      </c>
      <c r="K776" t="n">
        <v>0</v>
      </c>
      <c r="L776" t="n">
        <v>0</v>
      </c>
      <c r="M776" t="n">
        <v>0</v>
      </c>
      <c r="N776" t="n">
        <v>0</v>
      </c>
      <c r="O776" t="n">
        <v>0</v>
      </c>
      <c r="P776" t="n">
        <v>0</v>
      </c>
      <c r="Q776" t="n">
        <v>0</v>
      </c>
      <c r="R776" s="2" t="inlineStr"/>
    </row>
    <row r="777" ht="15" customHeight="1">
      <c r="A777" t="inlineStr">
        <is>
          <t>A 60217-2021</t>
        </is>
      </c>
      <c r="B777" s="1" t="n">
        <v>44495.5893287037</v>
      </c>
      <c r="C777" s="1" t="n">
        <v>45895</v>
      </c>
      <c r="D777" t="inlineStr">
        <is>
          <t>STOCKHOLMS LÄN</t>
        </is>
      </c>
      <c r="E777" t="inlineStr">
        <is>
          <t>NORRTÄLJE</t>
        </is>
      </c>
      <c r="G777" t="n">
        <v>4.3</v>
      </c>
      <c r="H777" t="n">
        <v>0</v>
      </c>
      <c r="I777" t="n">
        <v>0</v>
      </c>
      <c r="J777" t="n">
        <v>0</v>
      </c>
      <c r="K777" t="n">
        <v>0</v>
      </c>
      <c r="L777" t="n">
        <v>0</v>
      </c>
      <c r="M777" t="n">
        <v>0</v>
      </c>
      <c r="N777" t="n">
        <v>0</v>
      </c>
      <c r="O777" t="n">
        <v>0</v>
      </c>
      <c r="P777" t="n">
        <v>0</v>
      </c>
      <c r="Q777" t="n">
        <v>0</v>
      </c>
      <c r="R777" s="2" t="inlineStr"/>
    </row>
    <row r="778" ht="15" customHeight="1">
      <c r="A778" t="inlineStr">
        <is>
          <t>A 60321-2020</t>
        </is>
      </c>
      <c r="B778" s="1" t="n">
        <v>44152</v>
      </c>
      <c r="C778" s="1" t="n">
        <v>45895</v>
      </c>
      <c r="D778" t="inlineStr">
        <is>
          <t>STOCKHOLMS LÄN</t>
        </is>
      </c>
      <c r="E778" t="inlineStr">
        <is>
          <t>NORRTÄLJE</t>
        </is>
      </c>
      <c r="F778" t="inlineStr">
        <is>
          <t>Holmen skog AB</t>
        </is>
      </c>
      <c r="G778" t="n">
        <v>3.4</v>
      </c>
      <c r="H778" t="n">
        <v>0</v>
      </c>
      <c r="I778" t="n">
        <v>0</v>
      </c>
      <c r="J778" t="n">
        <v>0</v>
      </c>
      <c r="K778" t="n">
        <v>0</v>
      </c>
      <c r="L778" t="n">
        <v>0</v>
      </c>
      <c r="M778" t="n">
        <v>0</v>
      </c>
      <c r="N778" t="n">
        <v>0</v>
      </c>
      <c r="O778" t="n">
        <v>0</v>
      </c>
      <c r="P778" t="n">
        <v>0</v>
      </c>
      <c r="Q778" t="n">
        <v>0</v>
      </c>
      <c r="R778" s="2" t="inlineStr"/>
    </row>
    <row r="779" ht="15" customHeight="1">
      <c r="A779" t="inlineStr">
        <is>
          <t>A 28900-2022</t>
        </is>
      </c>
      <c r="B779" s="1" t="n">
        <v>44749.55258101852</v>
      </c>
      <c r="C779" s="1" t="n">
        <v>45895</v>
      </c>
      <c r="D779" t="inlineStr">
        <is>
          <t>STOCKHOLMS LÄN</t>
        </is>
      </c>
      <c r="E779" t="inlineStr">
        <is>
          <t>NORRTÄLJE</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32514-2022</t>
        </is>
      </c>
      <c r="B780" s="1" t="n">
        <v>44782</v>
      </c>
      <c r="C780" s="1" t="n">
        <v>45895</v>
      </c>
      <c r="D780" t="inlineStr">
        <is>
          <t>STOCKHOLMS LÄN</t>
        </is>
      </c>
      <c r="E780" t="inlineStr">
        <is>
          <t>NORRTÄLJE</t>
        </is>
      </c>
      <c r="G780" t="n">
        <v>5.1</v>
      </c>
      <c r="H780" t="n">
        <v>0</v>
      </c>
      <c r="I780" t="n">
        <v>0</v>
      </c>
      <c r="J780" t="n">
        <v>0</v>
      </c>
      <c r="K780" t="n">
        <v>0</v>
      </c>
      <c r="L780" t="n">
        <v>0</v>
      </c>
      <c r="M780" t="n">
        <v>0</v>
      </c>
      <c r="N780" t="n">
        <v>0</v>
      </c>
      <c r="O780" t="n">
        <v>0</v>
      </c>
      <c r="P780" t="n">
        <v>0</v>
      </c>
      <c r="Q780" t="n">
        <v>0</v>
      </c>
      <c r="R780" s="2" t="inlineStr"/>
    </row>
    <row r="781" ht="15" customHeight="1">
      <c r="A781" t="inlineStr">
        <is>
          <t>A 30639-2025</t>
        </is>
      </c>
      <c r="B781" s="1" t="n">
        <v>45831.4844212963</v>
      </c>
      <c r="C781" s="1" t="n">
        <v>45895</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34444-2024</t>
        </is>
      </c>
      <c r="B782" s="1" t="n">
        <v>45525</v>
      </c>
      <c r="C782" s="1" t="n">
        <v>45895</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35532-2024</t>
        </is>
      </c>
      <c r="B783" s="1" t="n">
        <v>45531</v>
      </c>
      <c r="C783" s="1" t="n">
        <v>45895</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31170-2025</t>
        </is>
      </c>
      <c r="B784" s="1" t="n">
        <v>45832.66385416667</v>
      </c>
      <c r="C784" s="1" t="n">
        <v>45895</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30699-2025</t>
        </is>
      </c>
      <c r="B785" s="1" t="n">
        <v>45831.54618055555</v>
      </c>
      <c r="C785" s="1" t="n">
        <v>45895</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21291-2021</t>
        </is>
      </c>
      <c r="B786" s="1" t="n">
        <v>44319</v>
      </c>
      <c r="C786" s="1" t="n">
        <v>45895</v>
      </c>
      <c r="D786" t="inlineStr">
        <is>
          <t>STOCKHOLMS LÄN</t>
        </is>
      </c>
      <c r="E786" t="inlineStr">
        <is>
          <t>NORRTÄLJE</t>
        </is>
      </c>
      <c r="G786" t="n">
        <v>12.7</v>
      </c>
      <c r="H786" t="n">
        <v>0</v>
      </c>
      <c r="I786" t="n">
        <v>0</v>
      </c>
      <c r="J786" t="n">
        <v>0</v>
      </c>
      <c r="K786" t="n">
        <v>0</v>
      </c>
      <c r="L786" t="n">
        <v>0</v>
      </c>
      <c r="M786" t="n">
        <v>0</v>
      </c>
      <c r="N786" t="n">
        <v>0</v>
      </c>
      <c r="O786" t="n">
        <v>0</v>
      </c>
      <c r="P786" t="n">
        <v>0</v>
      </c>
      <c r="Q786" t="n">
        <v>0</v>
      </c>
      <c r="R786" s="2" t="inlineStr"/>
    </row>
    <row r="787" ht="15" customHeight="1">
      <c r="A787" t="inlineStr">
        <is>
          <t>A 19118-2022</t>
        </is>
      </c>
      <c r="B787" s="1" t="n">
        <v>44691.5652662037</v>
      </c>
      <c r="C787" s="1" t="n">
        <v>45895</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22421-2021</t>
        </is>
      </c>
      <c r="B788" s="1" t="n">
        <v>44326</v>
      </c>
      <c r="C788" s="1" t="n">
        <v>45895</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59893-2022</t>
        </is>
      </c>
      <c r="B789" s="1" t="n">
        <v>44908.77368055555</v>
      </c>
      <c r="C789" s="1" t="n">
        <v>45895</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23125-2022</t>
        </is>
      </c>
      <c r="B790" s="1" t="n">
        <v>44719</v>
      </c>
      <c r="C790" s="1" t="n">
        <v>45895</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9329-2023</t>
        </is>
      </c>
      <c r="B791" s="1" t="n">
        <v>44980</v>
      </c>
      <c r="C791" s="1" t="n">
        <v>45895</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6855-2025</t>
        </is>
      </c>
      <c r="B792" s="1" t="n">
        <v>45700</v>
      </c>
      <c r="C792" s="1" t="n">
        <v>45895</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9469-2021</t>
        </is>
      </c>
      <c r="B793" s="1" t="n">
        <v>44251</v>
      </c>
      <c r="C793" s="1" t="n">
        <v>45895</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31874-2025</t>
        </is>
      </c>
      <c r="B794" s="1" t="n">
        <v>45834</v>
      </c>
      <c r="C794" s="1" t="n">
        <v>45895</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33226-2024</t>
        </is>
      </c>
      <c r="B795" s="1" t="n">
        <v>45518</v>
      </c>
      <c r="C795" s="1" t="n">
        <v>45895</v>
      </c>
      <c r="D795" t="inlineStr">
        <is>
          <t>STOCKHOLMS LÄN</t>
        </is>
      </c>
      <c r="E795" t="inlineStr">
        <is>
          <t>NORRTÄLJE</t>
        </is>
      </c>
      <c r="G795" t="n">
        <v>13.8</v>
      </c>
      <c r="H795" t="n">
        <v>0</v>
      </c>
      <c r="I795" t="n">
        <v>0</v>
      </c>
      <c r="J795" t="n">
        <v>0</v>
      </c>
      <c r="K795" t="n">
        <v>0</v>
      </c>
      <c r="L795" t="n">
        <v>0</v>
      </c>
      <c r="M795" t="n">
        <v>0</v>
      </c>
      <c r="N795" t="n">
        <v>0</v>
      </c>
      <c r="O795" t="n">
        <v>0</v>
      </c>
      <c r="P795" t="n">
        <v>0</v>
      </c>
      <c r="Q795" t="n">
        <v>0</v>
      </c>
      <c r="R795" s="2" t="inlineStr"/>
    </row>
    <row r="796" ht="15" customHeight="1">
      <c r="A796" t="inlineStr">
        <is>
          <t>A 37261-2025</t>
        </is>
      </c>
      <c r="B796" s="1" t="n">
        <v>45876.45253472222</v>
      </c>
      <c r="C796" s="1" t="n">
        <v>45895</v>
      </c>
      <c r="D796" t="inlineStr">
        <is>
          <t>STOCKHOLMS LÄN</t>
        </is>
      </c>
      <c r="E796" t="inlineStr">
        <is>
          <t>NORRTÄLJE</t>
        </is>
      </c>
      <c r="F796" t="inlineStr">
        <is>
          <t>Kommuner</t>
        </is>
      </c>
      <c r="G796" t="n">
        <v>2.2</v>
      </c>
      <c r="H796" t="n">
        <v>0</v>
      </c>
      <c r="I796" t="n">
        <v>0</v>
      </c>
      <c r="J796" t="n">
        <v>0</v>
      </c>
      <c r="K796" t="n">
        <v>0</v>
      </c>
      <c r="L796" t="n">
        <v>0</v>
      </c>
      <c r="M796" t="n">
        <v>0</v>
      </c>
      <c r="N796" t="n">
        <v>0</v>
      </c>
      <c r="O796" t="n">
        <v>0</v>
      </c>
      <c r="P796" t="n">
        <v>0</v>
      </c>
      <c r="Q796" t="n">
        <v>0</v>
      </c>
      <c r="R796" s="2" t="inlineStr"/>
    </row>
    <row r="797" ht="15" customHeight="1">
      <c r="A797" t="inlineStr">
        <is>
          <t>A 14873-2025</t>
        </is>
      </c>
      <c r="B797" s="1" t="n">
        <v>45743.44953703704</v>
      </c>
      <c r="C797" s="1" t="n">
        <v>45895</v>
      </c>
      <c r="D797" t="inlineStr">
        <is>
          <t>STOCKHOLMS LÄN</t>
        </is>
      </c>
      <c r="E797" t="inlineStr">
        <is>
          <t>NORRTÄLJE</t>
        </is>
      </c>
      <c r="G797" t="n">
        <v>10.2</v>
      </c>
      <c r="H797" t="n">
        <v>0</v>
      </c>
      <c r="I797" t="n">
        <v>0</v>
      </c>
      <c r="J797" t="n">
        <v>0</v>
      </c>
      <c r="K797" t="n">
        <v>0</v>
      </c>
      <c r="L797" t="n">
        <v>0</v>
      </c>
      <c r="M797" t="n">
        <v>0</v>
      </c>
      <c r="N797" t="n">
        <v>0</v>
      </c>
      <c r="O797" t="n">
        <v>0</v>
      </c>
      <c r="P797" t="n">
        <v>0</v>
      </c>
      <c r="Q797" t="n">
        <v>0</v>
      </c>
      <c r="R797" s="2" t="inlineStr"/>
    </row>
    <row r="798" ht="15" customHeight="1">
      <c r="A798" t="inlineStr">
        <is>
          <t>A 8135-2025</t>
        </is>
      </c>
      <c r="B798" s="1" t="n">
        <v>45707.84997685185</v>
      </c>
      <c r="C798" s="1" t="n">
        <v>45895</v>
      </c>
      <c r="D798" t="inlineStr">
        <is>
          <t>STOCKHOLMS LÄN</t>
        </is>
      </c>
      <c r="E798" t="inlineStr">
        <is>
          <t>NORRTÄLJE</t>
        </is>
      </c>
      <c r="G798" t="n">
        <v>2.6</v>
      </c>
      <c r="H798" t="n">
        <v>0</v>
      </c>
      <c r="I798" t="n">
        <v>0</v>
      </c>
      <c r="J798" t="n">
        <v>0</v>
      </c>
      <c r="K798" t="n">
        <v>0</v>
      </c>
      <c r="L798" t="n">
        <v>0</v>
      </c>
      <c r="M798" t="n">
        <v>0</v>
      </c>
      <c r="N798" t="n">
        <v>0</v>
      </c>
      <c r="O798" t="n">
        <v>0</v>
      </c>
      <c r="P798" t="n">
        <v>0</v>
      </c>
      <c r="Q798" t="n">
        <v>0</v>
      </c>
      <c r="R798" s="2" t="inlineStr"/>
    </row>
    <row r="799" ht="15" customHeight="1">
      <c r="A799" t="inlineStr">
        <is>
          <t>A 31868-2025</t>
        </is>
      </c>
      <c r="B799" s="1" t="n">
        <v>45834.6447337963</v>
      </c>
      <c r="C799" s="1" t="n">
        <v>45895</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31936-2022</t>
        </is>
      </c>
      <c r="B800" s="1" t="n">
        <v>44777</v>
      </c>
      <c r="C800" s="1" t="n">
        <v>45895</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6413-2025</t>
        </is>
      </c>
      <c r="B801" s="1" t="n">
        <v>45699.46283564815</v>
      </c>
      <c r="C801" s="1" t="n">
        <v>45895</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24887-2023</t>
        </is>
      </c>
      <c r="B802" s="1" t="n">
        <v>45085</v>
      </c>
      <c r="C802" s="1" t="n">
        <v>45895</v>
      </c>
      <c r="D802" t="inlineStr">
        <is>
          <t>STOCKHOLMS LÄN</t>
        </is>
      </c>
      <c r="E802" t="inlineStr">
        <is>
          <t>NORRTÄLJE</t>
        </is>
      </c>
      <c r="G802" t="n">
        <v>13.9</v>
      </c>
      <c r="H802" t="n">
        <v>0</v>
      </c>
      <c r="I802" t="n">
        <v>0</v>
      </c>
      <c r="J802" t="n">
        <v>0</v>
      </c>
      <c r="K802" t="n">
        <v>0</v>
      </c>
      <c r="L802" t="n">
        <v>0</v>
      </c>
      <c r="M802" t="n">
        <v>0</v>
      </c>
      <c r="N802" t="n">
        <v>0</v>
      </c>
      <c r="O802" t="n">
        <v>0</v>
      </c>
      <c r="P802" t="n">
        <v>0</v>
      </c>
      <c r="Q802" t="n">
        <v>0</v>
      </c>
      <c r="R802" s="2" t="inlineStr"/>
    </row>
    <row r="803" ht="15" customHeight="1">
      <c r="A803" t="inlineStr">
        <is>
          <t>A 56428-2023</t>
        </is>
      </c>
      <c r="B803" s="1" t="n">
        <v>45243.45289351852</v>
      </c>
      <c r="C803" s="1" t="n">
        <v>45895</v>
      </c>
      <c r="D803" t="inlineStr">
        <is>
          <t>STOCKHOLMS LÄN</t>
        </is>
      </c>
      <c r="E803" t="inlineStr">
        <is>
          <t>NORRTÄLJE</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16980-2023</t>
        </is>
      </c>
      <c r="B804" s="1" t="n">
        <v>45033</v>
      </c>
      <c r="C804" s="1" t="n">
        <v>45895</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31107-2022</t>
        </is>
      </c>
      <c r="B805" s="1" t="n">
        <v>44769.66864583334</v>
      </c>
      <c r="C805" s="1" t="n">
        <v>45895</v>
      </c>
      <c r="D805" t="inlineStr">
        <is>
          <t>STOCKHOLMS LÄN</t>
        </is>
      </c>
      <c r="E805" t="inlineStr">
        <is>
          <t>NORRTÄLJE</t>
        </is>
      </c>
      <c r="G805" t="n">
        <v>3.8</v>
      </c>
      <c r="H805" t="n">
        <v>0</v>
      </c>
      <c r="I805" t="n">
        <v>0</v>
      </c>
      <c r="J805" t="n">
        <v>0</v>
      </c>
      <c r="K805" t="n">
        <v>0</v>
      </c>
      <c r="L805" t="n">
        <v>0</v>
      </c>
      <c r="M805" t="n">
        <v>0</v>
      </c>
      <c r="N805" t="n">
        <v>0</v>
      </c>
      <c r="O805" t="n">
        <v>0</v>
      </c>
      <c r="P805" t="n">
        <v>0</v>
      </c>
      <c r="Q805" t="n">
        <v>0</v>
      </c>
      <c r="R805" s="2" t="inlineStr"/>
    </row>
    <row r="806" ht="15" customHeight="1">
      <c r="A806" t="inlineStr">
        <is>
          <t>A 31880-2025</t>
        </is>
      </c>
      <c r="B806" s="1" t="n">
        <v>45834.65538194445</v>
      </c>
      <c r="C806" s="1" t="n">
        <v>45895</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18539-2021</t>
        </is>
      </c>
      <c r="B807" s="1" t="n">
        <v>44306</v>
      </c>
      <c r="C807" s="1" t="n">
        <v>45895</v>
      </c>
      <c r="D807" t="inlineStr">
        <is>
          <t>STOCKHOLMS LÄN</t>
        </is>
      </c>
      <c r="E807" t="inlineStr">
        <is>
          <t>NORRTÄLJE</t>
        </is>
      </c>
      <c r="F807" t="inlineStr">
        <is>
          <t>Holmen skog AB</t>
        </is>
      </c>
      <c r="G807" t="n">
        <v>5.5</v>
      </c>
      <c r="H807" t="n">
        <v>0</v>
      </c>
      <c r="I807" t="n">
        <v>0</v>
      </c>
      <c r="J807" t="n">
        <v>0</v>
      </c>
      <c r="K807" t="n">
        <v>0</v>
      </c>
      <c r="L807" t="n">
        <v>0</v>
      </c>
      <c r="M807" t="n">
        <v>0</v>
      </c>
      <c r="N807" t="n">
        <v>0</v>
      </c>
      <c r="O807" t="n">
        <v>0</v>
      </c>
      <c r="P807" t="n">
        <v>0</v>
      </c>
      <c r="Q807" t="n">
        <v>0</v>
      </c>
      <c r="R807" s="2" t="inlineStr"/>
    </row>
    <row r="808" ht="15" customHeight="1">
      <c r="A808" t="inlineStr">
        <is>
          <t>A 43170-2023</t>
        </is>
      </c>
      <c r="B808" s="1" t="n">
        <v>45183</v>
      </c>
      <c r="C808" s="1" t="n">
        <v>45895</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32283-2025</t>
        </is>
      </c>
      <c r="B809" s="1" t="n">
        <v>45835.68076388889</v>
      </c>
      <c r="C809" s="1" t="n">
        <v>45895</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30338-2022</t>
        </is>
      </c>
      <c r="B810" s="1" t="n">
        <v>44760</v>
      </c>
      <c r="C810" s="1" t="n">
        <v>45895</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32122-2025</t>
        </is>
      </c>
      <c r="B811" s="1" t="n">
        <v>45835.4928125</v>
      </c>
      <c r="C811" s="1" t="n">
        <v>45895</v>
      </c>
      <c r="D811" t="inlineStr">
        <is>
          <t>STOCKHOLMS LÄN</t>
        </is>
      </c>
      <c r="E811" t="inlineStr">
        <is>
          <t>NORRTÄLJE</t>
        </is>
      </c>
      <c r="F811" t="inlineStr">
        <is>
          <t>Holmen skog AB</t>
        </is>
      </c>
      <c r="G811" t="n">
        <v>1.9</v>
      </c>
      <c r="H811" t="n">
        <v>0</v>
      </c>
      <c r="I811" t="n">
        <v>0</v>
      </c>
      <c r="J811" t="n">
        <v>0</v>
      </c>
      <c r="K811" t="n">
        <v>0</v>
      </c>
      <c r="L811" t="n">
        <v>0</v>
      </c>
      <c r="M811" t="n">
        <v>0</v>
      </c>
      <c r="N811" t="n">
        <v>0</v>
      </c>
      <c r="O811" t="n">
        <v>0</v>
      </c>
      <c r="P811" t="n">
        <v>0</v>
      </c>
      <c r="Q811" t="n">
        <v>0</v>
      </c>
      <c r="R811" s="2" t="inlineStr"/>
    </row>
    <row r="812" ht="15" customHeight="1">
      <c r="A812" t="inlineStr">
        <is>
          <t>A 18541-2023</t>
        </is>
      </c>
      <c r="B812" s="1" t="n">
        <v>45042.74291666667</v>
      </c>
      <c r="C812" s="1" t="n">
        <v>45895</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32857-2021</t>
        </is>
      </c>
      <c r="B813" s="1" t="n">
        <v>44375</v>
      </c>
      <c r="C813" s="1" t="n">
        <v>45895</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51325-2023</t>
        </is>
      </c>
      <c r="B814" s="1" t="n">
        <v>45219</v>
      </c>
      <c r="C814" s="1" t="n">
        <v>45895</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21729-2024</t>
        </is>
      </c>
      <c r="B815" s="1" t="n">
        <v>45442</v>
      </c>
      <c r="C815" s="1" t="n">
        <v>45895</v>
      </c>
      <c r="D815" t="inlineStr">
        <is>
          <t>STOCKHOLMS LÄN</t>
        </is>
      </c>
      <c r="E815" t="inlineStr">
        <is>
          <t>NORRTÄLJE</t>
        </is>
      </c>
      <c r="G815" t="n">
        <v>2.2</v>
      </c>
      <c r="H815" t="n">
        <v>0</v>
      </c>
      <c r="I815" t="n">
        <v>0</v>
      </c>
      <c r="J815" t="n">
        <v>0</v>
      </c>
      <c r="K815" t="n">
        <v>0</v>
      </c>
      <c r="L815" t="n">
        <v>0</v>
      </c>
      <c r="M815" t="n">
        <v>0</v>
      </c>
      <c r="N815" t="n">
        <v>0</v>
      </c>
      <c r="O815" t="n">
        <v>0</v>
      </c>
      <c r="P815" t="n">
        <v>0</v>
      </c>
      <c r="Q815" t="n">
        <v>0</v>
      </c>
      <c r="R815" s="2" t="inlineStr"/>
    </row>
    <row r="816" ht="15" customHeight="1">
      <c r="A816" t="inlineStr">
        <is>
          <t>A 37632-2025</t>
        </is>
      </c>
      <c r="B816" s="1" t="n">
        <v>45880.46524305556</v>
      </c>
      <c r="C816" s="1" t="n">
        <v>45895</v>
      </c>
      <c r="D816" t="inlineStr">
        <is>
          <t>STOCKHOLMS LÄN</t>
        </is>
      </c>
      <c r="E816" t="inlineStr">
        <is>
          <t>NORRTÄLJE</t>
        </is>
      </c>
      <c r="F816" t="inlineStr">
        <is>
          <t>Sveaskog</t>
        </is>
      </c>
      <c r="G816" t="n">
        <v>6.4</v>
      </c>
      <c r="H816" t="n">
        <v>0</v>
      </c>
      <c r="I816" t="n">
        <v>0</v>
      </c>
      <c r="J816" t="n">
        <v>0</v>
      </c>
      <c r="K816" t="n">
        <v>0</v>
      </c>
      <c r="L816" t="n">
        <v>0</v>
      </c>
      <c r="M816" t="n">
        <v>0</v>
      </c>
      <c r="N816" t="n">
        <v>0</v>
      </c>
      <c r="O816" t="n">
        <v>0</v>
      </c>
      <c r="P816" t="n">
        <v>0</v>
      </c>
      <c r="Q816" t="n">
        <v>0</v>
      </c>
      <c r="R816" s="2" t="inlineStr"/>
    </row>
    <row r="817" ht="15" customHeight="1">
      <c r="A817" t="inlineStr">
        <is>
          <t>A 37630-2025</t>
        </is>
      </c>
      <c r="B817" s="1" t="n">
        <v>45880.46372685185</v>
      </c>
      <c r="C817" s="1" t="n">
        <v>45895</v>
      </c>
      <c r="D817" t="inlineStr">
        <is>
          <t>STOCKHOLMS LÄN</t>
        </is>
      </c>
      <c r="E817" t="inlineStr">
        <is>
          <t>NORRTÄLJE</t>
        </is>
      </c>
      <c r="F817" t="inlineStr">
        <is>
          <t>Sveaskog</t>
        </is>
      </c>
      <c r="G817" t="n">
        <v>12.9</v>
      </c>
      <c r="H817" t="n">
        <v>0</v>
      </c>
      <c r="I817" t="n">
        <v>0</v>
      </c>
      <c r="J817" t="n">
        <v>0</v>
      </c>
      <c r="K817" t="n">
        <v>0</v>
      </c>
      <c r="L817" t="n">
        <v>0</v>
      </c>
      <c r="M817" t="n">
        <v>0</v>
      </c>
      <c r="N817" t="n">
        <v>0</v>
      </c>
      <c r="O817" t="n">
        <v>0</v>
      </c>
      <c r="P817" t="n">
        <v>0</v>
      </c>
      <c r="Q817" t="n">
        <v>0</v>
      </c>
      <c r="R817" s="2" t="inlineStr"/>
    </row>
    <row r="818" ht="15" customHeight="1">
      <c r="A818" t="inlineStr">
        <is>
          <t>A 21894-2023</t>
        </is>
      </c>
      <c r="B818" s="1" t="n">
        <v>45068.51783564815</v>
      </c>
      <c r="C818" s="1" t="n">
        <v>45895</v>
      </c>
      <c r="D818" t="inlineStr">
        <is>
          <t>STOCKHOLMS LÄN</t>
        </is>
      </c>
      <c r="E818" t="inlineStr">
        <is>
          <t>NORRTÄLJE</t>
        </is>
      </c>
      <c r="G818" t="n">
        <v>2.5</v>
      </c>
      <c r="H818" t="n">
        <v>0</v>
      </c>
      <c r="I818" t="n">
        <v>0</v>
      </c>
      <c r="J818" t="n">
        <v>0</v>
      </c>
      <c r="K818" t="n">
        <v>0</v>
      </c>
      <c r="L818" t="n">
        <v>0</v>
      </c>
      <c r="M818" t="n">
        <v>0</v>
      </c>
      <c r="N818" t="n">
        <v>0</v>
      </c>
      <c r="O818" t="n">
        <v>0</v>
      </c>
      <c r="P818" t="n">
        <v>0</v>
      </c>
      <c r="Q818" t="n">
        <v>0</v>
      </c>
      <c r="R818" s="2" t="inlineStr"/>
    </row>
    <row r="819" ht="15" customHeight="1">
      <c r="A819" t="inlineStr">
        <is>
          <t>A 32094-2025</t>
        </is>
      </c>
      <c r="B819" s="1" t="n">
        <v>45835.46034722222</v>
      </c>
      <c r="C819" s="1" t="n">
        <v>45895</v>
      </c>
      <c r="D819" t="inlineStr">
        <is>
          <t>STOCKHOLMS LÄN</t>
        </is>
      </c>
      <c r="E819" t="inlineStr">
        <is>
          <t>NORRTÄLJE</t>
        </is>
      </c>
      <c r="F819" t="inlineStr">
        <is>
          <t>Holmen skog AB</t>
        </is>
      </c>
      <c r="G819" t="n">
        <v>2.9</v>
      </c>
      <c r="H819" t="n">
        <v>0</v>
      </c>
      <c r="I819" t="n">
        <v>0</v>
      </c>
      <c r="J819" t="n">
        <v>0</v>
      </c>
      <c r="K819" t="n">
        <v>0</v>
      </c>
      <c r="L819" t="n">
        <v>0</v>
      </c>
      <c r="M819" t="n">
        <v>0</v>
      </c>
      <c r="N819" t="n">
        <v>0</v>
      </c>
      <c r="O819" t="n">
        <v>0</v>
      </c>
      <c r="P819" t="n">
        <v>0</v>
      </c>
      <c r="Q819" t="n">
        <v>0</v>
      </c>
      <c r="R819" s="2" t="inlineStr"/>
    </row>
    <row r="820" ht="15" customHeight="1">
      <c r="A820" t="inlineStr">
        <is>
          <t>A 32016-2025</t>
        </is>
      </c>
      <c r="B820" s="1" t="n">
        <v>45835</v>
      </c>
      <c r="C820" s="1" t="n">
        <v>45895</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32396-2025</t>
        </is>
      </c>
      <c r="B821" s="1" t="n">
        <v>45837</v>
      </c>
      <c r="C821" s="1" t="n">
        <v>45895</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32397-2025</t>
        </is>
      </c>
      <c r="B822" s="1" t="n">
        <v>45837.94081018519</v>
      </c>
      <c r="C822" s="1" t="n">
        <v>45895</v>
      </c>
      <c r="D822" t="inlineStr">
        <is>
          <t>STOCKHOLMS LÄN</t>
        </is>
      </c>
      <c r="E822" t="inlineStr">
        <is>
          <t>NORRTÄLJE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37628-2025</t>
        </is>
      </c>
      <c r="B823" s="1" t="n">
        <v>45880.46189814815</v>
      </c>
      <c r="C823" s="1" t="n">
        <v>45895</v>
      </c>
      <c r="D823" t="inlineStr">
        <is>
          <t>STOCKHOLMS LÄN</t>
        </is>
      </c>
      <c r="E823" t="inlineStr">
        <is>
          <t>NORRTÄLJE</t>
        </is>
      </c>
      <c r="F823" t="inlineStr">
        <is>
          <t>Sveaskog</t>
        </is>
      </c>
      <c r="G823" t="n">
        <v>2.6</v>
      </c>
      <c r="H823" t="n">
        <v>0</v>
      </c>
      <c r="I823" t="n">
        <v>0</v>
      </c>
      <c r="J823" t="n">
        <v>0</v>
      </c>
      <c r="K823" t="n">
        <v>0</v>
      </c>
      <c r="L823" t="n">
        <v>0</v>
      </c>
      <c r="M823" t="n">
        <v>0</v>
      </c>
      <c r="N823" t="n">
        <v>0</v>
      </c>
      <c r="O823" t="n">
        <v>0</v>
      </c>
      <c r="P823" t="n">
        <v>0</v>
      </c>
      <c r="Q823" t="n">
        <v>0</v>
      </c>
      <c r="R823" s="2" t="inlineStr"/>
    </row>
    <row r="824" ht="15" customHeight="1">
      <c r="A824" t="inlineStr">
        <is>
          <t>A 47626-2022</t>
        </is>
      </c>
      <c r="B824" s="1" t="n">
        <v>44854</v>
      </c>
      <c r="C824" s="1" t="n">
        <v>45895</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32480-2025</t>
        </is>
      </c>
      <c r="B825" s="1" t="n">
        <v>45838.43261574074</v>
      </c>
      <c r="C825" s="1" t="n">
        <v>45895</v>
      </c>
      <c r="D825" t="inlineStr">
        <is>
          <t>STOCKHOLMS LÄN</t>
        </is>
      </c>
      <c r="E825" t="inlineStr">
        <is>
          <t>NORRTÄLJE</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32101-2022</t>
        </is>
      </c>
      <c r="B826" s="1" t="n">
        <v>44778.69210648148</v>
      </c>
      <c r="C826" s="1" t="n">
        <v>45895</v>
      </c>
      <c r="D826" t="inlineStr">
        <is>
          <t>STOCKHOLMS LÄN</t>
        </is>
      </c>
      <c r="E826" t="inlineStr">
        <is>
          <t>NORRTÄLJE</t>
        </is>
      </c>
      <c r="G826" t="n">
        <v>4.4</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45895</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42867-2022</t>
        </is>
      </c>
      <c r="B828" s="1" t="n">
        <v>44832</v>
      </c>
      <c r="C828" s="1" t="n">
        <v>45895</v>
      </c>
      <c r="D828" t="inlineStr">
        <is>
          <t>STOCKHOLMS LÄN</t>
        </is>
      </c>
      <c r="E828" t="inlineStr">
        <is>
          <t>NORRTÄLJE</t>
        </is>
      </c>
      <c r="G828" t="n">
        <v>6.4</v>
      </c>
      <c r="H828" t="n">
        <v>0</v>
      </c>
      <c r="I828" t="n">
        <v>0</v>
      </c>
      <c r="J828" t="n">
        <v>0</v>
      </c>
      <c r="K828" t="n">
        <v>0</v>
      </c>
      <c r="L828" t="n">
        <v>0</v>
      </c>
      <c r="M828" t="n">
        <v>0</v>
      </c>
      <c r="N828" t="n">
        <v>0</v>
      </c>
      <c r="O828" t="n">
        <v>0</v>
      </c>
      <c r="P828" t="n">
        <v>0</v>
      </c>
      <c r="Q828" t="n">
        <v>0</v>
      </c>
      <c r="R828" s="2" t="inlineStr"/>
    </row>
    <row r="829" ht="15" customHeight="1">
      <c r="A829" t="inlineStr">
        <is>
          <t>A 21732-2023</t>
        </is>
      </c>
      <c r="B829" s="1" t="n">
        <v>45063</v>
      </c>
      <c r="C829" s="1" t="n">
        <v>45895</v>
      </c>
      <c r="D829" t="inlineStr">
        <is>
          <t>STOCKHOLMS LÄN</t>
        </is>
      </c>
      <c r="E829" t="inlineStr">
        <is>
          <t>NORRTÄLJE</t>
        </is>
      </c>
      <c r="G829" t="n">
        <v>1.7</v>
      </c>
      <c r="H829" t="n">
        <v>0</v>
      </c>
      <c r="I829" t="n">
        <v>0</v>
      </c>
      <c r="J829" t="n">
        <v>0</v>
      </c>
      <c r="K829" t="n">
        <v>0</v>
      </c>
      <c r="L829" t="n">
        <v>0</v>
      </c>
      <c r="M829" t="n">
        <v>0</v>
      </c>
      <c r="N829" t="n">
        <v>0</v>
      </c>
      <c r="O829" t="n">
        <v>0</v>
      </c>
      <c r="P829" t="n">
        <v>0</v>
      </c>
      <c r="Q829" t="n">
        <v>0</v>
      </c>
      <c r="R829" s="2" t="inlineStr"/>
    </row>
    <row r="830" ht="15" customHeight="1">
      <c r="A830" t="inlineStr">
        <is>
          <t>A 5645-2023</t>
        </is>
      </c>
      <c r="B830" s="1" t="n">
        <v>44960.60469907407</v>
      </c>
      <c r="C830" s="1" t="n">
        <v>45895</v>
      </c>
      <c r="D830" t="inlineStr">
        <is>
          <t>STOCKHOLMS LÄN</t>
        </is>
      </c>
      <c r="E830" t="inlineStr">
        <is>
          <t>NORRTÄLJE</t>
        </is>
      </c>
      <c r="G830" t="n">
        <v>1.7</v>
      </c>
      <c r="H830" t="n">
        <v>0</v>
      </c>
      <c r="I830" t="n">
        <v>0</v>
      </c>
      <c r="J830" t="n">
        <v>0</v>
      </c>
      <c r="K830" t="n">
        <v>0</v>
      </c>
      <c r="L830" t="n">
        <v>0</v>
      </c>
      <c r="M830" t="n">
        <v>0</v>
      </c>
      <c r="N830" t="n">
        <v>0</v>
      </c>
      <c r="O830" t="n">
        <v>0</v>
      </c>
      <c r="P830" t="n">
        <v>0</v>
      </c>
      <c r="Q830" t="n">
        <v>0</v>
      </c>
      <c r="R830" s="2" t="inlineStr"/>
    </row>
    <row r="831" ht="15" customHeight="1">
      <c r="A831" t="inlineStr">
        <is>
          <t>A 32395-2025</t>
        </is>
      </c>
      <c r="B831" s="1" t="n">
        <v>45837.93730324074</v>
      </c>
      <c r="C831" s="1" t="n">
        <v>45895</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7806-2025</t>
        </is>
      </c>
      <c r="B832" s="1" t="n">
        <v>45706.61178240741</v>
      </c>
      <c r="C832" s="1" t="n">
        <v>45895</v>
      </c>
      <c r="D832" t="inlineStr">
        <is>
          <t>STOCKHOLMS LÄN</t>
        </is>
      </c>
      <c r="E832" t="inlineStr">
        <is>
          <t>NORRTÄLJE</t>
        </is>
      </c>
      <c r="F832" t="inlineStr">
        <is>
          <t>Holmen skog AB</t>
        </is>
      </c>
      <c r="G832" t="n">
        <v>3.5</v>
      </c>
      <c r="H832" t="n">
        <v>0</v>
      </c>
      <c r="I832" t="n">
        <v>0</v>
      </c>
      <c r="J832" t="n">
        <v>0</v>
      </c>
      <c r="K832" t="n">
        <v>0</v>
      </c>
      <c r="L832" t="n">
        <v>0</v>
      </c>
      <c r="M832" t="n">
        <v>0</v>
      </c>
      <c r="N832" t="n">
        <v>0</v>
      </c>
      <c r="O832" t="n">
        <v>0</v>
      </c>
      <c r="P832" t="n">
        <v>0</v>
      </c>
      <c r="Q832" t="n">
        <v>0</v>
      </c>
      <c r="R832" s="2" t="inlineStr"/>
    </row>
    <row r="833" ht="15" customHeight="1">
      <c r="A833" t="inlineStr">
        <is>
          <t>A 17775-2022</t>
        </is>
      </c>
      <c r="B833" s="1" t="n">
        <v>44682.78430555556</v>
      </c>
      <c r="C833" s="1" t="n">
        <v>45895</v>
      </c>
      <c r="D833" t="inlineStr">
        <is>
          <t>STOCKHOLMS LÄN</t>
        </is>
      </c>
      <c r="E833" t="inlineStr">
        <is>
          <t>NORRTÄLJE</t>
        </is>
      </c>
      <c r="G833" t="n">
        <v>4.7</v>
      </c>
      <c r="H833" t="n">
        <v>0</v>
      </c>
      <c r="I833" t="n">
        <v>0</v>
      </c>
      <c r="J833" t="n">
        <v>0</v>
      </c>
      <c r="K833" t="n">
        <v>0</v>
      </c>
      <c r="L833" t="n">
        <v>0</v>
      </c>
      <c r="M833" t="n">
        <v>0</v>
      </c>
      <c r="N833" t="n">
        <v>0</v>
      </c>
      <c r="O833" t="n">
        <v>0</v>
      </c>
      <c r="P833" t="n">
        <v>0</v>
      </c>
      <c r="Q833" t="n">
        <v>0</v>
      </c>
      <c r="R833" s="2" t="inlineStr"/>
    </row>
    <row r="834" ht="15" customHeight="1">
      <c r="A834" t="inlineStr">
        <is>
          <t>A 37444-2021</t>
        </is>
      </c>
      <c r="B834" s="1" t="n">
        <v>44398</v>
      </c>
      <c r="C834" s="1" t="n">
        <v>45895</v>
      </c>
      <c r="D834" t="inlineStr">
        <is>
          <t>STOCKHOLMS LÄN</t>
        </is>
      </c>
      <c r="E834" t="inlineStr">
        <is>
          <t>NORRTÄLJE</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9703-2021</t>
        </is>
      </c>
      <c r="B835" s="1" t="n">
        <v>44252</v>
      </c>
      <c r="C835" s="1" t="n">
        <v>45895</v>
      </c>
      <c r="D835" t="inlineStr">
        <is>
          <t>STOCKHOLMS LÄN</t>
        </is>
      </c>
      <c r="E835" t="inlineStr">
        <is>
          <t>NORRTÄLJE</t>
        </is>
      </c>
      <c r="G835" t="n">
        <v>3.4</v>
      </c>
      <c r="H835" t="n">
        <v>0</v>
      </c>
      <c r="I835" t="n">
        <v>0</v>
      </c>
      <c r="J835" t="n">
        <v>0</v>
      </c>
      <c r="K835" t="n">
        <v>0</v>
      </c>
      <c r="L835" t="n">
        <v>0</v>
      </c>
      <c r="M835" t="n">
        <v>0</v>
      </c>
      <c r="N835" t="n">
        <v>0</v>
      </c>
      <c r="O835" t="n">
        <v>0</v>
      </c>
      <c r="P835" t="n">
        <v>0</v>
      </c>
      <c r="Q835" t="n">
        <v>0</v>
      </c>
      <c r="R835" s="2" t="inlineStr"/>
    </row>
    <row r="836" ht="15" customHeight="1">
      <c r="A836" t="inlineStr">
        <is>
          <t>A 33211-2025</t>
        </is>
      </c>
      <c r="B836" s="1" t="n">
        <v>45840.62755787037</v>
      </c>
      <c r="C836" s="1" t="n">
        <v>45895</v>
      </c>
      <c r="D836" t="inlineStr">
        <is>
          <t>STOCKHOLMS LÄN</t>
        </is>
      </c>
      <c r="E836" t="inlineStr">
        <is>
          <t>NORRTÄLJE</t>
        </is>
      </c>
      <c r="G836" t="n">
        <v>5.1</v>
      </c>
      <c r="H836" t="n">
        <v>0</v>
      </c>
      <c r="I836" t="n">
        <v>0</v>
      </c>
      <c r="J836" t="n">
        <v>0</v>
      </c>
      <c r="K836" t="n">
        <v>0</v>
      </c>
      <c r="L836" t="n">
        <v>0</v>
      </c>
      <c r="M836" t="n">
        <v>0</v>
      </c>
      <c r="N836" t="n">
        <v>0</v>
      </c>
      <c r="O836" t="n">
        <v>0</v>
      </c>
      <c r="P836" t="n">
        <v>0</v>
      </c>
      <c r="Q836" t="n">
        <v>0</v>
      </c>
      <c r="R836" s="2" t="inlineStr"/>
    </row>
    <row r="837" ht="15" customHeight="1">
      <c r="A837" t="inlineStr">
        <is>
          <t>A 47481-2024</t>
        </is>
      </c>
      <c r="B837" s="1" t="n">
        <v>45587</v>
      </c>
      <c r="C837" s="1" t="n">
        <v>45895</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24933-2023</t>
        </is>
      </c>
      <c r="B838" s="1" t="n">
        <v>45085.5309375</v>
      </c>
      <c r="C838" s="1" t="n">
        <v>45895</v>
      </c>
      <c r="D838" t="inlineStr">
        <is>
          <t>STOCKHOLMS LÄN</t>
        </is>
      </c>
      <c r="E838" t="inlineStr">
        <is>
          <t>NORRTÄLJE</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32903-2025</t>
        </is>
      </c>
      <c r="B839" s="1" t="n">
        <v>45839.62398148148</v>
      </c>
      <c r="C839" s="1" t="n">
        <v>45895</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11062-2024</t>
        </is>
      </c>
      <c r="B840" s="1" t="n">
        <v>45370</v>
      </c>
      <c r="C840" s="1" t="n">
        <v>45895</v>
      </c>
      <c r="D840" t="inlineStr">
        <is>
          <t>STOCKHOLMS LÄN</t>
        </is>
      </c>
      <c r="E840" t="inlineStr">
        <is>
          <t>NORRTÄLJE</t>
        </is>
      </c>
      <c r="G840" t="n">
        <v>3.2</v>
      </c>
      <c r="H840" t="n">
        <v>0</v>
      </c>
      <c r="I840" t="n">
        <v>0</v>
      </c>
      <c r="J840" t="n">
        <v>0</v>
      </c>
      <c r="K840" t="n">
        <v>0</v>
      </c>
      <c r="L840" t="n">
        <v>0</v>
      </c>
      <c r="M840" t="n">
        <v>0</v>
      </c>
      <c r="N840" t="n">
        <v>0</v>
      </c>
      <c r="O840" t="n">
        <v>0</v>
      </c>
      <c r="P840" t="n">
        <v>0</v>
      </c>
      <c r="Q840" t="n">
        <v>0</v>
      </c>
      <c r="R840" s="2" t="inlineStr"/>
    </row>
    <row r="841" ht="15" customHeight="1">
      <c r="A841" t="inlineStr">
        <is>
          <t>A 45173-2023</t>
        </is>
      </c>
      <c r="B841" s="1" t="n">
        <v>45191</v>
      </c>
      <c r="C841" s="1" t="n">
        <v>45895</v>
      </c>
      <c r="D841" t="inlineStr">
        <is>
          <t>STOCKHOLMS LÄN</t>
        </is>
      </c>
      <c r="E841" t="inlineStr">
        <is>
          <t>NORRTÄLJE</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33265-2025</t>
        </is>
      </c>
      <c r="B842" s="1" t="n">
        <v>45840.67829861111</v>
      </c>
      <c r="C842" s="1" t="n">
        <v>45895</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32872-2025</t>
        </is>
      </c>
      <c r="B843" s="1" t="n">
        <v>45839</v>
      </c>
      <c r="C843" s="1" t="n">
        <v>45895</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35254-2025</t>
        </is>
      </c>
      <c r="B844" s="1" t="n">
        <v>45853</v>
      </c>
      <c r="C844" s="1" t="n">
        <v>45895</v>
      </c>
      <c r="D844" t="inlineStr">
        <is>
          <t>STOCKHOLMS LÄN</t>
        </is>
      </c>
      <c r="E844" t="inlineStr">
        <is>
          <t>NORRTÄLJE</t>
        </is>
      </c>
      <c r="G844" t="n">
        <v>6.5</v>
      </c>
      <c r="H844" t="n">
        <v>0</v>
      </c>
      <c r="I844" t="n">
        <v>0</v>
      </c>
      <c r="J844" t="n">
        <v>0</v>
      </c>
      <c r="K844" t="n">
        <v>0</v>
      </c>
      <c r="L844" t="n">
        <v>0</v>
      </c>
      <c r="M844" t="n">
        <v>0</v>
      </c>
      <c r="N844" t="n">
        <v>0</v>
      </c>
      <c r="O844" t="n">
        <v>0</v>
      </c>
      <c r="P844" t="n">
        <v>0</v>
      </c>
      <c r="Q844" t="n">
        <v>0</v>
      </c>
      <c r="R844" s="2" t="inlineStr"/>
    </row>
    <row r="845" ht="15" customHeight="1">
      <c r="A845" t="inlineStr">
        <is>
          <t>A 64137-2021</t>
        </is>
      </c>
      <c r="B845" s="1" t="n">
        <v>44510.51422453704</v>
      </c>
      <c r="C845" s="1" t="n">
        <v>45895</v>
      </c>
      <c r="D845" t="inlineStr">
        <is>
          <t>STOCKHOLMS LÄN</t>
        </is>
      </c>
      <c r="E845" t="inlineStr">
        <is>
          <t>NORRTÄLJE</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576-2023</t>
        </is>
      </c>
      <c r="B846" s="1" t="n">
        <v>44925</v>
      </c>
      <c r="C846" s="1" t="n">
        <v>45895</v>
      </c>
      <c r="D846" t="inlineStr">
        <is>
          <t>STOCKHOLMS LÄN</t>
        </is>
      </c>
      <c r="E846" t="inlineStr">
        <is>
          <t>NORRTÄLJE</t>
        </is>
      </c>
      <c r="G846" t="n">
        <v>7.2</v>
      </c>
      <c r="H846" t="n">
        <v>0</v>
      </c>
      <c r="I846" t="n">
        <v>0</v>
      </c>
      <c r="J846" t="n">
        <v>0</v>
      </c>
      <c r="K846" t="n">
        <v>0</v>
      </c>
      <c r="L846" t="n">
        <v>0</v>
      </c>
      <c r="M846" t="n">
        <v>0</v>
      </c>
      <c r="N846" t="n">
        <v>0</v>
      </c>
      <c r="O846" t="n">
        <v>0</v>
      </c>
      <c r="P846" t="n">
        <v>0</v>
      </c>
      <c r="Q846" t="n">
        <v>0</v>
      </c>
      <c r="R846" s="2" t="inlineStr"/>
    </row>
    <row r="847" ht="15" customHeight="1">
      <c r="A847" t="inlineStr">
        <is>
          <t>A 35256-2025</t>
        </is>
      </c>
      <c r="B847" s="1" t="n">
        <v>45853</v>
      </c>
      <c r="C847" s="1" t="n">
        <v>45895</v>
      </c>
      <c r="D847" t="inlineStr">
        <is>
          <t>STOCKHOLMS LÄN</t>
        </is>
      </c>
      <c r="E847" t="inlineStr">
        <is>
          <t>NORRTÄLJE</t>
        </is>
      </c>
      <c r="G847" t="n">
        <v>6.4</v>
      </c>
      <c r="H847" t="n">
        <v>0</v>
      </c>
      <c r="I847" t="n">
        <v>0</v>
      </c>
      <c r="J847" t="n">
        <v>0</v>
      </c>
      <c r="K847" t="n">
        <v>0</v>
      </c>
      <c r="L847" t="n">
        <v>0</v>
      </c>
      <c r="M847" t="n">
        <v>0</v>
      </c>
      <c r="N847" t="n">
        <v>0</v>
      </c>
      <c r="O847" t="n">
        <v>0</v>
      </c>
      <c r="P847" t="n">
        <v>0</v>
      </c>
      <c r="Q847" t="n">
        <v>0</v>
      </c>
      <c r="R847" s="2" t="inlineStr"/>
    </row>
    <row r="848" ht="15" customHeight="1">
      <c r="A848" t="inlineStr">
        <is>
          <t>A 38153-2025</t>
        </is>
      </c>
      <c r="B848" s="1" t="n">
        <v>45882.59722222222</v>
      </c>
      <c r="C848" s="1" t="n">
        <v>45895</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38720-2022</t>
        </is>
      </c>
      <c r="B849" s="1" t="n">
        <v>44815.74539351852</v>
      </c>
      <c r="C849" s="1" t="n">
        <v>45895</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12908-2025</t>
        </is>
      </c>
      <c r="B850" s="1" t="n">
        <v>45733.82105324074</v>
      </c>
      <c r="C850" s="1" t="n">
        <v>45895</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68361-2021</t>
        </is>
      </c>
      <c r="B851" s="1" t="n">
        <v>44528.91494212963</v>
      </c>
      <c r="C851" s="1" t="n">
        <v>45895</v>
      </c>
      <c r="D851" t="inlineStr">
        <is>
          <t>STOCKHOLMS LÄN</t>
        </is>
      </c>
      <c r="E851" t="inlineStr">
        <is>
          <t>NORRTÄLJE</t>
        </is>
      </c>
      <c r="G851" t="n">
        <v>1.9</v>
      </c>
      <c r="H851" t="n">
        <v>0</v>
      </c>
      <c r="I851" t="n">
        <v>0</v>
      </c>
      <c r="J851" t="n">
        <v>0</v>
      </c>
      <c r="K851" t="n">
        <v>0</v>
      </c>
      <c r="L851" t="n">
        <v>0</v>
      </c>
      <c r="M851" t="n">
        <v>0</v>
      </c>
      <c r="N851" t="n">
        <v>0</v>
      </c>
      <c r="O851" t="n">
        <v>0</v>
      </c>
      <c r="P851" t="n">
        <v>0</v>
      </c>
      <c r="Q851" t="n">
        <v>0</v>
      </c>
      <c r="R851" s="2" t="inlineStr"/>
    </row>
    <row r="852" ht="15" customHeight="1">
      <c r="A852" t="inlineStr">
        <is>
          <t>A 34432-2021</t>
        </is>
      </c>
      <c r="B852" s="1" t="n">
        <v>44380.77346064815</v>
      </c>
      <c r="C852" s="1" t="n">
        <v>45895</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19911-2025</t>
        </is>
      </c>
      <c r="B853" s="1" t="n">
        <v>45771</v>
      </c>
      <c r="C853" s="1" t="n">
        <v>45895</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50469-2022</t>
        </is>
      </c>
      <c r="B854" s="1" t="n">
        <v>44866.49827546296</v>
      </c>
      <c r="C854" s="1" t="n">
        <v>45895</v>
      </c>
      <c r="D854" t="inlineStr">
        <is>
          <t>STOCKHOLMS LÄN</t>
        </is>
      </c>
      <c r="E854" t="inlineStr">
        <is>
          <t>NORRTÄLJE</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41976-2024</t>
        </is>
      </c>
      <c r="B855" s="1" t="n">
        <v>45561.62141203704</v>
      </c>
      <c r="C855" s="1" t="n">
        <v>45895</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14130-2025</t>
        </is>
      </c>
      <c r="B856" s="1" t="n">
        <v>45740.47288194444</v>
      </c>
      <c r="C856" s="1" t="n">
        <v>45895</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12532-2025</t>
        </is>
      </c>
      <c r="B857" s="1" t="n">
        <v>45730.69143518519</v>
      </c>
      <c r="C857" s="1" t="n">
        <v>45895</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33702-2025</t>
        </is>
      </c>
      <c r="B858" s="1" t="n">
        <v>45841.74596064815</v>
      </c>
      <c r="C858" s="1" t="n">
        <v>45895</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33336-2025</t>
        </is>
      </c>
      <c r="B859" s="1" t="n">
        <v>45841.35611111111</v>
      </c>
      <c r="C859" s="1" t="n">
        <v>45895</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40175-2024</t>
        </is>
      </c>
      <c r="B860" s="1" t="n">
        <v>45554.55707175926</v>
      </c>
      <c r="C860" s="1" t="n">
        <v>45895</v>
      </c>
      <c r="D860" t="inlineStr">
        <is>
          <t>STOCKHOLMS LÄN</t>
        </is>
      </c>
      <c r="E860" t="inlineStr">
        <is>
          <t>NORRTÄLJE</t>
        </is>
      </c>
      <c r="G860" t="n">
        <v>7.7</v>
      </c>
      <c r="H860" t="n">
        <v>0</v>
      </c>
      <c r="I860" t="n">
        <v>0</v>
      </c>
      <c r="J860" t="n">
        <v>0</v>
      </c>
      <c r="K860" t="n">
        <v>0</v>
      </c>
      <c r="L860" t="n">
        <v>0</v>
      </c>
      <c r="M860" t="n">
        <v>0</v>
      </c>
      <c r="N860" t="n">
        <v>0</v>
      </c>
      <c r="O860" t="n">
        <v>0</v>
      </c>
      <c r="P860" t="n">
        <v>0</v>
      </c>
      <c r="Q860" t="n">
        <v>0</v>
      </c>
      <c r="R860" s="2" t="inlineStr"/>
    </row>
    <row r="861" ht="15" customHeight="1">
      <c r="A861" t="inlineStr">
        <is>
          <t>A 16229-2022</t>
        </is>
      </c>
      <c r="B861" s="1" t="n">
        <v>44670.4190162037</v>
      </c>
      <c r="C861" s="1" t="n">
        <v>45895</v>
      </c>
      <c r="D861" t="inlineStr">
        <is>
          <t>STOCKHOLMS LÄN</t>
        </is>
      </c>
      <c r="E861" t="inlineStr">
        <is>
          <t>NORRTÄLJE</t>
        </is>
      </c>
      <c r="G861" t="n">
        <v>7.4</v>
      </c>
      <c r="H861" t="n">
        <v>0</v>
      </c>
      <c r="I861" t="n">
        <v>0</v>
      </c>
      <c r="J861" t="n">
        <v>0</v>
      </c>
      <c r="K861" t="n">
        <v>0</v>
      </c>
      <c r="L861" t="n">
        <v>0</v>
      </c>
      <c r="M861" t="n">
        <v>0</v>
      </c>
      <c r="N861" t="n">
        <v>0</v>
      </c>
      <c r="O861" t="n">
        <v>0</v>
      </c>
      <c r="P861" t="n">
        <v>0</v>
      </c>
      <c r="Q861" t="n">
        <v>0</v>
      </c>
      <c r="R861" s="2" t="inlineStr"/>
    </row>
    <row r="862" ht="15" customHeight="1">
      <c r="A862" t="inlineStr">
        <is>
          <t>A 38593-2025</t>
        </is>
      </c>
      <c r="B862" s="1" t="n">
        <v>45884.48696759259</v>
      </c>
      <c r="C862" s="1" t="n">
        <v>45895</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62206-2022</t>
        </is>
      </c>
      <c r="B863" s="1" t="n">
        <v>44922</v>
      </c>
      <c r="C863" s="1" t="n">
        <v>45895</v>
      </c>
      <c r="D863" t="inlineStr">
        <is>
          <t>STOCKHOLMS LÄN</t>
        </is>
      </c>
      <c r="E863" t="inlineStr">
        <is>
          <t>NORRTÄLJE</t>
        </is>
      </c>
      <c r="G863" t="n">
        <v>2.9</v>
      </c>
      <c r="H863" t="n">
        <v>0</v>
      </c>
      <c r="I863" t="n">
        <v>0</v>
      </c>
      <c r="J863" t="n">
        <v>0</v>
      </c>
      <c r="K863" t="n">
        <v>0</v>
      </c>
      <c r="L863" t="n">
        <v>0</v>
      </c>
      <c r="M863" t="n">
        <v>0</v>
      </c>
      <c r="N863" t="n">
        <v>0</v>
      </c>
      <c r="O863" t="n">
        <v>0</v>
      </c>
      <c r="P863" t="n">
        <v>0</v>
      </c>
      <c r="Q863" t="n">
        <v>0</v>
      </c>
      <c r="R863" s="2" t="inlineStr"/>
    </row>
    <row r="864" ht="15" customHeight="1">
      <c r="A864" t="inlineStr">
        <is>
          <t>A 30886-2022</t>
        </is>
      </c>
      <c r="B864" s="1" t="n">
        <v>44767.60601851852</v>
      </c>
      <c r="C864" s="1" t="n">
        <v>45895</v>
      </c>
      <c r="D864" t="inlineStr">
        <is>
          <t>STOCKHOLMS LÄN</t>
        </is>
      </c>
      <c r="E864" t="inlineStr">
        <is>
          <t>NORRTÄLJE</t>
        </is>
      </c>
      <c r="G864" t="n">
        <v>2.6</v>
      </c>
      <c r="H864" t="n">
        <v>0</v>
      </c>
      <c r="I864" t="n">
        <v>0</v>
      </c>
      <c r="J864" t="n">
        <v>0</v>
      </c>
      <c r="K864" t="n">
        <v>0</v>
      </c>
      <c r="L864" t="n">
        <v>0</v>
      </c>
      <c r="M864" t="n">
        <v>0</v>
      </c>
      <c r="N864" t="n">
        <v>0</v>
      </c>
      <c r="O864" t="n">
        <v>0</v>
      </c>
      <c r="P864" t="n">
        <v>0</v>
      </c>
      <c r="Q864" t="n">
        <v>0</v>
      </c>
      <c r="R864" s="2" t="inlineStr"/>
    </row>
    <row r="865" ht="15" customHeight="1">
      <c r="A865" t="inlineStr">
        <is>
          <t>A 58989-2021</t>
        </is>
      </c>
      <c r="B865" s="1" t="n">
        <v>44490.02482638889</v>
      </c>
      <c r="C865" s="1" t="n">
        <v>45895</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58990-2021</t>
        </is>
      </c>
      <c r="B866" s="1" t="n">
        <v>44490.03621527777</v>
      </c>
      <c r="C866" s="1" t="n">
        <v>45895</v>
      </c>
      <c r="D866" t="inlineStr">
        <is>
          <t>STOCKHOLMS LÄN</t>
        </is>
      </c>
      <c r="E866" t="inlineStr">
        <is>
          <t>NORRTÄLJE</t>
        </is>
      </c>
      <c r="G866" t="n">
        <v>4.2</v>
      </c>
      <c r="H866" t="n">
        <v>0</v>
      </c>
      <c r="I866" t="n">
        <v>0</v>
      </c>
      <c r="J866" t="n">
        <v>0</v>
      </c>
      <c r="K866" t="n">
        <v>0</v>
      </c>
      <c r="L866" t="n">
        <v>0</v>
      </c>
      <c r="M866" t="n">
        <v>0</v>
      </c>
      <c r="N866" t="n">
        <v>0</v>
      </c>
      <c r="O866" t="n">
        <v>0</v>
      </c>
      <c r="P866" t="n">
        <v>0</v>
      </c>
      <c r="Q866" t="n">
        <v>0</v>
      </c>
      <c r="R866" s="2" t="inlineStr"/>
    </row>
    <row r="867" ht="15" customHeight="1">
      <c r="A867" t="inlineStr">
        <is>
          <t>A 11940-2023</t>
        </is>
      </c>
      <c r="B867" s="1" t="n">
        <v>44995</v>
      </c>
      <c r="C867" s="1" t="n">
        <v>45895</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46914-2022</t>
        </is>
      </c>
      <c r="B868" s="1" t="n">
        <v>44851</v>
      </c>
      <c r="C868" s="1" t="n">
        <v>45895</v>
      </c>
      <c r="D868" t="inlineStr">
        <is>
          <t>STOCKHOLMS LÄN</t>
        </is>
      </c>
      <c r="E868" t="inlineStr">
        <is>
          <t>NORRTÄLJE</t>
        </is>
      </c>
      <c r="G868" t="n">
        <v>2.4</v>
      </c>
      <c r="H868" t="n">
        <v>0</v>
      </c>
      <c r="I868" t="n">
        <v>0</v>
      </c>
      <c r="J868" t="n">
        <v>0</v>
      </c>
      <c r="K868" t="n">
        <v>0</v>
      </c>
      <c r="L868" t="n">
        <v>0</v>
      </c>
      <c r="M868" t="n">
        <v>0</v>
      </c>
      <c r="N868" t="n">
        <v>0</v>
      </c>
      <c r="O868" t="n">
        <v>0</v>
      </c>
      <c r="P868" t="n">
        <v>0</v>
      </c>
      <c r="Q868" t="n">
        <v>0</v>
      </c>
      <c r="R868" s="2" t="inlineStr"/>
    </row>
    <row r="869" ht="15" customHeight="1">
      <c r="A869" t="inlineStr">
        <is>
          <t>A 33552-2025</t>
        </is>
      </c>
      <c r="B869" s="1" t="n">
        <v>45841.5737962963</v>
      </c>
      <c r="C869" s="1" t="n">
        <v>45895</v>
      </c>
      <c r="D869" t="inlineStr">
        <is>
          <t>STOCKHOLMS LÄN</t>
        </is>
      </c>
      <c r="E869" t="inlineStr">
        <is>
          <t>NORRTÄLJE</t>
        </is>
      </c>
      <c r="G869" t="n">
        <v>8.9</v>
      </c>
      <c r="H869" t="n">
        <v>0</v>
      </c>
      <c r="I869" t="n">
        <v>0</v>
      </c>
      <c r="J869" t="n">
        <v>0</v>
      </c>
      <c r="K869" t="n">
        <v>0</v>
      </c>
      <c r="L869" t="n">
        <v>0</v>
      </c>
      <c r="M869" t="n">
        <v>0</v>
      </c>
      <c r="N869" t="n">
        <v>0</v>
      </c>
      <c r="O869" t="n">
        <v>0</v>
      </c>
      <c r="P869" t="n">
        <v>0</v>
      </c>
      <c r="Q869" t="n">
        <v>0</v>
      </c>
      <c r="R869" s="2" t="inlineStr"/>
    </row>
    <row r="870" ht="15" customHeight="1">
      <c r="A870" t="inlineStr">
        <is>
          <t>A 33546-2025</t>
        </is>
      </c>
      <c r="B870" s="1" t="n">
        <v>45841.56996527778</v>
      </c>
      <c r="C870" s="1" t="n">
        <v>45895</v>
      </c>
      <c r="D870" t="inlineStr">
        <is>
          <t>STOCKHOLMS LÄN</t>
        </is>
      </c>
      <c r="E870" t="inlineStr">
        <is>
          <t>NORRTÄLJE</t>
        </is>
      </c>
      <c r="G870" t="n">
        <v>7.2</v>
      </c>
      <c r="H870" t="n">
        <v>0</v>
      </c>
      <c r="I870" t="n">
        <v>0</v>
      </c>
      <c r="J870" t="n">
        <v>0</v>
      </c>
      <c r="K870" t="n">
        <v>0</v>
      </c>
      <c r="L870" t="n">
        <v>0</v>
      </c>
      <c r="M870" t="n">
        <v>0</v>
      </c>
      <c r="N870" t="n">
        <v>0</v>
      </c>
      <c r="O870" t="n">
        <v>0</v>
      </c>
      <c r="P870" t="n">
        <v>0</v>
      </c>
      <c r="Q870" t="n">
        <v>0</v>
      </c>
      <c r="R870" s="2" t="inlineStr"/>
    </row>
    <row r="871" ht="15" customHeight="1">
      <c r="A871" t="inlineStr">
        <is>
          <t>A 20244-2025</t>
        </is>
      </c>
      <c r="B871" s="1" t="n">
        <v>45772.71221064815</v>
      </c>
      <c r="C871" s="1" t="n">
        <v>45895</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44183-2020</t>
        </is>
      </c>
      <c r="B872" s="1" t="n">
        <v>44083</v>
      </c>
      <c r="C872" s="1" t="n">
        <v>45895</v>
      </c>
      <c r="D872" t="inlineStr">
        <is>
          <t>STOCKHOLMS LÄN</t>
        </is>
      </c>
      <c r="E872" t="inlineStr">
        <is>
          <t>NORRTÄLJE</t>
        </is>
      </c>
      <c r="G872" t="n">
        <v>4.3</v>
      </c>
      <c r="H872" t="n">
        <v>0</v>
      </c>
      <c r="I872" t="n">
        <v>0</v>
      </c>
      <c r="J872" t="n">
        <v>0</v>
      </c>
      <c r="K872" t="n">
        <v>0</v>
      </c>
      <c r="L872" t="n">
        <v>0</v>
      </c>
      <c r="M872" t="n">
        <v>0</v>
      </c>
      <c r="N872" t="n">
        <v>0</v>
      </c>
      <c r="O872" t="n">
        <v>0</v>
      </c>
      <c r="P872" t="n">
        <v>0</v>
      </c>
      <c r="Q872" t="n">
        <v>0</v>
      </c>
      <c r="R872" s="2" t="inlineStr"/>
    </row>
    <row r="873" ht="15" customHeight="1">
      <c r="A873" t="inlineStr">
        <is>
          <t>A 50143-2023</t>
        </is>
      </c>
      <c r="B873" s="1" t="n">
        <v>45215</v>
      </c>
      <c r="C873" s="1" t="n">
        <v>45895</v>
      </c>
      <c r="D873" t="inlineStr">
        <is>
          <t>STOCKHOLMS LÄN</t>
        </is>
      </c>
      <c r="E873" t="inlineStr">
        <is>
          <t>NORRTÄLJE</t>
        </is>
      </c>
      <c r="G873" t="n">
        <v>10.3</v>
      </c>
      <c r="H873" t="n">
        <v>0</v>
      </c>
      <c r="I873" t="n">
        <v>0</v>
      </c>
      <c r="J873" t="n">
        <v>0</v>
      </c>
      <c r="K873" t="n">
        <v>0</v>
      </c>
      <c r="L873" t="n">
        <v>0</v>
      </c>
      <c r="M873" t="n">
        <v>0</v>
      </c>
      <c r="N873" t="n">
        <v>0</v>
      </c>
      <c r="O873" t="n">
        <v>0</v>
      </c>
      <c r="P873" t="n">
        <v>0</v>
      </c>
      <c r="Q873" t="n">
        <v>0</v>
      </c>
      <c r="R873" s="2" t="inlineStr"/>
    </row>
    <row r="874" ht="15" customHeight="1">
      <c r="A874" t="inlineStr">
        <is>
          <t>A 29266-2022</t>
        </is>
      </c>
      <c r="B874" s="1" t="n">
        <v>44750.66068287037</v>
      </c>
      <c r="C874" s="1" t="n">
        <v>45895</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29278-2022</t>
        </is>
      </c>
      <c r="B875" s="1" t="n">
        <v>44750</v>
      </c>
      <c r="C875" s="1" t="n">
        <v>45895</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33824-2025</t>
        </is>
      </c>
      <c r="B876" s="1" t="n">
        <v>45842.46885416667</v>
      </c>
      <c r="C876" s="1" t="n">
        <v>45895</v>
      </c>
      <c r="D876" t="inlineStr">
        <is>
          <t>STOCKHOLMS LÄN</t>
        </is>
      </c>
      <c r="E876" t="inlineStr">
        <is>
          <t>NORRTÄLJE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6401-2024</t>
        </is>
      </c>
      <c r="B877" s="1" t="n">
        <v>45338</v>
      </c>
      <c r="C877" s="1" t="n">
        <v>45895</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24501-2023</t>
        </is>
      </c>
      <c r="B878" s="1" t="n">
        <v>45082</v>
      </c>
      <c r="C878" s="1" t="n">
        <v>45895</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24520-2023</t>
        </is>
      </c>
      <c r="B879" s="1" t="n">
        <v>45082.68922453704</v>
      </c>
      <c r="C879" s="1" t="n">
        <v>45895</v>
      </c>
      <c r="D879" t="inlineStr">
        <is>
          <t>STOCKHOLMS LÄN</t>
        </is>
      </c>
      <c r="E879" t="inlineStr">
        <is>
          <t>NORRTÄLJE</t>
        </is>
      </c>
      <c r="G879" t="n">
        <v>4.3</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45895</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20015-2023</t>
        </is>
      </c>
      <c r="B881" s="1" t="n">
        <v>45054</v>
      </c>
      <c r="C881" s="1" t="n">
        <v>45895</v>
      </c>
      <c r="D881" t="inlineStr">
        <is>
          <t>STOCKHOLMS LÄN</t>
        </is>
      </c>
      <c r="E881" t="inlineStr">
        <is>
          <t>NORRTÄLJE</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39149-2025</t>
        </is>
      </c>
      <c r="B882" s="1" t="n">
        <v>45888.60714120371</v>
      </c>
      <c r="C882" s="1" t="n">
        <v>45895</v>
      </c>
      <c r="D882" t="inlineStr">
        <is>
          <t>STOCKHOLMS LÄN</t>
        </is>
      </c>
      <c r="E882" t="inlineStr">
        <is>
          <t>NORRTÄLJE</t>
        </is>
      </c>
      <c r="G882" t="n">
        <v>3.5</v>
      </c>
      <c r="H882" t="n">
        <v>0</v>
      </c>
      <c r="I882" t="n">
        <v>0</v>
      </c>
      <c r="J882" t="n">
        <v>0</v>
      </c>
      <c r="K882" t="n">
        <v>0</v>
      </c>
      <c r="L882" t="n">
        <v>0</v>
      </c>
      <c r="M882" t="n">
        <v>0</v>
      </c>
      <c r="N882" t="n">
        <v>0</v>
      </c>
      <c r="O882" t="n">
        <v>0</v>
      </c>
      <c r="P882" t="n">
        <v>0</v>
      </c>
      <c r="Q882" t="n">
        <v>0</v>
      </c>
      <c r="R882" s="2" t="inlineStr"/>
    </row>
    <row r="883" ht="15" customHeight="1">
      <c r="A883" t="inlineStr">
        <is>
          <t>A 5027-2025</t>
        </is>
      </c>
      <c r="B883" s="1" t="n">
        <v>45691.41101851852</v>
      </c>
      <c r="C883" s="1" t="n">
        <v>45895</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38612-2022</t>
        </is>
      </c>
      <c r="B884" s="1" t="n">
        <v>44813</v>
      </c>
      <c r="C884" s="1" t="n">
        <v>45895</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20011-2025</t>
        </is>
      </c>
      <c r="B885" s="1" t="n">
        <v>45772.29622685185</v>
      </c>
      <c r="C885" s="1" t="n">
        <v>45895</v>
      </c>
      <c r="D885" t="inlineStr">
        <is>
          <t>STOCKHOLMS LÄN</t>
        </is>
      </c>
      <c r="E885" t="inlineStr">
        <is>
          <t>NORRTÄLJE</t>
        </is>
      </c>
      <c r="G885" t="n">
        <v>3.5</v>
      </c>
      <c r="H885" t="n">
        <v>0</v>
      </c>
      <c r="I885" t="n">
        <v>0</v>
      </c>
      <c r="J885" t="n">
        <v>0</v>
      </c>
      <c r="K885" t="n">
        <v>0</v>
      </c>
      <c r="L885" t="n">
        <v>0</v>
      </c>
      <c r="M885" t="n">
        <v>0</v>
      </c>
      <c r="N885" t="n">
        <v>0</v>
      </c>
      <c r="O885" t="n">
        <v>0</v>
      </c>
      <c r="P885" t="n">
        <v>0</v>
      </c>
      <c r="Q885" t="n">
        <v>0</v>
      </c>
      <c r="R885" s="2" t="inlineStr"/>
    </row>
    <row r="886" ht="15" customHeight="1">
      <c r="A886" t="inlineStr">
        <is>
          <t>A 33040-2021</t>
        </is>
      </c>
      <c r="B886" s="1" t="n">
        <v>44376.50728009259</v>
      </c>
      <c r="C886" s="1" t="n">
        <v>45895</v>
      </c>
      <c r="D886" t="inlineStr">
        <is>
          <t>STOCKHOLMS LÄN</t>
        </is>
      </c>
      <c r="E886" t="inlineStr">
        <is>
          <t>NORRTÄLJE</t>
        </is>
      </c>
      <c r="G886" t="n">
        <v>2.7</v>
      </c>
      <c r="H886" t="n">
        <v>0</v>
      </c>
      <c r="I886" t="n">
        <v>0</v>
      </c>
      <c r="J886" t="n">
        <v>0</v>
      </c>
      <c r="K886" t="n">
        <v>0</v>
      </c>
      <c r="L886" t="n">
        <v>0</v>
      </c>
      <c r="M886" t="n">
        <v>0</v>
      </c>
      <c r="N886" t="n">
        <v>0</v>
      </c>
      <c r="O886" t="n">
        <v>0</v>
      </c>
      <c r="P886" t="n">
        <v>0</v>
      </c>
      <c r="Q886" t="n">
        <v>0</v>
      </c>
      <c r="R886" s="2" t="inlineStr"/>
    </row>
    <row r="887" ht="15" customHeight="1">
      <c r="A887" t="inlineStr">
        <is>
          <t>A 8315-2025</t>
        </is>
      </c>
      <c r="B887" s="1" t="n">
        <v>45708.61761574074</v>
      </c>
      <c r="C887" s="1" t="n">
        <v>45895</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46073-2024</t>
        </is>
      </c>
      <c r="B888" s="1" t="n">
        <v>45581</v>
      </c>
      <c r="C888" s="1" t="n">
        <v>45895</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26117-2024</t>
        </is>
      </c>
      <c r="B889" s="1" t="n">
        <v>45468.45877314815</v>
      </c>
      <c r="C889" s="1" t="n">
        <v>45895</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61113-2023</t>
        </is>
      </c>
      <c r="B890" s="1" t="n">
        <v>45261</v>
      </c>
      <c r="C890" s="1" t="n">
        <v>45895</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38720-2025</t>
        </is>
      </c>
      <c r="B891" s="1" t="n">
        <v>45886.72702546296</v>
      </c>
      <c r="C891" s="1" t="n">
        <v>45895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36689-2023</t>
        </is>
      </c>
      <c r="B892" s="1" t="n">
        <v>45152</v>
      </c>
      <c r="C892" s="1" t="n">
        <v>45895</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12251-2025</t>
        </is>
      </c>
      <c r="B893" s="1" t="n">
        <v>45729.60859953704</v>
      </c>
      <c r="C893" s="1" t="n">
        <v>45895</v>
      </c>
      <c r="D893" t="inlineStr">
        <is>
          <t>STOCKHOLMS LÄN</t>
        </is>
      </c>
      <c r="E893" t="inlineStr">
        <is>
          <t>NORRTÄLJE</t>
        </is>
      </c>
      <c r="F893" t="inlineStr">
        <is>
          <t>Holmen skog AB</t>
        </is>
      </c>
      <c r="G893" t="n">
        <v>5.9</v>
      </c>
      <c r="H893" t="n">
        <v>0</v>
      </c>
      <c r="I893" t="n">
        <v>0</v>
      </c>
      <c r="J893" t="n">
        <v>0</v>
      </c>
      <c r="K893" t="n">
        <v>0</v>
      </c>
      <c r="L893" t="n">
        <v>0</v>
      </c>
      <c r="M893" t="n">
        <v>0</v>
      </c>
      <c r="N893" t="n">
        <v>0</v>
      </c>
      <c r="O893" t="n">
        <v>0</v>
      </c>
      <c r="P893" t="n">
        <v>0</v>
      </c>
      <c r="Q893" t="n">
        <v>0</v>
      </c>
      <c r="R893" s="2" t="inlineStr"/>
    </row>
    <row r="894" ht="15" customHeight="1">
      <c r="A894" t="inlineStr">
        <is>
          <t>A 60822-2023</t>
        </is>
      </c>
      <c r="B894" s="1" t="n">
        <v>45259</v>
      </c>
      <c r="C894" s="1" t="n">
        <v>45895</v>
      </c>
      <c r="D894" t="inlineStr">
        <is>
          <t>STOCKHOLMS LÄN</t>
        </is>
      </c>
      <c r="E894" t="inlineStr">
        <is>
          <t>NORRTÄLJE</t>
        </is>
      </c>
      <c r="G894" t="n">
        <v>5.2</v>
      </c>
      <c r="H894" t="n">
        <v>0</v>
      </c>
      <c r="I894" t="n">
        <v>0</v>
      </c>
      <c r="J894" t="n">
        <v>0</v>
      </c>
      <c r="K894" t="n">
        <v>0</v>
      </c>
      <c r="L894" t="n">
        <v>0</v>
      </c>
      <c r="M894" t="n">
        <v>0</v>
      </c>
      <c r="N894" t="n">
        <v>0</v>
      </c>
      <c r="O894" t="n">
        <v>0</v>
      </c>
      <c r="P894" t="n">
        <v>0</v>
      </c>
      <c r="Q894" t="n">
        <v>0</v>
      </c>
      <c r="R894" s="2" t="inlineStr"/>
    </row>
    <row r="895" ht="15" customHeight="1">
      <c r="A895" t="inlineStr">
        <is>
          <t>A 59310-2023</t>
        </is>
      </c>
      <c r="B895" s="1" t="n">
        <v>45253.61146990741</v>
      </c>
      <c r="C895" s="1" t="n">
        <v>45895</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20343-2024</t>
        </is>
      </c>
      <c r="B896" s="1" t="n">
        <v>45435.43466435185</v>
      </c>
      <c r="C896" s="1" t="n">
        <v>45895</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20345-2024</t>
        </is>
      </c>
      <c r="B897" s="1" t="n">
        <v>45435.43820601852</v>
      </c>
      <c r="C897" s="1" t="n">
        <v>45895</v>
      </c>
      <c r="D897" t="inlineStr">
        <is>
          <t>STOCKHOLMS LÄN</t>
        </is>
      </c>
      <c r="E897" t="inlineStr">
        <is>
          <t>NORRTÄLJE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55010-2024</t>
        </is>
      </c>
      <c r="B898" s="1" t="n">
        <v>45621.34425925926</v>
      </c>
      <c r="C898" s="1" t="n">
        <v>45895</v>
      </c>
      <c r="D898" t="inlineStr">
        <is>
          <t>STOCKHOLMS LÄN</t>
        </is>
      </c>
      <c r="E898" t="inlineStr">
        <is>
          <t>NORRTÄLJE</t>
        </is>
      </c>
      <c r="F898" t="inlineStr">
        <is>
          <t>Sveaskog</t>
        </is>
      </c>
      <c r="G898" t="n">
        <v>5.7</v>
      </c>
      <c r="H898" t="n">
        <v>0</v>
      </c>
      <c r="I898" t="n">
        <v>0</v>
      </c>
      <c r="J898" t="n">
        <v>0</v>
      </c>
      <c r="K898" t="n">
        <v>0</v>
      </c>
      <c r="L898" t="n">
        <v>0</v>
      </c>
      <c r="M898" t="n">
        <v>0</v>
      </c>
      <c r="N898" t="n">
        <v>0</v>
      </c>
      <c r="O898" t="n">
        <v>0</v>
      </c>
      <c r="P898" t="n">
        <v>0</v>
      </c>
      <c r="Q898" t="n">
        <v>0</v>
      </c>
      <c r="R898" s="2" t="inlineStr"/>
    </row>
    <row r="899" ht="15" customHeight="1">
      <c r="A899" t="inlineStr">
        <is>
          <t>A 55018-2024</t>
        </is>
      </c>
      <c r="B899" s="1" t="n">
        <v>45621.35712962963</v>
      </c>
      <c r="C899" s="1" t="n">
        <v>45895</v>
      </c>
      <c r="D899" t="inlineStr">
        <is>
          <t>STOCKHOLMS LÄN</t>
        </is>
      </c>
      <c r="E899" t="inlineStr">
        <is>
          <t>NORRTÄLJE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34139-2025</t>
        </is>
      </c>
      <c r="B900" s="1" t="n">
        <v>45845</v>
      </c>
      <c r="C900" s="1" t="n">
        <v>45895</v>
      </c>
      <c r="D900" t="inlineStr">
        <is>
          <t>STOCKHOLMS LÄN</t>
        </is>
      </c>
      <c r="E900" t="inlineStr">
        <is>
          <t>NORRTÄLJE</t>
        </is>
      </c>
      <c r="G900" t="n">
        <v>5.5</v>
      </c>
      <c r="H900" t="n">
        <v>0</v>
      </c>
      <c r="I900" t="n">
        <v>0</v>
      </c>
      <c r="J900" t="n">
        <v>0</v>
      </c>
      <c r="K900" t="n">
        <v>0</v>
      </c>
      <c r="L900" t="n">
        <v>0</v>
      </c>
      <c r="M900" t="n">
        <v>0</v>
      </c>
      <c r="N900" t="n">
        <v>0</v>
      </c>
      <c r="O900" t="n">
        <v>0</v>
      </c>
      <c r="P900" t="n">
        <v>0</v>
      </c>
      <c r="Q900" t="n">
        <v>0</v>
      </c>
      <c r="R900" s="2" t="inlineStr"/>
    </row>
    <row r="901" ht="15" customHeight="1">
      <c r="A901" t="inlineStr">
        <is>
          <t>A 34006-2025</t>
        </is>
      </c>
      <c r="B901" s="1" t="n">
        <v>45844.62609953704</v>
      </c>
      <c r="C901" s="1" t="n">
        <v>45895</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50113-2024</t>
        </is>
      </c>
      <c r="B902" s="1" t="n">
        <v>45600.411875</v>
      </c>
      <c r="C902" s="1" t="n">
        <v>45895</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54776-2023</t>
        </is>
      </c>
      <c r="B903" s="1" t="n">
        <v>45236.46369212963</v>
      </c>
      <c r="C903" s="1" t="n">
        <v>45895</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20336-2024</t>
        </is>
      </c>
      <c r="B904" s="1" t="n">
        <v>45435.43123842592</v>
      </c>
      <c r="C904" s="1" t="n">
        <v>45895</v>
      </c>
      <c r="D904" t="inlineStr">
        <is>
          <t>STOCKHOLMS LÄN</t>
        </is>
      </c>
      <c r="E904" t="inlineStr">
        <is>
          <t>NORRTÄLJE</t>
        </is>
      </c>
      <c r="G904" t="n">
        <v>1.9</v>
      </c>
      <c r="H904" t="n">
        <v>0</v>
      </c>
      <c r="I904" t="n">
        <v>0</v>
      </c>
      <c r="J904" t="n">
        <v>0</v>
      </c>
      <c r="K904" t="n">
        <v>0</v>
      </c>
      <c r="L904" t="n">
        <v>0</v>
      </c>
      <c r="M904" t="n">
        <v>0</v>
      </c>
      <c r="N904" t="n">
        <v>0</v>
      </c>
      <c r="O904" t="n">
        <v>0</v>
      </c>
      <c r="P904" t="n">
        <v>0</v>
      </c>
      <c r="Q904" t="n">
        <v>0</v>
      </c>
      <c r="R904" s="2" t="inlineStr"/>
    </row>
    <row r="905" ht="15" customHeight="1">
      <c r="A905" t="inlineStr">
        <is>
          <t>A 20144-2023</t>
        </is>
      </c>
      <c r="B905" s="1" t="n">
        <v>45055.43509259259</v>
      </c>
      <c r="C905" s="1" t="n">
        <v>45895</v>
      </c>
      <c r="D905" t="inlineStr">
        <is>
          <t>STOCKHOLMS LÄN</t>
        </is>
      </c>
      <c r="E905" t="inlineStr">
        <is>
          <t>NORRTÄLJE</t>
        </is>
      </c>
      <c r="G905" t="n">
        <v>1.4</v>
      </c>
      <c r="H905" t="n">
        <v>0</v>
      </c>
      <c r="I905" t="n">
        <v>0</v>
      </c>
      <c r="J905" t="n">
        <v>0</v>
      </c>
      <c r="K905" t="n">
        <v>0</v>
      </c>
      <c r="L905" t="n">
        <v>0</v>
      </c>
      <c r="M905" t="n">
        <v>0</v>
      </c>
      <c r="N905" t="n">
        <v>0</v>
      </c>
      <c r="O905" t="n">
        <v>0</v>
      </c>
      <c r="P905" t="n">
        <v>0</v>
      </c>
      <c r="Q905" t="n">
        <v>0</v>
      </c>
      <c r="R905" s="2" t="inlineStr"/>
    </row>
    <row r="906" ht="15" customHeight="1">
      <c r="A906" t="inlineStr">
        <is>
          <t>A 64899-2023</t>
        </is>
      </c>
      <c r="B906" s="1" t="n">
        <v>45282</v>
      </c>
      <c r="C906" s="1" t="n">
        <v>45895</v>
      </c>
      <c r="D906" t="inlineStr">
        <is>
          <t>STOCKHOLMS LÄN</t>
        </is>
      </c>
      <c r="E906" t="inlineStr">
        <is>
          <t>NORRTÄLJE</t>
        </is>
      </c>
      <c r="G906" t="n">
        <v>6.3</v>
      </c>
      <c r="H906" t="n">
        <v>0</v>
      </c>
      <c r="I906" t="n">
        <v>0</v>
      </c>
      <c r="J906" t="n">
        <v>0</v>
      </c>
      <c r="K906" t="n">
        <v>0</v>
      </c>
      <c r="L906" t="n">
        <v>0</v>
      </c>
      <c r="M906" t="n">
        <v>0</v>
      </c>
      <c r="N906" t="n">
        <v>0</v>
      </c>
      <c r="O906" t="n">
        <v>0</v>
      </c>
      <c r="P906" t="n">
        <v>0</v>
      </c>
      <c r="Q906" t="n">
        <v>0</v>
      </c>
      <c r="R906" s="2" t="inlineStr"/>
    </row>
    <row r="907" ht="15" customHeight="1">
      <c r="A907" t="inlineStr">
        <is>
          <t>A 1847-2023</t>
        </is>
      </c>
      <c r="B907" s="1" t="n">
        <v>44938</v>
      </c>
      <c r="C907" s="1" t="n">
        <v>45895</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11122-2021</t>
        </is>
      </c>
      <c r="B908" s="1" t="n">
        <v>44260</v>
      </c>
      <c r="C908" s="1" t="n">
        <v>45895</v>
      </c>
      <c r="D908" t="inlineStr">
        <is>
          <t>STOCKHOLMS LÄN</t>
        </is>
      </c>
      <c r="E908" t="inlineStr">
        <is>
          <t>NORRTÄLJE</t>
        </is>
      </c>
      <c r="F908" t="inlineStr">
        <is>
          <t>Holmen skog AB</t>
        </is>
      </c>
      <c r="G908" t="n">
        <v>2.1</v>
      </c>
      <c r="H908" t="n">
        <v>0</v>
      </c>
      <c r="I908" t="n">
        <v>0</v>
      </c>
      <c r="J908" t="n">
        <v>0</v>
      </c>
      <c r="K908" t="n">
        <v>0</v>
      </c>
      <c r="L908" t="n">
        <v>0</v>
      </c>
      <c r="M908" t="n">
        <v>0</v>
      </c>
      <c r="N908" t="n">
        <v>0</v>
      </c>
      <c r="O908" t="n">
        <v>0</v>
      </c>
      <c r="P908" t="n">
        <v>0</v>
      </c>
      <c r="Q908" t="n">
        <v>0</v>
      </c>
      <c r="R908" s="2" t="inlineStr"/>
    </row>
    <row r="909" ht="15" customHeight="1">
      <c r="A909" t="inlineStr">
        <is>
          <t>A 13314-2025</t>
        </is>
      </c>
      <c r="B909" s="1" t="n">
        <v>45735.59287037037</v>
      </c>
      <c r="C909" s="1" t="n">
        <v>45895</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23056-2023</t>
        </is>
      </c>
      <c r="B910" s="1" t="n">
        <v>45075</v>
      </c>
      <c r="C910" s="1" t="n">
        <v>45895</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34010-2025</t>
        </is>
      </c>
      <c r="B911" s="1" t="n">
        <v>45844.91234953704</v>
      </c>
      <c r="C911" s="1" t="n">
        <v>45895</v>
      </c>
      <c r="D911" t="inlineStr">
        <is>
          <t>STOCKHOLMS LÄN</t>
        </is>
      </c>
      <c r="E911" t="inlineStr">
        <is>
          <t>NORRTÄLJE</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29362-2022</t>
        </is>
      </c>
      <c r="B912" s="1" t="n">
        <v>44753</v>
      </c>
      <c r="C912" s="1" t="n">
        <v>45895</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13172-2025</t>
        </is>
      </c>
      <c r="B913" s="1" t="n">
        <v>45735.36873842592</v>
      </c>
      <c r="C913" s="1" t="n">
        <v>45895</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39152-2025</t>
        </is>
      </c>
      <c r="B914" s="1" t="n">
        <v>45888.61357638889</v>
      </c>
      <c r="C914" s="1" t="n">
        <v>45895</v>
      </c>
      <c r="D914" t="inlineStr">
        <is>
          <t>STOCKHOLMS LÄN</t>
        </is>
      </c>
      <c r="E914" t="inlineStr">
        <is>
          <t>NORRTÄLJE</t>
        </is>
      </c>
      <c r="G914" t="n">
        <v>4.6</v>
      </c>
      <c r="H914" t="n">
        <v>0</v>
      </c>
      <c r="I914" t="n">
        <v>0</v>
      </c>
      <c r="J914" t="n">
        <v>0</v>
      </c>
      <c r="K914" t="n">
        <v>0</v>
      </c>
      <c r="L914" t="n">
        <v>0</v>
      </c>
      <c r="M914" t="n">
        <v>0</v>
      </c>
      <c r="N914" t="n">
        <v>0</v>
      </c>
      <c r="O914" t="n">
        <v>0</v>
      </c>
      <c r="P914" t="n">
        <v>0</v>
      </c>
      <c r="Q914" t="n">
        <v>0</v>
      </c>
      <c r="R914" s="2" t="inlineStr"/>
    </row>
    <row r="915" ht="15" customHeight="1">
      <c r="A915" t="inlineStr">
        <is>
          <t>A 20291-2022</t>
        </is>
      </c>
      <c r="B915" s="1" t="n">
        <v>44698</v>
      </c>
      <c r="C915" s="1" t="n">
        <v>45895</v>
      </c>
      <c r="D915" t="inlineStr">
        <is>
          <t>STOCKHOLMS LÄN</t>
        </is>
      </c>
      <c r="E915" t="inlineStr">
        <is>
          <t>NORRTÄLJE</t>
        </is>
      </c>
      <c r="F915" t="inlineStr">
        <is>
          <t>Naturvårdsverket</t>
        </is>
      </c>
      <c r="G915" t="n">
        <v>2</v>
      </c>
      <c r="H915" t="n">
        <v>0</v>
      </c>
      <c r="I915" t="n">
        <v>0</v>
      </c>
      <c r="J915" t="n">
        <v>0</v>
      </c>
      <c r="K915" t="n">
        <v>0</v>
      </c>
      <c r="L915" t="n">
        <v>0</v>
      </c>
      <c r="M915" t="n">
        <v>0</v>
      </c>
      <c r="N915" t="n">
        <v>0</v>
      </c>
      <c r="O915" t="n">
        <v>0</v>
      </c>
      <c r="P915" t="n">
        <v>0</v>
      </c>
      <c r="Q915" t="n">
        <v>0</v>
      </c>
      <c r="R915" s="2" t="inlineStr"/>
    </row>
    <row r="916" ht="15" customHeight="1">
      <c r="A916" t="inlineStr">
        <is>
          <t>A 19728-2022</t>
        </is>
      </c>
      <c r="B916" s="1" t="n">
        <v>44694.57413194444</v>
      </c>
      <c r="C916" s="1" t="n">
        <v>45895</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12302-2025</t>
        </is>
      </c>
      <c r="B917" s="1" t="n">
        <v>45729.72851851852</v>
      </c>
      <c r="C917" s="1" t="n">
        <v>45895</v>
      </c>
      <c r="D917" t="inlineStr">
        <is>
          <t>STOCKHOLMS LÄN</t>
        </is>
      </c>
      <c r="E917" t="inlineStr">
        <is>
          <t>NORRTÄLJE</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39610-2025</t>
        </is>
      </c>
      <c r="B918" s="1" t="n">
        <v>45890.56001157407</v>
      </c>
      <c r="C918" s="1" t="n">
        <v>45895</v>
      </c>
      <c r="D918" t="inlineStr">
        <is>
          <t>STOCKHOLMS LÄN</t>
        </is>
      </c>
      <c r="E918" t="inlineStr">
        <is>
          <t>NORRTÄLJE</t>
        </is>
      </c>
      <c r="G918" t="n">
        <v>28.6</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45895</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1425-2025</t>
        </is>
      </c>
      <c r="B920" s="1" t="n">
        <v>45668.67446759259</v>
      </c>
      <c r="C920" s="1" t="n">
        <v>45895</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1453-2025</t>
        </is>
      </c>
      <c r="B921" s="1" t="n">
        <v>45670.3079050926</v>
      </c>
      <c r="C921" s="1" t="n">
        <v>45895</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3386-2021</t>
        </is>
      </c>
      <c r="B922" s="1" t="n">
        <v>44218</v>
      </c>
      <c r="C922" s="1" t="n">
        <v>45895</v>
      </c>
      <c r="D922" t="inlineStr">
        <is>
          <t>STOCKHOLMS LÄN</t>
        </is>
      </c>
      <c r="E922" t="inlineStr">
        <is>
          <t>NORRTÄLJE</t>
        </is>
      </c>
      <c r="G922" t="n">
        <v>8</v>
      </c>
      <c r="H922" t="n">
        <v>0</v>
      </c>
      <c r="I922" t="n">
        <v>0</v>
      </c>
      <c r="J922" t="n">
        <v>0</v>
      </c>
      <c r="K922" t="n">
        <v>0</v>
      </c>
      <c r="L922" t="n">
        <v>0</v>
      </c>
      <c r="M922" t="n">
        <v>0</v>
      </c>
      <c r="N922" t="n">
        <v>0</v>
      </c>
      <c r="O922" t="n">
        <v>0</v>
      </c>
      <c r="P922" t="n">
        <v>0</v>
      </c>
      <c r="Q922" t="n">
        <v>0</v>
      </c>
      <c r="R922" s="2" t="inlineStr"/>
    </row>
    <row r="923" ht="15" customHeight="1">
      <c r="A923" t="inlineStr">
        <is>
          <t>A 13860-2023</t>
        </is>
      </c>
      <c r="B923" s="1" t="n">
        <v>45007</v>
      </c>
      <c r="C923" s="1" t="n">
        <v>45895</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6070-2022</t>
        </is>
      </c>
      <c r="B924" s="1" t="n">
        <v>44599.58428240741</v>
      </c>
      <c r="C924" s="1" t="n">
        <v>45895</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9130-2025</t>
        </is>
      </c>
      <c r="B925" s="1" t="n">
        <v>45713.92623842593</v>
      </c>
      <c r="C925" s="1" t="n">
        <v>45895</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15733-2025</t>
        </is>
      </c>
      <c r="B926" s="1" t="n">
        <v>45748</v>
      </c>
      <c r="C926" s="1" t="n">
        <v>45895</v>
      </c>
      <c r="D926" t="inlineStr">
        <is>
          <t>STOCKHOLMS LÄN</t>
        </is>
      </c>
      <c r="E926" t="inlineStr">
        <is>
          <t>NORRTÄLJE</t>
        </is>
      </c>
      <c r="G926" t="n">
        <v>13.3</v>
      </c>
      <c r="H926" t="n">
        <v>0</v>
      </c>
      <c r="I926" t="n">
        <v>0</v>
      </c>
      <c r="J926" t="n">
        <v>0</v>
      </c>
      <c r="K926" t="n">
        <v>0</v>
      </c>
      <c r="L926" t="n">
        <v>0</v>
      </c>
      <c r="M926" t="n">
        <v>0</v>
      </c>
      <c r="N926" t="n">
        <v>0</v>
      </c>
      <c r="O926" t="n">
        <v>0</v>
      </c>
      <c r="P926" t="n">
        <v>0</v>
      </c>
      <c r="Q926" t="n">
        <v>0</v>
      </c>
      <c r="R926" s="2" t="inlineStr"/>
    </row>
    <row r="927" ht="15" customHeight="1">
      <c r="A927" t="inlineStr">
        <is>
          <t>A 27828-2022</t>
        </is>
      </c>
      <c r="B927" s="1" t="n">
        <v>44743.59765046297</v>
      </c>
      <c r="C927" s="1" t="n">
        <v>45895</v>
      </c>
      <c r="D927" t="inlineStr">
        <is>
          <t>STOCKHOLMS LÄN</t>
        </is>
      </c>
      <c r="E927" t="inlineStr">
        <is>
          <t>NORRTÄLJE</t>
        </is>
      </c>
      <c r="F927" t="inlineStr">
        <is>
          <t>Kommuner</t>
        </is>
      </c>
      <c r="G927" t="n">
        <v>1.6</v>
      </c>
      <c r="H927" t="n">
        <v>0</v>
      </c>
      <c r="I927" t="n">
        <v>0</v>
      </c>
      <c r="J927" t="n">
        <v>0</v>
      </c>
      <c r="K927" t="n">
        <v>0</v>
      </c>
      <c r="L927" t="n">
        <v>0</v>
      </c>
      <c r="M927" t="n">
        <v>0</v>
      </c>
      <c r="N927" t="n">
        <v>0</v>
      </c>
      <c r="O927" t="n">
        <v>0</v>
      </c>
      <c r="P927" t="n">
        <v>0</v>
      </c>
      <c r="Q927" t="n">
        <v>0</v>
      </c>
      <c r="R927" s="2" t="inlineStr"/>
    </row>
    <row r="928" ht="15" customHeight="1">
      <c r="A928" t="inlineStr">
        <is>
          <t>A 27870-2022</t>
        </is>
      </c>
      <c r="B928" s="1" t="n">
        <v>44743.64592592593</v>
      </c>
      <c r="C928" s="1" t="n">
        <v>45895</v>
      </c>
      <c r="D928" t="inlineStr">
        <is>
          <t>STOCKHOLMS LÄN</t>
        </is>
      </c>
      <c r="E928" t="inlineStr">
        <is>
          <t>NORRTÄLJE</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39692-2025</t>
        </is>
      </c>
      <c r="B929" s="1" t="n">
        <v>45890.68083333333</v>
      </c>
      <c r="C929" s="1" t="n">
        <v>45895</v>
      </c>
      <c r="D929" t="inlineStr">
        <is>
          <t>STOCKHOLMS LÄN</t>
        </is>
      </c>
      <c r="E929" t="inlineStr">
        <is>
          <t>NORRTÄLJE</t>
        </is>
      </c>
      <c r="G929" t="n">
        <v>10.5</v>
      </c>
      <c r="H929" t="n">
        <v>0</v>
      </c>
      <c r="I929" t="n">
        <v>0</v>
      </c>
      <c r="J929" t="n">
        <v>0</v>
      </c>
      <c r="K929" t="n">
        <v>0</v>
      </c>
      <c r="L929" t="n">
        <v>0</v>
      </c>
      <c r="M929" t="n">
        <v>0</v>
      </c>
      <c r="N929" t="n">
        <v>0</v>
      </c>
      <c r="O929" t="n">
        <v>0</v>
      </c>
      <c r="P929" t="n">
        <v>0</v>
      </c>
      <c r="Q929" t="n">
        <v>0</v>
      </c>
      <c r="R929" s="2" t="inlineStr"/>
    </row>
    <row r="930" ht="15" customHeight="1">
      <c r="A930" t="inlineStr">
        <is>
          <t>A 59873-2024</t>
        </is>
      </c>
      <c r="B930" s="1" t="n">
        <v>45640.57305555556</v>
      </c>
      <c r="C930" s="1" t="n">
        <v>45895</v>
      </c>
      <c r="D930" t="inlineStr">
        <is>
          <t>STOCKHOLMS LÄN</t>
        </is>
      </c>
      <c r="E930" t="inlineStr">
        <is>
          <t>NORRTÄLJE</t>
        </is>
      </c>
      <c r="G930" t="n">
        <v>3.3</v>
      </c>
      <c r="H930" t="n">
        <v>0</v>
      </c>
      <c r="I930" t="n">
        <v>0</v>
      </c>
      <c r="J930" t="n">
        <v>0</v>
      </c>
      <c r="K930" t="n">
        <v>0</v>
      </c>
      <c r="L930" t="n">
        <v>0</v>
      </c>
      <c r="M930" t="n">
        <v>0</v>
      </c>
      <c r="N930" t="n">
        <v>0</v>
      </c>
      <c r="O930" t="n">
        <v>0</v>
      </c>
      <c r="P930" t="n">
        <v>0</v>
      </c>
      <c r="Q930" t="n">
        <v>0</v>
      </c>
      <c r="R930" s="2" t="inlineStr"/>
    </row>
    <row r="931" ht="15" customHeight="1">
      <c r="A931" t="inlineStr">
        <is>
          <t>A 19025-2025</t>
        </is>
      </c>
      <c r="B931" s="1" t="n">
        <v>45764.6359837963</v>
      </c>
      <c r="C931" s="1" t="n">
        <v>45895</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40097-2025</t>
        </is>
      </c>
      <c r="B932" s="1" t="n">
        <v>45894.48322916667</v>
      </c>
      <c r="C932" s="1" t="n">
        <v>45895</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5867-2022</t>
        </is>
      </c>
      <c r="B933" s="1" t="n">
        <v>44596.66335648148</v>
      </c>
      <c r="C933" s="1" t="n">
        <v>45895</v>
      </c>
      <c r="D933" t="inlineStr">
        <is>
          <t>STOCKHOLMS LÄN</t>
        </is>
      </c>
      <c r="E933" t="inlineStr">
        <is>
          <t>NORRTÄLJE</t>
        </is>
      </c>
      <c r="F933" t="inlineStr">
        <is>
          <t>Naturvårdsverket</t>
        </is>
      </c>
      <c r="G933" t="n">
        <v>1.6</v>
      </c>
      <c r="H933" t="n">
        <v>0</v>
      </c>
      <c r="I933" t="n">
        <v>0</v>
      </c>
      <c r="J933" t="n">
        <v>0</v>
      </c>
      <c r="K933" t="n">
        <v>0</v>
      </c>
      <c r="L933" t="n">
        <v>0</v>
      </c>
      <c r="M933" t="n">
        <v>0</v>
      </c>
      <c r="N933" t="n">
        <v>0</v>
      </c>
      <c r="O933" t="n">
        <v>0</v>
      </c>
      <c r="P933" t="n">
        <v>0</v>
      </c>
      <c r="Q933" t="n">
        <v>0</v>
      </c>
      <c r="R933" s="2" t="inlineStr"/>
    </row>
    <row r="934" ht="15" customHeight="1">
      <c r="A934" t="inlineStr">
        <is>
          <t>A 22412-2021</t>
        </is>
      </c>
      <c r="B934" s="1" t="n">
        <v>44326.61967592593</v>
      </c>
      <c r="C934" s="1" t="n">
        <v>45895</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40033-2025</t>
        </is>
      </c>
      <c r="B935" s="1" t="n">
        <v>45893</v>
      </c>
      <c r="C935" s="1" t="n">
        <v>45895</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48161-2022</t>
        </is>
      </c>
      <c r="B936" s="1" t="n">
        <v>44858</v>
      </c>
      <c r="C936" s="1" t="n">
        <v>45895</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40217-2025</t>
        </is>
      </c>
      <c r="B937" s="1" t="n">
        <v>45894.68864583333</v>
      </c>
      <c r="C937" s="1" t="n">
        <v>45895</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40032-2025</t>
        </is>
      </c>
      <c r="B938" s="1" t="n">
        <v>45893</v>
      </c>
      <c r="C938" s="1" t="n">
        <v>45895</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73307-2021</t>
        </is>
      </c>
      <c r="B939" s="1" t="n">
        <v>44549</v>
      </c>
      <c r="C939" s="1" t="n">
        <v>45895</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58493-2020</t>
        </is>
      </c>
      <c r="B940" s="1" t="n">
        <v>44145</v>
      </c>
      <c r="C940" s="1" t="n">
        <v>45895</v>
      </c>
      <c r="D940" t="inlineStr">
        <is>
          <t>STOCKHOLMS LÄN</t>
        </is>
      </c>
      <c r="E940" t="inlineStr">
        <is>
          <t>NORRTÄLJE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21731-2023</t>
        </is>
      </c>
      <c r="B941" s="1" t="n">
        <v>45063</v>
      </c>
      <c r="C941" s="1" t="n">
        <v>45895</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21745-2023</t>
        </is>
      </c>
      <c r="B942" s="1" t="n">
        <v>45065.55917824074</v>
      </c>
      <c r="C942" s="1" t="n">
        <v>45895</v>
      </c>
      <c r="D942" t="inlineStr">
        <is>
          <t>STOCKHOLMS LÄN</t>
        </is>
      </c>
      <c r="E942" t="inlineStr">
        <is>
          <t>NORRTÄLJE</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43150-2023</t>
        </is>
      </c>
      <c r="B943" s="1" t="n">
        <v>45183</v>
      </c>
      <c r="C943" s="1" t="n">
        <v>45895</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40172-2025</t>
        </is>
      </c>
      <c r="B944" s="1" t="n">
        <v>45894.6353125</v>
      </c>
      <c r="C944" s="1" t="n">
        <v>45895</v>
      </c>
      <c r="D944" t="inlineStr">
        <is>
          <t>STOCKHOLMS LÄN</t>
        </is>
      </c>
      <c r="E944" t="inlineStr">
        <is>
          <t>NORRTÄLJE</t>
        </is>
      </c>
      <c r="G944" t="n">
        <v>6</v>
      </c>
      <c r="H944" t="n">
        <v>0</v>
      </c>
      <c r="I944" t="n">
        <v>0</v>
      </c>
      <c r="J944" t="n">
        <v>0</v>
      </c>
      <c r="K944" t="n">
        <v>0</v>
      </c>
      <c r="L944" t="n">
        <v>0</v>
      </c>
      <c r="M944" t="n">
        <v>0</v>
      </c>
      <c r="N944" t="n">
        <v>0</v>
      </c>
      <c r="O944" t="n">
        <v>0</v>
      </c>
      <c r="P944" t="n">
        <v>0</v>
      </c>
      <c r="Q944" t="n">
        <v>0</v>
      </c>
      <c r="R944" s="2" t="inlineStr"/>
    </row>
    <row r="945" ht="15" customHeight="1">
      <c r="A945" t="inlineStr">
        <is>
          <t>A 59534-2024</t>
        </is>
      </c>
      <c r="B945" s="1" t="n">
        <v>45638.5987037037</v>
      </c>
      <c r="C945" s="1" t="n">
        <v>45895</v>
      </c>
      <c r="D945" t="inlineStr">
        <is>
          <t>STOCKHOLMS LÄN</t>
        </is>
      </c>
      <c r="E945" t="inlineStr">
        <is>
          <t>NORRTÄLJE</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23307-2024</t>
        </is>
      </c>
      <c r="B946" s="1" t="n">
        <v>45453</v>
      </c>
      <c r="C946" s="1" t="n">
        <v>45895</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19450-2025</t>
        </is>
      </c>
      <c r="B947" s="1" t="n">
        <v>45770</v>
      </c>
      <c r="C947" s="1" t="n">
        <v>45895</v>
      </c>
      <c r="D947" t="inlineStr">
        <is>
          <t>STOCKHOLMS LÄN</t>
        </is>
      </c>
      <c r="E947" t="inlineStr">
        <is>
          <t>NORRTÄLJE</t>
        </is>
      </c>
      <c r="G947" t="n">
        <v>5.3</v>
      </c>
      <c r="H947" t="n">
        <v>0</v>
      </c>
      <c r="I947" t="n">
        <v>0</v>
      </c>
      <c r="J947" t="n">
        <v>0</v>
      </c>
      <c r="K947" t="n">
        <v>0</v>
      </c>
      <c r="L947" t="n">
        <v>0</v>
      </c>
      <c r="M947" t="n">
        <v>0</v>
      </c>
      <c r="N947" t="n">
        <v>0</v>
      </c>
      <c r="O947" t="n">
        <v>0</v>
      </c>
      <c r="P947" t="n">
        <v>0</v>
      </c>
      <c r="Q947" t="n">
        <v>0</v>
      </c>
      <c r="R947" s="2" t="inlineStr"/>
    </row>
    <row r="948" ht="15" customHeight="1">
      <c r="A948" t="inlineStr">
        <is>
          <t>A 30221-2024</t>
        </is>
      </c>
      <c r="B948" s="1" t="n">
        <v>45490.45342592592</v>
      </c>
      <c r="C948" s="1" t="n">
        <v>45895</v>
      </c>
      <c r="D948" t="inlineStr">
        <is>
          <t>STOCKHOLMS LÄN</t>
        </is>
      </c>
      <c r="E948" t="inlineStr">
        <is>
          <t>NORRTÄLJE</t>
        </is>
      </c>
      <c r="F948" t="inlineStr">
        <is>
          <t>Holmen skog AB</t>
        </is>
      </c>
      <c r="G948" t="n">
        <v>1.7</v>
      </c>
      <c r="H948" t="n">
        <v>0</v>
      </c>
      <c r="I948" t="n">
        <v>0</v>
      </c>
      <c r="J948" t="n">
        <v>0</v>
      </c>
      <c r="K948" t="n">
        <v>0</v>
      </c>
      <c r="L948" t="n">
        <v>0</v>
      </c>
      <c r="M948" t="n">
        <v>0</v>
      </c>
      <c r="N948" t="n">
        <v>0</v>
      </c>
      <c r="O948" t="n">
        <v>0</v>
      </c>
      <c r="P948" t="n">
        <v>0</v>
      </c>
      <c r="Q948" t="n">
        <v>0</v>
      </c>
      <c r="R948" s="2" t="inlineStr"/>
    </row>
    <row r="949" ht="15" customHeight="1">
      <c r="A949" t="inlineStr">
        <is>
          <t>A 2281-2024</t>
        </is>
      </c>
      <c r="B949" s="1" t="n">
        <v>45310.40628472222</v>
      </c>
      <c r="C949" s="1" t="n">
        <v>45895</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2287-2024</t>
        </is>
      </c>
      <c r="B950" s="1" t="n">
        <v>45310</v>
      </c>
      <c r="C950" s="1" t="n">
        <v>45895</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26365-2024</t>
        </is>
      </c>
      <c r="B951" s="1" t="n">
        <v>45469</v>
      </c>
      <c r="C951" s="1" t="n">
        <v>45895</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50602-2021</t>
        </is>
      </c>
      <c r="B952" s="1" t="n">
        <v>44459</v>
      </c>
      <c r="C952" s="1" t="n">
        <v>45895</v>
      </c>
      <c r="D952" t="inlineStr">
        <is>
          <t>STOCKHOLMS LÄN</t>
        </is>
      </c>
      <c r="E952" t="inlineStr">
        <is>
          <t>NORRTÄLJE</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20618-2022</t>
        </is>
      </c>
      <c r="B953" s="1" t="n">
        <v>44700.50659722222</v>
      </c>
      <c r="C953" s="1" t="n">
        <v>45895</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35110-2025</t>
        </is>
      </c>
      <c r="B954" s="1" t="n">
        <v>45852.58030092593</v>
      </c>
      <c r="C954" s="1" t="n">
        <v>45895</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59504-2023</t>
        </is>
      </c>
      <c r="B955" s="1" t="n">
        <v>45254</v>
      </c>
      <c r="C955" s="1" t="n">
        <v>45895</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48798-2021</t>
        </is>
      </c>
      <c r="B956" s="1" t="n">
        <v>44452</v>
      </c>
      <c r="C956" s="1" t="n">
        <v>45895</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53607-2020</t>
        </is>
      </c>
      <c r="B957" s="1" t="n">
        <v>44124</v>
      </c>
      <c r="C957" s="1" t="n">
        <v>45895</v>
      </c>
      <c r="D957" t="inlineStr">
        <is>
          <t>STOCKHOLMS LÄN</t>
        </is>
      </c>
      <c r="E957" t="inlineStr">
        <is>
          <t>NORRTÄLJE</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40228-2025</t>
        </is>
      </c>
      <c r="B958" s="1" t="n">
        <v>45894.70854166667</v>
      </c>
      <c r="C958" s="1" t="n">
        <v>45895</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40230-2025</t>
        </is>
      </c>
      <c r="B959" s="1" t="n">
        <v>45894.71101851852</v>
      </c>
      <c r="C959" s="1" t="n">
        <v>45895</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25656-2023</t>
        </is>
      </c>
      <c r="B960" s="1" t="n">
        <v>45089</v>
      </c>
      <c r="C960" s="1" t="n">
        <v>45895</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38049-2023</t>
        </is>
      </c>
      <c r="B961" s="1" t="n">
        <v>45159</v>
      </c>
      <c r="C961" s="1" t="n">
        <v>45895</v>
      </c>
      <c r="D961" t="inlineStr">
        <is>
          <t>STOCKHOLMS LÄN</t>
        </is>
      </c>
      <c r="E961" t="inlineStr">
        <is>
          <t>NORRTÄLJE</t>
        </is>
      </c>
      <c r="G961" t="n">
        <v>3.6</v>
      </c>
      <c r="H961" t="n">
        <v>0</v>
      </c>
      <c r="I961" t="n">
        <v>0</v>
      </c>
      <c r="J961" t="n">
        <v>0</v>
      </c>
      <c r="K961" t="n">
        <v>0</v>
      </c>
      <c r="L961" t="n">
        <v>0</v>
      </c>
      <c r="M961" t="n">
        <v>0</v>
      </c>
      <c r="N961" t="n">
        <v>0</v>
      </c>
      <c r="O961" t="n">
        <v>0</v>
      </c>
      <c r="P961" t="n">
        <v>0</v>
      </c>
      <c r="Q961" t="n">
        <v>0</v>
      </c>
      <c r="R961" s="2" t="inlineStr"/>
    </row>
    <row r="962" ht="15" customHeight="1">
      <c r="A962" t="inlineStr">
        <is>
          <t>A 30283-2022</t>
        </is>
      </c>
      <c r="B962" s="1" t="n">
        <v>44760</v>
      </c>
      <c r="C962" s="1" t="n">
        <v>45895</v>
      </c>
      <c r="D962" t="inlineStr">
        <is>
          <t>STOCKHOLMS LÄN</t>
        </is>
      </c>
      <c r="E962" t="inlineStr">
        <is>
          <t>NORRTÄLJE</t>
        </is>
      </c>
      <c r="G962" t="n">
        <v>6.2</v>
      </c>
      <c r="H962" t="n">
        <v>0</v>
      </c>
      <c r="I962" t="n">
        <v>0</v>
      </c>
      <c r="J962" t="n">
        <v>0</v>
      </c>
      <c r="K962" t="n">
        <v>0</v>
      </c>
      <c r="L962" t="n">
        <v>0</v>
      </c>
      <c r="M962" t="n">
        <v>0</v>
      </c>
      <c r="N962" t="n">
        <v>0</v>
      </c>
      <c r="O962" t="n">
        <v>0</v>
      </c>
      <c r="P962" t="n">
        <v>0</v>
      </c>
      <c r="Q962" t="n">
        <v>0</v>
      </c>
      <c r="R962" s="2" t="inlineStr"/>
    </row>
    <row r="963" ht="15" customHeight="1">
      <c r="A963" t="inlineStr">
        <is>
          <t>A 30290-2022</t>
        </is>
      </c>
      <c r="B963" s="1" t="n">
        <v>44760</v>
      </c>
      <c r="C963" s="1" t="n">
        <v>45895</v>
      </c>
      <c r="D963" t="inlineStr">
        <is>
          <t>STOCKHOLMS LÄN</t>
        </is>
      </c>
      <c r="E963" t="inlineStr">
        <is>
          <t>NORRTÄLJE</t>
        </is>
      </c>
      <c r="G963" t="n">
        <v>4.8</v>
      </c>
      <c r="H963" t="n">
        <v>0</v>
      </c>
      <c r="I963" t="n">
        <v>0</v>
      </c>
      <c r="J963" t="n">
        <v>0</v>
      </c>
      <c r="K963" t="n">
        <v>0</v>
      </c>
      <c r="L963" t="n">
        <v>0</v>
      </c>
      <c r="M963" t="n">
        <v>0</v>
      </c>
      <c r="N963" t="n">
        <v>0</v>
      </c>
      <c r="O963" t="n">
        <v>0</v>
      </c>
      <c r="P963" t="n">
        <v>0</v>
      </c>
      <c r="Q963" t="n">
        <v>0</v>
      </c>
      <c r="R963" s="2" t="inlineStr"/>
    </row>
    <row r="964" ht="15" customHeight="1">
      <c r="A964" t="inlineStr">
        <is>
          <t>A 38985-2022</t>
        </is>
      </c>
      <c r="B964" s="1" t="n">
        <v>44816</v>
      </c>
      <c r="C964" s="1" t="n">
        <v>45895</v>
      </c>
      <c r="D964" t="inlineStr">
        <is>
          <t>STOCKHOLMS LÄN</t>
        </is>
      </c>
      <c r="E964" t="inlineStr">
        <is>
          <t>NORRTÄLJE</t>
        </is>
      </c>
      <c r="G964" t="n">
        <v>10.1</v>
      </c>
      <c r="H964" t="n">
        <v>0</v>
      </c>
      <c r="I964" t="n">
        <v>0</v>
      </c>
      <c r="J964" t="n">
        <v>0</v>
      </c>
      <c r="K964" t="n">
        <v>0</v>
      </c>
      <c r="L964" t="n">
        <v>0</v>
      </c>
      <c r="M964" t="n">
        <v>0</v>
      </c>
      <c r="N964" t="n">
        <v>0</v>
      </c>
      <c r="O964" t="n">
        <v>0</v>
      </c>
      <c r="P964" t="n">
        <v>0</v>
      </c>
      <c r="Q964" t="n">
        <v>0</v>
      </c>
      <c r="R964" s="2" t="inlineStr"/>
    </row>
    <row r="965" ht="15" customHeight="1">
      <c r="A965" t="inlineStr">
        <is>
          <t>A 25625-2023</t>
        </is>
      </c>
      <c r="B965" s="1" t="n">
        <v>45089</v>
      </c>
      <c r="C965" s="1" t="n">
        <v>45895</v>
      </c>
      <c r="D965" t="inlineStr">
        <is>
          <t>STOCKHOLMS LÄN</t>
        </is>
      </c>
      <c r="E965" t="inlineStr">
        <is>
          <t>NORRTÄLJE</t>
        </is>
      </c>
      <c r="G965" t="n">
        <v>5.5</v>
      </c>
      <c r="H965" t="n">
        <v>0</v>
      </c>
      <c r="I965" t="n">
        <v>0</v>
      </c>
      <c r="J965" t="n">
        <v>0</v>
      </c>
      <c r="K965" t="n">
        <v>0</v>
      </c>
      <c r="L965" t="n">
        <v>0</v>
      </c>
      <c r="M965" t="n">
        <v>0</v>
      </c>
      <c r="N965" t="n">
        <v>0</v>
      </c>
      <c r="O965" t="n">
        <v>0</v>
      </c>
      <c r="P965" t="n">
        <v>0</v>
      </c>
      <c r="Q965" t="n">
        <v>0</v>
      </c>
      <c r="R965" s="2" t="inlineStr"/>
    </row>
    <row r="966" ht="15" customHeight="1">
      <c r="A966" t="inlineStr">
        <is>
          <t>A 3966-2024</t>
        </is>
      </c>
      <c r="B966" s="1" t="n">
        <v>45322</v>
      </c>
      <c r="C966" s="1" t="n">
        <v>45895</v>
      </c>
      <c r="D966" t="inlineStr">
        <is>
          <t>STOCKHOLMS LÄN</t>
        </is>
      </c>
      <c r="E966" t="inlineStr">
        <is>
          <t>NORRTÄLJE</t>
        </is>
      </c>
      <c r="G966" t="n">
        <v>5.3</v>
      </c>
      <c r="H966" t="n">
        <v>0</v>
      </c>
      <c r="I966" t="n">
        <v>0</v>
      </c>
      <c r="J966" t="n">
        <v>0</v>
      </c>
      <c r="K966" t="n">
        <v>0</v>
      </c>
      <c r="L966" t="n">
        <v>0</v>
      </c>
      <c r="M966" t="n">
        <v>0</v>
      </c>
      <c r="N966" t="n">
        <v>0</v>
      </c>
      <c r="O966" t="n">
        <v>0</v>
      </c>
      <c r="P966" t="n">
        <v>0</v>
      </c>
      <c r="Q966" t="n">
        <v>0</v>
      </c>
      <c r="R966" s="2" t="inlineStr"/>
    </row>
    <row r="967" ht="15" customHeight="1">
      <c r="A967" t="inlineStr">
        <is>
          <t>A 17348-2024</t>
        </is>
      </c>
      <c r="B967" s="1" t="n">
        <v>45414.58650462963</v>
      </c>
      <c r="C967" s="1" t="n">
        <v>45895</v>
      </c>
      <c r="D967" t="inlineStr">
        <is>
          <t>STOCKHOLMS LÄN</t>
        </is>
      </c>
      <c r="E967" t="inlineStr">
        <is>
          <t>NORRTÄLJE</t>
        </is>
      </c>
      <c r="G967" t="n">
        <v>2.3</v>
      </c>
      <c r="H967" t="n">
        <v>0</v>
      </c>
      <c r="I967" t="n">
        <v>0</v>
      </c>
      <c r="J967" t="n">
        <v>0</v>
      </c>
      <c r="K967" t="n">
        <v>0</v>
      </c>
      <c r="L967" t="n">
        <v>0</v>
      </c>
      <c r="M967" t="n">
        <v>0</v>
      </c>
      <c r="N967" t="n">
        <v>0</v>
      </c>
      <c r="O967" t="n">
        <v>0</v>
      </c>
      <c r="P967" t="n">
        <v>0</v>
      </c>
      <c r="Q967" t="n">
        <v>0</v>
      </c>
      <c r="R967" s="2" t="inlineStr"/>
    </row>
    <row r="968" ht="15" customHeight="1">
      <c r="A968" t="inlineStr">
        <is>
          <t>A 14132-2025</t>
        </is>
      </c>
      <c r="B968" s="1" t="n">
        <v>45740.47550925926</v>
      </c>
      <c r="C968" s="1" t="n">
        <v>45895</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14133-2025</t>
        </is>
      </c>
      <c r="B969" s="1" t="n">
        <v>45740.47724537037</v>
      </c>
      <c r="C969" s="1" t="n">
        <v>45895</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7186-2024</t>
        </is>
      </c>
      <c r="B970" s="1" t="n">
        <v>45344</v>
      </c>
      <c r="C970" s="1" t="n">
        <v>45895</v>
      </c>
      <c r="D970" t="inlineStr">
        <is>
          <t>STOCKHOLMS LÄN</t>
        </is>
      </c>
      <c r="E970" t="inlineStr">
        <is>
          <t>NORRTÄLJE</t>
        </is>
      </c>
      <c r="G970" t="n">
        <v>4.9</v>
      </c>
      <c r="H970" t="n">
        <v>0</v>
      </c>
      <c r="I970" t="n">
        <v>0</v>
      </c>
      <c r="J970" t="n">
        <v>0</v>
      </c>
      <c r="K970" t="n">
        <v>0</v>
      </c>
      <c r="L970" t="n">
        <v>0</v>
      </c>
      <c r="M970" t="n">
        <v>0</v>
      </c>
      <c r="N970" t="n">
        <v>0</v>
      </c>
      <c r="O970" t="n">
        <v>0</v>
      </c>
      <c r="P970" t="n">
        <v>0</v>
      </c>
      <c r="Q970" t="n">
        <v>0</v>
      </c>
      <c r="R970" s="2" t="inlineStr"/>
    </row>
    <row r="971" ht="15" customHeight="1">
      <c r="A971" t="inlineStr">
        <is>
          <t>A 38591-2023</t>
        </is>
      </c>
      <c r="B971" s="1" t="n">
        <v>45162</v>
      </c>
      <c r="C971" s="1" t="n">
        <v>45895</v>
      </c>
      <c r="D971" t="inlineStr">
        <is>
          <t>STOCKHOLMS LÄN</t>
        </is>
      </c>
      <c r="E971" t="inlineStr">
        <is>
          <t>NORRTÄLJE</t>
        </is>
      </c>
      <c r="F971" t="inlineStr">
        <is>
          <t>Övriga Aktiebolag</t>
        </is>
      </c>
      <c r="G971" t="n">
        <v>3.1</v>
      </c>
      <c r="H971" t="n">
        <v>0</v>
      </c>
      <c r="I971" t="n">
        <v>0</v>
      </c>
      <c r="J971" t="n">
        <v>0</v>
      </c>
      <c r="K971" t="n">
        <v>0</v>
      </c>
      <c r="L971" t="n">
        <v>0</v>
      </c>
      <c r="M971" t="n">
        <v>0</v>
      </c>
      <c r="N971" t="n">
        <v>0</v>
      </c>
      <c r="O971" t="n">
        <v>0</v>
      </c>
      <c r="P971" t="n">
        <v>0</v>
      </c>
      <c r="Q971" t="n">
        <v>0</v>
      </c>
      <c r="R971" s="2" t="inlineStr"/>
    </row>
    <row r="972" ht="15" customHeight="1">
      <c r="A972" t="inlineStr">
        <is>
          <t>A 3273-2025</t>
        </is>
      </c>
      <c r="B972" s="1" t="n">
        <v>45679</v>
      </c>
      <c r="C972" s="1" t="n">
        <v>45895</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39202-2024</t>
        </is>
      </c>
      <c r="B973" s="1" t="n">
        <v>45548.72306712963</v>
      </c>
      <c r="C973" s="1" t="n">
        <v>45895</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34461-2023</t>
        </is>
      </c>
      <c r="B974" s="1" t="n">
        <v>45139</v>
      </c>
      <c r="C974" s="1" t="n">
        <v>45895</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15217-2023</t>
        </is>
      </c>
      <c r="B975" s="1" t="n">
        <v>45019.28847222222</v>
      </c>
      <c r="C975" s="1" t="n">
        <v>45895</v>
      </c>
      <c r="D975" t="inlineStr">
        <is>
          <t>STOCKHOLMS LÄN</t>
        </is>
      </c>
      <c r="E975" t="inlineStr">
        <is>
          <t>NORRTÄLJE</t>
        </is>
      </c>
      <c r="G975" t="n">
        <v>3.6</v>
      </c>
      <c r="H975" t="n">
        <v>0</v>
      </c>
      <c r="I975" t="n">
        <v>0</v>
      </c>
      <c r="J975" t="n">
        <v>0</v>
      </c>
      <c r="K975" t="n">
        <v>0</v>
      </c>
      <c r="L975" t="n">
        <v>0</v>
      </c>
      <c r="M975" t="n">
        <v>0</v>
      </c>
      <c r="N975" t="n">
        <v>0</v>
      </c>
      <c r="O975" t="n">
        <v>0</v>
      </c>
      <c r="P975" t="n">
        <v>0</v>
      </c>
      <c r="Q975" t="n">
        <v>0</v>
      </c>
      <c r="R975" s="2" t="inlineStr"/>
    </row>
    <row r="976" ht="15" customHeight="1">
      <c r="A976" t="inlineStr">
        <is>
          <t>A 24522-2023</t>
        </is>
      </c>
      <c r="B976" s="1" t="n">
        <v>45082.69179398148</v>
      </c>
      <c r="C976" s="1" t="n">
        <v>45895</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53792-2023</t>
        </is>
      </c>
      <c r="B977" s="1" t="n">
        <v>45231.34144675926</v>
      </c>
      <c r="C977" s="1" t="n">
        <v>45895</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28816-2023</t>
        </is>
      </c>
      <c r="B978" s="1" t="n">
        <v>45104</v>
      </c>
      <c r="C978" s="1" t="n">
        <v>45895</v>
      </c>
      <c r="D978" t="inlineStr">
        <is>
          <t>STOCKHOLMS LÄN</t>
        </is>
      </c>
      <c r="E978" t="inlineStr">
        <is>
          <t>NORRTÄLJE</t>
        </is>
      </c>
      <c r="F978" t="inlineStr">
        <is>
          <t>Kommuner</t>
        </is>
      </c>
      <c r="G978" t="n">
        <v>0.5</v>
      </c>
      <c r="H978" t="n">
        <v>0</v>
      </c>
      <c r="I978" t="n">
        <v>0</v>
      </c>
      <c r="J978" t="n">
        <v>0</v>
      </c>
      <c r="K978" t="n">
        <v>0</v>
      </c>
      <c r="L978" t="n">
        <v>0</v>
      </c>
      <c r="M978" t="n">
        <v>0</v>
      </c>
      <c r="N978" t="n">
        <v>0</v>
      </c>
      <c r="O978" t="n">
        <v>0</v>
      </c>
      <c r="P978" t="n">
        <v>0</v>
      </c>
      <c r="Q978" t="n">
        <v>0</v>
      </c>
      <c r="R978" s="2" t="inlineStr"/>
    </row>
    <row r="979" ht="15" customHeight="1">
      <c r="A979" t="inlineStr">
        <is>
          <t>A 11280-2023</t>
        </is>
      </c>
      <c r="B979" s="1" t="n">
        <v>44992</v>
      </c>
      <c r="C979" s="1" t="n">
        <v>45895</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57442-2021</t>
        </is>
      </c>
      <c r="B980" s="1" t="n">
        <v>44483</v>
      </c>
      <c r="C980" s="1" t="n">
        <v>45895</v>
      </c>
      <c r="D980" t="inlineStr">
        <is>
          <t>STOCKHOLMS LÄN</t>
        </is>
      </c>
      <c r="E980" t="inlineStr">
        <is>
          <t>NORRTÄLJE</t>
        </is>
      </c>
      <c r="G980" t="n">
        <v>3.3</v>
      </c>
      <c r="H980" t="n">
        <v>0</v>
      </c>
      <c r="I980" t="n">
        <v>0</v>
      </c>
      <c r="J980" t="n">
        <v>0</v>
      </c>
      <c r="K980" t="n">
        <v>0</v>
      </c>
      <c r="L980" t="n">
        <v>0</v>
      </c>
      <c r="M980" t="n">
        <v>0</v>
      </c>
      <c r="N980" t="n">
        <v>0</v>
      </c>
      <c r="O980" t="n">
        <v>0</v>
      </c>
      <c r="P980" t="n">
        <v>0</v>
      </c>
      <c r="Q980" t="n">
        <v>0</v>
      </c>
      <c r="R980" s="2" t="inlineStr"/>
    </row>
    <row r="981" ht="15" customHeight="1">
      <c r="A981" t="inlineStr">
        <is>
          <t>A 29176-2024</t>
        </is>
      </c>
      <c r="B981" s="1" t="n">
        <v>45482.53388888889</v>
      </c>
      <c r="C981" s="1" t="n">
        <v>45895</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19952-2023</t>
        </is>
      </c>
      <c r="B982" s="1" t="n">
        <v>45054.54091435186</v>
      </c>
      <c r="C982" s="1" t="n">
        <v>45895</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19994-2023</t>
        </is>
      </c>
      <c r="B983" s="1" t="n">
        <v>45054</v>
      </c>
      <c r="C983" s="1" t="n">
        <v>45895</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29003-2023</t>
        </is>
      </c>
      <c r="B984" s="1" t="n">
        <v>45104</v>
      </c>
      <c r="C984" s="1" t="n">
        <v>45895</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14498-2024</t>
        </is>
      </c>
      <c r="B985" s="1" t="n">
        <v>45394.58778935186</v>
      </c>
      <c r="C985" s="1" t="n">
        <v>45895</v>
      </c>
      <c r="D985" t="inlineStr">
        <is>
          <t>STOCKHOLMS LÄN</t>
        </is>
      </c>
      <c r="E985" t="inlineStr">
        <is>
          <t>NORRTÄLJE</t>
        </is>
      </c>
      <c r="F985" t="inlineStr">
        <is>
          <t>Kyrkan</t>
        </is>
      </c>
      <c r="G985" t="n">
        <v>4</v>
      </c>
      <c r="H985" t="n">
        <v>0</v>
      </c>
      <c r="I985" t="n">
        <v>0</v>
      </c>
      <c r="J985" t="n">
        <v>0</v>
      </c>
      <c r="K985" t="n">
        <v>0</v>
      </c>
      <c r="L985" t="n">
        <v>0</v>
      </c>
      <c r="M985" t="n">
        <v>0</v>
      </c>
      <c r="N985" t="n">
        <v>0</v>
      </c>
      <c r="O985" t="n">
        <v>0</v>
      </c>
      <c r="P985" t="n">
        <v>0</v>
      </c>
      <c r="Q985" t="n">
        <v>0</v>
      </c>
      <c r="R985" s="2" t="inlineStr"/>
    </row>
    <row r="986" ht="15" customHeight="1">
      <c r="A986" t="inlineStr">
        <is>
          <t>A 15956-2023</t>
        </is>
      </c>
      <c r="B986" s="1" t="n">
        <v>45022.61003472222</v>
      </c>
      <c r="C986" s="1" t="n">
        <v>45895</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4596-2023</t>
        </is>
      </c>
      <c r="B987" s="1" t="n">
        <v>44956</v>
      </c>
      <c r="C987" s="1" t="n">
        <v>45895</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4438-2023</t>
        </is>
      </c>
      <c r="B988" s="1" t="n">
        <v>44956</v>
      </c>
      <c r="C988" s="1" t="n">
        <v>45895</v>
      </c>
      <c r="D988" t="inlineStr">
        <is>
          <t>STOCKHOLMS LÄN</t>
        </is>
      </c>
      <c r="E988" t="inlineStr">
        <is>
          <t>NORRTÄLJE</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24727-2023</t>
        </is>
      </c>
      <c r="B989" s="1" t="n">
        <v>45084.57695601852</v>
      </c>
      <c r="C989" s="1" t="n">
        <v>45895</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59904-2023</t>
        </is>
      </c>
      <c r="B990" s="1" t="n">
        <v>45257</v>
      </c>
      <c r="C990" s="1" t="n">
        <v>45895</v>
      </c>
      <c r="D990" t="inlineStr">
        <is>
          <t>STOCKHOLMS LÄN</t>
        </is>
      </c>
      <c r="E990" t="inlineStr">
        <is>
          <t>NORRTÄLJE</t>
        </is>
      </c>
      <c r="G990" t="n">
        <v>17.4</v>
      </c>
      <c r="H990" t="n">
        <v>0</v>
      </c>
      <c r="I990" t="n">
        <v>0</v>
      </c>
      <c r="J990" t="n">
        <v>0</v>
      </c>
      <c r="K990" t="n">
        <v>0</v>
      </c>
      <c r="L990" t="n">
        <v>0</v>
      </c>
      <c r="M990" t="n">
        <v>0</v>
      </c>
      <c r="N990" t="n">
        <v>0</v>
      </c>
      <c r="O990" t="n">
        <v>0</v>
      </c>
      <c r="P990" t="n">
        <v>0</v>
      </c>
      <c r="Q990" t="n">
        <v>0</v>
      </c>
      <c r="R990" s="2" t="inlineStr"/>
    </row>
    <row r="991" ht="15" customHeight="1">
      <c r="A991" t="inlineStr">
        <is>
          <t>A 36308-2022</t>
        </is>
      </c>
      <c r="B991" s="1" t="n">
        <v>44803</v>
      </c>
      <c r="C991" s="1" t="n">
        <v>45895</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18787-2022</t>
        </is>
      </c>
      <c r="B992" s="1" t="n">
        <v>44687</v>
      </c>
      <c r="C992" s="1" t="n">
        <v>45895</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50497-2020</t>
        </is>
      </c>
      <c r="B993" s="1" t="n">
        <v>44110</v>
      </c>
      <c r="C993" s="1" t="n">
        <v>45895</v>
      </c>
      <c r="D993" t="inlineStr">
        <is>
          <t>STOCKHOLMS LÄN</t>
        </is>
      </c>
      <c r="E993" t="inlineStr">
        <is>
          <t>NORRTÄLJE</t>
        </is>
      </c>
      <c r="F993" t="inlineStr">
        <is>
          <t>Holmen skog AB</t>
        </is>
      </c>
      <c r="G993" t="n">
        <v>4.3</v>
      </c>
      <c r="H993" t="n">
        <v>0</v>
      </c>
      <c r="I993" t="n">
        <v>0</v>
      </c>
      <c r="J993" t="n">
        <v>0</v>
      </c>
      <c r="K993" t="n">
        <v>0</v>
      </c>
      <c r="L993" t="n">
        <v>0</v>
      </c>
      <c r="M993" t="n">
        <v>0</v>
      </c>
      <c r="N993" t="n">
        <v>0</v>
      </c>
      <c r="O993" t="n">
        <v>0</v>
      </c>
      <c r="P993" t="n">
        <v>0</v>
      </c>
      <c r="Q993" t="n">
        <v>0</v>
      </c>
      <c r="R993" s="2" t="inlineStr"/>
    </row>
    <row r="994" ht="15" customHeight="1">
      <c r="A994" t="inlineStr">
        <is>
          <t>A 50108-2021</t>
        </is>
      </c>
      <c r="B994" s="1" t="n">
        <v>44456</v>
      </c>
      <c r="C994" s="1" t="n">
        <v>45895</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25621-2022</t>
        </is>
      </c>
      <c r="B995" s="1" t="n">
        <v>44732</v>
      </c>
      <c r="C995" s="1" t="n">
        <v>45895</v>
      </c>
      <c r="D995" t="inlineStr">
        <is>
          <t>STOCKHOLMS LÄN</t>
        </is>
      </c>
      <c r="E995" t="inlineStr">
        <is>
          <t>NORRTÄLJE</t>
        </is>
      </c>
      <c r="G995" t="n">
        <v>3.1</v>
      </c>
      <c r="H995" t="n">
        <v>0</v>
      </c>
      <c r="I995" t="n">
        <v>0</v>
      </c>
      <c r="J995" t="n">
        <v>0</v>
      </c>
      <c r="K995" t="n">
        <v>0</v>
      </c>
      <c r="L995" t="n">
        <v>0</v>
      </c>
      <c r="M995" t="n">
        <v>0</v>
      </c>
      <c r="N995" t="n">
        <v>0</v>
      </c>
      <c r="O995" t="n">
        <v>0</v>
      </c>
      <c r="P995" t="n">
        <v>0</v>
      </c>
      <c r="Q995" t="n">
        <v>0</v>
      </c>
      <c r="R995" s="2" t="inlineStr"/>
    </row>
    <row r="996" ht="15" customHeight="1">
      <c r="A996" t="inlineStr">
        <is>
          <t>A 20304-2023</t>
        </is>
      </c>
      <c r="B996" s="1" t="n">
        <v>45056</v>
      </c>
      <c r="C996" s="1" t="n">
        <v>45895</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35235-2024</t>
        </is>
      </c>
      <c r="B997" s="1" t="n">
        <v>45530</v>
      </c>
      <c r="C997" s="1" t="n">
        <v>45895</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51061-2023</t>
        </is>
      </c>
      <c r="B998" s="1" t="n">
        <v>45218.65849537037</v>
      </c>
      <c r="C998" s="1" t="n">
        <v>45895</v>
      </c>
      <c r="D998" t="inlineStr">
        <is>
          <t>STOCKHOLMS LÄN</t>
        </is>
      </c>
      <c r="E998" t="inlineStr">
        <is>
          <t>NORRTÄLJE</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39213-2022</t>
        </is>
      </c>
      <c r="B999" s="1" t="n">
        <v>44817.56120370371</v>
      </c>
      <c r="C999" s="1" t="n">
        <v>45895</v>
      </c>
      <c r="D999" t="inlineStr">
        <is>
          <t>STOCKHOLMS LÄN</t>
        </is>
      </c>
      <c r="E999" t="inlineStr">
        <is>
          <t>NORRTÄLJE</t>
        </is>
      </c>
      <c r="G999" t="n">
        <v>3.4</v>
      </c>
      <c r="H999" t="n">
        <v>0</v>
      </c>
      <c r="I999" t="n">
        <v>0</v>
      </c>
      <c r="J999" t="n">
        <v>0</v>
      </c>
      <c r="K999" t="n">
        <v>0</v>
      </c>
      <c r="L999" t="n">
        <v>0</v>
      </c>
      <c r="M999" t="n">
        <v>0</v>
      </c>
      <c r="N999" t="n">
        <v>0</v>
      </c>
      <c r="O999" t="n">
        <v>0</v>
      </c>
      <c r="P999" t="n">
        <v>0</v>
      </c>
      <c r="Q999" t="n">
        <v>0</v>
      </c>
      <c r="R999" s="2" t="inlineStr"/>
    </row>
    <row r="1000" ht="15" customHeight="1">
      <c r="A1000" t="inlineStr">
        <is>
          <t>A 36246-2021</t>
        </is>
      </c>
      <c r="B1000" s="1" t="n">
        <v>44390</v>
      </c>
      <c r="C1000" s="1" t="n">
        <v>45895</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15905-2023</t>
        </is>
      </c>
      <c r="B1001" s="1" t="n">
        <v>45022</v>
      </c>
      <c r="C1001" s="1" t="n">
        <v>45895</v>
      </c>
      <c r="D1001" t="inlineStr">
        <is>
          <t>STOCKHOLMS LÄN</t>
        </is>
      </c>
      <c r="E1001" t="inlineStr">
        <is>
          <t>NORRTÄLJE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11041-2025</t>
        </is>
      </c>
      <c r="B1002" s="1" t="n">
        <v>45723</v>
      </c>
      <c r="C1002" s="1" t="n">
        <v>45895</v>
      </c>
      <c r="D1002" t="inlineStr">
        <is>
          <t>STOCKHOLMS LÄN</t>
        </is>
      </c>
      <c r="E1002" t="inlineStr">
        <is>
          <t>NORRTÄLJE</t>
        </is>
      </c>
      <c r="F1002" t="inlineStr">
        <is>
          <t>Övriga Aktiebolag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44917-2022</t>
        </is>
      </c>
      <c r="B1003" s="1" t="n">
        <v>44841.52804398148</v>
      </c>
      <c r="C1003" s="1" t="n">
        <v>45895</v>
      </c>
      <c r="D1003" t="inlineStr">
        <is>
          <t>STOCKHOLMS LÄN</t>
        </is>
      </c>
      <c r="E1003" t="inlineStr">
        <is>
          <t>NORRTÄLJE</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33173-2024</t>
        </is>
      </c>
      <c r="B1004" s="1" t="n">
        <v>45518</v>
      </c>
      <c r="C1004" s="1" t="n">
        <v>45895</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17551-2025</t>
        </is>
      </c>
      <c r="B1005" s="1" t="n">
        <v>45757.61421296297</v>
      </c>
      <c r="C1005" s="1" t="n">
        <v>45895</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10678-2025</t>
        </is>
      </c>
      <c r="B1006" s="1" t="n">
        <v>45721.89123842592</v>
      </c>
      <c r="C1006" s="1" t="n">
        <v>45895</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8370-2025</t>
        </is>
      </c>
      <c r="B1007" s="1" t="n">
        <v>45708</v>
      </c>
      <c r="C1007" s="1" t="n">
        <v>45895</v>
      </c>
      <c r="D1007" t="inlineStr">
        <is>
          <t>STOCKHOLMS LÄN</t>
        </is>
      </c>
      <c r="E1007" t="inlineStr">
        <is>
          <t>NORRTÄLJE</t>
        </is>
      </c>
      <c r="F1007" t="inlineStr">
        <is>
          <t>Övriga Aktiebolag</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951-2023</t>
        </is>
      </c>
      <c r="B1008" s="1" t="n">
        <v>44934</v>
      </c>
      <c r="C1008" s="1" t="n">
        <v>45895</v>
      </c>
      <c r="D1008" t="inlineStr">
        <is>
          <t>STOCKHOLMS LÄN</t>
        </is>
      </c>
      <c r="E1008" t="inlineStr">
        <is>
          <t>NORRTÄLJE</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32100-2022</t>
        </is>
      </c>
      <c r="B1009" s="1" t="n">
        <v>44778</v>
      </c>
      <c r="C1009" s="1" t="n">
        <v>45895</v>
      </c>
      <c r="D1009" t="inlineStr">
        <is>
          <t>STOCKHOLMS LÄN</t>
        </is>
      </c>
      <c r="E1009" t="inlineStr">
        <is>
          <t>NORRTÄLJE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2888-2022</t>
        </is>
      </c>
      <c r="B1010" s="1" t="n">
        <v>44581</v>
      </c>
      <c r="C1010" s="1" t="n">
        <v>45895</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11902-2024</t>
        </is>
      </c>
      <c r="B1011" s="1" t="n">
        <v>45376.55704861111</v>
      </c>
      <c r="C1011" s="1" t="n">
        <v>45895</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13-2024</t>
        </is>
      </c>
      <c r="B1012" s="1" t="n">
        <v>45293.37263888889</v>
      </c>
      <c r="C1012" s="1" t="n">
        <v>45895</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58260-2023</t>
        </is>
      </c>
      <c r="B1013" s="1" t="n">
        <v>45245</v>
      </c>
      <c r="C1013" s="1" t="n">
        <v>45895</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58261-2023</t>
        </is>
      </c>
      <c r="B1014" s="1" t="n">
        <v>45245</v>
      </c>
      <c r="C1014" s="1" t="n">
        <v>45895</v>
      </c>
      <c r="D1014" t="inlineStr">
        <is>
          <t>STOCKHOLMS LÄN</t>
        </is>
      </c>
      <c r="E1014" t="inlineStr">
        <is>
          <t>NORRTÄLJE</t>
        </is>
      </c>
      <c r="G1014" t="n">
        <v>53.5</v>
      </c>
      <c r="H1014" t="n">
        <v>0</v>
      </c>
      <c r="I1014" t="n">
        <v>0</v>
      </c>
      <c r="J1014" t="n">
        <v>0</v>
      </c>
      <c r="K1014" t="n">
        <v>0</v>
      </c>
      <c r="L1014" t="n">
        <v>0</v>
      </c>
      <c r="M1014" t="n">
        <v>0</v>
      </c>
      <c r="N1014" t="n">
        <v>0</v>
      </c>
      <c r="O1014" t="n">
        <v>0</v>
      </c>
      <c r="P1014" t="n">
        <v>0</v>
      </c>
      <c r="Q1014" t="n">
        <v>0</v>
      </c>
      <c r="R1014" s="2" t="inlineStr"/>
    </row>
    <row r="1015" ht="15" customHeight="1">
      <c r="A1015" t="inlineStr">
        <is>
          <t>A 4553-2023</t>
        </is>
      </c>
      <c r="B1015" s="1" t="n">
        <v>44956.65920138889</v>
      </c>
      <c r="C1015" s="1" t="n">
        <v>45895</v>
      </c>
      <c r="D1015" t="inlineStr">
        <is>
          <t>STOCKHOLMS LÄN</t>
        </is>
      </c>
      <c r="E1015" t="inlineStr">
        <is>
          <t>NORRTÄLJE</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875-2023</t>
        </is>
      </c>
      <c r="B1016" s="1" t="n">
        <v>44931.65626157408</v>
      </c>
      <c r="C1016" s="1" t="n">
        <v>45895</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24575-2024</t>
        </is>
      </c>
      <c r="B1017" s="1" t="n">
        <v>45460.45523148148</v>
      </c>
      <c r="C1017" s="1" t="n">
        <v>45895</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19-2024</t>
        </is>
      </c>
      <c r="B1018" s="1" t="n">
        <v>45293</v>
      </c>
      <c r="C1018" s="1" t="n">
        <v>45895</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11333-2025</t>
        </is>
      </c>
      <c r="B1019" s="1" t="n">
        <v>45726.48377314815</v>
      </c>
      <c r="C1019" s="1" t="n">
        <v>45895</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21529-2021</t>
        </is>
      </c>
      <c r="B1020" s="1" t="n">
        <v>44321</v>
      </c>
      <c r="C1020" s="1" t="n">
        <v>45895</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31827-2023</t>
        </is>
      </c>
      <c r="B1021" s="1" t="n">
        <v>45118</v>
      </c>
      <c r="C1021" s="1" t="n">
        <v>45895</v>
      </c>
      <c r="D1021" t="inlineStr">
        <is>
          <t>STOCKHOLMS LÄN</t>
        </is>
      </c>
      <c r="E1021" t="inlineStr">
        <is>
          <t>NORRTÄLJE</t>
        </is>
      </c>
      <c r="F1021" t="inlineStr">
        <is>
          <t>Kyrkan</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10973-2025</t>
        </is>
      </c>
      <c r="B1022" s="1" t="n">
        <v>45723</v>
      </c>
      <c r="C1022" s="1" t="n">
        <v>45895</v>
      </c>
      <c r="D1022" t="inlineStr">
        <is>
          <t>STOCKHOLMS LÄN</t>
        </is>
      </c>
      <c r="E1022" t="inlineStr">
        <is>
          <t>NORRTÄLJE</t>
        </is>
      </c>
      <c r="F1022" t="inlineStr">
        <is>
          <t>Övriga Aktiebolag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54496-2024</t>
        </is>
      </c>
      <c r="B1023" s="1" t="n">
        <v>45617.57439814815</v>
      </c>
      <c r="C1023" s="1" t="n">
        <v>45895</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7796-2025</t>
        </is>
      </c>
      <c r="B1024" s="1" t="n">
        <v>45706.60130787037</v>
      </c>
      <c r="C1024" s="1" t="n">
        <v>45895</v>
      </c>
      <c r="D1024" t="inlineStr">
        <is>
          <t>STOCKHOLMS LÄN</t>
        </is>
      </c>
      <c r="E1024" t="inlineStr">
        <is>
          <t>NORRTÄLJE</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59767-2022</t>
        </is>
      </c>
      <c r="B1025" s="1" t="n">
        <v>44900</v>
      </c>
      <c r="C1025" s="1" t="n">
        <v>45895</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22756-2022</t>
        </is>
      </c>
      <c r="B1026" s="1" t="n">
        <v>44714.92253472222</v>
      </c>
      <c r="C1026" s="1" t="n">
        <v>45895</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27827-2022</t>
        </is>
      </c>
      <c r="B1027" s="1" t="n">
        <v>44743.59504629629</v>
      </c>
      <c r="C1027" s="1" t="n">
        <v>45895</v>
      </c>
      <c r="D1027" t="inlineStr">
        <is>
          <t>STOCKHOLMS LÄN</t>
        </is>
      </c>
      <c r="E1027" t="inlineStr">
        <is>
          <t>NORRTÄLJE</t>
        </is>
      </c>
      <c r="F1027" t="inlineStr">
        <is>
          <t>Holmen skog AB</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58311-2023</t>
        </is>
      </c>
      <c r="B1028" s="1" t="n">
        <v>45245</v>
      </c>
      <c r="C1028" s="1" t="n">
        <v>45895</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8739-2024</t>
        </is>
      </c>
      <c r="B1029" s="1" t="n">
        <v>45356.47784722222</v>
      </c>
      <c r="C1029" s="1" t="n">
        <v>45895</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26640-2023</t>
        </is>
      </c>
      <c r="B1030" s="1" t="n">
        <v>45092</v>
      </c>
      <c r="C1030" s="1" t="n">
        <v>45895</v>
      </c>
      <c r="D1030" t="inlineStr">
        <is>
          <t>STOCKHOLMS LÄN</t>
        </is>
      </c>
      <c r="E1030" t="inlineStr">
        <is>
          <t>NORRTÄLJE</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62765-2022</t>
        </is>
      </c>
      <c r="B1031" s="1" t="n">
        <v>44637</v>
      </c>
      <c r="C1031" s="1" t="n">
        <v>45895</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38990-2022</t>
        </is>
      </c>
      <c r="B1032" s="1" t="n">
        <v>44816</v>
      </c>
      <c r="C1032" s="1" t="n">
        <v>45895</v>
      </c>
      <c r="D1032" t="inlineStr">
        <is>
          <t>STOCKHOLMS LÄN</t>
        </is>
      </c>
      <c r="E1032" t="inlineStr">
        <is>
          <t>NORRTÄLJE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17545-2025</t>
        </is>
      </c>
      <c r="B1033" s="1" t="n">
        <v>45757.60658564815</v>
      </c>
      <c r="C1033" s="1" t="n">
        <v>45895</v>
      </c>
      <c r="D1033" t="inlineStr">
        <is>
          <t>STOCKHOLMS LÄN</t>
        </is>
      </c>
      <c r="E1033" t="inlineStr">
        <is>
          <t>NORRTÄLJE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17956-2025</t>
        </is>
      </c>
      <c r="B1034" s="1" t="n">
        <v>45760.91174768518</v>
      </c>
      <c r="C1034" s="1" t="n">
        <v>45895</v>
      </c>
      <c r="D1034" t="inlineStr">
        <is>
          <t>STOCKHOLMS LÄN</t>
        </is>
      </c>
      <c r="E1034" t="inlineStr">
        <is>
          <t>NORRTÄLJE</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23265-2023</t>
        </is>
      </c>
      <c r="B1035" s="1" t="n">
        <v>45075.90703703704</v>
      </c>
      <c r="C1035" s="1" t="n">
        <v>45895</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30268-2024</t>
        </is>
      </c>
      <c r="B1036" s="1" t="n">
        <v>45490.60572916667</v>
      </c>
      <c r="C1036" s="1" t="n">
        <v>45895</v>
      </c>
      <c r="D1036" t="inlineStr">
        <is>
          <t>STOCKHOLMS LÄN</t>
        </is>
      </c>
      <c r="E1036" t="inlineStr">
        <is>
          <t>NORRTÄLJE</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59535-2024</t>
        </is>
      </c>
      <c r="B1037" s="1" t="n">
        <v>45638.59979166667</v>
      </c>
      <c r="C1037" s="1" t="n">
        <v>45895</v>
      </c>
      <c r="D1037" t="inlineStr">
        <is>
          <t>STOCKHOLMS LÄN</t>
        </is>
      </c>
      <c r="E1037" t="inlineStr">
        <is>
          <t>NORRTÄLJE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9246-2024</t>
        </is>
      </c>
      <c r="B1038" s="1" t="n">
        <v>45357</v>
      </c>
      <c r="C1038" s="1" t="n">
        <v>45895</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20852-2023</t>
        </is>
      </c>
      <c r="B1039" s="1" t="n">
        <v>45058.78607638889</v>
      </c>
      <c r="C1039" s="1" t="n">
        <v>45895</v>
      </c>
      <c r="D1039" t="inlineStr">
        <is>
          <t>STOCKHOLMS LÄN</t>
        </is>
      </c>
      <c r="E1039" t="inlineStr">
        <is>
          <t>NORRTÄLJE</t>
        </is>
      </c>
      <c r="G1039" t="n">
        <v>3.5</v>
      </c>
      <c r="H1039" t="n">
        <v>0</v>
      </c>
      <c r="I1039" t="n">
        <v>0</v>
      </c>
      <c r="J1039" t="n">
        <v>0</v>
      </c>
      <c r="K1039" t="n">
        <v>0</v>
      </c>
      <c r="L1039" t="n">
        <v>0</v>
      </c>
      <c r="M1039" t="n">
        <v>0</v>
      </c>
      <c r="N1039" t="n">
        <v>0</v>
      </c>
      <c r="O1039" t="n">
        <v>0</v>
      </c>
      <c r="P1039" t="n">
        <v>0</v>
      </c>
      <c r="Q1039" t="n">
        <v>0</v>
      </c>
      <c r="R1039" s="2" t="inlineStr"/>
    </row>
    <row r="1040">
      <c r="A1040" t="inlineStr">
        <is>
          <t>A 50355-2024</t>
        </is>
      </c>
      <c r="B1040" s="1" t="n">
        <v>45600.86128472222</v>
      </c>
      <c r="C1040" s="1" t="n">
        <v>45895</v>
      </c>
      <c r="D1040" t="inlineStr">
        <is>
          <t>STOCKHOLMS LÄN</t>
        </is>
      </c>
      <c r="E1040" t="inlineStr">
        <is>
          <t>NORRTÄLJE</t>
        </is>
      </c>
      <c r="F1040" t="inlineStr">
        <is>
          <t>Kommuner</t>
        </is>
      </c>
      <c r="G1040" t="n">
        <v>1</v>
      </c>
      <c r="H1040" t="n">
        <v>0</v>
      </c>
      <c r="I1040" t="n">
        <v>0</v>
      </c>
      <c r="J1040" t="n">
        <v>0</v>
      </c>
      <c r="K1040" t="n">
        <v>0</v>
      </c>
      <c r="L1040" t="n">
        <v>0</v>
      </c>
      <c r="M1040" t="n">
        <v>0</v>
      </c>
      <c r="N1040" t="n">
        <v>0</v>
      </c>
      <c r="O1040" t="n">
        <v>0</v>
      </c>
      <c r="P1040" t="n">
        <v>0</v>
      </c>
      <c r="Q1040" t="n">
        <v>0</v>
      </c>
      <c r="R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2025-08-26T08:36:18Z</dcterms:created>
  <dcterms:modified xmlns:dcterms="http://purl.org/dc/terms/" xmlns:xsi="http://www.w3.org/2001/XMLSchema-instance" xsi:type="dcterms:W3CDTF">2025-08-26T08:36:19Z</dcterms:modified>
</cp:coreProperties>
</file>