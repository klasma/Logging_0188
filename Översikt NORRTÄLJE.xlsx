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45578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45578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45578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45578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45578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45578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45578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45578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45578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45578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45578</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45578</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45578</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45578</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45578</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45578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45578</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45578</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45578</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45578</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45578</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45578</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45578</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45578</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45578</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45578</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45578</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45578</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45578</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45578</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45578</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45578</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45578</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45578</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45578</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45578</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45578</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45578</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45578</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45578</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45578</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45578</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45578</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45578</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45578</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45578</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45578</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45578</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45578</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45578</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45578</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45578</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45578</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45578</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45578</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45578</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45578</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45578</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45578</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45578</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45578</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45578</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45578</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45578</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45578</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45578</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45578</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45578</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45578</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45578</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45578</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45578</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45578</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45578</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45578</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45578</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45578</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45578</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45578</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45578</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45578</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45578</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45578</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45578</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45578</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45578</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45578</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45578</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45578</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45578</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45578</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45578</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45578</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45578</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45578</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45578</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45578</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45578</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45578</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45578</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45578</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45578</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45578</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45578</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45578</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45578</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45578</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45578</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45578</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45578</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45578</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45578</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45578</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45578</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45578</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45578</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45578</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45578</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45578</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45578</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45578</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45578</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45578</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45578</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45578</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45578</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45578</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45578</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45578</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45578</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45578</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45578</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45578</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45578</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45578</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45578</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45578</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45578</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45578</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45578</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45578</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45578</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45578</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45578</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45578</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45578</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45578</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45578</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45578</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45578</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45578</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45578</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45578</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45578</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45578</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45578</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45578</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45578</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45578</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45578</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45578</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45578</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45578</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45578</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45578</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45578</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45578</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45578</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45578</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45578</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45578</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45578</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45578</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45578</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44547-2024</t>
        </is>
      </c>
      <c r="B177" s="1" t="n">
        <v>45574</v>
      </c>
      <c r="C177" s="1" t="n">
        <v>45578</v>
      </c>
      <c r="D177" t="inlineStr">
        <is>
          <t>STOCKHOLMS LÄN</t>
        </is>
      </c>
      <c r="E177" t="inlineStr">
        <is>
          <t>NORRTÄLJE</t>
        </is>
      </c>
      <c r="G177" t="n">
        <v>11.1</v>
      </c>
      <c r="H177" t="n">
        <v>0</v>
      </c>
      <c r="I177" t="n">
        <v>0</v>
      </c>
      <c r="J177" t="n">
        <v>1</v>
      </c>
      <c r="K177" t="n">
        <v>0</v>
      </c>
      <c r="L177" t="n">
        <v>0</v>
      </c>
      <c r="M177" t="n">
        <v>0</v>
      </c>
      <c r="N177" t="n">
        <v>0</v>
      </c>
      <c r="O177" t="n">
        <v>1</v>
      </c>
      <c r="P177" t="n">
        <v>0</v>
      </c>
      <c r="Q177" t="n">
        <v>1</v>
      </c>
      <c r="R177" s="2" t="inlineStr">
        <is>
          <t>Skogsklocka</t>
        </is>
      </c>
      <c r="S177">
        <f>HYPERLINK("https://klasma.github.io/Logging_0188/artfynd/A 44547-2024 artfynd.xlsx", "A 44547-2024")</f>
        <v/>
      </c>
      <c r="T177">
        <f>HYPERLINK("https://klasma.github.io/Logging_0188/kartor/A 44547-2024 karta.png", "A 44547-2024")</f>
        <v/>
      </c>
      <c r="V177">
        <f>HYPERLINK("https://klasma.github.io/Logging_0188/klagomål/A 44547-2024 FSC-klagomål.docx", "A 44547-2024")</f>
        <v/>
      </c>
      <c r="W177">
        <f>HYPERLINK("https://klasma.github.io/Logging_0188/klagomålsmail/A 44547-2024 FSC-klagomål mail.docx", "A 44547-2024")</f>
        <v/>
      </c>
      <c r="X177">
        <f>HYPERLINK("https://klasma.github.io/Logging_0188/tillsyn/A 44547-2024 tillsynsbegäran.docx", "A 44547-2024")</f>
        <v/>
      </c>
      <c r="Y177">
        <f>HYPERLINK("https://klasma.github.io/Logging_0188/tillsynsmail/A 44547-2024 tillsynsbegäran mail.docx", "A 44547-2024")</f>
        <v/>
      </c>
    </row>
    <row r="178" ht="15" customHeight="1">
      <c r="A178" t="inlineStr">
        <is>
          <t>A 17752-2019</t>
        </is>
      </c>
      <c r="B178" s="1" t="n">
        <v>43556</v>
      </c>
      <c r="C178" s="1" t="n">
        <v>45578</v>
      </c>
      <c r="D178" t="inlineStr">
        <is>
          <t>STOCKHOLMS LÄN</t>
        </is>
      </c>
      <c r="E178" t="inlineStr">
        <is>
          <t>NORRTÄLJE</t>
        </is>
      </c>
      <c r="G178" t="n">
        <v>3</v>
      </c>
      <c r="H178" t="n">
        <v>0</v>
      </c>
      <c r="I178" t="n">
        <v>0</v>
      </c>
      <c r="J178" t="n">
        <v>0</v>
      </c>
      <c r="K178" t="n">
        <v>0</v>
      </c>
      <c r="L178" t="n">
        <v>0</v>
      </c>
      <c r="M178" t="n">
        <v>0</v>
      </c>
      <c r="N178" t="n">
        <v>0</v>
      </c>
      <c r="O178" t="n">
        <v>0</v>
      </c>
      <c r="P178" t="n">
        <v>0</v>
      </c>
      <c r="Q178" t="n">
        <v>0</v>
      </c>
      <c r="R178" s="2" t="inlineStr"/>
    </row>
    <row r="179" ht="15" customHeight="1">
      <c r="A179" t="inlineStr">
        <is>
          <t>A 17795-2019</t>
        </is>
      </c>
      <c r="B179" s="1" t="n">
        <v>43556</v>
      </c>
      <c r="C179" s="1" t="n">
        <v>45578</v>
      </c>
      <c r="D179" t="inlineStr">
        <is>
          <t>STOCKHOLMS LÄN</t>
        </is>
      </c>
      <c r="E179" t="inlineStr">
        <is>
          <t>NORRTÄLJE</t>
        </is>
      </c>
      <c r="G179" t="n">
        <v>0.8</v>
      </c>
      <c r="H179" t="n">
        <v>0</v>
      </c>
      <c r="I179" t="n">
        <v>0</v>
      </c>
      <c r="J179" t="n">
        <v>0</v>
      </c>
      <c r="K179" t="n">
        <v>0</v>
      </c>
      <c r="L179" t="n">
        <v>0</v>
      </c>
      <c r="M179" t="n">
        <v>0</v>
      </c>
      <c r="N179" t="n">
        <v>0</v>
      </c>
      <c r="O179" t="n">
        <v>0</v>
      </c>
      <c r="P179" t="n">
        <v>0</v>
      </c>
      <c r="Q179" t="n">
        <v>0</v>
      </c>
      <c r="R179" s="2" t="inlineStr"/>
    </row>
    <row r="180" ht="15" customHeight="1">
      <c r="A180" t="inlineStr">
        <is>
          <t>A 17757-2019</t>
        </is>
      </c>
      <c r="B180" s="1" t="n">
        <v>43556</v>
      </c>
      <c r="C180" s="1" t="n">
        <v>45578</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17963-2019</t>
        </is>
      </c>
      <c r="B181" s="1" t="n">
        <v>43557</v>
      </c>
      <c r="C181" s="1" t="n">
        <v>45578</v>
      </c>
      <c r="D181" t="inlineStr">
        <is>
          <t>STOCKHOLMS LÄN</t>
        </is>
      </c>
      <c r="E181" t="inlineStr">
        <is>
          <t>NORRTÄLJE</t>
        </is>
      </c>
      <c r="G181" t="n">
        <v>0.9</v>
      </c>
      <c r="H181" t="n">
        <v>0</v>
      </c>
      <c r="I181" t="n">
        <v>0</v>
      </c>
      <c r="J181" t="n">
        <v>0</v>
      </c>
      <c r="K181" t="n">
        <v>0</v>
      </c>
      <c r="L181" t="n">
        <v>0</v>
      </c>
      <c r="M181" t="n">
        <v>0</v>
      </c>
      <c r="N181" t="n">
        <v>0</v>
      </c>
      <c r="O181" t="n">
        <v>0</v>
      </c>
      <c r="P181" t="n">
        <v>0</v>
      </c>
      <c r="Q181" t="n">
        <v>0</v>
      </c>
      <c r="R181" s="2" t="inlineStr"/>
    </row>
    <row r="182" ht="15" customHeight="1">
      <c r="A182" t="inlineStr">
        <is>
          <t>A 18378-2019</t>
        </is>
      </c>
      <c r="B182" s="1" t="n">
        <v>43559</v>
      </c>
      <c r="C182" s="1" t="n">
        <v>45578</v>
      </c>
      <c r="D182" t="inlineStr">
        <is>
          <t>STOCKHOLMS LÄN</t>
        </is>
      </c>
      <c r="E182" t="inlineStr">
        <is>
          <t>NORRTÄLJE</t>
        </is>
      </c>
      <c r="G182" t="n">
        <v>5.8</v>
      </c>
      <c r="H182" t="n">
        <v>0</v>
      </c>
      <c r="I182" t="n">
        <v>0</v>
      </c>
      <c r="J182" t="n">
        <v>0</v>
      </c>
      <c r="K182" t="n">
        <v>0</v>
      </c>
      <c r="L182" t="n">
        <v>0</v>
      </c>
      <c r="M182" t="n">
        <v>0</v>
      </c>
      <c r="N182" t="n">
        <v>0</v>
      </c>
      <c r="O182" t="n">
        <v>0</v>
      </c>
      <c r="P182" t="n">
        <v>0</v>
      </c>
      <c r="Q182" t="n">
        <v>0</v>
      </c>
      <c r="R182" s="2" t="inlineStr"/>
    </row>
    <row r="183" ht="15" customHeight="1">
      <c r="A183" t="inlineStr">
        <is>
          <t>A 18664-2019</t>
        </is>
      </c>
      <c r="B183" s="1" t="n">
        <v>43560</v>
      </c>
      <c r="C183" s="1" t="n">
        <v>45578</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18767-2019</t>
        </is>
      </c>
      <c r="B184" s="1" t="n">
        <v>43560</v>
      </c>
      <c r="C184" s="1" t="n">
        <v>45578</v>
      </c>
      <c r="D184" t="inlineStr">
        <is>
          <t>STOCKHOLMS LÄN</t>
        </is>
      </c>
      <c r="E184" t="inlineStr">
        <is>
          <t>NORRTÄLJE</t>
        </is>
      </c>
      <c r="G184" t="n">
        <v>4</v>
      </c>
      <c r="H184" t="n">
        <v>0</v>
      </c>
      <c r="I184" t="n">
        <v>0</v>
      </c>
      <c r="J184" t="n">
        <v>0</v>
      </c>
      <c r="K184" t="n">
        <v>0</v>
      </c>
      <c r="L184" t="n">
        <v>0</v>
      </c>
      <c r="M184" t="n">
        <v>0</v>
      </c>
      <c r="N184" t="n">
        <v>0</v>
      </c>
      <c r="O184" t="n">
        <v>0</v>
      </c>
      <c r="P184" t="n">
        <v>0</v>
      </c>
      <c r="Q184" t="n">
        <v>0</v>
      </c>
      <c r="R184" s="2" t="inlineStr"/>
    </row>
    <row r="185" ht="15" customHeight="1">
      <c r="A185" t="inlineStr">
        <is>
          <t>A 18820-2019</t>
        </is>
      </c>
      <c r="B185" s="1" t="n">
        <v>43563</v>
      </c>
      <c r="C185" s="1" t="n">
        <v>45578</v>
      </c>
      <c r="D185" t="inlineStr">
        <is>
          <t>STOCKHOLMS LÄN</t>
        </is>
      </c>
      <c r="E185" t="inlineStr">
        <is>
          <t>NORRTÄLJE</t>
        </is>
      </c>
      <c r="G185" t="n">
        <v>3</v>
      </c>
      <c r="H185" t="n">
        <v>0</v>
      </c>
      <c r="I185" t="n">
        <v>0</v>
      </c>
      <c r="J185" t="n">
        <v>0</v>
      </c>
      <c r="K185" t="n">
        <v>0</v>
      </c>
      <c r="L185" t="n">
        <v>0</v>
      </c>
      <c r="M185" t="n">
        <v>0</v>
      </c>
      <c r="N185" t="n">
        <v>0</v>
      </c>
      <c r="O185" t="n">
        <v>0</v>
      </c>
      <c r="P185" t="n">
        <v>0</v>
      </c>
      <c r="Q185" t="n">
        <v>0</v>
      </c>
      <c r="R185" s="2" t="inlineStr"/>
    </row>
    <row r="186" ht="15" customHeight="1">
      <c r="A186" t="inlineStr">
        <is>
          <t>A 18890-2019</t>
        </is>
      </c>
      <c r="B186" s="1" t="n">
        <v>43563</v>
      </c>
      <c r="C186" s="1" t="n">
        <v>45578</v>
      </c>
      <c r="D186" t="inlineStr">
        <is>
          <t>STOCKHOLMS LÄN</t>
        </is>
      </c>
      <c r="E186" t="inlineStr">
        <is>
          <t>NORRTÄLJE</t>
        </is>
      </c>
      <c r="G186" t="n">
        <v>4.7</v>
      </c>
      <c r="H186" t="n">
        <v>0</v>
      </c>
      <c r="I186" t="n">
        <v>0</v>
      </c>
      <c r="J186" t="n">
        <v>0</v>
      </c>
      <c r="K186" t="n">
        <v>0</v>
      </c>
      <c r="L186" t="n">
        <v>0</v>
      </c>
      <c r="M186" t="n">
        <v>0</v>
      </c>
      <c r="N186" t="n">
        <v>0</v>
      </c>
      <c r="O186" t="n">
        <v>0</v>
      </c>
      <c r="P186" t="n">
        <v>0</v>
      </c>
      <c r="Q186" t="n">
        <v>0</v>
      </c>
      <c r="R186" s="2" t="inlineStr"/>
    </row>
    <row r="187" ht="15" customHeight="1">
      <c r="A187" t="inlineStr">
        <is>
          <t>A 18909-2019</t>
        </is>
      </c>
      <c r="B187" s="1" t="n">
        <v>43563</v>
      </c>
      <c r="C187" s="1" t="n">
        <v>45578</v>
      </c>
      <c r="D187" t="inlineStr">
        <is>
          <t>STOCKHOLMS LÄN</t>
        </is>
      </c>
      <c r="E187" t="inlineStr">
        <is>
          <t>NORRTÄLJE</t>
        </is>
      </c>
      <c r="G187" t="n">
        <v>2.9</v>
      </c>
      <c r="H187" t="n">
        <v>0</v>
      </c>
      <c r="I187" t="n">
        <v>0</v>
      </c>
      <c r="J187" t="n">
        <v>0</v>
      </c>
      <c r="K187" t="n">
        <v>0</v>
      </c>
      <c r="L187" t="n">
        <v>0</v>
      </c>
      <c r="M187" t="n">
        <v>0</v>
      </c>
      <c r="N187" t="n">
        <v>0</v>
      </c>
      <c r="O187" t="n">
        <v>0</v>
      </c>
      <c r="P187" t="n">
        <v>0</v>
      </c>
      <c r="Q187" t="n">
        <v>0</v>
      </c>
      <c r="R187" s="2" t="inlineStr"/>
    </row>
    <row r="188" ht="15" customHeight="1">
      <c r="A188" t="inlineStr">
        <is>
          <t>A 19026-2019</t>
        </is>
      </c>
      <c r="B188" s="1" t="n">
        <v>43563</v>
      </c>
      <c r="C188" s="1" t="n">
        <v>45578</v>
      </c>
      <c r="D188" t="inlineStr">
        <is>
          <t>STOCKHOLMS LÄN</t>
        </is>
      </c>
      <c r="E188" t="inlineStr">
        <is>
          <t>NORRTÄLJE</t>
        </is>
      </c>
      <c r="G188" t="n">
        <v>4.4</v>
      </c>
      <c r="H188" t="n">
        <v>0</v>
      </c>
      <c r="I188" t="n">
        <v>0</v>
      </c>
      <c r="J188" t="n">
        <v>0</v>
      </c>
      <c r="K188" t="n">
        <v>0</v>
      </c>
      <c r="L188" t="n">
        <v>0</v>
      </c>
      <c r="M188" t="n">
        <v>0</v>
      </c>
      <c r="N188" t="n">
        <v>0</v>
      </c>
      <c r="O188" t="n">
        <v>0</v>
      </c>
      <c r="P188" t="n">
        <v>0</v>
      </c>
      <c r="Q188" t="n">
        <v>0</v>
      </c>
      <c r="R188" s="2" t="inlineStr"/>
    </row>
    <row r="189" ht="15" customHeight="1">
      <c r="A189" t="inlineStr">
        <is>
          <t>A 19014-2019</t>
        </is>
      </c>
      <c r="B189" s="1" t="n">
        <v>43563</v>
      </c>
      <c r="C189" s="1" t="n">
        <v>45578</v>
      </c>
      <c r="D189" t="inlineStr">
        <is>
          <t>STOCKHOLMS LÄN</t>
        </is>
      </c>
      <c r="E189" t="inlineStr">
        <is>
          <t>NORRTÄLJE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19247-2019</t>
        </is>
      </c>
      <c r="B190" s="1" t="n">
        <v>43564</v>
      </c>
      <c r="C190" s="1" t="n">
        <v>45578</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19255-2019</t>
        </is>
      </c>
      <c r="B191" s="1" t="n">
        <v>43564</v>
      </c>
      <c r="C191" s="1" t="n">
        <v>45578</v>
      </c>
      <c r="D191" t="inlineStr">
        <is>
          <t>STOCKHOLMS LÄN</t>
        </is>
      </c>
      <c r="E191" t="inlineStr">
        <is>
          <t>NORRTÄLJE</t>
        </is>
      </c>
      <c r="G191" t="n">
        <v>2.6</v>
      </c>
      <c r="H191" t="n">
        <v>0</v>
      </c>
      <c r="I191" t="n">
        <v>0</v>
      </c>
      <c r="J191" t="n">
        <v>0</v>
      </c>
      <c r="K191" t="n">
        <v>0</v>
      </c>
      <c r="L191" t="n">
        <v>0</v>
      </c>
      <c r="M191" t="n">
        <v>0</v>
      </c>
      <c r="N191" t="n">
        <v>0</v>
      </c>
      <c r="O191" t="n">
        <v>0</v>
      </c>
      <c r="P191" t="n">
        <v>0</v>
      </c>
      <c r="Q191" t="n">
        <v>0</v>
      </c>
      <c r="R191" s="2" t="inlineStr"/>
    </row>
    <row r="192" ht="15" customHeight="1">
      <c r="A192" t="inlineStr">
        <is>
          <t>A 19302-2019</t>
        </is>
      </c>
      <c r="B192" s="1" t="n">
        <v>43565</v>
      </c>
      <c r="C192" s="1" t="n">
        <v>45578</v>
      </c>
      <c r="D192" t="inlineStr">
        <is>
          <t>STOCKHOLMS LÄN</t>
        </is>
      </c>
      <c r="E192" t="inlineStr">
        <is>
          <t>NORRTÄLJE</t>
        </is>
      </c>
      <c r="F192" t="inlineStr">
        <is>
          <t>Kommuner</t>
        </is>
      </c>
      <c r="G192" t="n">
        <v>4.2</v>
      </c>
      <c r="H192" t="n">
        <v>0</v>
      </c>
      <c r="I192" t="n">
        <v>0</v>
      </c>
      <c r="J192" t="n">
        <v>0</v>
      </c>
      <c r="K192" t="n">
        <v>0</v>
      </c>
      <c r="L192" t="n">
        <v>0</v>
      </c>
      <c r="M192" t="n">
        <v>0</v>
      </c>
      <c r="N192" t="n">
        <v>0</v>
      </c>
      <c r="O192" t="n">
        <v>0</v>
      </c>
      <c r="P192" t="n">
        <v>0</v>
      </c>
      <c r="Q192" t="n">
        <v>0</v>
      </c>
      <c r="R192" s="2" t="inlineStr"/>
    </row>
    <row r="193" ht="15" customHeight="1">
      <c r="A193" t="inlineStr">
        <is>
          <t>A 19301-2019</t>
        </is>
      </c>
      <c r="B193" s="1" t="n">
        <v>43565</v>
      </c>
      <c r="C193" s="1" t="n">
        <v>45578</v>
      </c>
      <c r="D193" t="inlineStr">
        <is>
          <t>STOCKHOLMS LÄN</t>
        </is>
      </c>
      <c r="E193" t="inlineStr">
        <is>
          <t>NORRTÄLJE</t>
        </is>
      </c>
      <c r="F193" t="inlineStr">
        <is>
          <t>Kommuner</t>
        </is>
      </c>
      <c r="G193" t="n">
        <v>3.9</v>
      </c>
      <c r="H193" t="n">
        <v>0</v>
      </c>
      <c r="I193" t="n">
        <v>0</v>
      </c>
      <c r="J193" t="n">
        <v>0</v>
      </c>
      <c r="K193" t="n">
        <v>0</v>
      </c>
      <c r="L193" t="n">
        <v>0</v>
      </c>
      <c r="M193" t="n">
        <v>0</v>
      </c>
      <c r="N193" t="n">
        <v>0</v>
      </c>
      <c r="O193" t="n">
        <v>0</v>
      </c>
      <c r="P193" t="n">
        <v>0</v>
      </c>
      <c r="Q193" t="n">
        <v>0</v>
      </c>
      <c r="R193" s="2" t="inlineStr"/>
    </row>
    <row r="194" ht="15" customHeight="1">
      <c r="A194" t="inlineStr">
        <is>
          <t>A 19297-2019</t>
        </is>
      </c>
      <c r="B194" s="1" t="n">
        <v>43565</v>
      </c>
      <c r="C194" s="1" t="n">
        <v>45578</v>
      </c>
      <c r="D194" t="inlineStr">
        <is>
          <t>STOCKHOLMS LÄN</t>
        </is>
      </c>
      <c r="E194" t="inlineStr">
        <is>
          <t>NORRTÄLJE</t>
        </is>
      </c>
      <c r="F194" t="inlineStr">
        <is>
          <t>Kommuner</t>
        </is>
      </c>
      <c r="G194" t="n">
        <v>1.2</v>
      </c>
      <c r="H194" t="n">
        <v>0</v>
      </c>
      <c r="I194" t="n">
        <v>0</v>
      </c>
      <c r="J194" t="n">
        <v>0</v>
      </c>
      <c r="K194" t="n">
        <v>0</v>
      </c>
      <c r="L194" t="n">
        <v>0</v>
      </c>
      <c r="M194" t="n">
        <v>0</v>
      </c>
      <c r="N194" t="n">
        <v>0</v>
      </c>
      <c r="O194" t="n">
        <v>0</v>
      </c>
      <c r="P194" t="n">
        <v>0</v>
      </c>
      <c r="Q194" t="n">
        <v>0</v>
      </c>
      <c r="R194" s="2" t="inlineStr"/>
    </row>
    <row r="195" ht="15" customHeight="1">
      <c r="A195" t="inlineStr">
        <is>
          <t>A 19537-2019</t>
        </is>
      </c>
      <c r="B195" s="1" t="n">
        <v>43565</v>
      </c>
      <c r="C195" s="1" t="n">
        <v>45578</v>
      </c>
      <c r="D195" t="inlineStr">
        <is>
          <t>STOCKHOLMS LÄN</t>
        </is>
      </c>
      <c r="E195" t="inlineStr">
        <is>
          <t>NORRTÄLJE</t>
        </is>
      </c>
      <c r="G195" t="n">
        <v>0.6</v>
      </c>
      <c r="H195" t="n">
        <v>0</v>
      </c>
      <c r="I195" t="n">
        <v>0</v>
      </c>
      <c r="J195" t="n">
        <v>0</v>
      </c>
      <c r="K195" t="n">
        <v>0</v>
      </c>
      <c r="L195" t="n">
        <v>0</v>
      </c>
      <c r="M195" t="n">
        <v>0</v>
      </c>
      <c r="N195" t="n">
        <v>0</v>
      </c>
      <c r="O195" t="n">
        <v>0</v>
      </c>
      <c r="P195" t="n">
        <v>0</v>
      </c>
      <c r="Q195" t="n">
        <v>0</v>
      </c>
      <c r="R195" s="2" t="inlineStr"/>
    </row>
    <row r="196" ht="15" customHeight="1">
      <c r="A196" t="inlineStr">
        <is>
          <t>A 19539-2019</t>
        </is>
      </c>
      <c r="B196" s="1" t="n">
        <v>43565</v>
      </c>
      <c r="C196" s="1" t="n">
        <v>45578</v>
      </c>
      <c r="D196" t="inlineStr">
        <is>
          <t>STOCKHOLMS LÄN</t>
        </is>
      </c>
      <c r="E196" t="inlineStr">
        <is>
          <t>NORRTÄLJE</t>
        </is>
      </c>
      <c r="G196" t="n">
        <v>2.4</v>
      </c>
      <c r="H196" t="n">
        <v>0</v>
      </c>
      <c r="I196" t="n">
        <v>0</v>
      </c>
      <c r="J196" t="n">
        <v>0</v>
      </c>
      <c r="K196" t="n">
        <v>0</v>
      </c>
      <c r="L196" t="n">
        <v>0</v>
      </c>
      <c r="M196" t="n">
        <v>0</v>
      </c>
      <c r="N196" t="n">
        <v>0</v>
      </c>
      <c r="O196" t="n">
        <v>0</v>
      </c>
      <c r="P196" t="n">
        <v>0</v>
      </c>
      <c r="Q196" t="n">
        <v>0</v>
      </c>
      <c r="R196" s="2" t="inlineStr"/>
    </row>
    <row r="197" ht="15" customHeight="1">
      <c r="A197" t="inlineStr">
        <is>
          <t>A 19540-2019</t>
        </is>
      </c>
      <c r="B197" s="1" t="n">
        <v>43565</v>
      </c>
      <c r="C197" s="1" t="n">
        <v>45578</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19638-2019</t>
        </is>
      </c>
      <c r="B198" s="1" t="n">
        <v>43566</v>
      </c>
      <c r="C198" s="1" t="n">
        <v>45578</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19593-2019</t>
        </is>
      </c>
      <c r="B199" s="1" t="n">
        <v>43566</v>
      </c>
      <c r="C199" s="1" t="n">
        <v>45578</v>
      </c>
      <c r="D199" t="inlineStr">
        <is>
          <t>STOCKHOLMS LÄN</t>
        </is>
      </c>
      <c r="E199" t="inlineStr">
        <is>
          <t>NORRTÄLJE</t>
        </is>
      </c>
      <c r="G199" t="n">
        <v>0.6</v>
      </c>
      <c r="H199" t="n">
        <v>0</v>
      </c>
      <c r="I199" t="n">
        <v>0</v>
      </c>
      <c r="J199" t="n">
        <v>0</v>
      </c>
      <c r="K199" t="n">
        <v>0</v>
      </c>
      <c r="L199" t="n">
        <v>0</v>
      </c>
      <c r="M199" t="n">
        <v>0</v>
      </c>
      <c r="N199" t="n">
        <v>0</v>
      </c>
      <c r="O199" t="n">
        <v>0</v>
      </c>
      <c r="P199" t="n">
        <v>0</v>
      </c>
      <c r="Q199" t="n">
        <v>0</v>
      </c>
      <c r="R199" s="2" t="inlineStr"/>
    </row>
    <row r="200" ht="15" customHeight="1">
      <c r="A200" t="inlineStr">
        <is>
          <t>A 19872-2019</t>
        </is>
      </c>
      <c r="B200" s="1" t="n">
        <v>43567</v>
      </c>
      <c r="C200" s="1" t="n">
        <v>45578</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19811-2019</t>
        </is>
      </c>
      <c r="B201" s="1" t="n">
        <v>43567</v>
      </c>
      <c r="C201" s="1" t="n">
        <v>45578</v>
      </c>
      <c r="D201" t="inlineStr">
        <is>
          <t>STOCKHOLMS LÄN</t>
        </is>
      </c>
      <c r="E201" t="inlineStr">
        <is>
          <t>NORRTÄLJE</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19812-2019</t>
        </is>
      </c>
      <c r="B202" s="1" t="n">
        <v>43567</v>
      </c>
      <c r="C202" s="1" t="n">
        <v>45578</v>
      </c>
      <c r="D202" t="inlineStr">
        <is>
          <t>STOCKHOLMS LÄN</t>
        </is>
      </c>
      <c r="E202" t="inlineStr">
        <is>
          <t>NORRTÄLJE</t>
        </is>
      </c>
      <c r="F202" t="inlineStr">
        <is>
          <t>Kommuner</t>
        </is>
      </c>
      <c r="G202" t="n">
        <v>1.5</v>
      </c>
      <c r="H202" t="n">
        <v>0</v>
      </c>
      <c r="I202" t="n">
        <v>0</v>
      </c>
      <c r="J202" t="n">
        <v>0</v>
      </c>
      <c r="K202" t="n">
        <v>0</v>
      </c>
      <c r="L202" t="n">
        <v>0</v>
      </c>
      <c r="M202" t="n">
        <v>0</v>
      </c>
      <c r="N202" t="n">
        <v>0</v>
      </c>
      <c r="O202" t="n">
        <v>0</v>
      </c>
      <c r="P202" t="n">
        <v>0</v>
      </c>
      <c r="Q202" t="n">
        <v>0</v>
      </c>
      <c r="R202" s="2" t="inlineStr"/>
    </row>
    <row r="203" ht="15" customHeight="1">
      <c r="A203" t="inlineStr">
        <is>
          <t>A 19931-2019</t>
        </is>
      </c>
      <c r="B203" s="1" t="n">
        <v>43568</v>
      </c>
      <c r="C203" s="1" t="n">
        <v>45578</v>
      </c>
      <c r="D203" t="inlineStr">
        <is>
          <t>STOCKHOLMS LÄN</t>
        </is>
      </c>
      <c r="E203" t="inlineStr">
        <is>
          <t>NORRTÄLJE</t>
        </is>
      </c>
      <c r="G203" t="n">
        <v>4.2</v>
      </c>
      <c r="H203" t="n">
        <v>0</v>
      </c>
      <c r="I203" t="n">
        <v>0</v>
      </c>
      <c r="J203" t="n">
        <v>0</v>
      </c>
      <c r="K203" t="n">
        <v>0</v>
      </c>
      <c r="L203" t="n">
        <v>0</v>
      </c>
      <c r="M203" t="n">
        <v>0</v>
      </c>
      <c r="N203" t="n">
        <v>0</v>
      </c>
      <c r="O203" t="n">
        <v>0</v>
      </c>
      <c r="P203" t="n">
        <v>0</v>
      </c>
      <c r="Q203" t="n">
        <v>0</v>
      </c>
      <c r="R203" s="2" t="inlineStr"/>
    </row>
    <row r="204" ht="15" customHeight="1">
      <c r="A204" t="inlineStr">
        <is>
          <t>A 20033-2019</t>
        </is>
      </c>
      <c r="B204" s="1" t="n">
        <v>43570</v>
      </c>
      <c r="C204" s="1" t="n">
        <v>45578</v>
      </c>
      <c r="D204" t="inlineStr">
        <is>
          <t>STOCKHOLMS LÄN</t>
        </is>
      </c>
      <c r="E204" t="inlineStr">
        <is>
          <t>NORRTÄLJE</t>
        </is>
      </c>
      <c r="G204" t="n">
        <v>1.3</v>
      </c>
      <c r="H204" t="n">
        <v>0</v>
      </c>
      <c r="I204" t="n">
        <v>0</v>
      </c>
      <c r="J204" t="n">
        <v>0</v>
      </c>
      <c r="K204" t="n">
        <v>0</v>
      </c>
      <c r="L204" t="n">
        <v>0</v>
      </c>
      <c r="M204" t="n">
        <v>0</v>
      </c>
      <c r="N204" t="n">
        <v>0</v>
      </c>
      <c r="O204" t="n">
        <v>0</v>
      </c>
      <c r="P204" t="n">
        <v>0</v>
      </c>
      <c r="Q204" t="n">
        <v>0</v>
      </c>
      <c r="R204" s="2" t="inlineStr"/>
    </row>
    <row r="205" ht="15" customHeight="1">
      <c r="A205" t="inlineStr">
        <is>
          <t>A 20020-2019</t>
        </is>
      </c>
      <c r="B205" s="1" t="n">
        <v>43570</v>
      </c>
      <c r="C205" s="1" t="n">
        <v>45578</v>
      </c>
      <c r="D205" t="inlineStr">
        <is>
          <t>STOCKHOLMS LÄN</t>
        </is>
      </c>
      <c r="E205" t="inlineStr">
        <is>
          <t>NORRTÄLJE</t>
        </is>
      </c>
      <c r="G205" t="n">
        <v>0.9</v>
      </c>
      <c r="H205" t="n">
        <v>0</v>
      </c>
      <c r="I205" t="n">
        <v>0</v>
      </c>
      <c r="J205" t="n">
        <v>0</v>
      </c>
      <c r="K205" t="n">
        <v>0</v>
      </c>
      <c r="L205" t="n">
        <v>0</v>
      </c>
      <c r="M205" t="n">
        <v>0</v>
      </c>
      <c r="N205" t="n">
        <v>0</v>
      </c>
      <c r="O205" t="n">
        <v>0</v>
      </c>
      <c r="P205" t="n">
        <v>0</v>
      </c>
      <c r="Q205" t="n">
        <v>0</v>
      </c>
      <c r="R205" s="2" t="inlineStr"/>
    </row>
    <row r="206" ht="15" customHeight="1">
      <c r="A206" t="inlineStr">
        <is>
          <t>A 20051-2019</t>
        </is>
      </c>
      <c r="B206" s="1" t="n">
        <v>43570</v>
      </c>
      <c r="C206" s="1" t="n">
        <v>45578</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20137-2019</t>
        </is>
      </c>
      <c r="B207" s="1" t="n">
        <v>43570</v>
      </c>
      <c r="C207" s="1" t="n">
        <v>45578</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20007-2019</t>
        </is>
      </c>
      <c r="B208" s="1" t="n">
        <v>43570</v>
      </c>
      <c r="C208" s="1" t="n">
        <v>45578</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20052-2019</t>
        </is>
      </c>
      <c r="B209" s="1" t="n">
        <v>43570</v>
      </c>
      <c r="C209" s="1" t="n">
        <v>45578</v>
      </c>
      <c r="D209" t="inlineStr">
        <is>
          <t>STOCKHOLMS LÄN</t>
        </is>
      </c>
      <c r="E209" t="inlineStr">
        <is>
          <t>NORRTÄLJE</t>
        </is>
      </c>
      <c r="G209" t="n">
        <v>0.5</v>
      </c>
      <c r="H209" t="n">
        <v>0</v>
      </c>
      <c r="I209" t="n">
        <v>0</v>
      </c>
      <c r="J209" t="n">
        <v>0</v>
      </c>
      <c r="K209" t="n">
        <v>0</v>
      </c>
      <c r="L209" t="n">
        <v>0</v>
      </c>
      <c r="M209" t="n">
        <v>0</v>
      </c>
      <c r="N209" t="n">
        <v>0</v>
      </c>
      <c r="O209" t="n">
        <v>0</v>
      </c>
      <c r="P209" t="n">
        <v>0</v>
      </c>
      <c r="Q209" t="n">
        <v>0</v>
      </c>
      <c r="R209" s="2" t="inlineStr"/>
    </row>
    <row r="210" ht="15" customHeight="1">
      <c r="A210" t="inlineStr">
        <is>
          <t>A 20159-2019</t>
        </is>
      </c>
      <c r="B210" s="1" t="n">
        <v>43570</v>
      </c>
      <c r="C210" s="1" t="n">
        <v>45578</v>
      </c>
      <c r="D210" t="inlineStr">
        <is>
          <t>STOCKHOLMS LÄN</t>
        </is>
      </c>
      <c r="E210" t="inlineStr">
        <is>
          <t>NORRTÄLJE</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20181-2019</t>
        </is>
      </c>
      <c r="B211" s="1" t="n">
        <v>43570</v>
      </c>
      <c r="C211" s="1" t="n">
        <v>45578</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20184-2019</t>
        </is>
      </c>
      <c r="B212" s="1" t="n">
        <v>43570</v>
      </c>
      <c r="C212" s="1" t="n">
        <v>45578</v>
      </c>
      <c r="D212" t="inlineStr">
        <is>
          <t>STOCKHOLMS LÄN</t>
        </is>
      </c>
      <c r="E212" t="inlineStr">
        <is>
          <t>NORRTÄLJE</t>
        </is>
      </c>
      <c r="G212" t="n">
        <v>2.8</v>
      </c>
      <c r="H212" t="n">
        <v>0</v>
      </c>
      <c r="I212" t="n">
        <v>0</v>
      </c>
      <c r="J212" t="n">
        <v>0</v>
      </c>
      <c r="K212" t="n">
        <v>0</v>
      </c>
      <c r="L212" t="n">
        <v>0</v>
      </c>
      <c r="M212" t="n">
        <v>0</v>
      </c>
      <c r="N212" t="n">
        <v>0</v>
      </c>
      <c r="O212" t="n">
        <v>0</v>
      </c>
      <c r="P212" t="n">
        <v>0</v>
      </c>
      <c r="Q212" t="n">
        <v>0</v>
      </c>
      <c r="R212" s="2" t="inlineStr"/>
    </row>
    <row r="213" ht="15" customHeight="1">
      <c r="A213" t="inlineStr">
        <is>
          <t>A 20193-2019</t>
        </is>
      </c>
      <c r="B213" s="1" t="n">
        <v>43570</v>
      </c>
      <c r="C213" s="1" t="n">
        <v>45578</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20090-2019</t>
        </is>
      </c>
      <c r="B214" s="1" t="n">
        <v>43570</v>
      </c>
      <c r="C214" s="1" t="n">
        <v>45578</v>
      </c>
      <c r="D214" t="inlineStr">
        <is>
          <t>STOCKHOLMS LÄN</t>
        </is>
      </c>
      <c r="E214" t="inlineStr">
        <is>
          <t>NORRTÄLJE</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20165-2019</t>
        </is>
      </c>
      <c r="B215" s="1" t="n">
        <v>43570</v>
      </c>
      <c r="C215" s="1" t="n">
        <v>45578</v>
      </c>
      <c r="D215" t="inlineStr">
        <is>
          <t>STOCKHOLMS LÄN</t>
        </is>
      </c>
      <c r="E215" t="inlineStr">
        <is>
          <t>NORRTÄLJE</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20023-2019</t>
        </is>
      </c>
      <c r="B216" s="1" t="n">
        <v>43570</v>
      </c>
      <c r="C216" s="1" t="n">
        <v>45578</v>
      </c>
      <c r="D216" t="inlineStr">
        <is>
          <t>STOCKHOLMS LÄN</t>
        </is>
      </c>
      <c r="E216" t="inlineStr">
        <is>
          <t>NORRTÄLJE</t>
        </is>
      </c>
      <c r="G216" t="n">
        <v>5.1</v>
      </c>
      <c r="H216" t="n">
        <v>0</v>
      </c>
      <c r="I216" t="n">
        <v>0</v>
      </c>
      <c r="J216" t="n">
        <v>0</v>
      </c>
      <c r="K216" t="n">
        <v>0</v>
      </c>
      <c r="L216" t="n">
        <v>0</v>
      </c>
      <c r="M216" t="n">
        <v>0</v>
      </c>
      <c r="N216" t="n">
        <v>0</v>
      </c>
      <c r="O216" t="n">
        <v>0</v>
      </c>
      <c r="P216" t="n">
        <v>0</v>
      </c>
      <c r="Q216" t="n">
        <v>0</v>
      </c>
      <c r="R216" s="2" t="inlineStr"/>
    </row>
    <row r="217" ht="15" customHeight="1">
      <c r="A217" t="inlineStr">
        <is>
          <t>A 20531-2019</t>
        </is>
      </c>
      <c r="B217" s="1" t="n">
        <v>43572</v>
      </c>
      <c r="C217" s="1" t="n">
        <v>45578</v>
      </c>
      <c r="D217" t="inlineStr">
        <is>
          <t>STOCKHOLMS LÄN</t>
        </is>
      </c>
      <c r="E217" t="inlineStr">
        <is>
          <t>NORRTÄLJE</t>
        </is>
      </c>
      <c r="G217" t="n">
        <v>2</v>
      </c>
      <c r="H217" t="n">
        <v>0</v>
      </c>
      <c r="I217" t="n">
        <v>0</v>
      </c>
      <c r="J217" t="n">
        <v>0</v>
      </c>
      <c r="K217" t="n">
        <v>0</v>
      </c>
      <c r="L217" t="n">
        <v>0</v>
      </c>
      <c r="M217" t="n">
        <v>0</v>
      </c>
      <c r="N217" t="n">
        <v>0</v>
      </c>
      <c r="O217" t="n">
        <v>0</v>
      </c>
      <c r="P217" t="n">
        <v>0</v>
      </c>
      <c r="Q217" t="n">
        <v>0</v>
      </c>
      <c r="R217" s="2" t="inlineStr"/>
    </row>
    <row r="218" ht="15" customHeight="1">
      <c r="A218" t="inlineStr">
        <is>
          <t>A 20743-2019</t>
        </is>
      </c>
      <c r="B218" s="1" t="n">
        <v>43573</v>
      </c>
      <c r="C218" s="1" t="n">
        <v>45578</v>
      </c>
      <c r="D218" t="inlineStr">
        <is>
          <t>STOCKHOLMS LÄN</t>
        </is>
      </c>
      <c r="E218" t="inlineStr">
        <is>
          <t>NORRTÄLJE</t>
        </is>
      </c>
      <c r="G218" t="n">
        <v>2.2</v>
      </c>
      <c r="H218" t="n">
        <v>0</v>
      </c>
      <c r="I218" t="n">
        <v>0</v>
      </c>
      <c r="J218" t="n">
        <v>0</v>
      </c>
      <c r="K218" t="n">
        <v>0</v>
      </c>
      <c r="L218" t="n">
        <v>0</v>
      </c>
      <c r="M218" t="n">
        <v>0</v>
      </c>
      <c r="N218" t="n">
        <v>0</v>
      </c>
      <c r="O218" t="n">
        <v>0</v>
      </c>
      <c r="P218" t="n">
        <v>0</v>
      </c>
      <c r="Q218" t="n">
        <v>0</v>
      </c>
      <c r="R218" s="2" t="inlineStr"/>
    </row>
    <row r="219" ht="15" customHeight="1">
      <c r="A219" t="inlineStr">
        <is>
          <t>A 20809-2019</t>
        </is>
      </c>
      <c r="B219" s="1" t="n">
        <v>43573</v>
      </c>
      <c r="C219" s="1" t="n">
        <v>45578</v>
      </c>
      <c r="D219" t="inlineStr">
        <is>
          <t>STOCKHOLMS LÄN</t>
        </is>
      </c>
      <c r="E219" t="inlineStr">
        <is>
          <t>NORRTÄLJE</t>
        </is>
      </c>
      <c r="F219" t="inlineStr">
        <is>
          <t>Kommuner</t>
        </is>
      </c>
      <c r="G219" t="n">
        <v>2.2</v>
      </c>
      <c r="H219" t="n">
        <v>0</v>
      </c>
      <c r="I219" t="n">
        <v>0</v>
      </c>
      <c r="J219" t="n">
        <v>0</v>
      </c>
      <c r="K219" t="n">
        <v>0</v>
      </c>
      <c r="L219" t="n">
        <v>0</v>
      </c>
      <c r="M219" t="n">
        <v>0</v>
      </c>
      <c r="N219" t="n">
        <v>0</v>
      </c>
      <c r="O219" t="n">
        <v>0</v>
      </c>
      <c r="P219" t="n">
        <v>0</v>
      </c>
      <c r="Q219" t="n">
        <v>0</v>
      </c>
      <c r="R219" s="2" t="inlineStr"/>
    </row>
    <row r="220" ht="15" customHeight="1">
      <c r="A220" t="inlineStr">
        <is>
          <t>A 20925-2019</t>
        </is>
      </c>
      <c r="B220" s="1" t="n">
        <v>43578</v>
      </c>
      <c r="C220" s="1" t="n">
        <v>45578</v>
      </c>
      <c r="D220" t="inlineStr">
        <is>
          <t>STOCKHOLMS LÄN</t>
        </is>
      </c>
      <c r="E220" t="inlineStr">
        <is>
          <t>NORRTÄLJE</t>
        </is>
      </c>
      <c r="G220" t="n">
        <v>5</v>
      </c>
      <c r="H220" t="n">
        <v>0</v>
      </c>
      <c r="I220" t="n">
        <v>0</v>
      </c>
      <c r="J220" t="n">
        <v>0</v>
      </c>
      <c r="K220" t="n">
        <v>0</v>
      </c>
      <c r="L220" t="n">
        <v>0</v>
      </c>
      <c r="M220" t="n">
        <v>0</v>
      </c>
      <c r="N220" t="n">
        <v>0</v>
      </c>
      <c r="O220" t="n">
        <v>0</v>
      </c>
      <c r="P220" t="n">
        <v>0</v>
      </c>
      <c r="Q220" t="n">
        <v>0</v>
      </c>
      <c r="R220" s="2" t="inlineStr"/>
    </row>
    <row r="221" ht="15" customHeight="1">
      <c r="A221" t="inlineStr">
        <is>
          <t>A 21062-2019</t>
        </is>
      </c>
      <c r="B221" s="1" t="n">
        <v>43578</v>
      </c>
      <c r="C221" s="1" t="n">
        <v>45578</v>
      </c>
      <c r="D221" t="inlineStr">
        <is>
          <t>STOCKHOLMS LÄN</t>
        </is>
      </c>
      <c r="E221" t="inlineStr">
        <is>
          <t>NORRTÄLJE</t>
        </is>
      </c>
      <c r="G221" t="n">
        <v>2.7</v>
      </c>
      <c r="H221" t="n">
        <v>0</v>
      </c>
      <c r="I221" t="n">
        <v>0</v>
      </c>
      <c r="J221" t="n">
        <v>0</v>
      </c>
      <c r="K221" t="n">
        <v>0</v>
      </c>
      <c r="L221" t="n">
        <v>0</v>
      </c>
      <c r="M221" t="n">
        <v>0</v>
      </c>
      <c r="N221" t="n">
        <v>0</v>
      </c>
      <c r="O221" t="n">
        <v>0</v>
      </c>
      <c r="P221" t="n">
        <v>0</v>
      </c>
      <c r="Q221" t="n">
        <v>0</v>
      </c>
      <c r="R221" s="2" t="inlineStr"/>
    </row>
    <row r="222" ht="15" customHeight="1">
      <c r="A222" t="inlineStr">
        <is>
          <t>A 21441-2019</t>
        </is>
      </c>
      <c r="B222" s="1" t="n">
        <v>43580</v>
      </c>
      <c r="C222" s="1" t="n">
        <v>45578</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21521-2019</t>
        </is>
      </c>
      <c r="B223" s="1" t="n">
        <v>43580</v>
      </c>
      <c r="C223" s="1" t="n">
        <v>45578</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21508-2019</t>
        </is>
      </c>
      <c r="B224" s="1" t="n">
        <v>43580</v>
      </c>
      <c r="C224" s="1" t="n">
        <v>45578</v>
      </c>
      <c r="D224" t="inlineStr">
        <is>
          <t>STOCKHOLMS LÄN</t>
        </is>
      </c>
      <c r="E224" t="inlineStr">
        <is>
          <t>NORRTÄLJE</t>
        </is>
      </c>
      <c r="G224" t="n">
        <v>1.2</v>
      </c>
      <c r="H224" t="n">
        <v>0</v>
      </c>
      <c r="I224" t="n">
        <v>0</v>
      </c>
      <c r="J224" t="n">
        <v>0</v>
      </c>
      <c r="K224" t="n">
        <v>0</v>
      </c>
      <c r="L224" t="n">
        <v>0</v>
      </c>
      <c r="M224" t="n">
        <v>0</v>
      </c>
      <c r="N224" t="n">
        <v>0</v>
      </c>
      <c r="O224" t="n">
        <v>0</v>
      </c>
      <c r="P224" t="n">
        <v>0</v>
      </c>
      <c r="Q224" t="n">
        <v>0</v>
      </c>
      <c r="R224" s="2" t="inlineStr"/>
    </row>
    <row r="225" ht="15" customHeight="1">
      <c r="A225" t="inlineStr">
        <is>
          <t>A 21457-2019</t>
        </is>
      </c>
      <c r="B225" s="1" t="n">
        <v>43580</v>
      </c>
      <c r="C225" s="1" t="n">
        <v>45578</v>
      </c>
      <c r="D225" t="inlineStr">
        <is>
          <t>STOCKHOLMS LÄN</t>
        </is>
      </c>
      <c r="E225" t="inlineStr">
        <is>
          <t>NORRTÄLJE</t>
        </is>
      </c>
      <c r="G225" t="n">
        <v>2.6</v>
      </c>
      <c r="H225" t="n">
        <v>0</v>
      </c>
      <c r="I225" t="n">
        <v>0</v>
      </c>
      <c r="J225" t="n">
        <v>0</v>
      </c>
      <c r="K225" t="n">
        <v>0</v>
      </c>
      <c r="L225" t="n">
        <v>0</v>
      </c>
      <c r="M225" t="n">
        <v>0</v>
      </c>
      <c r="N225" t="n">
        <v>0</v>
      </c>
      <c r="O225" t="n">
        <v>0</v>
      </c>
      <c r="P225" t="n">
        <v>0</v>
      </c>
      <c r="Q225" t="n">
        <v>0</v>
      </c>
      <c r="R225" s="2" t="inlineStr"/>
    </row>
    <row r="226" ht="15" customHeight="1">
      <c r="A226" t="inlineStr">
        <is>
          <t>A 21501-2019</t>
        </is>
      </c>
      <c r="B226" s="1" t="n">
        <v>43580</v>
      </c>
      <c r="C226" s="1" t="n">
        <v>45578</v>
      </c>
      <c r="D226" t="inlineStr">
        <is>
          <t>STOCKHOLMS LÄN</t>
        </is>
      </c>
      <c r="E226" t="inlineStr">
        <is>
          <t>NORRTÄLJE</t>
        </is>
      </c>
      <c r="G226" t="n">
        <v>3.6</v>
      </c>
      <c r="H226" t="n">
        <v>0</v>
      </c>
      <c r="I226" t="n">
        <v>0</v>
      </c>
      <c r="J226" t="n">
        <v>0</v>
      </c>
      <c r="K226" t="n">
        <v>0</v>
      </c>
      <c r="L226" t="n">
        <v>0</v>
      </c>
      <c r="M226" t="n">
        <v>0</v>
      </c>
      <c r="N226" t="n">
        <v>0</v>
      </c>
      <c r="O226" t="n">
        <v>0</v>
      </c>
      <c r="P226" t="n">
        <v>0</v>
      </c>
      <c r="Q226" t="n">
        <v>0</v>
      </c>
      <c r="R226" s="2" t="inlineStr"/>
    </row>
    <row r="227" ht="15" customHeight="1">
      <c r="A227" t="inlineStr">
        <is>
          <t>A 21616-2019</t>
        </is>
      </c>
      <c r="B227" s="1" t="n">
        <v>43581</v>
      </c>
      <c r="C227" s="1" t="n">
        <v>45578</v>
      </c>
      <c r="D227" t="inlineStr">
        <is>
          <t>STOCKHOLMS LÄN</t>
        </is>
      </c>
      <c r="E227" t="inlineStr">
        <is>
          <t>NORRTÄLJE</t>
        </is>
      </c>
      <c r="G227" t="n">
        <v>5.3</v>
      </c>
      <c r="H227" t="n">
        <v>0</v>
      </c>
      <c r="I227" t="n">
        <v>0</v>
      </c>
      <c r="J227" t="n">
        <v>0</v>
      </c>
      <c r="K227" t="n">
        <v>0</v>
      </c>
      <c r="L227" t="n">
        <v>0</v>
      </c>
      <c r="M227" t="n">
        <v>0</v>
      </c>
      <c r="N227" t="n">
        <v>0</v>
      </c>
      <c r="O227" t="n">
        <v>0</v>
      </c>
      <c r="P227" t="n">
        <v>0</v>
      </c>
      <c r="Q227" t="n">
        <v>0</v>
      </c>
      <c r="R227" s="2" t="inlineStr"/>
    </row>
    <row r="228" ht="15" customHeight="1">
      <c r="A228" t="inlineStr">
        <is>
          <t>A 21662-2019</t>
        </is>
      </c>
      <c r="B228" s="1" t="n">
        <v>43581</v>
      </c>
      <c r="C228" s="1" t="n">
        <v>45578</v>
      </c>
      <c r="D228" t="inlineStr">
        <is>
          <t>STOCKHOLMS LÄN</t>
        </is>
      </c>
      <c r="E228" t="inlineStr">
        <is>
          <t>NORRTÄLJE</t>
        </is>
      </c>
      <c r="G228" t="n">
        <v>1.5</v>
      </c>
      <c r="H228" t="n">
        <v>0</v>
      </c>
      <c r="I228" t="n">
        <v>0</v>
      </c>
      <c r="J228" t="n">
        <v>0</v>
      </c>
      <c r="K228" t="n">
        <v>0</v>
      </c>
      <c r="L228" t="n">
        <v>0</v>
      </c>
      <c r="M228" t="n">
        <v>0</v>
      </c>
      <c r="N228" t="n">
        <v>0</v>
      </c>
      <c r="O228" t="n">
        <v>0</v>
      </c>
      <c r="P228" t="n">
        <v>0</v>
      </c>
      <c r="Q228" t="n">
        <v>0</v>
      </c>
      <c r="R228" s="2" t="inlineStr"/>
    </row>
    <row r="229" ht="15" customHeight="1">
      <c r="A229" t="inlineStr">
        <is>
          <t>A 21720-2019</t>
        </is>
      </c>
      <c r="B229" s="1" t="n">
        <v>43581</v>
      </c>
      <c r="C229" s="1" t="n">
        <v>45578</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21692-2019</t>
        </is>
      </c>
      <c r="B230" s="1" t="n">
        <v>43581</v>
      </c>
      <c r="C230" s="1" t="n">
        <v>45578</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21811-2019</t>
        </is>
      </c>
      <c r="B231" s="1" t="n">
        <v>43582</v>
      </c>
      <c r="C231" s="1" t="n">
        <v>45578</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22207-2019</t>
        </is>
      </c>
      <c r="B232" s="1" t="n">
        <v>43585</v>
      </c>
      <c r="C232" s="1" t="n">
        <v>45578</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22211-2019</t>
        </is>
      </c>
      <c r="B233" s="1" t="n">
        <v>43585</v>
      </c>
      <c r="C233" s="1" t="n">
        <v>45578</v>
      </c>
      <c r="D233" t="inlineStr">
        <is>
          <t>STOCKHOLMS LÄN</t>
        </is>
      </c>
      <c r="E233" t="inlineStr">
        <is>
          <t>NORRTÄLJE</t>
        </is>
      </c>
      <c r="G233" t="n">
        <v>6.8</v>
      </c>
      <c r="H233" t="n">
        <v>0</v>
      </c>
      <c r="I233" t="n">
        <v>0</v>
      </c>
      <c r="J233" t="n">
        <v>0</v>
      </c>
      <c r="K233" t="n">
        <v>0</v>
      </c>
      <c r="L233" t="n">
        <v>0</v>
      </c>
      <c r="M233" t="n">
        <v>0</v>
      </c>
      <c r="N233" t="n">
        <v>0</v>
      </c>
      <c r="O233" t="n">
        <v>0</v>
      </c>
      <c r="P233" t="n">
        <v>0</v>
      </c>
      <c r="Q233" t="n">
        <v>0</v>
      </c>
      <c r="R233" s="2" t="inlineStr"/>
    </row>
    <row r="234" ht="15" customHeight="1">
      <c r="A234" t="inlineStr">
        <is>
          <t>A 22254-2019</t>
        </is>
      </c>
      <c r="B234" s="1" t="n">
        <v>43585</v>
      </c>
      <c r="C234" s="1" t="n">
        <v>45578</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22218-2019</t>
        </is>
      </c>
      <c r="B235" s="1" t="n">
        <v>43585</v>
      </c>
      <c r="C235" s="1" t="n">
        <v>45578</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22331-2019</t>
        </is>
      </c>
      <c r="B236" s="1" t="n">
        <v>43586</v>
      </c>
      <c r="C236" s="1" t="n">
        <v>45578</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22359-2019</t>
        </is>
      </c>
      <c r="B237" s="1" t="n">
        <v>43587</v>
      </c>
      <c r="C237" s="1" t="n">
        <v>45578</v>
      </c>
      <c r="D237" t="inlineStr">
        <is>
          <t>STOCKHOLMS LÄN</t>
        </is>
      </c>
      <c r="E237" t="inlineStr">
        <is>
          <t>NORRTÄLJE</t>
        </is>
      </c>
      <c r="G237" t="n">
        <v>1.1</v>
      </c>
      <c r="H237" t="n">
        <v>0</v>
      </c>
      <c r="I237" t="n">
        <v>0</v>
      </c>
      <c r="J237" t="n">
        <v>0</v>
      </c>
      <c r="K237" t="n">
        <v>0</v>
      </c>
      <c r="L237" t="n">
        <v>0</v>
      </c>
      <c r="M237" t="n">
        <v>0</v>
      </c>
      <c r="N237" t="n">
        <v>0</v>
      </c>
      <c r="O237" t="n">
        <v>0</v>
      </c>
      <c r="P237" t="n">
        <v>0</v>
      </c>
      <c r="Q237" t="n">
        <v>0</v>
      </c>
      <c r="R237" s="2" t="inlineStr"/>
    </row>
    <row r="238" ht="15" customHeight="1">
      <c r="A238" t="inlineStr">
        <is>
          <t>A 22422-2019</t>
        </is>
      </c>
      <c r="B238" s="1" t="n">
        <v>43587</v>
      </c>
      <c r="C238" s="1" t="n">
        <v>45578</v>
      </c>
      <c r="D238" t="inlineStr">
        <is>
          <t>STOCKHOLMS LÄN</t>
        </is>
      </c>
      <c r="E238" t="inlineStr">
        <is>
          <t>NORRTÄLJE</t>
        </is>
      </c>
      <c r="G238" t="n">
        <v>1.5</v>
      </c>
      <c r="H238" t="n">
        <v>0</v>
      </c>
      <c r="I238" t="n">
        <v>0</v>
      </c>
      <c r="J238" t="n">
        <v>0</v>
      </c>
      <c r="K238" t="n">
        <v>0</v>
      </c>
      <c r="L238" t="n">
        <v>0</v>
      </c>
      <c r="M238" t="n">
        <v>0</v>
      </c>
      <c r="N238" t="n">
        <v>0</v>
      </c>
      <c r="O238" t="n">
        <v>0</v>
      </c>
      <c r="P238" t="n">
        <v>0</v>
      </c>
      <c r="Q238" t="n">
        <v>0</v>
      </c>
      <c r="R238" s="2" t="inlineStr"/>
    </row>
    <row r="239" ht="15" customHeight="1">
      <c r="A239" t="inlineStr">
        <is>
          <t>A 22490-2019</t>
        </is>
      </c>
      <c r="B239" s="1" t="n">
        <v>43587</v>
      </c>
      <c r="C239" s="1" t="n">
        <v>45578</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22496-2019</t>
        </is>
      </c>
      <c r="B240" s="1" t="n">
        <v>43587</v>
      </c>
      <c r="C240" s="1" t="n">
        <v>45578</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23711-2019</t>
        </is>
      </c>
      <c r="B241" s="1" t="n">
        <v>43594</v>
      </c>
      <c r="C241" s="1" t="n">
        <v>45578</v>
      </c>
      <c r="D241" t="inlineStr">
        <is>
          <t>STOCKHOLMS LÄN</t>
        </is>
      </c>
      <c r="E241" t="inlineStr">
        <is>
          <t>NORRTÄLJE</t>
        </is>
      </c>
      <c r="G241" t="n">
        <v>2.6</v>
      </c>
      <c r="H241" t="n">
        <v>0</v>
      </c>
      <c r="I241" t="n">
        <v>0</v>
      </c>
      <c r="J241" t="n">
        <v>0</v>
      </c>
      <c r="K241" t="n">
        <v>0</v>
      </c>
      <c r="L241" t="n">
        <v>0</v>
      </c>
      <c r="M241" t="n">
        <v>0</v>
      </c>
      <c r="N241" t="n">
        <v>0</v>
      </c>
      <c r="O241" t="n">
        <v>0</v>
      </c>
      <c r="P241" t="n">
        <v>0</v>
      </c>
      <c r="Q241" t="n">
        <v>0</v>
      </c>
      <c r="R241" s="2" t="inlineStr"/>
    </row>
    <row r="242" ht="15" customHeight="1">
      <c r="A242" t="inlineStr">
        <is>
          <t>A 23710-2019</t>
        </is>
      </c>
      <c r="B242" s="1" t="n">
        <v>43594</v>
      </c>
      <c r="C242" s="1" t="n">
        <v>45578</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23862-2019</t>
        </is>
      </c>
      <c r="B243" s="1" t="n">
        <v>43595</v>
      </c>
      <c r="C243" s="1" t="n">
        <v>45578</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23878-2019</t>
        </is>
      </c>
      <c r="B244" s="1" t="n">
        <v>43595</v>
      </c>
      <c r="C244" s="1" t="n">
        <v>45578</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23961-2019</t>
        </is>
      </c>
      <c r="B245" s="1" t="n">
        <v>43597</v>
      </c>
      <c r="C245" s="1" t="n">
        <v>45578</v>
      </c>
      <c r="D245" t="inlineStr">
        <is>
          <t>STOCKHOLMS LÄN</t>
        </is>
      </c>
      <c r="E245" t="inlineStr">
        <is>
          <t>NORRTÄLJE</t>
        </is>
      </c>
      <c r="G245" t="n">
        <v>17.6</v>
      </c>
      <c r="H245" t="n">
        <v>0</v>
      </c>
      <c r="I245" t="n">
        <v>0</v>
      </c>
      <c r="J245" t="n">
        <v>0</v>
      </c>
      <c r="K245" t="n">
        <v>0</v>
      </c>
      <c r="L245" t="n">
        <v>0</v>
      </c>
      <c r="M245" t="n">
        <v>0</v>
      </c>
      <c r="N245" t="n">
        <v>0</v>
      </c>
      <c r="O245" t="n">
        <v>0</v>
      </c>
      <c r="P245" t="n">
        <v>0</v>
      </c>
      <c r="Q245" t="n">
        <v>0</v>
      </c>
      <c r="R245" s="2" t="inlineStr"/>
    </row>
    <row r="246" ht="15" customHeight="1">
      <c r="A246" t="inlineStr">
        <is>
          <t>A 23965-2019</t>
        </is>
      </c>
      <c r="B246" s="1" t="n">
        <v>43597</v>
      </c>
      <c r="C246" s="1" t="n">
        <v>45578</v>
      </c>
      <c r="D246" t="inlineStr">
        <is>
          <t>STOCKHOLMS LÄN</t>
        </is>
      </c>
      <c r="E246" t="inlineStr">
        <is>
          <t>NORRTÄLJE</t>
        </is>
      </c>
      <c r="G246" t="n">
        <v>6.1</v>
      </c>
      <c r="H246" t="n">
        <v>0</v>
      </c>
      <c r="I246" t="n">
        <v>0</v>
      </c>
      <c r="J246" t="n">
        <v>0</v>
      </c>
      <c r="K246" t="n">
        <v>0</v>
      </c>
      <c r="L246" t="n">
        <v>0</v>
      </c>
      <c r="M246" t="n">
        <v>0</v>
      </c>
      <c r="N246" t="n">
        <v>0</v>
      </c>
      <c r="O246" t="n">
        <v>0</v>
      </c>
      <c r="P246" t="n">
        <v>0</v>
      </c>
      <c r="Q246" t="n">
        <v>0</v>
      </c>
      <c r="R246" s="2" t="inlineStr"/>
    </row>
    <row r="247" ht="15" customHeight="1">
      <c r="A247" t="inlineStr">
        <is>
          <t>A 23963-2019</t>
        </is>
      </c>
      <c r="B247" s="1" t="n">
        <v>43597</v>
      </c>
      <c r="C247" s="1" t="n">
        <v>45578</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24124-2019</t>
        </is>
      </c>
      <c r="B248" s="1" t="n">
        <v>43598</v>
      </c>
      <c r="C248" s="1" t="n">
        <v>45578</v>
      </c>
      <c r="D248" t="inlineStr">
        <is>
          <t>STOCKHOLMS LÄN</t>
        </is>
      </c>
      <c r="E248" t="inlineStr">
        <is>
          <t>NORRTÄLJE</t>
        </is>
      </c>
      <c r="G248" t="n">
        <v>0.7</v>
      </c>
      <c r="H248" t="n">
        <v>0</v>
      </c>
      <c r="I248" t="n">
        <v>0</v>
      </c>
      <c r="J248" t="n">
        <v>0</v>
      </c>
      <c r="K248" t="n">
        <v>0</v>
      </c>
      <c r="L248" t="n">
        <v>0</v>
      </c>
      <c r="M248" t="n">
        <v>0</v>
      </c>
      <c r="N248" t="n">
        <v>0</v>
      </c>
      <c r="O248" t="n">
        <v>0</v>
      </c>
      <c r="P248" t="n">
        <v>0</v>
      </c>
      <c r="Q248" t="n">
        <v>0</v>
      </c>
      <c r="R248" s="2" t="inlineStr"/>
    </row>
    <row r="249" ht="15" customHeight="1">
      <c r="A249" t="inlineStr">
        <is>
          <t>A 24058-2019</t>
        </is>
      </c>
      <c r="B249" s="1" t="n">
        <v>43598</v>
      </c>
      <c r="C249" s="1" t="n">
        <v>45578</v>
      </c>
      <c r="D249" t="inlineStr">
        <is>
          <t>STOCKHOLMS LÄN</t>
        </is>
      </c>
      <c r="E249" t="inlineStr">
        <is>
          <t>NORRTÄLJE</t>
        </is>
      </c>
      <c r="G249" t="n">
        <v>2.5</v>
      </c>
      <c r="H249" t="n">
        <v>0</v>
      </c>
      <c r="I249" t="n">
        <v>0</v>
      </c>
      <c r="J249" t="n">
        <v>0</v>
      </c>
      <c r="K249" t="n">
        <v>0</v>
      </c>
      <c r="L249" t="n">
        <v>0</v>
      </c>
      <c r="M249" t="n">
        <v>0</v>
      </c>
      <c r="N249" t="n">
        <v>0</v>
      </c>
      <c r="O249" t="n">
        <v>0</v>
      </c>
      <c r="P249" t="n">
        <v>0</v>
      </c>
      <c r="Q249" t="n">
        <v>0</v>
      </c>
      <c r="R249" s="2" t="inlineStr"/>
    </row>
    <row r="250" ht="15" customHeight="1">
      <c r="A250" t="inlineStr">
        <is>
          <t>A 24562-2019</t>
        </is>
      </c>
      <c r="B250" s="1" t="n">
        <v>43600</v>
      </c>
      <c r="C250" s="1" t="n">
        <v>45578</v>
      </c>
      <c r="D250" t="inlineStr">
        <is>
          <t>STOCKHOLMS LÄN</t>
        </is>
      </c>
      <c r="E250" t="inlineStr">
        <is>
          <t>NORRTÄLJE</t>
        </is>
      </c>
      <c r="G250" t="n">
        <v>1.1</v>
      </c>
      <c r="H250" t="n">
        <v>0</v>
      </c>
      <c r="I250" t="n">
        <v>0</v>
      </c>
      <c r="J250" t="n">
        <v>0</v>
      </c>
      <c r="K250" t="n">
        <v>0</v>
      </c>
      <c r="L250" t="n">
        <v>0</v>
      </c>
      <c r="M250" t="n">
        <v>0</v>
      </c>
      <c r="N250" t="n">
        <v>0</v>
      </c>
      <c r="O250" t="n">
        <v>0</v>
      </c>
      <c r="P250" t="n">
        <v>0</v>
      </c>
      <c r="Q250" t="n">
        <v>0</v>
      </c>
      <c r="R250" s="2" t="inlineStr"/>
    </row>
    <row r="251" ht="15" customHeight="1">
      <c r="A251" t="inlineStr">
        <is>
          <t>A 24721-2019</t>
        </is>
      </c>
      <c r="B251" s="1" t="n">
        <v>43601</v>
      </c>
      <c r="C251" s="1" t="n">
        <v>45578</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25284-2019</t>
        </is>
      </c>
      <c r="B252" s="1" t="n">
        <v>43605</v>
      </c>
      <c r="C252" s="1" t="n">
        <v>45578</v>
      </c>
      <c r="D252" t="inlineStr">
        <is>
          <t>STOCKHOLMS LÄN</t>
        </is>
      </c>
      <c r="E252" t="inlineStr">
        <is>
          <t>NORRTÄLJE</t>
        </is>
      </c>
      <c r="G252" t="n">
        <v>3.6</v>
      </c>
      <c r="H252" t="n">
        <v>0</v>
      </c>
      <c r="I252" t="n">
        <v>0</v>
      </c>
      <c r="J252" t="n">
        <v>0</v>
      </c>
      <c r="K252" t="n">
        <v>0</v>
      </c>
      <c r="L252" t="n">
        <v>0</v>
      </c>
      <c r="M252" t="n">
        <v>0</v>
      </c>
      <c r="N252" t="n">
        <v>0</v>
      </c>
      <c r="O252" t="n">
        <v>0</v>
      </c>
      <c r="P252" t="n">
        <v>0</v>
      </c>
      <c r="Q252" t="n">
        <v>0</v>
      </c>
      <c r="R252" s="2" t="inlineStr"/>
    </row>
    <row r="253" ht="15" customHeight="1">
      <c r="A253" t="inlineStr">
        <is>
          <t>A 25535-2019</t>
        </is>
      </c>
      <c r="B253" s="1" t="n">
        <v>43606</v>
      </c>
      <c r="C253" s="1" t="n">
        <v>45578</v>
      </c>
      <c r="D253" t="inlineStr">
        <is>
          <t>STOCKHOLMS LÄN</t>
        </is>
      </c>
      <c r="E253" t="inlineStr">
        <is>
          <t>NORRTÄLJE</t>
        </is>
      </c>
      <c r="G253" t="n">
        <v>1.7</v>
      </c>
      <c r="H253" t="n">
        <v>0</v>
      </c>
      <c r="I253" t="n">
        <v>0</v>
      </c>
      <c r="J253" t="n">
        <v>0</v>
      </c>
      <c r="K253" t="n">
        <v>0</v>
      </c>
      <c r="L253" t="n">
        <v>0</v>
      </c>
      <c r="M253" t="n">
        <v>0</v>
      </c>
      <c r="N253" t="n">
        <v>0</v>
      </c>
      <c r="O253" t="n">
        <v>0</v>
      </c>
      <c r="P253" t="n">
        <v>0</v>
      </c>
      <c r="Q253" t="n">
        <v>0</v>
      </c>
      <c r="R253" s="2" t="inlineStr"/>
    </row>
    <row r="254" ht="15" customHeight="1">
      <c r="A254" t="inlineStr">
        <is>
          <t>A 25316-2019</t>
        </is>
      </c>
      <c r="B254" s="1" t="n">
        <v>43606</v>
      </c>
      <c r="C254" s="1" t="n">
        <v>45578</v>
      </c>
      <c r="D254" t="inlineStr">
        <is>
          <t>STOCKHOLMS LÄN</t>
        </is>
      </c>
      <c r="E254" t="inlineStr">
        <is>
          <t>NORRTÄLJE</t>
        </is>
      </c>
      <c r="G254" t="n">
        <v>1.6</v>
      </c>
      <c r="H254" t="n">
        <v>0</v>
      </c>
      <c r="I254" t="n">
        <v>0</v>
      </c>
      <c r="J254" t="n">
        <v>0</v>
      </c>
      <c r="K254" t="n">
        <v>0</v>
      </c>
      <c r="L254" t="n">
        <v>0</v>
      </c>
      <c r="M254" t="n">
        <v>0</v>
      </c>
      <c r="N254" t="n">
        <v>0</v>
      </c>
      <c r="O254" t="n">
        <v>0</v>
      </c>
      <c r="P254" t="n">
        <v>0</v>
      </c>
      <c r="Q254" t="n">
        <v>0</v>
      </c>
      <c r="R254" s="2" t="inlineStr"/>
    </row>
    <row r="255" ht="15" customHeight="1">
      <c r="A255" t="inlineStr">
        <is>
          <t>A 26374-2019</t>
        </is>
      </c>
      <c r="B255" s="1" t="n">
        <v>43606</v>
      </c>
      <c r="C255" s="1" t="n">
        <v>45578</v>
      </c>
      <c r="D255" t="inlineStr">
        <is>
          <t>STOCKHOLMS LÄN</t>
        </is>
      </c>
      <c r="E255" t="inlineStr">
        <is>
          <t>NORRTÄLJE</t>
        </is>
      </c>
      <c r="G255" t="n">
        <v>11.6</v>
      </c>
      <c r="H255" t="n">
        <v>0</v>
      </c>
      <c r="I255" t="n">
        <v>0</v>
      </c>
      <c r="J255" t="n">
        <v>0</v>
      </c>
      <c r="K255" t="n">
        <v>0</v>
      </c>
      <c r="L255" t="n">
        <v>0</v>
      </c>
      <c r="M255" t="n">
        <v>0</v>
      </c>
      <c r="N255" t="n">
        <v>0</v>
      </c>
      <c r="O255" t="n">
        <v>0</v>
      </c>
      <c r="P255" t="n">
        <v>0</v>
      </c>
      <c r="Q255" t="n">
        <v>0</v>
      </c>
      <c r="R255" s="2" t="inlineStr"/>
    </row>
    <row r="256" ht="15" customHeight="1">
      <c r="A256" t="inlineStr">
        <is>
          <t>A 25315-2019</t>
        </is>
      </c>
      <c r="B256" s="1" t="n">
        <v>43606</v>
      </c>
      <c r="C256" s="1" t="n">
        <v>45578</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25625-2019</t>
        </is>
      </c>
      <c r="B257" s="1" t="n">
        <v>43607</v>
      </c>
      <c r="C257" s="1" t="n">
        <v>45578</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26272-2019</t>
        </is>
      </c>
      <c r="B258" s="1" t="n">
        <v>43611</v>
      </c>
      <c r="C258" s="1" t="n">
        <v>45578</v>
      </c>
      <c r="D258" t="inlineStr">
        <is>
          <t>STOCKHOLMS LÄN</t>
        </is>
      </c>
      <c r="E258" t="inlineStr">
        <is>
          <t>NORRTÄLJE</t>
        </is>
      </c>
      <c r="G258" t="n">
        <v>0.8</v>
      </c>
      <c r="H258" t="n">
        <v>0</v>
      </c>
      <c r="I258" t="n">
        <v>0</v>
      </c>
      <c r="J258" t="n">
        <v>0</v>
      </c>
      <c r="K258" t="n">
        <v>0</v>
      </c>
      <c r="L258" t="n">
        <v>0</v>
      </c>
      <c r="M258" t="n">
        <v>0</v>
      </c>
      <c r="N258" t="n">
        <v>0</v>
      </c>
      <c r="O258" t="n">
        <v>0</v>
      </c>
      <c r="P258" t="n">
        <v>0</v>
      </c>
      <c r="Q258" t="n">
        <v>0</v>
      </c>
      <c r="R258" s="2" t="inlineStr"/>
    </row>
    <row r="259" ht="15" customHeight="1">
      <c r="A259" t="inlineStr">
        <is>
          <t>A 26620-2019</t>
        </is>
      </c>
      <c r="B259" s="1" t="n">
        <v>43612</v>
      </c>
      <c r="C259" s="1" t="n">
        <v>45578</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26391-2019</t>
        </is>
      </c>
      <c r="B260" s="1" t="n">
        <v>43612</v>
      </c>
      <c r="C260" s="1" t="n">
        <v>45578</v>
      </c>
      <c r="D260" t="inlineStr">
        <is>
          <t>STOCKHOLMS LÄN</t>
        </is>
      </c>
      <c r="E260" t="inlineStr">
        <is>
          <t>NORRTÄLJE</t>
        </is>
      </c>
      <c r="G260" t="n">
        <v>1.9</v>
      </c>
      <c r="H260" t="n">
        <v>0</v>
      </c>
      <c r="I260" t="n">
        <v>0</v>
      </c>
      <c r="J260" t="n">
        <v>0</v>
      </c>
      <c r="K260" t="n">
        <v>0</v>
      </c>
      <c r="L260" t="n">
        <v>0</v>
      </c>
      <c r="M260" t="n">
        <v>0</v>
      </c>
      <c r="N260" t="n">
        <v>0</v>
      </c>
      <c r="O260" t="n">
        <v>0</v>
      </c>
      <c r="P260" t="n">
        <v>0</v>
      </c>
      <c r="Q260" t="n">
        <v>0</v>
      </c>
      <c r="R260" s="2" t="inlineStr"/>
    </row>
    <row r="261" ht="15" customHeight="1">
      <c r="A261" t="inlineStr">
        <is>
          <t>A 26933-2019</t>
        </is>
      </c>
      <c r="B261" s="1" t="n">
        <v>43613</v>
      </c>
      <c r="C261" s="1" t="n">
        <v>45578</v>
      </c>
      <c r="D261" t="inlineStr">
        <is>
          <t>STOCKHOLMS LÄN</t>
        </is>
      </c>
      <c r="E261" t="inlineStr">
        <is>
          <t>NORRTÄLJE</t>
        </is>
      </c>
      <c r="G261" t="n">
        <v>2.8</v>
      </c>
      <c r="H261" t="n">
        <v>0</v>
      </c>
      <c r="I261" t="n">
        <v>0</v>
      </c>
      <c r="J261" t="n">
        <v>0</v>
      </c>
      <c r="K261" t="n">
        <v>0</v>
      </c>
      <c r="L261" t="n">
        <v>0</v>
      </c>
      <c r="M261" t="n">
        <v>0</v>
      </c>
      <c r="N261" t="n">
        <v>0</v>
      </c>
      <c r="O261" t="n">
        <v>0</v>
      </c>
      <c r="P261" t="n">
        <v>0</v>
      </c>
      <c r="Q261" t="n">
        <v>0</v>
      </c>
      <c r="R261" s="2" t="inlineStr"/>
    </row>
    <row r="262" ht="15" customHeight="1">
      <c r="A262" t="inlineStr">
        <is>
          <t>A 26830-2019</t>
        </is>
      </c>
      <c r="B262" s="1" t="n">
        <v>43613</v>
      </c>
      <c r="C262" s="1" t="n">
        <v>45578</v>
      </c>
      <c r="D262" t="inlineStr">
        <is>
          <t>STOCKHOLMS LÄN</t>
        </is>
      </c>
      <c r="E262" t="inlineStr">
        <is>
          <t>NORRTÄLJE</t>
        </is>
      </c>
      <c r="G262" t="n">
        <v>2.1</v>
      </c>
      <c r="H262" t="n">
        <v>0</v>
      </c>
      <c r="I262" t="n">
        <v>0</v>
      </c>
      <c r="J262" t="n">
        <v>0</v>
      </c>
      <c r="K262" t="n">
        <v>0</v>
      </c>
      <c r="L262" t="n">
        <v>0</v>
      </c>
      <c r="M262" t="n">
        <v>0</v>
      </c>
      <c r="N262" t="n">
        <v>0</v>
      </c>
      <c r="O262" t="n">
        <v>0</v>
      </c>
      <c r="P262" t="n">
        <v>0</v>
      </c>
      <c r="Q262" t="n">
        <v>0</v>
      </c>
      <c r="R262" s="2" t="inlineStr"/>
    </row>
    <row r="263" ht="15" customHeight="1">
      <c r="A263" t="inlineStr">
        <is>
          <t>A 27095-2019</t>
        </is>
      </c>
      <c r="B263" s="1" t="n">
        <v>43614</v>
      </c>
      <c r="C263" s="1" t="n">
        <v>45578</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28157-2019</t>
        </is>
      </c>
      <c r="B264" s="1" t="n">
        <v>43614</v>
      </c>
      <c r="C264" s="1" t="n">
        <v>45578</v>
      </c>
      <c r="D264" t="inlineStr">
        <is>
          <t>STOCKHOLMS LÄN</t>
        </is>
      </c>
      <c r="E264" t="inlineStr">
        <is>
          <t>NORRTÄLJE</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27264-2019</t>
        </is>
      </c>
      <c r="B265" s="1" t="n">
        <v>43615</v>
      </c>
      <c r="C265" s="1" t="n">
        <v>45578</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27971-2019</t>
        </is>
      </c>
      <c r="B266" s="1" t="n">
        <v>43620</v>
      </c>
      <c r="C266" s="1" t="n">
        <v>45578</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27967-2019</t>
        </is>
      </c>
      <c r="B267" s="1" t="n">
        <v>43620</v>
      </c>
      <c r="C267" s="1" t="n">
        <v>45578</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28121-2019</t>
        </is>
      </c>
      <c r="B268" s="1" t="n">
        <v>43621</v>
      </c>
      <c r="C268" s="1" t="n">
        <v>45578</v>
      </c>
      <c r="D268" t="inlineStr">
        <is>
          <t>STOCKHOLMS LÄN</t>
        </is>
      </c>
      <c r="E268" t="inlineStr">
        <is>
          <t>NORRTÄLJE</t>
        </is>
      </c>
      <c r="F268" t="inlineStr">
        <is>
          <t>Kyrkan</t>
        </is>
      </c>
      <c r="G268" t="n">
        <v>2.5</v>
      </c>
      <c r="H268" t="n">
        <v>0</v>
      </c>
      <c r="I268" t="n">
        <v>0</v>
      </c>
      <c r="J268" t="n">
        <v>0</v>
      </c>
      <c r="K268" t="n">
        <v>0</v>
      </c>
      <c r="L268" t="n">
        <v>0</v>
      </c>
      <c r="M268" t="n">
        <v>0</v>
      </c>
      <c r="N268" t="n">
        <v>0</v>
      </c>
      <c r="O268" t="n">
        <v>0</v>
      </c>
      <c r="P268" t="n">
        <v>0</v>
      </c>
      <c r="Q268" t="n">
        <v>0</v>
      </c>
      <c r="R268" s="2" t="inlineStr"/>
    </row>
    <row r="269" ht="15" customHeight="1">
      <c r="A269" t="inlineStr">
        <is>
          <t>A 28289-2019</t>
        </is>
      </c>
      <c r="B269" s="1" t="n">
        <v>43623</v>
      </c>
      <c r="C269" s="1" t="n">
        <v>45578</v>
      </c>
      <c r="D269" t="inlineStr">
        <is>
          <t>STOCKHOLMS LÄN</t>
        </is>
      </c>
      <c r="E269" t="inlineStr">
        <is>
          <t>NORRTÄLJE</t>
        </is>
      </c>
      <c r="G269" t="n">
        <v>7.7</v>
      </c>
      <c r="H269" t="n">
        <v>0</v>
      </c>
      <c r="I269" t="n">
        <v>0</v>
      </c>
      <c r="J269" t="n">
        <v>0</v>
      </c>
      <c r="K269" t="n">
        <v>0</v>
      </c>
      <c r="L269" t="n">
        <v>0</v>
      </c>
      <c r="M269" t="n">
        <v>0</v>
      </c>
      <c r="N269" t="n">
        <v>0</v>
      </c>
      <c r="O269" t="n">
        <v>0</v>
      </c>
      <c r="P269" t="n">
        <v>0</v>
      </c>
      <c r="Q269" t="n">
        <v>0</v>
      </c>
      <c r="R269" s="2" t="inlineStr"/>
    </row>
    <row r="270" ht="15" customHeight="1">
      <c r="A270" t="inlineStr">
        <is>
          <t>A 28519-2019</t>
        </is>
      </c>
      <c r="B270" s="1" t="n">
        <v>43626</v>
      </c>
      <c r="C270" s="1" t="n">
        <v>45578</v>
      </c>
      <c r="D270" t="inlineStr">
        <is>
          <t>STOCKHOLMS LÄN</t>
        </is>
      </c>
      <c r="E270" t="inlineStr">
        <is>
          <t>NORRTÄLJE</t>
        </is>
      </c>
      <c r="G270" t="n">
        <v>3</v>
      </c>
      <c r="H270" t="n">
        <v>0</v>
      </c>
      <c r="I270" t="n">
        <v>0</v>
      </c>
      <c r="J270" t="n">
        <v>0</v>
      </c>
      <c r="K270" t="n">
        <v>0</v>
      </c>
      <c r="L270" t="n">
        <v>0</v>
      </c>
      <c r="M270" t="n">
        <v>0</v>
      </c>
      <c r="N270" t="n">
        <v>0</v>
      </c>
      <c r="O270" t="n">
        <v>0</v>
      </c>
      <c r="P270" t="n">
        <v>0</v>
      </c>
      <c r="Q270" t="n">
        <v>0</v>
      </c>
      <c r="R270" s="2" t="inlineStr"/>
    </row>
    <row r="271" ht="15" customHeight="1">
      <c r="A271" t="inlineStr">
        <is>
          <t>A 28495-2019</t>
        </is>
      </c>
      <c r="B271" s="1" t="n">
        <v>43626</v>
      </c>
      <c r="C271" s="1" t="n">
        <v>45578</v>
      </c>
      <c r="D271" t="inlineStr">
        <is>
          <t>STOCKHOLMS LÄN</t>
        </is>
      </c>
      <c r="E271" t="inlineStr">
        <is>
          <t>NORRTÄLJE</t>
        </is>
      </c>
      <c r="G271" t="n">
        <v>14.7</v>
      </c>
      <c r="H271" t="n">
        <v>0</v>
      </c>
      <c r="I271" t="n">
        <v>0</v>
      </c>
      <c r="J271" t="n">
        <v>0</v>
      </c>
      <c r="K271" t="n">
        <v>0</v>
      </c>
      <c r="L271" t="n">
        <v>0</v>
      </c>
      <c r="M271" t="n">
        <v>0</v>
      </c>
      <c r="N271" t="n">
        <v>0</v>
      </c>
      <c r="O271" t="n">
        <v>0</v>
      </c>
      <c r="P271" t="n">
        <v>0</v>
      </c>
      <c r="Q271" t="n">
        <v>0</v>
      </c>
      <c r="R271" s="2" t="inlineStr"/>
    </row>
    <row r="272" ht="15" customHeight="1">
      <c r="A272" t="inlineStr">
        <is>
          <t>A 28394-2019</t>
        </is>
      </c>
      <c r="B272" s="1" t="n">
        <v>43626</v>
      </c>
      <c r="C272" s="1" t="n">
        <v>45578</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29260-2019</t>
        </is>
      </c>
      <c r="B273" s="1" t="n">
        <v>43629</v>
      </c>
      <c r="C273" s="1" t="n">
        <v>45578</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29312-2019</t>
        </is>
      </c>
      <c r="B274" s="1" t="n">
        <v>43629</v>
      </c>
      <c r="C274" s="1" t="n">
        <v>45578</v>
      </c>
      <c r="D274" t="inlineStr">
        <is>
          <t>STOCKHOLMS LÄN</t>
        </is>
      </c>
      <c r="E274" t="inlineStr">
        <is>
          <t>NORRTÄLJE</t>
        </is>
      </c>
      <c r="G274" t="n">
        <v>7.1</v>
      </c>
      <c r="H274" t="n">
        <v>0</v>
      </c>
      <c r="I274" t="n">
        <v>0</v>
      </c>
      <c r="J274" t="n">
        <v>0</v>
      </c>
      <c r="K274" t="n">
        <v>0</v>
      </c>
      <c r="L274" t="n">
        <v>0</v>
      </c>
      <c r="M274" t="n">
        <v>0</v>
      </c>
      <c r="N274" t="n">
        <v>0</v>
      </c>
      <c r="O274" t="n">
        <v>0</v>
      </c>
      <c r="P274" t="n">
        <v>0</v>
      </c>
      <c r="Q274" t="n">
        <v>0</v>
      </c>
      <c r="R274" s="2" t="inlineStr"/>
    </row>
    <row r="275" ht="15" customHeight="1">
      <c r="A275" t="inlineStr">
        <is>
          <t>A 29759-2019</t>
        </is>
      </c>
      <c r="B275" s="1" t="n">
        <v>43631</v>
      </c>
      <c r="C275" s="1" t="n">
        <v>45578</v>
      </c>
      <c r="D275" t="inlineStr">
        <is>
          <t>STOCKHOLMS LÄN</t>
        </is>
      </c>
      <c r="E275" t="inlineStr">
        <is>
          <t>NORRTÄLJE</t>
        </is>
      </c>
      <c r="G275" t="n">
        <v>0.8</v>
      </c>
      <c r="H275" t="n">
        <v>0</v>
      </c>
      <c r="I275" t="n">
        <v>0</v>
      </c>
      <c r="J275" t="n">
        <v>0</v>
      </c>
      <c r="K275" t="n">
        <v>0</v>
      </c>
      <c r="L275" t="n">
        <v>0</v>
      </c>
      <c r="M275" t="n">
        <v>0</v>
      </c>
      <c r="N275" t="n">
        <v>0</v>
      </c>
      <c r="O275" t="n">
        <v>0</v>
      </c>
      <c r="P275" t="n">
        <v>0</v>
      </c>
      <c r="Q275" t="n">
        <v>0</v>
      </c>
      <c r="R275" s="2" t="inlineStr"/>
    </row>
    <row r="276" ht="15" customHeight="1">
      <c r="A276" t="inlineStr">
        <is>
          <t>A 30000-2019</t>
        </is>
      </c>
      <c r="B276" s="1" t="n">
        <v>43633</v>
      </c>
      <c r="C276" s="1" t="n">
        <v>45578</v>
      </c>
      <c r="D276" t="inlineStr">
        <is>
          <t>STOCKHOLMS LÄN</t>
        </is>
      </c>
      <c r="E276" t="inlineStr">
        <is>
          <t>NORRTÄLJE</t>
        </is>
      </c>
      <c r="G276" t="n">
        <v>5.4</v>
      </c>
      <c r="H276" t="n">
        <v>0</v>
      </c>
      <c r="I276" t="n">
        <v>0</v>
      </c>
      <c r="J276" t="n">
        <v>0</v>
      </c>
      <c r="K276" t="n">
        <v>0</v>
      </c>
      <c r="L276" t="n">
        <v>0</v>
      </c>
      <c r="M276" t="n">
        <v>0</v>
      </c>
      <c r="N276" t="n">
        <v>0</v>
      </c>
      <c r="O276" t="n">
        <v>0</v>
      </c>
      <c r="P276" t="n">
        <v>0</v>
      </c>
      <c r="Q276" t="n">
        <v>0</v>
      </c>
      <c r="R276" s="2" t="inlineStr"/>
    </row>
    <row r="277" ht="15" customHeight="1">
      <c r="A277" t="inlineStr">
        <is>
          <t>A 30833-2019</t>
        </is>
      </c>
      <c r="B277" s="1" t="n">
        <v>43636</v>
      </c>
      <c r="C277" s="1" t="n">
        <v>45578</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31215-2019</t>
        </is>
      </c>
      <c r="B278" s="1" t="n">
        <v>43640</v>
      </c>
      <c r="C278" s="1" t="n">
        <v>45578</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31017-2019</t>
        </is>
      </c>
      <c r="B279" s="1" t="n">
        <v>43640</v>
      </c>
      <c r="C279" s="1" t="n">
        <v>45578</v>
      </c>
      <c r="D279" t="inlineStr">
        <is>
          <t>STOCKHOLMS LÄN</t>
        </is>
      </c>
      <c r="E279" t="inlineStr">
        <is>
          <t>NORRTÄLJE</t>
        </is>
      </c>
      <c r="G279" t="n">
        <v>3.4</v>
      </c>
      <c r="H279" t="n">
        <v>0</v>
      </c>
      <c r="I279" t="n">
        <v>0</v>
      </c>
      <c r="J279" t="n">
        <v>0</v>
      </c>
      <c r="K279" t="n">
        <v>0</v>
      </c>
      <c r="L279" t="n">
        <v>0</v>
      </c>
      <c r="M279" t="n">
        <v>0</v>
      </c>
      <c r="N279" t="n">
        <v>0</v>
      </c>
      <c r="O279" t="n">
        <v>0</v>
      </c>
      <c r="P279" t="n">
        <v>0</v>
      </c>
      <c r="Q279" t="n">
        <v>0</v>
      </c>
      <c r="R279" s="2" t="inlineStr"/>
    </row>
    <row r="280" ht="15" customHeight="1">
      <c r="A280" t="inlineStr">
        <is>
          <t>A 31966-2019</t>
        </is>
      </c>
      <c r="B280" s="1" t="n">
        <v>43643</v>
      </c>
      <c r="C280" s="1" t="n">
        <v>45578</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32725-2019</t>
        </is>
      </c>
      <c r="B281" s="1" t="n">
        <v>43647</v>
      </c>
      <c r="C281" s="1" t="n">
        <v>45578</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32726-2019</t>
        </is>
      </c>
      <c r="B282" s="1" t="n">
        <v>43647</v>
      </c>
      <c r="C282" s="1" t="n">
        <v>45578</v>
      </c>
      <c r="D282" t="inlineStr">
        <is>
          <t>STOCKHOLMS LÄN</t>
        </is>
      </c>
      <c r="E282" t="inlineStr">
        <is>
          <t>NORRTÄLJE</t>
        </is>
      </c>
      <c r="G282" t="n">
        <v>1</v>
      </c>
      <c r="H282" t="n">
        <v>0</v>
      </c>
      <c r="I282" t="n">
        <v>0</v>
      </c>
      <c r="J282" t="n">
        <v>0</v>
      </c>
      <c r="K282" t="n">
        <v>0</v>
      </c>
      <c r="L282" t="n">
        <v>0</v>
      </c>
      <c r="M282" t="n">
        <v>0</v>
      </c>
      <c r="N282" t="n">
        <v>0</v>
      </c>
      <c r="O282" t="n">
        <v>0</v>
      </c>
      <c r="P282" t="n">
        <v>0</v>
      </c>
      <c r="Q282" t="n">
        <v>0</v>
      </c>
      <c r="R282" s="2" t="inlineStr"/>
    </row>
    <row r="283" ht="15" customHeight="1">
      <c r="A283" t="inlineStr">
        <is>
          <t>A 33207-2019</t>
        </is>
      </c>
      <c r="B283" s="1" t="n">
        <v>43649</v>
      </c>
      <c r="C283" s="1" t="n">
        <v>45578</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33955-2019</t>
        </is>
      </c>
      <c r="B284" s="1" t="n">
        <v>43654</v>
      </c>
      <c r="C284" s="1" t="n">
        <v>45578</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33966-2019</t>
        </is>
      </c>
      <c r="B285" s="1" t="n">
        <v>43654</v>
      </c>
      <c r="C285" s="1" t="n">
        <v>45578</v>
      </c>
      <c r="D285" t="inlineStr">
        <is>
          <t>STOCKHOLMS LÄN</t>
        </is>
      </c>
      <c r="E285" t="inlineStr">
        <is>
          <t>NORRTÄLJE</t>
        </is>
      </c>
      <c r="G285" t="n">
        <v>3.2</v>
      </c>
      <c r="H285" t="n">
        <v>0</v>
      </c>
      <c r="I285" t="n">
        <v>0</v>
      </c>
      <c r="J285" t="n">
        <v>0</v>
      </c>
      <c r="K285" t="n">
        <v>0</v>
      </c>
      <c r="L285" t="n">
        <v>0</v>
      </c>
      <c r="M285" t="n">
        <v>0</v>
      </c>
      <c r="N285" t="n">
        <v>0</v>
      </c>
      <c r="O285" t="n">
        <v>0</v>
      </c>
      <c r="P285" t="n">
        <v>0</v>
      </c>
      <c r="Q285" t="n">
        <v>0</v>
      </c>
      <c r="R285" s="2" t="inlineStr"/>
    </row>
    <row r="286" ht="15" customHeight="1">
      <c r="A286" t="inlineStr">
        <is>
          <t>A 35247-2019</t>
        </is>
      </c>
      <c r="B286" s="1" t="n">
        <v>43656</v>
      </c>
      <c r="C286" s="1" t="n">
        <v>45578</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35244-2019</t>
        </is>
      </c>
      <c r="B287" s="1" t="n">
        <v>43656</v>
      </c>
      <c r="C287" s="1" t="n">
        <v>45578</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35249-2019</t>
        </is>
      </c>
      <c r="B288" s="1" t="n">
        <v>43656</v>
      </c>
      <c r="C288" s="1" t="n">
        <v>45578</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35251-2019</t>
        </is>
      </c>
      <c r="B289" s="1" t="n">
        <v>43656</v>
      </c>
      <c r="C289" s="1" t="n">
        <v>45578</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35492-2019</t>
        </is>
      </c>
      <c r="B290" s="1" t="n">
        <v>43663</v>
      </c>
      <c r="C290" s="1" t="n">
        <v>45578</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35770-2019</t>
        </is>
      </c>
      <c r="B291" s="1" t="n">
        <v>43665</v>
      </c>
      <c r="C291" s="1" t="n">
        <v>45578</v>
      </c>
      <c r="D291" t="inlineStr">
        <is>
          <t>STOCKHOLMS LÄN</t>
        </is>
      </c>
      <c r="E291" t="inlineStr">
        <is>
          <t>NORRTÄLJE</t>
        </is>
      </c>
      <c r="G291" t="n">
        <v>6.3</v>
      </c>
      <c r="H291" t="n">
        <v>0</v>
      </c>
      <c r="I291" t="n">
        <v>0</v>
      </c>
      <c r="J291" t="n">
        <v>0</v>
      </c>
      <c r="K291" t="n">
        <v>0</v>
      </c>
      <c r="L291" t="n">
        <v>0</v>
      </c>
      <c r="M291" t="n">
        <v>0</v>
      </c>
      <c r="N291" t="n">
        <v>0</v>
      </c>
      <c r="O291" t="n">
        <v>0</v>
      </c>
      <c r="P291" t="n">
        <v>0</v>
      </c>
      <c r="Q291" t="n">
        <v>0</v>
      </c>
      <c r="R291" s="2" t="inlineStr"/>
    </row>
    <row r="292" ht="15" customHeight="1">
      <c r="A292" t="inlineStr">
        <is>
          <t>A 35766-2019</t>
        </is>
      </c>
      <c r="B292" s="1" t="n">
        <v>43665</v>
      </c>
      <c r="C292" s="1" t="n">
        <v>45578</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36418-2019</t>
        </is>
      </c>
      <c r="B293" s="1" t="n">
        <v>43670</v>
      </c>
      <c r="C293" s="1" t="n">
        <v>45578</v>
      </c>
      <c r="D293" t="inlineStr">
        <is>
          <t>STOCKHOLMS LÄN</t>
        </is>
      </c>
      <c r="E293" t="inlineStr">
        <is>
          <t>NORRTÄLJE</t>
        </is>
      </c>
      <c r="G293" t="n">
        <v>16.8</v>
      </c>
      <c r="H293" t="n">
        <v>0</v>
      </c>
      <c r="I293" t="n">
        <v>0</v>
      </c>
      <c r="J293" t="n">
        <v>0</v>
      </c>
      <c r="K293" t="n">
        <v>0</v>
      </c>
      <c r="L293" t="n">
        <v>0</v>
      </c>
      <c r="M293" t="n">
        <v>0</v>
      </c>
      <c r="N293" t="n">
        <v>0</v>
      </c>
      <c r="O293" t="n">
        <v>0</v>
      </c>
      <c r="P293" t="n">
        <v>0</v>
      </c>
      <c r="Q293" t="n">
        <v>0</v>
      </c>
      <c r="R293" s="2" t="inlineStr"/>
    </row>
    <row r="294" ht="15" customHeight="1">
      <c r="A294" t="inlineStr">
        <is>
          <t>A 37401-2019</t>
        </is>
      </c>
      <c r="B294" s="1" t="n">
        <v>43678</v>
      </c>
      <c r="C294" s="1" t="n">
        <v>45578</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37662-2019</t>
        </is>
      </c>
      <c r="B295" s="1" t="n">
        <v>43682</v>
      </c>
      <c r="C295" s="1" t="n">
        <v>45578</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38144-2019</t>
        </is>
      </c>
      <c r="B296" s="1" t="n">
        <v>43684</v>
      </c>
      <c r="C296" s="1" t="n">
        <v>45578</v>
      </c>
      <c r="D296" t="inlineStr">
        <is>
          <t>STOCKHOLMS LÄN</t>
        </is>
      </c>
      <c r="E296" t="inlineStr">
        <is>
          <t>NORRTÄLJE</t>
        </is>
      </c>
      <c r="G296" t="n">
        <v>3.6</v>
      </c>
      <c r="H296" t="n">
        <v>0</v>
      </c>
      <c r="I296" t="n">
        <v>0</v>
      </c>
      <c r="J296" t="n">
        <v>0</v>
      </c>
      <c r="K296" t="n">
        <v>0</v>
      </c>
      <c r="L296" t="n">
        <v>0</v>
      </c>
      <c r="M296" t="n">
        <v>0</v>
      </c>
      <c r="N296" t="n">
        <v>0</v>
      </c>
      <c r="O296" t="n">
        <v>0</v>
      </c>
      <c r="P296" t="n">
        <v>0</v>
      </c>
      <c r="Q296" t="n">
        <v>0</v>
      </c>
      <c r="R296" s="2" t="inlineStr"/>
    </row>
    <row r="297" ht="15" customHeight="1">
      <c r="A297" t="inlineStr">
        <is>
          <t>A 38139-2019</t>
        </is>
      </c>
      <c r="B297" s="1" t="n">
        <v>43684</v>
      </c>
      <c r="C297" s="1" t="n">
        <v>45578</v>
      </c>
      <c r="D297" t="inlineStr">
        <is>
          <t>STOCKHOLMS LÄN</t>
        </is>
      </c>
      <c r="E297" t="inlineStr">
        <is>
          <t>NORRTÄLJE</t>
        </is>
      </c>
      <c r="G297" t="n">
        <v>2</v>
      </c>
      <c r="H297" t="n">
        <v>0</v>
      </c>
      <c r="I297" t="n">
        <v>0</v>
      </c>
      <c r="J297" t="n">
        <v>0</v>
      </c>
      <c r="K297" t="n">
        <v>0</v>
      </c>
      <c r="L297" t="n">
        <v>0</v>
      </c>
      <c r="M297" t="n">
        <v>0</v>
      </c>
      <c r="N297" t="n">
        <v>0</v>
      </c>
      <c r="O297" t="n">
        <v>0</v>
      </c>
      <c r="P297" t="n">
        <v>0</v>
      </c>
      <c r="Q297" t="n">
        <v>0</v>
      </c>
      <c r="R297" s="2" t="inlineStr"/>
    </row>
    <row r="298" ht="15" customHeight="1">
      <c r="A298" t="inlineStr">
        <is>
          <t>A 38145-2019</t>
        </is>
      </c>
      <c r="B298" s="1" t="n">
        <v>43684</v>
      </c>
      <c r="C298" s="1" t="n">
        <v>45578</v>
      </c>
      <c r="D298" t="inlineStr">
        <is>
          <t>STOCKHOLMS LÄN</t>
        </is>
      </c>
      <c r="E298" t="inlineStr">
        <is>
          <t>NORRTÄLJE</t>
        </is>
      </c>
      <c r="G298" t="n">
        <v>9.9</v>
      </c>
      <c r="H298" t="n">
        <v>0</v>
      </c>
      <c r="I298" t="n">
        <v>0</v>
      </c>
      <c r="J298" t="n">
        <v>0</v>
      </c>
      <c r="K298" t="n">
        <v>0</v>
      </c>
      <c r="L298" t="n">
        <v>0</v>
      </c>
      <c r="M298" t="n">
        <v>0</v>
      </c>
      <c r="N298" t="n">
        <v>0</v>
      </c>
      <c r="O298" t="n">
        <v>0</v>
      </c>
      <c r="P298" t="n">
        <v>0</v>
      </c>
      <c r="Q298" t="n">
        <v>0</v>
      </c>
      <c r="R298" s="2" t="inlineStr"/>
    </row>
    <row r="299" ht="15" customHeight="1">
      <c r="A299" t="inlineStr">
        <is>
          <t>A 38140-2019</t>
        </is>
      </c>
      <c r="B299" s="1" t="n">
        <v>43684</v>
      </c>
      <c r="C299" s="1" t="n">
        <v>45578</v>
      </c>
      <c r="D299" t="inlineStr">
        <is>
          <t>STOCKHOLMS LÄN</t>
        </is>
      </c>
      <c r="E299" t="inlineStr">
        <is>
          <t>NORRTÄLJE</t>
        </is>
      </c>
      <c r="G299" t="n">
        <v>3.4</v>
      </c>
      <c r="H299" t="n">
        <v>0</v>
      </c>
      <c r="I299" t="n">
        <v>0</v>
      </c>
      <c r="J299" t="n">
        <v>0</v>
      </c>
      <c r="K299" t="n">
        <v>0</v>
      </c>
      <c r="L299" t="n">
        <v>0</v>
      </c>
      <c r="M299" t="n">
        <v>0</v>
      </c>
      <c r="N299" t="n">
        <v>0</v>
      </c>
      <c r="O299" t="n">
        <v>0</v>
      </c>
      <c r="P299" t="n">
        <v>0</v>
      </c>
      <c r="Q299" t="n">
        <v>0</v>
      </c>
      <c r="R299" s="2" t="inlineStr"/>
    </row>
    <row r="300" ht="15" customHeight="1">
      <c r="A300" t="inlineStr">
        <is>
          <t>A 38143-2019</t>
        </is>
      </c>
      <c r="B300" s="1" t="n">
        <v>43684</v>
      </c>
      <c r="C300" s="1" t="n">
        <v>45578</v>
      </c>
      <c r="D300" t="inlineStr">
        <is>
          <t>STOCKHOLMS LÄN</t>
        </is>
      </c>
      <c r="E300" t="inlineStr">
        <is>
          <t>NORRTÄLJE</t>
        </is>
      </c>
      <c r="G300" t="n">
        <v>12.7</v>
      </c>
      <c r="H300" t="n">
        <v>0</v>
      </c>
      <c r="I300" t="n">
        <v>0</v>
      </c>
      <c r="J300" t="n">
        <v>0</v>
      </c>
      <c r="K300" t="n">
        <v>0</v>
      </c>
      <c r="L300" t="n">
        <v>0</v>
      </c>
      <c r="M300" t="n">
        <v>0</v>
      </c>
      <c r="N300" t="n">
        <v>0</v>
      </c>
      <c r="O300" t="n">
        <v>0</v>
      </c>
      <c r="P300" t="n">
        <v>0</v>
      </c>
      <c r="Q300" t="n">
        <v>0</v>
      </c>
      <c r="R300" s="2" t="inlineStr"/>
    </row>
    <row r="301" ht="15" customHeight="1">
      <c r="A301" t="inlineStr">
        <is>
          <t>A 38506-2019</t>
        </is>
      </c>
      <c r="B301" s="1" t="n">
        <v>43685</v>
      </c>
      <c r="C301" s="1" t="n">
        <v>45578</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38605-2019</t>
        </is>
      </c>
      <c r="B302" s="1" t="n">
        <v>43686</v>
      </c>
      <c r="C302" s="1" t="n">
        <v>45578</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38737-2019</t>
        </is>
      </c>
      <c r="B303" s="1" t="n">
        <v>43686</v>
      </c>
      <c r="C303" s="1" t="n">
        <v>45578</v>
      </c>
      <c r="D303" t="inlineStr">
        <is>
          <t>STOCKHOLMS LÄN</t>
        </is>
      </c>
      <c r="E303" t="inlineStr">
        <is>
          <t>NORRTÄLJE</t>
        </is>
      </c>
      <c r="G303" t="n">
        <v>4.7</v>
      </c>
      <c r="H303" t="n">
        <v>0</v>
      </c>
      <c r="I303" t="n">
        <v>0</v>
      </c>
      <c r="J303" t="n">
        <v>0</v>
      </c>
      <c r="K303" t="n">
        <v>0</v>
      </c>
      <c r="L303" t="n">
        <v>0</v>
      </c>
      <c r="M303" t="n">
        <v>0</v>
      </c>
      <c r="N303" t="n">
        <v>0</v>
      </c>
      <c r="O303" t="n">
        <v>0</v>
      </c>
      <c r="P303" t="n">
        <v>0</v>
      </c>
      <c r="Q303" t="n">
        <v>0</v>
      </c>
      <c r="R303" s="2" t="inlineStr"/>
    </row>
    <row r="304" ht="15" customHeight="1">
      <c r="A304" t="inlineStr">
        <is>
          <t>A 40571-2019</t>
        </is>
      </c>
      <c r="B304" s="1" t="n">
        <v>43696</v>
      </c>
      <c r="C304" s="1" t="n">
        <v>45578</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42330-2019</t>
        </is>
      </c>
      <c r="B305" s="1" t="n">
        <v>43703</v>
      </c>
      <c r="C305" s="1" t="n">
        <v>45578</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43379-2019</t>
        </is>
      </c>
      <c r="B306" s="1" t="n">
        <v>43703</v>
      </c>
      <c r="C306" s="1" t="n">
        <v>45578</v>
      </c>
      <c r="D306" t="inlineStr">
        <is>
          <t>STOCKHOLMS LÄN</t>
        </is>
      </c>
      <c r="E306" t="inlineStr">
        <is>
          <t>NORRTÄLJE</t>
        </is>
      </c>
      <c r="G306" t="n">
        <v>1.1</v>
      </c>
      <c r="H306" t="n">
        <v>0</v>
      </c>
      <c r="I306" t="n">
        <v>0</v>
      </c>
      <c r="J306" t="n">
        <v>0</v>
      </c>
      <c r="K306" t="n">
        <v>0</v>
      </c>
      <c r="L306" t="n">
        <v>0</v>
      </c>
      <c r="M306" t="n">
        <v>0</v>
      </c>
      <c r="N306" t="n">
        <v>0</v>
      </c>
      <c r="O306" t="n">
        <v>0</v>
      </c>
      <c r="P306" t="n">
        <v>0</v>
      </c>
      <c r="Q306" t="n">
        <v>0</v>
      </c>
      <c r="R306" s="2" t="inlineStr"/>
    </row>
    <row r="307" ht="15" customHeight="1">
      <c r="A307" t="inlineStr">
        <is>
          <t>A 43296-2019</t>
        </is>
      </c>
      <c r="B307" s="1" t="n">
        <v>43706</v>
      </c>
      <c r="C307" s="1" t="n">
        <v>45578</v>
      </c>
      <c r="D307" t="inlineStr">
        <is>
          <t>STOCKHOLMS LÄN</t>
        </is>
      </c>
      <c r="E307" t="inlineStr">
        <is>
          <t>NORRTÄLJE</t>
        </is>
      </c>
      <c r="F307" t="inlineStr">
        <is>
          <t>Kommuner</t>
        </is>
      </c>
      <c r="G307" t="n">
        <v>1.7</v>
      </c>
      <c r="H307" t="n">
        <v>0</v>
      </c>
      <c r="I307" t="n">
        <v>0</v>
      </c>
      <c r="J307" t="n">
        <v>0</v>
      </c>
      <c r="K307" t="n">
        <v>0</v>
      </c>
      <c r="L307" t="n">
        <v>0</v>
      </c>
      <c r="M307" t="n">
        <v>0</v>
      </c>
      <c r="N307" t="n">
        <v>0</v>
      </c>
      <c r="O307" t="n">
        <v>0</v>
      </c>
      <c r="P307" t="n">
        <v>0</v>
      </c>
      <c r="Q307" t="n">
        <v>0</v>
      </c>
      <c r="R307" s="2" t="inlineStr"/>
    </row>
    <row r="308" ht="15" customHeight="1">
      <c r="A308" t="inlineStr">
        <is>
          <t>A 44643-2019</t>
        </is>
      </c>
      <c r="B308" s="1" t="n">
        <v>43712</v>
      </c>
      <c r="C308" s="1" t="n">
        <v>45578</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45463-2019</t>
        </is>
      </c>
      <c r="B309" s="1" t="n">
        <v>43714</v>
      </c>
      <c r="C309" s="1" t="n">
        <v>45578</v>
      </c>
      <c r="D309" t="inlineStr">
        <is>
          <t>STOCKHOLMS LÄN</t>
        </is>
      </c>
      <c r="E309" t="inlineStr">
        <is>
          <t>NORRTÄLJE</t>
        </is>
      </c>
      <c r="F309" t="inlineStr">
        <is>
          <t>Övriga statliga verk och myndigheter</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45477-2019</t>
        </is>
      </c>
      <c r="B310" s="1" t="n">
        <v>43714</v>
      </c>
      <c r="C310" s="1" t="n">
        <v>45578</v>
      </c>
      <c r="D310" t="inlineStr">
        <is>
          <t>STOCKHOLMS LÄN</t>
        </is>
      </c>
      <c r="E310" t="inlineStr">
        <is>
          <t>NORRTÄLJE</t>
        </is>
      </c>
      <c r="F310" t="inlineStr">
        <is>
          <t>Övriga statliga verk och myndigheter</t>
        </is>
      </c>
      <c r="G310" t="n">
        <v>8.9</v>
      </c>
      <c r="H310" t="n">
        <v>0</v>
      </c>
      <c r="I310" t="n">
        <v>0</v>
      </c>
      <c r="J310" t="n">
        <v>0</v>
      </c>
      <c r="K310" t="n">
        <v>0</v>
      </c>
      <c r="L310" t="n">
        <v>0</v>
      </c>
      <c r="M310" t="n">
        <v>0</v>
      </c>
      <c r="N310" t="n">
        <v>0</v>
      </c>
      <c r="O310" t="n">
        <v>0</v>
      </c>
      <c r="P310" t="n">
        <v>0</v>
      </c>
      <c r="Q310" t="n">
        <v>0</v>
      </c>
      <c r="R310" s="2" t="inlineStr"/>
    </row>
    <row r="311" ht="15" customHeight="1">
      <c r="A311" t="inlineStr">
        <is>
          <t>A 46327-2019</t>
        </is>
      </c>
      <c r="B311" s="1" t="n">
        <v>43718</v>
      </c>
      <c r="C311" s="1" t="n">
        <v>45578</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47876-2019</t>
        </is>
      </c>
      <c r="B312" s="1" t="n">
        <v>43725</v>
      </c>
      <c r="C312" s="1" t="n">
        <v>45578</v>
      </c>
      <c r="D312" t="inlineStr">
        <is>
          <t>STOCKHOLMS LÄN</t>
        </is>
      </c>
      <c r="E312" t="inlineStr">
        <is>
          <t>NORRTÄLJE</t>
        </is>
      </c>
      <c r="G312" t="n">
        <v>11.4</v>
      </c>
      <c r="H312" t="n">
        <v>0</v>
      </c>
      <c r="I312" t="n">
        <v>0</v>
      </c>
      <c r="J312" t="n">
        <v>0</v>
      </c>
      <c r="K312" t="n">
        <v>0</v>
      </c>
      <c r="L312" t="n">
        <v>0</v>
      </c>
      <c r="M312" t="n">
        <v>0</v>
      </c>
      <c r="N312" t="n">
        <v>0</v>
      </c>
      <c r="O312" t="n">
        <v>0</v>
      </c>
      <c r="P312" t="n">
        <v>0</v>
      </c>
      <c r="Q312" t="n">
        <v>0</v>
      </c>
      <c r="R312" s="2" t="inlineStr"/>
    </row>
    <row r="313" ht="15" customHeight="1">
      <c r="A313" t="inlineStr">
        <is>
          <t>A 47877-2019</t>
        </is>
      </c>
      <c r="B313" s="1" t="n">
        <v>43725</v>
      </c>
      <c r="C313" s="1" t="n">
        <v>45578</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47903-2019</t>
        </is>
      </c>
      <c r="B314" s="1" t="n">
        <v>43725</v>
      </c>
      <c r="C314" s="1" t="n">
        <v>45578</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47901-2019</t>
        </is>
      </c>
      <c r="B315" s="1" t="n">
        <v>43725</v>
      </c>
      <c r="C315" s="1" t="n">
        <v>45578</v>
      </c>
      <c r="D315" t="inlineStr">
        <is>
          <t>STOCKHOLMS LÄN</t>
        </is>
      </c>
      <c r="E315" t="inlineStr">
        <is>
          <t>NORRTÄLJE</t>
        </is>
      </c>
      <c r="G315" t="n">
        <v>3</v>
      </c>
      <c r="H315" t="n">
        <v>0</v>
      </c>
      <c r="I315" t="n">
        <v>0</v>
      </c>
      <c r="J315" t="n">
        <v>0</v>
      </c>
      <c r="K315" t="n">
        <v>0</v>
      </c>
      <c r="L315" t="n">
        <v>0</v>
      </c>
      <c r="M315" t="n">
        <v>0</v>
      </c>
      <c r="N315" t="n">
        <v>0</v>
      </c>
      <c r="O315" t="n">
        <v>0</v>
      </c>
      <c r="P315" t="n">
        <v>0</v>
      </c>
      <c r="Q315" t="n">
        <v>0</v>
      </c>
      <c r="R315" s="2" t="inlineStr"/>
    </row>
    <row r="316" ht="15" customHeight="1">
      <c r="A316" t="inlineStr">
        <is>
          <t>A 47939-2019</t>
        </is>
      </c>
      <c r="B316" s="1" t="n">
        <v>43725</v>
      </c>
      <c r="C316" s="1" t="n">
        <v>45578</v>
      </c>
      <c r="D316" t="inlineStr">
        <is>
          <t>STOCKHOLMS LÄN</t>
        </is>
      </c>
      <c r="E316" t="inlineStr">
        <is>
          <t>NORRTÄLJE</t>
        </is>
      </c>
      <c r="G316" t="n">
        <v>4.5</v>
      </c>
      <c r="H316" t="n">
        <v>0</v>
      </c>
      <c r="I316" t="n">
        <v>0</v>
      </c>
      <c r="J316" t="n">
        <v>0</v>
      </c>
      <c r="K316" t="n">
        <v>0</v>
      </c>
      <c r="L316" t="n">
        <v>0</v>
      </c>
      <c r="M316" t="n">
        <v>0</v>
      </c>
      <c r="N316" t="n">
        <v>0</v>
      </c>
      <c r="O316" t="n">
        <v>0</v>
      </c>
      <c r="P316" t="n">
        <v>0</v>
      </c>
      <c r="Q316" t="n">
        <v>0</v>
      </c>
      <c r="R316" s="2" t="inlineStr"/>
    </row>
    <row r="317" ht="15" customHeight="1">
      <c r="A317" t="inlineStr">
        <is>
          <t>A 47941-2019</t>
        </is>
      </c>
      <c r="B317" s="1" t="n">
        <v>43725</v>
      </c>
      <c r="C317" s="1" t="n">
        <v>45578</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47879-2019</t>
        </is>
      </c>
      <c r="B318" s="1" t="n">
        <v>43725</v>
      </c>
      <c r="C318" s="1" t="n">
        <v>45578</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48730-2019</t>
        </is>
      </c>
      <c r="B319" s="1" t="n">
        <v>43728</v>
      </c>
      <c r="C319" s="1" t="n">
        <v>45578</v>
      </c>
      <c r="D319" t="inlineStr">
        <is>
          <t>STOCKHOLMS LÄN</t>
        </is>
      </c>
      <c r="E319" t="inlineStr">
        <is>
          <t>NORRTÄLJE</t>
        </is>
      </c>
      <c r="F319" t="inlineStr">
        <is>
          <t>Övriga statliga verk och myndigheter</t>
        </is>
      </c>
      <c r="G319" t="n">
        <v>1.3</v>
      </c>
      <c r="H319" t="n">
        <v>0</v>
      </c>
      <c r="I319" t="n">
        <v>0</v>
      </c>
      <c r="J319" t="n">
        <v>0</v>
      </c>
      <c r="K319" t="n">
        <v>0</v>
      </c>
      <c r="L319" t="n">
        <v>0</v>
      </c>
      <c r="M319" t="n">
        <v>0</v>
      </c>
      <c r="N319" t="n">
        <v>0</v>
      </c>
      <c r="O319" t="n">
        <v>0</v>
      </c>
      <c r="P319" t="n">
        <v>0</v>
      </c>
      <c r="Q319" t="n">
        <v>0</v>
      </c>
      <c r="R319" s="2" t="inlineStr"/>
    </row>
    <row r="320" ht="15" customHeight="1">
      <c r="A320" t="inlineStr">
        <is>
          <t>A 49252-2019</t>
        </is>
      </c>
      <c r="B320" s="1" t="n">
        <v>43731</v>
      </c>
      <c r="C320" s="1" t="n">
        <v>45578</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51940-2019</t>
        </is>
      </c>
      <c r="B321" s="1" t="n">
        <v>43741</v>
      </c>
      <c r="C321" s="1" t="n">
        <v>45578</v>
      </c>
      <c r="D321" t="inlineStr">
        <is>
          <t>STOCKHOLMS LÄN</t>
        </is>
      </c>
      <c r="E321" t="inlineStr">
        <is>
          <t>NORRTÄLJE</t>
        </is>
      </c>
      <c r="G321" t="n">
        <v>2.7</v>
      </c>
      <c r="H321" t="n">
        <v>0</v>
      </c>
      <c r="I321" t="n">
        <v>0</v>
      </c>
      <c r="J321" t="n">
        <v>0</v>
      </c>
      <c r="K321" t="n">
        <v>0</v>
      </c>
      <c r="L321" t="n">
        <v>0</v>
      </c>
      <c r="M321" t="n">
        <v>0</v>
      </c>
      <c r="N321" t="n">
        <v>0</v>
      </c>
      <c r="O321" t="n">
        <v>0</v>
      </c>
      <c r="P321" t="n">
        <v>0</v>
      </c>
      <c r="Q321" t="n">
        <v>0</v>
      </c>
      <c r="R321" s="2" t="inlineStr"/>
    </row>
    <row r="322" ht="15" customHeight="1">
      <c r="A322" t="inlineStr">
        <is>
          <t>A 51942-2019</t>
        </is>
      </c>
      <c r="B322" s="1" t="n">
        <v>43741</v>
      </c>
      <c r="C322" s="1" t="n">
        <v>45578</v>
      </c>
      <c r="D322" t="inlineStr">
        <is>
          <t>STOCKHOLMS LÄN</t>
        </is>
      </c>
      <c r="E322" t="inlineStr">
        <is>
          <t>NORRTÄLJE</t>
        </is>
      </c>
      <c r="G322" t="n">
        <v>5.6</v>
      </c>
      <c r="H322" t="n">
        <v>0</v>
      </c>
      <c r="I322" t="n">
        <v>0</v>
      </c>
      <c r="J322" t="n">
        <v>0</v>
      </c>
      <c r="K322" t="n">
        <v>0</v>
      </c>
      <c r="L322" t="n">
        <v>0</v>
      </c>
      <c r="M322" t="n">
        <v>0</v>
      </c>
      <c r="N322" t="n">
        <v>0</v>
      </c>
      <c r="O322" t="n">
        <v>0</v>
      </c>
      <c r="P322" t="n">
        <v>0</v>
      </c>
      <c r="Q322" t="n">
        <v>0</v>
      </c>
      <c r="R322" s="2" t="inlineStr"/>
    </row>
    <row r="323" ht="15" customHeight="1">
      <c r="A323" t="inlineStr">
        <is>
          <t>A 55481-2019</t>
        </is>
      </c>
      <c r="B323" s="1" t="n">
        <v>43759</v>
      </c>
      <c r="C323" s="1" t="n">
        <v>45578</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55891-2019</t>
        </is>
      </c>
      <c r="B324" s="1" t="n">
        <v>43761</v>
      </c>
      <c r="C324" s="1" t="n">
        <v>45578</v>
      </c>
      <c r="D324" t="inlineStr">
        <is>
          <t>STOCKHOLMS LÄN</t>
        </is>
      </c>
      <c r="E324" t="inlineStr">
        <is>
          <t>NORRTÄLJE</t>
        </is>
      </c>
      <c r="G324" t="n">
        <v>7.6</v>
      </c>
      <c r="H324" t="n">
        <v>0</v>
      </c>
      <c r="I324" t="n">
        <v>0</v>
      </c>
      <c r="J324" t="n">
        <v>0</v>
      </c>
      <c r="K324" t="n">
        <v>0</v>
      </c>
      <c r="L324" t="n">
        <v>0</v>
      </c>
      <c r="M324" t="n">
        <v>0</v>
      </c>
      <c r="N324" t="n">
        <v>0</v>
      </c>
      <c r="O324" t="n">
        <v>0</v>
      </c>
      <c r="P324" t="n">
        <v>0</v>
      </c>
      <c r="Q324" t="n">
        <v>0</v>
      </c>
      <c r="R324" s="2" t="inlineStr"/>
    </row>
    <row r="325" ht="15" customHeight="1">
      <c r="A325" t="inlineStr">
        <is>
          <t>A 56349-2019</t>
        </is>
      </c>
      <c r="B325" s="1" t="n">
        <v>43762</v>
      </c>
      <c r="C325" s="1" t="n">
        <v>45578</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57759-2019</t>
        </is>
      </c>
      <c r="B326" s="1" t="n">
        <v>43763</v>
      </c>
      <c r="C326" s="1" t="n">
        <v>45578</v>
      </c>
      <c r="D326" t="inlineStr">
        <is>
          <t>STOCKHOLMS LÄN</t>
        </is>
      </c>
      <c r="E326" t="inlineStr">
        <is>
          <t>NORRTÄLJE</t>
        </is>
      </c>
      <c r="F326" t="inlineStr">
        <is>
          <t>Övriga Aktiebolag</t>
        </is>
      </c>
      <c r="G326" t="n">
        <v>7.3</v>
      </c>
      <c r="H326" t="n">
        <v>0</v>
      </c>
      <c r="I326" t="n">
        <v>0</v>
      </c>
      <c r="J326" t="n">
        <v>0</v>
      </c>
      <c r="K326" t="n">
        <v>0</v>
      </c>
      <c r="L326" t="n">
        <v>0</v>
      </c>
      <c r="M326" t="n">
        <v>0</v>
      </c>
      <c r="N326" t="n">
        <v>0</v>
      </c>
      <c r="O326" t="n">
        <v>0</v>
      </c>
      <c r="P326" t="n">
        <v>0</v>
      </c>
      <c r="Q326" t="n">
        <v>0</v>
      </c>
      <c r="R326" s="2" t="inlineStr"/>
    </row>
    <row r="327" ht="15" customHeight="1">
      <c r="A327" t="inlineStr">
        <is>
          <t>A 57063-2019</t>
        </is>
      </c>
      <c r="B327" s="1" t="n">
        <v>43766</v>
      </c>
      <c r="C327" s="1" t="n">
        <v>45578</v>
      </c>
      <c r="D327" t="inlineStr">
        <is>
          <t>STOCKHOLMS LÄN</t>
        </is>
      </c>
      <c r="E327" t="inlineStr">
        <is>
          <t>NORRTÄLJE</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56950-2019</t>
        </is>
      </c>
      <c r="B328" s="1" t="n">
        <v>43766</v>
      </c>
      <c r="C328" s="1" t="n">
        <v>45578</v>
      </c>
      <c r="D328" t="inlineStr">
        <is>
          <t>STOCKHOLMS LÄN</t>
        </is>
      </c>
      <c r="E328" t="inlineStr">
        <is>
          <t>NORRTÄLJE</t>
        </is>
      </c>
      <c r="G328" t="n">
        <v>1.2</v>
      </c>
      <c r="H328" t="n">
        <v>0</v>
      </c>
      <c r="I328" t="n">
        <v>0</v>
      </c>
      <c r="J328" t="n">
        <v>0</v>
      </c>
      <c r="K328" t="n">
        <v>0</v>
      </c>
      <c r="L328" t="n">
        <v>0</v>
      </c>
      <c r="M328" t="n">
        <v>0</v>
      </c>
      <c r="N328" t="n">
        <v>0</v>
      </c>
      <c r="O328" t="n">
        <v>0</v>
      </c>
      <c r="P328" t="n">
        <v>0</v>
      </c>
      <c r="Q328" t="n">
        <v>0</v>
      </c>
      <c r="R328" s="2" t="inlineStr"/>
    </row>
    <row r="329" ht="15" customHeight="1">
      <c r="A329" t="inlineStr">
        <is>
          <t>A 57605-2019</t>
        </is>
      </c>
      <c r="B329" s="1" t="n">
        <v>43768</v>
      </c>
      <c r="C329" s="1" t="n">
        <v>45578</v>
      </c>
      <c r="D329" t="inlineStr">
        <is>
          <t>STOCKHOLMS LÄN</t>
        </is>
      </c>
      <c r="E329" t="inlineStr">
        <is>
          <t>NORRTÄLJE</t>
        </is>
      </c>
      <c r="G329" t="n">
        <v>2.5</v>
      </c>
      <c r="H329" t="n">
        <v>0</v>
      </c>
      <c r="I329" t="n">
        <v>0</v>
      </c>
      <c r="J329" t="n">
        <v>0</v>
      </c>
      <c r="K329" t="n">
        <v>0</v>
      </c>
      <c r="L329" t="n">
        <v>0</v>
      </c>
      <c r="M329" t="n">
        <v>0</v>
      </c>
      <c r="N329" t="n">
        <v>0</v>
      </c>
      <c r="O329" t="n">
        <v>0</v>
      </c>
      <c r="P329" t="n">
        <v>0</v>
      </c>
      <c r="Q329" t="n">
        <v>0</v>
      </c>
      <c r="R329" s="2" t="inlineStr"/>
    </row>
    <row r="330" ht="15" customHeight="1">
      <c r="A330" t="inlineStr">
        <is>
          <t>A 58064-2019</t>
        </is>
      </c>
      <c r="B330" s="1" t="n">
        <v>43769</v>
      </c>
      <c r="C330" s="1" t="n">
        <v>45578</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58631-2019</t>
        </is>
      </c>
      <c r="B331" s="1" t="n">
        <v>43773</v>
      </c>
      <c r="C331" s="1" t="n">
        <v>45578</v>
      </c>
      <c r="D331" t="inlineStr">
        <is>
          <t>STOCKHOLMS LÄN</t>
        </is>
      </c>
      <c r="E331" t="inlineStr">
        <is>
          <t>NORRTÄLJE</t>
        </is>
      </c>
      <c r="G331" t="n">
        <v>6</v>
      </c>
      <c r="H331" t="n">
        <v>0</v>
      </c>
      <c r="I331" t="n">
        <v>0</v>
      </c>
      <c r="J331" t="n">
        <v>0</v>
      </c>
      <c r="K331" t="n">
        <v>0</v>
      </c>
      <c r="L331" t="n">
        <v>0</v>
      </c>
      <c r="M331" t="n">
        <v>0</v>
      </c>
      <c r="N331" t="n">
        <v>0</v>
      </c>
      <c r="O331" t="n">
        <v>0</v>
      </c>
      <c r="P331" t="n">
        <v>0</v>
      </c>
      <c r="Q331" t="n">
        <v>0</v>
      </c>
      <c r="R331" s="2" t="inlineStr"/>
    </row>
    <row r="332" ht="15" customHeight="1">
      <c r="A332" t="inlineStr">
        <is>
          <t>A 60214-2019</t>
        </is>
      </c>
      <c r="B332" s="1" t="n">
        <v>43780</v>
      </c>
      <c r="C332" s="1" t="n">
        <v>45578</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60208-2019</t>
        </is>
      </c>
      <c r="B333" s="1" t="n">
        <v>43780</v>
      </c>
      <c r="C333" s="1" t="n">
        <v>45578</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60842-2019</t>
        </is>
      </c>
      <c r="B334" s="1" t="n">
        <v>43781</v>
      </c>
      <c r="C334" s="1" t="n">
        <v>45578</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60844-2019</t>
        </is>
      </c>
      <c r="B335" s="1" t="n">
        <v>43781</v>
      </c>
      <c r="C335" s="1" t="n">
        <v>45578</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61657-2019</t>
        </is>
      </c>
      <c r="B336" s="1" t="n">
        <v>43784</v>
      </c>
      <c r="C336" s="1" t="n">
        <v>45578</v>
      </c>
      <c r="D336" t="inlineStr">
        <is>
          <t>STOCKHOLMS LÄN</t>
        </is>
      </c>
      <c r="E336" t="inlineStr">
        <is>
          <t>NORRTÄLJE</t>
        </is>
      </c>
      <c r="G336" t="n">
        <v>5</v>
      </c>
      <c r="H336" t="n">
        <v>0</v>
      </c>
      <c r="I336" t="n">
        <v>0</v>
      </c>
      <c r="J336" t="n">
        <v>0</v>
      </c>
      <c r="K336" t="n">
        <v>0</v>
      </c>
      <c r="L336" t="n">
        <v>0</v>
      </c>
      <c r="M336" t="n">
        <v>0</v>
      </c>
      <c r="N336" t="n">
        <v>0</v>
      </c>
      <c r="O336" t="n">
        <v>0</v>
      </c>
      <c r="P336" t="n">
        <v>0</v>
      </c>
      <c r="Q336" t="n">
        <v>0</v>
      </c>
      <c r="R336" s="2" t="inlineStr"/>
    </row>
    <row r="337" ht="15" customHeight="1">
      <c r="A337" t="inlineStr">
        <is>
          <t>A 62848-2019</t>
        </is>
      </c>
      <c r="B337" s="1" t="n">
        <v>43790</v>
      </c>
      <c r="C337" s="1" t="n">
        <v>45578</v>
      </c>
      <c r="D337" t="inlineStr">
        <is>
          <t>STOCKHOLMS LÄN</t>
        </is>
      </c>
      <c r="E337" t="inlineStr">
        <is>
          <t>NORRTÄLJE</t>
        </is>
      </c>
      <c r="F337" t="inlineStr">
        <is>
          <t>Holmen skog AB</t>
        </is>
      </c>
      <c r="G337" t="n">
        <v>6.6</v>
      </c>
      <c r="H337" t="n">
        <v>0</v>
      </c>
      <c r="I337" t="n">
        <v>0</v>
      </c>
      <c r="J337" t="n">
        <v>0</v>
      </c>
      <c r="K337" t="n">
        <v>0</v>
      </c>
      <c r="L337" t="n">
        <v>0</v>
      </c>
      <c r="M337" t="n">
        <v>0</v>
      </c>
      <c r="N337" t="n">
        <v>0</v>
      </c>
      <c r="O337" t="n">
        <v>0</v>
      </c>
      <c r="P337" t="n">
        <v>0</v>
      </c>
      <c r="Q337" t="n">
        <v>0</v>
      </c>
      <c r="R337" s="2" t="inlineStr"/>
    </row>
    <row r="338" ht="15" customHeight="1">
      <c r="A338" t="inlineStr">
        <is>
          <t>A 62980-2019</t>
        </is>
      </c>
      <c r="B338" s="1" t="n">
        <v>43790</v>
      </c>
      <c r="C338" s="1" t="n">
        <v>45578</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63513-2019</t>
        </is>
      </c>
      <c r="B339" s="1" t="n">
        <v>43794</v>
      </c>
      <c r="C339" s="1" t="n">
        <v>45578</v>
      </c>
      <c r="D339" t="inlineStr">
        <is>
          <t>STOCKHOLMS LÄN</t>
        </is>
      </c>
      <c r="E339" t="inlineStr">
        <is>
          <t>NORRTÄLJE</t>
        </is>
      </c>
      <c r="G339" t="n">
        <v>9</v>
      </c>
      <c r="H339" t="n">
        <v>0</v>
      </c>
      <c r="I339" t="n">
        <v>0</v>
      </c>
      <c r="J339" t="n">
        <v>0</v>
      </c>
      <c r="K339" t="n">
        <v>0</v>
      </c>
      <c r="L339" t="n">
        <v>0</v>
      </c>
      <c r="M339" t="n">
        <v>0</v>
      </c>
      <c r="N339" t="n">
        <v>0</v>
      </c>
      <c r="O339" t="n">
        <v>0</v>
      </c>
      <c r="P339" t="n">
        <v>0</v>
      </c>
      <c r="Q339" t="n">
        <v>0</v>
      </c>
      <c r="R339" s="2" t="inlineStr"/>
    </row>
    <row r="340" ht="15" customHeight="1">
      <c r="A340" t="inlineStr">
        <is>
          <t>A 63529-2019</t>
        </is>
      </c>
      <c r="B340" s="1" t="n">
        <v>43794</v>
      </c>
      <c r="C340" s="1" t="n">
        <v>45578</v>
      </c>
      <c r="D340" t="inlineStr">
        <is>
          <t>STOCKHOLMS LÄN</t>
        </is>
      </c>
      <c r="E340" t="inlineStr">
        <is>
          <t>NORRTÄLJE</t>
        </is>
      </c>
      <c r="G340" t="n">
        <v>0.4</v>
      </c>
      <c r="H340" t="n">
        <v>0</v>
      </c>
      <c r="I340" t="n">
        <v>0</v>
      </c>
      <c r="J340" t="n">
        <v>0</v>
      </c>
      <c r="K340" t="n">
        <v>0</v>
      </c>
      <c r="L340" t="n">
        <v>0</v>
      </c>
      <c r="M340" t="n">
        <v>0</v>
      </c>
      <c r="N340" t="n">
        <v>0</v>
      </c>
      <c r="O340" t="n">
        <v>0</v>
      </c>
      <c r="P340" t="n">
        <v>0</v>
      </c>
      <c r="Q340" t="n">
        <v>0</v>
      </c>
      <c r="R340" s="2" t="inlineStr"/>
    </row>
    <row r="341" ht="15" customHeight="1">
      <c r="A341" t="inlineStr">
        <is>
          <t>A 63495-2019</t>
        </is>
      </c>
      <c r="B341" s="1" t="n">
        <v>43794</v>
      </c>
      <c r="C341" s="1" t="n">
        <v>45578</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63504-2019</t>
        </is>
      </c>
      <c r="B342" s="1" t="n">
        <v>43794</v>
      </c>
      <c r="C342" s="1" t="n">
        <v>45578</v>
      </c>
      <c r="D342" t="inlineStr">
        <is>
          <t>STOCKHOLMS LÄN</t>
        </is>
      </c>
      <c r="E342" t="inlineStr">
        <is>
          <t>NORRTÄLJE</t>
        </is>
      </c>
      <c r="G342" t="n">
        <v>2.3</v>
      </c>
      <c r="H342" t="n">
        <v>0</v>
      </c>
      <c r="I342" t="n">
        <v>0</v>
      </c>
      <c r="J342" t="n">
        <v>0</v>
      </c>
      <c r="K342" t="n">
        <v>0</v>
      </c>
      <c r="L342" t="n">
        <v>0</v>
      </c>
      <c r="M342" t="n">
        <v>0</v>
      </c>
      <c r="N342" t="n">
        <v>0</v>
      </c>
      <c r="O342" t="n">
        <v>0</v>
      </c>
      <c r="P342" t="n">
        <v>0</v>
      </c>
      <c r="Q342" t="n">
        <v>0</v>
      </c>
      <c r="R342" s="2" t="inlineStr"/>
    </row>
    <row r="343" ht="15" customHeight="1">
      <c r="A343" t="inlineStr">
        <is>
          <t>A 63528-2019</t>
        </is>
      </c>
      <c r="B343" s="1" t="n">
        <v>43794</v>
      </c>
      <c r="C343" s="1" t="n">
        <v>45578</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63515-2019</t>
        </is>
      </c>
      <c r="B344" s="1" t="n">
        <v>43794</v>
      </c>
      <c r="C344" s="1" t="n">
        <v>45578</v>
      </c>
      <c r="D344" t="inlineStr">
        <is>
          <t>STOCKHOLMS LÄN</t>
        </is>
      </c>
      <c r="E344" t="inlineStr">
        <is>
          <t>NORRTÄLJE</t>
        </is>
      </c>
      <c r="G344" t="n">
        <v>7.1</v>
      </c>
      <c r="H344" t="n">
        <v>0</v>
      </c>
      <c r="I344" t="n">
        <v>0</v>
      </c>
      <c r="J344" t="n">
        <v>0</v>
      </c>
      <c r="K344" t="n">
        <v>0</v>
      </c>
      <c r="L344" t="n">
        <v>0</v>
      </c>
      <c r="M344" t="n">
        <v>0</v>
      </c>
      <c r="N344" t="n">
        <v>0</v>
      </c>
      <c r="O344" t="n">
        <v>0</v>
      </c>
      <c r="P344" t="n">
        <v>0</v>
      </c>
      <c r="Q344" t="n">
        <v>0</v>
      </c>
      <c r="R344" s="2" t="inlineStr"/>
    </row>
    <row r="345" ht="15" customHeight="1">
      <c r="A345" t="inlineStr">
        <is>
          <t>A 64293-2019</t>
        </is>
      </c>
      <c r="B345" s="1" t="n">
        <v>43797</v>
      </c>
      <c r="C345" s="1" t="n">
        <v>45578</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65640-2019</t>
        </is>
      </c>
      <c r="B346" s="1" t="n">
        <v>43804</v>
      </c>
      <c r="C346" s="1" t="n">
        <v>45578</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65998-2019</t>
        </is>
      </c>
      <c r="B347" s="1" t="n">
        <v>43805</v>
      </c>
      <c r="C347" s="1" t="n">
        <v>45578</v>
      </c>
      <c r="D347" t="inlineStr">
        <is>
          <t>STOCKHOLMS LÄN</t>
        </is>
      </c>
      <c r="E347" t="inlineStr">
        <is>
          <t>NORRTÄLJE</t>
        </is>
      </c>
      <c r="G347" t="n">
        <v>6.5</v>
      </c>
      <c r="H347" t="n">
        <v>0</v>
      </c>
      <c r="I347" t="n">
        <v>0</v>
      </c>
      <c r="J347" t="n">
        <v>0</v>
      </c>
      <c r="K347" t="n">
        <v>0</v>
      </c>
      <c r="L347" t="n">
        <v>0</v>
      </c>
      <c r="M347" t="n">
        <v>0</v>
      </c>
      <c r="N347" t="n">
        <v>0</v>
      </c>
      <c r="O347" t="n">
        <v>0</v>
      </c>
      <c r="P347" t="n">
        <v>0</v>
      </c>
      <c r="Q347" t="n">
        <v>0</v>
      </c>
      <c r="R347" s="2" t="inlineStr"/>
    </row>
    <row r="348" ht="15" customHeight="1">
      <c r="A348" t="inlineStr">
        <is>
          <t>A 66604-2019</t>
        </is>
      </c>
      <c r="B348" s="1" t="n">
        <v>43809</v>
      </c>
      <c r="C348" s="1" t="n">
        <v>45578</v>
      </c>
      <c r="D348" t="inlineStr">
        <is>
          <t>STOCKHOLMS LÄN</t>
        </is>
      </c>
      <c r="E348" t="inlineStr">
        <is>
          <t>NORRTÄLJE</t>
        </is>
      </c>
      <c r="G348" t="n">
        <v>2.3</v>
      </c>
      <c r="H348" t="n">
        <v>0</v>
      </c>
      <c r="I348" t="n">
        <v>0</v>
      </c>
      <c r="J348" t="n">
        <v>0</v>
      </c>
      <c r="K348" t="n">
        <v>0</v>
      </c>
      <c r="L348" t="n">
        <v>0</v>
      </c>
      <c r="M348" t="n">
        <v>0</v>
      </c>
      <c r="N348" t="n">
        <v>0</v>
      </c>
      <c r="O348" t="n">
        <v>0</v>
      </c>
      <c r="P348" t="n">
        <v>0</v>
      </c>
      <c r="Q348" t="n">
        <v>0</v>
      </c>
      <c r="R348" s="2" t="inlineStr"/>
    </row>
    <row r="349" ht="15" customHeight="1">
      <c r="A349" t="inlineStr">
        <is>
          <t>A 67158-2019</t>
        </is>
      </c>
      <c r="B349" s="1" t="n">
        <v>43811</v>
      </c>
      <c r="C349" s="1" t="n">
        <v>45578</v>
      </c>
      <c r="D349" t="inlineStr">
        <is>
          <t>STOCKHOLMS LÄN</t>
        </is>
      </c>
      <c r="E349" t="inlineStr">
        <is>
          <t>NORRTÄLJE</t>
        </is>
      </c>
      <c r="G349" t="n">
        <v>4.4</v>
      </c>
      <c r="H349" t="n">
        <v>0</v>
      </c>
      <c r="I349" t="n">
        <v>0</v>
      </c>
      <c r="J349" t="n">
        <v>0</v>
      </c>
      <c r="K349" t="n">
        <v>0</v>
      </c>
      <c r="L349" t="n">
        <v>0</v>
      </c>
      <c r="M349" t="n">
        <v>0</v>
      </c>
      <c r="N349" t="n">
        <v>0</v>
      </c>
      <c r="O349" t="n">
        <v>0</v>
      </c>
      <c r="P349" t="n">
        <v>0</v>
      </c>
      <c r="Q349" t="n">
        <v>0</v>
      </c>
      <c r="R349" s="2" t="inlineStr"/>
    </row>
    <row r="350" ht="15" customHeight="1">
      <c r="A350" t="inlineStr">
        <is>
          <t>A 67324-2019</t>
        </is>
      </c>
      <c r="B350" s="1" t="n">
        <v>43812</v>
      </c>
      <c r="C350" s="1" t="n">
        <v>45578</v>
      </c>
      <c r="D350" t="inlineStr">
        <is>
          <t>STOCKHOLMS LÄN</t>
        </is>
      </c>
      <c r="E350" t="inlineStr">
        <is>
          <t>NORRTÄLJE</t>
        </is>
      </c>
      <c r="G350" t="n">
        <v>7.7</v>
      </c>
      <c r="H350" t="n">
        <v>0</v>
      </c>
      <c r="I350" t="n">
        <v>0</v>
      </c>
      <c r="J350" t="n">
        <v>0</v>
      </c>
      <c r="K350" t="n">
        <v>0</v>
      </c>
      <c r="L350" t="n">
        <v>0</v>
      </c>
      <c r="M350" t="n">
        <v>0</v>
      </c>
      <c r="N350" t="n">
        <v>0</v>
      </c>
      <c r="O350" t="n">
        <v>0</v>
      </c>
      <c r="P350" t="n">
        <v>0</v>
      </c>
      <c r="Q350" t="n">
        <v>0</v>
      </c>
      <c r="R350" s="2" t="inlineStr"/>
    </row>
    <row r="351" ht="15" customHeight="1">
      <c r="A351" t="inlineStr">
        <is>
          <t>A 68865-2019</t>
        </is>
      </c>
      <c r="B351" s="1" t="n">
        <v>43821</v>
      </c>
      <c r="C351" s="1" t="n">
        <v>45578</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1099-2020</t>
        </is>
      </c>
      <c r="B352" s="1" t="n">
        <v>43822</v>
      </c>
      <c r="C352" s="1" t="n">
        <v>45578</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4475-2020</t>
        </is>
      </c>
      <c r="B353" s="1" t="n">
        <v>43849</v>
      </c>
      <c r="C353" s="1" t="n">
        <v>45578</v>
      </c>
      <c r="D353" t="inlineStr">
        <is>
          <t>STOCKHOLMS LÄN</t>
        </is>
      </c>
      <c r="E353" t="inlineStr">
        <is>
          <t>NORRTÄLJE</t>
        </is>
      </c>
      <c r="G353" t="n">
        <v>1.6</v>
      </c>
      <c r="H353" t="n">
        <v>0</v>
      </c>
      <c r="I353" t="n">
        <v>0</v>
      </c>
      <c r="J353" t="n">
        <v>0</v>
      </c>
      <c r="K353" t="n">
        <v>0</v>
      </c>
      <c r="L353" t="n">
        <v>0</v>
      </c>
      <c r="M353" t="n">
        <v>0</v>
      </c>
      <c r="N353" t="n">
        <v>0</v>
      </c>
      <c r="O353" t="n">
        <v>0</v>
      </c>
      <c r="P353" t="n">
        <v>0</v>
      </c>
      <c r="Q353" t="n">
        <v>0</v>
      </c>
      <c r="R353" s="2" t="inlineStr"/>
    </row>
    <row r="354" ht="15" customHeight="1">
      <c r="A354" t="inlineStr">
        <is>
          <t>A 3882-2020</t>
        </is>
      </c>
      <c r="B354" s="1" t="n">
        <v>43854</v>
      </c>
      <c r="C354" s="1" t="n">
        <v>45578</v>
      </c>
      <c r="D354" t="inlineStr">
        <is>
          <t>STOCKHOLMS LÄN</t>
        </is>
      </c>
      <c r="E354" t="inlineStr">
        <is>
          <t>NORRTÄLJE</t>
        </is>
      </c>
      <c r="G354" t="n">
        <v>5.9</v>
      </c>
      <c r="H354" t="n">
        <v>0</v>
      </c>
      <c r="I354" t="n">
        <v>0</v>
      </c>
      <c r="J354" t="n">
        <v>0</v>
      </c>
      <c r="K354" t="n">
        <v>0</v>
      </c>
      <c r="L354" t="n">
        <v>0</v>
      </c>
      <c r="M354" t="n">
        <v>0</v>
      </c>
      <c r="N354" t="n">
        <v>0</v>
      </c>
      <c r="O354" t="n">
        <v>0</v>
      </c>
      <c r="P354" t="n">
        <v>0</v>
      </c>
      <c r="Q354" t="n">
        <v>0</v>
      </c>
      <c r="R354" s="2" t="inlineStr"/>
    </row>
    <row r="355" ht="15" customHeight="1">
      <c r="A355" t="inlineStr">
        <is>
          <t>A 4094-2020</t>
        </is>
      </c>
      <c r="B355" s="1" t="n">
        <v>43857</v>
      </c>
      <c r="C355" s="1" t="n">
        <v>45578</v>
      </c>
      <c r="D355" t="inlineStr">
        <is>
          <t>STOCKHOLMS LÄN</t>
        </is>
      </c>
      <c r="E355" t="inlineStr">
        <is>
          <t>NORRTÄLJE</t>
        </is>
      </c>
      <c r="G355" t="n">
        <v>2.5</v>
      </c>
      <c r="H355" t="n">
        <v>0</v>
      </c>
      <c r="I355" t="n">
        <v>0</v>
      </c>
      <c r="J355" t="n">
        <v>0</v>
      </c>
      <c r="K355" t="n">
        <v>0</v>
      </c>
      <c r="L355" t="n">
        <v>0</v>
      </c>
      <c r="M355" t="n">
        <v>0</v>
      </c>
      <c r="N355" t="n">
        <v>0</v>
      </c>
      <c r="O355" t="n">
        <v>0</v>
      </c>
      <c r="P355" t="n">
        <v>0</v>
      </c>
      <c r="Q355" t="n">
        <v>0</v>
      </c>
      <c r="R355" s="2" t="inlineStr"/>
    </row>
    <row r="356" ht="15" customHeight="1">
      <c r="A356" t="inlineStr">
        <is>
          <t>A 4950-2020</t>
        </is>
      </c>
      <c r="B356" s="1" t="n">
        <v>43859</v>
      </c>
      <c r="C356" s="1" t="n">
        <v>45578</v>
      </c>
      <c r="D356" t="inlineStr">
        <is>
          <t>STOCKHOLMS LÄN</t>
        </is>
      </c>
      <c r="E356" t="inlineStr">
        <is>
          <t>NORRTÄLJE</t>
        </is>
      </c>
      <c r="G356" t="n">
        <v>0.4</v>
      </c>
      <c r="H356" t="n">
        <v>0</v>
      </c>
      <c r="I356" t="n">
        <v>0</v>
      </c>
      <c r="J356" t="n">
        <v>0</v>
      </c>
      <c r="K356" t="n">
        <v>0</v>
      </c>
      <c r="L356" t="n">
        <v>0</v>
      </c>
      <c r="M356" t="n">
        <v>0</v>
      </c>
      <c r="N356" t="n">
        <v>0</v>
      </c>
      <c r="O356" t="n">
        <v>0</v>
      </c>
      <c r="P356" t="n">
        <v>0</v>
      </c>
      <c r="Q356" t="n">
        <v>0</v>
      </c>
      <c r="R356" s="2" t="inlineStr"/>
    </row>
    <row r="357" ht="15" customHeight="1">
      <c r="A357" t="inlineStr">
        <is>
          <t>A 5084-2020</t>
        </is>
      </c>
      <c r="B357" s="1" t="n">
        <v>43859</v>
      </c>
      <c r="C357" s="1" t="n">
        <v>45578</v>
      </c>
      <c r="D357" t="inlineStr">
        <is>
          <t>STOCKHOLMS LÄN</t>
        </is>
      </c>
      <c r="E357" t="inlineStr">
        <is>
          <t>NORRTÄLJE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4952-2020</t>
        </is>
      </c>
      <c r="B358" s="1" t="n">
        <v>43859</v>
      </c>
      <c r="C358" s="1" t="n">
        <v>45578</v>
      </c>
      <c r="D358" t="inlineStr">
        <is>
          <t>STOCKHOLMS LÄN</t>
        </is>
      </c>
      <c r="E358" t="inlineStr">
        <is>
          <t>NORRTÄLJE</t>
        </is>
      </c>
      <c r="G358" t="n">
        <v>0.3</v>
      </c>
      <c r="H358" t="n">
        <v>0</v>
      </c>
      <c r="I358" t="n">
        <v>0</v>
      </c>
      <c r="J358" t="n">
        <v>0</v>
      </c>
      <c r="K358" t="n">
        <v>0</v>
      </c>
      <c r="L358" t="n">
        <v>0</v>
      </c>
      <c r="M358" t="n">
        <v>0</v>
      </c>
      <c r="N358" t="n">
        <v>0</v>
      </c>
      <c r="O358" t="n">
        <v>0</v>
      </c>
      <c r="P358" t="n">
        <v>0</v>
      </c>
      <c r="Q358" t="n">
        <v>0</v>
      </c>
      <c r="R358" s="2" t="inlineStr"/>
    </row>
    <row r="359" ht="15" customHeight="1">
      <c r="A359" t="inlineStr">
        <is>
          <t>A 5735-2020</t>
        </is>
      </c>
      <c r="B359" s="1" t="n">
        <v>43863</v>
      </c>
      <c r="C359" s="1" t="n">
        <v>45578</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5733-2020</t>
        </is>
      </c>
      <c r="B360" s="1" t="n">
        <v>43863</v>
      </c>
      <c r="C360" s="1" t="n">
        <v>45578</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5739-2020</t>
        </is>
      </c>
      <c r="B361" s="1" t="n">
        <v>43863</v>
      </c>
      <c r="C361" s="1" t="n">
        <v>45578</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7471-2020</t>
        </is>
      </c>
      <c r="B362" s="1" t="n">
        <v>43871</v>
      </c>
      <c r="C362" s="1" t="n">
        <v>45578</v>
      </c>
      <c r="D362" t="inlineStr">
        <is>
          <t>STOCKHOLMS LÄN</t>
        </is>
      </c>
      <c r="E362" t="inlineStr">
        <is>
          <t>NORRTÄLJE</t>
        </is>
      </c>
      <c r="G362" t="n">
        <v>7.8</v>
      </c>
      <c r="H362" t="n">
        <v>0</v>
      </c>
      <c r="I362" t="n">
        <v>0</v>
      </c>
      <c r="J362" t="n">
        <v>0</v>
      </c>
      <c r="K362" t="n">
        <v>0</v>
      </c>
      <c r="L362" t="n">
        <v>0</v>
      </c>
      <c r="M362" t="n">
        <v>0</v>
      </c>
      <c r="N362" t="n">
        <v>0</v>
      </c>
      <c r="O362" t="n">
        <v>0</v>
      </c>
      <c r="P362" t="n">
        <v>0</v>
      </c>
      <c r="Q362" t="n">
        <v>0</v>
      </c>
      <c r="R362" s="2" t="inlineStr"/>
    </row>
    <row r="363" ht="15" customHeight="1">
      <c r="A363" t="inlineStr">
        <is>
          <t>A 9845-2020</t>
        </is>
      </c>
      <c r="B363" s="1" t="n">
        <v>43881</v>
      </c>
      <c r="C363" s="1" t="n">
        <v>45578</v>
      </c>
      <c r="D363" t="inlineStr">
        <is>
          <t>STOCKHOLMS LÄN</t>
        </is>
      </c>
      <c r="E363" t="inlineStr">
        <is>
          <t>NORRTÄLJE</t>
        </is>
      </c>
      <c r="G363" t="n">
        <v>0.4</v>
      </c>
      <c r="H363" t="n">
        <v>0</v>
      </c>
      <c r="I363" t="n">
        <v>0</v>
      </c>
      <c r="J363" t="n">
        <v>0</v>
      </c>
      <c r="K363" t="n">
        <v>0</v>
      </c>
      <c r="L363" t="n">
        <v>0</v>
      </c>
      <c r="M363" t="n">
        <v>0</v>
      </c>
      <c r="N363" t="n">
        <v>0</v>
      </c>
      <c r="O363" t="n">
        <v>0</v>
      </c>
      <c r="P363" t="n">
        <v>0</v>
      </c>
      <c r="Q363" t="n">
        <v>0</v>
      </c>
      <c r="R363" s="2" t="inlineStr"/>
    </row>
    <row r="364" ht="15" customHeight="1">
      <c r="A364" t="inlineStr">
        <is>
          <t>A 10618-2020</t>
        </is>
      </c>
      <c r="B364" s="1" t="n">
        <v>43887</v>
      </c>
      <c r="C364" s="1" t="n">
        <v>45578</v>
      </c>
      <c r="D364" t="inlineStr">
        <is>
          <t>STOCKHOLMS LÄN</t>
        </is>
      </c>
      <c r="E364" t="inlineStr">
        <is>
          <t>NORRTÄLJE</t>
        </is>
      </c>
      <c r="G364" t="n">
        <v>0.5</v>
      </c>
      <c r="H364" t="n">
        <v>0</v>
      </c>
      <c r="I364" t="n">
        <v>0</v>
      </c>
      <c r="J364" t="n">
        <v>0</v>
      </c>
      <c r="K364" t="n">
        <v>0</v>
      </c>
      <c r="L364" t="n">
        <v>0</v>
      </c>
      <c r="M364" t="n">
        <v>0</v>
      </c>
      <c r="N364" t="n">
        <v>0</v>
      </c>
      <c r="O364" t="n">
        <v>0</v>
      </c>
      <c r="P364" t="n">
        <v>0</v>
      </c>
      <c r="Q364" t="n">
        <v>0</v>
      </c>
      <c r="R364" s="2" t="inlineStr"/>
    </row>
    <row r="365" ht="15" customHeight="1">
      <c r="A365" t="inlineStr">
        <is>
          <t>A 11184-2020</t>
        </is>
      </c>
      <c r="B365" s="1" t="n">
        <v>43892</v>
      </c>
      <c r="C365" s="1" t="n">
        <v>45578</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11576-2020</t>
        </is>
      </c>
      <c r="B366" s="1" t="n">
        <v>43893</v>
      </c>
      <c r="C366" s="1" t="n">
        <v>45578</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12113-2020</t>
        </is>
      </c>
      <c r="B367" s="1" t="n">
        <v>43895</v>
      </c>
      <c r="C367" s="1" t="n">
        <v>45578</v>
      </c>
      <c r="D367" t="inlineStr">
        <is>
          <t>STOCKHOLMS LÄN</t>
        </is>
      </c>
      <c r="E367" t="inlineStr">
        <is>
          <t>NORRTÄLJE</t>
        </is>
      </c>
      <c r="G367" t="n">
        <v>2.6</v>
      </c>
      <c r="H367" t="n">
        <v>0</v>
      </c>
      <c r="I367" t="n">
        <v>0</v>
      </c>
      <c r="J367" t="n">
        <v>0</v>
      </c>
      <c r="K367" t="n">
        <v>0</v>
      </c>
      <c r="L367" t="n">
        <v>0</v>
      </c>
      <c r="M367" t="n">
        <v>0</v>
      </c>
      <c r="N367" t="n">
        <v>0</v>
      </c>
      <c r="O367" t="n">
        <v>0</v>
      </c>
      <c r="P367" t="n">
        <v>0</v>
      </c>
      <c r="Q367" t="n">
        <v>0</v>
      </c>
      <c r="R367" s="2" t="inlineStr"/>
    </row>
    <row r="368" ht="15" customHeight="1">
      <c r="A368" t="inlineStr">
        <is>
          <t>A 12970-2020</t>
        </is>
      </c>
      <c r="B368" s="1" t="n">
        <v>43900</v>
      </c>
      <c r="C368" s="1" t="n">
        <v>45578</v>
      </c>
      <c r="D368" t="inlineStr">
        <is>
          <t>STOCKHOLMS LÄN</t>
        </is>
      </c>
      <c r="E368" t="inlineStr">
        <is>
          <t>NORRTÄLJE</t>
        </is>
      </c>
      <c r="F368" t="inlineStr">
        <is>
          <t>Kommuner</t>
        </is>
      </c>
      <c r="G368" t="n">
        <v>3</v>
      </c>
      <c r="H368" t="n">
        <v>0</v>
      </c>
      <c r="I368" t="n">
        <v>0</v>
      </c>
      <c r="J368" t="n">
        <v>0</v>
      </c>
      <c r="K368" t="n">
        <v>0</v>
      </c>
      <c r="L368" t="n">
        <v>0</v>
      </c>
      <c r="M368" t="n">
        <v>0</v>
      </c>
      <c r="N368" t="n">
        <v>0</v>
      </c>
      <c r="O368" t="n">
        <v>0</v>
      </c>
      <c r="P368" t="n">
        <v>0</v>
      </c>
      <c r="Q368" t="n">
        <v>0</v>
      </c>
      <c r="R368" s="2" t="inlineStr"/>
    </row>
    <row r="369" ht="15" customHeight="1">
      <c r="A369" t="inlineStr">
        <is>
          <t>A 13230-2020</t>
        </is>
      </c>
      <c r="B369" s="1" t="n">
        <v>43901</v>
      </c>
      <c r="C369" s="1" t="n">
        <v>45578</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13287-2020</t>
        </is>
      </c>
      <c r="B370" s="1" t="n">
        <v>43901</v>
      </c>
      <c r="C370" s="1" t="n">
        <v>45578</v>
      </c>
      <c r="D370" t="inlineStr">
        <is>
          <t>STOCKHOLMS LÄN</t>
        </is>
      </c>
      <c r="E370" t="inlineStr">
        <is>
          <t>NORRTÄLJE</t>
        </is>
      </c>
      <c r="F370" t="inlineStr">
        <is>
          <t>Kommuner</t>
        </is>
      </c>
      <c r="G370" t="n">
        <v>3.2</v>
      </c>
      <c r="H370" t="n">
        <v>0</v>
      </c>
      <c r="I370" t="n">
        <v>0</v>
      </c>
      <c r="J370" t="n">
        <v>0</v>
      </c>
      <c r="K370" t="n">
        <v>0</v>
      </c>
      <c r="L370" t="n">
        <v>0</v>
      </c>
      <c r="M370" t="n">
        <v>0</v>
      </c>
      <c r="N370" t="n">
        <v>0</v>
      </c>
      <c r="O370" t="n">
        <v>0</v>
      </c>
      <c r="P370" t="n">
        <v>0</v>
      </c>
      <c r="Q370" t="n">
        <v>0</v>
      </c>
      <c r="R370" s="2" t="inlineStr"/>
    </row>
    <row r="371" ht="15" customHeight="1">
      <c r="A371" t="inlineStr">
        <is>
          <t>A 13281-2020</t>
        </is>
      </c>
      <c r="B371" s="1" t="n">
        <v>43901</v>
      </c>
      <c r="C371" s="1" t="n">
        <v>45578</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13501-2020</t>
        </is>
      </c>
      <c r="B372" s="1" t="n">
        <v>43902</v>
      </c>
      <c r="C372" s="1" t="n">
        <v>45578</v>
      </c>
      <c r="D372" t="inlineStr">
        <is>
          <t>STOCKHOLMS LÄN</t>
        </is>
      </c>
      <c r="E372" t="inlineStr">
        <is>
          <t>NORRTÄLJE</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13506-2020</t>
        </is>
      </c>
      <c r="B373" s="1" t="n">
        <v>43902</v>
      </c>
      <c r="C373" s="1" t="n">
        <v>45578</v>
      </c>
      <c r="D373" t="inlineStr">
        <is>
          <t>STOCKHOLMS LÄN</t>
        </is>
      </c>
      <c r="E373" t="inlineStr">
        <is>
          <t>NORRTÄLJE</t>
        </is>
      </c>
      <c r="G373" t="n">
        <v>5.7</v>
      </c>
      <c r="H373" t="n">
        <v>0</v>
      </c>
      <c r="I373" t="n">
        <v>0</v>
      </c>
      <c r="J373" t="n">
        <v>0</v>
      </c>
      <c r="K373" t="n">
        <v>0</v>
      </c>
      <c r="L373" t="n">
        <v>0</v>
      </c>
      <c r="M373" t="n">
        <v>0</v>
      </c>
      <c r="N373" t="n">
        <v>0</v>
      </c>
      <c r="O373" t="n">
        <v>0</v>
      </c>
      <c r="P373" t="n">
        <v>0</v>
      </c>
      <c r="Q373" t="n">
        <v>0</v>
      </c>
      <c r="R373" s="2" t="inlineStr"/>
    </row>
    <row r="374" ht="15" customHeight="1">
      <c r="A374" t="inlineStr">
        <is>
          <t>A 14525-2020</t>
        </is>
      </c>
      <c r="B374" s="1" t="n">
        <v>43908</v>
      </c>
      <c r="C374" s="1" t="n">
        <v>45578</v>
      </c>
      <c r="D374" t="inlineStr">
        <is>
          <t>STOCKHOLMS LÄN</t>
        </is>
      </c>
      <c r="E374" t="inlineStr">
        <is>
          <t>NORRTÄLJE</t>
        </is>
      </c>
      <c r="G374" t="n">
        <v>10.2</v>
      </c>
      <c r="H374" t="n">
        <v>0</v>
      </c>
      <c r="I374" t="n">
        <v>0</v>
      </c>
      <c r="J374" t="n">
        <v>0</v>
      </c>
      <c r="K374" t="n">
        <v>0</v>
      </c>
      <c r="L374" t="n">
        <v>0</v>
      </c>
      <c r="M374" t="n">
        <v>0</v>
      </c>
      <c r="N374" t="n">
        <v>0</v>
      </c>
      <c r="O374" t="n">
        <v>0</v>
      </c>
      <c r="P374" t="n">
        <v>0</v>
      </c>
      <c r="Q374" t="n">
        <v>0</v>
      </c>
      <c r="R374" s="2" t="inlineStr"/>
    </row>
    <row r="375" ht="15" customHeight="1">
      <c r="A375" t="inlineStr">
        <is>
          <t>A 14565-2020</t>
        </is>
      </c>
      <c r="B375" s="1" t="n">
        <v>43908</v>
      </c>
      <c r="C375" s="1" t="n">
        <v>45578</v>
      </c>
      <c r="D375" t="inlineStr">
        <is>
          <t>STOCKHOLMS LÄN</t>
        </is>
      </c>
      <c r="E375" t="inlineStr">
        <is>
          <t>NORRTÄLJE</t>
        </is>
      </c>
      <c r="G375" t="n">
        <v>3.4</v>
      </c>
      <c r="H375" t="n">
        <v>0</v>
      </c>
      <c r="I375" t="n">
        <v>0</v>
      </c>
      <c r="J375" t="n">
        <v>0</v>
      </c>
      <c r="K375" t="n">
        <v>0</v>
      </c>
      <c r="L375" t="n">
        <v>0</v>
      </c>
      <c r="M375" t="n">
        <v>0</v>
      </c>
      <c r="N375" t="n">
        <v>0</v>
      </c>
      <c r="O375" t="n">
        <v>0</v>
      </c>
      <c r="P375" t="n">
        <v>0</v>
      </c>
      <c r="Q375" t="n">
        <v>0</v>
      </c>
      <c r="R375" s="2" t="inlineStr"/>
    </row>
    <row r="376" ht="15" customHeight="1">
      <c r="A376" t="inlineStr">
        <is>
          <t>A 14831-2020</t>
        </is>
      </c>
      <c r="B376" s="1" t="n">
        <v>43909</v>
      </c>
      <c r="C376" s="1" t="n">
        <v>45578</v>
      </c>
      <c r="D376" t="inlineStr">
        <is>
          <t>STOCKHOLMS LÄN</t>
        </is>
      </c>
      <c r="E376" t="inlineStr">
        <is>
          <t>NORRTÄLJE</t>
        </is>
      </c>
      <c r="G376" t="n">
        <v>11.4</v>
      </c>
      <c r="H376" t="n">
        <v>0</v>
      </c>
      <c r="I376" t="n">
        <v>0</v>
      </c>
      <c r="J376" t="n">
        <v>0</v>
      </c>
      <c r="K376" t="n">
        <v>0</v>
      </c>
      <c r="L376" t="n">
        <v>0</v>
      </c>
      <c r="M376" t="n">
        <v>0</v>
      </c>
      <c r="N376" t="n">
        <v>0</v>
      </c>
      <c r="O376" t="n">
        <v>0</v>
      </c>
      <c r="P376" t="n">
        <v>0</v>
      </c>
      <c r="Q376" t="n">
        <v>0</v>
      </c>
      <c r="R376" s="2" t="inlineStr"/>
    </row>
    <row r="377" ht="15" customHeight="1">
      <c r="A377" t="inlineStr">
        <is>
          <t>A 15663-2020</t>
        </is>
      </c>
      <c r="B377" s="1" t="n">
        <v>43915</v>
      </c>
      <c r="C377" s="1" t="n">
        <v>45578</v>
      </c>
      <c r="D377" t="inlineStr">
        <is>
          <t>STOCKHOLMS LÄN</t>
        </is>
      </c>
      <c r="E377" t="inlineStr">
        <is>
          <t>NORRTÄLJE</t>
        </is>
      </c>
      <c r="G377" t="n">
        <v>11.1</v>
      </c>
      <c r="H377" t="n">
        <v>0</v>
      </c>
      <c r="I377" t="n">
        <v>0</v>
      </c>
      <c r="J377" t="n">
        <v>0</v>
      </c>
      <c r="K377" t="n">
        <v>0</v>
      </c>
      <c r="L377" t="n">
        <v>0</v>
      </c>
      <c r="M377" t="n">
        <v>0</v>
      </c>
      <c r="N377" t="n">
        <v>0</v>
      </c>
      <c r="O377" t="n">
        <v>0</v>
      </c>
      <c r="P377" t="n">
        <v>0</v>
      </c>
      <c r="Q377" t="n">
        <v>0</v>
      </c>
      <c r="R377" s="2" t="inlineStr"/>
    </row>
    <row r="378" ht="15" customHeight="1">
      <c r="A378" t="inlineStr">
        <is>
          <t>A 16273-2020</t>
        </is>
      </c>
      <c r="B378" s="1" t="n">
        <v>43917</v>
      </c>
      <c r="C378" s="1" t="n">
        <v>45578</v>
      </c>
      <c r="D378" t="inlineStr">
        <is>
          <t>STOCKHOLMS LÄN</t>
        </is>
      </c>
      <c r="E378" t="inlineStr">
        <is>
          <t>NORRTÄLJE</t>
        </is>
      </c>
      <c r="G378" t="n">
        <v>1.4</v>
      </c>
      <c r="H378" t="n">
        <v>0</v>
      </c>
      <c r="I378" t="n">
        <v>0</v>
      </c>
      <c r="J378" t="n">
        <v>0</v>
      </c>
      <c r="K378" t="n">
        <v>0</v>
      </c>
      <c r="L378" t="n">
        <v>0</v>
      </c>
      <c r="M378" t="n">
        <v>0</v>
      </c>
      <c r="N378" t="n">
        <v>0</v>
      </c>
      <c r="O378" t="n">
        <v>0</v>
      </c>
      <c r="P378" t="n">
        <v>0</v>
      </c>
      <c r="Q378" t="n">
        <v>0</v>
      </c>
      <c r="R378" s="2" t="inlineStr"/>
    </row>
    <row r="379" ht="15" customHeight="1">
      <c r="A379" t="inlineStr">
        <is>
          <t>A 17965-2020</t>
        </is>
      </c>
      <c r="B379" s="1" t="n">
        <v>43925</v>
      </c>
      <c r="C379" s="1" t="n">
        <v>45578</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19258-2020</t>
        </is>
      </c>
      <c r="B380" s="1" t="n">
        <v>43937</v>
      </c>
      <c r="C380" s="1" t="n">
        <v>45578</v>
      </c>
      <c r="D380" t="inlineStr">
        <is>
          <t>STOCKHOLMS LÄN</t>
        </is>
      </c>
      <c r="E380" t="inlineStr">
        <is>
          <t>NORRTÄLJE</t>
        </is>
      </c>
      <c r="F380" t="inlineStr">
        <is>
          <t>Övriga statliga verk och myndigheter</t>
        </is>
      </c>
      <c r="G380" t="n">
        <v>2.9</v>
      </c>
      <c r="H380" t="n">
        <v>0</v>
      </c>
      <c r="I380" t="n">
        <v>0</v>
      </c>
      <c r="J380" t="n">
        <v>0</v>
      </c>
      <c r="K380" t="n">
        <v>0</v>
      </c>
      <c r="L380" t="n">
        <v>0</v>
      </c>
      <c r="M380" t="n">
        <v>0</v>
      </c>
      <c r="N380" t="n">
        <v>0</v>
      </c>
      <c r="O380" t="n">
        <v>0</v>
      </c>
      <c r="P380" t="n">
        <v>0</v>
      </c>
      <c r="Q380" t="n">
        <v>0</v>
      </c>
      <c r="R380" s="2" t="inlineStr"/>
    </row>
    <row r="381" ht="15" customHeight="1">
      <c r="A381" t="inlineStr">
        <is>
          <t>A 20257-2020</t>
        </is>
      </c>
      <c r="B381" s="1" t="n">
        <v>43944</v>
      </c>
      <c r="C381" s="1" t="n">
        <v>45578</v>
      </c>
      <c r="D381" t="inlineStr">
        <is>
          <t>STOCKHOLMS LÄN</t>
        </is>
      </c>
      <c r="E381" t="inlineStr">
        <is>
          <t>NORRTÄLJE</t>
        </is>
      </c>
      <c r="G381" t="n">
        <v>80.09999999999999</v>
      </c>
      <c r="H381" t="n">
        <v>0</v>
      </c>
      <c r="I381" t="n">
        <v>0</v>
      </c>
      <c r="J381" t="n">
        <v>0</v>
      </c>
      <c r="K381" t="n">
        <v>0</v>
      </c>
      <c r="L381" t="n">
        <v>0</v>
      </c>
      <c r="M381" t="n">
        <v>0</v>
      </c>
      <c r="N381" t="n">
        <v>0</v>
      </c>
      <c r="O381" t="n">
        <v>0</v>
      </c>
      <c r="P381" t="n">
        <v>0</v>
      </c>
      <c r="Q381" t="n">
        <v>0</v>
      </c>
      <c r="R381" s="2" t="inlineStr"/>
    </row>
    <row r="382" ht="15" customHeight="1">
      <c r="A382" t="inlineStr">
        <is>
          <t>A 21849-2020</t>
        </is>
      </c>
      <c r="B382" s="1" t="n">
        <v>43958</v>
      </c>
      <c r="C382" s="1" t="n">
        <v>45578</v>
      </c>
      <c r="D382" t="inlineStr">
        <is>
          <t>STOCKHOLMS LÄN</t>
        </is>
      </c>
      <c r="E382" t="inlineStr">
        <is>
          <t>NORRTÄLJE</t>
        </is>
      </c>
      <c r="G382" t="n">
        <v>2.1</v>
      </c>
      <c r="H382" t="n">
        <v>0</v>
      </c>
      <c r="I382" t="n">
        <v>0</v>
      </c>
      <c r="J382" t="n">
        <v>0</v>
      </c>
      <c r="K382" t="n">
        <v>0</v>
      </c>
      <c r="L382" t="n">
        <v>0</v>
      </c>
      <c r="M382" t="n">
        <v>0</v>
      </c>
      <c r="N382" t="n">
        <v>0</v>
      </c>
      <c r="O382" t="n">
        <v>0</v>
      </c>
      <c r="P382" t="n">
        <v>0</v>
      </c>
      <c r="Q382" t="n">
        <v>0</v>
      </c>
      <c r="R382" s="2" t="inlineStr"/>
    </row>
    <row r="383" ht="15" customHeight="1">
      <c r="A383" t="inlineStr">
        <is>
          <t>A 21875-2020</t>
        </is>
      </c>
      <c r="B383" s="1" t="n">
        <v>43958</v>
      </c>
      <c r="C383" s="1" t="n">
        <v>45578</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23751-2020</t>
        </is>
      </c>
      <c r="B384" s="1" t="n">
        <v>43970</v>
      </c>
      <c r="C384" s="1" t="n">
        <v>45578</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24136-2020</t>
        </is>
      </c>
      <c r="B385" s="1" t="n">
        <v>43973</v>
      </c>
      <c r="C385" s="1" t="n">
        <v>45578</v>
      </c>
      <c r="D385" t="inlineStr">
        <is>
          <t>STOCKHOLMS LÄN</t>
        </is>
      </c>
      <c r="E385" t="inlineStr">
        <is>
          <t>NORRTÄLJE</t>
        </is>
      </c>
      <c r="G385" t="n">
        <v>4.1</v>
      </c>
      <c r="H385" t="n">
        <v>0</v>
      </c>
      <c r="I385" t="n">
        <v>0</v>
      </c>
      <c r="J385" t="n">
        <v>0</v>
      </c>
      <c r="K385" t="n">
        <v>0</v>
      </c>
      <c r="L385" t="n">
        <v>0</v>
      </c>
      <c r="M385" t="n">
        <v>0</v>
      </c>
      <c r="N385" t="n">
        <v>0</v>
      </c>
      <c r="O385" t="n">
        <v>0</v>
      </c>
      <c r="P385" t="n">
        <v>0</v>
      </c>
      <c r="Q385" t="n">
        <v>0</v>
      </c>
      <c r="R385" s="2" t="inlineStr"/>
    </row>
    <row r="386" ht="15" customHeight="1">
      <c r="A386" t="inlineStr">
        <is>
          <t>A 25584-2020</t>
        </is>
      </c>
      <c r="B386" s="1" t="n">
        <v>43983</v>
      </c>
      <c r="C386" s="1" t="n">
        <v>45578</v>
      </c>
      <c r="D386" t="inlineStr">
        <is>
          <t>STOCKHOLMS LÄN</t>
        </is>
      </c>
      <c r="E386" t="inlineStr">
        <is>
          <t>NORRTÄLJE</t>
        </is>
      </c>
      <c r="G386" t="n">
        <v>2</v>
      </c>
      <c r="H386" t="n">
        <v>0</v>
      </c>
      <c r="I386" t="n">
        <v>0</v>
      </c>
      <c r="J386" t="n">
        <v>0</v>
      </c>
      <c r="K386" t="n">
        <v>0</v>
      </c>
      <c r="L386" t="n">
        <v>0</v>
      </c>
      <c r="M386" t="n">
        <v>0</v>
      </c>
      <c r="N386" t="n">
        <v>0</v>
      </c>
      <c r="O386" t="n">
        <v>0</v>
      </c>
      <c r="P386" t="n">
        <v>0</v>
      </c>
      <c r="Q386" t="n">
        <v>0</v>
      </c>
      <c r="R386" s="2" t="inlineStr"/>
    </row>
    <row r="387" ht="15" customHeight="1">
      <c r="A387" t="inlineStr">
        <is>
          <t>A 25589-2020</t>
        </is>
      </c>
      <c r="B387" s="1" t="n">
        <v>43983</v>
      </c>
      <c r="C387" s="1" t="n">
        <v>45578</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25897-2020</t>
        </is>
      </c>
      <c r="B388" s="1" t="n">
        <v>43984</v>
      </c>
      <c r="C388" s="1" t="n">
        <v>45578</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30600-2020</t>
        </is>
      </c>
      <c r="B389" s="1" t="n">
        <v>44008</v>
      </c>
      <c r="C389" s="1" t="n">
        <v>45578</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31783-2020</t>
        </is>
      </c>
      <c r="B390" s="1" t="n">
        <v>44014</v>
      </c>
      <c r="C390" s="1" t="n">
        <v>45578</v>
      </c>
      <c r="D390" t="inlineStr">
        <is>
          <t>STOCKHOLMS LÄN</t>
        </is>
      </c>
      <c r="E390" t="inlineStr">
        <is>
          <t>NORRTÄLJE</t>
        </is>
      </c>
      <c r="G390" t="n">
        <v>4.8</v>
      </c>
      <c r="H390" t="n">
        <v>0</v>
      </c>
      <c r="I390" t="n">
        <v>0</v>
      </c>
      <c r="J390" t="n">
        <v>0</v>
      </c>
      <c r="K390" t="n">
        <v>0</v>
      </c>
      <c r="L390" t="n">
        <v>0</v>
      </c>
      <c r="M390" t="n">
        <v>0</v>
      </c>
      <c r="N390" t="n">
        <v>0</v>
      </c>
      <c r="O390" t="n">
        <v>0</v>
      </c>
      <c r="P390" t="n">
        <v>0</v>
      </c>
      <c r="Q390" t="n">
        <v>0</v>
      </c>
      <c r="R390" s="2" t="inlineStr"/>
    </row>
    <row r="391" ht="15" customHeight="1">
      <c r="A391" t="inlineStr">
        <is>
          <t>A 33749-2020</t>
        </is>
      </c>
      <c r="B391" s="1" t="n">
        <v>44026</v>
      </c>
      <c r="C391" s="1" t="n">
        <v>45578</v>
      </c>
      <c r="D391" t="inlineStr">
        <is>
          <t>STOCKHOLMS LÄN</t>
        </is>
      </c>
      <c r="E391" t="inlineStr">
        <is>
          <t>NORRTÄLJE</t>
        </is>
      </c>
      <c r="F391" t="inlineStr">
        <is>
          <t>Holmen skog AB</t>
        </is>
      </c>
      <c r="G391" t="n">
        <v>0.5</v>
      </c>
      <c r="H391" t="n">
        <v>0</v>
      </c>
      <c r="I391" t="n">
        <v>0</v>
      </c>
      <c r="J391" t="n">
        <v>0</v>
      </c>
      <c r="K391" t="n">
        <v>0</v>
      </c>
      <c r="L391" t="n">
        <v>0</v>
      </c>
      <c r="M391" t="n">
        <v>0</v>
      </c>
      <c r="N391" t="n">
        <v>0</v>
      </c>
      <c r="O391" t="n">
        <v>0</v>
      </c>
      <c r="P391" t="n">
        <v>0</v>
      </c>
      <c r="Q391" t="n">
        <v>0</v>
      </c>
      <c r="R391" s="2" t="inlineStr"/>
    </row>
    <row r="392" ht="15" customHeight="1">
      <c r="A392" t="inlineStr">
        <is>
          <t>A 34651-2020</t>
        </is>
      </c>
      <c r="B392" s="1" t="n">
        <v>44034</v>
      </c>
      <c r="C392" s="1" t="n">
        <v>45578</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34650-2020</t>
        </is>
      </c>
      <c r="B393" s="1" t="n">
        <v>44034</v>
      </c>
      <c r="C393" s="1" t="n">
        <v>45578</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36314-2020</t>
        </is>
      </c>
      <c r="B394" s="1" t="n">
        <v>44049</v>
      </c>
      <c r="C394" s="1" t="n">
        <v>45578</v>
      </c>
      <c r="D394" t="inlineStr">
        <is>
          <t>STOCKHOLMS LÄN</t>
        </is>
      </c>
      <c r="E394" t="inlineStr">
        <is>
          <t>NORRTÄLJE</t>
        </is>
      </c>
      <c r="G394" t="n">
        <v>5</v>
      </c>
      <c r="H394" t="n">
        <v>0</v>
      </c>
      <c r="I394" t="n">
        <v>0</v>
      </c>
      <c r="J394" t="n">
        <v>0</v>
      </c>
      <c r="K394" t="n">
        <v>0</v>
      </c>
      <c r="L394" t="n">
        <v>0</v>
      </c>
      <c r="M394" t="n">
        <v>0</v>
      </c>
      <c r="N394" t="n">
        <v>0</v>
      </c>
      <c r="O394" t="n">
        <v>0</v>
      </c>
      <c r="P394" t="n">
        <v>0</v>
      </c>
      <c r="Q394" t="n">
        <v>0</v>
      </c>
      <c r="R394" s="2" t="inlineStr"/>
    </row>
    <row r="395" ht="15" customHeight="1">
      <c r="A395" t="inlineStr">
        <is>
          <t>A 36359-2020</t>
        </is>
      </c>
      <c r="B395" s="1" t="n">
        <v>44049</v>
      </c>
      <c r="C395" s="1" t="n">
        <v>45578</v>
      </c>
      <c r="D395" t="inlineStr">
        <is>
          <t>STOCKHOLMS LÄN</t>
        </is>
      </c>
      <c r="E395" t="inlineStr">
        <is>
          <t>NORRTÄLJE</t>
        </is>
      </c>
      <c r="G395" t="n">
        <v>6.5</v>
      </c>
      <c r="H395" t="n">
        <v>0</v>
      </c>
      <c r="I395" t="n">
        <v>0</v>
      </c>
      <c r="J395" t="n">
        <v>0</v>
      </c>
      <c r="K395" t="n">
        <v>0</v>
      </c>
      <c r="L395" t="n">
        <v>0</v>
      </c>
      <c r="M395" t="n">
        <v>0</v>
      </c>
      <c r="N395" t="n">
        <v>0</v>
      </c>
      <c r="O395" t="n">
        <v>0</v>
      </c>
      <c r="P395" t="n">
        <v>0</v>
      </c>
      <c r="Q395" t="n">
        <v>0</v>
      </c>
      <c r="R395" s="2" t="inlineStr"/>
    </row>
    <row r="396" ht="15" customHeight="1">
      <c r="A396" t="inlineStr">
        <is>
          <t>A 40837-2020</t>
        </is>
      </c>
      <c r="B396" s="1" t="n">
        <v>44067</v>
      </c>
      <c r="C396" s="1" t="n">
        <v>45578</v>
      </c>
      <c r="D396" t="inlineStr">
        <is>
          <t>STOCKHOLMS LÄN</t>
        </is>
      </c>
      <c r="E396" t="inlineStr">
        <is>
          <t>NORRTÄLJE</t>
        </is>
      </c>
      <c r="G396" t="n">
        <v>20.6</v>
      </c>
      <c r="H396" t="n">
        <v>0</v>
      </c>
      <c r="I396" t="n">
        <v>0</v>
      </c>
      <c r="J396" t="n">
        <v>0</v>
      </c>
      <c r="K396" t="n">
        <v>0</v>
      </c>
      <c r="L396" t="n">
        <v>0</v>
      </c>
      <c r="M396" t="n">
        <v>0</v>
      </c>
      <c r="N396" t="n">
        <v>0</v>
      </c>
      <c r="O396" t="n">
        <v>0</v>
      </c>
      <c r="P396" t="n">
        <v>0</v>
      </c>
      <c r="Q396" t="n">
        <v>0</v>
      </c>
      <c r="R396" s="2" t="inlineStr"/>
    </row>
    <row r="397" ht="15" customHeight="1">
      <c r="A397" t="inlineStr">
        <is>
          <t>A 40661-2020</t>
        </is>
      </c>
      <c r="B397" s="1" t="n">
        <v>44069</v>
      </c>
      <c r="C397" s="1" t="n">
        <v>45578</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42247-2020</t>
        </is>
      </c>
      <c r="B398" s="1" t="n">
        <v>44074</v>
      </c>
      <c r="C398" s="1" t="n">
        <v>45578</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42256-2020</t>
        </is>
      </c>
      <c r="B399" s="1" t="n">
        <v>44074</v>
      </c>
      <c r="C399" s="1" t="n">
        <v>45578</v>
      </c>
      <c r="D399" t="inlineStr">
        <is>
          <t>STOCKHOLMS LÄN</t>
        </is>
      </c>
      <c r="E399" t="inlineStr">
        <is>
          <t>NORRTÄLJE</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41694-2020</t>
        </is>
      </c>
      <c r="B400" s="1" t="n">
        <v>44074</v>
      </c>
      <c r="C400" s="1" t="n">
        <v>45578</v>
      </c>
      <c r="D400" t="inlineStr">
        <is>
          <t>STOCKHOLMS LÄN</t>
        </is>
      </c>
      <c r="E400" t="inlineStr">
        <is>
          <t>NORRTÄLJE</t>
        </is>
      </c>
      <c r="G400" t="n">
        <v>3</v>
      </c>
      <c r="H400" t="n">
        <v>0</v>
      </c>
      <c r="I400" t="n">
        <v>0</v>
      </c>
      <c r="J400" t="n">
        <v>0</v>
      </c>
      <c r="K400" t="n">
        <v>0</v>
      </c>
      <c r="L400" t="n">
        <v>0</v>
      </c>
      <c r="M400" t="n">
        <v>0</v>
      </c>
      <c r="N400" t="n">
        <v>0</v>
      </c>
      <c r="O400" t="n">
        <v>0</v>
      </c>
      <c r="P400" t="n">
        <v>0</v>
      </c>
      <c r="Q400" t="n">
        <v>0</v>
      </c>
      <c r="R400" s="2" t="inlineStr"/>
    </row>
    <row r="401" ht="15" customHeight="1">
      <c r="A401" t="inlineStr">
        <is>
          <t>A 42365-2020</t>
        </is>
      </c>
      <c r="B401" s="1" t="n">
        <v>44076</v>
      </c>
      <c r="C401" s="1" t="n">
        <v>45578</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42361-2020</t>
        </is>
      </c>
      <c r="B402" s="1" t="n">
        <v>44076</v>
      </c>
      <c r="C402" s="1" t="n">
        <v>45578</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42455-2020</t>
        </is>
      </c>
      <c r="B403" s="1" t="n">
        <v>44076</v>
      </c>
      <c r="C403" s="1" t="n">
        <v>45578</v>
      </c>
      <c r="D403" t="inlineStr">
        <is>
          <t>STOCKHOLMS LÄN</t>
        </is>
      </c>
      <c r="E403" t="inlineStr">
        <is>
          <t>NORRTÄLJE</t>
        </is>
      </c>
      <c r="G403" t="n">
        <v>1.9</v>
      </c>
      <c r="H403" t="n">
        <v>0</v>
      </c>
      <c r="I403" t="n">
        <v>0</v>
      </c>
      <c r="J403" t="n">
        <v>0</v>
      </c>
      <c r="K403" t="n">
        <v>0</v>
      </c>
      <c r="L403" t="n">
        <v>0</v>
      </c>
      <c r="M403" t="n">
        <v>0</v>
      </c>
      <c r="N403" t="n">
        <v>0</v>
      </c>
      <c r="O403" t="n">
        <v>0</v>
      </c>
      <c r="P403" t="n">
        <v>0</v>
      </c>
      <c r="Q403" t="n">
        <v>0</v>
      </c>
      <c r="R403" s="2" t="inlineStr"/>
    </row>
    <row r="404" ht="15" customHeight="1">
      <c r="A404" t="inlineStr">
        <is>
          <t>A 43751-2020</t>
        </is>
      </c>
      <c r="B404" s="1" t="n">
        <v>44082</v>
      </c>
      <c r="C404" s="1" t="n">
        <v>45578</v>
      </c>
      <c r="D404" t="inlineStr">
        <is>
          <t>STOCKHOLMS LÄN</t>
        </is>
      </c>
      <c r="E404" t="inlineStr">
        <is>
          <t>NORRTÄLJE</t>
        </is>
      </c>
      <c r="G404" t="n">
        <v>8</v>
      </c>
      <c r="H404" t="n">
        <v>0</v>
      </c>
      <c r="I404" t="n">
        <v>0</v>
      </c>
      <c r="J404" t="n">
        <v>0</v>
      </c>
      <c r="K404" t="n">
        <v>0</v>
      </c>
      <c r="L404" t="n">
        <v>0</v>
      </c>
      <c r="M404" t="n">
        <v>0</v>
      </c>
      <c r="N404" t="n">
        <v>0</v>
      </c>
      <c r="O404" t="n">
        <v>0</v>
      </c>
      <c r="P404" t="n">
        <v>0</v>
      </c>
      <c r="Q404" t="n">
        <v>0</v>
      </c>
      <c r="R404" s="2" t="inlineStr"/>
    </row>
    <row r="405" ht="15" customHeight="1">
      <c r="A405" t="inlineStr">
        <is>
          <t>A 44096-2020</t>
        </is>
      </c>
      <c r="B405" s="1" t="n">
        <v>44083</v>
      </c>
      <c r="C405" s="1" t="n">
        <v>45578</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44071-2020</t>
        </is>
      </c>
      <c r="B406" s="1" t="n">
        <v>44083</v>
      </c>
      <c r="C406" s="1" t="n">
        <v>45578</v>
      </c>
      <c r="D406" t="inlineStr">
        <is>
          <t>STOCKHOLMS LÄN</t>
        </is>
      </c>
      <c r="E406" t="inlineStr">
        <is>
          <t>NORRTÄLJE</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44183-2020</t>
        </is>
      </c>
      <c r="B407" s="1" t="n">
        <v>44083</v>
      </c>
      <c r="C407" s="1" t="n">
        <v>45578</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44792-2020</t>
        </is>
      </c>
      <c r="B408" s="1" t="n">
        <v>44085</v>
      </c>
      <c r="C408" s="1" t="n">
        <v>45578</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45988-2020</t>
        </is>
      </c>
      <c r="B409" s="1" t="n">
        <v>44091</v>
      </c>
      <c r="C409" s="1" t="n">
        <v>45578</v>
      </c>
      <c r="D409" t="inlineStr">
        <is>
          <t>STOCKHOLMS LÄN</t>
        </is>
      </c>
      <c r="E409" t="inlineStr">
        <is>
          <t>NORRTÄLJE</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46556-2020</t>
        </is>
      </c>
      <c r="B410" s="1" t="n">
        <v>44095</v>
      </c>
      <c r="C410" s="1" t="n">
        <v>45578</v>
      </c>
      <c r="D410" t="inlineStr">
        <is>
          <t>STOCKHOLMS LÄN</t>
        </is>
      </c>
      <c r="E410" t="inlineStr">
        <is>
          <t>NORRTÄLJE</t>
        </is>
      </c>
      <c r="F410" t="inlineStr">
        <is>
          <t>Holmen skog AB</t>
        </is>
      </c>
      <c r="G410" t="n">
        <v>2.1</v>
      </c>
      <c r="H410" t="n">
        <v>0</v>
      </c>
      <c r="I410" t="n">
        <v>0</v>
      </c>
      <c r="J410" t="n">
        <v>0</v>
      </c>
      <c r="K410" t="n">
        <v>0</v>
      </c>
      <c r="L410" t="n">
        <v>0</v>
      </c>
      <c r="M410" t="n">
        <v>0</v>
      </c>
      <c r="N410" t="n">
        <v>0</v>
      </c>
      <c r="O410" t="n">
        <v>0</v>
      </c>
      <c r="P410" t="n">
        <v>0</v>
      </c>
      <c r="Q410" t="n">
        <v>0</v>
      </c>
      <c r="R410" s="2" t="inlineStr"/>
    </row>
    <row r="411" ht="15" customHeight="1">
      <c r="A411" t="inlineStr">
        <is>
          <t>A 47291-2020</t>
        </is>
      </c>
      <c r="B411" s="1" t="n">
        <v>44097</v>
      </c>
      <c r="C411" s="1" t="n">
        <v>45578</v>
      </c>
      <c r="D411" t="inlineStr">
        <is>
          <t>STOCKHOLMS LÄN</t>
        </is>
      </c>
      <c r="E411" t="inlineStr">
        <is>
          <t>NORRTÄLJE</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48392-2020</t>
        </is>
      </c>
      <c r="B412" s="1" t="n">
        <v>44097</v>
      </c>
      <c r="C412" s="1" t="n">
        <v>45578</v>
      </c>
      <c r="D412" t="inlineStr">
        <is>
          <t>STOCKHOLMS LÄN</t>
        </is>
      </c>
      <c r="E412" t="inlineStr">
        <is>
          <t>NORRTÄLJE</t>
        </is>
      </c>
      <c r="G412" t="n">
        <v>12.5</v>
      </c>
      <c r="H412" t="n">
        <v>0</v>
      </c>
      <c r="I412" t="n">
        <v>0</v>
      </c>
      <c r="J412" t="n">
        <v>0</v>
      </c>
      <c r="K412" t="n">
        <v>0</v>
      </c>
      <c r="L412" t="n">
        <v>0</v>
      </c>
      <c r="M412" t="n">
        <v>0</v>
      </c>
      <c r="N412" t="n">
        <v>0</v>
      </c>
      <c r="O412" t="n">
        <v>0</v>
      </c>
      <c r="P412" t="n">
        <v>0</v>
      </c>
      <c r="Q412" t="n">
        <v>0</v>
      </c>
      <c r="R412" s="2" t="inlineStr"/>
    </row>
    <row r="413" ht="15" customHeight="1">
      <c r="A413" t="inlineStr">
        <is>
          <t>A 47869-2020</t>
        </is>
      </c>
      <c r="B413" s="1" t="n">
        <v>44098</v>
      </c>
      <c r="C413" s="1" t="n">
        <v>45578</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47868-2020</t>
        </is>
      </c>
      <c r="B414" s="1" t="n">
        <v>44098</v>
      </c>
      <c r="C414" s="1" t="n">
        <v>45578</v>
      </c>
      <c r="D414" t="inlineStr">
        <is>
          <t>STOCKHOLMS LÄN</t>
        </is>
      </c>
      <c r="E414" t="inlineStr">
        <is>
          <t>NORRTÄLJE</t>
        </is>
      </c>
      <c r="G414" t="n">
        <v>4.7</v>
      </c>
      <c r="H414" t="n">
        <v>0</v>
      </c>
      <c r="I414" t="n">
        <v>0</v>
      </c>
      <c r="J414" t="n">
        <v>0</v>
      </c>
      <c r="K414" t="n">
        <v>0</v>
      </c>
      <c r="L414" t="n">
        <v>0</v>
      </c>
      <c r="M414" t="n">
        <v>0</v>
      </c>
      <c r="N414" t="n">
        <v>0</v>
      </c>
      <c r="O414" t="n">
        <v>0</v>
      </c>
      <c r="P414" t="n">
        <v>0</v>
      </c>
      <c r="Q414" t="n">
        <v>0</v>
      </c>
      <c r="R414" s="2" t="inlineStr"/>
    </row>
    <row r="415" ht="15" customHeight="1">
      <c r="A415" t="inlineStr">
        <is>
          <t>A 48066-2020</t>
        </is>
      </c>
      <c r="B415" s="1" t="n">
        <v>44100</v>
      </c>
      <c r="C415" s="1" t="n">
        <v>45578</v>
      </c>
      <c r="D415" t="inlineStr">
        <is>
          <t>STOCKHOLMS LÄN</t>
        </is>
      </c>
      <c r="E415" t="inlineStr">
        <is>
          <t>NORRTÄLJE</t>
        </is>
      </c>
      <c r="G415" t="n">
        <v>3.7</v>
      </c>
      <c r="H415" t="n">
        <v>0</v>
      </c>
      <c r="I415" t="n">
        <v>0</v>
      </c>
      <c r="J415" t="n">
        <v>0</v>
      </c>
      <c r="K415" t="n">
        <v>0</v>
      </c>
      <c r="L415" t="n">
        <v>0</v>
      </c>
      <c r="M415" t="n">
        <v>0</v>
      </c>
      <c r="N415" t="n">
        <v>0</v>
      </c>
      <c r="O415" t="n">
        <v>0</v>
      </c>
      <c r="P415" t="n">
        <v>0</v>
      </c>
      <c r="Q415" t="n">
        <v>0</v>
      </c>
      <c r="R415" s="2" t="inlineStr"/>
    </row>
    <row r="416" ht="15" customHeight="1">
      <c r="A416" t="inlineStr">
        <is>
          <t>A 48071-2020</t>
        </is>
      </c>
      <c r="B416" s="1" t="n">
        <v>44100</v>
      </c>
      <c r="C416" s="1" t="n">
        <v>45578</v>
      </c>
      <c r="D416" t="inlineStr">
        <is>
          <t>STOCKHOLMS LÄN</t>
        </is>
      </c>
      <c r="E416" t="inlineStr">
        <is>
          <t>NORRTÄLJE</t>
        </is>
      </c>
      <c r="G416" t="n">
        <v>6.8</v>
      </c>
      <c r="H416" t="n">
        <v>0</v>
      </c>
      <c r="I416" t="n">
        <v>0</v>
      </c>
      <c r="J416" t="n">
        <v>0</v>
      </c>
      <c r="K416" t="n">
        <v>0</v>
      </c>
      <c r="L416" t="n">
        <v>0</v>
      </c>
      <c r="M416" t="n">
        <v>0</v>
      </c>
      <c r="N416" t="n">
        <v>0</v>
      </c>
      <c r="O416" t="n">
        <v>0</v>
      </c>
      <c r="P416" t="n">
        <v>0</v>
      </c>
      <c r="Q416" t="n">
        <v>0</v>
      </c>
      <c r="R416" s="2" t="inlineStr"/>
    </row>
    <row r="417" ht="15" customHeight="1">
      <c r="A417" t="inlineStr">
        <is>
          <t>A 48496-2020</t>
        </is>
      </c>
      <c r="B417" s="1" t="n">
        <v>44103</v>
      </c>
      <c r="C417" s="1" t="n">
        <v>45578</v>
      </c>
      <c r="D417" t="inlineStr">
        <is>
          <t>STOCKHOLMS LÄN</t>
        </is>
      </c>
      <c r="E417" t="inlineStr">
        <is>
          <t>NORRTÄLJE</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48522-2020</t>
        </is>
      </c>
      <c r="B418" s="1" t="n">
        <v>44103</v>
      </c>
      <c r="C418" s="1" t="n">
        <v>45578</v>
      </c>
      <c r="D418" t="inlineStr">
        <is>
          <t>STOCKHOLMS LÄN</t>
        </is>
      </c>
      <c r="E418" t="inlineStr">
        <is>
          <t>NORRTÄLJE</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49334-2020</t>
        </is>
      </c>
      <c r="B419" s="1" t="n">
        <v>44105</v>
      </c>
      <c r="C419" s="1" t="n">
        <v>45578</v>
      </c>
      <c r="D419" t="inlineStr">
        <is>
          <t>STOCKHOLMS LÄN</t>
        </is>
      </c>
      <c r="E419" t="inlineStr">
        <is>
          <t>NORRTÄLJE</t>
        </is>
      </c>
      <c r="G419" t="n">
        <v>1.5</v>
      </c>
      <c r="H419" t="n">
        <v>0</v>
      </c>
      <c r="I419" t="n">
        <v>0</v>
      </c>
      <c r="J419" t="n">
        <v>0</v>
      </c>
      <c r="K419" t="n">
        <v>0</v>
      </c>
      <c r="L419" t="n">
        <v>0</v>
      </c>
      <c r="M419" t="n">
        <v>0</v>
      </c>
      <c r="N419" t="n">
        <v>0</v>
      </c>
      <c r="O419" t="n">
        <v>0</v>
      </c>
      <c r="P419" t="n">
        <v>0</v>
      </c>
      <c r="Q419" t="n">
        <v>0</v>
      </c>
      <c r="R419" s="2" t="inlineStr"/>
    </row>
    <row r="420" ht="15" customHeight="1">
      <c r="A420" t="inlineStr">
        <is>
          <t>A 49327-2020</t>
        </is>
      </c>
      <c r="B420" s="1" t="n">
        <v>44105</v>
      </c>
      <c r="C420" s="1" t="n">
        <v>45578</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49898-2020</t>
        </is>
      </c>
      <c r="B421" s="1" t="n">
        <v>44108</v>
      </c>
      <c r="C421" s="1" t="n">
        <v>45578</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50497-2020</t>
        </is>
      </c>
      <c r="B422" s="1" t="n">
        <v>44110</v>
      </c>
      <c r="C422" s="1" t="n">
        <v>45578</v>
      </c>
      <c r="D422" t="inlineStr">
        <is>
          <t>STOCKHOLMS LÄN</t>
        </is>
      </c>
      <c r="E422" t="inlineStr">
        <is>
          <t>NORRTÄLJE</t>
        </is>
      </c>
      <c r="F422" t="inlineStr">
        <is>
          <t>Holmen skog AB</t>
        </is>
      </c>
      <c r="G422" t="n">
        <v>4.3</v>
      </c>
      <c r="H422" t="n">
        <v>0</v>
      </c>
      <c r="I422" t="n">
        <v>0</v>
      </c>
      <c r="J422" t="n">
        <v>0</v>
      </c>
      <c r="K422" t="n">
        <v>0</v>
      </c>
      <c r="L422" t="n">
        <v>0</v>
      </c>
      <c r="M422" t="n">
        <v>0</v>
      </c>
      <c r="N422" t="n">
        <v>0</v>
      </c>
      <c r="O422" t="n">
        <v>0</v>
      </c>
      <c r="P422" t="n">
        <v>0</v>
      </c>
      <c r="Q422" t="n">
        <v>0</v>
      </c>
      <c r="R422" s="2" t="inlineStr"/>
    </row>
    <row r="423" ht="15" customHeight="1">
      <c r="A423" t="inlineStr">
        <is>
          <t>A 50738-2020</t>
        </is>
      </c>
      <c r="B423" s="1" t="n">
        <v>44111</v>
      </c>
      <c r="C423" s="1" t="n">
        <v>45578</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50746-2020</t>
        </is>
      </c>
      <c r="B424" s="1" t="n">
        <v>44111</v>
      </c>
      <c r="C424" s="1" t="n">
        <v>45578</v>
      </c>
      <c r="D424" t="inlineStr">
        <is>
          <t>STOCKHOLMS LÄN</t>
        </is>
      </c>
      <c r="E424" t="inlineStr">
        <is>
          <t>NORRTÄLJE</t>
        </is>
      </c>
      <c r="G424" t="n">
        <v>4.9</v>
      </c>
      <c r="H424" t="n">
        <v>0</v>
      </c>
      <c r="I424" t="n">
        <v>0</v>
      </c>
      <c r="J424" t="n">
        <v>0</v>
      </c>
      <c r="K424" t="n">
        <v>0</v>
      </c>
      <c r="L424" t="n">
        <v>0</v>
      </c>
      <c r="M424" t="n">
        <v>0</v>
      </c>
      <c r="N424" t="n">
        <v>0</v>
      </c>
      <c r="O424" t="n">
        <v>0</v>
      </c>
      <c r="P424" t="n">
        <v>0</v>
      </c>
      <c r="Q424" t="n">
        <v>0</v>
      </c>
      <c r="R424" s="2" t="inlineStr"/>
    </row>
    <row r="425" ht="15" customHeight="1">
      <c r="A425" t="inlineStr">
        <is>
          <t>A 50742-2020</t>
        </is>
      </c>
      <c r="B425" s="1" t="n">
        <v>44111</v>
      </c>
      <c r="C425" s="1" t="n">
        <v>45578</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51720-2020</t>
        </is>
      </c>
      <c r="B426" s="1" t="n">
        <v>44113</v>
      </c>
      <c r="C426" s="1" t="n">
        <v>45578</v>
      </c>
      <c r="D426" t="inlineStr">
        <is>
          <t>STOCKHOLMS LÄN</t>
        </is>
      </c>
      <c r="E426" t="inlineStr">
        <is>
          <t>NORRTÄLJE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51787-2020</t>
        </is>
      </c>
      <c r="B427" s="1" t="n">
        <v>44116</v>
      </c>
      <c r="C427" s="1" t="n">
        <v>45578</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51798-2020</t>
        </is>
      </c>
      <c r="B428" s="1" t="n">
        <v>44116</v>
      </c>
      <c r="C428" s="1" t="n">
        <v>45578</v>
      </c>
      <c r="D428" t="inlineStr">
        <is>
          <t>STOCKHOLMS LÄN</t>
        </is>
      </c>
      <c r="E428" t="inlineStr">
        <is>
          <t>NORRTÄLJE</t>
        </is>
      </c>
      <c r="G428" t="n">
        <v>4.3</v>
      </c>
      <c r="H428" t="n">
        <v>0</v>
      </c>
      <c r="I428" t="n">
        <v>0</v>
      </c>
      <c r="J428" t="n">
        <v>0</v>
      </c>
      <c r="K428" t="n">
        <v>0</v>
      </c>
      <c r="L428" t="n">
        <v>0</v>
      </c>
      <c r="M428" t="n">
        <v>0</v>
      </c>
      <c r="N428" t="n">
        <v>0</v>
      </c>
      <c r="O428" t="n">
        <v>0</v>
      </c>
      <c r="P428" t="n">
        <v>0</v>
      </c>
      <c r="Q428" t="n">
        <v>0</v>
      </c>
      <c r="R428" s="2" t="inlineStr"/>
    </row>
    <row r="429" ht="15" customHeight="1">
      <c r="A429" t="inlineStr">
        <is>
          <t>A 53768-2020</t>
        </is>
      </c>
      <c r="B429" s="1" t="n">
        <v>44123</v>
      </c>
      <c r="C429" s="1" t="n">
        <v>45578</v>
      </c>
      <c r="D429" t="inlineStr">
        <is>
          <t>STOCKHOLMS LÄN</t>
        </is>
      </c>
      <c r="E429" t="inlineStr">
        <is>
          <t>NORRTÄLJE</t>
        </is>
      </c>
      <c r="F429" t="inlineStr">
        <is>
          <t>Kommuner</t>
        </is>
      </c>
      <c r="G429" t="n">
        <v>2.1</v>
      </c>
      <c r="H429" t="n">
        <v>0</v>
      </c>
      <c r="I429" t="n">
        <v>0</v>
      </c>
      <c r="J429" t="n">
        <v>0</v>
      </c>
      <c r="K429" t="n">
        <v>0</v>
      </c>
      <c r="L429" t="n">
        <v>0</v>
      </c>
      <c r="M429" t="n">
        <v>0</v>
      </c>
      <c r="N429" t="n">
        <v>0</v>
      </c>
      <c r="O429" t="n">
        <v>0</v>
      </c>
      <c r="P429" t="n">
        <v>0</v>
      </c>
      <c r="Q429" t="n">
        <v>0</v>
      </c>
      <c r="R429" s="2" t="inlineStr"/>
    </row>
    <row r="430" ht="15" customHeight="1">
      <c r="A430" t="inlineStr">
        <is>
          <t>A 53652-2020</t>
        </is>
      </c>
      <c r="B430" s="1" t="n">
        <v>44124</v>
      </c>
      <c r="C430" s="1" t="n">
        <v>45578</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53690-2020</t>
        </is>
      </c>
      <c r="B431" s="1" t="n">
        <v>44124</v>
      </c>
      <c r="C431" s="1" t="n">
        <v>45578</v>
      </c>
      <c r="D431" t="inlineStr">
        <is>
          <t>STOCKHOLMS LÄN</t>
        </is>
      </c>
      <c r="E431" t="inlineStr">
        <is>
          <t>NORRTÄLJE</t>
        </is>
      </c>
      <c r="G431" t="n">
        <v>0.5</v>
      </c>
      <c r="H431" t="n">
        <v>0</v>
      </c>
      <c r="I431" t="n">
        <v>0</v>
      </c>
      <c r="J431" t="n">
        <v>0</v>
      </c>
      <c r="K431" t="n">
        <v>0</v>
      </c>
      <c r="L431" t="n">
        <v>0</v>
      </c>
      <c r="M431" t="n">
        <v>0</v>
      </c>
      <c r="N431" t="n">
        <v>0</v>
      </c>
      <c r="O431" t="n">
        <v>0</v>
      </c>
      <c r="P431" t="n">
        <v>0</v>
      </c>
      <c r="Q431" t="n">
        <v>0</v>
      </c>
      <c r="R431" s="2" t="inlineStr"/>
    </row>
    <row r="432" ht="15" customHeight="1">
      <c r="A432" t="inlineStr">
        <is>
          <t>A 53607-2020</t>
        </is>
      </c>
      <c r="B432" s="1" t="n">
        <v>44124</v>
      </c>
      <c r="C432" s="1" t="n">
        <v>45578</v>
      </c>
      <c r="D432" t="inlineStr">
        <is>
          <t>STOCKHOLMS LÄN</t>
        </is>
      </c>
      <c r="E432" t="inlineStr">
        <is>
          <t>NORRTÄLJE</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55089-2020</t>
        </is>
      </c>
      <c r="B433" s="1" t="n">
        <v>44130</v>
      </c>
      <c r="C433" s="1" t="n">
        <v>45578</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55895-2020</t>
        </is>
      </c>
      <c r="B434" s="1" t="n">
        <v>44132</v>
      </c>
      <c r="C434" s="1" t="n">
        <v>45578</v>
      </c>
      <c r="D434" t="inlineStr">
        <is>
          <t>STOCKHOLMS LÄN</t>
        </is>
      </c>
      <c r="E434" t="inlineStr">
        <is>
          <t>NORRTÄLJE</t>
        </is>
      </c>
      <c r="G434" t="n">
        <v>0.8</v>
      </c>
      <c r="H434" t="n">
        <v>0</v>
      </c>
      <c r="I434" t="n">
        <v>0</v>
      </c>
      <c r="J434" t="n">
        <v>0</v>
      </c>
      <c r="K434" t="n">
        <v>0</v>
      </c>
      <c r="L434" t="n">
        <v>0</v>
      </c>
      <c r="M434" t="n">
        <v>0</v>
      </c>
      <c r="N434" t="n">
        <v>0</v>
      </c>
      <c r="O434" t="n">
        <v>0</v>
      </c>
      <c r="P434" t="n">
        <v>0</v>
      </c>
      <c r="Q434" t="n">
        <v>0</v>
      </c>
      <c r="R434" s="2" t="inlineStr"/>
    </row>
    <row r="435" ht="15" customHeight="1">
      <c r="A435" t="inlineStr">
        <is>
          <t>A 55890-2020</t>
        </is>
      </c>
      <c r="B435" s="1" t="n">
        <v>44132</v>
      </c>
      <c r="C435" s="1" t="n">
        <v>45578</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55982-2020</t>
        </is>
      </c>
      <c r="B436" s="1" t="n">
        <v>44132</v>
      </c>
      <c r="C436" s="1" t="n">
        <v>45578</v>
      </c>
      <c r="D436" t="inlineStr">
        <is>
          <t>STOCKHOLMS LÄN</t>
        </is>
      </c>
      <c r="E436" t="inlineStr">
        <is>
          <t>NORRTÄLJE</t>
        </is>
      </c>
      <c r="G436" t="n">
        <v>11.3</v>
      </c>
      <c r="H436" t="n">
        <v>0</v>
      </c>
      <c r="I436" t="n">
        <v>0</v>
      </c>
      <c r="J436" t="n">
        <v>0</v>
      </c>
      <c r="K436" t="n">
        <v>0</v>
      </c>
      <c r="L436" t="n">
        <v>0</v>
      </c>
      <c r="M436" t="n">
        <v>0</v>
      </c>
      <c r="N436" t="n">
        <v>0</v>
      </c>
      <c r="O436" t="n">
        <v>0</v>
      </c>
      <c r="P436" t="n">
        <v>0</v>
      </c>
      <c r="Q436" t="n">
        <v>0</v>
      </c>
      <c r="R436" s="2" t="inlineStr"/>
    </row>
    <row r="437" ht="15" customHeight="1">
      <c r="A437" t="inlineStr">
        <is>
          <t>A 56166-2020</t>
        </is>
      </c>
      <c r="B437" s="1" t="n">
        <v>44133</v>
      </c>
      <c r="C437" s="1" t="n">
        <v>45578</v>
      </c>
      <c r="D437" t="inlineStr">
        <is>
          <t>STOCKHOLMS LÄN</t>
        </is>
      </c>
      <c r="E437" t="inlineStr">
        <is>
          <t>NORRTÄLJE</t>
        </is>
      </c>
      <c r="G437" t="n">
        <v>4.4</v>
      </c>
      <c r="H437" t="n">
        <v>0</v>
      </c>
      <c r="I437" t="n">
        <v>0</v>
      </c>
      <c r="J437" t="n">
        <v>0</v>
      </c>
      <c r="K437" t="n">
        <v>0</v>
      </c>
      <c r="L437" t="n">
        <v>0</v>
      </c>
      <c r="M437" t="n">
        <v>0</v>
      </c>
      <c r="N437" t="n">
        <v>0</v>
      </c>
      <c r="O437" t="n">
        <v>0</v>
      </c>
      <c r="P437" t="n">
        <v>0</v>
      </c>
      <c r="Q437" t="n">
        <v>0</v>
      </c>
      <c r="R437" s="2" t="inlineStr"/>
    </row>
    <row r="438" ht="15" customHeight="1">
      <c r="A438" t="inlineStr">
        <is>
          <t>A 56323-2020</t>
        </is>
      </c>
      <c r="B438" s="1" t="n">
        <v>44134</v>
      </c>
      <c r="C438" s="1" t="n">
        <v>45578</v>
      </c>
      <c r="D438" t="inlineStr">
        <is>
          <t>STOCKHOLMS LÄN</t>
        </is>
      </c>
      <c r="E438" t="inlineStr">
        <is>
          <t>NORRTÄLJE</t>
        </is>
      </c>
      <c r="G438" t="n">
        <v>2.4</v>
      </c>
      <c r="H438" t="n">
        <v>0</v>
      </c>
      <c r="I438" t="n">
        <v>0</v>
      </c>
      <c r="J438" t="n">
        <v>0</v>
      </c>
      <c r="K438" t="n">
        <v>0</v>
      </c>
      <c r="L438" t="n">
        <v>0</v>
      </c>
      <c r="M438" t="n">
        <v>0</v>
      </c>
      <c r="N438" t="n">
        <v>0</v>
      </c>
      <c r="O438" t="n">
        <v>0</v>
      </c>
      <c r="P438" t="n">
        <v>0</v>
      </c>
      <c r="Q438" t="n">
        <v>0</v>
      </c>
      <c r="R438" s="2" t="inlineStr"/>
    </row>
    <row r="439" ht="15" customHeight="1">
      <c r="A439" t="inlineStr">
        <is>
          <t>A 57216-2020</t>
        </is>
      </c>
      <c r="B439" s="1" t="n">
        <v>44139</v>
      </c>
      <c r="C439" s="1" t="n">
        <v>45578</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57957-2020</t>
        </is>
      </c>
      <c r="B440" s="1" t="n">
        <v>44143</v>
      </c>
      <c r="C440" s="1" t="n">
        <v>45578</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57987-2020</t>
        </is>
      </c>
      <c r="B441" s="1" t="n">
        <v>44143</v>
      </c>
      <c r="C441" s="1" t="n">
        <v>45578</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58493-2020</t>
        </is>
      </c>
      <c r="B442" s="1" t="n">
        <v>44145</v>
      </c>
      <c r="C442" s="1" t="n">
        <v>45578</v>
      </c>
      <c r="D442" t="inlineStr">
        <is>
          <t>STOCKHOLMS LÄN</t>
        </is>
      </c>
      <c r="E442" t="inlineStr">
        <is>
          <t>NORRTÄLJE</t>
        </is>
      </c>
      <c r="G442" t="n">
        <v>2.8</v>
      </c>
      <c r="H442" t="n">
        <v>0</v>
      </c>
      <c r="I442" t="n">
        <v>0</v>
      </c>
      <c r="J442" t="n">
        <v>0</v>
      </c>
      <c r="K442" t="n">
        <v>0</v>
      </c>
      <c r="L442" t="n">
        <v>0</v>
      </c>
      <c r="M442" t="n">
        <v>0</v>
      </c>
      <c r="N442" t="n">
        <v>0</v>
      </c>
      <c r="O442" t="n">
        <v>0</v>
      </c>
      <c r="P442" t="n">
        <v>0</v>
      </c>
      <c r="Q442" t="n">
        <v>0</v>
      </c>
      <c r="R442" s="2" t="inlineStr"/>
    </row>
    <row r="443" ht="15" customHeight="1">
      <c r="A443" t="inlineStr">
        <is>
          <t>A 58661-2020</t>
        </is>
      </c>
      <c r="B443" s="1" t="n">
        <v>44145</v>
      </c>
      <c r="C443" s="1" t="n">
        <v>45578</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58665-2020</t>
        </is>
      </c>
      <c r="B444" s="1" t="n">
        <v>44145</v>
      </c>
      <c r="C444" s="1" t="n">
        <v>45578</v>
      </c>
      <c r="D444" t="inlineStr">
        <is>
          <t>STOCKHOLMS LÄN</t>
        </is>
      </c>
      <c r="E444" t="inlineStr">
        <is>
          <t>NORRTÄLJE</t>
        </is>
      </c>
      <c r="G444" t="n">
        <v>5.2</v>
      </c>
      <c r="H444" t="n">
        <v>0</v>
      </c>
      <c r="I444" t="n">
        <v>0</v>
      </c>
      <c r="J444" t="n">
        <v>0</v>
      </c>
      <c r="K444" t="n">
        <v>0</v>
      </c>
      <c r="L444" t="n">
        <v>0</v>
      </c>
      <c r="M444" t="n">
        <v>0</v>
      </c>
      <c r="N444" t="n">
        <v>0</v>
      </c>
      <c r="O444" t="n">
        <v>0</v>
      </c>
      <c r="P444" t="n">
        <v>0</v>
      </c>
      <c r="Q444" t="n">
        <v>0</v>
      </c>
      <c r="R444" s="2" t="inlineStr"/>
    </row>
    <row r="445" ht="15" customHeight="1">
      <c r="A445" t="inlineStr">
        <is>
          <t>A 58888-2020</t>
        </is>
      </c>
      <c r="B445" s="1" t="n">
        <v>44146</v>
      </c>
      <c r="C445" s="1" t="n">
        <v>45578</v>
      </c>
      <c r="D445" t="inlineStr">
        <is>
          <t>STOCKHOLMS LÄN</t>
        </is>
      </c>
      <c r="E445" t="inlineStr">
        <is>
          <t>NORRTÄLJE</t>
        </is>
      </c>
      <c r="G445" t="n">
        <v>1.9</v>
      </c>
      <c r="H445" t="n">
        <v>0</v>
      </c>
      <c r="I445" t="n">
        <v>0</v>
      </c>
      <c r="J445" t="n">
        <v>0</v>
      </c>
      <c r="K445" t="n">
        <v>0</v>
      </c>
      <c r="L445" t="n">
        <v>0</v>
      </c>
      <c r="M445" t="n">
        <v>0</v>
      </c>
      <c r="N445" t="n">
        <v>0</v>
      </c>
      <c r="O445" t="n">
        <v>0</v>
      </c>
      <c r="P445" t="n">
        <v>0</v>
      </c>
      <c r="Q445" t="n">
        <v>0</v>
      </c>
      <c r="R445" s="2" t="inlineStr"/>
    </row>
    <row r="446" ht="15" customHeight="1">
      <c r="A446" t="inlineStr">
        <is>
          <t>A 60321-2020</t>
        </is>
      </c>
      <c r="B446" s="1" t="n">
        <v>44152</v>
      </c>
      <c r="C446" s="1" t="n">
        <v>45578</v>
      </c>
      <c r="D446" t="inlineStr">
        <is>
          <t>STOCKHOLMS LÄN</t>
        </is>
      </c>
      <c r="E446" t="inlineStr">
        <is>
          <t>NORRTÄLJE</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60542-2020</t>
        </is>
      </c>
      <c r="B447" s="1" t="n">
        <v>44153</v>
      </c>
      <c r="C447" s="1" t="n">
        <v>45578</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60977-2020</t>
        </is>
      </c>
      <c r="B448" s="1" t="n">
        <v>44154</v>
      </c>
      <c r="C448" s="1" t="n">
        <v>45578</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60891-2020</t>
        </is>
      </c>
      <c r="B449" s="1" t="n">
        <v>44154</v>
      </c>
      <c r="C449" s="1" t="n">
        <v>45578</v>
      </c>
      <c r="D449" t="inlineStr">
        <is>
          <t>STOCKHOLMS LÄN</t>
        </is>
      </c>
      <c r="E449" t="inlineStr">
        <is>
          <t>NORRTÄLJE</t>
        </is>
      </c>
      <c r="G449" t="n">
        <v>1.8</v>
      </c>
      <c r="H449" t="n">
        <v>0</v>
      </c>
      <c r="I449" t="n">
        <v>0</v>
      </c>
      <c r="J449" t="n">
        <v>0</v>
      </c>
      <c r="K449" t="n">
        <v>0</v>
      </c>
      <c r="L449" t="n">
        <v>0</v>
      </c>
      <c r="M449" t="n">
        <v>0</v>
      </c>
      <c r="N449" t="n">
        <v>0</v>
      </c>
      <c r="O449" t="n">
        <v>0</v>
      </c>
      <c r="P449" t="n">
        <v>0</v>
      </c>
      <c r="Q449" t="n">
        <v>0</v>
      </c>
      <c r="R449" s="2" t="inlineStr"/>
    </row>
    <row r="450" ht="15" customHeight="1">
      <c r="A450" t="inlineStr">
        <is>
          <t>A 60961-2020</t>
        </is>
      </c>
      <c r="B450" s="1" t="n">
        <v>44154</v>
      </c>
      <c r="C450" s="1" t="n">
        <v>45578</v>
      </c>
      <c r="D450" t="inlineStr">
        <is>
          <t>STOCKHOLMS LÄN</t>
        </is>
      </c>
      <c r="E450" t="inlineStr">
        <is>
          <t>NORRTÄLJE</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61195-2020</t>
        </is>
      </c>
      <c r="B451" s="1" t="n">
        <v>44155</v>
      </c>
      <c r="C451" s="1" t="n">
        <v>45578</v>
      </c>
      <c r="D451" t="inlineStr">
        <is>
          <t>STOCKHOLMS LÄN</t>
        </is>
      </c>
      <c r="E451" t="inlineStr">
        <is>
          <t>NORRTÄLJE</t>
        </is>
      </c>
      <c r="G451" t="n">
        <v>7.8</v>
      </c>
      <c r="H451" t="n">
        <v>0</v>
      </c>
      <c r="I451" t="n">
        <v>0</v>
      </c>
      <c r="J451" t="n">
        <v>0</v>
      </c>
      <c r="K451" t="n">
        <v>0</v>
      </c>
      <c r="L451" t="n">
        <v>0</v>
      </c>
      <c r="M451" t="n">
        <v>0</v>
      </c>
      <c r="N451" t="n">
        <v>0</v>
      </c>
      <c r="O451" t="n">
        <v>0</v>
      </c>
      <c r="P451" t="n">
        <v>0</v>
      </c>
      <c r="Q451" t="n">
        <v>0</v>
      </c>
      <c r="R451" s="2" t="inlineStr"/>
    </row>
    <row r="452" ht="15" customHeight="1">
      <c r="A452" t="inlineStr">
        <is>
          <t>A 61221-2020</t>
        </is>
      </c>
      <c r="B452" s="1" t="n">
        <v>44155</v>
      </c>
      <c r="C452" s="1" t="n">
        <v>45578</v>
      </c>
      <c r="D452" t="inlineStr">
        <is>
          <t>STOCKHOLMS LÄN</t>
        </is>
      </c>
      <c r="E452" t="inlineStr">
        <is>
          <t>NORRTÄLJE</t>
        </is>
      </c>
      <c r="G452" t="n">
        <v>2.8</v>
      </c>
      <c r="H452" t="n">
        <v>0</v>
      </c>
      <c r="I452" t="n">
        <v>0</v>
      </c>
      <c r="J452" t="n">
        <v>0</v>
      </c>
      <c r="K452" t="n">
        <v>0</v>
      </c>
      <c r="L452" t="n">
        <v>0</v>
      </c>
      <c r="M452" t="n">
        <v>0</v>
      </c>
      <c r="N452" t="n">
        <v>0</v>
      </c>
      <c r="O452" t="n">
        <v>0</v>
      </c>
      <c r="P452" t="n">
        <v>0</v>
      </c>
      <c r="Q452" t="n">
        <v>0</v>
      </c>
      <c r="R452" s="2" t="inlineStr"/>
    </row>
    <row r="453" ht="15" customHeight="1">
      <c r="A453" t="inlineStr">
        <is>
          <t>A 61363-2020</t>
        </is>
      </c>
      <c r="B453" s="1" t="n">
        <v>44155</v>
      </c>
      <c r="C453" s="1" t="n">
        <v>45578</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61469-2020</t>
        </is>
      </c>
      <c r="B454" s="1" t="n">
        <v>44155</v>
      </c>
      <c r="C454" s="1" t="n">
        <v>45578</v>
      </c>
      <c r="D454" t="inlineStr">
        <is>
          <t>STOCKHOLMS LÄN</t>
        </is>
      </c>
      <c r="E454" t="inlineStr">
        <is>
          <t>NORRTÄLJE</t>
        </is>
      </c>
      <c r="F454" t="inlineStr">
        <is>
          <t>Övriga Aktiebolag</t>
        </is>
      </c>
      <c r="G454" t="n">
        <v>2.6</v>
      </c>
      <c r="H454" t="n">
        <v>0</v>
      </c>
      <c r="I454" t="n">
        <v>0</v>
      </c>
      <c r="J454" t="n">
        <v>0</v>
      </c>
      <c r="K454" t="n">
        <v>0</v>
      </c>
      <c r="L454" t="n">
        <v>0</v>
      </c>
      <c r="M454" t="n">
        <v>0</v>
      </c>
      <c r="N454" t="n">
        <v>0</v>
      </c>
      <c r="O454" t="n">
        <v>0</v>
      </c>
      <c r="P454" t="n">
        <v>0</v>
      </c>
      <c r="Q454" t="n">
        <v>0</v>
      </c>
      <c r="R454" s="2" t="inlineStr"/>
    </row>
    <row r="455" ht="15" customHeight="1">
      <c r="A455" t="inlineStr">
        <is>
          <t>A 61192-2020</t>
        </is>
      </c>
      <c r="B455" s="1" t="n">
        <v>44155</v>
      </c>
      <c r="C455" s="1" t="n">
        <v>45578</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62460-2020</t>
        </is>
      </c>
      <c r="B456" s="1" t="n">
        <v>44160</v>
      </c>
      <c r="C456" s="1" t="n">
        <v>45578</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62854-2020</t>
        </is>
      </c>
      <c r="B457" s="1" t="n">
        <v>44161</v>
      </c>
      <c r="C457" s="1" t="n">
        <v>45578</v>
      </c>
      <c r="D457" t="inlineStr">
        <is>
          <t>STOCKHOLMS LÄN</t>
        </is>
      </c>
      <c r="E457" t="inlineStr">
        <is>
          <t>NORRTÄLJE</t>
        </is>
      </c>
      <c r="G457" t="n">
        <v>4.7</v>
      </c>
      <c r="H457" t="n">
        <v>0</v>
      </c>
      <c r="I457" t="n">
        <v>0</v>
      </c>
      <c r="J457" t="n">
        <v>0</v>
      </c>
      <c r="K457" t="n">
        <v>0</v>
      </c>
      <c r="L457" t="n">
        <v>0</v>
      </c>
      <c r="M457" t="n">
        <v>0</v>
      </c>
      <c r="N457" t="n">
        <v>0</v>
      </c>
      <c r="O457" t="n">
        <v>0</v>
      </c>
      <c r="P457" t="n">
        <v>0</v>
      </c>
      <c r="Q457" t="n">
        <v>0</v>
      </c>
      <c r="R457" s="2" t="inlineStr"/>
    </row>
    <row r="458" ht="15" customHeight="1">
      <c r="A458" t="inlineStr">
        <is>
          <t>A 63824-2020</t>
        </is>
      </c>
      <c r="B458" s="1" t="n">
        <v>44162</v>
      </c>
      <c r="C458" s="1" t="n">
        <v>45578</v>
      </c>
      <c r="D458" t="inlineStr">
        <is>
          <t>STOCKHOLMS LÄN</t>
        </is>
      </c>
      <c r="E458" t="inlineStr">
        <is>
          <t>NORRTÄLJE</t>
        </is>
      </c>
      <c r="F458" t="inlineStr">
        <is>
          <t>Övriga Aktiebolag</t>
        </is>
      </c>
      <c r="G458" t="n">
        <v>1.9</v>
      </c>
      <c r="H458" t="n">
        <v>0</v>
      </c>
      <c r="I458" t="n">
        <v>0</v>
      </c>
      <c r="J458" t="n">
        <v>0</v>
      </c>
      <c r="K458" t="n">
        <v>0</v>
      </c>
      <c r="L458" t="n">
        <v>0</v>
      </c>
      <c r="M458" t="n">
        <v>0</v>
      </c>
      <c r="N458" t="n">
        <v>0</v>
      </c>
      <c r="O458" t="n">
        <v>0</v>
      </c>
      <c r="P458" t="n">
        <v>0</v>
      </c>
      <c r="Q458" t="n">
        <v>0</v>
      </c>
      <c r="R458" s="2" t="inlineStr"/>
    </row>
    <row r="459" ht="15" customHeight="1">
      <c r="A459" t="inlineStr">
        <is>
          <t>A 66372-2020</t>
        </is>
      </c>
      <c r="B459" s="1" t="n">
        <v>44176</v>
      </c>
      <c r="C459" s="1" t="n">
        <v>45578</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66907-2020</t>
        </is>
      </c>
      <c r="B460" s="1" t="n">
        <v>44176</v>
      </c>
      <c r="C460" s="1" t="n">
        <v>45578</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67393-2020</t>
        </is>
      </c>
      <c r="B461" s="1" t="n">
        <v>44181</v>
      </c>
      <c r="C461" s="1" t="n">
        <v>45578</v>
      </c>
      <c r="D461" t="inlineStr">
        <is>
          <t>STOCKHOLMS LÄN</t>
        </is>
      </c>
      <c r="E461" t="inlineStr">
        <is>
          <t>NORRTÄLJE</t>
        </is>
      </c>
      <c r="G461" t="n">
        <v>5.5</v>
      </c>
      <c r="H461" t="n">
        <v>0</v>
      </c>
      <c r="I461" t="n">
        <v>0</v>
      </c>
      <c r="J461" t="n">
        <v>0</v>
      </c>
      <c r="K461" t="n">
        <v>0</v>
      </c>
      <c r="L461" t="n">
        <v>0</v>
      </c>
      <c r="M461" t="n">
        <v>0</v>
      </c>
      <c r="N461" t="n">
        <v>0</v>
      </c>
      <c r="O461" t="n">
        <v>0</v>
      </c>
      <c r="P461" t="n">
        <v>0</v>
      </c>
      <c r="Q461" t="n">
        <v>0</v>
      </c>
      <c r="R461" s="2" t="inlineStr"/>
    </row>
    <row r="462" ht="15" customHeight="1">
      <c r="A462" t="inlineStr">
        <is>
          <t>A 68081-2020</t>
        </is>
      </c>
      <c r="B462" s="1" t="n">
        <v>44183</v>
      </c>
      <c r="C462" s="1" t="n">
        <v>45578</v>
      </c>
      <c r="D462" t="inlineStr">
        <is>
          <t>STOCKHOLMS LÄN</t>
        </is>
      </c>
      <c r="E462" t="inlineStr">
        <is>
          <t>NORRTÄLJE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367-2021</t>
        </is>
      </c>
      <c r="B463" s="1" t="n">
        <v>44201</v>
      </c>
      <c r="C463" s="1" t="n">
        <v>45578</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348-2021</t>
        </is>
      </c>
      <c r="B464" s="1" t="n">
        <v>44201</v>
      </c>
      <c r="C464" s="1" t="n">
        <v>45578</v>
      </c>
      <c r="D464" t="inlineStr">
        <is>
          <t>STOCKHOLMS LÄN</t>
        </is>
      </c>
      <c r="E464" t="inlineStr">
        <is>
          <t>NORRTÄLJE</t>
        </is>
      </c>
      <c r="G464" t="n">
        <v>0.1</v>
      </c>
      <c r="H464" t="n">
        <v>0</v>
      </c>
      <c r="I464" t="n">
        <v>0</v>
      </c>
      <c r="J464" t="n">
        <v>0</v>
      </c>
      <c r="K464" t="n">
        <v>0</v>
      </c>
      <c r="L464" t="n">
        <v>0</v>
      </c>
      <c r="M464" t="n">
        <v>0</v>
      </c>
      <c r="N464" t="n">
        <v>0</v>
      </c>
      <c r="O464" t="n">
        <v>0</v>
      </c>
      <c r="P464" t="n">
        <v>0</v>
      </c>
      <c r="Q464" t="n">
        <v>0</v>
      </c>
      <c r="R464" s="2" t="inlineStr"/>
    </row>
    <row r="465" ht="15" customHeight="1">
      <c r="A465" t="inlineStr">
        <is>
          <t>A 1637-2021</t>
        </is>
      </c>
      <c r="B465" s="1" t="n">
        <v>44209</v>
      </c>
      <c r="C465" s="1" t="n">
        <v>45578</v>
      </c>
      <c r="D465" t="inlineStr">
        <is>
          <t>STOCKHOLMS LÄN</t>
        </is>
      </c>
      <c r="E465" t="inlineStr">
        <is>
          <t>NORRTÄLJE</t>
        </is>
      </c>
      <c r="G465" t="n">
        <v>1.6</v>
      </c>
      <c r="H465" t="n">
        <v>0</v>
      </c>
      <c r="I465" t="n">
        <v>0</v>
      </c>
      <c r="J465" t="n">
        <v>0</v>
      </c>
      <c r="K465" t="n">
        <v>0</v>
      </c>
      <c r="L465" t="n">
        <v>0</v>
      </c>
      <c r="M465" t="n">
        <v>0</v>
      </c>
      <c r="N465" t="n">
        <v>0</v>
      </c>
      <c r="O465" t="n">
        <v>0</v>
      </c>
      <c r="P465" t="n">
        <v>0</v>
      </c>
      <c r="Q465" t="n">
        <v>0</v>
      </c>
      <c r="R465" s="2" t="inlineStr"/>
    </row>
    <row r="466" ht="15" customHeight="1">
      <c r="A466" t="inlineStr">
        <is>
          <t>A 1970-2021</t>
        </is>
      </c>
      <c r="B466" s="1" t="n">
        <v>44210</v>
      </c>
      <c r="C466" s="1" t="n">
        <v>45578</v>
      </c>
      <c r="D466" t="inlineStr">
        <is>
          <t>STOCKHOLMS LÄN</t>
        </is>
      </c>
      <c r="E466" t="inlineStr">
        <is>
          <t>NORRTÄLJE</t>
        </is>
      </c>
      <c r="G466" t="n">
        <v>3.1</v>
      </c>
      <c r="H466" t="n">
        <v>0</v>
      </c>
      <c r="I466" t="n">
        <v>0</v>
      </c>
      <c r="J466" t="n">
        <v>0</v>
      </c>
      <c r="K466" t="n">
        <v>0</v>
      </c>
      <c r="L466" t="n">
        <v>0</v>
      </c>
      <c r="M466" t="n">
        <v>0</v>
      </c>
      <c r="N466" t="n">
        <v>0</v>
      </c>
      <c r="O466" t="n">
        <v>0</v>
      </c>
      <c r="P466" t="n">
        <v>0</v>
      </c>
      <c r="Q466" t="n">
        <v>0</v>
      </c>
      <c r="R466" s="2" t="inlineStr"/>
    </row>
    <row r="467" ht="15" customHeight="1">
      <c r="A467" t="inlineStr">
        <is>
          <t>A 2447-2021</t>
        </is>
      </c>
      <c r="B467" s="1" t="n">
        <v>44214</v>
      </c>
      <c r="C467" s="1" t="n">
        <v>45578</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2976-2021</t>
        </is>
      </c>
      <c r="B468" s="1" t="n">
        <v>44216</v>
      </c>
      <c r="C468" s="1" t="n">
        <v>45578</v>
      </c>
      <c r="D468" t="inlineStr">
        <is>
          <t>STOCKHOLMS LÄN</t>
        </is>
      </c>
      <c r="E468" t="inlineStr">
        <is>
          <t>NORRTÄLJE</t>
        </is>
      </c>
      <c r="G468" t="n">
        <v>0.8</v>
      </c>
      <c r="H468" t="n">
        <v>0</v>
      </c>
      <c r="I468" t="n">
        <v>0</v>
      </c>
      <c r="J468" t="n">
        <v>0</v>
      </c>
      <c r="K468" t="n">
        <v>0</v>
      </c>
      <c r="L468" t="n">
        <v>0</v>
      </c>
      <c r="M468" t="n">
        <v>0</v>
      </c>
      <c r="N468" t="n">
        <v>0</v>
      </c>
      <c r="O468" t="n">
        <v>0</v>
      </c>
      <c r="P468" t="n">
        <v>0</v>
      </c>
      <c r="Q468" t="n">
        <v>0</v>
      </c>
      <c r="R468" s="2" t="inlineStr"/>
    </row>
    <row r="469" ht="15" customHeight="1">
      <c r="A469" t="inlineStr">
        <is>
          <t>A 3143-2021</t>
        </is>
      </c>
      <c r="B469" s="1" t="n">
        <v>44217</v>
      </c>
      <c r="C469" s="1" t="n">
        <v>45578</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3386-2021</t>
        </is>
      </c>
      <c r="B470" s="1" t="n">
        <v>44218</v>
      </c>
      <c r="C470" s="1" t="n">
        <v>45578</v>
      </c>
      <c r="D470" t="inlineStr">
        <is>
          <t>STOCKHOLMS LÄN</t>
        </is>
      </c>
      <c r="E470" t="inlineStr">
        <is>
          <t>NORRTÄLJE</t>
        </is>
      </c>
      <c r="G470" t="n">
        <v>8</v>
      </c>
      <c r="H470" t="n">
        <v>0</v>
      </c>
      <c r="I470" t="n">
        <v>0</v>
      </c>
      <c r="J470" t="n">
        <v>0</v>
      </c>
      <c r="K470" t="n">
        <v>0</v>
      </c>
      <c r="L470" t="n">
        <v>0</v>
      </c>
      <c r="M470" t="n">
        <v>0</v>
      </c>
      <c r="N470" t="n">
        <v>0</v>
      </c>
      <c r="O470" t="n">
        <v>0</v>
      </c>
      <c r="P470" t="n">
        <v>0</v>
      </c>
      <c r="Q470" t="n">
        <v>0</v>
      </c>
      <c r="R470" s="2" t="inlineStr"/>
    </row>
    <row r="471" ht="15" customHeight="1">
      <c r="A471" t="inlineStr">
        <is>
          <t>A 4634-2021</t>
        </is>
      </c>
      <c r="B471" s="1" t="n">
        <v>44224</v>
      </c>
      <c r="C471" s="1" t="n">
        <v>45578</v>
      </c>
      <c r="D471" t="inlineStr">
        <is>
          <t>STOCKHOLMS LÄN</t>
        </is>
      </c>
      <c r="E471" t="inlineStr">
        <is>
          <t>NORRTÄLJE</t>
        </is>
      </c>
      <c r="G471" t="n">
        <v>3.7</v>
      </c>
      <c r="H471" t="n">
        <v>0</v>
      </c>
      <c r="I471" t="n">
        <v>0</v>
      </c>
      <c r="J471" t="n">
        <v>0</v>
      </c>
      <c r="K471" t="n">
        <v>0</v>
      </c>
      <c r="L471" t="n">
        <v>0</v>
      </c>
      <c r="M471" t="n">
        <v>0</v>
      </c>
      <c r="N471" t="n">
        <v>0</v>
      </c>
      <c r="O471" t="n">
        <v>0</v>
      </c>
      <c r="P471" t="n">
        <v>0</v>
      </c>
      <c r="Q471" t="n">
        <v>0</v>
      </c>
      <c r="R471" s="2" t="inlineStr"/>
    </row>
    <row r="472" ht="15" customHeight="1">
      <c r="A472" t="inlineStr">
        <is>
          <t>A 4632-2021</t>
        </is>
      </c>
      <c r="B472" s="1" t="n">
        <v>44224</v>
      </c>
      <c r="C472" s="1" t="n">
        <v>45578</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5037-2021</t>
        </is>
      </c>
      <c r="B473" s="1" t="n">
        <v>44228</v>
      </c>
      <c r="C473" s="1" t="n">
        <v>45578</v>
      </c>
      <c r="D473" t="inlineStr">
        <is>
          <t>STOCKHOLMS LÄN</t>
        </is>
      </c>
      <c r="E473" t="inlineStr">
        <is>
          <t>NORRTÄLJE</t>
        </is>
      </c>
      <c r="F473" t="inlineStr">
        <is>
          <t>Holmen skog AB</t>
        </is>
      </c>
      <c r="G473" t="n">
        <v>3.8</v>
      </c>
      <c r="H473" t="n">
        <v>0</v>
      </c>
      <c r="I473" t="n">
        <v>0</v>
      </c>
      <c r="J473" t="n">
        <v>0</v>
      </c>
      <c r="K473" t="n">
        <v>0</v>
      </c>
      <c r="L473" t="n">
        <v>0</v>
      </c>
      <c r="M473" t="n">
        <v>0</v>
      </c>
      <c r="N473" t="n">
        <v>0</v>
      </c>
      <c r="O473" t="n">
        <v>0</v>
      </c>
      <c r="P473" t="n">
        <v>0</v>
      </c>
      <c r="Q473" t="n">
        <v>0</v>
      </c>
      <c r="R473" s="2" t="inlineStr"/>
    </row>
    <row r="474" ht="15" customHeight="1">
      <c r="A474" t="inlineStr">
        <is>
          <t>A 5562-2021</t>
        </is>
      </c>
      <c r="B474" s="1" t="n">
        <v>44230</v>
      </c>
      <c r="C474" s="1" t="n">
        <v>45578</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5566-2021</t>
        </is>
      </c>
      <c r="B475" s="1" t="n">
        <v>44230</v>
      </c>
      <c r="C475" s="1" t="n">
        <v>45578</v>
      </c>
      <c r="D475" t="inlineStr">
        <is>
          <t>STOCKHOLMS LÄN</t>
        </is>
      </c>
      <c r="E475" t="inlineStr">
        <is>
          <t>NORRTÄLJE</t>
        </is>
      </c>
      <c r="G475" t="n">
        <v>3.1</v>
      </c>
      <c r="H475" t="n">
        <v>0</v>
      </c>
      <c r="I475" t="n">
        <v>0</v>
      </c>
      <c r="J475" t="n">
        <v>0</v>
      </c>
      <c r="K475" t="n">
        <v>0</v>
      </c>
      <c r="L475" t="n">
        <v>0</v>
      </c>
      <c r="M475" t="n">
        <v>0</v>
      </c>
      <c r="N475" t="n">
        <v>0</v>
      </c>
      <c r="O475" t="n">
        <v>0</v>
      </c>
      <c r="P475" t="n">
        <v>0</v>
      </c>
      <c r="Q475" t="n">
        <v>0</v>
      </c>
      <c r="R475" s="2" t="inlineStr"/>
    </row>
    <row r="476" ht="15" customHeight="1">
      <c r="A476" t="inlineStr">
        <is>
          <t>A 5950-2021</t>
        </is>
      </c>
      <c r="B476" s="1" t="n">
        <v>44231</v>
      </c>
      <c r="C476" s="1" t="n">
        <v>45578</v>
      </c>
      <c r="D476" t="inlineStr">
        <is>
          <t>STOCKHOLMS LÄN</t>
        </is>
      </c>
      <c r="E476" t="inlineStr">
        <is>
          <t>NORRTÄLJE</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6049-2021</t>
        </is>
      </c>
      <c r="B477" s="1" t="n">
        <v>44231</v>
      </c>
      <c r="C477" s="1" t="n">
        <v>45578</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7903-2021</t>
        </is>
      </c>
      <c r="B478" s="1" t="n">
        <v>44243</v>
      </c>
      <c r="C478" s="1" t="n">
        <v>45578</v>
      </c>
      <c r="D478" t="inlineStr">
        <is>
          <t>STOCKHOLMS LÄN</t>
        </is>
      </c>
      <c r="E478" t="inlineStr">
        <is>
          <t>NORRTÄLJE</t>
        </is>
      </c>
      <c r="G478" t="n">
        <v>3.5</v>
      </c>
      <c r="H478" t="n">
        <v>0</v>
      </c>
      <c r="I478" t="n">
        <v>0</v>
      </c>
      <c r="J478" t="n">
        <v>0</v>
      </c>
      <c r="K478" t="n">
        <v>0</v>
      </c>
      <c r="L478" t="n">
        <v>0</v>
      </c>
      <c r="M478" t="n">
        <v>0</v>
      </c>
      <c r="N478" t="n">
        <v>0</v>
      </c>
      <c r="O478" t="n">
        <v>0</v>
      </c>
      <c r="P478" t="n">
        <v>0</v>
      </c>
      <c r="Q478" t="n">
        <v>0</v>
      </c>
      <c r="R478" s="2" t="inlineStr"/>
    </row>
    <row r="479" ht="15" customHeight="1">
      <c r="A479" t="inlineStr">
        <is>
          <t>A 7999-2021</t>
        </is>
      </c>
      <c r="B479" s="1" t="n">
        <v>44243</v>
      </c>
      <c r="C479" s="1" t="n">
        <v>45578</v>
      </c>
      <c r="D479" t="inlineStr">
        <is>
          <t>STOCKHOLMS LÄN</t>
        </is>
      </c>
      <c r="E479" t="inlineStr">
        <is>
          <t>NORRTÄLJE</t>
        </is>
      </c>
      <c r="G479" t="n">
        <v>6.8</v>
      </c>
      <c r="H479" t="n">
        <v>0</v>
      </c>
      <c r="I479" t="n">
        <v>0</v>
      </c>
      <c r="J479" t="n">
        <v>0</v>
      </c>
      <c r="K479" t="n">
        <v>0</v>
      </c>
      <c r="L479" t="n">
        <v>0</v>
      </c>
      <c r="M479" t="n">
        <v>0</v>
      </c>
      <c r="N479" t="n">
        <v>0</v>
      </c>
      <c r="O479" t="n">
        <v>0</v>
      </c>
      <c r="P479" t="n">
        <v>0</v>
      </c>
      <c r="Q479" t="n">
        <v>0</v>
      </c>
      <c r="R479" s="2" t="inlineStr"/>
    </row>
    <row r="480" ht="15" customHeight="1">
      <c r="A480" t="inlineStr">
        <is>
          <t>A 8338-2021</t>
        </is>
      </c>
      <c r="B480" s="1" t="n">
        <v>44244</v>
      </c>
      <c r="C480" s="1" t="n">
        <v>45578</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9467-2021</t>
        </is>
      </c>
      <c r="B481" s="1" t="n">
        <v>44251</v>
      </c>
      <c r="C481" s="1" t="n">
        <v>45578</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9469-2021</t>
        </is>
      </c>
      <c r="B482" s="1" t="n">
        <v>44251</v>
      </c>
      <c r="C482" s="1" t="n">
        <v>45578</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9446-2021</t>
        </is>
      </c>
      <c r="B483" s="1" t="n">
        <v>44251</v>
      </c>
      <c r="C483" s="1" t="n">
        <v>45578</v>
      </c>
      <c r="D483" t="inlineStr">
        <is>
          <t>STOCKHOLMS LÄN</t>
        </is>
      </c>
      <c r="E483" t="inlineStr">
        <is>
          <t>NORRTÄLJE</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9719-2021</t>
        </is>
      </c>
      <c r="B484" s="1" t="n">
        <v>44252</v>
      </c>
      <c r="C484" s="1" t="n">
        <v>45578</v>
      </c>
      <c r="D484" t="inlineStr">
        <is>
          <t>STOCKHOLMS LÄN</t>
        </is>
      </c>
      <c r="E484" t="inlineStr">
        <is>
          <t>NORRTÄLJE</t>
        </is>
      </c>
      <c r="F484" t="inlineStr">
        <is>
          <t>Holmen skog AB</t>
        </is>
      </c>
      <c r="G484" t="n">
        <v>2</v>
      </c>
      <c r="H484" t="n">
        <v>0</v>
      </c>
      <c r="I484" t="n">
        <v>0</v>
      </c>
      <c r="J484" t="n">
        <v>0</v>
      </c>
      <c r="K484" t="n">
        <v>0</v>
      </c>
      <c r="L484" t="n">
        <v>0</v>
      </c>
      <c r="M484" t="n">
        <v>0</v>
      </c>
      <c r="N484" t="n">
        <v>0</v>
      </c>
      <c r="O484" t="n">
        <v>0</v>
      </c>
      <c r="P484" t="n">
        <v>0</v>
      </c>
      <c r="Q484" t="n">
        <v>0</v>
      </c>
      <c r="R484" s="2" t="inlineStr"/>
    </row>
    <row r="485" ht="15" customHeight="1">
      <c r="A485" t="inlineStr">
        <is>
          <t>A 9703-2021</t>
        </is>
      </c>
      <c r="B485" s="1" t="n">
        <v>44252</v>
      </c>
      <c r="C485" s="1" t="n">
        <v>45578</v>
      </c>
      <c r="D485" t="inlineStr">
        <is>
          <t>STOCKHOLMS LÄN</t>
        </is>
      </c>
      <c r="E485" t="inlineStr">
        <is>
          <t>NORRTÄLJE</t>
        </is>
      </c>
      <c r="G485" t="n">
        <v>3.4</v>
      </c>
      <c r="H485" t="n">
        <v>0</v>
      </c>
      <c r="I485" t="n">
        <v>0</v>
      </c>
      <c r="J485" t="n">
        <v>0</v>
      </c>
      <c r="K485" t="n">
        <v>0</v>
      </c>
      <c r="L485" t="n">
        <v>0</v>
      </c>
      <c r="M485" t="n">
        <v>0</v>
      </c>
      <c r="N485" t="n">
        <v>0</v>
      </c>
      <c r="O485" t="n">
        <v>0</v>
      </c>
      <c r="P485" t="n">
        <v>0</v>
      </c>
      <c r="Q485" t="n">
        <v>0</v>
      </c>
      <c r="R485" s="2" t="inlineStr"/>
    </row>
    <row r="486" ht="15" customHeight="1">
      <c r="A486" t="inlineStr">
        <is>
          <t>A 10687-2021</t>
        </is>
      </c>
      <c r="B486" s="1" t="n">
        <v>44258</v>
      </c>
      <c r="C486" s="1" t="n">
        <v>45578</v>
      </c>
      <c r="D486" t="inlineStr">
        <is>
          <t>STOCKHOLMS LÄN</t>
        </is>
      </c>
      <c r="E486" t="inlineStr">
        <is>
          <t>NORRTÄLJE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10684-2021</t>
        </is>
      </c>
      <c r="B487" s="1" t="n">
        <v>44258</v>
      </c>
      <c r="C487" s="1" t="n">
        <v>45578</v>
      </c>
      <c r="D487" t="inlineStr">
        <is>
          <t>STOCKHOLMS LÄN</t>
        </is>
      </c>
      <c r="E487" t="inlineStr">
        <is>
          <t>NORRTÄLJE</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11122-2021</t>
        </is>
      </c>
      <c r="B488" s="1" t="n">
        <v>44260</v>
      </c>
      <c r="C488" s="1" t="n">
        <v>45578</v>
      </c>
      <c r="D488" t="inlineStr">
        <is>
          <t>STOCKHOLMS LÄN</t>
        </is>
      </c>
      <c r="E488" t="inlineStr">
        <is>
          <t>NORRTÄLJE</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11438-2021</t>
        </is>
      </c>
      <c r="B489" s="1" t="n">
        <v>44263</v>
      </c>
      <c r="C489" s="1" t="n">
        <v>45578</v>
      </c>
      <c r="D489" t="inlineStr">
        <is>
          <t>STOCKHOLMS LÄN</t>
        </is>
      </c>
      <c r="E489" t="inlineStr">
        <is>
          <t>NORRTÄLJE</t>
        </is>
      </c>
      <c r="G489" t="n">
        <v>2.6</v>
      </c>
      <c r="H489" t="n">
        <v>0</v>
      </c>
      <c r="I489" t="n">
        <v>0</v>
      </c>
      <c r="J489" t="n">
        <v>0</v>
      </c>
      <c r="K489" t="n">
        <v>0</v>
      </c>
      <c r="L489" t="n">
        <v>0</v>
      </c>
      <c r="M489" t="n">
        <v>0</v>
      </c>
      <c r="N489" t="n">
        <v>0</v>
      </c>
      <c r="O489" t="n">
        <v>0</v>
      </c>
      <c r="P489" t="n">
        <v>0</v>
      </c>
      <c r="Q489" t="n">
        <v>0</v>
      </c>
      <c r="R489" s="2" t="inlineStr"/>
    </row>
    <row r="490" ht="15" customHeight="1">
      <c r="A490" t="inlineStr">
        <is>
          <t>A 11988-2021</t>
        </is>
      </c>
      <c r="B490" s="1" t="n">
        <v>44266</v>
      </c>
      <c r="C490" s="1" t="n">
        <v>45578</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12031-2021</t>
        </is>
      </c>
      <c r="B491" s="1" t="n">
        <v>44266</v>
      </c>
      <c r="C491" s="1" t="n">
        <v>45578</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12111-2021</t>
        </is>
      </c>
      <c r="B492" s="1" t="n">
        <v>44266</v>
      </c>
      <c r="C492" s="1" t="n">
        <v>45578</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12132-2021</t>
        </is>
      </c>
      <c r="B493" s="1" t="n">
        <v>44266</v>
      </c>
      <c r="C493" s="1" t="n">
        <v>45578</v>
      </c>
      <c r="D493" t="inlineStr">
        <is>
          <t>STOCKHOLMS LÄN</t>
        </is>
      </c>
      <c r="E493" t="inlineStr">
        <is>
          <t>NORRTÄLJE</t>
        </is>
      </c>
      <c r="G493" t="n">
        <v>4</v>
      </c>
      <c r="H493" t="n">
        <v>0</v>
      </c>
      <c r="I493" t="n">
        <v>0</v>
      </c>
      <c r="J493" t="n">
        <v>0</v>
      </c>
      <c r="K493" t="n">
        <v>0</v>
      </c>
      <c r="L493" t="n">
        <v>0</v>
      </c>
      <c r="M493" t="n">
        <v>0</v>
      </c>
      <c r="N493" t="n">
        <v>0</v>
      </c>
      <c r="O493" t="n">
        <v>0</v>
      </c>
      <c r="P493" t="n">
        <v>0</v>
      </c>
      <c r="Q493" t="n">
        <v>0</v>
      </c>
      <c r="R493" s="2" t="inlineStr"/>
    </row>
    <row r="494" ht="15" customHeight="1">
      <c r="A494" t="inlineStr">
        <is>
          <t>A 12564-2021</t>
        </is>
      </c>
      <c r="B494" s="1" t="n">
        <v>44270</v>
      </c>
      <c r="C494" s="1" t="n">
        <v>45578</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12779-2021</t>
        </is>
      </c>
      <c r="B495" s="1" t="n">
        <v>44270</v>
      </c>
      <c r="C495" s="1" t="n">
        <v>45578</v>
      </c>
      <c r="D495" t="inlineStr">
        <is>
          <t>STOCKHOLMS LÄN</t>
        </is>
      </c>
      <c r="E495" t="inlineStr">
        <is>
          <t>NORRTÄLJE</t>
        </is>
      </c>
      <c r="G495" t="n">
        <v>10.8</v>
      </c>
      <c r="H495" t="n">
        <v>0</v>
      </c>
      <c r="I495" t="n">
        <v>0</v>
      </c>
      <c r="J495" t="n">
        <v>0</v>
      </c>
      <c r="K495" t="n">
        <v>0</v>
      </c>
      <c r="L495" t="n">
        <v>0</v>
      </c>
      <c r="M495" t="n">
        <v>0</v>
      </c>
      <c r="N495" t="n">
        <v>0</v>
      </c>
      <c r="O495" t="n">
        <v>0</v>
      </c>
      <c r="P495" t="n">
        <v>0</v>
      </c>
      <c r="Q495" t="n">
        <v>0</v>
      </c>
      <c r="R495" s="2" t="inlineStr"/>
    </row>
    <row r="496" ht="15" customHeight="1">
      <c r="A496" t="inlineStr">
        <is>
          <t>A 12782-2021</t>
        </is>
      </c>
      <c r="B496" s="1" t="n">
        <v>44270</v>
      </c>
      <c r="C496" s="1" t="n">
        <v>45578</v>
      </c>
      <c r="D496" t="inlineStr">
        <is>
          <t>STOCKHOLMS LÄN</t>
        </is>
      </c>
      <c r="E496" t="inlineStr">
        <is>
          <t>NORRTÄLJE</t>
        </is>
      </c>
      <c r="G496" t="n">
        <v>3.8</v>
      </c>
      <c r="H496" t="n">
        <v>0</v>
      </c>
      <c r="I496" t="n">
        <v>0</v>
      </c>
      <c r="J496" t="n">
        <v>0</v>
      </c>
      <c r="K496" t="n">
        <v>0</v>
      </c>
      <c r="L496" t="n">
        <v>0</v>
      </c>
      <c r="M496" t="n">
        <v>0</v>
      </c>
      <c r="N496" t="n">
        <v>0</v>
      </c>
      <c r="O496" t="n">
        <v>0</v>
      </c>
      <c r="P496" t="n">
        <v>0</v>
      </c>
      <c r="Q496" t="n">
        <v>0</v>
      </c>
      <c r="R496" s="2" t="inlineStr"/>
    </row>
    <row r="497" ht="15" customHeight="1">
      <c r="A497" t="inlineStr">
        <is>
          <t>A 13051-2021</t>
        </is>
      </c>
      <c r="B497" s="1" t="n">
        <v>44272</v>
      </c>
      <c r="C497" s="1" t="n">
        <v>45578</v>
      </c>
      <c r="D497" t="inlineStr">
        <is>
          <t>STOCKHOLMS LÄN</t>
        </is>
      </c>
      <c r="E497" t="inlineStr">
        <is>
          <t>NORRTÄLJE</t>
        </is>
      </c>
      <c r="G497" t="n">
        <v>9.1</v>
      </c>
      <c r="H497" t="n">
        <v>0</v>
      </c>
      <c r="I497" t="n">
        <v>0</v>
      </c>
      <c r="J497" t="n">
        <v>0</v>
      </c>
      <c r="K497" t="n">
        <v>0</v>
      </c>
      <c r="L497" t="n">
        <v>0</v>
      </c>
      <c r="M497" t="n">
        <v>0</v>
      </c>
      <c r="N497" t="n">
        <v>0</v>
      </c>
      <c r="O497" t="n">
        <v>0</v>
      </c>
      <c r="P497" t="n">
        <v>0</v>
      </c>
      <c r="Q497" t="n">
        <v>0</v>
      </c>
      <c r="R497" s="2" t="inlineStr"/>
    </row>
    <row r="498" ht="15" customHeight="1">
      <c r="A498" t="inlineStr">
        <is>
          <t>A 13148-2021</t>
        </is>
      </c>
      <c r="B498" s="1" t="n">
        <v>44272</v>
      </c>
      <c r="C498" s="1" t="n">
        <v>45578</v>
      </c>
      <c r="D498" t="inlineStr">
        <is>
          <t>STOCKHOLMS LÄN</t>
        </is>
      </c>
      <c r="E498" t="inlineStr">
        <is>
          <t>NORRTÄLJE</t>
        </is>
      </c>
      <c r="G498" t="n">
        <v>12.4</v>
      </c>
      <c r="H498" t="n">
        <v>0</v>
      </c>
      <c r="I498" t="n">
        <v>0</v>
      </c>
      <c r="J498" t="n">
        <v>0</v>
      </c>
      <c r="K498" t="n">
        <v>0</v>
      </c>
      <c r="L498" t="n">
        <v>0</v>
      </c>
      <c r="M498" t="n">
        <v>0</v>
      </c>
      <c r="N498" t="n">
        <v>0</v>
      </c>
      <c r="O498" t="n">
        <v>0</v>
      </c>
      <c r="P498" t="n">
        <v>0</v>
      </c>
      <c r="Q498" t="n">
        <v>0</v>
      </c>
      <c r="R498" s="2" t="inlineStr"/>
    </row>
    <row r="499" ht="15" customHeight="1">
      <c r="A499" t="inlineStr">
        <is>
          <t>A 13736-2021</t>
        </is>
      </c>
      <c r="B499" s="1" t="n">
        <v>44274</v>
      </c>
      <c r="C499" s="1" t="n">
        <v>45578</v>
      </c>
      <c r="D499" t="inlineStr">
        <is>
          <t>STOCKHOLMS LÄN</t>
        </is>
      </c>
      <c r="E499" t="inlineStr">
        <is>
          <t>NORRTÄLJE</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13752-2021</t>
        </is>
      </c>
      <c r="B500" s="1" t="n">
        <v>44274</v>
      </c>
      <c r="C500" s="1" t="n">
        <v>45578</v>
      </c>
      <c r="D500" t="inlineStr">
        <is>
          <t>STOCKHOLMS LÄN</t>
        </is>
      </c>
      <c r="E500" t="inlineStr">
        <is>
          <t>NORRTÄLJE</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14381-2021</t>
        </is>
      </c>
      <c r="B501" s="1" t="n">
        <v>44279</v>
      </c>
      <c r="C501" s="1" t="n">
        <v>45578</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14922-2021</t>
        </is>
      </c>
      <c r="B502" s="1" t="n">
        <v>44281</v>
      </c>
      <c r="C502" s="1" t="n">
        <v>45578</v>
      </c>
      <c r="D502" t="inlineStr">
        <is>
          <t>STOCKHOLMS LÄN</t>
        </is>
      </c>
      <c r="E502" t="inlineStr">
        <is>
          <t>NORRTÄLJE</t>
        </is>
      </c>
      <c r="G502" t="n">
        <v>4.8</v>
      </c>
      <c r="H502" t="n">
        <v>0</v>
      </c>
      <c r="I502" t="n">
        <v>0</v>
      </c>
      <c r="J502" t="n">
        <v>0</v>
      </c>
      <c r="K502" t="n">
        <v>0</v>
      </c>
      <c r="L502" t="n">
        <v>0</v>
      </c>
      <c r="M502" t="n">
        <v>0</v>
      </c>
      <c r="N502" t="n">
        <v>0</v>
      </c>
      <c r="O502" t="n">
        <v>0</v>
      </c>
      <c r="P502" t="n">
        <v>0</v>
      </c>
      <c r="Q502" t="n">
        <v>0</v>
      </c>
      <c r="R502" s="2" t="inlineStr"/>
    </row>
    <row r="503" ht="15" customHeight="1">
      <c r="A503" t="inlineStr">
        <is>
          <t>A 14933-2021</t>
        </is>
      </c>
      <c r="B503" s="1" t="n">
        <v>44281</v>
      </c>
      <c r="C503" s="1" t="n">
        <v>45578</v>
      </c>
      <c r="D503" t="inlineStr">
        <is>
          <t>STOCKHOLMS LÄN</t>
        </is>
      </c>
      <c r="E503" t="inlineStr">
        <is>
          <t>NORRTÄLJE</t>
        </is>
      </c>
      <c r="G503" t="n">
        <v>0.4</v>
      </c>
      <c r="H503" t="n">
        <v>0</v>
      </c>
      <c r="I503" t="n">
        <v>0</v>
      </c>
      <c r="J503" t="n">
        <v>0</v>
      </c>
      <c r="K503" t="n">
        <v>0</v>
      </c>
      <c r="L503" t="n">
        <v>0</v>
      </c>
      <c r="M503" t="n">
        <v>0</v>
      </c>
      <c r="N503" t="n">
        <v>0</v>
      </c>
      <c r="O503" t="n">
        <v>0</v>
      </c>
      <c r="P503" t="n">
        <v>0</v>
      </c>
      <c r="Q503" t="n">
        <v>0</v>
      </c>
      <c r="R503" s="2" t="inlineStr"/>
    </row>
    <row r="504" ht="15" customHeight="1">
      <c r="A504" t="inlineStr">
        <is>
          <t>A 15289-2021</t>
        </is>
      </c>
      <c r="B504" s="1" t="n">
        <v>44284</v>
      </c>
      <c r="C504" s="1" t="n">
        <v>45578</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15441-2021</t>
        </is>
      </c>
      <c r="B505" s="1" t="n">
        <v>44284</v>
      </c>
      <c r="C505" s="1" t="n">
        <v>45578</v>
      </c>
      <c r="D505" t="inlineStr">
        <is>
          <t>STOCKHOLMS LÄN</t>
        </is>
      </c>
      <c r="E505" t="inlineStr">
        <is>
          <t>NORRTÄLJE</t>
        </is>
      </c>
      <c r="G505" t="n">
        <v>27</v>
      </c>
      <c r="H505" t="n">
        <v>0</v>
      </c>
      <c r="I505" t="n">
        <v>0</v>
      </c>
      <c r="J505" t="n">
        <v>0</v>
      </c>
      <c r="K505" t="n">
        <v>0</v>
      </c>
      <c r="L505" t="n">
        <v>0</v>
      </c>
      <c r="M505" t="n">
        <v>0</v>
      </c>
      <c r="N505" t="n">
        <v>0</v>
      </c>
      <c r="O505" t="n">
        <v>0</v>
      </c>
      <c r="P505" t="n">
        <v>0</v>
      </c>
      <c r="Q505" t="n">
        <v>0</v>
      </c>
      <c r="R505" s="2" t="inlineStr"/>
    </row>
    <row r="506" ht="15" customHeight="1">
      <c r="A506" t="inlineStr">
        <is>
          <t>A 15552-2021</t>
        </is>
      </c>
      <c r="B506" s="1" t="n">
        <v>44285</v>
      </c>
      <c r="C506" s="1" t="n">
        <v>45578</v>
      </c>
      <c r="D506" t="inlineStr">
        <is>
          <t>STOCKHOLMS LÄN</t>
        </is>
      </c>
      <c r="E506" t="inlineStr">
        <is>
          <t>NORRTÄLJE</t>
        </is>
      </c>
      <c r="G506" t="n">
        <v>10</v>
      </c>
      <c r="H506" t="n">
        <v>0</v>
      </c>
      <c r="I506" t="n">
        <v>0</v>
      </c>
      <c r="J506" t="n">
        <v>0</v>
      </c>
      <c r="K506" t="n">
        <v>0</v>
      </c>
      <c r="L506" t="n">
        <v>0</v>
      </c>
      <c r="M506" t="n">
        <v>0</v>
      </c>
      <c r="N506" t="n">
        <v>0</v>
      </c>
      <c r="O506" t="n">
        <v>0</v>
      </c>
      <c r="P506" t="n">
        <v>0</v>
      </c>
      <c r="Q506" t="n">
        <v>0</v>
      </c>
      <c r="R506" s="2" t="inlineStr"/>
    </row>
    <row r="507" ht="15" customHeight="1">
      <c r="A507" t="inlineStr">
        <is>
          <t>A 16668-2021</t>
        </is>
      </c>
      <c r="B507" s="1" t="n">
        <v>44294</v>
      </c>
      <c r="C507" s="1" t="n">
        <v>45578</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17460-2021</t>
        </is>
      </c>
      <c r="B508" s="1" t="n">
        <v>44299</v>
      </c>
      <c r="C508" s="1" t="n">
        <v>45578</v>
      </c>
      <c r="D508" t="inlineStr">
        <is>
          <t>STOCKHOLMS LÄN</t>
        </is>
      </c>
      <c r="E508" t="inlineStr">
        <is>
          <t>NORRTÄLJE</t>
        </is>
      </c>
      <c r="G508" t="n">
        <v>3.2</v>
      </c>
      <c r="H508" t="n">
        <v>0</v>
      </c>
      <c r="I508" t="n">
        <v>0</v>
      </c>
      <c r="J508" t="n">
        <v>0</v>
      </c>
      <c r="K508" t="n">
        <v>0</v>
      </c>
      <c r="L508" t="n">
        <v>0</v>
      </c>
      <c r="M508" t="n">
        <v>0</v>
      </c>
      <c r="N508" t="n">
        <v>0</v>
      </c>
      <c r="O508" t="n">
        <v>0</v>
      </c>
      <c r="P508" t="n">
        <v>0</v>
      </c>
      <c r="Q508" t="n">
        <v>0</v>
      </c>
      <c r="R508" s="2" t="inlineStr"/>
    </row>
    <row r="509" ht="15" customHeight="1">
      <c r="A509" t="inlineStr">
        <is>
          <t>A 17703-2021</t>
        </is>
      </c>
      <c r="B509" s="1" t="n">
        <v>44300</v>
      </c>
      <c r="C509" s="1" t="n">
        <v>45578</v>
      </c>
      <c r="D509" t="inlineStr">
        <is>
          <t>STOCKHOLMS LÄN</t>
        </is>
      </c>
      <c r="E509" t="inlineStr">
        <is>
          <t>NORRTÄLJE</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18580-2021</t>
        </is>
      </c>
      <c r="B510" s="1" t="n">
        <v>44306</v>
      </c>
      <c r="C510" s="1" t="n">
        <v>45578</v>
      </c>
      <c r="D510" t="inlineStr">
        <is>
          <t>STOCKHOLMS LÄN</t>
        </is>
      </c>
      <c r="E510" t="inlineStr">
        <is>
          <t>NORRTÄLJE</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45578</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18539-2021</t>
        </is>
      </c>
      <c r="B512" s="1" t="n">
        <v>44306</v>
      </c>
      <c r="C512" s="1" t="n">
        <v>45578</v>
      </c>
      <c r="D512" t="inlineStr">
        <is>
          <t>STOCKHOLMS LÄN</t>
        </is>
      </c>
      <c r="E512" t="inlineStr">
        <is>
          <t>NORRTÄLJE</t>
        </is>
      </c>
      <c r="F512" t="inlineStr">
        <is>
          <t>Holmen skog AB</t>
        </is>
      </c>
      <c r="G512" t="n">
        <v>5.5</v>
      </c>
      <c r="H512" t="n">
        <v>0</v>
      </c>
      <c r="I512" t="n">
        <v>0</v>
      </c>
      <c r="J512" t="n">
        <v>0</v>
      </c>
      <c r="K512" t="n">
        <v>0</v>
      </c>
      <c r="L512" t="n">
        <v>0</v>
      </c>
      <c r="M512" t="n">
        <v>0</v>
      </c>
      <c r="N512" t="n">
        <v>0</v>
      </c>
      <c r="O512" t="n">
        <v>0</v>
      </c>
      <c r="P512" t="n">
        <v>0</v>
      </c>
      <c r="Q512" t="n">
        <v>0</v>
      </c>
      <c r="R512" s="2" t="inlineStr"/>
    </row>
    <row r="513" ht="15" customHeight="1">
      <c r="A513" t="inlineStr">
        <is>
          <t>A 18570-2021</t>
        </is>
      </c>
      <c r="B513" s="1" t="n">
        <v>44306</v>
      </c>
      <c r="C513" s="1" t="n">
        <v>45578</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19283-2021</t>
        </is>
      </c>
      <c r="B514" s="1" t="n">
        <v>44309</v>
      </c>
      <c r="C514" s="1" t="n">
        <v>45578</v>
      </c>
      <c r="D514" t="inlineStr">
        <is>
          <t>STOCKHOLMS LÄN</t>
        </is>
      </c>
      <c r="E514" t="inlineStr">
        <is>
          <t>NORRTÄLJE</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19400-2021</t>
        </is>
      </c>
      <c r="B515" s="1" t="n">
        <v>44309</v>
      </c>
      <c r="C515" s="1" t="n">
        <v>45578</v>
      </c>
      <c r="D515" t="inlineStr">
        <is>
          <t>STOCKHOLMS LÄN</t>
        </is>
      </c>
      <c r="E515" t="inlineStr">
        <is>
          <t>NORRTÄLJE</t>
        </is>
      </c>
      <c r="F515" t="inlineStr">
        <is>
          <t>Kommuner</t>
        </is>
      </c>
      <c r="G515" t="n">
        <v>2.4</v>
      </c>
      <c r="H515" t="n">
        <v>0</v>
      </c>
      <c r="I515" t="n">
        <v>0</v>
      </c>
      <c r="J515" t="n">
        <v>0</v>
      </c>
      <c r="K515" t="n">
        <v>0</v>
      </c>
      <c r="L515" t="n">
        <v>0</v>
      </c>
      <c r="M515" t="n">
        <v>0</v>
      </c>
      <c r="N515" t="n">
        <v>0</v>
      </c>
      <c r="O515" t="n">
        <v>0</v>
      </c>
      <c r="P515" t="n">
        <v>0</v>
      </c>
      <c r="Q515" t="n">
        <v>0</v>
      </c>
      <c r="R515" s="2" t="inlineStr"/>
    </row>
    <row r="516" ht="15" customHeight="1">
      <c r="A516" t="inlineStr">
        <is>
          <t>A 19307-2021</t>
        </is>
      </c>
      <c r="B516" s="1" t="n">
        <v>44309</v>
      </c>
      <c r="C516" s="1" t="n">
        <v>45578</v>
      </c>
      <c r="D516" t="inlineStr">
        <is>
          <t>STOCKHOLMS LÄN</t>
        </is>
      </c>
      <c r="E516" t="inlineStr">
        <is>
          <t>NORRTÄLJE</t>
        </is>
      </c>
      <c r="F516" t="inlineStr">
        <is>
          <t>Holmen skog AB</t>
        </is>
      </c>
      <c r="G516" t="n">
        <v>1.9</v>
      </c>
      <c r="H516" t="n">
        <v>0</v>
      </c>
      <c r="I516" t="n">
        <v>0</v>
      </c>
      <c r="J516" t="n">
        <v>0</v>
      </c>
      <c r="K516" t="n">
        <v>0</v>
      </c>
      <c r="L516" t="n">
        <v>0</v>
      </c>
      <c r="M516" t="n">
        <v>0</v>
      </c>
      <c r="N516" t="n">
        <v>0</v>
      </c>
      <c r="O516" t="n">
        <v>0</v>
      </c>
      <c r="P516" t="n">
        <v>0</v>
      </c>
      <c r="Q516" t="n">
        <v>0</v>
      </c>
      <c r="R516" s="2" t="inlineStr"/>
    </row>
    <row r="517" ht="15" customHeight="1">
      <c r="A517" t="inlineStr">
        <is>
          <t>A 19398-2021</t>
        </is>
      </c>
      <c r="B517" s="1" t="n">
        <v>44309</v>
      </c>
      <c r="C517" s="1" t="n">
        <v>45578</v>
      </c>
      <c r="D517" t="inlineStr">
        <is>
          <t>STOCKHOLMS LÄN</t>
        </is>
      </c>
      <c r="E517" t="inlineStr">
        <is>
          <t>NORRTÄLJE</t>
        </is>
      </c>
      <c r="F517" t="inlineStr">
        <is>
          <t>Kommuner</t>
        </is>
      </c>
      <c r="G517" t="n">
        <v>2.1</v>
      </c>
      <c r="H517" t="n">
        <v>0</v>
      </c>
      <c r="I517" t="n">
        <v>0</v>
      </c>
      <c r="J517" t="n">
        <v>0</v>
      </c>
      <c r="K517" t="n">
        <v>0</v>
      </c>
      <c r="L517" t="n">
        <v>0</v>
      </c>
      <c r="M517" t="n">
        <v>0</v>
      </c>
      <c r="N517" t="n">
        <v>0</v>
      </c>
      <c r="O517" t="n">
        <v>0</v>
      </c>
      <c r="P517" t="n">
        <v>0</v>
      </c>
      <c r="Q517" t="n">
        <v>0</v>
      </c>
      <c r="R517" s="2" t="inlineStr"/>
    </row>
    <row r="518" ht="15" customHeight="1">
      <c r="A518" t="inlineStr">
        <is>
          <t>A 20073-2021</t>
        </is>
      </c>
      <c r="B518" s="1" t="n">
        <v>44314</v>
      </c>
      <c r="C518" s="1" t="n">
        <v>45578</v>
      </c>
      <c r="D518" t="inlineStr">
        <is>
          <t>STOCKHOLMS LÄN</t>
        </is>
      </c>
      <c r="E518" t="inlineStr">
        <is>
          <t>NORRTÄLJE</t>
        </is>
      </c>
      <c r="G518" t="n">
        <v>4.6</v>
      </c>
      <c r="H518" t="n">
        <v>0</v>
      </c>
      <c r="I518" t="n">
        <v>0</v>
      </c>
      <c r="J518" t="n">
        <v>0</v>
      </c>
      <c r="K518" t="n">
        <v>0</v>
      </c>
      <c r="L518" t="n">
        <v>0</v>
      </c>
      <c r="M518" t="n">
        <v>0</v>
      </c>
      <c r="N518" t="n">
        <v>0</v>
      </c>
      <c r="O518" t="n">
        <v>0</v>
      </c>
      <c r="P518" t="n">
        <v>0</v>
      </c>
      <c r="Q518" t="n">
        <v>0</v>
      </c>
      <c r="R518" s="2" t="inlineStr"/>
    </row>
    <row r="519" ht="15" customHeight="1">
      <c r="A519" t="inlineStr">
        <is>
          <t>A 20473-2021</t>
        </is>
      </c>
      <c r="B519" s="1" t="n">
        <v>44315</v>
      </c>
      <c r="C519" s="1" t="n">
        <v>45578</v>
      </c>
      <c r="D519" t="inlineStr">
        <is>
          <t>STOCKHOLMS LÄN</t>
        </is>
      </c>
      <c r="E519" t="inlineStr">
        <is>
          <t>NORRTÄLJE</t>
        </is>
      </c>
      <c r="F519" t="inlineStr">
        <is>
          <t>Övriga Aktiebolag</t>
        </is>
      </c>
      <c r="G519" t="n">
        <v>3.6</v>
      </c>
      <c r="H519" t="n">
        <v>0</v>
      </c>
      <c r="I519" t="n">
        <v>0</v>
      </c>
      <c r="J519" t="n">
        <v>0</v>
      </c>
      <c r="K519" t="n">
        <v>0</v>
      </c>
      <c r="L519" t="n">
        <v>0</v>
      </c>
      <c r="M519" t="n">
        <v>0</v>
      </c>
      <c r="N519" t="n">
        <v>0</v>
      </c>
      <c r="O519" t="n">
        <v>0</v>
      </c>
      <c r="P519" t="n">
        <v>0</v>
      </c>
      <c r="Q519" t="n">
        <v>0</v>
      </c>
      <c r="R519" s="2" t="inlineStr"/>
    </row>
    <row r="520" ht="15" customHeight="1">
      <c r="A520" t="inlineStr">
        <is>
          <t>A 21291-2021</t>
        </is>
      </c>
      <c r="B520" s="1" t="n">
        <v>44319</v>
      </c>
      <c r="C520" s="1" t="n">
        <v>45578</v>
      </c>
      <c r="D520" t="inlineStr">
        <is>
          <t>STOCKHOLMS LÄN</t>
        </is>
      </c>
      <c r="E520" t="inlineStr">
        <is>
          <t>NORRTÄLJE</t>
        </is>
      </c>
      <c r="G520" t="n">
        <v>12.7</v>
      </c>
      <c r="H520" t="n">
        <v>0</v>
      </c>
      <c r="I520" t="n">
        <v>0</v>
      </c>
      <c r="J520" t="n">
        <v>0</v>
      </c>
      <c r="K520" t="n">
        <v>0</v>
      </c>
      <c r="L520" t="n">
        <v>0</v>
      </c>
      <c r="M520" t="n">
        <v>0</v>
      </c>
      <c r="N520" t="n">
        <v>0</v>
      </c>
      <c r="O520" t="n">
        <v>0</v>
      </c>
      <c r="P520" t="n">
        <v>0</v>
      </c>
      <c r="Q520" t="n">
        <v>0</v>
      </c>
      <c r="R520" s="2" t="inlineStr"/>
    </row>
    <row r="521" ht="15" customHeight="1">
      <c r="A521" t="inlineStr">
        <is>
          <t>A 21529-2021</t>
        </is>
      </c>
      <c r="B521" s="1" t="n">
        <v>44321</v>
      </c>
      <c r="C521" s="1" t="n">
        <v>45578</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22832-2021</t>
        </is>
      </c>
      <c r="B522" s="1" t="n">
        <v>44325</v>
      </c>
      <c r="C522" s="1" t="n">
        <v>45578</v>
      </c>
      <c r="D522" t="inlineStr">
        <is>
          <t>STOCKHOLMS LÄN</t>
        </is>
      </c>
      <c r="E522" t="inlineStr">
        <is>
          <t>NORRTÄLJE</t>
        </is>
      </c>
      <c r="G522" t="n">
        <v>6.8</v>
      </c>
      <c r="H522" t="n">
        <v>0</v>
      </c>
      <c r="I522" t="n">
        <v>0</v>
      </c>
      <c r="J522" t="n">
        <v>0</v>
      </c>
      <c r="K522" t="n">
        <v>0</v>
      </c>
      <c r="L522" t="n">
        <v>0</v>
      </c>
      <c r="M522" t="n">
        <v>0</v>
      </c>
      <c r="N522" t="n">
        <v>0</v>
      </c>
      <c r="O522" t="n">
        <v>0</v>
      </c>
      <c r="P522" t="n">
        <v>0</v>
      </c>
      <c r="Q522" t="n">
        <v>0</v>
      </c>
      <c r="R522" s="2" t="inlineStr"/>
    </row>
    <row r="523" ht="15" customHeight="1">
      <c r="A523" t="inlineStr">
        <is>
          <t>A 22816-2021</t>
        </is>
      </c>
      <c r="B523" s="1" t="n">
        <v>44325</v>
      </c>
      <c r="C523" s="1" t="n">
        <v>45578</v>
      </c>
      <c r="D523" t="inlineStr">
        <is>
          <t>STOCKHOLMS LÄN</t>
        </is>
      </c>
      <c r="E523" t="inlineStr">
        <is>
          <t>NORRTÄLJE</t>
        </is>
      </c>
      <c r="G523" t="n">
        <v>4.5</v>
      </c>
      <c r="H523" t="n">
        <v>0</v>
      </c>
      <c r="I523" t="n">
        <v>0</v>
      </c>
      <c r="J523" t="n">
        <v>0</v>
      </c>
      <c r="K523" t="n">
        <v>0</v>
      </c>
      <c r="L523" t="n">
        <v>0</v>
      </c>
      <c r="M523" t="n">
        <v>0</v>
      </c>
      <c r="N523" t="n">
        <v>0</v>
      </c>
      <c r="O523" t="n">
        <v>0</v>
      </c>
      <c r="P523" t="n">
        <v>0</v>
      </c>
      <c r="Q523" t="n">
        <v>0</v>
      </c>
      <c r="R523" s="2" t="inlineStr"/>
    </row>
    <row r="524" ht="15" customHeight="1">
      <c r="A524" t="inlineStr">
        <is>
          <t>A 22369-2021</t>
        </is>
      </c>
      <c r="B524" s="1" t="n">
        <v>44326</v>
      </c>
      <c r="C524" s="1" t="n">
        <v>45578</v>
      </c>
      <c r="D524" t="inlineStr">
        <is>
          <t>STOCKHOLMS LÄN</t>
        </is>
      </c>
      <c r="E524" t="inlineStr">
        <is>
          <t>NORRTÄLJE</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22421-2021</t>
        </is>
      </c>
      <c r="B525" s="1" t="n">
        <v>44326</v>
      </c>
      <c r="C525" s="1" t="n">
        <v>45578</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22412-2021</t>
        </is>
      </c>
      <c r="B526" s="1" t="n">
        <v>44326</v>
      </c>
      <c r="C526" s="1" t="n">
        <v>45578</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45578</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23096-2021</t>
        </is>
      </c>
      <c r="B528" s="1" t="n">
        <v>44330</v>
      </c>
      <c r="C528" s="1" t="n">
        <v>45578</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23122-2021</t>
        </is>
      </c>
      <c r="B529" s="1" t="n">
        <v>44330</v>
      </c>
      <c r="C529" s="1" t="n">
        <v>45578</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23453-2021</t>
        </is>
      </c>
      <c r="B530" s="1" t="n">
        <v>44333</v>
      </c>
      <c r="C530" s="1" t="n">
        <v>45578</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24082-2021</t>
        </is>
      </c>
      <c r="B531" s="1" t="n">
        <v>44336</v>
      </c>
      <c r="C531" s="1" t="n">
        <v>45578</v>
      </c>
      <c r="D531" t="inlineStr">
        <is>
          <t>STOCKHOLMS LÄN</t>
        </is>
      </c>
      <c r="E531" t="inlineStr">
        <is>
          <t>NORRTÄLJE</t>
        </is>
      </c>
      <c r="G531" t="n">
        <v>6.8</v>
      </c>
      <c r="H531" t="n">
        <v>0</v>
      </c>
      <c r="I531" t="n">
        <v>0</v>
      </c>
      <c r="J531" t="n">
        <v>0</v>
      </c>
      <c r="K531" t="n">
        <v>0</v>
      </c>
      <c r="L531" t="n">
        <v>0</v>
      </c>
      <c r="M531" t="n">
        <v>0</v>
      </c>
      <c r="N531" t="n">
        <v>0</v>
      </c>
      <c r="O531" t="n">
        <v>0</v>
      </c>
      <c r="P531" t="n">
        <v>0</v>
      </c>
      <c r="Q531" t="n">
        <v>0</v>
      </c>
      <c r="R531" s="2" t="inlineStr"/>
    </row>
    <row r="532" ht="15" customHeight="1">
      <c r="A532" t="inlineStr">
        <is>
          <t>A 25463-2021</t>
        </is>
      </c>
      <c r="B532" s="1" t="n">
        <v>44342</v>
      </c>
      <c r="C532" s="1" t="n">
        <v>45578</v>
      </c>
      <c r="D532" t="inlineStr">
        <is>
          <t>STOCKHOLMS LÄN</t>
        </is>
      </c>
      <c r="E532" t="inlineStr">
        <is>
          <t>NORRTÄLJE</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27217-2021</t>
        </is>
      </c>
      <c r="B533" s="1" t="n">
        <v>44350</v>
      </c>
      <c r="C533" s="1" t="n">
        <v>45578</v>
      </c>
      <c r="D533" t="inlineStr">
        <is>
          <t>STOCKHOLMS LÄN</t>
        </is>
      </c>
      <c r="E533" t="inlineStr">
        <is>
          <t>NORRTÄLJE</t>
        </is>
      </c>
      <c r="G533" t="n">
        <v>5.5</v>
      </c>
      <c r="H533" t="n">
        <v>0</v>
      </c>
      <c r="I533" t="n">
        <v>0</v>
      </c>
      <c r="J533" t="n">
        <v>0</v>
      </c>
      <c r="K533" t="n">
        <v>0</v>
      </c>
      <c r="L533" t="n">
        <v>0</v>
      </c>
      <c r="M533" t="n">
        <v>0</v>
      </c>
      <c r="N533" t="n">
        <v>0</v>
      </c>
      <c r="O533" t="n">
        <v>0</v>
      </c>
      <c r="P533" t="n">
        <v>0</v>
      </c>
      <c r="Q533" t="n">
        <v>0</v>
      </c>
      <c r="R533" s="2" t="inlineStr"/>
    </row>
    <row r="534" ht="15" customHeight="1">
      <c r="A534" t="inlineStr">
        <is>
          <t>A 27214-2021</t>
        </is>
      </c>
      <c r="B534" s="1" t="n">
        <v>44350</v>
      </c>
      <c r="C534" s="1" t="n">
        <v>45578</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29357-2021</t>
        </is>
      </c>
      <c r="B535" s="1" t="n">
        <v>44361</v>
      </c>
      <c r="C535" s="1" t="n">
        <v>45578</v>
      </c>
      <c r="D535" t="inlineStr">
        <is>
          <t>STOCKHOLMS LÄN</t>
        </is>
      </c>
      <c r="E535" t="inlineStr">
        <is>
          <t>NORRTÄLJE</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29680-2021</t>
        </is>
      </c>
      <c r="B536" s="1" t="n">
        <v>44362</v>
      </c>
      <c r="C536" s="1" t="n">
        <v>45578</v>
      </c>
      <c r="D536" t="inlineStr">
        <is>
          <t>STOCKHOLMS LÄN</t>
        </is>
      </c>
      <c r="E536" t="inlineStr">
        <is>
          <t>NORRTÄLJE</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29684-2021</t>
        </is>
      </c>
      <c r="B537" s="1" t="n">
        <v>44362</v>
      </c>
      <c r="C537" s="1" t="n">
        <v>45578</v>
      </c>
      <c r="D537" t="inlineStr">
        <is>
          <t>STOCKHOLMS LÄN</t>
        </is>
      </c>
      <c r="E537" t="inlineStr">
        <is>
          <t>NORRTÄLJE</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30129-2021</t>
        </is>
      </c>
      <c r="B538" s="1" t="n">
        <v>44363</v>
      </c>
      <c r="C538" s="1" t="n">
        <v>45578</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31688-2021</t>
        </is>
      </c>
      <c r="B539" s="1" t="n">
        <v>44369</v>
      </c>
      <c r="C539" s="1" t="n">
        <v>45578</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32002-2021</t>
        </is>
      </c>
      <c r="B540" s="1" t="n">
        <v>44370</v>
      </c>
      <c r="C540" s="1" t="n">
        <v>45578</v>
      </c>
      <c r="D540" t="inlineStr">
        <is>
          <t>STOCKHOLMS LÄN</t>
        </is>
      </c>
      <c r="E540" t="inlineStr">
        <is>
          <t>NORRTÄLJE</t>
        </is>
      </c>
      <c r="F540" t="inlineStr">
        <is>
          <t>Övriga Aktiebolag</t>
        </is>
      </c>
      <c r="G540" t="n">
        <v>4</v>
      </c>
      <c r="H540" t="n">
        <v>0</v>
      </c>
      <c r="I540" t="n">
        <v>0</v>
      </c>
      <c r="J540" t="n">
        <v>0</v>
      </c>
      <c r="K540" t="n">
        <v>0</v>
      </c>
      <c r="L540" t="n">
        <v>0</v>
      </c>
      <c r="M540" t="n">
        <v>0</v>
      </c>
      <c r="N540" t="n">
        <v>0</v>
      </c>
      <c r="O540" t="n">
        <v>0</v>
      </c>
      <c r="P540" t="n">
        <v>0</v>
      </c>
      <c r="Q540" t="n">
        <v>0</v>
      </c>
      <c r="R540" s="2" t="inlineStr"/>
    </row>
    <row r="541" ht="15" customHeight="1">
      <c r="A541" t="inlineStr">
        <is>
          <t>A 32051-2021</t>
        </is>
      </c>
      <c r="B541" s="1" t="n">
        <v>44370</v>
      </c>
      <c r="C541" s="1" t="n">
        <v>45578</v>
      </c>
      <c r="D541" t="inlineStr">
        <is>
          <t>STOCKHOLMS LÄN</t>
        </is>
      </c>
      <c r="E541" t="inlineStr">
        <is>
          <t>NORRTÄLJE</t>
        </is>
      </c>
      <c r="G541" t="n">
        <v>4.6</v>
      </c>
      <c r="H541" t="n">
        <v>0</v>
      </c>
      <c r="I541" t="n">
        <v>0</v>
      </c>
      <c r="J541" t="n">
        <v>0</v>
      </c>
      <c r="K541" t="n">
        <v>0</v>
      </c>
      <c r="L541" t="n">
        <v>0</v>
      </c>
      <c r="M541" t="n">
        <v>0</v>
      </c>
      <c r="N541" t="n">
        <v>0</v>
      </c>
      <c r="O541" t="n">
        <v>0</v>
      </c>
      <c r="P541" t="n">
        <v>0</v>
      </c>
      <c r="Q541" t="n">
        <v>0</v>
      </c>
      <c r="R541" s="2" t="inlineStr"/>
    </row>
    <row r="542" ht="15" customHeight="1">
      <c r="A542" t="inlineStr">
        <is>
          <t>A 32055-2021</t>
        </is>
      </c>
      <c r="B542" s="1" t="n">
        <v>44370</v>
      </c>
      <c r="C542" s="1" t="n">
        <v>45578</v>
      </c>
      <c r="D542" t="inlineStr">
        <is>
          <t>STOCKHOLMS LÄN</t>
        </is>
      </c>
      <c r="E542" t="inlineStr">
        <is>
          <t>NORRTÄLJE</t>
        </is>
      </c>
      <c r="G542" t="n">
        <v>1.2</v>
      </c>
      <c r="H542" t="n">
        <v>0</v>
      </c>
      <c r="I542" t="n">
        <v>0</v>
      </c>
      <c r="J542" t="n">
        <v>0</v>
      </c>
      <c r="K542" t="n">
        <v>0</v>
      </c>
      <c r="L542" t="n">
        <v>0</v>
      </c>
      <c r="M542" t="n">
        <v>0</v>
      </c>
      <c r="N542" t="n">
        <v>0</v>
      </c>
      <c r="O542" t="n">
        <v>0</v>
      </c>
      <c r="P542" t="n">
        <v>0</v>
      </c>
      <c r="Q542" t="n">
        <v>0</v>
      </c>
      <c r="R542" s="2" t="inlineStr"/>
    </row>
    <row r="543" ht="15" customHeight="1">
      <c r="A543" t="inlineStr">
        <is>
          <t>A 32561-2021</t>
        </is>
      </c>
      <c r="B543" s="1" t="n">
        <v>44375</v>
      </c>
      <c r="C543" s="1" t="n">
        <v>45578</v>
      </c>
      <c r="D543" t="inlineStr">
        <is>
          <t>STOCKHOLMS LÄN</t>
        </is>
      </c>
      <c r="E543" t="inlineStr">
        <is>
          <t>NORRTÄLJE</t>
        </is>
      </c>
      <c r="G543" t="n">
        <v>3.4</v>
      </c>
      <c r="H543" t="n">
        <v>0</v>
      </c>
      <c r="I543" t="n">
        <v>0</v>
      </c>
      <c r="J543" t="n">
        <v>0</v>
      </c>
      <c r="K543" t="n">
        <v>0</v>
      </c>
      <c r="L543" t="n">
        <v>0</v>
      </c>
      <c r="M543" t="n">
        <v>0</v>
      </c>
      <c r="N543" t="n">
        <v>0</v>
      </c>
      <c r="O543" t="n">
        <v>0</v>
      </c>
      <c r="P543" t="n">
        <v>0</v>
      </c>
      <c r="Q543" t="n">
        <v>0</v>
      </c>
      <c r="R543" s="2" t="inlineStr"/>
    </row>
    <row r="544" ht="15" customHeight="1">
      <c r="A544" t="inlineStr">
        <is>
          <t>A 32857-2021</t>
        </is>
      </c>
      <c r="B544" s="1" t="n">
        <v>44375</v>
      </c>
      <c r="C544" s="1" t="n">
        <v>45578</v>
      </c>
      <c r="D544" t="inlineStr">
        <is>
          <t>STOCKHOLMS LÄN</t>
        </is>
      </c>
      <c r="E544" t="inlineStr">
        <is>
          <t>NORRTÄLJE</t>
        </is>
      </c>
      <c r="G544" t="n">
        <v>2.9</v>
      </c>
      <c r="H544" t="n">
        <v>0</v>
      </c>
      <c r="I544" t="n">
        <v>0</v>
      </c>
      <c r="J544" t="n">
        <v>0</v>
      </c>
      <c r="K544" t="n">
        <v>0</v>
      </c>
      <c r="L544" t="n">
        <v>0</v>
      </c>
      <c r="M544" t="n">
        <v>0</v>
      </c>
      <c r="N544" t="n">
        <v>0</v>
      </c>
      <c r="O544" t="n">
        <v>0</v>
      </c>
      <c r="P544" t="n">
        <v>0</v>
      </c>
      <c r="Q544" t="n">
        <v>0</v>
      </c>
      <c r="R544" s="2" t="inlineStr"/>
    </row>
    <row r="545" ht="15" customHeight="1">
      <c r="A545" t="inlineStr">
        <is>
          <t>A 33053-2021</t>
        </is>
      </c>
      <c r="B545" s="1" t="n">
        <v>44376</v>
      </c>
      <c r="C545" s="1" t="n">
        <v>45578</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33046-2021</t>
        </is>
      </c>
      <c r="B546" s="1" t="n">
        <v>44376</v>
      </c>
      <c r="C546" s="1" t="n">
        <v>45578</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33040-2021</t>
        </is>
      </c>
      <c r="B547" s="1" t="n">
        <v>44376</v>
      </c>
      <c r="C547" s="1" t="n">
        <v>45578</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34520-2021</t>
        </is>
      </c>
      <c r="B548" s="1" t="n">
        <v>44379</v>
      </c>
      <c r="C548" s="1" t="n">
        <v>45578</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34432-2021</t>
        </is>
      </c>
      <c r="B549" s="1" t="n">
        <v>44380</v>
      </c>
      <c r="C549" s="1" t="n">
        <v>45578</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34431-2021</t>
        </is>
      </c>
      <c r="B550" s="1" t="n">
        <v>44380</v>
      </c>
      <c r="C550" s="1" t="n">
        <v>45578</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34436-2021</t>
        </is>
      </c>
      <c r="B551" s="1" t="n">
        <v>44380</v>
      </c>
      <c r="C551" s="1" t="n">
        <v>45578</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34731-2021</t>
        </is>
      </c>
      <c r="B552" s="1" t="n">
        <v>44382</v>
      </c>
      <c r="C552" s="1" t="n">
        <v>45578</v>
      </c>
      <c r="D552" t="inlineStr">
        <is>
          <t>STOCKHOLMS LÄN</t>
        </is>
      </c>
      <c r="E552" t="inlineStr">
        <is>
          <t>NORRTÄLJE</t>
        </is>
      </c>
      <c r="G552" t="n">
        <v>0.2</v>
      </c>
      <c r="H552" t="n">
        <v>0</v>
      </c>
      <c r="I552" t="n">
        <v>0</v>
      </c>
      <c r="J552" t="n">
        <v>0</v>
      </c>
      <c r="K552" t="n">
        <v>0</v>
      </c>
      <c r="L552" t="n">
        <v>0</v>
      </c>
      <c r="M552" t="n">
        <v>0</v>
      </c>
      <c r="N552" t="n">
        <v>0</v>
      </c>
      <c r="O552" t="n">
        <v>0</v>
      </c>
      <c r="P552" t="n">
        <v>0</v>
      </c>
      <c r="Q552" t="n">
        <v>0</v>
      </c>
      <c r="R552" s="2" t="inlineStr"/>
    </row>
    <row r="553" ht="15" customHeight="1">
      <c r="A553" t="inlineStr">
        <is>
          <t>A 34792-2021</t>
        </is>
      </c>
      <c r="B553" s="1" t="n">
        <v>44383</v>
      </c>
      <c r="C553" s="1" t="n">
        <v>45578</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36246-2021</t>
        </is>
      </c>
      <c r="B554" s="1" t="n">
        <v>44390</v>
      </c>
      <c r="C554" s="1" t="n">
        <v>45578</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36565-2021</t>
        </is>
      </c>
      <c r="B555" s="1" t="n">
        <v>44391</v>
      </c>
      <c r="C555" s="1" t="n">
        <v>45578</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37085-2021</t>
        </is>
      </c>
      <c r="B556" s="1" t="n">
        <v>44395</v>
      </c>
      <c r="C556" s="1" t="n">
        <v>45578</v>
      </c>
      <c r="D556" t="inlineStr">
        <is>
          <t>STOCKHOLMS LÄN</t>
        </is>
      </c>
      <c r="E556" t="inlineStr">
        <is>
          <t>NORRTÄLJE</t>
        </is>
      </c>
      <c r="G556" t="n">
        <v>11</v>
      </c>
      <c r="H556" t="n">
        <v>0</v>
      </c>
      <c r="I556" t="n">
        <v>0</v>
      </c>
      <c r="J556" t="n">
        <v>0</v>
      </c>
      <c r="K556" t="n">
        <v>0</v>
      </c>
      <c r="L556" t="n">
        <v>0</v>
      </c>
      <c r="M556" t="n">
        <v>0</v>
      </c>
      <c r="N556" t="n">
        <v>0</v>
      </c>
      <c r="O556" t="n">
        <v>0</v>
      </c>
      <c r="P556" t="n">
        <v>0</v>
      </c>
      <c r="Q556" t="n">
        <v>0</v>
      </c>
      <c r="R556" s="2" t="inlineStr"/>
    </row>
    <row r="557" ht="15" customHeight="1">
      <c r="A557" t="inlineStr">
        <is>
          <t>A 37344-2021</t>
        </is>
      </c>
      <c r="B557" s="1" t="n">
        <v>44397</v>
      </c>
      <c r="C557" s="1" t="n">
        <v>45578</v>
      </c>
      <c r="D557" t="inlineStr">
        <is>
          <t>STOCKHOLMS LÄN</t>
        </is>
      </c>
      <c r="E557" t="inlineStr">
        <is>
          <t>NORRTÄLJE</t>
        </is>
      </c>
      <c r="G557" t="n">
        <v>1.6</v>
      </c>
      <c r="H557" t="n">
        <v>0</v>
      </c>
      <c r="I557" t="n">
        <v>0</v>
      </c>
      <c r="J557" t="n">
        <v>0</v>
      </c>
      <c r="K557" t="n">
        <v>0</v>
      </c>
      <c r="L557" t="n">
        <v>0</v>
      </c>
      <c r="M557" t="n">
        <v>0</v>
      </c>
      <c r="N557" t="n">
        <v>0</v>
      </c>
      <c r="O557" t="n">
        <v>0</v>
      </c>
      <c r="P557" t="n">
        <v>0</v>
      </c>
      <c r="Q557" t="n">
        <v>0</v>
      </c>
      <c r="R557" s="2" t="inlineStr"/>
    </row>
    <row r="558" ht="15" customHeight="1">
      <c r="A558" t="inlineStr">
        <is>
          <t>A 37415-2021</t>
        </is>
      </c>
      <c r="B558" s="1" t="n">
        <v>44397</v>
      </c>
      <c r="C558" s="1" t="n">
        <v>45578</v>
      </c>
      <c r="D558" t="inlineStr">
        <is>
          <t>STOCKHOLMS LÄN</t>
        </is>
      </c>
      <c r="E558" t="inlineStr">
        <is>
          <t>NORRTÄLJE</t>
        </is>
      </c>
      <c r="F558" t="inlineStr">
        <is>
          <t>Övriga Aktiebolag</t>
        </is>
      </c>
      <c r="G558" t="n">
        <v>3</v>
      </c>
      <c r="H558" t="n">
        <v>0</v>
      </c>
      <c r="I558" t="n">
        <v>0</v>
      </c>
      <c r="J558" t="n">
        <v>0</v>
      </c>
      <c r="K558" t="n">
        <v>0</v>
      </c>
      <c r="L558" t="n">
        <v>0</v>
      </c>
      <c r="M558" t="n">
        <v>0</v>
      </c>
      <c r="N558" t="n">
        <v>0</v>
      </c>
      <c r="O558" t="n">
        <v>0</v>
      </c>
      <c r="P558" t="n">
        <v>0</v>
      </c>
      <c r="Q558" t="n">
        <v>0</v>
      </c>
      <c r="R558" s="2" t="inlineStr"/>
    </row>
    <row r="559" ht="15" customHeight="1">
      <c r="A559" t="inlineStr">
        <is>
          <t>A 37444-2021</t>
        </is>
      </c>
      <c r="B559" s="1" t="n">
        <v>44398</v>
      </c>
      <c r="C559" s="1" t="n">
        <v>45578</v>
      </c>
      <c r="D559" t="inlineStr">
        <is>
          <t>STOCKHOLMS LÄN</t>
        </is>
      </c>
      <c r="E559" t="inlineStr">
        <is>
          <t>NORRTÄLJE</t>
        </is>
      </c>
      <c r="F559" t="inlineStr">
        <is>
          <t>Holmen skog AB</t>
        </is>
      </c>
      <c r="G559" t="n">
        <v>3.2</v>
      </c>
      <c r="H559" t="n">
        <v>0</v>
      </c>
      <c r="I559" t="n">
        <v>0</v>
      </c>
      <c r="J559" t="n">
        <v>0</v>
      </c>
      <c r="K559" t="n">
        <v>0</v>
      </c>
      <c r="L559" t="n">
        <v>0</v>
      </c>
      <c r="M559" t="n">
        <v>0</v>
      </c>
      <c r="N559" t="n">
        <v>0</v>
      </c>
      <c r="O559" t="n">
        <v>0</v>
      </c>
      <c r="P559" t="n">
        <v>0</v>
      </c>
      <c r="Q559" t="n">
        <v>0</v>
      </c>
      <c r="R559" s="2" t="inlineStr"/>
    </row>
    <row r="560" ht="15" customHeight="1">
      <c r="A560" t="inlineStr">
        <is>
          <t>A 37462-2021</t>
        </is>
      </c>
      <c r="B560" s="1" t="n">
        <v>44398</v>
      </c>
      <c r="C560" s="1" t="n">
        <v>45578</v>
      </c>
      <c r="D560" t="inlineStr">
        <is>
          <t>STOCKHOLMS LÄN</t>
        </is>
      </c>
      <c r="E560" t="inlineStr">
        <is>
          <t>NORRTÄLJE</t>
        </is>
      </c>
      <c r="G560" t="n">
        <v>3.5</v>
      </c>
      <c r="H560" t="n">
        <v>0</v>
      </c>
      <c r="I560" t="n">
        <v>0</v>
      </c>
      <c r="J560" t="n">
        <v>0</v>
      </c>
      <c r="K560" t="n">
        <v>0</v>
      </c>
      <c r="L560" t="n">
        <v>0</v>
      </c>
      <c r="M560" t="n">
        <v>0</v>
      </c>
      <c r="N560" t="n">
        <v>0</v>
      </c>
      <c r="O560" t="n">
        <v>0</v>
      </c>
      <c r="P560" t="n">
        <v>0</v>
      </c>
      <c r="Q560" t="n">
        <v>0</v>
      </c>
      <c r="R560" s="2" t="inlineStr"/>
    </row>
    <row r="561" ht="15" customHeight="1">
      <c r="A561" t="inlineStr">
        <is>
          <t>A 37530-2021</t>
        </is>
      </c>
      <c r="B561" s="1" t="n">
        <v>44399</v>
      </c>
      <c r="C561" s="1" t="n">
        <v>45578</v>
      </c>
      <c r="D561" t="inlineStr">
        <is>
          <t>STOCKHOLMS LÄN</t>
        </is>
      </c>
      <c r="E561" t="inlineStr">
        <is>
          <t>NORRTÄLJE</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37522-2021</t>
        </is>
      </c>
      <c r="B562" s="1" t="n">
        <v>44399</v>
      </c>
      <c r="C562" s="1" t="n">
        <v>45578</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37525-2021</t>
        </is>
      </c>
      <c r="B563" s="1" t="n">
        <v>44399</v>
      </c>
      <c r="C563" s="1" t="n">
        <v>45578</v>
      </c>
      <c r="D563" t="inlineStr">
        <is>
          <t>STOCKHOLMS LÄN</t>
        </is>
      </c>
      <c r="E563" t="inlineStr">
        <is>
          <t>NORRTÄLJE</t>
        </is>
      </c>
      <c r="F563" t="inlineStr">
        <is>
          <t>Holmen skog AB</t>
        </is>
      </c>
      <c r="G563" t="n">
        <v>2.5</v>
      </c>
      <c r="H563" t="n">
        <v>0</v>
      </c>
      <c r="I563" t="n">
        <v>0</v>
      </c>
      <c r="J563" t="n">
        <v>0</v>
      </c>
      <c r="K563" t="n">
        <v>0</v>
      </c>
      <c r="L563" t="n">
        <v>0</v>
      </c>
      <c r="M563" t="n">
        <v>0</v>
      </c>
      <c r="N563" t="n">
        <v>0</v>
      </c>
      <c r="O563" t="n">
        <v>0</v>
      </c>
      <c r="P563" t="n">
        <v>0</v>
      </c>
      <c r="Q563" t="n">
        <v>0</v>
      </c>
      <c r="R563" s="2" t="inlineStr"/>
    </row>
    <row r="564" ht="15" customHeight="1">
      <c r="A564" t="inlineStr">
        <is>
          <t>A 37712-2021</t>
        </is>
      </c>
      <c r="B564" s="1" t="n">
        <v>44400</v>
      </c>
      <c r="C564" s="1" t="n">
        <v>45578</v>
      </c>
      <c r="D564" t="inlineStr">
        <is>
          <t>STOCKHOLMS LÄN</t>
        </is>
      </c>
      <c r="E564" t="inlineStr">
        <is>
          <t>NORRTÄLJE</t>
        </is>
      </c>
      <c r="G564" t="n">
        <v>22.9</v>
      </c>
      <c r="H564" t="n">
        <v>0</v>
      </c>
      <c r="I564" t="n">
        <v>0</v>
      </c>
      <c r="J564" t="n">
        <v>0</v>
      </c>
      <c r="K564" t="n">
        <v>0</v>
      </c>
      <c r="L564" t="n">
        <v>0</v>
      </c>
      <c r="M564" t="n">
        <v>0</v>
      </c>
      <c r="N564" t="n">
        <v>0</v>
      </c>
      <c r="O564" t="n">
        <v>0</v>
      </c>
      <c r="P564" t="n">
        <v>0</v>
      </c>
      <c r="Q564" t="n">
        <v>0</v>
      </c>
      <c r="R564" s="2" t="inlineStr"/>
    </row>
    <row r="565" ht="15" customHeight="1">
      <c r="A565" t="inlineStr">
        <is>
          <t>A 37859-2021</t>
        </is>
      </c>
      <c r="B565" s="1" t="n">
        <v>44403</v>
      </c>
      <c r="C565" s="1" t="n">
        <v>45578</v>
      </c>
      <c r="D565" t="inlineStr">
        <is>
          <t>STOCKHOLMS LÄN</t>
        </is>
      </c>
      <c r="E565" t="inlineStr">
        <is>
          <t>NORRTÄLJE</t>
        </is>
      </c>
      <c r="F565" t="inlineStr">
        <is>
          <t>Holmen skog AB</t>
        </is>
      </c>
      <c r="G565" t="n">
        <v>6.9</v>
      </c>
      <c r="H565" t="n">
        <v>0</v>
      </c>
      <c r="I565" t="n">
        <v>0</v>
      </c>
      <c r="J565" t="n">
        <v>0</v>
      </c>
      <c r="K565" t="n">
        <v>0</v>
      </c>
      <c r="L565" t="n">
        <v>0</v>
      </c>
      <c r="M565" t="n">
        <v>0</v>
      </c>
      <c r="N565" t="n">
        <v>0</v>
      </c>
      <c r="O565" t="n">
        <v>0</v>
      </c>
      <c r="P565" t="n">
        <v>0</v>
      </c>
      <c r="Q565" t="n">
        <v>0</v>
      </c>
      <c r="R565" s="2" t="inlineStr"/>
    </row>
    <row r="566" ht="15" customHeight="1">
      <c r="A566" t="inlineStr">
        <is>
          <t>A 39157-2021</t>
        </is>
      </c>
      <c r="B566" s="1" t="n">
        <v>44412</v>
      </c>
      <c r="C566" s="1" t="n">
        <v>45578</v>
      </c>
      <c r="D566" t="inlineStr">
        <is>
          <t>STOCKHOLMS LÄN</t>
        </is>
      </c>
      <c r="E566" t="inlineStr">
        <is>
          <t>NORRTÄLJE</t>
        </is>
      </c>
      <c r="G566" t="n">
        <v>3.1</v>
      </c>
      <c r="H566" t="n">
        <v>0</v>
      </c>
      <c r="I566" t="n">
        <v>0</v>
      </c>
      <c r="J566" t="n">
        <v>0</v>
      </c>
      <c r="K566" t="n">
        <v>0</v>
      </c>
      <c r="L566" t="n">
        <v>0</v>
      </c>
      <c r="M566" t="n">
        <v>0</v>
      </c>
      <c r="N566" t="n">
        <v>0</v>
      </c>
      <c r="O566" t="n">
        <v>0</v>
      </c>
      <c r="P566" t="n">
        <v>0</v>
      </c>
      <c r="Q566" t="n">
        <v>0</v>
      </c>
      <c r="R566" s="2" t="inlineStr"/>
    </row>
    <row r="567" ht="15" customHeight="1">
      <c r="A567" t="inlineStr">
        <is>
          <t>A 39496-2021</t>
        </is>
      </c>
      <c r="B567" s="1" t="n">
        <v>44414</v>
      </c>
      <c r="C567" s="1" t="n">
        <v>45578</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39497-2021</t>
        </is>
      </c>
      <c r="B568" s="1" t="n">
        <v>44414</v>
      </c>
      <c r="C568" s="1" t="n">
        <v>45578</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40425-2021</t>
        </is>
      </c>
      <c r="B569" s="1" t="n">
        <v>44419</v>
      </c>
      <c r="C569" s="1" t="n">
        <v>45578</v>
      </c>
      <c r="D569" t="inlineStr">
        <is>
          <t>STOCKHOLMS LÄN</t>
        </is>
      </c>
      <c r="E569" t="inlineStr">
        <is>
          <t>NORRTÄLJE</t>
        </is>
      </c>
      <c r="G569" t="n">
        <v>5</v>
      </c>
      <c r="H569" t="n">
        <v>0</v>
      </c>
      <c r="I569" t="n">
        <v>0</v>
      </c>
      <c r="J569" t="n">
        <v>0</v>
      </c>
      <c r="K569" t="n">
        <v>0</v>
      </c>
      <c r="L569" t="n">
        <v>0</v>
      </c>
      <c r="M569" t="n">
        <v>0</v>
      </c>
      <c r="N569" t="n">
        <v>0</v>
      </c>
      <c r="O569" t="n">
        <v>0</v>
      </c>
      <c r="P569" t="n">
        <v>0</v>
      </c>
      <c r="Q569" t="n">
        <v>0</v>
      </c>
      <c r="R569" s="2" t="inlineStr"/>
    </row>
    <row r="570" ht="15" customHeight="1">
      <c r="A570" t="inlineStr">
        <is>
          <t>A 40542-2021</t>
        </is>
      </c>
      <c r="B570" s="1" t="n">
        <v>44420</v>
      </c>
      <c r="C570" s="1" t="n">
        <v>45578</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40546-2021</t>
        </is>
      </c>
      <c r="B571" s="1" t="n">
        <v>44420</v>
      </c>
      <c r="C571" s="1" t="n">
        <v>45578</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41595-2021</t>
        </is>
      </c>
      <c r="B572" s="1" t="n">
        <v>44425</v>
      </c>
      <c r="C572" s="1" t="n">
        <v>45578</v>
      </c>
      <c r="D572" t="inlineStr">
        <is>
          <t>STOCKHOLMS LÄN</t>
        </is>
      </c>
      <c r="E572" t="inlineStr">
        <is>
          <t>NORRTÄLJE</t>
        </is>
      </c>
      <c r="G572" t="n">
        <v>3.2</v>
      </c>
      <c r="H572" t="n">
        <v>0</v>
      </c>
      <c r="I572" t="n">
        <v>0</v>
      </c>
      <c r="J572" t="n">
        <v>0</v>
      </c>
      <c r="K572" t="n">
        <v>0</v>
      </c>
      <c r="L572" t="n">
        <v>0</v>
      </c>
      <c r="M572" t="n">
        <v>0</v>
      </c>
      <c r="N572" t="n">
        <v>0</v>
      </c>
      <c r="O572" t="n">
        <v>0</v>
      </c>
      <c r="P572" t="n">
        <v>0</v>
      </c>
      <c r="Q572" t="n">
        <v>0</v>
      </c>
      <c r="R572" s="2" t="inlineStr"/>
    </row>
    <row r="573" ht="15" customHeight="1">
      <c r="A573" t="inlineStr">
        <is>
          <t>A 41823-2021</t>
        </is>
      </c>
      <c r="B573" s="1" t="n">
        <v>44425</v>
      </c>
      <c r="C573" s="1" t="n">
        <v>45578</v>
      </c>
      <c r="D573" t="inlineStr">
        <is>
          <t>STOCKHOLMS LÄN</t>
        </is>
      </c>
      <c r="E573" t="inlineStr">
        <is>
          <t>NORRTÄLJE</t>
        </is>
      </c>
      <c r="G573" t="n">
        <v>2.4</v>
      </c>
      <c r="H573" t="n">
        <v>0</v>
      </c>
      <c r="I573" t="n">
        <v>0</v>
      </c>
      <c r="J573" t="n">
        <v>0</v>
      </c>
      <c r="K573" t="n">
        <v>0</v>
      </c>
      <c r="L573" t="n">
        <v>0</v>
      </c>
      <c r="M573" t="n">
        <v>0</v>
      </c>
      <c r="N573" t="n">
        <v>0</v>
      </c>
      <c r="O573" t="n">
        <v>0</v>
      </c>
      <c r="P573" t="n">
        <v>0</v>
      </c>
      <c r="Q573" t="n">
        <v>0</v>
      </c>
      <c r="R573" s="2" t="inlineStr"/>
    </row>
    <row r="574" ht="15" customHeight="1">
      <c r="A574" t="inlineStr">
        <is>
          <t>A 41822-2021</t>
        </is>
      </c>
      <c r="B574" s="1" t="n">
        <v>44425</v>
      </c>
      <c r="C574" s="1" t="n">
        <v>45578</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42396-2021</t>
        </is>
      </c>
      <c r="B575" s="1" t="n">
        <v>44427</v>
      </c>
      <c r="C575" s="1" t="n">
        <v>45578</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43478-2021</t>
        </is>
      </c>
      <c r="B576" s="1" t="n">
        <v>44432</v>
      </c>
      <c r="C576" s="1" t="n">
        <v>45578</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44274-2021</t>
        </is>
      </c>
      <c r="B577" s="1" t="n">
        <v>44435</v>
      </c>
      <c r="C577" s="1" t="n">
        <v>45578</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47344-2021</t>
        </is>
      </c>
      <c r="B578" s="1" t="n">
        <v>44447</v>
      </c>
      <c r="C578" s="1" t="n">
        <v>45578</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47349-2021</t>
        </is>
      </c>
      <c r="B579" s="1" t="n">
        <v>44447</v>
      </c>
      <c r="C579" s="1" t="n">
        <v>45578</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47691-2021</t>
        </is>
      </c>
      <c r="B580" s="1" t="n">
        <v>44448</v>
      </c>
      <c r="C580" s="1" t="n">
        <v>45578</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48384-2021</t>
        </is>
      </c>
      <c r="B581" s="1" t="n">
        <v>44451</v>
      </c>
      <c r="C581" s="1" t="n">
        <v>45578</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48798-2021</t>
        </is>
      </c>
      <c r="B582" s="1" t="n">
        <v>44452</v>
      </c>
      <c r="C582" s="1" t="n">
        <v>45578</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48932-2021</t>
        </is>
      </c>
      <c r="B583" s="1" t="n">
        <v>44453</v>
      </c>
      <c r="C583" s="1" t="n">
        <v>45578</v>
      </c>
      <c r="D583" t="inlineStr">
        <is>
          <t>STOCKHOLMS LÄN</t>
        </is>
      </c>
      <c r="E583" t="inlineStr">
        <is>
          <t>NORRTÄLJE</t>
        </is>
      </c>
      <c r="G583" t="n">
        <v>11.2</v>
      </c>
      <c r="H583" t="n">
        <v>0</v>
      </c>
      <c r="I583" t="n">
        <v>0</v>
      </c>
      <c r="J583" t="n">
        <v>0</v>
      </c>
      <c r="K583" t="n">
        <v>0</v>
      </c>
      <c r="L583" t="n">
        <v>0</v>
      </c>
      <c r="M583" t="n">
        <v>0</v>
      </c>
      <c r="N583" t="n">
        <v>0</v>
      </c>
      <c r="O583" t="n">
        <v>0</v>
      </c>
      <c r="P583" t="n">
        <v>0</v>
      </c>
      <c r="Q583" t="n">
        <v>0</v>
      </c>
      <c r="R583" s="2" t="inlineStr"/>
    </row>
    <row r="584" ht="15" customHeight="1">
      <c r="A584" t="inlineStr">
        <is>
          <t>A 49113-2021</t>
        </is>
      </c>
      <c r="B584" s="1" t="n">
        <v>44453</v>
      </c>
      <c r="C584" s="1" t="n">
        <v>45578</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50038-2021</t>
        </is>
      </c>
      <c r="B585" s="1" t="n">
        <v>44456</v>
      </c>
      <c r="C585" s="1" t="n">
        <v>45578</v>
      </c>
      <c r="D585" t="inlineStr">
        <is>
          <t>STOCKHOLMS LÄN</t>
        </is>
      </c>
      <c r="E585" t="inlineStr">
        <is>
          <t>NORRTÄLJE</t>
        </is>
      </c>
      <c r="G585" t="n">
        <v>4.2</v>
      </c>
      <c r="H585" t="n">
        <v>0</v>
      </c>
      <c r="I585" t="n">
        <v>0</v>
      </c>
      <c r="J585" t="n">
        <v>0</v>
      </c>
      <c r="K585" t="n">
        <v>0</v>
      </c>
      <c r="L585" t="n">
        <v>0</v>
      </c>
      <c r="M585" t="n">
        <v>0</v>
      </c>
      <c r="N585" t="n">
        <v>0</v>
      </c>
      <c r="O585" t="n">
        <v>0</v>
      </c>
      <c r="P585" t="n">
        <v>0</v>
      </c>
      <c r="Q585" t="n">
        <v>0</v>
      </c>
      <c r="R585" s="2" t="inlineStr"/>
    </row>
    <row r="586" ht="15" customHeight="1">
      <c r="A586" t="inlineStr">
        <is>
          <t>A 50108-2021</t>
        </is>
      </c>
      <c r="B586" s="1" t="n">
        <v>44456</v>
      </c>
      <c r="C586" s="1" t="n">
        <v>45578</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50252-2021</t>
        </is>
      </c>
      <c r="B587" s="1" t="n">
        <v>44458</v>
      </c>
      <c r="C587" s="1" t="n">
        <v>45578</v>
      </c>
      <c r="D587" t="inlineStr">
        <is>
          <t>STOCKHOLMS LÄN</t>
        </is>
      </c>
      <c r="E587" t="inlineStr">
        <is>
          <t>NORRTÄLJE</t>
        </is>
      </c>
      <c r="G587" t="n">
        <v>1.5</v>
      </c>
      <c r="H587" t="n">
        <v>0</v>
      </c>
      <c r="I587" t="n">
        <v>0</v>
      </c>
      <c r="J587" t="n">
        <v>0</v>
      </c>
      <c r="K587" t="n">
        <v>0</v>
      </c>
      <c r="L587" t="n">
        <v>0</v>
      </c>
      <c r="M587" t="n">
        <v>0</v>
      </c>
      <c r="N587" t="n">
        <v>0</v>
      </c>
      <c r="O587" t="n">
        <v>0</v>
      </c>
      <c r="P587" t="n">
        <v>0</v>
      </c>
      <c r="Q587" t="n">
        <v>0</v>
      </c>
      <c r="R587" s="2" t="inlineStr"/>
    </row>
    <row r="588" ht="15" customHeight="1">
      <c r="A588" t="inlineStr">
        <is>
          <t>A 50602-2021</t>
        </is>
      </c>
      <c r="B588" s="1" t="n">
        <v>44459</v>
      </c>
      <c r="C588" s="1" t="n">
        <v>45578</v>
      </c>
      <c r="D588" t="inlineStr">
        <is>
          <t>STOCKHOLMS LÄN</t>
        </is>
      </c>
      <c r="E588" t="inlineStr">
        <is>
          <t>NORRTÄLJE</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51279-2021</t>
        </is>
      </c>
      <c r="B589" s="1" t="n">
        <v>44461</v>
      </c>
      <c r="C589" s="1" t="n">
        <v>45578</v>
      </c>
      <c r="D589" t="inlineStr">
        <is>
          <t>STOCKHOLMS LÄN</t>
        </is>
      </c>
      <c r="E589" t="inlineStr">
        <is>
          <t>NORRTÄLJE</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51315-2021</t>
        </is>
      </c>
      <c r="B590" s="1" t="n">
        <v>44461</v>
      </c>
      <c r="C590" s="1" t="n">
        <v>45578</v>
      </c>
      <c r="D590" t="inlineStr">
        <is>
          <t>STOCKHOLMS LÄN</t>
        </is>
      </c>
      <c r="E590" t="inlineStr">
        <is>
          <t>NORRTÄLJE</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52090-2021</t>
        </is>
      </c>
      <c r="B591" s="1" t="n">
        <v>44463</v>
      </c>
      <c r="C591" s="1" t="n">
        <v>45578</v>
      </c>
      <c r="D591" t="inlineStr">
        <is>
          <t>STOCKHOLMS LÄN</t>
        </is>
      </c>
      <c r="E591" t="inlineStr">
        <is>
          <t>NORRTÄLJE</t>
        </is>
      </c>
      <c r="G591" t="n">
        <v>3.6</v>
      </c>
      <c r="H591" t="n">
        <v>0</v>
      </c>
      <c r="I591" t="n">
        <v>0</v>
      </c>
      <c r="J591" t="n">
        <v>0</v>
      </c>
      <c r="K591" t="n">
        <v>0</v>
      </c>
      <c r="L591" t="n">
        <v>0</v>
      </c>
      <c r="M591" t="n">
        <v>0</v>
      </c>
      <c r="N591" t="n">
        <v>0</v>
      </c>
      <c r="O591" t="n">
        <v>0</v>
      </c>
      <c r="P591" t="n">
        <v>0</v>
      </c>
      <c r="Q591" t="n">
        <v>0</v>
      </c>
      <c r="R591" s="2" t="inlineStr"/>
    </row>
    <row r="592" ht="15" customHeight="1">
      <c r="A592" t="inlineStr">
        <is>
          <t>A 52449-2021</t>
        </is>
      </c>
      <c r="B592" s="1" t="n">
        <v>44466</v>
      </c>
      <c r="C592" s="1" t="n">
        <v>45578</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54276-2021</t>
        </is>
      </c>
      <c r="B593" s="1" t="n">
        <v>44470</v>
      </c>
      <c r="C593" s="1" t="n">
        <v>45578</v>
      </c>
      <c r="D593" t="inlineStr">
        <is>
          <t>STOCKHOLMS LÄN</t>
        </is>
      </c>
      <c r="E593" t="inlineStr">
        <is>
          <t>NORRTÄLJE</t>
        </is>
      </c>
      <c r="G593" t="n">
        <v>7.3</v>
      </c>
      <c r="H593" t="n">
        <v>0</v>
      </c>
      <c r="I593" t="n">
        <v>0</v>
      </c>
      <c r="J593" t="n">
        <v>0</v>
      </c>
      <c r="K593" t="n">
        <v>0</v>
      </c>
      <c r="L593" t="n">
        <v>0</v>
      </c>
      <c r="M593" t="n">
        <v>0</v>
      </c>
      <c r="N593" t="n">
        <v>0</v>
      </c>
      <c r="O593" t="n">
        <v>0</v>
      </c>
      <c r="P593" t="n">
        <v>0</v>
      </c>
      <c r="Q593" t="n">
        <v>0</v>
      </c>
      <c r="R593" s="2" t="inlineStr"/>
    </row>
    <row r="594" ht="15" customHeight="1">
      <c r="A594" t="inlineStr">
        <is>
          <t>A 54273-2021</t>
        </is>
      </c>
      <c r="B594" s="1" t="n">
        <v>44470</v>
      </c>
      <c r="C594" s="1" t="n">
        <v>45578</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54272-2021</t>
        </is>
      </c>
      <c r="B595" s="1" t="n">
        <v>44470</v>
      </c>
      <c r="C595" s="1" t="n">
        <v>45578</v>
      </c>
      <c r="D595" t="inlineStr">
        <is>
          <t>STOCKHOLMS LÄN</t>
        </is>
      </c>
      <c r="E595" t="inlineStr">
        <is>
          <t>NORRTÄLJE</t>
        </is>
      </c>
      <c r="G595" t="n">
        <v>5.8</v>
      </c>
      <c r="H595" t="n">
        <v>0</v>
      </c>
      <c r="I595" t="n">
        <v>0</v>
      </c>
      <c r="J595" t="n">
        <v>0</v>
      </c>
      <c r="K595" t="n">
        <v>0</v>
      </c>
      <c r="L595" t="n">
        <v>0</v>
      </c>
      <c r="M595" t="n">
        <v>0</v>
      </c>
      <c r="N595" t="n">
        <v>0</v>
      </c>
      <c r="O595" t="n">
        <v>0</v>
      </c>
      <c r="P595" t="n">
        <v>0</v>
      </c>
      <c r="Q595" t="n">
        <v>0</v>
      </c>
      <c r="R595" s="2" t="inlineStr"/>
    </row>
    <row r="596" ht="15" customHeight="1">
      <c r="A596" t="inlineStr">
        <is>
          <t>A 54396-2021</t>
        </is>
      </c>
      <c r="B596" s="1" t="n">
        <v>44472</v>
      </c>
      <c r="C596" s="1" t="n">
        <v>45578</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55058-2021</t>
        </is>
      </c>
      <c r="B597" s="1" t="n">
        <v>44474</v>
      </c>
      <c r="C597" s="1" t="n">
        <v>45578</v>
      </c>
      <c r="D597" t="inlineStr">
        <is>
          <t>STOCKHOLMS LÄN</t>
        </is>
      </c>
      <c r="E597" t="inlineStr">
        <is>
          <t>NORRTÄLJE</t>
        </is>
      </c>
      <c r="G597" t="n">
        <v>1.9</v>
      </c>
      <c r="H597" t="n">
        <v>0</v>
      </c>
      <c r="I597" t="n">
        <v>0</v>
      </c>
      <c r="J597" t="n">
        <v>0</v>
      </c>
      <c r="K597" t="n">
        <v>0</v>
      </c>
      <c r="L597" t="n">
        <v>0</v>
      </c>
      <c r="M597" t="n">
        <v>0</v>
      </c>
      <c r="N597" t="n">
        <v>0</v>
      </c>
      <c r="O597" t="n">
        <v>0</v>
      </c>
      <c r="P597" t="n">
        <v>0</v>
      </c>
      <c r="Q597" t="n">
        <v>0</v>
      </c>
      <c r="R597" s="2" t="inlineStr"/>
    </row>
    <row r="598" ht="15" customHeight="1">
      <c r="A598" t="inlineStr">
        <is>
          <t>A 56219-2021</t>
        </is>
      </c>
      <c r="B598" s="1" t="n">
        <v>44477</v>
      </c>
      <c r="C598" s="1" t="n">
        <v>45578</v>
      </c>
      <c r="D598" t="inlineStr">
        <is>
          <t>STOCKHOLMS LÄN</t>
        </is>
      </c>
      <c r="E598" t="inlineStr">
        <is>
          <t>NORRTÄLJE</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56225-2021</t>
        </is>
      </c>
      <c r="B599" s="1" t="n">
        <v>44478</v>
      </c>
      <c r="C599" s="1" t="n">
        <v>45578</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56878-2021</t>
        </is>
      </c>
      <c r="B600" s="1" t="n">
        <v>44481</v>
      </c>
      <c r="C600" s="1" t="n">
        <v>45578</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57442-2021</t>
        </is>
      </c>
      <c r="B601" s="1" t="n">
        <v>44483</v>
      </c>
      <c r="C601" s="1" t="n">
        <v>45578</v>
      </c>
      <c r="D601" t="inlineStr">
        <is>
          <t>STOCKHOLMS LÄN</t>
        </is>
      </c>
      <c r="E601" t="inlineStr">
        <is>
          <t>NORRTÄLJE</t>
        </is>
      </c>
      <c r="G601" t="n">
        <v>3.3</v>
      </c>
      <c r="H601" t="n">
        <v>0</v>
      </c>
      <c r="I601" t="n">
        <v>0</v>
      </c>
      <c r="J601" t="n">
        <v>0</v>
      </c>
      <c r="K601" t="n">
        <v>0</v>
      </c>
      <c r="L601" t="n">
        <v>0</v>
      </c>
      <c r="M601" t="n">
        <v>0</v>
      </c>
      <c r="N601" t="n">
        <v>0</v>
      </c>
      <c r="O601" t="n">
        <v>0</v>
      </c>
      <c r="P601" t="n">
        <v>0</v>
      </c>
      <c r="Q601" t="n">
        <v>0</v>
      </c>
      <c r="R601" s="2" t="inlineStr"/>
    </row>
    <row r="602" ht="15" customHeight="1">
      <c r="A602" t="inlineStr">
        <is>
          <t>A 57507-2021</t>
        </is>
      </c>
      <c r="B602" s="1" t="n">
        <v>44483</v>
      </c>
      <c r="C602" s="1" t="n">
        <v>45578</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58989-2021</t>
        </is>
      </c>
      <c r="B603" s="1" t="n">
        <v>44490</v>
      </c>
      <c r="C603" s="1" t="n">
        <v>45578</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58990-2021</t>
        </is>
      </c>
      <c r="B604" s="1" t="n">
        <v>44490</v>
      </c>
      <c r="C604" s="1" t="n">
        <v>45578</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60217-2021</t>
        </is>
      </c>
      <c r="B605" s="1" t="n">
        <v>44495</v>
      </c>
      <c r="C605" s="1" t="n">
        <v>45578</v>
      </c>
      <c r="D605" t="inlineStr">
        <is>
          <t>STOCKHOLMS LÄN</t>
        </is>
      </c>
      <c r="E605" t="inlineStr">
        <is>
          <t>NORRTÄLJE</t>
        </is>
      </c>
      <c r="G605" t="n">
        <v>4.3</v>
      </c>
      <c r="H605" t="n">
        <v>0</v>
      </c>
      <c r="I605" t="n">
        <v>0</v>
      </c>
      <c r="J605" t="n">
        <v>0</v>
      </c>
      <c r="K605" t="n">
        <v>0</v>
      </c>
      <c r="L605" t="n">
        <v>0</v>
      </c>
      <c r="M605" t="n">
        <v>0</v>
      </c>
      <c r="N605" t="n">
        <v>0</v>
      </c>
      <c r="O605" t="n">
        <v>0</v>
      </c>
      <c r="P605" t="n">
        <v>0</v>
      </c>
      <c r="Q605" t="n">
        <v>0</v>
      </c>
      <c r="R605" s="2" t="inlineStr"/>
    </row>
    <row r="606" ht="15" customHeight="1">
      <c r="A606" t="inlineStr">
        <is>
          <t>A 60184-2021</t>
        </is>
      </c>
      <c r="B606" s="1" t="n">
        <v>44495</v>
      </c>
      <c r="C606" s="1" t="n">
        <v>45578</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60186-2021</t>
        </is>
      </c>
      <c r="B607" s="1" t="n">
        <v>44495</v>
      </c>
      <c r="C607" s="1" t="n">
        <v>45578</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60209-2021</t>
        </is>
      </c>
      <c r="B608" s="1" t="n">
        <v>44495</v>
      </c>
      <c r="C608" s="1" t="n">
        <v>45578</v>
      </c>
      <c r="D608" t="inlineStr">
        <is>
          <t>STOCKHOLMS LÄN</t>
        </is>
      </c>
      <c r="E608" t="inlineStr">
        <is>
          <t>NORRTÄLJE</t>
        </is>
      </c>
      <c r="G608" t="n">
        <v>4.3</v>
      </c>
      <c r="H608" t="n">
        <v>0</v>
      </c>
      <c r="I608" t="n">
        <v>0</v>
      </c>
      <c r="J608" t="n">
        <v>0</v>
      </c>
      <c r="K608" t="n">
        <v>0</v>
      </c>
      <c r="L608" t="n">
        <v>0</v>
      </c>
      <c r="M608" t="n">
        <v>0</v>
      </c>
      <c r="N608" t="n">
        <v>0</v>
      </c>
      <c r="O608" t="n">
        <v>0</v>
      </c>
      <c r="P608" t="n">
        <v>0</v>
      </c>
      <c r="Q608" t="n">
        <v>0</v>
      </c>
      <c r="R608" s="2" t="inlineStr"/>
    </row>
    <row r="609" ht="15" customHeight="1">
      <c r="A609" t="inlineStr">
        <is>
          <t>A 60671-2021</t>
        </is>
      </c>
      <c r="B609" s="1" t="n">
        <v>44496</v>
      </c>
      <c r="C609" s="1" t="n">
        <v>45578</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v>
      </c>
      <c r="C610" s="1" t="n">
        <v>45578</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60813-2021</t>
        </is>
      </c>
      <c r="B611" s="1" t="n">
        <v>44496</v>
      </c>
      <c r="C611" s="1" t="n">
        <v>45578</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60822-2021</t>
        </is>
      </c>
      <c r="B612" s="1" t="n">
        <v>44496</v>
      </c>
      <c r="C612" s="1" t="n">
        <v>45578</v>
      </c>
      <c r="D612" t="inlineStr">
        <is>
          <t>STOCKHOLMS LÄN</t>
        </is>
      </c>
      <c r="E612" t="inlineStr">
        <is>
          <t>NORRTÄLJE</t>
        </is>
      </c>
      <c r="G612" t="n">
        <v>7.6</v>
      </c>
      <c r="H612" t="n">
        <v>0</v>
      </c>
      <c r="I612" t="n">
        <v>0</v>
      </c>
      <c r="J612" t="n">
        <v>0</v>
      </c>
      <c r="K612" t="n">
        <v>0</v>
      </c>
      <c r="L612" t="n">
        <v>0</v>
      </c>
      <c r="M612" t="n">
        <v>0</v>
      </c>
      <c r="N612" t="n">
        <v>0</v>
      </c>
      <c r="O612" t="n">
        <v>0</v>
      </c>
      <c r="P612" t="n">
        <v>0</v>
      </c>
      <c r="Q612" t="n">
        <v>0</v>
      </c>
      <c r="R612" s="2" t="inlineStr"/>
    </row>
    <row r="613" ht="15" customHeight="1">
      <c r="A613" t="inlineStr">
        <is>
          <t>A 62030-2021</t>
        </is>
      </c>
      <c r="B613" s="1" t="n">
        <v>44502</v>
      </c>
      <c r="C613" s="1" t="n">
        <v>45578</v>
      </c>
      <c r="D613" t="inlineStr">
        <is>
          <t>STOCKHOLMS LÄN</t>
        </is>
      </c>
      <c r="E613" t="inlineStr">
        <is>
          <t>NORRTÄLJE</t>
        </is>
      </c>
      <c r="G613" t="n">
        <v>4.7</v>
      </c>
      <c r="H613" t="n">
        <v>0</v>
      </c>
      <c r="I613" t="n">
        <v>0</v>
      </c>
      <c r="J613" t="n">
        <v>0</v>
      </c>
      <c r="K613" t="n">
        <v>0</v>
      </c>
      <c r="L613" t="n">
        <v>0</v>
      </c>
      <c r="M613" t="n">
        <v>0</v>
      </c>
      <c r="N613" t="n">
        <v>0</v>
      </c>
      <c r="O613" t="n">
        <v>0</v>
      </c>
      <c r="P613" t="n">
        <v>0</v>
      </c>
      <c r="Q613" t="n">
        <v>0</v>
      </c>
      <c r="R613" s="2" t="inlineStr"/>
    </row>
    <row r="614" ht="15" customHeight="1">
      <c r="A614" t="inlineStr">
        <is>
          <t>A 63530-2021</t>
        </is>
      </c>
      <c r="B614" s="1" t="n">
        <v>44508</v>
      </c>
      <c r="C614" s="1" t="n">
        <v>45578</v>
      </c>
      <c r="D614" t="inlineStr">
        <is>
          <t>STOCKHOLMS LÄN</t>
        </is>
      </c>
      <c r="E614" t="inlineStr">
        <is>
          <t>NORRTÄLJE</t>
        </is>
      </c>
      <c r="G614" t="n">
        <v>8.9</v>
      </c>
      <c r="H614" t="n">
        <v>0</v>
      </c>
      <c r="I614" t="n">
        <v>0</v>
      </c>
      <c r="J614" t="n">
        <v>0</v>
      </c>
      <c r="K614" t="n">
        <v>0</v>
      </c>
      <c r="L614" t="n">
        <v>0</v>
      </c>
      <c r="M614" t="n">
        <v>0</v>
      </c>
      <c r="N614" t="n">
        <v>0</v>
      </c>
      <c r="O614" t="n">
        <v>0</v>
      </c>
      <c r="P614" t="n">
        <v>0</v>
      </c>
      <c r="Q614" t="n">
        <v>0</v>
      </c>
      <c r="R614" s="2" t="inlineStr"/>
    </row>
    <row r="615" ht="15" customHeight="1">
      <c r="A615" t="inlineStr">
        <is>
          <t>A 64137-2021</t>
        </is>
      </c>
      <c r="B615" s="1" t="n">
        <v>44510</v>
      </c>
      <c r="C615" s="1" t="n">
        <v>45578</v>
      </c>
      <c r="D615" t="inlineStr">
        <is>
          <t>STOCKHOLMS LÄN</t>
        </is>
      </c>
      <c r="E615" t="inlineStr">
        <is>
          <t>NORRTÄLJE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64212-2021</t>
        </is>
      </c>
      <c r="B616" s="1" t="n">
        <v>44510</v>
      </c>
      <c r="C616" s="1" t="n">
        <v>45578</v>
      </c>
      <c r="D616" t="inlineStr">
        <is>
          <t>STOCKHOLMS LÄN</t>
        </is>
      </c>
      <c r="E616" t="inlineStr">
        <is>
          <t>NORRTÄLJE</t>
        </is>
      </c>
      <c r="G616" t="n">
        <v>28.7</v>
      </c>
      <c r="H616" t="n">
        <v>0</v>
      </c>
      <c r="I616" t="n">
        <v>0</v>
      </c>
      <c r="J616" t="n">
        <v>0</v>
      </c>
      <c r="K616" t="n">
        <v>0</v>
      </c>
      <c r="L616" t="n">
        <v>0</v>
      </c>
      <c r="M616" t="n">
        <v>0</v>
      </c>
      <c r="N616" t="n">
        <v>0</v>
      </c>
      <c r="O616" t="n">
        <v>0</v>
      </c>
      <c r="P616" t="n">
        <v>0</v>
      </c>
      <c r="Q616" t="n">
        <v>0</v>
      </c>
      <c r="R616" s="2" t="inlineStr"/>
    </row>
    <row r="617" ht="15" customHeight="1">
      <c r="A617" t="inlineStr">
        <is>
          <t>A 64074-2021</t>
        </is>
      </c>
      <c r="B617" s="1" t="n">
        <v>44510</v>
      </c>
      <c r="C617" s="1" t="n">
        <v>45578</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64145-2021</t>
        </is>
      </c>
      <c r="B618" s="1" t="n">
        <v>44510</v>
      </c>
      <c r="C618" s="1" t="n">
        <v>45578</v>
      </c>
      <c r="D618" t="inlineStr">
        <is>
          <t>STOCKHOLMS LÄN</t>
        </is>
      </c>
      <c r="E618" t="inlineStr">
        <is>
          <t>NORRTÄLJE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64600-2021</t>
        </is>
      </c>
      <c r="B619" s="1" t="n">
        <v>44511</v>
      </c>
      <c r="C619" s="1" t="n">
        <v>45578</v>
      </c>
      <c r="D619" t="inlineStr">
        <is>
          <t>STOCKHOLMS LÄN</t>
        </is>
      </c>
      <c r="E619" t="inlineStr">
        <is>
          <t>NORRTÄLJE</t>
        </is>
      </c>
      <c r="G619" t="n">
        <v>6.2</v>
      </c>
      <c r="H619" t="n">
        <v>0</v>
      </c>
      <c r="I619" t="n">
        <v>0</v>
      </c>
      <c r="J619" t="n">
        <v>0</v>
      </c>
      <c r="K619" t="n">
        <v>0</v>
      </c>
      <c r="L619" t="n">
        <v>0</v>
      </c>
      <c r="M619" t="n">
        <v>0</v>
      </c>
      <c r="N619" t="n">
        <v>0</v>
      </c>
      <c r="O619" t="n">
        <v>0</v>
      </c>
      <c r="P619" t="n">
        <v>0</v>
      </c>
      <c r="Q619" t="n">
        <v>0</v>
      </c>
      <c r="R619" s="2" t="inlineStr"/>
    </row>
    <row r="620" ht="15" customHeight="1">
      <c r="A620" t="inlineStr">
        <is>
          <t>A 64599-2021</t>
        </is>
      </c>
      <c r="B620" s="1" t="n">
        <v>44511</v>
      </c>
      <c r="C620" s="1" t="n">
        <v>45578</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64628-2021</t>
        </is>
      </c>
      <c r="B621" s="1" t="n">
        <v>44511</v>
      </c>
      <c r="C621" s="1" t="n">
        <v>45578</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64915-2021</t>
        </is>
      </c>
      <c r="B622" s="1" t="n">
        <v>44512</v>
      </c>
      <c r="C622" s="1" t="n">
        <v>45578</v>
      </c>
      <c r="D622" t="inlineStr">
        <is>
          <t>STOCKHOLMS LÄN</t>
        </is>
      </c>
      <c r="E622" t="inlineStr">
        <is>
          <t>NORRTÄLJE</t>
        </is>
      </c>
      <c r="G622" t="n">
        <v>2.8</v>
      </c>
      <c r="H622" t="n">
        <v>0</v>
      </c>
      <c r="I622" t="n">
        <v>0</v>
      </c>
      <c r="J622" t="n">
        <v>0</v>
      </c>
      <c r="K622" t="n">
        <v>0</v>
      </c>
      <c r="L622" t="n">
        <v>0</v>
      </c>
      <c r="M622" t="n">
        <v>0</v>
      </c>
      <c r="N622" t="n">
        <v>0</v>
      </c>
      <c r="O622" t="n">
        <v>0</v>
      </c>
      <c r="P622" t="n">
        <v>0</v>
      </c>
      <c r="Q622" t="n">
        <v>0</v>
      </c>
      <c r="R622" s="2" t="inlineStr"/>
    </row>
    <row r="623" ht="15" customHeight="1">
      <c r="A623" t="inlineStr">
        <is>
          <t>A 65359-2021</t>
        </is>
      </c>
      <c r="B623" s="1" t="n">
        <v>44515</v>
      </c>
      <c r="C623" s="1" t="n">
        <v>45578</v>
      </c>
      <c r="D623" t="inlineStr">
        <is>
          <t>STOCKHOLMS LÄN</t>
        </is>
      </c>
      <c r="E623" t="inlineStr">
        <is>
          <t>NORRTÄLJE</t>
        </is>
      </c>
      <c r="F623" t="inlineStr">
        <is>
          <t>Kyrkan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65499-2021</t>
        </is>
      </c>
      <c r="B624" s="1" t="n">
        <v>44516</v>
      </c>
      <c r="C624" s="1" t="n">
        <v>45578</v>
      </c>
      <c r="D624" t="inlineStr">
        <is>
          <t>STOCKHOLMS LÄN</t>
        </is>
      </c>
      <c r="E624" t="inlineStr">
        <is>
          <t>NORRTÄLJE</t>
        </is>
      </c>
      <c r="F624" t="inlineStr">
        <is>
          <t>Kommuner</t>
        </is>
      </c>
      <c r="G624" t="n">
        <v>5.2</v>
      </c>
      <c r="H624" t="n">
        <v>0</v>
      </c>
      <c r="I624" t="n">
        <v>0</v>
      </c>
      <c r="J624" t="n">
        <v>0</v>
      </c>
      <c r="K624" t="n">
        <v>0</v>
      </c>
      <c r="L624" t="n">
        <v>0</v>
      </c>
      <c r="M624" t="n">
        <v>0</v>
      </c>
      <c r="N624" t="n">
        <v>0</v>
      </c>
      <c r="O624" t="n">
        <v>0</v>
      </c>
      <c r="P624" t="n">
        <v>0</v>
      </c>
      <c r="Q624" t="n">
        <v>0</v>
      </c>
      <c r="R624" s="2" t="inlineStr"/>
    </row>
    <row r="625" ht="15" customHeight="1">
      <c r="A625" t="inlineStr">
        <is>
          <t>A 65513-2021</t>
        </is>
      </c>
      <c r="B625" s="1" t="n">
        <v>44516</v>
      </c>
      <c r="C625" s="1" t="n">
        <v>45578</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65511-2021</t>
        </is>
      </c>
      <c r="B626" s="1" t="n">
        <v>44516</v>
      </c>
      <c r="C626" s="1" t="n">
        <v>45578</v>
      </c>
      <c r="D626" t="inlineStr">
        <is>
          <t>STOCKHOLMS LÄN</t>
        </is>
      </c>
      <c r="E626" t="inlineStr">
        <is>
          <t>NORRTÄLJE</t>
        </is>
      </c>
      <c r="F626" t="inlineStr">
        <is>
          <t>Kommuner</t>
        </is>
      </c>
      <c r="G626" t="n">
        <v>2.8</v>
      </c>
      <c r="H626" t="n">
        <v>0</v>
      </c>
      <c r="I626" t="n">
        <v>0</v>
      </c>
      <c r="J626" t="n">
        <v>0</v>
      </c>
      <c r="K626" t="n">
        <v>0</v>
      </c>
      <c r="L626" t="n">
        <v>0</v>
      </c>
      <c r="M626" t="n">
        <v>0</v>
      </c>
      <c r="N626" t="n">
        <v>0</v>
      </c>
      <c r="O626" t="n">
        <v>0</v>
      </c>
      <c r="P626" t="n">
        <v>0</v>
      </c>
      <c r="Q626" t="n">
        <v>0</v>
      </c>
      <c r="R626" s="2" t="inlineStr"/>
    </row>
    <row r="627" ht="15" customHeight="1">
      <c r="A627" t="inlineStr">
        <is>
          <t>A 65501-2021</t>
        </is>
      </c>
      <c r="B627" s="1" t="n">
        <v>44516</v>
      </c>
      <c r="C627" s="1" t="n">
        <v>45578</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65509-2021</t>
        </is>
      </c>
      <c r="B628" s="1" t="n">
        <v>44516</v>
      </c>
      <c r="C628" s="1" t="n">
        <v>45578</v>
      </c>
      <c r="D628" t="inlineStr">
        <is>
          <t>STOCKHOLMS LÄN</t>
        </is>
      </c>
      <c r="E628" t="inlineStr">
        <is>
          <t>NORRTÄLJE</t>
        </is>
      </c>
      <c r="F628" t="inlineStr">
        <is>
          <t>Kommuner</t>
        </is>
      </c>
      <c r="G628" t="n">
        <v>1</v>
      </c>
      <c r="H628" t="n">
        <v>0</v>
      </c>
      <c r="I628" t="n">
        <v>0</v>
      </c>
      <c r="J628" t="n">
        <v>0</v>
      </c>
      <c r="K628" t="n">
        <v>0</v>
      </c>
      <c r="L628" t="n">
        <v>0</v>
      </c>
      <c r="M628" t="n">
        <v>0</v>
      </c>
      <c r="N628" t="n">
        <v>0</v>
      </c>
      <c r="O628" t="n">
        <v>0</v>
      </c>
      <c r="P628" t="n">
        <v>0</v>
      </c>
      <c r="Q628" t="n">
        <v>0</v>
      </c>
      <c r="R628" s="2" t="inlineStr"/>
    </row>
    <row r="629" ht="15" customHeight="1">
      <c r="A629" t="inlineStr">
        <is>
          <t>A 65611-2021</t>
        </is>
      </c>
      <c r="B629" s="1" t="n">
        <v>44516</v>
      </c>
      <c r="C629" s="1" t="n">
        <v>45578</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65737-2021</t>
        </is>
      </c>
      <c r="B630" s="1" t="n">
        <v>44516</v>
      </c>
      <c r="C630" s="1" t="n">
        <v>45578</v>
      </c>
      <c r="D630" t="inlineStr">
        <is>
          <t>STOCKHOLMS LÄN</t>
        </is>
      </c>
      <c r="E630" t="inlineStr">
        <is>
          <t>NORRTÄLJE</t>
        </is>
      </c>
      <c r="G630" t="n">
        <v>3</v>
      </c>
      <c r="H630" t="n">
        <v>0</v>
      </c>
      <c r="I630" t="n">
        <v>0</v>
      </c>
      <c r="J630" t="n">
        <v>0</v>
      </c>
      <c r="K630" t="n">
        <v>0</v>
      </c>
      <c r="L630" t="n">
        <v>0</v>
      </c>
      <c r="M630" t="n">
        <v>0</v>
      </c>
      <c r="N630" t="n">
        <v>0</v>
      </c>
      <c r="O630" t="n">
        <v>0</v>
      </c>
      <c r="P630" t="n">
        <v>0</v>
      </c>
      <c r="Q630" t="n">
        <v>0</v>
      </c>
      <c r="R630" s="2" t="inlineStr"/>
    </row>
    <row r="631" ht="15" customHeight="1">
      <c r="A631" t="inlineStr">
        <is>
          <t>A 66450-2021</t>
        </is>
      </c>
      <c r="B631" s="1" t="n">
        <v>44518</v>
      </c>
      <c r="C631" s="1" t="n">
        <v>45578</v>
      </c>
      <c r="D631" t="inlineStr">
        <is>
          <t>STOCKHOLMS LÄN</t>
        </is>
      </c>
      <c r="E631" t="inlineStr">
        <is>
          <t>NORRTÄLJE</t>
        </is>
      </c>
      <c r="G631" t="n">
        <v>9.1</v>
      </c>
      <c r="H631" t="n">
        <v>0</v>
      </c>
      <c r="I631" t="n">
        <v>0</v>
      </c>
      <c r="J631" t="n">
        <v>0</v>
      </c>
      <c r="K631" t="n">
        <v>0</v>
      </c>
      <c r="L631" t="n">
        <v>0</v>
      </c>
      <c r="M631" t="n">
        <v>0</v>
      </c>
      <c r="N631" t="n">
        <v>0</v>
      </c>
      <c r="O631" t="n">
        <v>0</v>
      </c>
      <c r="P631" t="n">
        <v>0</v>
      </c>
      <c r="Q631" t="n">
        <v>0</v>
      </c>
      <c r="R631" s="2" t="inlineStr"/>
    </row>
    <row r="632" ht="15" customHeight="1">
      <c r="A632" t="inlineStr">
        <is>
          <t>A 66608-2021</t>
        </is>
      </c>
      <c r="B632" s="1" t="n">
        <v>44519</v>
      </c>
      <c r="C632" s="1" t="n">
        <v>45578</v>
      </c>
      <c r="D632" t="inlineStr">
        <is>
          <t>STOCKHOLMS LÄN</t>
        </is>
      </c>
      <c r="E632" t="inlineStr">
        <is>
          <t>NORRTÄLJE</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66592-2021</t>
        </is>
      </c>
      <c r="B633" s="1" t="n">
        <v>44519</v>
      </c>
      <c r="C633" s="1" t="n">
        <v>45578</v>
      </c>
      <c r="D633" t="inlineStr">
        <is>
          <t>STOCKHOLMS LÄN</t>
        </is>
      </c>
      <c r="E633" t="inlineStr">
        <is>
          <t>NORRTÄLJE</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66769-2021</t>
        </is>
      </c>
      <c r="B634" s="1" t="n">
        <v>44521</v>
      </c>
      <c r="C634" s="1" t="n">
        <v>45578</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67285-2021</t>
        </is>
      </c>
      <c r="B635" s="1" t="n">
        <v>44523</v>
      </c>
      <c r="C635" s="1" t="n">
        <v>45578</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67525-2021</t>
        </is>
      </c>
      <c r="B636" s="1" t="n">
        <v>44524</v>
      </c>
      <c r="C636" s="1" t="n">
        <v>45578</v>
      </c>
      <c r="D636" t="inlineStr">
        <is>
          <t>STOCKHOLMS LÄN</t>
        </is>
      </c>
      <c r="E636" t="inlineStr">
        <is>
          <t>NORRTÄLJE</t>
        </is>
      </c>
      <c r="G636" t="n">
        <v>0.8</v>
      </c>
      <c r="H636" t="n">
        <v>0</v>
      </c>
      <c r="I636" t="n">
        <v>0</v>
      </c>
      <c r="J636" t="n">
        <v>0</v>
      </c>
      <c r="K636" t="n">
        <v>0</v>
      </c>
      <c r="L636" t="n">
        <v>0</v>
      </c>
      <c r="M636" t="n">
        <v>0</v>
      </c>
      <c r="N636" t="n">
        <v>0</v>
      </c>
      <c r="O636" t="n">
        <v>0</v>
      </c>
      <c r="P636" t="n">
        <v>0</v>
      </c>
      <c r="Q636" t="n">
        <v>0</v>
      </c>
      <c r="R636" s="2" t="inlineStr"/>
    </row>
    <row r="637" ht="15" customHeight="1">
      <c r="A637" t="inlineStr">
        <is>
          <t>A 67598-2021</t>
        </is>
      </c>
      <c r="B637" s="1" t="n">
        <v>44524</v>
      </c>
      <c r="C637" s="1" t="n">
        <v>45578</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67921-2021</t>
        </is>
      </c>
      <c r="B638" s="1" t="n">
        <v>44525</v>
      </c>
      <c r="C638" s="1" t="n">
        <v>45578</v>
      </c>
      <c r="D638" t="inlineStr">
        <is>
          <t>STOCKHOLMS LÄN</t>
        </is>
      </c>
      <c r="E638" t="inlineStr">
        <is>
          <t>NORRTÄLJE</t>
        </is>
      </c>
      <c r="G638" t="n">
        <v>6.3</v>
      </c>
      <c r="H638" t="n">
        <v>0</v>
      </c>
      <c r="I638" t="n">
        <v>0</v>
      </c>
      <c r="J638" t="n">
        <v>0</v>
      </c>
      <c r="K638" t="n">
        <v>0</v>
      </c>
      <c r="L638" t="n">
        <v>0</v>
      </c>
      <c r="M638" t="n">
        <v>0</v>
      </c>
      <c r="N638" t="n">
        <v>0</v>
      </c>
      <c r="O638" t="n">
        <v>0</v>
      </c>
      <c r="P638" t="n">
        <v>0</v>
      </c>
      <c r="Q638" t="n">
        <v>0</v>
      </c>
      <c r="R638" s="2" t="inlineStr"/>
    </row>
    <row r="639" ht="15" customHeight="1">
      <c r="A639" t="inlineStr">
        <is>
          <t>A 67990-2021</t>
        </is>
      </c>
      <c r="B639" s="1" t="n">
        <v>44525</v>
      </c>
      <c r="C639" s="1" t="n">
        <v>45578</v>
      </c>
      <c r="D639" t="inlineStr">
        <is>
          <t>STOCKHOLMS LÄN</t>
        </is>
      </c>
      <c r="E639" t="inlineStr">
        <is>
          <t>NORRTÄLJE</t>
        </is>
      </c>
      <c r="F639" t="inlineStr">
        <is>
          <t>Sveaskog</t>
        </is>
      </c>
      <c r="G639" t="n">
        <v>7.8</v>
      </c>
      <c r="H639" t="n">
        <v>0</v>
      </c>
      <c r="I639" t="n">
        <v>0</v>
      </c>
      <c r="J639" t="n">
        <v>0</v>
      </c>
      <c r="K639" t="n">
        <v>0</v>
      </c>
      <c r="L639" t="n">
        <v>0</v>
      </c>
      <c r="M639" t="n">
        <v>0</v>
      </c>
      <c r="N639" t="n">
        <v>0</v>
      </c>
      <c r="O639" t="n">
        <v>0</v>
      </c>
      <c r="P639" t="n">
        <v>0</v>
      </c>
      <c r="Q639" t="n">
        <v>0</v>
      </c>
      <c r="R639" s="2" t="inlineStr"/>
    </row>
    <row r="640" ht="15" customHeight="1">
      <c r="A640" t="inlineStr">
        <is>
          <t>A 67992-2021</t>
        </is>
      </c>
      <c r="B640" s="1" t="n">
        <v>44525</v>
      </c>
      <c r="C640" s="1" t="n">
        <v>45578</v>
      </c>
      <c r="D640" t="inlineStr">
        <is>
          <t>STOCKHOLMS LÄN</t>
        </is>
      </c>
      <c r="E640" t="inlineStr">
        <is>
          <t>NORRTÄLJE</t>
        </is>
      </c>
      <c r="F640" t="inlineStr">
        <is>
          <t>Sveaskog</t>
        </is>
      </c>
      <c r="G640" t="n">
        <v>4.6</v>
      </c>
      <c r="H640" t="n">
        <v>0</v>
      </c>
      <c r="I640" t="n">
        <v>0</v>
      </c>
      <c r="J640" t="n">
        <v>0</v>
      </c>
      <c r="K640" t="n">
        <v>0</v>
      </c>
      <c r="L640" t="n">
        <v>0</v>
      </c>
      <c r="M640" t="n">
        <v>0</v>
      </c>
      <c r="N640" t="n">
        <v>0</v>
      </c>
      <c r="O640" t="n">
        <v>0</v>
      </c>
      <c r="P640" t="n">
        <v>0</v>
      </c>
      <c r="Q640" t="n">
        <v>0</v>
      </c>
      <c r="R640" s="2" t="inlineStr"/>
    </row>
    <row r="641" ht="15" customHeight="1">
      <c r="A641" t="inlineStr">
        <is>
          <t>A 67993-2021</t>
        </is>
      </c>
      <c r="B641" s="1" t="n">
        <v>44525</v>
      </c>
      <c r="C641" s="1" t="n">
        <v>45578</v>
      </c>
      <c r="D641" t="inlineStr">
        <is>
          <t>STOCKHOLMS LÄN</t>
        </is>
      </c>
      <c r="E641" t="inlineStr">
        <is>
          <t>NORRTÄLJE</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68273-2021</t>
        </is>
      </c>
      <c r="B642" s="1" t="n">
        <v>44526</v>
      </c>
      <c r="C642" s="1" t="n">
        <v>45578</v>
      </c>
      <c r="D642" t="inlineStr">
        <is>
          <t>STOCKHOLMS LÄN</t>
        </is>
      </c>
      <c r="E642" t="inlineStr">
        <is>
          <t>NORRTÄLJE</t>
        </is>
      </c>
      <c r="G642" t="n">
        <v>5.3</v>
      </c>
      <c r="H642" t="n">
        <v>0</v>
      </c>
      <c r="I642" t="n">
        <v>0</v>
      </c>
      <c r="J642" t="n">
        <v>0</v>
      </c>
      <c r="K642" t="n">
        <v>0</v>
      </c>
      <c r="L642" t="n">
        <v>0</v>
      </c>
      <c r="M642" t="n">
        <v>0</v>
      </c>
      <c r="N642" t="n">
        <v>0</v>
      </c>
      <c r="O642" t="n">
        <v>0</v>
      </c>
      <c r="P642" t="n">
        <v>0</v>
      </c>
      <c r="Q642" t="n">
        <v>0</v>
      </c>
      <c r="R642" s="2" t="inlineStr"/>
    </row>
    <row r="643" ht="15" customHeight="1">
      <c r="A643" t="inlineStr">
        <is>
          <t>A 68361-2021</t>
        </is>
      </c>
      <c r="B643" s="1" t="n">
        <v>44528</v>
      </c>
      <c r="C643" s="1" t="n">
        <v>45578</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69034-2021</t>
        </is>
      </c>
      <c r="B644" s="1" t="n">
        <v>44529</v>
      </c>
      <c r="C644" s="1" t="n">
        <v>45578</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69539-2021</t>
        </is>
      </c>
      <c r="B645" s="1" t="n">
        <v>44531</v>
      </c>
      <c r="C645" s="1" t="n">
        <v>45578</v>
      </c>
      <c r="D645" t="inlineStr">
        <is>
          <t>STOCKHOLMS LÄN</t>
        </is>
      </c>
      <c r="E645" t="inlineStr">
        <is>
          <t>NORRTÄLJE</t>
        </is>
      </c>
      <c r="G645" t="n">
        <v>1.9</v>
      </c>
      <c r="H645" t="n">
        <v>0</v>
      </c>
      <c r="I645" t="n">
        <v>0</v>
      </c>
      <c r="J645" t="n">
        <v>0</v>
      </c>
      <c r="K645" t="n">
        <v>0</v>
      </c>
      <c r="L645" t="n">
        <v>0</v>
      </c>
      <c r="M645" t="n">
        <v>0</v>
      </c>
      <c r="N645" t="n">
        <v>0</v>
      </c>
      <c r="O645" t="n">
        <v>0</v>
      </c>
      <c r="P645" t="n">
        <v>0</v>
      </c>
      <c r="Q645" t="n">
        <v>0</v>
      </c>
      <c r="R645" s="2" t="inlineStr"/>
    </row>
    <row r="646" ht="15" customHeight="1">
      <c r="A646" t="inlineStr">
        <is>
          <t>A 69723-2021</t>
        </is>
      </c>
      <c r="B646" s="1" t="n">
        <v>44532</v>
      </c>
      <c r="C646" s="1" t="n">
        <v>45578</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69816-2021</t>
        </is>
      </c>
      <c r="B647" s="1" t="n">
        <v>44532</v>
      </c>
      <c r="C647" s="1" t="n">
        <v>45578</v>
      </c>
      <c r="D647" t="inlineStr">
        <is>
          <t>STOCKHOLMS LÄN</t>
        </is>
      </c>
      <c r="E647" t="inlineStr">
        <is>
          <t>NORRTÄLJE</t>
        </is>
      </c>
      <c r="G647" t="n">
        <v>4.9</v>
      </c>
      <c r="H647" t="n">
        <v>0</v>
      </c>
      <c r="I647" t="n">
        <v>0</v>
      </c>
      <c r="J647" t="n">
        <v>0</v>
      </c>
      <c r="K647" t="n">
        <v>0</v>
      </c>
      <c r="L647" t="n">
        <v>0</v>
      </c>
      <c r="M647" t="n">
        <v>0</v>
      </c>
      <c r="N647" t="n">
        <v>0</v>
      </c>
      <c r="O647" t="n">
        <v>0</v>
      </c>
      <c r="P647" t="n">
        <v>0</v>
      </c>
      <c r="Q647" t="n">
        <v>0</v>
      </c>
      <c r="R647" s="2" t="inlineStr"/>
    </row>
    <row r="648" ht="15" customHeight="1">
      <c r="A648" t="inlineStr">
        <is>
          <t>A 70170-2021</t>
        </is>
      </c>
      <c r="B648" s="1" t="n">
        <v>44533</v>
      </c>
      <c r="C648" s="1" t="n">
        <v>45578</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69988-2021</t>
        </is>
      </c>
      <c r="B649" s="1" t="n">
        <v>44533</v>
      </c>
      <c r="C649" s="1" t="n">
        <v>45578</v>
      </c>
      <c r="D649" t="inlineStr">
        <is>
          <t>STOCKHOLMS LÄN</t>
        </is>
      </c>
      <c r="E649" t="inlineStr">
        <is>
          <t>NORRTÄLJE</t>
        </is>
      </c>
      <c r="G649" t="n">
        <v>6.3</v>
      </c>
      <c r="H649" t="n">
        <v>0</v>
      </c>
      <c r="I649" t="n">
        <v>0</v>
      </c>
      <c r="J649" t="n">
        <v>0</v>
      </c>
      <c r="K649" t="n">
        <v>0</v>
      </c>
      <c r="L649" t="n">
        <v>0</v>
      </c>
      <c r="M649" t="n">
        <v>0</v>
      </c>
      <c r="N649" t="n">
        <v>0</v>
      </c>
      <c r="O649" t="n">
        <v>0</v>
      </c>
      <c r="P649" t="n">
        <v>0</v>
      </c>
      <c r="Q649" t="n">
        <v>0</v>
      </c>
      <c r="R649" s="2" t="inlineStr"/>
    </row>
    <row r="650" ht="15" customHeight="1">
      <c r="A650" t="inlineStr">
        <is>
          <t>A 70469-2021</t>
        </is>
      </c>
      <c r="B650" s="1" t="n">
        <v>44536</v>
      </c>
      <c r="C650" s="1" t="n">
        <v>45578</v>
      </c>
      <c r="D650" t="inlineStr">
        <is>
          <t>STOCKHOLMS LÄN</t>
        </is>
      </c>
      <c r="E650" t="inlineStr">
        <is>
          <t>NORRTÄLJE</t>
        </is>
      </c>
      <c r="F650" t="inlineStr">
        <is>
          <t>Holmen skog AB</t>
        </is>
      </c>
      <c r="G650" t="n">
        <v>2.5</v>
      </c>
      <c r="H650" t="n">
        <v>0</v>
      </c>
      <c r="I650" t="n">
        <v>0</v>
      </c>
      <c r="J650" t="n">
        <v>0</v>
      </c>
      <c r="K650" t="n">
        <v>0</v>
      </c>
      <c r="L650" t="n">
        <v>0</v>
      </c>
      <c r="M650" t="n">
        <v>0</v>
      </c>
      <c r="N650" t="n">
        <v>0</v>
      </c>
      <c r="O650" t="n">
        <v>0</v>
      </c>
      <c r="P650" t="n">
        <v>0</v>
      </c>
      <c r="Q650" t="n">
        <v>0</v>
      </c>
      <c r="R650" s="2" t="inlineStr"/>
    </row>
    <row r="651" ht="15" customHeight="1">
      <c r="A651" t="inlineStr">
        <is>
          <t>A 71325-2021</t>
        </is>
      </c>
      <c r="B651" s="1" t="n">
        <v>44539</v>
      </c>
      <c r="C651" s="1" t="n">
        <v>45578</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71552-2021</t>
        </is>
      </c>
      <c r="B652" s="1" t="n">
        <v>44540</v>
      </c>
      <c r="C652" s="1" t="n">
        <v>45578</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71479-2021</t>
        </is>
      </c>
      <c r="B653" s="1" t="n">
        <v>44540</v>
      </c>
      <c r="C653" s="1" t="n">
        <v>45578</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71543-2021</t>
        </is>
      </c>
      <c r="B654" s="1" t="n">
        <v>44540</v>
      </c>
      <c r="C654" s="1" t="n">
        <v>45578</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71873-2021</t>
        </is>
      </c>
      <c r="B655" s="1" t="n">
        <v>44543</v>
      </c>
      <c r="C655" s="1" t="n">
        <v>45578</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71876-2021</t>
        </is>
      </c>
      <c r="B656" s="1" t="n">
        <v>44543</v>
      </c>
      <c r="C656" s="1" t="n">
        <v>45578</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71880-2021</t>
        </is>
      </c>
      <c r="B657" s="1" t="n">
        <v>44543</v>
      </c>
      <c r="C657" s="1" t="n">
        <v>45578</v>
      </c>
      <c r="D657" t="inlineStr">
        <is>
          <t>STOCKHOLMS LÄN</t>
        </is>
      </c>
      <c r="E657" t="inlineStr">
        <is>
          <t>NORRTÄLJE</t>
        </is>
      </c>
      <c r="G657" t="n">
        <v>2</v>
      </c>
      <c r="H657" t="n">
        <v>0</v>
      </c>
      <c r="I657" t="n">
        <v>0</v>
      </c>
      <c r="J657" t="n">
        <v>0</v>
      </c>
      <c r="K657" t="n">
        <v>0</v>
      </c>
      <c r="L657" t="n">
        <v>0</v>
      </c>
      <c r="M657" t="n">
        <v>0</v>
      </c>
      <c r="N657" t="n">
        <v>0</v>
      </c>
      <c r="O657" t="n">
        <v>0</v>
      </c>
      <c r="P657" t="n">
        <v>0</v>
      </c>
      <c r="Q657" t="n">
        <v>0</v>
      </c>
      <c r="R657" s="2" t="inlineStr"/>
    </row>
    <row r="658" ht="15" customHeight="1">
      <c r="A658" t="inlineStr">
        <is>
          <t>A 71871-2021</t>
        </is>
      </c>
      <c r="B658" s="1" t="n">
        <v>44543</v>
      </c>
      <c r="C658" s="1" t="n">
        <v>45578</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71878-2021</t>
        </is>
      </c>
      <c r="B659" s="1" t="n">
        <v>44543</v>
      </c>
      <c r="C659" s="1" t="n">
        <v>45578</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72085-2021</t>
        </is>
      </c>
      <c r="B660" s="1" t="n">
        <v>44544</v>
      </c>
      <c r="C660" s="1" t="n">
        <v>45578</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72202-2021</t>
        </is>
      </c>
      <c r="B661" s="1" t="n">
        <v>44544</v>
      </c>
      <c r="C661" s="1" t="n">
        <v>45578</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72308-2021</t>
        </is>
      </c>
      <c r="B662" s="1" t="n">
        <v>44545</v>
      </c>
      <c r="C662" s="1" t="n">
        <v>45578</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72343-2021</t>
        </is>
      </c>
      <c r="B663" s="1" t="n">
        <v>44545</v>
      </c>
      <c r="C663" s="1" t="n">
        <v>45578</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72357-2021</t>
        </is>
      </c>
      <c r="B664" s="1" t="n">
        <v>44545</v>
      </c>
      <c r="C664" s="1" t="n">
        <v>45578</v>
      </c>
      <c r="D664" t="inlineStr">
        <is>
          <t>STOCKHOLMS LÄN</t>
        </is>
      </c>
      <c r="E664" t="inlineStr">
        <is>
          <t>NORRTÄLJE</t>
        </is>
      </c>
      <c r="G664" t="n">
        <v>5.1</v>
      </c>
      <c r="H664" t="n">
        <v>0</v>
      </c>
      <c r="I664" t="n">
        <v>0</v>
      </c>
      <c r="J664" t="n">
        <v>0</v>
      </c>
      <c r="K664" t="n">
        <v>0</v>
      </c>
      <c r="L664" t="n">
        <v>0</v>
      </c>
      <c r="M664" t="n">
        <v>0</v>
      </c>
      <c r="N664" t="n">
        <v>0</v>
      </c>
      <c r="O664" t="n">
        <v>0</v>
      </c>
      <c r="P664" t="n">
        <v>0</v>
      </c>
      <c r="Q664" t="n">
        <v>0</v>
      </c>
      <c r="R664" s="2" t="inlineStr"/>
    </row>
    <row r="665" ht="15" customHeight="1">
      <c r="A665" t="inlineStr">
        <is>
          <t>A 72355-2021</t>
        </is>
      </c>
      <c r="B665" s="1" t="n">
        <v>44545</v>
      </c>
      <c r="C665" s="1" t="n">
        <v>45578</v>
      </c>
      <c r="D665" t="inlineStr">
        <is>
          <t>STOCKHOLMS LÄN</t>
        </is>
      </c>
      <c r="E665" t="inlineStr">
        <is>
          <t>NORRTÄLJE</t>
        </is>
      </c>
      <c r="G665" t="n">
        <v>3.6</v>
      </c>
      <c r="H665" t="n">
        <v>0</v>
      </c>
      <c r="I665" t="n">
        <v>0</v>
      </c>
      <c r="J665" t="n">
        <v>0</v>
      </c>
      <c r="K665" t="n">
        <v>0</v>
      </c>
      <c r="L665" t="n">
        <v>0</v>
      </c>
      <c r="M665" t="n">
        <v>0</v>
      </c>
      <c r="N665" t="n">
        <v>0</v>
      </c>
      <c r="O665" t="n">
        <v>0</v>
      </c>
      <c r="P665" t="n">
        <v>0</v>
      </c>
      <c r="Q665" t="n">
        <v>0</v>
      </c>
      <c r="R665" s="2" t="inlineStr"/>
    </row>
    <row r="666" ht="15" customHeight="1">
      <c r="A666" t="inlineStr">
        <is>
          <t>A 72353-2021</t>
        </is>
      </c>
      <c r="B666" s="1" t="n">
        <v>44545</v>
      </c>
      <c r="C666" s="1" t="n">
        <v>45578</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72747-2021</t>
        </is>
      </c>
      <c r="B667" s="1" t="n">
        <v>44546</v>
      </c>
      <c r="C667" s="1" t="n">
        <v>45578</v>
      </c>
      <c r="D667" t="inlineStr">
        <is>
          <t>STOCKHOLMS LÄN</t>
        </is>
      </c>
      <c r="E667" t="inlineStr">
        <is>
          <t>NORRTÄLJE</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72704-2021</t>
        </is>
      </c>
      <c r="B668" s="1" t="n">
        <v>44546</v>
      </c>
      <c r="C668" s="1" t="n">
        <v>45578</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72890-2021</t>
        </is>
      </c>
      <c r="B669" s="1" t="n">
        <v>44547</v>
      </c>
      <c r="C669" s="1" t="n">
        <v>45578</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73311-2021</t>
        </is>
      </c>
      <c r="B670" s="1" t="n">
        <v>44549</v>
      </c>
      <c r="C670" s="1" t="n">
        <v>45578</v>
      </c>
      <c r="D670" t="inlineStr">
        <is>
          <t>STOCKHOLMS LÄN</t>
        </is>
      </c>
      <c r="E670" t="inlineStr">
        <is>
          <t>NORRTÄLJE</t>
        </is>
      </c>
      <c r="G670" t="n">
        <v>5.2</v>
      </c>
      <c r="H670" t="n">
        <v>0</v>
      </c>
      <c r="I670" t="n">
        <v>0</v>
      </c>
      <c r="J670" t="n">
        <v>0</v>
      </c>
      <c r="K670" t="n">
        <v>0</v>
      </c>
      <c r="L670" t="n">
        <v>0</v>
      </c>
      <c r="M670" t="n">
        <v>0</v>
      </c>
      <c r="N670" t="n">
        <v>0</v>
      </c>
      <c r="O670" t="n">
        <v>0</v>
      </c>
      <c r="P670" t="n">
        <v>0</v>
      </c>
      <c r="Q670" t="n">
        <v>0</v>
      </c>
      <c r="R670" s="2" t="inlineStr"/>
    </row>
    <row r="671" ht="15" customHeight="1">
      <c r="A671" t="inlineStr">
        <is>
          <t>A 73307-2021</t>
        </is>
      </c>
      <c r="B671" s="1" t="n">
        <v>44549</v>
      </c>
      <c r="C671" s="1" t="n">
        <v>45578</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73271-2021</t>
        </is>
      </c>
      <c r="B672" s="1" t="n">
        <v>44550</v>
      </c>
      <c r="C672" s="1" t="n">
        <v>45578</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73504-2021</t>
        </is>
      </c>
      <c r="B673" s="1" t="n">
        <v>44551</v>
      </c>
      <c r="C673" s="1" t="n">
        <v>45578</v>
      </c>
      <c r="D673" t="inlineStr">
        <is>
          <t>STOCKHOLMS LÄN</t>
        </is>
      </c>
      <c r="E673" t="inlineStr">
        <is>
          <t>NORRTÄLJE</t>
        </is>
      </c>
      <c r="G673" t="n">
        <v>4.7</v>
      </c>
      <c r="H673" t="n">
        <v>0</v>
      </c>
      <c r="I673" t="n">
        <v>0</v>
      </c>
      <c r="J673" t="n">
        <v>0</v>
      </c>
      <c r="K673" t="n">
        <v>0</v>
      </c>
      <c r="L673" t="n">
        <v>0</v>
      </c>
      <c r="M673" t="n">
        <v>0</v>
      </c>
      <c r="N673" t="n">
        <v>0</v>
      </c>
      <c r="O673" t="n">
        <v>0</v>
      </c>
      <c r="P673" t="n">
        <v>0</v>
      </c>
      <c r="Q673" t="n">
        <v>0</v>
      </c>
      <c r="R673" s="2" t="inlineStr"/>
    </row>
    <row r="674" ht="15" customHeight="1">
      <c r="A674" t="inlineStr">
        <is>
          <t>A 73855-2021</t>
        </is>
      </c>
      <c r="B674" s="1" t="n">
        <v>44552</v>
      </c>
      <c r="C674" s="1" t="n">
        <v>45578</v>
      </c>
      <c r="D674" t="inlineStr">
        <is>
          <t>STOCKHOLMS LÄN</t>
        </is>
      </c>
      <c r="E674" t="inlineStr">
        <is>
          <t>NORRTÄLJE</t>
        </is>
      </c>
      <c r="F674" t="inlineStr">
        <is>
          <t>Övriga Aktiebolag</t>
        </is>
      </c>
      <c r="G674" t="n">
        <v>4</v>
      </c>
      <c r="H674" t="n">
        <v>0</v>
      </c>
      <c r="I674" t="n">
        <v>0</v>
      </c>
      <c r="J674" t="n">
        <v>0</v>
      </c>
      <c r="K674" t="n">
        <v>0</v>
      </c>
      <c r="L674" t="n">
        <v>0</v>
      </c>
      <c r="M674" t="n">
        <v>0</v>
      </c>
      <c r="N674" t="n">
        <v>0</v>
      </c>
      <c r="O674" t="n">
        <v>0</v>
      </c>
      <c r="P674" t="n">
        <v>0</v>
      </c>
      <c r="Q674" t="n">
        <v>0</v>
      </c>
      <c r="R674" s="2" t="inlineStr"/>
    </row>
    <row r="675" ht="15" customHeight="1">
      <c r="A675" t="inlineStr">
        <is>
          <t>A 73992-2021</t>
        </is>
      </c>
      <c r="B675" s="1" t="n">
        <v>44556</v>
      </c>
      <c r="C675" s="1" t="n">
        <v>45578</v>
      </c>
      <c r="D675" t="inlineStr">
        <is>
          <t>STOCKHOLMS LÄN</t>
        </is>
      </c>
      <c r="E675" t="inlineStr">
        <is>
          <t>NORRTÄLJE</t>
        </is>
      </c>
      <c r="G675" t="n">
        <v>12.5</v>
      </c>
      <c r="H675" t="n">
        <v>0</v>
      </c>
      <c r="I675" t="n">
        <v>0</v>
      </c>
      <c r="J675" t="n">
        <v>0</v>
      </c>
      <c r="K675" t="n">
        <v>0</v>
      </c>
      <c r="L675" t="n">
        <v>0</v>
      </c>
      <c r="M675" t="n">
        <v>0</v>
      </c>
      <c r="N675" t="n">
        <v>0</v>
      </c>
      <c r="O675" t="n">
        <v>0</v>
      </c>
      <c r="P675" t="n">
        <v>0</v>
      </c>
      <c r="Q675" t="n">
        <v>0</v>
      </c>
      <c r="R675" s="2" t="inlineStr"/>
    </row>
    <row r="676" ht="15" customHeight="1">
      <c r="A676" t="inlineStr">
        <is>
          <t>A 73993-2021</t>
        </is>
      </c>
      <c r="B676" s="1" t="n">
        <v>44556</v>
      </c>
      <c r="C676" s="1" t="n">
        <v>45578</v>
      </c>
      <c r="D676" t="inlineStr">
        <is>
          <t>STOCKHOLMS LÄN</t>
        </is>
      </c>
      <c r="E676" t="inlineStr">
        <is>
          <t>NORRTÄLJE</t>
        </is>
      </c>
      <c r="G676" t="n">
        <v>5</v>
      </c>
      <c r="H676" t="n">
        <v>0</v>
      </c>
      <c r="I676" t="n">
        <v>0</v>
      </c>
      <c r="J676" t="n">
        <v>0</v>
      </c>
      <c r="K676" t="n">
        <v>0</v>
      </c>
      <c r="L676" t="n">
        <v>0</v>
      </c>
      <c r="M676" t="n">
        <v>0</v>
      </c>
      <c r="N676" t="n">
        <v>0</v>
      </c>
      <c r="O676" t="n">
        <v>0</v>
      </c>
      <c r="P676" t="n">
        <v>0</v>
      </c>
      <c r="Q676" t="n">
        <v>0</v>
      </c>
      <c r="R676" s="2" t="inlineStr"/>
    </row>
    <row r="677" ht="15" customHeight="1">
      <c r="A677" t="inlineStr">
        <is>
          <t>A 74468-2021</t>
        </is>
      </c>
      <c r="B677" s="1" t="n">
        <v>44560</v>
      </c>
      <c r="C677" s="1" t="n">
        <v>45578</v>
      </c>
      <c r="D677" t="inlineStr">
        <is>
          <t>STOCKHOLMS LÄN</t>
        </is>
      </c>
      <c r="E677" t="inlineStr">
        <is>
          <t>NORRTÄLJE</t>
        </is>
      </c>
      <c r="G677" t="n">
        <v>0.5</v>
      </c>
      <c r="H677" t="n">
        <v>0</v>
      </c>
      <c r="I677" t="n">
        <v>0</v>
      </c>
      <c r="J677" t="n">
        <v>0</v>
      </c>
      <c r="K677" t="n">
        <v>0</v>
      </c>
      <c r="L677" t="n">
        <v>0</v>
      </c>
      <c r="M677" t="n">
        <v>0</v>
      </c>
      <c r="N677" t="n">
        <v>0</v>
      </c>
      <c r="O677" t="n">
        <v>0</v>
      </c>
      <c r="P677" t="n">
        <v>0</v>
      </c>
      <c r="Q677" t="n">
        <v>0</v>
      </c>
      <c r="R677" s="2" t="inlineStr"/>
    </row>
    <row r="678" ht="15" customHeight="1">
      <c r="A678" t="inlineStr">
        <is>
          <t>A 185-2022</t>
        </is>
      </c>
      <c r="B678" s="1" t="n">
        <v>44564</v>
      </c>
      <c r="C678" s="1" t="n">
        <v>45578</v>
      </c>
      <c r="D678" t="inlineStr">
        <is>
          <t>STOCKHOLMS LÄN</t>
        </is>
      </c>
      <c r="E678" t="inlineStr">
        <is>
          <t>NORRTÄLJE</t>
        </is>
      </c>
      <c r="G678" t="n">
        <v>3.8</v>
      </c>
      <c r="H678" t="n">
        <v>0</v>
      </c>
      <c r="I678" t="n">
        <v>0</v>
      </c>
      <c r="J678" t="n">
        <v>0</v>
      </c>
      <c r="K678" t="n">
        <v>0</v>
      </c>
      <c r="L678" t="n">
        <v>0</v>
      </c>
      <c r="M678" t="n">
        <v>0</v>
      </c>
      <c r="N678" t="n">
        <v>0</v>
      </c>
      <c r="O678" t="n">
        <v>0</v>
      </c>
      <c r="P678" t="n">
        <v>0</v>
      </c>
      <c r="Q678" t="n">
        <v>0</v>
      </c>
      <c r="R678" s="2" t="inlineStr"/>
    </row>
    <row r="679" ht="15" customHeight="1">
      <c r="A679" t="inlineStr">
        <is>
          <t>A 190-2022</t>
        </is>
      </c>
      <c r="B679" s="1" t="n">
        <v>44564</v>
      </c>
      <c r="C679" s="1" t="n">
        <v>45578</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187-2022</t>
        </is>
      </c>
      <c r="B680" s="1" t="n">
        <v>44564</v>
      </c>
      <c r="C680" s="1" t="n">
        <v>45578</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77-2022</t>
        </is>
      </c>
      <c r="B681" s="1" t="n">
        <v>44564</v>
      </c>
      <c r="C681" s="1" t="n">
        <v>45578</v>
      </c>
      <c r="D681" t="inlineStr">
        <is>
          <t>STOCKHOLMS LÄN</t>
        </is>
      </c>
      <c r="E681" t="inlineStr">
        <is>
          <t>NORRTÄLJE</t>
        </is>
      </c>
      <c r="G681" t="n">
        <v>4.1</v>
      </c>
      <c r="H681" t="n">
        <v>0</v>
      </c>
      <c r="I681" t="n">
        <v>0</v>
      </c>
      <c r="J681" t="n">
        <v>0</v>
      </c>
      <c r="K681" t="n">
        <v>0</v>
      </c>
      <c r="L681" t="n">
        <v>0</v>
      </c>
      <c r="M681" t="n">
        <v>0</v>
      </c>
      <c r="N681" t="n">
        <v>0</v>
      </c>
      <c r="O681" t="n">
        <v>0</v>
      </c>
      <c r="P681" t="n">
        <v>0</v>
      </c>
      <c r="Q681" t="n">
        <v>0</v>
      </c>
      <c r="R681" s="2" t="inlineStr"/>
    </row>
    <row r="682" ht="15" customHeight="1">
      <c r="A682" t="inlineStr">
        <is>
          <t>A 459-2022</t>
        </is>
      </c>
      <c r="B682" s="1" t="n">
        <v>44565</v>
      </c>
      <c r="C682" s="1" t="n">
        <v>45578</v>
      </c>
      <c r="D682" t="inlineStr">
        <is>
          <t>STOCKHOLMS LÄN</t>
        </is>
      </c>
      <c r="E682" t="inlineStr">
        <is>
          <t>NORRTÄLJE</t>
        </is>
      </c>
      <c r="F682" t="inlineStr">
        <is>
          <t>Övriga Aktiebolag</t>
        </is>
      </c>
      <c r="G682" t="n">
        <v>17.3</v>
      </c>
      <c r="H682" t="n">
        <v>0</v>
      </c>
      <c r="I682" t="n">
        <v>0</v>
      </c>
      <c r="J682" t="n">
        <v>0</v>
      </c>
      <c r="K682" t="n">
        <v>0</v>
      </c>
      <c r="L682" t="n">
        <v>0</v>
      </c>
      <c r="M682" t="n">
        <v>0</v>
      </c>
      <c r="N682" t="n">
        <v>0</v>
      </c>
      <c r="O682" t="n">
        <v>0</v>
      </c>
      <c r="P682" t="n">
        <v>0</v>
      </c>
      <c r="Q682" t="n">
        <v>0</v>
      </c>
      <c r="R682" s="2" t="inlineStr"/>
    </row>
    <row r="683" ht="15" customHeight="1">
      <c r="A683" t="inlineStr">
        <is>
          <t>A 1058-2022</t>
        </is>
      </c>
      <c r="B683" s="1" t="n">
        <v>44571</v>
      </c>
      <c r="C683" s="1" t="n">
        <v>45578</v>
      </c>
      <c r="D683" t="inlineStr">
        <is>
          <t>STOCKHOLMS LÄN</t>
        </is>
      </c>
      <c r="E683" t="inlineStr">
        <is>
          <t>NORRTÄLJE</t>
        </is>
      </c>
      <c r="G683" t="n">
        <v>2.2</v>
      </c>
      <c r="H683" t="n">
        <v>0</v>
      </c>
      <c r="I683" t="n">
        <v>0</v>
      </c>
      <c r="J683" t="n">
        <v>0</v>
      </c>
      <c r="K683" t="n">
        <v>0</v>
      </c>
      <c r="L683" t="n">
        <v>0</v>
      </c>
      <c r="M683" t="n">
        <v>0</v>
      </c>
      <c r="N683" t="n">
        <v>0</v>
      </c>
      <c r="O683" t="n">
        <v>0</v>
      </c>
      <c r="P683" t="n">
        <v>0</v>
      </c>
      <c r="Q683" t="n">
        <v>0</v>
      </c>
      <c r="R683" s="2" t="inlineStr"/>
    </row>
    <row r="684" ht="15" customHeight="1">
      <c r="A684" t="inlineStr">
        <is>
          <t>A 1051-2022</t>
        </is>
      </c>
      <c r="B684" s="1" t="n">
        <v>44571</v>
      </c>
      <c r="C684" s="1" t="n">
        <v>45578</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1054-2022</t>
        </is>
      </c>
      <c r="B685" s="1" t="n">
        <v>44571</v>
      </c>
      <c r="C685" s="1" t="n">
        <v>45578</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1229-2022</t>
        </is>
      </c>
      <c r="B686" s="1" t="n">
        <v>44572</v>
      </c>
      <c r="C686" s="1" t="n">
        <v>45578</v>
      </c>
      <c r="D686" t="inlineStr">
        <is>
          <t>STOCKHOLMS LÄN</t>
        </is>
      </c>
      <c r="E686" t="inlineStr">
        <is>
          <t>NORRTÄLJE</t>
        </is>
      </c>
      <c r="G686" t="n">
        <v>11.5</v>
      </c>
      <c r="H686" t="n">
        <v>0</v>
      </c>
      <c r="I686" t="n">
        <v>0</v>
      </c>
      <c r="J686" t="n">
        <v>0</v>
      </c>
      <c r="K686" t="n">
        <v>0</v>
      </c>
      <c r="L686" t="n">
        <v>0</v>
      </c>
      <c r="M686" t="n">
        <v>0</v>
      </c>
      <c r="N686" t="n">
        <v>0</v>
      </c>
      <c r="O686" t="n">
        <v>0</v>
      </c>
      <c r="P686" t="n">
        <v>0</v>
      </c>
      <c r="Q686" t="n">
        <v>0</v>
      </c>
      <c r="R686" s="2" t="inlineStr"/>
    </row>
    <row r="687" ht="15" customHeight="1">
      <c r="A687" t="inlineStr">
        <is>
          <t>A 1704-2022</t>
        </is>
      </c>
      <c r="B687" s="1" t="n">
        <v>44574</v>
      </c>
      <c r="C687" s="1" t="n">
        <v>45578</v>
      </c>
      <c r="D687" t="inlineStr">
        <is>
          <t>STOCKHOLMS LÄN</t>
        </is>
      </c>
      <c r="E687" t="inlineStr">
        <is>
          <t>NORRTÄLJE</t>
        </is>
      </c>
      <c r="G687" t="n">
        <v>6.2</v>
      </c>
      <c r="H687" t="n">
        <v>0</v>
      </c>
      <c r="I687" t="n">
        <v>0</v>
      </c>
      <c r="J687" t="n">
        <v>0</v>
      </c>
      <c r="K687" t="n">
        <v>0</v>
      </c>
      <c r="L687" t="n">
        <v>0</v>
      </c>
      <c r="M687" t="n">
        <v>0</v>
      </c>
      <c r="N687" t="n">
        <v>0</v>
      </c>
      <c r="O687" t="n">
        <v>0</v>
      </c>
      <c r="P687" t="n">
        <v>0</v>
      </c>
      <c r="Q687" t="n">
        <v>0</v>
      </c>
      <c r="R687" s="2" t="inlineStr"/>
    </row>
    <row r="688" ht="15" customHeight="1">
      <c r="A688" t="inlineStr">
        <is>
          <t>A 1968-2022</t>
        </is>
      </c>
      <c r="B688" s="1" t="n">
        <v>44575</v>
      </c>
      <c r="C688" s="1" t="n">
        <v>45578</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2182-2022</t>
        </is>
      </c>
      <c r="B689" s="1" t="n">
        <v>44578</v>
      </c>
      <c r="C689" s="1" t="n">
        <v>45578</v>
      </c>
      <c r="D689" t="inlineStr">
        <is>
          <t>STOCKHOLMS LÄN</t>
        </is>
      </c>
      <c r="E689" t="inlineStr">
        <is>
          <t>NORRTÄLJE</t>
        </is>
      </c>
      <c r="G689" t="n">
        <v>7.2</v>
      </c>
      <c r="H689" t="n">
        <v>0</v>
      </c>
      <c r="I689" t="n">
        <v>0</v>
      </c>
      <c r="J689" t="n">
        <v>0</v>
      </c>
      <c r="K689" t="n">
        <v>0</v>
      </c>
      <c r="L689" t="n">
        <v>0</v>
      </c>
      <c r="M689" t="n">
        <v>0</v>
      </c>
      <c r="N689" t="n">
        <v>0</v>
      </c>
      <c r="O689" t="n">
        <v>0</v>
      </c>
      <c r="P689" t="n">
        <v>0</v>
      </c>
      <c r="Q689" t="n">
        <v>0</v>
      </c>
      <c r="R689" s="2" t="inlineStr"/>
    </row>
    <row r="690" ht="15" customHeight="1">
      <c r="A690" t="inlineStr">
        <is>
          <t>A 2549-2022</t>
        </is>
      </c>
      <c r="B690" s="1" t="n">
        <v>44580</v>
      </c>
      <c r="C690" s="1" t="n">
        <v>45578</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2732-2022</t>
        </is>
      </c>
      <c r="B691" s="1" t="n">
        <v>44580</v>
      </c>
      <c r="C691" s="1" t="n">
        <v>45578</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2888-2022</t>
        </is>
      </c>
      <c r="B692" s="1" t="n">
        <v>44581</v>
      </c>
      <c r="C692" s="1" t="n">
        <v>45578</v>
      </c>
      <c r="D692" t="inlineStr">
        <is>
          <t>STOCKHOLMS LÄN</t>
        </is>
      </c>
      <c r="E692" t="inlineStr">
        <is>
          <t>NORRTÄLJE</t>
        </is>
      </c>
      <c r="G692" t="n">
        <v>2.4</v>
      </c>
      <c r="H692" t="n">
        <v>0</v>
      </c>
      <c r="I692" t="n">
        <v>0</v>
      </c>
      <c r="J692" t="n">
        <v>0</v>
      </c>
      <c r="K692" t="n">
        <v>0</v>
      </c>
      <c r="L692" t="n">
        <v>0</v>
      </c>
      <c r="M692" t="n">
        <v>0</v>
      </c>
      <c r="N692" t="n">
        <v>0</v>
      </c>
      <c r="O692" t="n">
        <v>0</v>
      </c>
      <c r="P692" t="n">
        <v>0</v>
      </c>
      <c r="Q692" t="n">
        <v>0</v>
      </c>
      <c r="R692" s="2" t="inlineStr"/>
    </row>
    <row r="693" ht="15" customHeight="1">
      <c r="A693" t="inlineStr">
        <is>
          <t>A 2977-2022</t>
        </is>
      </c>
      <c r="B693" s="1" t="n">
        <v>44581</v>
      </c>
      <c r="C693" s="1" t="n">
        <v>45578</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3300-2022</t>
        </is>
      </c>
      <c r="B694" s="1" t="n">
        <v>44584</v>
      </c>
      <c r="C694" s="1" t="n">
        <v>45578</v>
      </c>
      <c r="D694" t="inlineStr">
        <is>
          <t>STOCKHOLMS LÄN</t>
        </is>
      </c>
      <c r="E694" t="inlineStr">
        <is>
          <t>NORRTÄLJE</t>
        </is>
      </c>
      <c r="G694" t="n">
        <v>0.4</v>
      </c>
      <c r="H694" t="n">
        <v>0</v>
      </c>
      <c r="I694" t="n">
        <v>0</v>
      </c>
      <c r="J694" t="n">
        <v>0</v>
      </c>
      <c r="K694" t="n">
        <v>0</v>
      </c>
      <c r="L694" t="n">
        <v>0</v>
      </c>
      <c r="M694" t="n">
        <v>0</v>
      </c>
      <c r="N694" t="n">
        <v>0</v>
      </c>
      <c r="O694" t="n">
        <v>0</v>
      </c>
      <c r="P694" t="n">
        <v>0</v>
      </c>
      <c r="Q694" t="n">
        <v>0</v>
      </c>
      <c r="R694" s="2" t="inlineStr"/>
    </row>
    <row r="695" ht="15" customHeight="1">
      <c r="A695" t="inlineStr">
        <is>
          <t>A 3310-2022</t>
        </is>
      </c>
      <c r="B695" s="1" t="n">
        <v>44584</v>
      </c>
      <c r="C695" s="1" t="n">
        <v>45578</v>
      </c>
      <c r="D695" t="inlineStr">
        <is>
          <t>STOCKHOLMS LÄN</t>
        </is>
      </c>
      <c r="E695" t="inlineStr">
        <is>
          <t>NORRTÄLJE</t>
        </is>
      </c>
      <c r="G695" t="n">
        <v>3.4</v>
      </c>
      <c r="H695" t="n">
        <v>0</v>
      </c>
      <c r="I695" t="n">
        <v>0</v>
      </c>
      <c r="J695" t="n">
        <v>0</v>
      </c>
      <c r="K695" t="n">
        <v>0</v>
      </c>
      <c r="L695" t="n">
        <v>0</v>
      </c>
      <c r="M695" t="n">
        <v>0</v>
      </c>
      <c r="N695" t="n">
        <v>0</v>
      </c>
      <c r="O695" t="n">
        <v>0</v>
      </c>
      <c r="P695" t="n">
        <v>0</v>
      </c>
      <c r="Q695" t="n">
        <v>0</v>
      </c>
      <c r="R695" s="2" t="inlineStr"/>
    </row>
    <row r="696" ht="15" customHeight="1">
      <c r="A696" t="inlineStr">
        <is>
          <t>A 3396-2022</t>
        </is>
      </c>
      <c r="B696" s="1" t="n">
        <v>44585</v>
      </c>
      <c r="C696" s="1" t="n">
        <v>45578</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3509-2022</t>
        </is>
      </c>
      <c r="B697" s="1" t="n">
        <v>44585</v>
      </c>
      <c r="C697" s="1" t="n">
        <v>45578</v>
      </c>
      <c r="D697" t="inlineStr">
        <is>
          <t>STOCKHOLMS LÄN</t>
        </is>
      </c>
      <c r="E697" t="inlineStr">
        <is>
          <t>NORRTÄLJE</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4860-2022</t>
        </is>
      </c>
      <c r="B698" s="1" t="n">
        <v>44592</v>
      </c>
      <c r="C698" s="1" t="n">
        <v>45578</v>
      </c>
      <c r="D698" t="inlineStr">
        <is>
          <t>STOCKHOLMS LÄN</t>
        </is>
      </c>
      <c r="E698" t="inlineStr">
        <is>
          <t>NORRTÄLJE</t>
        </is>
      </c>
      <c r="G698" t="n">
        <v>22.3</v>
      </c>
      <c r="H698" t="n">
        <v>0</v>
      </c>
      <c r="I698" t="n">
        <v>0</v>
      </c>
      <c r="J698" t="n">
        <v>0</v>
      </c>
      <c r="K698" t="n">
        <v>0</v>
      </c>
      <c r="L698" t="n">
        <v>0</v>
      </c>
      <c r="M698" t="n">
        <v>0</v>
      </c>
      <c r="N698" t="n">
        <v>0</v>
      </c>
      <c r="O698" t="n">
        <v>0</v>
      </c>
      <c r="P698" t="n">
        <v>0</v>
      </c>
      <c r="Q698" t="n">
        <v>0</v>
      </c>
      <c r="R698" s="2" t="inlineStr"/>
    </row>
    <row r="699" ht="15" customHeight="1">
      <c r="A699" t="inlineStr">
        <is>
          <t>A 5351-2022</t>
        </is>
      </c>
      <c r="B699" s="1" t="n">
        <v>44594</v>
      </c>
      <c r="C699" s="1" t="n">
        <v>45578</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5513-2022</t>
        </is>
      </c>
      <c r="B700" s="1" t="n">
        <v>44595</v>
      </c>
      <c r="C700" s="1" t="n">
        <v>45578</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5611-2022</t>
        </is>
      </c>
      <c r="B701" s="1" t="n">
        <v>44595</v>
      </c>
      <c r="C701" s="1" t="n">
        <v>45578</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5831-2022</t>
        </is>
      </c>
      <c r="B702" s="1" t="n">
        <v>44596</v>
      </c>
      <c r="C702" s="1" t="n">
        <v>45578</v>
      </c>
      <c r="D702" t="inlineStr">
        <is>
          <t>STOCKHOLMS LÄN</t>
        </is>
      </c>
      <c r="E702" t="inlineStr">
        <is>
          <t>NORRTÄLJE</t>
        </is>
      </c>
      <c r="G702" t="n">
        <v>4.8</v>
      </c>
      <c r="H702" t="n">
        <v>0</v>
      </c>
      <c r="I702" t="n">
        <v>0</v>
      </c>
      <c r="J702" t="n">
        <v>0</v>
      </c>
      <c r="K702" t="n">
        <v>0</v>
      </c>
      <c r="L702" t="n">
        <v>0</v>
      </c>
      <c r="M702" t="n">
        <v>0</v>
      </c>
      <c r="N702" t="n">
        <v>0</v>
      </c>
      <c r="O702" t="n">
        <v>0</v>
      </c>
      <c r="P702" t="n">
        <v>0</v>
      </c>
      <c r="Q702" t="n">
        <v>0</v>
      </c>
      <c r="R702" s="2" t="inlineStr"/>
    </row>
    <row r="703" ht="15" customHeight="1">
      <c r="A703" t="inlineStr">
        <is>
          <t>A 5867-2022</t>
        </is>
      </c>
      <c r="B703" s="1" t="n">
        <v>44596</v>
      </c>
      <c r="C703" s="1" t="n">
        <v>45578</v>
      </c>
      <c r="D703" t="inlineStr">
        <is>
          <t>STOCKHOLMS LÄN</t>
        </is>
      </c>
      <c r="E703" t="inlineStr">
        <is>
          <t>NORRTÄLJE</t>
        </is>
      </c>
      <c r="F703" t="inlineStr">
        <is>
          <t>Naturvårdsverket</t>
        </is>
      </c>
      <c r="G703" t="n">
        <v>1.6</v>
      </c>
      <c r="H703" t="n">
        <v>0</v>
      </c>
      <c r="I703" t="n">
        <v>0</v>
      </c>
      <c r="J703" t="n">
        <v>0</v>
      </c>
      <c r="K703" t="n">
        <v>0</v>
      </c>
      <c r="L703" t="n">
        <v>0</v>
      </c>
      <c r="M703" t="n">
        <v>0</v>
      </c>
      <c r="N703" t="n">
        <v>0</v>
      </c>
      <c r="O703" t="n">
        <v>0</v>
      </c>
      <c r="P703" t="n">
        <v>0</v>
      </c>
      <c r="Q703" t="n">
        <v>0</v>
      </c>
      <c r="R703" s="2" t="inlineStr"/>
    </row>
    <row r="704" ht="15" customHeight="1">
      <c r="A704" t="inlineStr">
        <is>
          <t>A 6070-2022</t>
        </is>
      </c>
      <c r="B704" s="1" t="n">
        <v>44599</v>
      </c>
      <c r="C704" s="1" t="n">
        <v>45578</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6332-2022</t>
        </is>
      </c>
      <c r="B705" s="1" t="n">
        <v>44600</v>
      </c>
      <c r="C705" s="1" t="n">
        <v>45578</v>
      </c>
      <c r="D705" t="inlineStr">
        <is>
          <t>STOCKHOLMS LÄN</t>
        </is>
      </c>
      <c r="E705" t="inlineStr">
        <is>
          <t>NORRTÄLJE</t>
        </is>
      </c>
      <c r="G705" t="n">
        <v>3.4</v>
      </c>
      <c r="H705" t="n">
        <v>0</v>
      </c>
      <c r="I705" t="n">
        <v>0</v>
      </c>
      <c r="J705" t="n">
        <v>0</v>
      </c>
      <c r="K705" t="n">
        <v>0</v>
      </c>
      <c r="L705" t="n">
        <v>0</v>
      </c>
      <c r="M705" t="n">
        <v>0</v>
      </c>
      <c r="N705" t="n">
        <v>0</v>
      </c>
      <c r="O705" t="n">
        <v>0</v>
      </c>
      <c r="P705" t="n">
        <v>0</v>
      </c>
      <c r="Q705" t="n">
        <v>0</v>
      </c>
      <c r="R705" s="2" t="inlineStr"/>
    </row>
    <row r="706" ht="15" customHeight="1">
      <c r="A706" t="inlineStr">
        <is>
          <t>A 7301-2022</t>
        </is>
      </c>
      <c r="B706" s="1" t="n">
        <v>44606</v>
      </c>
      <c r="C706" s="1" t="n">
        <v>45578</v>
      </c>
      <c r="D706" t="inlineStr">
        <is>
          <t>STOCKHOLMS LÄN</t>
        </is>
      </c>
      <c r="E706" t="inlineStr">
        <is>
          <t>NORRTÄLJE</t>
        </is>
      </c>
      <c r="G706" t="n">
        <v>6.1</v>
      </c>
      <c r="H706" t="n">
        <v>0</v>
      </c>
      <c r="I706" t="n">
        <v>0</v>
      </c>
      <c r="J706" t="n">
        <v>0</v>
      </c>
      <c r="K706" t="n">
        <v>0</v>
      </c>
      <c r="L706" t="n">
        <v>0</v>
      </c>
      <c r="M706" t="n">
        <v>0</v>
      </c>
      <c r="N706" t="n">
        <v>0</v>
      </c>
      <c r="O706" t="n">
        <v>0</v>
      </c>
      <c r="P706" t="n">
        <v>0</v>
      </c>
      <c r="Q706" t="n">
        <v>0</v>
      </c>
      <c r="R706" s="2" t="inlineStr"/>
    </row>
    <row r="707" ht="15" customHeight="1">
      <c r="A707" t="inlineStr">
        <is>
          <t>A 7565-2022</t>
        </is>
      </c>
      <c r="B707" s="1" t="n">
        <v>44607</v>
      </c>
      <c r="C707" s="1" t="n">
        <v>45578</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8024-2022</t>
        </is>
      </c>
      <c r="B708" s="1" t="n">
        <v>44609</v>
      </c>
      <c r="C708" s="1" t="n">
        <v>45578</v>
      </c>
      <c r="D708" t="inlineStr">
        <is>
          <t>STOCKHOLMS LÄN</t>
        </is>
      </c>
      <c r="E708" t="inlineStr">
        <is>
          <t>NORRTÄLJE</t>
        </is>
      </c>
      <c r="F708" t="inlineStr">
        <is>
          <t>Kyrkan</t>
        </is>
      </c>
      <c r="G708" t="n">
        <v>28.2</v>
      </c>
      <c r="H708" t="n">
        <v>0</v>
      </c>
      <c r="I708" t="n">
        <v>0</v>
      </c>
      <c r="J708" t="n">
        <v>0</v>
      </c>
      <c r="K708" t="n">
        <v>0</v>
      </c>
      <c r="L708" t="n">
        <v>0</v>
      </c>
      <c r="M708" t="n">
        <v>0</v>
      </c>
      <c r="N708" t="n">
        <v>0</v>
      </c>
      <c r="O708" t="n">
        <v>0</v>
      </c>
      <c r="P708" t="n">
        <v>0</v>
      </c>
      <c r="Q708" t="n">
        <v>0</v>
      </c>
      <c r="R708" s="2" t="inlineStr"/>
    </row>
    <row r="709" ht="15" customHeight="1">
      <c r="A709" t="inlineStr">
        <is>
          <t>A 8049-2022</t>
        </is>
      </c>
      <c r="B709" s="1" t="n">
        <v>44609</v>
      </c>
      <c r="C709" s="1" t="n">
        <v>45578</v>
      </c>
      <c r="D709" t="inlineStr">
        <is>
          <t>STOCKHOLMS LÄN</t>
        </is>
      </c>
      <c r="E709" t="inlineStr">
        <is>
          <t>NORRTÄLJE</t>
        </is>
      </c>
      <c r="F709" t="inlineStr">
        <is>
          <t>Holmen skog AB</t>
        </is>
      </c>
      <c r="G709" t="n">
        <v>3</v>
      </c>
      <c r="H709" t="n">
        <v>0</v>
      </c>
      <c r="I709" t="n">
        <v>0</v>
      </c>
      <c r="J709" t="n">
        <v>0</v>
      </c>
      <c r="K709" t="n">
        <v>0</v>
      </c>
      <c r="L709" t="n">
        <v>0</v>
      </c>
      <c r="M709" t="n">
        <v>0</v>
      </c>
      <c r="N709" t="n">
        <v>0</v>
      </c>
      <c r="O709" t="n">
        <v>0</v>
      </c>
      <c r="P709" t="n">
        <v>0</v>
      </c>
      <c r="Q709" t="n">
        <v>0</v>
      </c>
      <c r="R709" s="2" t="inlineStr"/>
    </row>
    <row r="710" ht="15" customHeight="1">
      <c r="A710" t="inlineStr">
        <is>
          <t>A 8160-2022</t>
        </is>
      </c>
      <c r="B710" s="1" t="n">
        <v>44609</v>
      </c>
      <c r="C710" s="1" t="n">
        <v>45578</v>
      </c>
      <c r="D710" t="inlineStr">
        <is>
          <t>STOCKHOLMS LÄN</t>
        </is>
      </c>
      <c r="E710" t="inlineStr">
        <is>
          <t>NORRTÄLJE</t>
        </is>
      </c>
      <c r="G710" t="n">
        <v>3.9</v>
      </c>
      <c r="H710" t="n">
        <v>0</v>
      </c>
      <c r="I710" t="n">
        <v>0</v>
      </c>
      <c r="J710" t="n">
        <v>0</v>
      </c>
      <c r="K710" t="n">
        <v>0</v>
      </c>
      <c r="L710" t="n">
        <v>0</v>
      </c>
      <c r="M710" t="n">
        <v>0</v>
      </c>
      <c r="N710" t="n">
        <v>0</v>
      </c>
      <c r="O710" t="n">
        <v>0</v>
      </c>
      <c r="P710" t="n">
        <v>0</v>
      </c>
      <c r="Q710" t="n">
        <v>0</v>
      </c>
      <c r="R710" s="2" t="inlineStr"/>
    </row>
    <row r="711" ht="15" customHeight="1">
      <c r="A711" t="inlineStr">
        <is>
          <t>A 8433-2022</t>
        </is>
      </c>
      <c r="B711" s="1" t="n">
        <v>44611</v>
      </c>
      <c r="C711" s="1" t="n">
        <v>45578</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9668-2022</t>
        </is>
      </c>
      <c r="B712" s="1" t="n">
        <v>44617</v>
      </c>
      <c r="C712" s="1" t="n">
        <v>45578</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9654-2022</t>
        </is>
      </c>
      <c r="B713" s="1" t="n">
        <v>44617</v>
      </c>
      <c r="C713" s="1" t="n">
        <v>45578</v>
      </c>
      <c r="D713" t="inlineStr">
        <is>
          <t>STOCKHOLMS LÄN</t>
        </is>
      </c>
      <c r="E713" t="inlineStr">
        <is>
          <t>NORRTÄLJE</t>
        </is>
      </c>
      <c r="G713" t="n">
        <v>6.4</v>
      </c>
      <c r="H713" t="n">
        <v>0</v>
      </c>
      <c r="I713" t="n">
        <v>0</v>
      </c>
      <c r="J713" t="n">
        <v>0</v>
      </c>
      <c r="K713" t="n">
        <v>0</v>
      </c>
      <c r="L713" t="n">
        <v>0</v>
      </c>
      <c r="M713" t="n">
        <v>0</v>
      </c>
      <c r="N713" t="n">
        <v>0</v>
      </c>
      <c r="O713" t="n">
        <v>0</v>
      </c>
      <c r="P713" t="n">
        <v>0</v>
      </c>
      <c r="Q713" t="n">
        <v>0</v>
      </c>
      <c r="R713" s="2" t="inlineStr"/>
    </row>
    <row r="714" ht="15" customHeight="1">
      <c r="A714" t="inlineStr">
        <is>
          <t>A 9749-2022</t>
        </is>
      </c>
      <c r="B714" s="1" t="n">
        <v>44618</v>
      </c>
      <c r="C714" s="1" t="n">
        <v>45578</v>
      </c>
      <c r="D714" t="inlineStr">
        <is>
          <t>STOCKHOLMS LÄN</t>
        </is>
      </c>
      <c r="E714" t="inlineStr">
        <is>
          <t>NORRTÄLJE</t>
        </is>
      </c>
      <c r="G714" t="n">
        <v>7.2</v>
      </c>
      <c r="H714" t="n">
        <v>0</v>
      </c>
      <c r="I714" t="n">
        <v>0</v>
      </c>
      <c r="J714" t="n">
        <v>0</v>
      </c>
      <c r="K714" t="n">
        <v>0</v>
      </c>
      <c r="L714" t="n">
        <v>0</v>
      </c>
      <c r="M714" t="n">
        <v>0</v>
      </c>
      <c r="N714" t="n">
        <v>0</v>
      </c>
      <c r="O714" t="n">
        <v>0</v>
      </c>
      <c r="P714" t="n">
        <v>0</v>
      </c>
      <c r="Q714" t="n">
        <v>0</v>
      </c>
      <c r="R714" s="2" t="inlineStr"/>
    </row>
    <row r="715" ht="15" customHeight="1">
      <c r="A715" t="inlineStr">
        <is>
          <t>A 9988-2022</t>
        </is>
      </c>
      <c r="B715" s="1" t="n">
        <v>44621</v>
      </c>
      <c r="C715" s="1" t="n">
        <v>45578</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10090-2022</t>
        </is>
      </c>
      <c r="B716" s="1" t="n">
        <v>44621</v>
      </c>
      <c r="C716" s="1" t="n">
        <v>45578</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10098-2022</t>
        </is>
      </c>
      <c r="B717" s="1" t="n">
        <v>44621</v>
      </c>
      <c r="C717" s="1" t="n">
        <v>45578</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10521-2022</t>
        </is>
      </c>
      <c r="B718" s="1" t="n">
        <v>44623</v>
      </c>
      <c r="C718" s="1" t="n">
        <v>45578</v>
      </c>
      <c r="D718" t="inlineStr">
        <is>
          <t>STOCKHOLMS LÄN</t>
        </is>
      </c>
      <c r="E718" t="inlineStr">
        <is>
          <t>NORRTÄLJE</t>
        </is>
      </c>
      <c r="G718" t="n">
        <v>2.9</v>
      </c>
      <c r="H718" t="n">
        <v>0</v>
      </c>
      <c r="I718" t="n">
        <v>0</v>
      </c>
      <c r="J718" t="n">
        <v>0</v>
      </c>
      <c r="K718" t="n">
        <v>0</v>
      </c>
      <c r="L718" t="n">
        <v>0</v>
      </c>
      <c r="M718" t="n">
        <v>0</v>
      </c>
      <c r="N718" t="n">
        <v>0</v>
      </c>
      <c r="O718" t="n">
        <v>0</v>
      </c>
      <c r="P718" t="n">
        <v>0</v>
      </c>
      <c r="Q718" t="n">
        <v>0</v>
      </c>
      <c r="R718" s="2" t="inlineStr"/>
    </row>
    <row r="719" ht="15" customHeight="1">
      <c r="A719" t="inlineStr">
        <is>
          <t>A 10653-2022</t>
        </is>
      </c>
      <c r="B719" s="1" t="n">
        <v>44624</v>
      </c>
      <c r="C719" s="1" t="n">
        <v>45578</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10710-2022</t>
        </is>
      </c>
      <c r="B720" s="1" t="n">
        <v>44626</v>
      </c>
      <c r="C720" s="1" t="n">
        <v>45578</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10711-2022</t>
        </is>
      </c>
      <c r="B721" s="1" t="n">
        <v>44626</v>
      </c>
      <c r="C721" s="1" t="n">
        <v>45578</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11150-2022</t>
        </is>
      </c>
      <c r="B722" s="1" t="n">
        <v>44629</v>
      </c>
      <c r="C722" s="1" t="n">
        <v>45578</v>
      </c>
      <c r="D722" t="inlineStr">
        <is>
          <t>STOCKHOLMS LÄN</t>
        </is>
      </c>
      <c r="E722" t="inlineStr">
        <is>
          <t>NORRTÄLJE</t>
        </is>
      </c>
      <c r="F722" t="inlineStr">
        <is>
          <t>Övriga Aktiebolag</t>
        </is>
      </c>
      <c r="G722" t="n">
        <v>6.5</v>
      </c>
      <c r="H722" t="n">
        <v>0</v>
      </c>
      <c r="I722" t="n">
        <v>0</v>
      </c>
      <c r="J722" t="n">
        <v>0</v>
      </c>
      <c r="K722" t="n">
        <v>0</v>
      </c>
      <c r="L722" t="n">
        <v>0</v>
      </c>
      <c r="M722" t="n">
        <v>0</v>
      </c>
      <c r="N722" t="n">
        <v>0</v>
      </c>
      <c r="O722" t="n">
        <v>0</v>
      </c>
      <c r="P722" t="n">
        <v>0</v>
      </c>
      <c r="Q722" t="n">
        <v>0</v>
      </c>
      <c r="R722" s="2" t="inlineStr"/>
    </row>
    <row r="723" ht="15" customHeight="1">
      <c r="A723" t="inlineStr">
        <is>
          <t>A 11229-2022</t>
        </is>
      </c>
      <c r="B723" s="1" t="n">
        <v>44629</v>
      </c>
      <c r="C723" s="1" t="n">
        <v>45578</v>
      </c>
      <c r="D723" t="inlineStr">
        <is>
          <t>STOCKHOLMS LÄN</t>
        </is>
      </c>
      <c r="E723" t="inlineStr">
        <is>
          <t>NORRTÄLJE</t>
        </is>
      </c>
      <c r="F723" t="inlineStr">
        <is>
          <t>Övriga Aktiebolag</t>
        </is>
      </c>
      <c r="G723" t="n">
        <v>4.1</v>
      </c>
      <c r="H723" t="n">
        <v>0</v>
      </c>
      <c r="I723" t="n">
        <v>0</v>
      </c>
      <c r="J723" t="n">
        <v>0</v>
      </c>
      <c r="K723" t="n">
        <v>0</v>
      </c>
      <c r="L723" t="n">
        <v>0</v>
      </c>
      <c r="M723" t="n">
        <v>0</v>
      </c>
      <c r="N723" t="n">
        <v>0</v>
      </c>
      <c r="O723" t="n">
        <v>0</v>
      </c>
      <c r="P723" t="n">
        <v>0</v>
      </c>
      <c r="Q723" t="n">
        <v>0</v>
      </c>
      <c r="R723" s="2" t="inlineStr"/>
    </row>
    <row r="724" ht="15" customHeight="1">
      <c r="A724" t="inlineStr">
        <is>
          <t>A 11533-2022</t>
        </is>
      </c>
      <c r="B724" s="1" t="n">
        <v>44631</v>
      </c>
      <c r="C724" s="1" t="n">
        <v>45578</v>
      </c>
      <c r="D724" t="inlineStr">
        <is>
          <t>STOCKHOLMS LÄN</t>
        </is>
      </c>
      <c r="E724" t="inlineStr">
        <is>
          <t>NORRTÄLJE</t>
        </is>
      </c>
      <c r="G724" t="n">
        <v>3.6</v>
      </c>
      <c r="H724" t="n">
        <v>0</v>
      </c>
      <c r="I724" t="n">
        <v>0</v>
      </c>
      <c r="J724" t="n">
        <v>0</v>
      </c>
      <c r="K724" t="n">
        <v>0</v>
      </c>
      <c r="L724" t="n">
        <v>0</v>
      </c>
      <c r="M724" t="n">
        <v>0</v>
      </c>
      <c r="N724" t="n">
        <v>0</v>
      </c>
      <c r="O724" t="n">
        <v>0</v>
      </c>
      <c r="P724" t="n">
        <v>0</v>
      </c>
      <c r="Q724" t="n">
        <v>0</v>
      </c>
      <c r="R724" s="2" t="inlineStr"/>
    </row>
    <row r="725" ht="15" customHeight="1">
      <c r="A725" t="inlineStr">
        <is>
          <t>A 11821-2022</t>
        </is>
      </c>
      <c r="B725" s="1" t="n">
        <v>44634</v>
      </c>
      <c r="C725" s="1" t="n">
        <v>45578</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11900-2022</t>
        </is>
      </c>
      <c r="B726" s="1" t="n">
        <v>44635</v>
      </c>
      <c r="C726" s="1" t="n">
        <v>45578</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12355-2022</t>
        </is>
      </c>
      <c r="B727" s="1" t="n">
        <v>44637</v>
      </c>
      <c r="C727" s="1" t="n">
        <v>45578</v>
      </c>
      <c r="D727" t="inlineStr">
        <is>
          <t>STOCKHOLMS LÄN</t>
        </is>
      </c>
      <c r="E727" t="inlineStr">
        <is>
          <t>NORRTÄLJE</t>
        </is>
      </c>
      <c r="G727" t="n">
        <v>10.4</v>
      </c>
      <c r="H727" t="n">
        <v>0</v>
      </c>
      <c r="I727" t="n">
        <v>0</v>
      </c>
      <c r="J727" t="n">
        <v>0</v>
      </c>
      <c r="K727" t="n">
        <v>0</v>
      </c>
      <c r="L727" t="n">
        <v>0</v>
      </c>
      <c r="M727" t="n">
        <v>0</v>
      </c>
      <c r="N727" t="n">
        <v>0</v>
      </c>
      <c r="O727" t="n">
        <v>0</v>
      </c>
      <c r="P727" t="n">
        <v>0</v>
      </c>
      <c r="Q727" t="n">
        <v>0</v>
      </c>
      <c r="R727" s="2" t="inlineStr"/>
    </row>
    <row r="728" ht="15" customHeight="1">
      <c r="A728" t="inlineStr">
        <is>
          <t>A 12270-2022</t>
        </is>
      </c>
      <c r="B728" s="1" t="n">
        <v>44637</v>
      </c>
      <c r="C728" s="1" t="n">
        <v>45578</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12314-2022</t>
        </is>
      </c>
      <c r="B729" s="1" t="n">
        <v>44637</v>
      </c>
      <c r="C729" s="1" t="n">
        <v>45578</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12268-2022</t>
        </is>
      </c>
      <c r="B730" s="1" t="n">
        <v>44637</v>
      </c>
      <c r="C730" s="1" t="n">
        <v>45578</v>
      </c>
      <c r="D730" t="inlineStr">
        <is>
          <t>STOCKHOLMS LÄN</t>
        </is>
      </c>
      <c r="E730" t="inlineStr">
        <is>
          <t>NORRTÄLJE</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12357-2022</t>
        </is>
      </c>
      <c r="B731" s="1" t="n">
        <v>44637</v>
      </c>
      <c r="C731" s="1" t="n">
        <v>45578</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62765-2022</t>
        </is>
      </c>
      <c r="B732" s="1" t="n">
        <v>44637</v>
      </c>
      <c r="C732" s="1" t="n">
        <v>45578</v>
      </c>
      <c r="D732" t="inlineStr">
        <is>
          <t>STOCKHOLMS LÄN</t>
        </is>
      </c>
      <c r="E732" t="inlineStr">
        <is>
          <t>NORRTÄLJE</t>
        </is>
      </c>
      <c r="G732" t="n">
        <v>2.7</v>
      </c>
      <c r="H732" t="n">
        <v>0</v>
      </c>
      <c r="I732" t="n">
        <v>0</v>
      </c>
      <c r="J732" t="n">
        <v>0</v>
      </c>
      <c r="K732" t="n">
        <v>0</v>
      </c>
      <c r="L732" t="n">
        <v>0</v>
      </c>
      <c r="M732" t="n">
        <v>0</v>
      </c>
      <c r="N732" t="n">
        <v>0</v>
      </c>
      <c r="O732" t="n">
        <v>0</v>
      </c>
      <c r="P732" t="n">
        <v>0</v>
      </c>
      <c r="Q732" t="n">
        <v>0</v>
      </c>
      <c r="R732" s="2" t="inlineStr"/>
    </row>
    <row r="733" ht="15" customHeight="1">
      <c r="A733" t="inlineStr">
        <is>
          <t>A 12874-2022</t>
        </is>
      </c>
      <c r="B733" s="1" t="n">
        <v>44642</v>
      </c>
      <c r="C733" s="1" t="n">
        <v>45578</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12816-2022</t>
        </is>
      </c>
      <c r="B734" s="1" t="n">
        <v>44642</v>
      </c>
      <c r="C734" s="1" t="n">
        <v>45578</v>
      </c>
      <c r="D734" t="inlineStr">
        <is>
          <t>STOCKHOLMS LÄN</t>
        </is>
      </c>
      <c r="E734" t="inlineStr">
        <is>
          <t>NORRTÄLJE</t>
        </is>
      </c>
      <c r="G734" t="n">
        <v>4.4</v>
      </c>
      <c r="H734" t="n">
        <v>0</v>
      </c>
      <c r="I734" t="n">
        <v>0</v>
      </c>
      <c r="J734" t="n">
        <v>0</v>
      </c>
      <c r="K734" t="n">
        <v>0</v>
      </c>
      <c r="L734" t="n">
        <v>0</v>
      </c>
      <c r="M734" t="n">
        <v>0</v>
      </c>
      <c r="N734" t="n">
        <v>0</v>
      </c>
      <c r="O734" t="n">
        <v>0</v>
      </c>
      <c r="P734" t="n">
        <v>0</v>
      </c>
      <c r="Q734" t="n">
        <v>0</v>
      </c>
      <c r="R734" s="2" t="inlineStr"/>
    </row>
    <row r="735" ht="15" customHeight="1">
      <c r="A735" t="inlineStr">
        <is>
          <t>A 12877-2022</t>
        </is>
      </c>
      <c r="B735" s="1" t="n">
        <v>44642</v>
      </c>
      <c r="C735" s="1" t="n">
        <v>45578</v>
      </c>
      <c r="D735" t="inlineStr">
        <is>
          <t>STOCKHOLMS LÄN</t>
        </is>
      </c>
      <c r="E735" t="inlineStr">
        <is>
          <t>NORRTÄLJE</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12875-2022</t>
        </is>
      </c>
      <c r="B736" s="1" t="n">
        <v>44642</v>
      </c>
      <c r="C736" s="1" t="n">
        <v>45578</v>
      </c>
      <c r="D736" t="inlineStr">
        <is>
          <t>STOCKHOLMS LÄN</t>
        </is>
      </c>
      <c r="E736" t="inlineStr">
        <is>
          <t>NORRTÄLJE</t>
        </is>
      </c>
      <c r="G736" t="n">
        <v>1.6</v>
      </c>
      <c r="H736" t="n">
        <v>0</v>
      </c>
      <c r="I736" t="n">
        <v>0</v>
      </c>
      <c r="J736" t="n">
        <v>0</v>
      </c>
      <c r="K736" t="n">
        <v>0</v>
      </c>
      <c r="L736" t="n">
        <v>0</v>
      </c>
      <c r="M736" t="n">
        <v>0</v>
      </c>
      <c r="N736" t="n">
        <v>0</v>
      </c>
      <c r="O736" t="n">
        <v>0</v>
      </c>
      <c r="P736" t="n">
        <v>0</v>
      </c>
      <c r="Q736" t="n">
        <v>0</v>
      </c>
      <c r="R736" s="2" t="inlineStr"/>
    </row>
    <row r="737" ht="15" customHeight="1">
      <c r="A737" t="inlineStr">
        <is>
          <t>A 13077-2022</t>
        </is>
      </c>
      <c r="B737" s="1" t="n">
        <v>44643</v>
      </c>
      <c r="C737" s="1" t="n">
        <v>45578</v>
      </c>
      <c r="D737" t="inlineStr">
        <is>
          <t>STOCKHOLMS LÄN</t>
        </is>
      </c>
      <c r="E737" t="inlineStr">
        <is>
          <t>NORRTÄLJE</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13053-2022</t>
        </is>
      </c>
      <c r="B738" s="1" t="n">
        <v>44643</v>
      </c>
      <c r="C738" s="1" t="n">
        <v>45578</v>
      </c>
      <c r="D738" t="inlineStr">
        <is>
          <t>STOCKHOLMS LÄN</t>
        </is>
      </c>
      <c r="E738" t="inlineStr">
        <is>
          <t>NORRTÄLJE</t>
        </is>
      </c>
      <c r="G738" t="n">
        <v>2.8</v>
      </c>
      <c r="H738" t="n">
        <v>0</v>
      </c>
      <c r="I738" t="n">
        <v>0</v>
      </c>
      <c r="J738" t="n">
        <v>0</v>
      </c>
      <c r="K738" t="n">
        <v>0</v>
      </c>
      <c r="L738" t="n">
        <v>0</v>
      </c>
      <c r="M738" t="n">
        <v>0</v>
      </c>
      <c r="N738" t="n">
        <v>0</v>
      </c>
      <c r="O738" t="n">
        <v>0</v>
      </c>
      <c r="P738" t="n">
        <v>0</v>
      </c>
      <c r="Q738" t="n">
        <v>0</v>
      </c>
      <c r="R738" s="2" t="inlineStr"/>
    </row>
    <row r="739" ht="15" customHeight="1">
      <c r="A739" t="inlineStr">
        <is>
          <t>A 13089-2022</t>
        </is>
      </c>
      <c r="B739" s="1" t="n">
        <v>44643</v>
      </c>
      <c r="C739" s="1" t="n">
        <v>45578</v>
      </c>
      <c r="D739" t="inlineStr">
        <is>
          <t>STOCKHOLMS LÄN</t>
        </is>
      </c>
      <c r="E739" t="inlineStr">
        <is>
          <t>NORRTÄLJE</t>
        </is>
      </c>
      <c r="G739" t="n">
        <v>4.5</v>
      </c>
      <c r="H739" t="n">
        <v>0</v>
      </c>
      <c r="I739" t="n">
        <v>0</v>
      </c>
      <c r="J739" t="n">
        <v>0</v>
      </c>
      <c r="K739" t="n">
        <v>0</v>
      </c>
      <c r="L739" t="n">
        <v>0</v>
      </c>
      <c r="M739" t="n">
        <v>0</v>
      </c>
      <c r="N739" t="n">
        <v>0</v>
      </c>
      <c r="O739" t="n">
        <v>0</v>
      </c>
      <c r="P739" t="n">
        <v>0</v>
      </c>
      <c r="Q739" t="n">
        <v>0</v>
      </c>
      <c r="R739" s="2" t="inlineStr"/>
    </row>
    <row r="740" ht="15" customHeight="1">
      <c r="A740" t="inlineStr">
        <is>
          <t>A 13106-2022</t>
        </is>
      </c>
      <c r="B740" s="1" t="n">
        <v>44644</v>
      </c>
      <c r="C740" s="1" t="n">
        <v>45578</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13278-2022</t>
        </is>
      </c>
      <c r="B741" s="1" t="n">
        <v>44644</v>
      </c>
      <c r="C741" s="1" t="n">
        <v>45578</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13276-2022</t>
        </is>
      </c>
      <c r="B742" s="1" t="n">
        <v>44644</v>
      </c>
      <c r="C742" s="1" t="n">
        <v>45578</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13395-2022</t>
        </is>
      </c>
      <c r="B743" s="1" t="n">
        <v>44645</v>
      </c>
      <c r="C743" s="1" t="n">
        <v>45578</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13696-2022</t>
        </is>
      </c>
      <c r="B744" s="1" t="n">
        <v>44648</v>
      </c>
      <c r="C744" s="1" t="n">
        <v>45578</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13701-2022</t>
        </is>
      </c>
      <c r="B745" s="1" t="n">
        <v>44648</v>
      </c>
      <c r="C745" s="1" t="n">
        <v>45578</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13718-2022</t>
        </is>
      </c>
      <c r="B746" s="1" t="n">
        <v>44649</v>
      </c>
      <c r="C746" s="1" t="n">
        <v>45578</v>
      </c>
      <c r="D746" t="inlineStr">
        <is>
          <t>STOCKHOLMS LÄN</t>
        </is>
      </c>
      <c r="E746" t="inlineStr">
        <is>
          <t>NORRTÄLJE</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14036-2022</t>
        </is>
      </c>
      <c r="B747" s="1" t="n">
        <v>44650</v>
      </c>
      <c r="C747" s="1" t="n">
        <v>45578</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14033-2022</t>
        </is>
      </c>
      <c r="B748" s="1" t="n">
        <v>44650</v>
      </c>
      <c r="C748" s="1" t="n">
        <v>45578</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14034-2022</t>
        </is>
      </c>
      <c r="B749" s="1" t="n">
        <v>44650</v>
      </c>
      <c r="C749" s="1" t="n">
        <v>45578</v>
      </c>
      <c r="D749" t="inlineStr">
        <is>
          <t>STOCKHOLMS LÄN</t>
        </is>
      </c>
      <c r="E749" t="inlineStr">
        <is>
          <t>NORRTÄLJE</t>
        </is>
      </c>
      <c r="G749" t="n">
        <v>6.1</v>
      </c>
      <c r="H749" t="n">
        <v>0</v>
      </c>
      <c r="I749" t="n">
        <v>0</v>
      </c>
      <c r="J749" t="n">
        <v>0</v>
      </c>
      <c r="K749" t="n">
        <v>0</v>
      </c>
      <c r="L749" t="n">
        <v>0</v>
      </c>
      <c r="M749" t="n">
        <v>0</v>
      </c>
      <c r="N749" t="n">
        <v>0</v>
      </c>
      <c r="O749" t="n">
        <v>0</v>
      </c>
      <c r="P749" t="n">
        <v>0</v>
      </c>
      <c r="Q749" t="n">
        <v>0</v>
      </c>
      <c r="R749" s="2" t="inlineStr"/>
    </row>
    <row r="750" ht="15" customHeight="1">
      <c r="A750" t="inlineStr">
        <is>
          <t>A 14051-2022</t>
        </is>
      </c>
      <c r="B750" s="1" t="n">
        <v>44651</v>
      </c>
      <c r="C750" s="1" t="n">
        <v>45578</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14166-2022</t>
        </is>
      </c>
      <c r="B751" s="1" t="n">
        <v>44651</v>
      </c>
      <c r="C751" s="1" t="n">
        <v>45578</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14543-2022</t>
        </is>
      </c>
      <c r="B752" s="1" t="n">
        <v>44655</v>
      </c>
      <c r="C752" s="1" t="n">
        <v>45578</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14724-2022</t>
        </is>
      </c>
      <c r="B753" s="1" t="n">
        <v>44656</v>
      </c>
      <c r="C753" s="1" t="n">
        <v>45578</v>
      </c>
      <c r="D753" t="inlineStr">
        <is>
          <t>STOCKHOLMS LÄN</t>
        </is>
      </c>
      <c r="E753" t="inlineStr">
        <is>
          <t>NORRTÄLJE</t>
        </is>
      </c>
      <c r="F753" t="inlineStr">
        <is>
          <t>Sveaskog</t>
        </is>
      </c>
      <c r="G753" t="n">
        <v>9</v>
      </c>
      <c r="H753" t="n">
        <v>0</v>
      </c>
      <c r="I753" t="n">
        <v>0</v>
      </c>
      <c r="J753" t="n">
        <v>0</v>
      </c>
      <c r="K753" t="n">
        <v>0</v>
      </c>
      <c r="L753" t="n">
        <v>0</v>
      </c>
      <c r="M753" t="n">
        <v>0</v>
      </c>
      <c r="N753" t="n">
        <v>0</v>
      </c>
      <c r="O753" t="n">
        <v>0</v>
      </c>
      <c r="P753" t="n">
        <v>0</v>
      </c>
      <c r="Q753" t="n">
        <v>0</v>
      </c>
      <c r="R753" s="2" t="inlineStr"/>
    </row>
    <row r="754" ht="15" customHeight="1">
      <c r="A754" t="inlineStr">
        <is>
          <t>A 14716-2022</t>
        </is>
      </c>
      <c r="B754" s="1" t="n">
        <v>44656</v>
      </c>
      <c r="C754" s="1" t="n">
        <v>45578</v>
      </c>
      <c r="D754" t="inlineStr">
        <is>
          <t>STOCKHOLMS LÄN</t>
        </is>
      </c>
      <c r="E754" t="inlineStr">
        <is>
          <t>NORRTÄLJE</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14869-2022</t>
        </is>
      </c>
      <c r="B755" s="1" t="n">
        <v>44656</v>
      </c>
      <c r="C755" s="1" t="n">
        <v>45578</v>
      </c>
      <c r="D755" t="inlineStr">
        <is>
          <t>STOCKHOLMS LÄN</t>
        </is>
      </c>
      <c r="E755" t="inlineStr">
        <is>
          <t>NORRTÄLJE</t>
        </is>
      </c>
      <c r="F755" t="inlineStr">
        <is>
          <t>Holmen skog AB</t>
        </is>
      </c>
      <c r="G755" t="n">
        <v>9.1</v>
      </c>
      <c r="H755" t="n">
        <v>0</v>
      </c>
      <c r="I755" t="n">
        <v>0</v>
      </c>
      <c r="J755" t="n">
        <v>0</v>
      </c>
      <c r="K755" t="n">
        <v>0</v>
      </c>
      <c r="L755" t="n">
        <v>0</v>
      </c>
      <c r="M755" t="n">
        <v>0</v>
      </c>
      <c r="N755" t="n">
        <v>0</v>
      </c>
      <c r="O755" t="n">
        <v>0</v>
      </c>
      <c r="P755" t="n">
        <v>0</v>
      </c>
      <c r="Q755" t="n">
        <v>0</v>
      </c>
      <c r="R755" s="2" t="inlineStr"/>
    </row>
    <row r="756" ht="15" customHeight="1">
      <c r="A756" t="inlineStr">
        <is>
          <t>A 15225-2022</t>
        </is>
      </c>
      <c r="B756" s="1" t="n">
        <v>44658</v>
      </c>
      <c r="C756" s="1" t="n">
        <v>45578</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15226-2022</t>
        </is>
      </c>
      <c r="B757" s="1" t="n">
        <v>44658</v>
      </c>
      <c r="C757" s="1" t="n">
        <v>45578</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15861-2022</t>
        </is>
      </c>
      <c r="B758" s="1" t="n">
        <v>44664</v>
      </c>
      <c r="C758" s="1" t="n">
        <v>45578</v>
      </c>
      <c r="D758" t="inlineStr">
        <is>
          <t>STOCKHOLMS LÄN</t>
        </is>
      </c>
      <c r="E758" t="inlineStr">
        <is>
          <t>NORRTÄLJE</t>
        </is>
      </c>
      <c r="G758" t="n">
        <v>10.2</v>
      </c>
      <c r="H758" t="n">
        <v>0</v>
      </c>
      <c r="I758" t="n">
        <v>0</v>
      </c>
      <c r="J758" t="n">
        <v>0</v>
      </c>
      <c r="K758" t="n">
        <v>0</v>
      </c>
      <c r="L758" t="n">
        <v>0</v>
      </c>
      <c r="M758" t="n">
        <v>0</v>
      </c>
      <c r="N758" t="n">
        <v>0</v>
      </c>
      <c r="O758" t="n">
        <v>0</v>
      </c>
      <c r="P758" t="n">
        <v>0</v>
      </c>
      <c r="Q758" t="n">
        <v>0</v>
      </c>
      <c r="R758" s="2" t="inlineStr"/>
    </row>
    <row r="759" ht="15" customHeight="1">
      <c r="A759" t="inlineStr">
        <is>
          <t>A 16117-2022</t>
        </is>
      </c>
      <c r="B759" s="1" t="n">
        <v>44665</v>
      </c>
      <c r="C759" s="1" t="n">
        <v>45578</v>
      </c>
      <c r="D759" t="inlineStr">
        <is>
          <t>STOCKHOLMS LÄN</t>
        </is>
      </c>
      <c r="E759" t="inlineStr">
        <is>
          <t>NORRTÄLJE</t>
        </is>
      </c>
      <c r="G759" t="n">
        <v>8.1</v>
      </c>
      <c r="H759" t="n">
        <v>0</v>
      </c>
      <c r="I759" t="n">
        <v>0</v>
      </c>
      <c r="J759" t="n">
        <v>0</v>
      </c>
      <c r="K759" t="n">
        <v>0</v>
      </c>
      <c r="L759" t="n">
        <v>0</v>
      </c>
      <c r="M759" t="n">
        <v>0</v>
      </c>
      <c r="N759" t="n">
        <v>0</v>
      </c>
      <c r="O759" t="n">
        <v>0</v>
      </c>
      <c r="P759" t="n">
        <v>0</v>
      </c>
      <c r="Q759" t="n">
        <v>0</v>
      </c>
      <c r="R759" s="2" t="inlineStr"/>
    </row>
    <row r="760" ht="15" customHeight="1">
      <c r="A760" t="inlineStr">
        <is>
          <t>A 16119-2022</t>
        </is>
      </c>
      <c r="B760" s="1" t="n">
        <v>44665</v>
      </c>
      <c r="C760" s="1" t="n">
        <v>45578</v>
      </c>
      <c r="D760" t="inlineStr">
        <is>
          <t>STOCKHOLMS LÄN</t>
        </is>
      </c>
      <c r="E760" t="inlineStr">
        <is>
          <t>NORRTÄLJE</t>
        </is>
      </c>
      <c r="G760" t="n">
        <v>3.9</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v>
      </c>
      <c r="C761" s="1" t="n">
        <v>45578</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16224-2022</t>
        </is>
      </c>
      <c r="B762" s="1" t="n">
        <v>44670</v>
      </c>
      <c r="C762" s="1" t="n">
        <v>45578</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16202-2022</t>
        </is>
      </c>
      <c r="B763" s="1" t="n">
        <v>44670</v>
      </c>
      <c r="C763" s="1" t="n">
        <v>45578</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16229-2022</t>
        </is>
      </c>
      <c r="B764" s="1" t="n">
        <v>44670</v>
      </c>
      <c r="C764" s="1" t="n">
        <v>45578</v>
      </c>
      <c r="D764" t="inlineStr">
        <is>
          <t>STOCKHOLMS LÄN</t>
        </is>
      </c>
      <c r="E764" t="inlineStr">
        <is>
          <t>NORRTÄLJE</t>
        </is>
      </c>
      <c r="G764" t="n">
        <v>7.4</v>
      </c>
      <c r="H764" t="n">
        <v>0</v>
      </c>
      <c r="I764" t="n">
        <v>0</v>
      </c>
      <c r="J764" t="n">
        <v>0</v>
      </c>
      <c r="K764" t="n">
        <v>0</v>
      </c>
      <c r="L764" t="n">
        <v>0</v>
      </c>
      <c r="M764" t="n">
        <v>0</v>
      </c>
      <c r="N764" t="n">
        <v>0</v>
      </c>
      <c r="O764" t="n">
        <v>0</v>
      </c>
      <c r="P764" t="n">
        <v>0</v>
      </c>
      <c r="Q764" t="n">
        <v>0</v>
      </c>
      <c r="R764" s="2" t="inlineStr"/>
    </row>
    <row r="765" ht="15" customHeight="1">
      <c r="A765" t="inlineStr">
        <is>
          <t>A 16442-2022</t>
        </is>
      </c>
      <c r="B765" s="1" t="n">
        <v>44671</v>
      </c>
      <c r="C765" s="1" t="n">
        <v>45578</v>
      </c>
      <c r="D765" t="inlineStr">
        <is>
          <t>STOCKHOLMS LÄN</t>
        </is>
      </c>
      <c r="E765" t="inlineStr">
        <is>
          <t>NORRTÄLJE</t>
        </is>
      </c>
      <c r="G765" t="n">
        <v>4.8</v>
      </c>
      <c r="H765" t="n">
        <v>0</v>
      </c>
      <c r="I765" t="n">
        <v>0</v>
      </c>
      <c r="J765" t="n">
        <v>0</v>
      </c>
      <c r="K765" t="n">
        <v>0</v>
      </c>
      <c r="L765" t="n">
        <v>0</v>
      </c>
      <c r="M765" t="n">
        <v>0</v>
      </c>
      <c r="N765" t="n">
        <v>0</v>
      </c>
      <c r="O765" t="n">
        <v>0</v>
      </c>
      <c r="P765" t="n">
        <v>0</v>
      </c>
      <c r="Q765" t="n">
        <v>0</v>
      </c>
      <c r="R765" s="2" t="inlineStr"/>
    </row>
    <row r="766" ht="15" customHeight="1">
      <c r="A766" t="inlineStr">
        <is>
          <t>A 16534-2022</t>
        </is>
      </c>
      <c r="B766" s="1" t="n">
        <v>44672</v>
      </c>
      <c r="C766" s="1" t="n">
        <v>45578</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16835-2022</t>
        </is>
      </c>
      <c r="B767" s="1" t="n">
        <v>44673</v>
      </c>
      <c r="C767" s="1" t="n">
        <v>45578</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17391-2022</t>
        </is>
      </c>
      <c r="B768" s="1" t="n">
        <v>44678</v>
      </c>
      <c r="C768" s="1" t="n">
        <v>45578</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17388-2022</t>
        </is>
      </c>
      <c r="B769" s="1" t="n">
        <v>44678</v>
      </c>
      <c r="C769" s="1" t="n">
        <v>45578</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17390-2022</t>
        </is>
      </c>
      <c r="B770" s="1" t="n">
        <v>44678</v>
      </c>
      <c r="C770" s="1" t="n">
        <v>45578</v>
      </c>
      <c r="D770" t="inlineStr">
        <is>
          <t>STOCKHOLMS LÄN</t>
        </is>
      </c>
      <c r="E770" t="inlineStr">
        <is>
          <t>NORRTÄLJE</t>
        </is>
      </c>
      <c r="G770" t="n">
        <v>4.9</v>
      </c>
      <c r="H770" t="n">
        <v>0</v>
      </c>
      <c r="I770" t="n">
        <v>0</v>
      </c>
      <c r="J770" t="n">
        <v>0</v>
      </c>
      <c r="K770" t="n">
        <v>0</v>
      </c>
      <c r="L770" t="n">
        <v>0</v>
      </c>
      <c r="M770" t="n">
        <v>0</v>
      </c>
      <c r="N770" t="n">
        <v>0</v>
      </c>
      <c r="O770" t="n">
        <v>0</v>
      </c>
      <c r="P770" t="n">
        <v>0</v>
      </c>
      <c r="Q770" t="n">
        <v>0</v>
      </c>
      <c r="R770" s="2" t="inlineStr"/>
    </row>
    <row r="771" ht="15" customHeight="1">
      <c r="A771" t="inlineStr">
        <is>
          <t>A 17612-2022</t>
        </is>
      </c>
      <c r="B771" s="1" t="n">
        <v>44680</v>
      </c>
      <c r="C771" s="1" t="n">
        <v>45578</v>
      </c>
      <c r="D771" t="inlineStr">
        <is>
          <t>STOCKHOLMS LÄN</t>
        </is>
      </c>
      <c r="E771" t="inlineStr">
        <is>
          <t>NORRTÄLJE</t>
        </is>
      </c>
      <c r="G771" t="n">
        <v>2.6</v>
      </c>
      <c r="H771" t="n">
        <v>0</v>
      </c>
      <c r="I771" t="n">
        <v>0</v>
      </c>
      <c r="J771" t="n">
        <v>0</v>
      </c>
      <c r="K771" t="n">
        <v>0</v>
      </c>
      <c r="L771" t="n">
        <v>0</v>
      </c>
      <c r="M771" t="n">
        <v>0</v>
      </c>
      <c r="N771" t="n">
        <v>0</v>
      </c>
      <c r="O771" t="n">
        <v>0</v>
      </c>
      <c r="P771" t="n">
        <v>0</v>
      </c>
      <c r="Q771" t="n">
        <v>0</v>
      </c>
      <c r="R771" s="2" t="inlineStr"/>
    </row>
    <row r="772" ht="15" customHeight="1">
      <c r="A772" t="inlineStr">
        <is>
          <t>A 17629-2022</t>
        </is>
      </c>
      <c r="B772" s="1" t="n">
        <v>44680</v>
      </c>
      <c r="C772" s="1" t="n">
        <v>45578</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17771-2022</t>
        </is>
      </c>
      <c r="B773" s="1" t="n">
        <v>44682</v>
      </c>
      <c r="C773" s="1" t="n">
        <v>45578</v>
      </c>
      <c r="D773" t="inlineStr">
        <is>
          <t>STOCKHOLMS LÄN</t>
        </is>
      </c>
      <c r="E773" t="inlineStr">
        <is>
          <t>NORRTÄLJE</t>
        </is>
      </c>
      <c r="G773" t="n">
        <v>13.3</v>
      </c>
      <c r="H773" t="n">
        <v>0</v>
      </c>
      <c r="I773" t="n">
        <v>0</v>
      </c>
      <c r="J773" t="n">
        <v>0</v>
      </c>
      <c r="K773" t="n">
        <v>0</v>
      </c>
      <c r="L773" t="n">
        <v>0</v>
      </c>
      <c r="M773" t="n">
        <v>0</v>
      </c>
      <c r="N773" t="n">
        <v>0</v>
      </c>
      <c r="O773" t="n">
        <v>0</v>
      </c>
      <c r="P773" t="n">
        <v>0</v>
      </c>
      <c r="Q773" t="n">
        <v>0</v>
      </c>
      <c r="R773" s="2" t="inlineStr"/>
    </row>
    <row r="774" ht="15" customHeight="1">
      <c r="A774" t="inlineStr">
        <is>
          <t>A 17775-2022</t>
        </is>
      </c>
      <c r="B774" s="1" t="n">
        <v>44682</v>
      </c>
      <c r="C774" s="1" t="n">
        <v>45578</v>
      </c>
      <c r="D774" t="inlineStr">
        <is>
          <t>STOCKHOLMS LÄN</t>
        </is>
      </c>
      <c r="E774" t="inlineStr">
        <is>
          <t>NORRTÄLJE</t>
        </is>
      </c>
      <c r="G774" t="n">
        <v>4.7</v>
      </c>
      <c r="H774" t="n">
        <v>0</v>
      </c>
      <c r="I774" t="n">
        <v>0</v>
      </c>
      <c r="J774" t="n">
        <v>0</v>
      </c>
      <c r="K774" t="n">
        <v>0</v>
      </c>
      <c r="L774" t="n">
        <v>0</v>
      </c>
      <c r="M774" t="n">
        <v>0</v>
      </c>
      <c r="N774" t="n">
        <v>0</v>
      </c>
      <c r="O774" t="n">
        <v>0</v>
      </c>
      <c r="P774" t="n">
        <v>0</v>
      </c>
      <c r="Q774" t="n">
        <v>0</v>
      </c>
      <c r="R774" s="2" t="inlineStr"/>
    </row>
    <row r="775" ht="15" customHeight="1">
      <c r="A775" t="inlineStr">
        <is>
          <t>A 17773-2022</t>
        </is>
      </c>
      <c r="B775" s="1" t="n">
        <v>44682</v>
      </c>
      <c r="C775" s="1" t="n">
        <v>45578</v>
      </c>
      <c r="D775" t="inlineStr">
        <is>
          <t>STOCKHOLMS LÄN</t>
        </is>
      </c>
      <c r="E775" t="inlineStr">
        <is>
          <t>NORRTÄLJE</t>
        </is>
      </c>
      <c r="G775" t="n">
        <v>10.8</v>
      </c>
      <c r="H775" t="n">
        <v>0</v>
      </c>
      <c r="I775" t="n">
        <v>0</v>
      </c>
      <c r="J775" t="n">
        <v>0</v>
      </c>
      <c r="K775" t="n">
        <v>0</v>
      </c>
      <c r="L775" t="n">
        <v>0</v>
      </c>
      <c r="M775" t="n">
        <v>0</v>
      </c>
      <c r="N775" t="n">
        <v>0</v>
      </c>
      <c r="O775" t="n">
        <v>0</v>
      </c>
      <c r="P775" t="n">
        <v>0</v>
      </c>
      <c r="Q775" t="n">
        <v>0</v>
      </c>
      <c r="R775" s="2" t="inlineStr"/>
    </row>
    <row r="776" ht="15" customHeight="1">
      <c r="A776" t="inlineStr">
        <is>
          <t>A 17772-2022</t>
        </is>
      </c>
      <c r="B776" s="1" t="n">
        <v>44682</v>
      </c>
      <c r="C776" s="1" t="n">
        <v>45578</v>
      </c>
      <c r="D776" t="inlineStr">
        <is>
          <t>STOCKHOLMS LÄN</t>
        </is>
      </c>
      <c r="E776" t="inlineStr">
        <is>
          <t>NORRTÄLJE</t>
        </is>
      </c>
      <c r="G776" t="n">
        <v>4</v>
      </c>
      <c r="H776" t="n">
        <v>0</v>
      </c>
      <c r="I776" t="n">
        <v>0</v>
      </c>
      <c r="J776" t="n">
        <v>0</v>
      </c>
      <c r="K776" t="n">
        <v>0</v>
      </c>
      <c r="L776" t="n">
        <v>0</v>
      </c>
      <c r="M776" t="n">
        <v>0</v>
      </c>
      <c r="N776" t="n">
        <v>0</v>
      </c>
      <c r="O776" t="n">
        <v>0</v>
      </c>
      <c r="P776" t="n">
        <v>0</v>
      </c>
      <c r="Q776" t="n">
        <v>0</v>
      </c>
      <c r="R776" s="2" t="inlineStr"/>
    </row>
    <row r="777" ht="15" customHeight="1">
      <c r="A777" t="inlineStr">
        <is>
          <t>A 17777-2022</t>
        </is>
      </c>
      <c r="B777" s="1" t="n">
        <v>44682</v>
      </c>
      <c r="C777" s="1" t="n">
        <v>45578</v>
      </c>
      <c r="D777" t="inlineStr">
        <is>
          <t>STOCKHOLMS LÄN</t>
        </is>
      </c>
      <c r="E777" t="inlineStr">
        <is>
          <t>NORRTÄLJE</t>
        </is>
      </c>
      <c r="G777" t="n">
        <v>3.7</v>
      </c>
      <c r="H777" t="n">
        <v>0</v>
      </c>
      <c r="I777" t="n">
        <v>0</v>
      </c>
      <c r="J777" t="n">
        <v>0</v>
      </c>
      <c r="K777" t="n">
        <v>0</v>
      </c>
      <c r="L777" t="n">
        <v>0</v>
      </c>
      <c r="M777" t="n">
        <v>0</v>
      </c>
      <c r="N777" t="n">
        <v>0</v>
      </c>
      <c r="O777" t="n">
        <v>0</v>
      </c>
      <c r="P777" t="n">
        <v>0</v>
      </c>
      <c r="Q777" t="n">
        <v>0</v>
      </c>
      <c r="R777" s="2" t="inlineStr"/>
    </row>
    <row r="778" ht="15" customHeight="1">
      <c r="A778" t="inlineStr">
        <is>
          <t>A 17803-2022</t>
        </is>
      </c>
      <c r="B778" s="1" t="n">
        <v>44683</v>
      </c>
      <c r="C778" s="1" t="n">
        <v>45578</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17952-2022</t>
        </is>
      </c>
      <c r="B779" s="1" t="n">
        <v>44683</v>
      </c>
      <c r="C779" s="1" t="n">
        <v>45578</v>
      </c>
      <c r="D779" t="inlineStr">
        <is>
          <t>STOCKHOLMS LÄN</t>
        </is>
      </c>
      <c r="E779" t="inlineStr">
        <is>
          <t>NORRTÄLJE</t>
        </is>
      </c>
      <c r="G779" t="n">
        <v>51.1</v>
      </c>
      <c r="H779" t="n">
        <v>0</v>
      </c>
      <c r="I779" t="n">
        <v>0</v>
      </c>
      <c r="J779" t="n">
        <v>0</v>
      </c>
      <c r="K779" t="n">
        <v>0</v>
      </c>
      <c r="L779" t="n">
        <v>0</v>
      </c>
      <c r="M779" t="n">
        <v>0</v>
      </c>
      <c r="N779" t="n">
        <v>0</v>
      </c>
      <c r="O779" t="n">
        <v>0</v>
      </c>
      <c r="P779" t="n">
        <v>0</v>
      </c>
      <c r="Q779" t="n">
        <v>0</v>
      </c>
      <c r="R779" s="2" t="inlineStr"/>
    </row>
    <row r="780" ht="15" customHeight="1">
      <c r="A780" t="inlineStr">
        <is>
          <t>A 18092-2022</t>
        </is>
      </c>
      <c r="B780" s="1" t="n">
        <v>44684</v>
      </c>
      <c r="C780" s="1" t="n">
        <v>45578</v>
      </c>
      <c r="D780" t="inlineStr">
        <is>
          <t>STOCKHOLMS LÄN</t>
        </is>
      </c>
      <c r="E780" t="inlineStr">
        <is>
          <t>NORRTÄLJE</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18103-2022</t>
        </is>
      </c>
      <c r="B781" s="1" t="n">
        <v>44684</v>
      </c>
      <c r="C781" s="1" t="n">
        <v>45578</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18350-2022</t>
        </is>
      </c>
      <c r="B782" s="1" t="n">
        <v>44685</v>
      </c>
      <c r="C782" s="1" t="n">
        <v>45578</v>
      </c>
      <c r="D782" t="inlineStr">
        <is>
          <t>STOCKHOLMS LÄN</t>
        </is>
      </c>
      <c r="E782" t="inlineStr">
        <is>
          <t>NORRTÄLJE</t>
        </is>
      </c>
      <c r="F782" t="inlineStr">
        <is>
          <t>Holmen skog AB</t>
        </is>
      </c>
      <c r="G782" t="n">
        <v>7.1</v>
      </c>
      <c r="H782" t="n">
        <v>0</v>
      </c>
      <c r="I782" t="n">
        <v>0</v>
      </c>
      <c r="J782" t="n">
        <v>0</v>
      </c>
      <c r="K782" t="n">
        <v>0</v>
      </c>
      <c r="L782" t="n">
        <v>0</v>
      </c>
      <c r="M782" t="n">
        <v>0</v>
      </c>
      <c r="N782" t="n">
        <v>0</v>
      </c>
      <c r="O782" t="n">
        <v>0</v>
      </c>
      <c r="P782" t="n">
        <v>0</v>
      </c>
      <c r="Q782" t="n">
        <v>0</v>
      </c>
      <c r="R782" s="2" t="inlineStr"/>
    </row>
    <row r="783" ht="15" customHeight="1">
      <c r="A783" t="inlineStr">
        <is>
          <t>A 18546-2022</t>
        </is>
      </c>
      <c r="B783" s="1" t="n">
        <v>44686</v>
      </c>
      <c r="C783" s="1" t="n">
        <v>45578</v>
      </c>
      <c r="D783" t="inlineStr">
        <is>
          <t>STOCKHOLMS LÄN</t>
        </is>
      </c>
      <c r="E783" t="inlineStr">
        <is>
          <t>NORRTÄLJE</t>
        </is>
      </c>
      <c r="G783" t="n">
        <v>15.2</v>
      </c>
      <c r="H783" t="n">
        <v>0</v>
      </c>
      <c r="I783" t="n">
        <v>0</v>
      </c>
      <c r="J783" t="n">
        <v>0</v>
      </c>
      <c r="K783" t="n">
        <v>0</v>
      </c>
      <c r="L783" t="n">
        <v>0</v>
      </c>
      <c r="M783" t="n">
        <v>0</v>
      </c>
      <c r="N783" t="n">
        <v>0</v>
      </c>
      <c r="O783" t="n">
        <v>0</v>
      </c>
      <c r="P783" t="n">
        <v>0</v>
      </c>
      <c r="Q783" t="n">
        <v>0</v>
      </c>
      <c r="R783" s="2" t="inlineStr"/>
    </row>
    <row r="784" ht="15" customHeight="1">
      <c r="A784" t="inlineStr">
        <is>
          <t>A 18665-2022</t>
        </is>
      </c>
      <c r="B784" s="1" t="n">
        <v>44687</v>
      </c>
      <c r="C784" s="1" t="n">
        <v>45578</v>
      </c>
      <c r="D784" t="inlineStr">
        <is>
          <t>STOCKHOLMS LÄN</t>
        </is>
      </c>
      <c r="E784" t="inlineStr">
        <is>
          <t>NORRTÄLJE</t>
        </is>
      </c>
      <c r="F784" t="inlineStr">
        <is>
          <t>Kyrkan</t>
        </is>
      </c>
      <c r="G784" t="n">
        <v>1.1</v>
      </c>
      <c r="H784" t="n">
        <v>0</v>
      </c>
      <c r="I784" t="n">
        <v>0</v>
      </c>
      <c r="J784" t="n">
        <v>0</v>
      </c>
      <c r="K784" t="n">
        <v>0</v>
      </c>
      <c r="L784" t="n">
        <v>0</v>
      </c>
      <c r="M784" t="n">
        <v>0</v>
      </c>
      <c r="N784" t="n">
        <v>0</v>
      </c>
      <c r="O784" t="n">
        <v>0</v>
      </c>
      <c r="P784" t="n">
        <v>0</v>
      </c>
      <c r="Q784" t="n">
        <v>0</v>
      </c>
      <c r="R784" s="2" t="inlineStr"/>
    </row>
    <row r="785" ht="15" customHeight="1">
      <c r="A785" t="inlineStr">
        <is>
          <t>A 18787-2022</t>
        </is>
      </c>
      <c r="B785" s="1" t="n">
        <v>44687</v>
      </c>
      <c r="C785" s="1" t="n">
        <v>45578</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18846-2022</t>
        </is>
      </c>
      <c r="B786" s="1" t="n">
        <v>44690</v>
      </c>
      <c r="C786" s="1" t="n">
        <v>45578</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18905-2022</t>
        </is>
      </c>
      <c r="B787" s="1" t="n">
        <v>44690</v>
      </c>
      <c r="C787" s="1" t="n">
        <v>45578</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18894-2022</t>
        </is>
      </c>
      <c r="B788" s="1" t="n">
        <v>44690</v>
      </c>
      <c r="C788" s="1" t="n">
        <v>45578</v>
      </c>
      <c r="D788" t="inlineStr">
        <is>
          <t>STOCKHOLMS LÄN</t>
        </is>
      </c>
      <c r="E788" t="inlineStr">
        <is>
          <t>NORRTÄLJE</t>
        </is>
      </c>
      <c r="G788" t="n">
        <v>3.6</v>
      </c>
      <c r="H788" t="n">
        <v>0</v>
      </c>
      <c r="I788" t="n">
        <v>0</v>
      </c>
      <c r="J788" t="n">
        <v>0</v>
      </c>
      <c r="K788" t="n">
        <v>0</v>
      </c>
      <c r="L788" t="n">
        <v>0</v>
      </c>
      <c r="M788" t="n">
        <v>0</v>
      </c>
      <c r="N788" t="n">
        <v>0</v>
      </c>
      <c r="O788" t="n">
        <v>0</v>
      </c>
      <c r="P788" t="n">
        <v>0</v>
      </c>
      <c r="Q788" t="n">
        <v>0</v>
      </c>
      <c r="R788" s="2" t="inlineStr"/>
    </row>
    <row r="789" ht="15" customHeight="1">
      <c r="A789" t="inlineStr">
        <is>
          <t>A 19116-2022</t>
        </is>
      </c>
      <c r="B789" s="1" t="n">
        <v>44691</v>
      </c>
      <c r="C789" s="1" t="n">
        <v>45578</v>
      </c>
      <c r="D789" t="inlineStr">
        <is>
          <t>STOCKHOLMS LÄN</t>
        </is>
      </c>
      <c r="E789" t="inlineStr">
        <is>
          <t>NORRTÄLJE</t>
        </is>
      </c>
      <c r="G789" t="n">
        <v>2.1</v>
      </c>
      <c r="H789" t="n">
        <v>0</v>
      </c>
      <c r="I789" t="n">
        <v>0</v>
      </c>
      <c r="J789" t="n">
        <v>0</v>
      </c>
      <c r="K789" t="n">
        <v>0</v>
      </c>
      <c r="L789" t="n">
        <v>0</v>
      </c>
      <c r="M789" t="n">
        <v>0</v>
      </c>
      <c r="N789" t="n">
        <v>0</v>
      </c>
      <c r="O789" t="n">
        <v>0</v>
      </c>
      <c r="P789" t="n">
        <v>0</v>
      </c>
      <c r="Q789" t="n">
        <v>0</v>
      </c>
      <c r="R789" s="2" t="inlineStr"/>
    </row>
    <row r="790" ht="15" customHeight="1">
      <c r="A790" t="inlineStr">
        <is>
          <t>A 19118-2022</t>
        </is>
      </c>
      <c r="B790" s="1" t="n">
        <v>44691</v>
      </c>
      <c r="C790" s="1" t="n">
        <v>45578</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19580-2022</t>
        </is>
      </c>
      <c r="B791" s="1" t="n">
        <v>44693</v>
      </c>
      <c r="C791" s="1" t="n">
        <v>45578</v>
      </c>
      <c r="D791" t="inlineStr">
        <is>
          <t>STOCKHOLMS LÄN</t>
        </is>
      </c>
      <c r="E791" t="inlineStr">
        <is>
          <t>NORRTÄLJE</t>
        </is>
      </c>
      <c r="G791" t="n">
        <v>0.4</v>
      </c>
      <c r="H791" t="n">
        <v>0</v>
      </c>
      <c r="I791" t="n">
        <v>0</v>
      </c>
      <c r="J791" t="n">
        <v>0</v>
      </c>
      <c r="K791" t="n">
        <v>0</v>
      </c>
      <c r="L791" t="n">
        <v>0</v>
      </c>
      <c r="M791" t="n">
        <v>0</v>
      </c>
      <c r="N791" t="n">
        <v>0</v>
      </c>
      <c r="O791" t="n">
        <v>0</v>
      </c>
      <c r="P791" t="n">
        <v>0</v>
      </c>
      <c r="Q791" t="n">
        <v>0</v>
      </c>
      <c r="R791" s="2" t="inlineStr"/>
    </row>
    <row r="792" ht="15" customHeight="1">
      <c r="A792" t="inlineStr">
        <is>
          <t>A 19729-2022</t>
        </is>
      </c>
      <c r="B792" s="1" t="n">
        <v>44694</v>
      </c>
      <c r="C792" s="1" t="n">
        <v>45578</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19728-2022</t>
        </is>
      </c>
      <c r="B793" s="1" t="n">
        <v>44694</v>
      </c>
      <c r="C793" s="1" t="n">
        <v>45578</v>
      </c>
      <c r="D793" t="inlineStr">
        <is>
          <t>STOCKHOLMS LÄN</t>
        </is>
      </c>
      <c r="E793" t="inlineStr">
        <is>
          <t>NORRTÄLJE</t>
        </is>
      </c>
      <c r="G793" t="n">
        <v>3.3</v>
      </c>
      <c r="H793" t="n">
        <v>0</v>
      </c>
      <c r="I793" t="n">
        <v>0</v>
      </c>
      <c r="J793" t="n">
        <v>0</v>
      </c>
      <c r="K793" t="n">
        <v>0</v>
      </c>
      <c r="L793" t="n">
        <v>0</v>
      </c>
      <c r="M793" t="n">
        <v>0</v>
      </c>
      <c r="N793" t="n">
        <v>0</v>
      </c>
      <c r="O793" t="n">
        <v>0</v>
      </c>
      <c r="P793" t="n">
        <v>0</v>
      </c>
      <c r="Q793" t="n">
        <v>0</v>
      </c>
      <c r="R793" s="2" t="inlineStr"/>
    </row>
    <row r="794" ht="15" customHeight="1">
      <c r="A794" t="inlineStr">
        <is>
          <t>A 19982-2022</t>
        </is>
      </c>
      <c r="B794" s="1" t="n">
        <v>44697</v>
      </c>
      <c r="C794" s="1" t="n">
        <v>45578</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19983-2022</t>
        </is>
      </c>
      <c r="B795" s="1" t="n">
        <v>44697</v>
      </c>
      <c r="C795" s="1" t="n">
        <v>45578</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20121-2022</t>
        </is>
      </c>
      <c r="B796" s="1" t="n">
        <v>44698</v>
      </c>
      <c r="C796" s="1" t="n">
        <v>45578</v>
      </c>
      <c r="D796" t="inlineStr">
        <is>
          <t>STOCKHOLMS LÄN</t>
        </is>
      </c>
      <c r="E796" t="inlineStr">
        <is>
          <t>NORRTÄLJE</t>
        </is>
      </c>
      <c r="G796" t="n">
        <v>4.2</v>
      </c>
      <c r="H796" t="n">
        <v>0</v>
      </c>
      <c r="I796" t="n">
        <v>0</v>
      </c>
      <c r="J796" t="n">
        <v>0</v>
      </c>
      <c r="K796" t="n">
        <v>0</v>
      </c>
      <c r="L796" t="n">
        <v>0</v>
      </c>
      <c r="M796" t="n">
        <v>0</v>
      </c>
      <c r="N796" t="n">
        <v>0</v>
      </c>
      <c r="O796" t="n">
        <v>0</v>
      </c>
      <c r="P796" t="n">
        <v>0</v>
      </c>
      <c r="Q796" t="n">
        <v>0</v>
      </c>
      <c r="R796" s="2" t="inlineStr"/>
    </row>
    <row r="797" ht="15" customHeight="1">
      <c r="A797" t="inlineStr">
        <is>
          <t>A 20129-2022</t>
        </is>
      </c>
      <c r="B797" s="1" t="n">
        <v>44698</v>
      </c>
      <c r="C797" s="1" t="n">
        <v>45578</v>
      </c>
      <c r="D797" t="inlineStr">
        <is>
          <t>STOCKHOLMS LÄN</t>
        </is>
      </c>
      <c r="E797" t="inlineStr">
        <is>
          <t>NORRTÄLJE</t>
        </is>
      </c>
      <c r="G797" t="n">
        <v>3.7</v>
      </c>
      <c r="H797" t="n">
        <v>0</v>
      </c>
      <c r="I797" t="n">
        <v>0</v>
      </c>
      <c r="J797" t="n">
        <v>0</v>
      </c>
      <c r="K797" t="n">
        <v>0</v>
      </c>
      <c r="L797" t="n">
        <v>0</v>
      </c>
      <c r="M797" t="n">
        <v>0</v>
      </c>
      <c r="N797" t="n">
        <v>0</v>
      </c>
      <c r="O797" t="n">
        <v>0</v>
      </c>
      <c r="P797" t="n">
        <v>0</v>
      </c>
      <c r="Q797" t="n">
        <v>0</v>
      </c>
      <c r="R797" s="2" t="inlineStr"/>
    </row>
    <row r="798" ht="15" customHeight="1">
      <c r="A798" t="inlineStr">
        <is>
          <t>A 20291-2022</t>
        </is>
      </c>
      <c r="B798" s="1" t="n">
        <v>44698</v>
      </c>
      <c r="C798" s="1" t="n">
        <v>45578</v>
      </c>
      <c r="D798" t="inlineStr">
        <is>
          <t>STOCKHOLMS LÄN</t>
        </is>
      </c>
      <c r="E798" t="inlineStr">
        <is>
          <t>NORRTÄLJE</t>
        </is>
      </c>
      <c r="F798" t="inlineStr">
        <is>
          <t>Naturvårdsverket</t>
        </is>
      </c>
      <c r="G798" t="n">
        <v>2</v>
      </c>
      <c r="H798" t="n">
        <v>0</v>
      </c>
      <c r="I798" t="n">
        <v>0</v>
      </c>
      <c r="J798" t="n">
        <v>0</v>
      </c>
      <c r="K798" t="n">
        <v>0</v>
      </c>
      <c r="L798" t="n">
        <v>0</v>
      </c>
      <c r="M798" t="n">
        <v>0</v>
      </c>
      <c r="N798" t="n">
        <v>0</v>
      </c>
      <c r="O798" t="n">
        <v>0</v>
      </c>
      <c r="P798" t="n">
        <v>0</v>
      </c>
      <c r="Q798" t="n">
        <v>0</v>
      </c>
      <c r="R798" s="2" t="inlineStr"/>
    </row>
    <row r="799" ht="15" customHeight="1">
      <c r="A799" t="inlineStr">
        <is>
          <t>A 20294-2022</t>
        </is>
      </c>
      <c r="B799" s="1" t="n">
        <v>44698</v>
      </c>
      <c r="C799" s="1" t="n">
        <v>45578</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20295-2022</t>
        </is>
      </c>
      <c r="B800" s="1" t="n">
        <v>44698</v>
      </c>
      <c r="C800" s="1" t="n">
        <v>45578</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20618-2022</t>
        </is>
      </c>
      <c r="B801" s="1" t="n">
        <v>44700</v>
      </c>
      <c r="C801" s="1" t="n">
        <v>45578</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21102-2022</t>
        </is>
      </c>
      <c r="B802" s="1" t="n">
        <v>44704</v>
      </c>
      <c r="C802" s="1" t="n">
        <v>45578</v>
      </c>
      <c r="D802" t="inlineStr">
        <is>
          <t>STOCKHOLMS LÄN</t>
        </is>
      </c>
      <c r="E802" t="inlineStr">
        <is>
          <t>NORRTÄLJE</t>
        </is>
      </c>
      <c r="G802" t="n">
        <v>0.2</v>
      </c>
      <c r="H802" t="n">
        <v>0</v>
      </c>
      <c r="I802" t="n">
        <v>0</v>
      </c>
      <c r="J802" t="n">
        <v>0</v>
      </c>
      <c r="K802" t="n">
        <v>0</v>
      </c>
      <c r="L802" t="n">
        <v>0</v>
      </c>
      <c r="M802" t="n">
        <v>0</v>
      </c>
      <c r="N802" t="n">
        <v>0</v>
      </c>
      <c r="O802" t="n">
        <v>0</v>
      </c>
      <c r="P802" t="n">
        <v>0</v>
      </c>
      <c r="Q802" t="n">
        <v>0</v>
      </c>
      <c r="R802" s="2" t="inlineStr"/>
    </row>
    <row r="803" ht="15" customHeight="1">
      <c r="A803" t="inlineStr">
        <is>
          <t>A 21158-2022</t>
        </is>
      </c>
      <c r="B803" s="1" t="n">
        <v>44704</v>
      </c>
      <c r="C803" s="1" t="n">
        <v>45578</v>
      </c>
      <c r="D803" t="inlineStr">
        <is>
          <t>STOCKHOLMS LÄN</t>
        </is>
      </c>
      <c r="E803" t="inlineStr">
        <is>
          <t>NORRTÄLJE</t>
        </is>
      </c>
      <c r="G803" t="n">
        <v>17.8</v>
      </c>
      <c r="H803" t="n">
        <v>0</v>
      </c>
      <c r="I803" t="n">
        <v>0</v>
      </c>
      <c r="J803" t="n">
        <v>0</v>
      </c>
      <c r="K803" t="n">
        <v>0</v>
      </c>
      <c r="L803" t="n">
        <v>0</v>
      </c>
      <c r="M803" t="n">
        <v>0</v>
      </c>
      <c r="N803" t="n">
        <v>0</v>
      </c>
      <c r="O803" t="n">
        <v>0</v>
      </c>
      <c r="P803" t="n">
        <v>0</v>
      </c>
      <c r="Q803" t="n">
        <v>0</v>
      </c>
      <c r="R803" s="2" t="inlineStr"/>
    </row>
    <row r="804" ht="15" customHeight="1">
      <c r="A804" t="inlineStr">
        <is>
          <t>A 21174-2022</t>
        </is>
      </c>
      <c r="B804" s="1" t="n">
        <v>44704</v>
      </c>
      <c r="C804" s="1" t="n">
        <v>45578</v>
      </c>
      <c r="D804" t="inlineStr">
        <is>
          <t>STOCKHOLMS LÄN</t>
        </is>
      </c>
      <c r="E804" t="inlineStr">
        <is>
          <t>NORRTÄLJE</t>
        </is>
      </c>
      <c r="G804" t="n">
        <v>5.2</v>
      </c>
      <c r="H804" t="n">
        <v>0</v>
      </c>
      <c r="I804" t="n">
        <v>0</v>
      </c>
      <c r="J804" t="n">
        <v>0</v>
      </c>
      <c r="K804" t="n">
        <v>0</v>
      </c>
      <c r="L804" t="n">
        <v>0</v>
      </c>
      <c r="M804" t="n">
        <v>0</v>
      </c>
      <c r="N804" t="n">
        <v>0</v>
      </c>
      <c r="O804" t="n">
        <v>0</v>
      </c>
      <c r="P804" t="n">
        <v>0</v>
      </c>
      <c r="Q804" t="n">
        <v>0</v>
      </c>
      <c r="R804" s="2" t="inlineStr"/>
    </row>
    <row r="805" ht="15" customHeight="1">
      <c r="A805" t="inlineStr">
        <is>
          <t>A 21480-2022</t>
        </is>
      </c>
      <c r="B805" s="1" t="n">
        <v>44704</v>
      </c>
      <c r="C805" s="1" t="n">
        <v>45578</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21178-2022</t>
        </is>
      </c>
      <c r="B806" s="1" t="n">
        <v>44704</v>
      </c>
      <c r="C806" s="1" t="n">
        <v>45578</v>
      </c>
      <c r="D806" t="inlineStr">
        <is>
          <t>STOCKHOLMS LÄN</t>
        </is>
      </c>
      <c r="E806" t="inlineStr">
        <is>
          <t>NORRTÄLJE</t>
        </is>
      </c>
      <c r="G806" t="n">
        <v>6</v>
      </c>
      <c r="H806" t="n">
        <v>0</v>
      </c>
      <c r="I806" t="n">
        <v>0</v>
      </c>
      <c r="J806" t="n">
        <v>0</v>
      </c>
      <c r="K806" t="n">
        <v>0</v>
      </c>
      <c r="L806" t="n">
        <v>0</v>
      </c>
      <c r="M806" t="n">
        <v>0</v>
      </c>
      <c r="N806" t="n">
        <v>0</v>
      </c>
      <c r="O806" t="n">
        <v>0</v>
      </c>
      <c r="P806" t="n">
        <v>0</v>
      </c>
      <c r="Q806" t="n">
        <v>0</v>
      </c>
      <c r="R806" s="2" t="inlineStr"/>
    </row>
    <row r="807" ht="15" customHeight="1">
      <c r="A807" t="inlineStr">
        <is>
          <t>A 21329-2022</t>
        </is>
      </c>
      <c r="B807" s="1" t="n">
        <v>44705</v>
      </c>
      <c r="C807" s="1" t="n">
        <v>45578</v>
      </c>
      <c r="D807" t="inlineStr">
        <is>
          <t>STOCKHOLMS LÄN</t>
        </is>
      </c>
      <c r="E807" t="inlineStr">
        <is>
          <t>NORRTÄLJE</t>
        </is>
      </c>
      <c r="G807" t="n">
        <v>4.1</v>
      </c>
      <c r="H807" t="n">
        <v>0</v>
      </c>
      <c r="I807" t="n">
        <v>0</v>
      </c>
      <c r="J807" t="n">
        <v>0</v>
      </c>
      <c r="K807" t="n">
        <v>0</v>
      </c>
      <c r="L807" t="n">
        <v>0</v>
      </c>
      <c r="M807" t="n">
        <v>0</v>
      </c>
      <c r="N807" t="n">
        <v>0</v>
      </c>
      <c r="O807" t="n">
        <v>0</v>
      </c>
      <c r="P807" t="n">
        <v>0</v>
      </c>
      <c r="Q807" t="n">
        <v>0</v>
      </c>
      <c r="R807" s="2" t="inlineStr"/>
    </row>
    <row r="808" ht="15" customHeight="1">
      <c r="A808" t="inlineStr">
        <is>
          <t>A 21739-2022</t>
        </is>
      </c>
      <c r="B808" s="1" t="n">
        <v>44708</v>
      </c>
      <c r="C808" s="1" t="n">
        <v>45578</v>
      </c>
      <c r="D808" t="inlineStr">
        <is>
          <t>STOCKHOLMS LÄN</t>
        </is>
      </c>
      <c r="E808" t="inlineStr">
        <is>
          <t>NORRTÄLJE</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21723-2022</t>
        </is>
      </c>
      <c r="B809" s="1" t="n">
        <v>44708</v>
      </c>
      <c r="C809" s="1" t="n">
        <v>45578</v>
      </c>
      <c r="D809" t="inlineStr">
        <is>
          <t>STOCKHOLMS LÄN</t>
        </is>
      </c>
      <c r="E809" t="inlineStr">
        <is>
          <t>NORRTÄLJE</t>
        </is>
      </c>
      <c r="G809" t="n">
        <v>0.3</v>
      </c>
      <c r="H809" t="n">
        <v>0</v>
      </c>
      <c r="I809" t="n">
        <v>0</v>
      </c>
      <c r="J809" t="n">
        <v>0</v>
      </c>
      <c r="K809" t="n">
        <v>0</v>
      </c>
      <c r="L809" t="n">
        <v>0</v>
      </c>
      <c r="M809" t="n">
        <v>0</v>
      </c>
      <c r="N809" t="n">
        <v>0</v>
      </c>
      <c r="O809" t="n">
        <v>0</v>
      </c>
      <c r="P809" t="n">
        <v>0</v>
      </c>
      <c r="Q809" t="n">
        <v>0</v>
      </c>
      <c r="R809" s="2" t="inlineStr"/>
    </row>
    <row r="810" ht="15" customHeight="1">
      <c r="A810" t="inlineStr">
        <is>
          <t>A 21726-2022</t>
        </is>
      </c>
      <c r="B810" s="1" t="n">
        <v>44708</v>
      </c>
      <c r="C810" s="1" t="n">
        <v>45578</v>
      </c>
      <c r="D810" t="inlineStr">
        <is>
          <t>STOCKHOLMS LÄN</t>
        </is>
      </c>
      <c r="E810" t="inlineStr">
        <is>
          <t>NORRTÄLJE</t>
        </is>
      </c>
      <c r="G810" t="n">
        <v>0.2</v>
      </c>
      <c r="H810" t="n">
        <v>0</v>
      </c>
      <c r="I810" t="n">
        <v>0</v>
      </c>
      <c r="J810" t="n">
        <v>0</v>
      </c>
      <c r="K810" t="n">
        <v>0</v>
      </c>
      <c r="L810" t="n">
        <v>0</v>
      </c>
      <c r="M810" t="n">
        <v>0</v>
      </c>
      <c r="N810" t="n">
        <v>0</v>
      </c>
      <c r="O810" t="n">
        <v>0</v>
      </c>
      <c r="P810" t="n">
        <v>0</v>
      </c>
      <c r="Q810" t="n">
        <v>0</v>
      </c>
      <c r="R810" s="2" t="inlineStr"/>
    </row>
    <row r="811" ht="15" customHeight="1">
      <c r="A811" t="inlineStr">
        <is>
          <t>A 21803-2022</t>
        </is>
      </c>
      <c r="B811" s="1" t="n">
        <v>44708</v>
      </c>
      <c r="C811" s="1" t="n">
        <v>45578</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21970-2022</t>
        </is>
      </c>
      <c r="B812" s="1" t="n">
        <v>44711</v>
      </c>
      <c r="C812" s="1" t="n">
        <v>45578</v>
      </c>
      <c r="D812" t="inlineStr">
        <is>
          <t>STOCKHOLMS LÄN</t>
        </is>
      </c>
      <c r="E812" t="inlineStr">
        <is>
          <t>NORRTÄLJE</t>
        </is>
      </c>
      <c r="F812" t="inlineStr">
        <is>
          <t>Holmen skog AB</t>
        </is>
      </c>
      <c r="G812" t="n">
        <v>2.8</v>
      </c>
      <c r="H812" t="n">
        <v>0</v>
      </c>
      <c r="I812" t="n">
        <v>0</v>
      </c>
      <c r="J812" t="n">
        <v>0</v>
      </c>
      <c r="K812" t="n">
        <v>0</v>
      </c>
      <c r="L812" t="n">
        <v>0</v>
      </c>
      <c r="M812" t="n">
        <v>0</v>
      </c>
      <c r="N812" t="n">
        <v>0</v>
      </c>
      <c r="O812" t="n">
        <v>0</v>
      </c>
      <c r="P812" t="n">
        <v>0</v>
      </c>
      <c r="Q812" t="n">
        <v>0</v>
      </c>
      <c r="R812" s="2" t="inlineStr"/>
    </row>
    <row r="813" ht="15" customHeight="1">
      <c r="A813" t="inlineStr">
        <is>
          <t>A 22072-2022</t>
        </is>
      </c>
      <c r="B813" s="1" t="n">
        <v>44711</v>
      </c>
      <c r="C813" s="1" t="n">
        <v>45578</v>
      </c>
      <c r="D813" t="inlineStr">
        <is>
          <t>STOCKHOLMS LÄN</t>
        </is>
      </c>
      <c r="E813" t="inlineStr">
        <is>
          <t>NORRTÄLJE</t>
        </is>
      </c>
      <c r="G813" t="n">
        <v>9.6</v>
      </c>
      <c r="H813" t="n">
        <v>0</v>
      </c>
      <c r="I813" t="n">
        <v>0</v>
      </c>
      <c r="J813" t="n">
        <v>0</v>
      </c>
      <c r="K813" t="n">
        <v>0</v>
      </c>
      <c r="L813" t="n">
        <v>0</v>
      </c>
      <c r="M813" t="n">
        <v>0</v>
      </c>
      <c r="N813" t="n">
        <v>0</v>
      </c>
      <c r="O813" t="n">
        <v>0</v>
      </c>
      <c r="P813" t="n">
        <v>0</v>
      </c>
      <c r="Q813" t="n">
        <v>0</v>
      </c>
      <c r="R813" s="2" t="inlineStr"/>
    </row>
    <row r="814" ht="15" customHeight="1">
      <c r="A814" t="inlineStr">
        <is>
          <t>A 22071-2022</t>
        </is>
      </c>
      <c r="B814" s="1" t="n">
        <v>44711</v>
      </c>
      <c r="C814" s="1" t="n">
        <v>45578</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22269-2022</t>
        </is>
      </c>
      <c r="B815" s="1" t="n">
        <v>44712</v>
      </c>
      <c r="C815" s="1" t="n">
        <v>45578</v>
      </c>
      <c r="D815" t="inlineStr">
        <is>
          <t>STOCKHOLMS LÄN</t>
        </is>
      </c>
      <c r="E815" t="inlineStr">
        <is>
          <t>NORRTÄLJE</t>
        </is>
      </c>
      <c r="G815" t="n">
        <v>4.5</v>
      </c>
      <c r="H815" t="n">
        <v>0</v>
      </c>
      <c r="I815" t="n">
        <v>0</v>
      </c>
      <c r="J815" t="n">
        <v>0</v>
      </c>
      <c r="K815" t="n">
        <v>0</v>
      </c>
      <c r="L815" t="n">
        <v>0</v>
      </c>
      <c r="M815" t="n">
        <v>0</v>
      </c>
      <c r="N815" t="n">
        <v>0</v>
      </c>
      <c r="O815" t="n">
        <v>0</v>
      </c>
      <c r="P815" t="n">
        <v>0</v>
      </c>
      <c r="Q815" t="n">
        <v>0</v>
      </c>
      <c r="R815" s="2" t="inlineStr"/>
    </row>
    <row r="816" ht="15" customHeight="1">
      <c r="A816" t="inlineStr">
        <is>
          <t>A 22316-2022</t>
        </is>
      </c>
      <c r="B816" s="1" t="n">
        <v>44712</v>
      </c>
      <c r="C816" s="1" t="n">
        <v>45578</v>
      </c>
      <c r="D816" t="inlineStr">
        <is>
          <t>STOCKHOLMS LÄN</t>
        </is>
      </c>
      <c r="E816" t="inlineStr">
        <is>
          <t>NORRTÄLJE</t>
        </is>
      </c>
      <c r="G816" t="n">
        <v>6.3</v>
      </c>
      <c r="H816" t="n">
        <v>0</v>
      </c>
      <c r="I816" t="n">
        <v>0</v>
      </c>
      <c r="J816" t="n">
        <v>0</v>
      </c>
      <c r="K816" t="n">
        <v>0</v>
      </c>
      <c r="L816" t="n">
        <v>0</v>
      </c>
      <c r="M816" t="n">
        <v>0</v>
      </c>
      <c r="N816" t="n">
        <v>0</v>
      </c>
      <c r="O816" t="n">
        <v>0</v>
      </c>
      <c r="P816" t="n">
        <v>0</v>
      </c>
      <c r="Q816" t="n">
        <v>0</v>
      </c>
      <c r="R816" s="2" t="inlineStr"/>
    </row>
    <row r="817" ht="15" customHeight="1">
      <c r="A817" t="inlineStr">
        <is>
          <t>A 22503-2022</t>
        </is>
      </c>
      <c r="B817" s="1" t="n">
        <v>44713</v>
      </c>
      <c r="C817" s="1" t="n">
        <v>45578</v>
      </c>
      <c r="D817" t="inlineStr">
        <is>
          <t>STOCKHOLMS LÄN</t>
        </is>
      </c>
      <c r="E817" t="inlineStr">
        <is>
          <t>NORRTÄLJE</t>
        </is>
      </c>
      <c r="G817" t="n">
        <v>5.1</v>
      </c>
      <c r="H817" t="n">
        <v>0</v>
      </c>
      <c r="I817" t="n">
        <v>0</v>
      </c>
      <c r="J817" t="n">
        <v>0</v>
      </c>
      <c r="K817" t="n">
        <v>0</v>
      </c>
      <c r="L817" t="n">
        <v>0</v>
      </c>
      <c r="M817" t="n">
        <v>0</v>
      </c>
      <c r="N817" t="n">
        <v>0</v>
      </c>
      <c r="O817" t="n">
        <v>0</v>
      </c>
      <c r="P817" t="n">
        <v>0</v>
      </c>
      <c r="Q817" t="n">
        <v>0</v>
      </c>
      <c r="R817" s="2" t="inlineStr"/>
    </row>
    <row r="818" ht="15" customHeight="1">
      <c r="A818" t="inlineStr">
        <is>
          <t>A 22697-2022</t>
        </is>
      </c>
      <c r="B818" s="1" t="n">
        <v>44714</v>
      </c>
      <c r="C818" s="1" t="n">
        <v>45578</v>
      </c>
      <c r="D818" t="inlineStr">
        <is>
          <t>STOCKHOLMS LÄN</t>
        </is>
      </c>
      <c r="E818" t="inlineStr">
        <is>
          <t>NORRTÄLJE</t>
        </is>
      </c>
      <c r="G818" t="n">
        <v>5.6</v>
      </c>
      <c r="H818" t="n">
        <v>0</v>
      </c>
      <c r="I818" t="n">
        <v>0</v>
      </c>
      <c r="J818" t="n">
        <v>0</v>
      </c>
      <c r="K818" t="n">
        <v>0</v>
      </c>
      <c r="L818" t="n">
        <v>0</v>
      </c>
      <c r="M818" t="n">
        <v>0</v>
      </c>
      <c r="N818" t="n">
        <v>0</v>
      </c>
      <c r="O818" t="n">
        <v>0</v>
      </c>
      <c r="P818" t="n">
        <v>0</v>
      </c>
      <c r="Q818" t="n">
        <v>0</v>
      </c>
      <c r="R818" s="2" t="inlineStr"/>
    </row>
    <row r="819" ht="15" customHeight="1">
      <c r="A819" t="inlineStr">
        <is>
          <t>A 22628-2022</t>
        </is>
      </c>
      <c r="B819" s="1" t="n">
        <v>44714</v>
      </c>
      <c r="C819" s="1" t="n">
        <v>45578</v>
      </c>
      <c r="D819" t="inlineStr">
        <is>
          <t>STOCKHOLMS LÄN</t>
        </is>
      </c>
      <c r="E819" t="inlineStr">
        <is>
          <t>NORRTÄLJE</t>
        </is>
      </c>
      <c r="G819" t="n">
        <v>11.4</v>
      </c>
      <c r="H819" t="n">
        <v>0</v>
      </c>
      <c r="I819" t="n">
        <v>0</v>
      </c>
      <c r="J819" t="n">
        <v>0</v>
      </c>
      <c r="K819" t="n">
        <v>0</v>
      </c>
      <c r="L819" t="n">
        <v>0</v>
      </c>
      <c r="M819" t="n">
        <v>0</v>
      </c>
      <c r="N819" t="n">
        <v>0</v>
      </c>
      <c r="O819" t="n">
        <v>0</v>
      </c>
      <c r="P819" t="n">
        <v>0</v>
      </c>
      <c r="Q819" t="n">
        <v>0</v>
      </c>
      <c r="R819" s="2" t="inlineStr"/>
    </row>
    <row r="820" ht="15" customHeight="1">
      <c r="A820" t="inlineStr">
        <is>
          <t>A 22636-2022</t>
        </is>
      </c>
      <c r="B820" s="1" t="n">
        <v>44714</v>
      </c>
      <c r="C820" s="1" t="n">
        <v>45578</v>
      </c>
      <c r="D820" t="inlineStr">
        <is>
          <t>STOCKHOLMS LÄN</t>
        </is>
      </c>
      <c r="E820" t="inlineStr">
        <is>
          <t>NORRTÄLJE</t>
        </is>
      </c>
      <c r="G820" t="n">
        <v>16.6</v>
      </c>
      <c r="H820" t="n">
        <v>0</v>
      </c>
      <c r="I820" t="n">
        <v>0</v>
      </c>
      <c r="J820" t="n">
        <v>0</v>
      </c>
      <c r="K820" t="n">
        <v>0</v>
      </c>
      <c r="L820" t="n">
        <v>0</v>
      </c>
      <c r="M820" t="n">
        <v>0</v>
      </c>
      <c r="N820" t="n">
        <v>0</v>
      </c>
      <c r="O820" t="n">
        <v>0</v>
      </c>
      <c r="P820" t="n">
        <v>0</v>
      </c>
      <c r="Q820" t="n">
        <v>0</v>
      </c>
      <c r="R820" s="2" t="inlineStr"/>
    </row>
    <row r="821" ht="15" customHeight="1">
      <c r="A821" t="inlineStr">
        <is>
          <t>A 22716-2022</t>
        </is>
      </c>
      <c r="B821" s="1" t="n">
        <v>44714</v>
      </c>
      <c r="C821" s="1" t="n">
        <v>45578</v>
      </c>
      <c r="D821" t="inlineStr">
        <is>
          <t>STOCKHOLMS LÄN</t>
        </is>
      </c>
      <c r="E821" t="inlineStr">
        <is>
          <t>NORRTÄLJE</t>
        </is>
      </c>
      <c r="G821" t="n">
        <v>13.5</v>
      </c>
      <c r="H821" t="n">
        <v>0</v>
      </c>
      <c r="I821" t="n">
        <v>0</v>
      </c>
      <c r="J821" t="n">
        <v>0</v>
      </c>
      <c r="K821" t="n">
        <v>0</v>
      </c>
      <c r="L821" t="n">
        <v>0</v>
      </c>
      <c r="M821" t="n">
        <v>0</v>
      </c>
      <c r="N821" t="n">
        <v>0</v>
      </c>
      <c r="O821" t="n">
        <v>0</v>
      </c>
      <c r="P821" t="n">
        <v>0</v>
      </c>
      <c r="Q821" t="n">
        <v>0</v>
      </c>
      <c r="R821" s="2" t="inlineStr"/>
    </row>
    <row r="822" ht="15" customHeight="1">
      <c r="A822" t="inlineStr">
        <is>
          <t>A 22756-2022</t>
        </is>
      </c>
      <c r="B822" s="1" t="n">
        <v>44715</v>
      </c>
      <c r="C822" s="1" t="n">
        <v>45578</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23125-2022</t>
        </is>
      </c>
      <c r="B823" s="1" t="n">
        <v>44719</v>
      </c>
      <c r="C823" s="1" t="n">
        <v>45578</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23770-2022</t>
        </is>
      </c>
      <c r="B824" s="1" t="n">
        <v>44722</v>
      </c>
      <c r="C824" s="1" t="n">
        <v>45578</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23801-2022</t>
        </is>
      </c>
      <c r="B825" s="1" t="n">
        <v>44722</v>
      </c>
      <c r="C825" s="1" t="n">
        <v>45578</v>
      </c>
      <c r="D825" t="inlineStr">
        <is>
          <t>STOCKHOLMS LÄN</t>
        </is>
      </c>
      <c r="E825" t="inlineStr">
        <is>
          <t>NORRTÄLJE</t>
        </is>
      </c>
      <c r="G825" t="n">
        <v>6.8</v>
      </c>
      <c r="H825" t="n">
        <v>0</v>
      </c>
      <c r="I825" t="n">
        <v>0</v>
      </c>
      <c r="J825" t="n">
        <v>0</v>
      </c>
      <c r="K825" t="n">
        <v>0</v>
      </c>
      <c r="L825" t="n">
        <v>0</v>
      </c>
      <c r="M825" t="n">
        <v>0</v>
      </c>
      <c r="N825" t="n">
        <v>0</v>
      </c>
      <c r="O825" t="n">
        <v>0</v>
      </c>
      <c r="P825" t="n">
        <v>0</v>
      </c>
      <c r="Q825" t="n">
        <v>0</v>
      </c>
      <c r="R825" s="2" t="inlineStr"/>
    </row>
    <row r="826" ht="15" customHeight="1">
      <c r="A826" t="inlineStr">
        <is>
          <t>A 24101-2022</t>
        </is>
      </c>
      <c r="B826" s="1" t="n">
        <v>44725</v>
      </c>
      <c r="C826" s="1" t="n">
        <v>45578</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24162-2022</t>
        </is>
      </c>
      <c r="B827" s="1" t="n">
        <v>44725</v>
      </c>
      <c r="C827" s="1" t="n">
        <v>45578</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24167-2022</t>
        </is>
      </c>
      <c r="B828" s="1" t="n">
        <v>44725</v>
      </c>
      <c r="C828" s="1" t="n">
        <v>45578</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24152-2022</t>
        </is>
      </c>
      <c r="B829" s="1" t="n">
        <v>44725</v>
      </c>
      <c r="C829" s="1" t="n">
        <v>45578</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24534-2022</t>
        </is>
      </c>
      <c r="B830" s="1" t="n">
        <v>44727</v>
      </c>
      <c r="C830" s="1" t="n">
        <v>45578</v>
      </c>
      <c r="D830" t="inlineStr">
        <is>
          <t>STOCKHOLMS LÄN</t>
        </is>
      </c>
      <c r="E830" t="inlineStr">
        <is>
          <t>NORRTÄLJE</t>
        </is>
      </c>
      <c r="G830" t="n">
        <v>2.8</v>
      </c>
      <c r="H830" t="n">
        <v>0</v>
      </c>
      <c r="I830" t="n">
        <v>0</v>
      </c>
      <c r="J830" t="n">
        <v>0</v>
      </c>
      <c r="K830" t="n">
        <v>0</v>
      </c>
      <c r="L830" t="n">
        <v>0</v>
      </c>
      <c r="M830" t="n">
        <v>0</v>
      </c>
      <c r="N830" t="n">
        <v>0</v>
      </c>
      <c r="O830" t="n">
        <v>0</v>
      </c>
      <c r="P830" t="n">
        <v>0</v>
      </c>
      <c r="Q830" t="n">
        <v>0</v>
      </c>
      <c r="R830" s="2" t="inlineStr"/>
    </row>
    <row r="831" ht="15" customHeight="1">
      <c r="A831" t="inlineStr">
        <is>
          <t>A 24977-2022</t>
        </is>
      </c>
      <c r="B831" s="1" t="n">
        <v>44728</v>
      </c>
      <c r="C831" s="1" t="n">
        <v>45578</v>
      </c>
      <c r="D831" t="inlineStr">
        <is>
          <t>STOCKHOLMS LÄN</t>
        </is>
      </c>
      <c r="E831" t="inlineStr">
        <is>
          <t>NORRTÄLJE</t>
        </is>
      </c>
      <c r="F831" t="inlineStr">
        <is>
          <t>Kyrkan</t>
        </is>
      </c>
      <c r="G831" t="n">
        <v>1</v>
      </c>
      <c r="H831" t="n">
        <v>0</v>
      </c>
      <c r="I831" t="n">
        <v>0</v>
      </c>
      <c r="J831" t="n">
        <v>0</v>
      </c>
      <c r="K831" t="n">
        <v>0</v>
      </c>
      <c r="L831" t="n">
        <v>0</v>
      </c>
      <c r="M831" t="n">
        <v>0</v>
      </c>
      <c r="N831" t="n">
        <v>0</v>
      </c>
      <c r="O831" t="n">
        <v>0</v>
      </c>
      <c r="P831" t="n">
        <v>0</v>
      </c>
      <c r="Q831" t="n">
        <v>0</v>
      </c>
      <c r="R831" s="2" t="inlineStr"/>
    </row>
    <row r="832" ht="15" customHeight="1">
      <c r="A832" t="inlineStr">
        <is>
          <t>A 25525-2022</t>
        </is>
      </c>
      <c r="B832" s="1" t="n">
        <v>44732</v>
      </c>
      <c r="C832" s="1" t="n">
        <v>45578</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25621-2022</t>
        </is>
      </c>
      <c r="B833" s="1" t="n">
        <v>44732</v>
      </c>
      <c r="C833" s="1" t="n">
        <v>45578</v>
      </c>
      <c r="D833" t="inlineStr">
        <is>
          <t>STOCKHOLMS LÄN</t>
        </is>
      </c>
      <c r="E833" t="inlineStr">
        <is>
          <t>NORRTÄLJE</t>
        </is>
      </c>
      <c r="G833" t="n">
        <v>3.1</v>
      </c>
      <c r="H833" t="n">
        <v>0</v>
      </c>
      <c r="I833" t="n">
        <v>0</v>
      </c>
      <c r="J833" t="n">
        <v>0</v>
      </c>
      <c r="K833" t="n">
        <v>0</v>
      </c>
      <c r="L833" t="n">
        <v>0</v>
      </c>
      <c r="M833" t="n">
        <v>0</v>
      </c>
      <c r="N833" t="n">
        <v>0</v>
      </c>
      <c r="O833" t="n">
        <v>0</v>
      </c>
      <c r="P833" t="n">
        <v>0</v>
      </c>
      <c r="Q833" t="n">
        <v>0</v>
      </c>
      <c r="R833" s="2" t="inlineStr"/>
    </row>
    <row r="834" ht="15" customHeight="1">
      <c r="A834" t="inlineStr">
        <is>
          <t>A 25619-2022</t>
        </is>
      </c>
      <c r="B834" s="1" t="n">
        <v>44732</v>
      </c>
      <c r="C834" s="1" t="n">
        <v>45578</v>
      </c>
      <c r="D834" t="inlineStr">
        <is>
          <t>STOCKHOLMS LÄN</t>
        </is>
      </c>
      <c r="E834" t="inlineStr">
        <is>
          <t>NORRTÄLJE</t>
        </is>
      </c>
      <c r="G834" t="n">
        <v>3.9</v>
      </c>
      <c r="H834" t="n">
        <v>0</v>
      </c>
      <c r="I834" t="n">
        <v>0</v>
      </c>
      <c r="J834" t="n">
        <v>0</v>
      </c>
      <c r="K834" t="n">
        <v>0</v>
      </c>
      <c r="L834" t="n">
        <v>0</v>
      </c>
      <c r="M834" t="n">
        <v>0</v>
      </c>
      <c r="N834" t="n">
        <v>0</v>
      </c>
      <c r="O834" t="n">
        <v>0</v>
      </c>
      <c r="P834" t="n">
        <v>0</v>
      </c>
      <c r="Q834" t="n">
        <v>0</v>
      </c>
      <c r="R834" s="2" t="inlineStr"/>
    </row>
    <row r="835" ht="15" customHeight="1">
      <c r="A835" t="inlineStr">
        <is>
          <t>A 26328-2022</t>
        </is>
      </c>
      <c r="B835" s="1" t="n">
        <v>44735</v>
      </c>
      <c r="C835" s="1" t="n">
        <v>45578</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26335-2022</t>
        </is>
      </c>
      <c r="B836" s="1" t="n">
        <v>44735</v>
      </c>
      <c r="C836" s="1" t="n">
        <v>45578</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27538-2022</t>
        </is>
      </c>
      <c r="B837" s="1" t="n">
        <v>44742</v>
      </c>
      <c r="C837" s="1" t="n">
        <v>45578</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27715-2022</t>
        </is>
      </c>
      <c r="B838" s="1" t="n">
        <v>44743</v>
      </c>
      <c r="C838" s="1" t="n">
        <v>45578</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27827-2022</t>
        </is>
      </c>
      <c r="B839" s="1" t="n">
        <v>44743</v>
      </c>
      <c r="C839" s="1" t="n">
        <v>45578</v>
      </c>
      <c r="D839" t="inlineStr">
        <is>
          <t>STOCKHOLMS LÄN</t>
        </is>
      </c>
      <c r="E839" t="inlineStr">
        <is>
          <t>NORRTÄLJE</t>
        </is>
      </c>
      <c r="F839" t="inlineStr">
        <is>
          <t>Holmen skog AB</t>
        </is>
      </c>
      <c r="G839" t="n">
        <v>4.7</v>
      </c>
      <c r="H839" t="n">
        <v>0</v>
      </c>
      <c r="I839" t="n">
        <v>0</v>
      </c>
      <c r="J839" t="n">
        <v>0</v>
      </c>
      <c r="K839" t="n">
        <v>0</v>
      </c>
      <c r="L839" t="n">
        <v>0</v>
      </c>
      <c r="M839" t="n">
        <v>0</v>
      </c>
      <c r="N839" t="n">
        <v>0</v>
      </c>
      <c r="O839" t="n">
        <v>0</v>
      </c>
      <c r="P839" t="n">
        <v>0</v>
      </c>
      <c r="Q839" t="n">
        <v>0</v>
      </c>
      <c r="R839" s="2" t="inlineStr"/>
    </row>
    <row r="840" ht="15" customHeight="1">
      <c r="A840" t="inlineStr">
        <is>
          <t>A 27870-2022</t>
        </is>
      </c>
      <c r="B840" s="1" t="n">
        <v>44743</v>
      </c>
      <c r="C840" s="1" t="n">
        <v>45578</v>
      </c>
      <c r="D840" t="inlineStr">
        <is>
          <t>STOCKHOLMS LÄN</t>
        </is>
      </c>
      <c r="E840" t="inlineStr">
        <is>
          <t>NORRTÄLJE</t>
        </is>
      </c>
      <c r="F840" t="inlineStr">
        <is>
          <t>Holmen skog AB</t>
        </is>
      </c>
      <c r="G840" t="n">
        <v>1.8</v>
      </c>
      <c r="H840" t="n">
        <v>0</v>
      </c>
      <c r="I840" t="n">
        <v>0</v>
      </c>
      <c r="J840" t="n">
        <v>0</v>
      </c>
      <c r="K840" t="n">
        <v>0</v>
      </c>
      <c r="L840" t="n">
        <v>0</v>
      </c>
      <c r="M840" t="n">
        <v>0</v>
      </c>
      <c r="N840" t="n">
        <v>0</v>
      </c>
      <c r="O840" t="n">
        <v>0</v>
      </c>
      <c r="P840" t="n">
        <v>0</v>
      </c>
      <c r="Q840" t="n">
        <v>0</v>
      </c>
      <c r="R840" s="2" t="inlineStr"/>
    </row>
    <row r="841" ht="15" customHeight="1">
      <c r="A841" t="inlineStr">
        <is>
          <t>A 27828-2022</t>
        </is>
      </c>
      <c r="B841" s="1" t="n">
        <v>44743</v>
      </c>
      <c r="C841" s="1" t="n">
        <v>45578</v>
      </c>
      <c r="D841" t="inlineStr">
        <is>
          <t>STOCKHOLMS LÄN</t>
        </is>
      </c>
      <c r="E841" t="inlineStr">
        <is>
          <t>NORRTÄLJE</t>
        </is>
      </c>
      <c r="F841" t="inlineStr">
        <is>
          <t>Kommuner</t>
        </is>
      </c>
      <c r="G841" t="n">
        <v>1.6</v>
      </c>
      <c r="H841" t="n">
        <v>0</v>
      </c>
      <c r="I841" t="n">
        <v>0</v>
      </c>
      <c r="J841" t="n">
        <v>0</v>
      </c>
      <c r="K841" t="n">
        <v>0</v>
      </c>
      <c r="L841" t="n">
        <v>0</v>
      </c>
      <c r="M841" t="n">
        <v>0</v>
      </c>
      <c r="N841" t="n">
        <v>0</v>
      </c>
      <c r="O841" t="n">
        <v>0</v>
      </c>
      <c r="P841" t="n">
        <v>0</v>
      </c>
      <c r="Q841" t="n">
        <v>0</v>
      </c>
      <c r="R841" s="2" t="inlineStr"/>
    </row>
    <row r="842" ht="15" customHeight="1">
      <c r="A842" t="inlineStr">
        <is>
          <t>A 27824-2022</t>
        </is>
      </c>
      <c r="B842" s="1" t="n">
        <v>44743</v>
      </c>
      <c r="C842" s="1" t="n">
        <v>45578</v>
      </c>
      <c r="D842" t="inlineStr">
        <is>
          <t>STOCKHOLMS LÄN</t>
        </is>
      </c>
      <c r="E842" t="inlineStr">
        <is>
          <t>NORRTÄLJE</t>
        </is>
      </c>
      <c r="F842" t="inlineStr">
        <is>
          <t>Kommuner</t>
        </is>
      </c>
      <c r="G842" t="n">
        <v>3.1</v>
      </c>
      <c r="H842" t="n">
        <v>0</v>
      </c>
      <c r="I842" t="n">
        <v>0</v>
      </c>
      <c r="J842" t="n">
        <v>0</v>
      </c>
      <c r="K842" t="n">
        <v>0</v>
      </c>
      <c r="L842" t="n">
        <v>0</v>
      </c>
      <c r="M842" t="n">
        <v>0</v>
      </c>
      <c r="N842" t="n">
        <v>0</v>
      </c>
      <c r="O842" t="n">
        <v>0</v>
      </c>
      <c r="P842" t="n">
        <v>0</v>
      </c>
      <c r="Q842" t="n">
        <v>0</v>
      </c>
      <c r="R842" s="2" t="inlineStr"/>
    </row>
    <row r="843" ht="15" customHeight="1">
      <c r="A843" t="inlineStr">
        <is>
          <t>A 27831-2022</t>
        </is>
      </c>
      <c r="B843" s="1" t="n">
        <v>44743</v>
      </c>
      <c r="C843" s="1" t="n">
        <v>45578</v>
      </c>
      <c r="D843" t="inlineStr">
        <is>
          <t>STOCKHOLMS LÄN</t>
        </is>
      </c>
      <c r="E843" t="inlineStr">
        <is>
          <t>NORRTÄLJE</t>
        </is>
      </c>
      <c r="F843" t="inlineStr">
        <is>
          <t>Kommuner</t>
        </is>
      </c>
      <c r="G843" t="n">
        <v>4</v>
      </c>
      <c r="H843" t="n">
        <v>0</v>
      </c>
      <c r="I843" t="n">
        <v>0</v>
      </c>
      <c r="J843" t="n">
        <v>0</v>
      </c>
      <c r="K843" t="n">
        <v>0</v>
      </c>
      <c r="L843" t="n">
        <v>0</v>
      </c>
      <c r="M843" t="n">
        <v>0</v>
      </c>
      <c r="N843" t="n">
        <v>0</v>
      </c>
      <c r="O843" t="n">
        <v>0</v>
      </c>
      <c r="P843" t="n">
        <v>0</v>
      </c>
      <c r="Q843" t="n">
        <v>0</v>
      </c>
      <c r="R843" s="2" t="inlineStr"/>
    </row>
    <row r="844" ht="15" customHeight="1">
      <c r="A844" t="inlineStr">
        <is>
          <t>A 27885-2022</t>
        </is>
      </c>
      <c r="B844" s="1" t="n">
        <v>44743</v>
      </c>
      <c r="C844" s="1" t="n">
        <v>45578</v>
      </c>
      <c r="D844" t="inlineStr">
        <is>
          <t>STOCKHOLMS LÄN</t>
        </is>
      </c>
      <c r="E844" t="inlineStr">
        <is>
          <t>NORRTÄLJE</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27867-2022</t>
        </is>
      </c>
      <c r="B845" s="1" t="n">
        <v>44743</v>
      </c>
      <c r="C845" s="1" t="n">
        <v>45578</v>
      </c>
      <c r="D845" t="inlineStr">
        <is>
          <t>STOCKHOLMS LÄN</t>
        </is>
      </c>
      <c r="E845" t="inlineStr">
        <is>
          <t>NORRTÄLJE</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28042-2022</t>
        </is>
      </c>
      <c r="B846" s="1" t="n">
        <v>44744</v>
      </c>
      <c r="C846" s="1" t="n">
        <v>45578</v>
      </c>
      <c r="D846" t="inlineStr">
        <is>
          <t>STOCKHOLMS LÄN</t>
        </is>
      </c>
      <c r="E846" t="inlineStr">
        <is>
          <t>NORRTÄLJE</t>
        </is>
      </c>
      <c r="G846" t="n">
        <v>0.2</v>
      </c>
      <c r="H846" t="n">
        <v>0</v>
      </c>
      <c r="I846" t="n">
        <v>0</v>
      </c>
      <c r="J846" t="n">
        <v>0</v>
      </c>
      <c r="K846" t="n">
        <v>0</v>
      </c>
      <c r="L846" t="n">
        <v>0</v>
      </c>
      <c r="M846" t="n">
        <v>0</v>
      </c>
      <c r="N846" t="n">
        <v>0</v>
      </c>
      <c r="O846" t="n">
        <v>0</v>
      </c>
      <c r="P846" t="n">
        <v>0</v>
      </c>
      <c r="Q846" t="n">
        <v>0</v>
      </c>
      <c r="R846" s="2" t="inlineStr"/>
    </row>
    <row r="847" ht="15" customHeight="1">
      <c r="A847" t="inlineStr">
        <is>
          <t>A 28100-2022</t>
        </is>
      </c>
      <c r="B847" s="1" t="n">
        <v>44746</v>
      </c>
      <c r="C847" s="1" t="n">
        <v>45578</v>
      </c>
      <c r="D847" t="inlineStr">
        <is>
          <t>STOCKHOLMS LÄN</t>
        </is>
      </c>
      <c r="E847" t="inlineStr">
        <is>
          <t>NORRTÄLJE</t>
        </is>
      </c>
      <c r="F847" t="inlineStr">
        <is>
          <t>Holmen skog AB</t>
        </is>
      </c>
      <c r="G847" t="n">
        <v>5.8</v>
      </c>
      <c r="H847" t="n">
        <v>0</v>
      </c>
      <c r="I847" t="n">
        <v>0</v>
      </c>
      <c r="J847" t="n">
        <v>0</v>
      </c>
      <c r="K847" t="n">
        <v>0</v>
      </c>
      <c r="L847" t="n">
        <v>0</v>
      </c>
      <c r="M847" t="n">
        <v>0</v>
      </c>
      <c r="N847" t="n">
        <v>0</v>
      </c>
      <c r="O847" t="n">
        <v>0</v>
      </c>
      <c r="P847" t="n">
        <v>0</v>
      </c>
      <c r="Q847" t="n">
        <v>0</v>
      </c>
      <c r="R847" s="2" t="inlineStr"/>
    </row>
    <row r="848" ht="15" customHeight="1">
      <c r="A848" t="inlineStr">
        <is>
          <t>A 28182-2022</t>
        </is>
      </c>
      <c r="B848" s="1" t="n">
        <v>44746</v>
      </c>
      <c r="C848" s="1" t="n">
        <v>45578</v>
      </c>
      <c r="D848" t="inlineStr">
        <is>
          <t>STOCKHOLMS LÄN</t>
        </is>
      </c>
      <c r="E848" t="inlineStr">
        <is>
          <t>NORRTÄLJE</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28209-2022</t>
        </is>
      </c>
      <c r="B849" s="1" t="n">
        <v>44746</v>
      </c>
      <c r="C849" s="1" t="n">
        <v>45578</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28365-2022</t>
        </is>
      </c>
      <c r="B850" s="1" t="n">
        <v>44747</v>
      </c>
      <c r="C850" s="1" t="n">
        <v>45578</v>
      </c>
      <c r="D850" t="inlineStr">
        <is>
          <t>STOCKHOLMS LÄN</t>
        </is>
      </c>
      <c r="E850" t="inlineStr">
        <is>
          <t>NORRTÄLJE</t>
        </is>
      </c>
      <c r="G850" t="n">
        <v>5.1</v>
      </c>
      <c r="H850" t="n">
        <v>0</v>
      </c>
      <c r="I850" t="n">
        <v>0</v>
      </c>
      <c r="J850" t="n">
        <v>0</v>
      </c>
      <c r="K850" t="n">
        <v>0</v>
      </c>
      <c r="L850" t="n">
        <v>0</v>
      </c>
      <c r="M850" t="n">
        <v>0</v>
      </c>
      <c r="N850" t="n">
        <v>0</v>
      </c>
      <c r="O850" t="n">
        <v>0</v>
      </c>
      <c r="P850" t="n">
        <v>0</v>
      </c>
      <c r="Q850" t="n">
        <v>0</v>
      </c>
      <c r="R850" s="2" t="inlineStr"/>
    </row>
    <row r="851" ht="15" customHeight="1">
      <c r="A851" t="inlineStr">
        <is>
          <t>A 28900-2022</t>
        </is>
      </c>
      <c r="B851" s="1" t="n">
        <v>44749</v>
      </c>
      <c r="C851" s="1" t="n">
        <v>45578</v>
      </c>
      <c r="D851" t="inlineStr">
        <is>
          <t>STOCKHOLMS LÄN</t>
        </is>
      </c>
      <c r="E851" t="inlineStr">
        <is>
          <t>NORRTÄLJE</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28959-2022</t>
        </is>
      </c>
      <c r="B852" s="1" t="n">
        <v>44749</v>
      </c>
      <c r="C852" s="1" t="n">
        <v>45578</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29070-2022</t>
        </is>
      </c>
      <c r="B853" s="1" t="n">
        <v>44750</v>
      </c>
      <c r="C853" s="1" t="n">
        <v>45578</v>
      </c>
      <c r="D853" t="inlineStr">
        <is>
          <t>STOCKHOLMS LÄN</t>
        </is>
      </c>
      <c r="E853" t="inlineStr">
        <is>
          <t>NORRTÄLJE</t>
        </is>
      </c>
      <c r="G853" t="n">
        <v>3.4</v>
      </c>
      <c r="H853" t="n">
        <v>0</v>
      </c>
      <c r="I853" t="n">
        <v>0</v>
      </c>
      <c r="J853" t="n">
        <v>0</v>
      </c>
      <c r="K853" t="n">
        <v>0</v>
      </c>
      <c r="L853" t="n">
        <v>0</v>
      </c>
      <c r="M853" t="n">
        <v>0</v>
      </c>
      <c r="N853" t="n">
        <v>0</v>
      </c>
      <c r="O853" t="n">
        <v>0</v>
      </c>
      <c r="P853" t="n">
        <v>0</v>
      </c>
      <c r="Q853" t="n">
        <v>0</v>
      </c>
      <c r="R853" s="2" t="inlineStr"/>
    </row>
    <row r="854" ht="15" customHeight="1">
      <c r="A854" t="inlineStr">
        <is>
          <t>A 29266-2022</t>
        </is>
      </c>
      <c r="B854" s="1" t="n">
        <v>44750</v>
      </c>
      <c r="C854" s="1" t="n">
        <v>45578</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29278-2022</t>
        </is>
      </c>
      <c r="B855" s="1" t="n">
        <v>44750</v>
      </c>
      <c r="C855" s="1" t="n">
        <v>45578</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29362-2022</t>
        </is>
      </c>
      <c r="B856" s="1" t="n">
        <v>44753</v>
      </c>
      <c r="C856" s="1" t="n">
        <v>45578</v>
      </c>
      <c r="D856" t="inlineStr">
        <is>
          <t>STOCKHOLMS LÄN</t>
        </is>
      </c>
      <c r="E856" t="inlineStr">
        <is>
          <t>NORRTÄLJE</t>
        </is>
      </c>
      <c r="G856" t="n">
        <v>3.8</v>
      </c>
      <c r="H856" t="n">
        <v>0</v>
      </c>
      <c r="I856" t="n">
        <v>0</v>
      </c>
      <c r="J856" t="n">
        <v>0</v>
      </c>
      <c r="K856" t="n">
        <v>0</v>
      </c>
      <c r="L856" t="n">
        <v>0</v>
      </c>
      <c r="M856" t="n">
        <v>0</v>
      </c>
      <c r="N856" t="n">
        <v>0</v>
      </c>
      <c r="O856" t="n">
        <v>0</v>
      </c>
      <c r="P856" t="n">
        <v>0</v>
      </c>
      <c r="Q856" t="n">
        <v>0</v>
      </c>
      <c r="R856" s="2" t="inlineStr"/>
    </row>
    <row r="857" ht="15" customHeight="1">
      <c r="A857" t="inlineStr">
        <is>
          <t>A 29395-2022</t>
        </is>
      </c>
      <c r="B857" s="1" t="n">
        <v>44753</v>
      </c>
      <c r="C857" s="1" t="n">
        <v>45578</v>
      </c>
      <c r="D857" t="inlineStr">
        <is>
          <t>STOCKHOLMS LÄN</t>
        </is>
      </c>
      <c r="E857" t="inlineStr">
        <is>
          <t>NORRTÄLJE</t>
        </is>
      </c>
      <c r="F857" t="inlineStr">
        <is>
          <t>Holmen skog AB</t>
        </is>
      </c>
      <c r="G857" t="n">
        <v>4.1</v>
      </c>
      <c r="H857" t="n">
        <v>0</v>
      </c>
      <c r="I857" t="n">
        <v>0</v>
      </c>
      <c r="J857" t="n">
        <v>0</v>
      </c>
      <c r="K857" t="n">
        <v>0</v>
      </c>
      <c r="L857" t="n">
        <v>0</v>
      </c>
      <c r="M857" t="n">
        <v>0</v>
      </c>
      <c r="N857" t="n">
        <v>0</v>
      </c>
      <c r="O857" t="n">
        <v>0</v>
      </c>
      <c r="P857" t="n">
        <v>0</v>
      </c>
      <c r="Q857" t="n">
        <v>0</v>
      </c>
      <c r="R857" s="2" t="inlineStr"/>
    </row>
    <row r="858" ht="15" customHeight="1">
      <c r="A858" t="inlineStr">
        <is>
          <t>A 29868-2022</t>
        </is>
      </c>
      <c r="B858" s="1" t="n">
        <v>44756</v>
      </c>
      <c r="C858" s="1" t="n">
        <v>45578</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30151-2022</t>
        </is>
      </c>
      <c r="B859" s="1" t="n">
        <v>44757</v>
      </c>
      <c r="C859" s="1" t="n">
        <v>45578</v>
      </c>
      <c r="D859" t="inlineStr">
        <is>
          <t>STOCKHOLMS LÄN</t>
        </is>
      </c>
      <c r="E859" t="inlineStr">
        <is>
          <t>NORRTÄLJE</t>
        </is>
      </c>
      <c r="G859" t="n">
        <v>12.6</v>
      </c>
      <c r="H859" t="n">
        <v>0</v>
      </c>
      <c r="I859" t="n">
        <v>0</v>
      </c>
      <c r="J859" t="n">
        <v>0</v>
      </c>
      <c r="K859" t="n">
        <v>0</v>
      </c>
      <c r="L859" t="n">
        <v>0</v>
      </c>
      <c r="M859" t="n">
        <v>0</v>
      </c>
      <c r="N859" t="n">
        <v>0</v>
      </c>
      <c r="O859" t="n">
        <v>0</v>
      </c>
      <c r="P859" t="n">
        <v>0</v>
      </c>
      <c r="Q859" t="n">
        <v>0</v>
      </c>
      <c r="R859" s="2" t="inlineStr"/>
    </row>
    <row r="860" ht="15" customHeight="1">
      <c r="A860" t="inlineStr">
        <is>
          <t>A 30164-2022</t>
        </is>
      </c>
      <c r="B860" s="1" t="n">
        <v>44757</v>
      </c>
      <c r="C860" s="1" t="n">
        <v>45578</v>
      </c>
      <c r="D860" t="inlineStr">
        <is>
          <t>STOCKHOLMS LÄN</t>
        </is>
      </c>
      <c r="E860" t="inlineStr">
        <is>
          <t>NORRTÄLJE</t>
        </is>
      </c>
      <c r="F860" t="inlineStr">
        <is>
          <t>Holmen skog AB</t>
        </is>
      </c>
      <c r="G860" t="n">
        <v>0.6</v>
      </c>
      <c r="H860" t="n">
        <v>0</v>
      </c>
      <c r="I860" t="n">
        <v>0</v>
      </c>
      <c r="J860" t="n">
        <v>0</v>
      </c>
      <c r="K860" t="n">
        <v>0</v>
      </c>
      <c r="L860" t="n">
        <v>0</v>
      </c>
      <c r="M860" t="n">
        <v>0</v>
      </c>
      <c r="N860" t="n">
        <v>0</v>
      </c>
      <c r="O860" t="n">
        <v>0</v>
      </c>
      <c r="P860" t="n">
        <v>0</v>
      </c>
      <c r="Q860" t="n">
        <v>0</v>
      </c>
      <c r="R860" s="2" t="inlineStr"/>
    </row>
    <row r="861" ht="15" customHeight="1">
      <c r="A861" t="inlineStr">
        <is>
          <t>A 30171-2022</t>
        </is>
      </c>
      <c r="B861" s="1" t="n">
        <v>44757</v>
      </c>
      <c r="C861" s="1" t="n">
        <v>45578</v>
      </c>
      <c r="D861" t="inlineStr">
        <is>
          <t>STOCKHOLMS LÄN</t>
        </is>
      </c>
      <c r="E861" t="inlineStr">
        <is>
          <t>NORRTÄLJE</t>
        </is>
      </c>
      <c r="F861" t="inlineStr">
        <is>
          <t>Holmen skog AB</t>
        </is>
      </c>
      <c r="G861" t="n">
        <v>6.3</v>
      </c>
      <c r="H861" t="n">
        <v>0</v>
      </c>
      <c r="I861" t="n">
        <v>0</v>
      </c>
      <c r="J861" t="n">
        <v>0</v>
      </c>
      <c r="K861" t="n">
        <v>0</v>
      </c>
      <c r="L861" t="n">
        <v>0</v>
      </c>
      <c r="M861" t="n">
        <v>0</v>
      </c>
      <c r="N861" t="n">
        <v>0</v>
      </c>
      <c r="O861" t="n">
        <v>0</v>
      </c>
      <c r="P861" t="n">
        <v>0</v>
      </c>
      <c r="Q861" t="n">
        <v>0</v>
      </c>
      <c r="R861" s="2" t="inlineStr"/>
    </row>
    <row r="862" ht="15" customHeight="1">
      <c r="A862" t="inlineStr">
        <is>
          <t>A 30283-2022</t>
        </is>
      </c>
      <c r="B862" s="1" t="n">
        <v>44760</v>
      </c>
      <c r="C862" s="1" t="n">
        <v>45578</v>
      </c>
      <c r="D862" t="inlineStr">
        <is>
          <t>STOCKHOLMS LÄN</t>
        </is>
      </c>
      <c r="E862" t="inlineStr">
        <is>
          <t>NORRTÄLJE</t>
        </is>
      </c>
      <c r="G862" t="n">
        <v>6.2</v>
      </c>
      <c r="H862" t="n">
        <v>0</v>
      </c>
      <c r="I862" t="n">
        <v>0</v>
      </c>
      <c r="J862" t="n">
        <v>0</v>
      </c>
      <c r="K862" t="n">
        <v>0</v>
      </c>
      <c r="L862" t="n">
        <v>0</v>
      </c>
      <c r="M862" t="n">
        <v>0</v>
      </c>
      <c r="N862" t="n">
        <v>0</v>
      </c>
      <c r="O862" t="n">
        <v>0</v>
      </c>
      <c r="P862" t="n">
        <v>0</v>
      </c>
      <c r="Q862" t="n">
        <v>0</v>
      </c>
      <c r="R862" s="2" t="inlineStr"/>
    </row>
    <row r="863" ht="15" customHeight="1">
      <c r="A863" t="inlineStr">
        <is>
          <t>A 30338-2022</t>
        </is>
      </c>
      <c r="B863" s="1" t="n">
        <v>44760</v>
      </c>
      <c r="C863" s="1" t="n">
        <v>45578</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30286-2022</t>
        </is>
      </c>
      <c r="B864" s="1" t="n">
        <v>44760</v>
      </c>
      <c r="C864" s="1" t="n">
        <v>45578</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30290-2022</t>
        </is>
      </c>
      <c r="B865" s="1" t="n">
        <v>44760</v>
      </c>
      <c r="C865" s="1" t="n">
        <v>45578</v>
      </c>
      <c r="D865" t="inlineStr">
        <is>
          <t>STOCKHOLMS LÄN</t>
        </is>
      </c>
      <c r="E865" t="inlineStr">
        <is>
          <t>NORRTÄLJE</t>
        </is>
      </c>
      <c r="G865" t="n">
        <v>4.8</v>
      </c>
      <c r="H865" t="n">
        <v>0</v>
      </c>
      <c r="I865" t="n">
        <v>0</v>
      </c>
      <c r="J865" t="n">
        <v>0</v>
      </c>
      <c r="K865" t="n">
        <v>0</v>
      </c>
      <c r="L865" t="n">
        <v>0</v>
      </c>
      <c r="M865" t="n">
        <v>0</v>
      </c>
      <c r="N865" t="n">
        <v>0</v>
      </c>
      <c r="O865" t="n">
        <v>0</v>
      </c>
      <c r="P865" t="n">
        <v>0</v>
      </c>
      <c r="Q865" t="n">
        <v>0</v>
      </c>
      <c r="R865" s="2" t="inlineStr"/>
    </row>
    <row r="866" ht="15" customHeight="1">
      <c r="A866" t="inlineStr">
        <is>
          <t>A 30620-2022</t>
        </is>
      </c>
      <c r="B866" s="1" t="n">
        <v>44763</v>
      </c>
      <c r="C866" s="1" t="n">
        <v>45578</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30624-2022</t>
        </is>
      </c>
      <c r="B867" s="1" t="n">
        <v>44763</v>
      </c>
      <c r="C867" s="1" t="n">
        <v>45578</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30758-2022</t>
        </is>
      </c>
      <c r="B868" s="1" t="n">
        <v>44764</v>
      </c>
      <c r="C868" s="1" t="n">
        <v>45578</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30740-2022</t>
        </is>
      </c>
      <c r="B869" s="1" t="n">
        <v>44764</v>
      </c>
      <c r="C869" s="1" t="n">
        <v>45578</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30750-2022</t>
        </is>
      </c>
      <c r="B870" s="1" t="n">
        <v>44764</v>
      </c>
      <c r="C870" s="1" t="n">
        <v>45578</v>
      </c>
      <c r="D870" t="inlineStr">
        <is>
          <t>STOCKHOLMS LÄN</t>
        </is>
      </c>
      <c r="E870" t="inlineStr">
        <is>
          <t>NORRTÄLJE</t>
        </is>
      </c>
      <c r="G870" t="n">
        <v>3.7</v>
      </c>
      <c r="H870" t="n">
        <v>0</v>
      </c>
      <c r="I870" t="n">
        <v>0</v>
      </c>
      <c r="J870" t="n">
        <v>0</v>
      </c>
      <c r="K870" t="n">
        <v>0</v>
      </c>
      <c r="L870" t="n">
        <v>0</v>
      </c>
      <c r="M870" t="n">
        <v>0</v>
      </c>
      <c r="N870" t="n">
        <v>0</v>
      </c>
      <c r="O870" t="n">
        <v>0</v>
      </c>
      <c r="P870" t="n">
        <v>0</v>
      </c>
      <c r="Q870" t="n">
        <v>0</v>
      </c>
      <c r="R870" s="2" t="inlineStr"/>
    </row>
    <row r="871" ht="15" customHeight="1">
      <c r="A871" t="inlineStr">
        <is>
          <t>A 30802-2022</t>
        </is>
      </c>
      <c r="B871" s="1" t="n">
        <v>44764</v>
      </c>
      <c r="C871" s="1" t="n">
        <v>45578</v>
      </c>
      <c r="D871" t="inlineStr">
        <is>
          <t>STOCKHOLMS LÄN</t>
        </is>
      </c>
      <c r="E871" t="inlineStr">
        <is>
          <t>NORRTÄLJE</t>
        </is>
      </c>
      <c r="G871" t="n">
        <v>1.7</v>
      </c>
      <c r="H871" t="n">
        <v>0</v>
      </c>
      <c r="I871" t="n">
        <v>0</v>
      </c>
      <c r="J871" t="n">
        <v>0</v>
      </c>
      <c r="K871" t="n">
        <v>0</v>
      </c>
      <c r="L871" t="n">
        <v>0</v>
      </c>
      <c r="M871" t="n">
        <v>0</v>
      </c>
      <c r="N871" t="n">
        <v>0</v>
      </c>
      <c r="O871" t="n">
        <v>0</v>
      </c>
      <c r="P871" t="n">
        <v>0</v>
      </c>
      <c r="Q871" t="n">
        <v>0</v>
      </c>
      <c r="R871" s="2" t="inlineStr"/>
    </row>
    <row r="872" ht="15" customHeight="1">
      <c r="A872" t="inlineStr">
        <is>
          <t>A 30886-2022</t>
        </is>
      </c>
      <c r="B872" s="1" t="n">
        <v>44767</v>
      </c>
      <c r="C872" s="1" t="n">
        <v>45578</v>
      </c>
      <c r="D872" t="inlineStr">
        <is>
          <t>STOCKHOLMS LÄN</t>
        </is>
      </c>
      <c r="E872" t="inlineStr">
        <is>
          <t>NORRTÄLJE</t>
        </is>
      </c>
      <c r="G872" t="n">
        <v>2.6</v>
      </c>
      <c r="H872" t="n">
        <v>0</v>
      </c>
      <c r="I872" t="n">
        <v>0</v>
      </c>
      <c r="J872" t="n">
        <v>0</v>
      </c>
      <c r="K872" t="n">
        <v>0</v>
      </c>
      <c r="L872" t="n">
        <v>0</v>
      </c>
      <c r="M872" t="n">
        <v>0</v>
      </c>
      <c r="N872" t="n">
        <v>0</v>
      </c>
      <c r="O872" t="n">
        <v>0</v>
      </c>
      <c r="P872" t="n">
        <v>0</v>
      </c>
      <c r="Q872" t="n">
        <v>0</v>
      </c>
      <c r="R872" s="2" t="inlineStr"/>
    </row>
    <row r="873" ht="15" customHeight="1">
      <c r="A873" t="inlineStr">
        <is>
          <t>A 31102-2022</t>
        </is>
      </c>
      <c r="B873" s="1" t="n">
        <v>44769</v>
      </c>
      <c r="C873" s="1" t="n">
        <v>45578</v>
      </c>
      <c r="D873" t="inlineStr">
        <is>
          <t>STOCKHOLMS LÄN</t>
        </is>
      </c>
      <c r="E873" t="inlineStr">
        <is>
          <t>NORRTÄLJE</t>
        </is>
      </c>
      <c r="G873" t="n">
        <v>3.7</v>
      </c>
      <c r="H873" t="n">
        <v>0</v>
      </c>
      <c r="I873" t="n">
        <v>0</v>
      </c>
      <c r="J873" t="n">
        <v>0</v>
      </c>
      <c r="K873" t="n">
        <v>0</v>
      </c>
      <c r="L873" t="n">
        <v>0</v>
      </c>
      <c r="M873" t="n">
        <v>0</v>
      </c>
      <c r="N873" t="n">
        <v>0</v>
      </c>
      <c r="O873" t="n">
        <v>0</v>
      </c>
      <c r="P873" t="n">
        <v>0</v>
      </c>
      <c r="Q873" t="n">
        <v>0</v>
      </c>
      <c r="R873" s="2" t="inlineStr"/>
    </row>
    <row r="874" ht="15" customHeight="1">
      <c r="A874" t="inlineStr">
        <is>
          <t>A 31092-2022</t>
        </is>
      </c>
      <c r="B874" s="1" t="n">
        <v>44769</v>
      </c>
      <c r="C874" s="1" t="n">
        <v>45578</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31052-2022</t>
        </is>
      </c>
      <c r="B875" s="1" t="n">
        <v>44769</v>
      </c>
      <c r="C875" s="1" t="n">
        <v>45578</v>
      </c>
      <c r="D875" t="inlineStr">
        <is>
          <t>STOCKHOLMS LÄN</t>
        </is>
      </c>
      <c r="E875" t="inlineStr">
        <is>
          <t>NORRTÄLJE</t>
        </is>
      </c>
      <c r="G875" t="n">
        <v>6</v>
      </c>
      <c r="H875" t="n">
        <v>0</v>
      </c>
      <c r="I875" t="n">
        <v>0</v>
      </c>
      <c r="J875" t="n">
        <v>0</v>
      </c>
      <c r="K875" t="n">
        <v>0</v>
      </c>
      <c r="L875" t="n">
        <v>0</v>
      </c>
      <c r="M875" t="n">
        <v>0</v>
      </c>
      <c r="N875" t="n">
        <v>0</v>
      </c>
      <c r="O875" t="n">
        <v>0</v>
      </c>
      <c r="P875" t="n">
        <v>0</v>
      </c>
      <c r="Q875" t="n">
        <v>0</v>
      </c>
      <c r="R875" s="2" t="inlineStr"/>
    </row>
    <row r="876" ht="15" customHeight="1">
      <c r="A876" t="inlineStr">
        <is>
          <t>A 31105-2022</t>
        </is>
      </c>
      <c r="B876" s="1" t="n">
        <v>44769</v>
      </c>
      <c r="C876" s="1" t="n">
        <v>45578</v>
      </c>
      <c r="D876" t="inlineStr">
        <is>
          <t>STOCKHOLMS LÄN</t>
        </is>
      </c>
      <c r="E876" t="inlineStr">
        <is>
          <t>NORRTÄLJE</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31107-2022</t>
        </is>
      </c>
      <c r="B877" s="1" t="n">
        <v>44769</v>
      </c>
      <c r="C877" s="1" t="n">
        <v>45578</v>
      </c>
      <c r="D877" t="inlineStr">
        <is>
          <t>STOCKHOLMS LÄN</t>
        </is>
      </c>
      <c r="E877" t="inlineStr">
        <is>
          <t>NORRTÄLJE</t>
        </is>
      </c>
      <c r="G877" t="n">
        <v>3.8</v>
      </c>
      <c r="H877" t="n">
        <v>0</v>
      </c>
      <c r="I877" t="n">
        <v>0</v>
      </c>
      <c r="J877" t="n">
        <v>0</v>
      </c>
      <c r="K877" t="n">
        <v>0</v>
      </c>
      <c r="L877" t="n">
        <v>0</v>
      </c>
      <c r="M877" t="n">
        <v>0</v>
      </c>
      <c r="N877" t="n">
        <v>0</v>
      </c>
      <c r="O877" t="n">
        <v>0</v>
      </c>
      <c r="P877" t="n">
        <v>0</v>
      </c>
      <c r="Q877" t="n">
        <v>0</v>
      </c>
      <c r="R877" s="2" t="inlineStr"/>
    </row>
    <row r="878" ht="15" customHeight="1">
      <c r="A878" t="inlineStr">
        <is>
          <t>A 31057-2022</t>
        </is>
      </c>
      <c r="B878" s="1" t="n">
        <v>44769</v>
      </c>
      <c r="C878" s="1" t="n">
        <v>45578</v>
      </c>
      <c r="D878" t="inlineStr">
        <is>
          <t>STOCKHOLMS LÄN</t>
        </is>
      </c>
      <c r="E878" t="inlineStr">
        <is>
          <t>NORRTÄLJE</t>
        </is>
      </c>
      <c r="G878" t="n">
        <v>6.5</v>
      </c>
      <c r="H878" t="n">
        <v>0</v>
      </c>
      <c r="I878" t="n">
        <v>0</v>
      </c>
      <c r="J878" t="n">
        <v>0</v>
      </c>
      <c r="K878" t="n">
        <v>0</v>
      </c>
      <c r="L878" t="n">
        <v>0</v>
      </c>
      <c r="M878" t="n">
        <v>0</v>
      </c>
      <c r="N878" t="n">
        <v>0</v>
      </c>
      <c r="O878" t="n">
        <v>0</v>
      </c>
      <c r="P878" t="n">
        <v>0</v>
      </c>
      <c r="Q878" t="n">
        <v>0</v>
      </c>
      <c r="R878" s="2" t="inlineStr"/>
    </row>
    <row r="879" ht="15" customHeight="1">
      <c r="A879" t="inlineStr">
        <is>
          <t>A 31236-2022</t>
        </is>
      </c>
      <c r="B879" s="1" t="n">
        <v>44771</v>
      </c>
      <c r="C879" s="1" t="n">
        <v>45578</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31281-2022</t>
        </is>
      </c>
      <c r="B880" s="1" t="n">
        <v>44771</v>
      </c>
      <c r="C880" s="1" t="n">
        <v>45578</v>
      </c>
      <c r="D880" t="inlineStr">
        <is>
          <t>STOCKHOLMS LÄN</t>
        </is>
      </c>
      <c r="E880" t="inlineStr">
        <is>
          <t>NORRTÄLJE</t>
        </is>
      </c>
      <c r="F880" t="inlineStr">
        <is>
          <t>Holmen skog AB</t>
        </is>
      </c>
      <c r="G880" t="n">
        <v>5.2</v>
      </c>
      <c r="H880" t="n">
        <v>0</v>
      </c>
      <c r="I880" t="n">
        <v>0</v>
      </c>
      <c r="J880" t="n">
        <v>0</v>
      </c>
      <c r="K880" t="n">
        <v>0</v>
      </c>
      <c r="L880" t="n">
        <v>0</v>
      </c>
      <c r="M880" t="n">
        <v>0</v>
      </c>
      <c r="N880" t="n">
        <v>0</v>
      </c>
      <c r="O880" t="n">
        <v>0</v>
      </c>
      <c r="P880" t="n">
        <v>0</v>
      </c>
      <c r="Q880" t="n">
        <v>0</v>
      </c>
      <c r="R880" s="2" t="inlineStr"/>
    </row>
    <row r="881" ht="15" customHeight="1">
      <c r="A881" t="inlineStr">
        <is>
          <t>A 31283-2022</t>
        </is>
      </c>
      <c r="B881" s="1" t="n">
        <v>44771</v>
      </c>
      <c r="C881" s="1" t="n">
        <v>45578</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31559-2022</t>
        </is>
      </c>
      <c r="B882" s="1" t="n">
        <v>44775</v>
      </c>
      <c r="C882" s="1" t="n">
        <v>45578</v>
      </c>
      <c r="D882" t="inlineStr">
        <is>
          <t>STOCKHOLMS LÄN</t>
        </is>
      </c>
      <c r="E882" t="inlineStr">
        <is>
          <t>NORRTÄLJE</t>
        </is>
      </c>
      <c r="G882" t="n">
        <v>5.6</v>
      </c>
      <c r="H882" t="n">
        <v>0</v>
      </c>
      <c r="I882" t="n">
        <v>0</v>
      </c>
      <c r="J882" t="n">
        <v>0</v>
      </c>
      <c r="K882" t="n">
        <v>0</v>
      </c>
      <c r="L882" t="n">
        <v>0</v>
      </c>
      <c r="M882" t="n">
        <v>0</v>
      </c>
      <c r="N882" t="n">
        <v>0</v>
      </c>
      <c r="O882" t="n">
        <v>0</v>
      </c>
      <c r="P882" t="n">
        <v>0</v>
      </c>
      <c r="Q882" t="n">
        <v>0</v>
      </c>
      <c r="R882" s="2" t="inlineStr"/>
    </row>
    <row r="883" ht="15" customHeight="1">
      <c r="A883" t="inlineStr">
        <is>
          <t>A 31807-2022</t>
        </is>
      </c>
      <c r="B883" s="1" t="n">
        <v>44776</v>
      </c>
      <c r="C883" s="1" t="n">
        <v>45578</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31938-2022</t>
        </is>
      </c>
      <c r="B884" s="1" t="n">
        <v>44777</v>
      </c>
      <c r="C884" s="1" t="n">
        <v>45578</v>
      </c>
      <c r="D884" t="inlineStr">
        <is>
          <t>STOCKHOLMS LÄN</t>
        </is>
      </c>
      <c r="E884" t="inlineStr">
        <is>
          <t>NORRTÄLJE</t>
        </is>
      </c>
      <c r="G884" t="n">
        <v>7.8</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45578</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31924-2022</t>
        </is>
      </c>
      <c r="B886" s="1" t="n">
        <v>44777</v>
      </c>
      <c r="C886" s="1" t="n">
        <v>45578</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31939-2022</t>
        </is>
      </c>
      <c r="B887" s="1" t="n">
        <v>44777</v>
      </c>
      <c r="C887" s="1" t="n">
        <v>45578</v>
      </c>
      <c r="D887" t="inlineStr">
        <is>
          <t>STOCKHOLMS LÄN</t>
        </is>
      </c>
      <c r="E887" t="inlineStr">
        <is>
          <t>NORRTÄLJE</t>
        </is>
      </c>
      <c r="G887" t="n">
        <v>13.5</v>
      </c>
      <c r="H887" t="n">
        <v>0</v>
      </c>
      <c r="I887" t="n">
        <v>0</v>
      </c>
      <c r="J887" t="n">
        <v>0</v>
      </c>
      <c r="K887" t="n">
        <v>0</v>
      </c>
      <c r="L887" t="n">
        <v>0</v>
      </c>
      <c r="M887" t="n">
        <v>0</v>
      </c>
      <c r="N887" t="n">
        <v>0</v>
      </c>
      <c r="O887" t="n">
        <v>0</v>
      </c>
      <c r="P887" t="n">
        <v>0</v>
      </c>
      <c r="Q887" t="n">
        <v>0</v>
      </c>
      <c r="R887" s="2" t="inlineStr"/>
    </row>
    <row r="888" ht="15" customHeight="1">
      <c r="A888" t="inlineStr">
        <is>
          <t>A 31926-2022</t>
        </is>
      </c>
      <c r="B888" s="1" t="n">
        <v>44777</v>
      </c>
      <c r="C888" s="1" t="n">
        <v>45578</v>
      </c>
      <c r="D888" t="inlineStr">
        <is>
          <t>STOCKHOLMS LÄN</t>
        </is>
      </c>
      <c r="E888" t="inlineStr">
        <is>
          <t>NORRTÄLJE</t>
        </is>
      </c>
      <c r="G888" t="n">
        <v>5.2</v>
      </c>
      <c r="H888" t="n">
        <v>0</v>
      </c>
      <c r="I888" t="n">
        <v>0</v>
      </c>
      <c r="J888" t="n">
        <v>0</v>
      </c>
      <c r="K888" t="n">
        <v>0</v>
      </c>
      <c r="L888" t="n">
        <v>0</v>
      </c>
      <c r="M888" t="n">
        <v>0</v>
      </c>
      <c r="N888" t="n">
        <v>0</v>
      </c>
      <c r="O888" t="n">
        <v>0</v>
      </c>
      <c r="P888" t="n">
        <v>0</v>
      </c>
      <c r="Q888" t="n">
        <v>0</v>
      </c>
      <c r="R888" s="2" t="inlineStr"/>
    </row>
    <row r="889" ht="15" customHeight="1">
      <c r="A889" t="inlineStr">
        <is>
          <t>A 31934-2022</t>
        </is>
      </c>
      <c r="B889" s="1" t="n">
        <v>44777</v>
      </c>
      <c r="C889" s="1" t="n">
        <v>45578</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32103-2022</t>
        </is>
      </c>
      <c r="B890" s="1" t="n">
        <v>44778</v>
      </c>
      <c r="C890" s="1" t="n">
        <v>45578</v>
      </c>
      <c r="D890" t="inlineStr">
        <is>
          <t>STOCKHOLMS LÄN</t>
        </is>
      </c>
      <c r="E890" t="inlineStr">
        <is>
          <t>NORRTÄLJE</t>
        </is>
      </c>
      <c r="G890" t="n">
        <v>3.4</v>
      </c>
      <c r="H890" t="n">
        <v>0</v>
      </c>
      <c r="I890" t="n">
        <v>0</v>
      </c>
      <c r="J890" t="n">
        <v>0</v>
      </c>
      <c r="K890" t="n">
        <v>0</v>
      </c>
      <c r="L890" t="n">
        <v>0</v>
      </c>
      <c r="M890" t="n">
        <v>0</v>
      </c>
      <c r="N890" t="n">
        <v>0</v>
      </c>
      <c r="O890" t="n">
        <v>0</v>
      </c>
      <c r="P890" t="n">
        <v>0</v>
      </c>
      <c r="Q890" t="n">
        <v>0</v>
      </c>
      <c r="R890" s="2" t="inlineStr"/>
    </row>
    <row r="891" ht="15" customHeight="1">
      <c r="A891" t="inlineStr">
        <is>
          <t>A 32111-2022</t>
        </is>
      </c>
      <c r="B891" s="1" t="n">
        <v>44779</v>
      </c>
      <c r="C891" s="1" t="n">
        <v>45578</v>
      </c>
      <c r="D891" t="inlineStr">
        <is>
          <t>STOCKHOLMS LÄN</t>
        </is>
      </c>
      <c r="E891" t="inlineStr">
        <is>
          <t>NORRTÄLJE</t>
        </is>
      </c>
      <c r="G891" t="n">
        <v>3.1</v>
      </c>
      <c r="H891" t="n">
        <v>0</v>
      </c>
      <c r="I891" t="n">
        <v>0</v>
      </c>
      <c r="J891" t="n">
        <v>0</v>
      </c>
      <c r="K891" t="n">
        <v>0</v>
      </c>
      <c r="L891" t="n">
        <v>0</v>
      </c>
      <c r="M891" t="n">
        <v>0</v>
      </c>
      <c r="N891" t="n">
        <v>0</v>
      </c>
      <c r="O891" t="n">
        <v>0</v>
      </c>
      <c r="P891" t="n">
        <v>0</v>
      </c>
      <c r="Q891" t="n">
        <v>0</v>
      </c>
      <c r="R891" s="2" t="inlineStr"/>
    </row>
    <row r="892" ht="15" customHeight="1">
      <c r="A892" t="inlineStr">
        <is>
          <t>A 32101-2022</t>
        </is>
      </c>
      <c r="B892" s="1" t="n">
        <v>44778</v>
      </c>
      <c r="C892" s="1" t="n">
        <v>45578</v>
      </c>
      <c r="D892" t="inlineStr">
        <is>
          <t>STOCKHOLMS LÄN</t>
        </is>
      </c>
      <c r="E892" t="inlineStr">
        <is>
          <t>NORRTÄLJE</t>
        </is>
      </c>
      <c r="G892" t="n">
        <v>4.4</v>
      </c>
      <c r="H892" t="n">
        <v>0</v>
      </c>
      <c r="I892" t="n">
        <v>0</v>
      </c>
      <c r="J892" t="n">
        <v>0</v>
      </c>
      <c r="K892" t="n">
        <v>0</v>
      </c>
      <c r="L892" t="n">
        <v>0</v>
      </c>
      <c r="M892" t="n">
        <v>0</v>
      </c>
      <c r="N892" t="n">
        <v>0</v>
      </c>
      <c r="O892" t="n">
        <v>0</v>
      </c>
      <c r="P892" t="n">
        <v>0</v>
      </c>
      <c r="Q892" t="n">
        <v>0</v>
      </c>
      <c r="R892" s="2" t="inlineStr"/>
    </row>
    <row r="893" ht="15" customHeight="1">
      <c r="A893" t="inlineStr">
        <is>
          <t>A 32100-2022</t>
        </is>
      </c>
      <c r="B893" s="1" t="n">
        <v>44778</v>
      </c>
      <c r="C893" s="1" t="n">
        <v>45578</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32102-2022</t>
        </is>
      </c>
      <c r="B894" s="1" t="n">
        <v>44778</v>
      </c>
      <c r="C894" s="1" t="n">
        <v>45578</v>
      </c>
      <c r="D894" t="inlineStr">
        <is>
          <t>STOCKHOLMS LÄN</t>
        </is>
      </c>
      <c r="E894" t="inlineStr">
        <is>
          <t>NORRTÄLJE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32514-2022</t>
        </is>
      </c>
      <c r="B895" s="1" t="n">
        <v>44782</v>
      </c>
      <c r="C895" s="1" t="n">
        <v>45578</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32705-2022</t>
        </is>
      </c>
      <c r="B896" s="1" t="n">
        <v>44783</v>
      </c>
      <c r="C896" s="1" t="n">
        <v>45578</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33055-2022</t>
        </is>
      </c>
      <c r="B897" s="1" t="n">
        <v>44785</v>
      </c>
      <c r="C897" s="1" t="n">
        <v>45578</v>
      </c>
      <c r="D897" t="inlineStr">
        <is>
          <t>STOCKHOLMS LÄN</t>
        </is>
      </c>
      <c r="E897" t="inlineStr">
        <is>
          <t>NORRTÄLJE</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33149-2022</t>
        </is>
      </c>
      <c r="B898" s="1" t="n">
        <v>44785</v>
      </c>
      <c r="C898" s="1" t="n">
        <v>45578</v>
      </c>
      <c r="D898" t="inlineStr">
        <is>
          <t>STOCKHOLMS LÄN</t>
        </is>
      </c>
      <c r="E898" t="inlineStr">
        <is>
          <t>NORRTÄLJE</t>
        </is>
      </c>
      <c r="F898" t="inlineStr">
        <is>
          <t>Holmen skog AB</t>
        </is>
      </c>
      <c r="G898" t="n">
        <v>4.4</v>
      </c>
      <c r="H898" t="n">
        <v>0</v>
      </c>
      <c r="I898" t="n">
        <v>0</v>
      </c>
      <c r="J898" t="n">
        <v>0</v>
      </c>
      <c r="K898" t="n">
        <v>0</v>
      </c>
      <c r="L898" t="n">
        <v>0</v>
      </c>
      <c r="M898" t="n">
        <v>0</v>
      </c>
      <c r="N898" t="n">
        <v>0</v>
      </c>
      <c r="O898" t="n">
        <v>0</v>
      </c>
      <c r="P898" t="n">
        <v>0</v>
      </c>
      <c r="Q898" t="n">
        <v>0</v>
      </c>
      <c r="R898" s="2" t="inlineStr"/>
    </row>
    <row r="899" ht="15" customHeight="1">
      <c r="A899" t="inlineStr">
        <is>
          <t>A 33445-2022</t>
        </is>
      </c>
      <c r="B899" s="1" t="n">
        <v>44788</v>
      </c>
      <c r="C899" s="1" t="n">
        <v>45578</v>
      </c>
      <c r="D899" t="inlineStr">
        <is>
          <t>STOCKHOLMS LÄN</t>
        </is>
      </c>
      <c r="E899" t="inlineStr">
        <is>
          <t>NORRTÄLJE</t>
        </is>
      </c>
      <c r="G899" t="n">
        <v>2.9</v>
      </c>
      <c r="H899" t="n">
        <v>0</v>
      </c>
      <c r="I899" t="n">
        <v>0</v>
      </c>
      <c r="J899" t="n">
        <v>0</v>
      </c>
      <c r="K899" t="n">
        <v>0</v>
      </c>
      <c r="L899" t="n">
        <v>0</v>
      </c>
      <c r="M899" t="n">
        <v>0</v>
      </c>
      <c r="N899" t="n">
        <v>0</v>
      </c>
      <c r="O899" t="n">
        <v>0</v>
      </c>
      <c r="P899" t="n">
        <v>0</v>
      </c>
      <c r="Q899" t="n">
        <v>0</v>
      </c>
      <c r="R899" s="2" t="inlineStr"/>
    </row>
    <row r="900" ht="15" customHeight="1">
      <c r="A900" t="inlineStr">
        <is>
          <t>A 33793-2022</t>
        </is>
      </c>
      <c r="B900" s="1" t="n">
        <v>44790</v>
      </c>
      <c r="C900" s="1" t="n">
        <v>45578</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33895-2022</t>
        </is>
      </c>
      <c r="B901" s="1" t="n">
        <v>44790</v>
      </c>
      <c r="C901" s="1" t="n">
        <v>45578</v>
      </c>
      <c r="D901" t="inlineStr">
        <is>
          <t>STOCKHOLMS LÄN</t>
        </is>
      </c>
      <c r="E901" t="inlineStr">
        <is>
          <t>NORRTÄLJE</t>
        </is>
      </c>
      <c r="G901" t="n">
        <v>1.4</v>
      </c>
      <c r="H901" t="n">
        <v>0</v>
      </c>
      <c r="I901" t="n">
        <v>0</v>
      </c>
      <c r="J901" t="n">
        <v>0</v>
      </c>
      <c r="K901" t="n">
        <v>0</v>
      </c>
      <c r="L901" t="n">
        <v>0</v>
      </c>
      <c r="M901" t="n">
        <v>0</v>
      </c>
      <c r="N901" t="n">
        <v>0</v>
      </c>
      <c r="O901" t="n">
        <v>0</v>
      </c>
      <c r="P901" t="n">
        <v>0</v>
      </c>
      <c r="Q901" t="n">
        <v>0</v>
      </c>
      <c r="R901" s="2" t="inlineStr"/>
    </row>
    <row r="902" ht="15" customHeight="1">
      <c r="A902" t="inlineStr">
        <is>
          <t>A 34773-2022</t>
        </is>
      </c>
      <c r="B902" s="1" t="n">
        <v>44795</v>
      </c>
      <c r="C902" s="1" t="n">
        <v>45578</v>
      </c>
      <c r="D902" t="inlineStr">
        <is>
          <t>STOCKHOLMS LÄN</t>
        </is>
      </c>
      <c r="E902" t="inlineStr">
        <is>
          <t>NORRTÄLJE</t>
        </is>
      </c>
      <c r="G902" t="n">
        <v>3.9</v>
      </c>
      <c r="H902" t="n">
        <v>0</v>
      </c>
      <c r="I902" t="n">
        <v>0</v>
      </c>
      <c r="J902" t="n">
        <v>0</v>
      </c>
      <c r="K902" t="n">
        <v>0</v>
      </c>
      <c r="L902" t="n">
        <v>0</v>
      </c>
      <c r="M902" t="n">
        <v>0</v>
      </c>
      <c r="N902" t="n">
        <v>0</v>
      </c>
      <c r="O902" t="n">
        <v>0</v>
      </c>
      <c r="P902" t="n">
        <v>0</v>
      </c>
      <c r="Q902" t="n">
        <v>0</v>
      </c>
      <c r="R902" s="2" t="inlineStr"/>
    </row>
    <row r="903" ht="15" customHeight="1">
      <c r="A903" t="inlineStr">
        <is>
          <t>A 35121-2022</t>
        </is>
      </c>
      <c r="B903" s="1" t="n">
        <v>44797</v>
      </c>
      <c r="C903" s="1" t="n">
        <v>45578</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35161-2022</t>
        </is>
      </c>
      <c r="B904" s="1" t="n">
        <v>44797</v>
      </c>
      <c r="C904" s="1" t="n">
        <v>45578</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35156-2022</t>
        </is>
      </c>
      <c r="B905" s="1" t="n">
        <v>44797</v>
      </c>
      <c r="C905" s="1" t="n">
        <v>45578</v>
      </c>
      <c r="D905" t="inlineStr">
        <is>
          <t>STOCKHOLMS LÄN</t>
        </is>
      </c>
      <c r="E905" t="inlineStr">
        <is>
          <t>NORRTÄLJE</t>
        </is>
      </c>
      <c r="G905" t="n">
        <v>3.6</v>
      </c>
      <c r="H905" t="n">
        <v>0</v>
      </c>
      <c r="I905" t="n">
        <v>0</v>
      </c>
      <c r="J905" t="n">
        <v>0</v>
      </c>
      <c r="K905" t="n">
        <v>0</v>
      </c>
      <c r="L905" t="n">
        <v>0</v>
      </c>
      <c r="M905" t="n">
        <v>0</v>
      </c>
      <c r="N905" t="n">
        <v>0</v>
      </c>
      <c r="O905" t="n">
        <v>0</v>
      </c>
      <c r="P905" t="n">
        <v>0</v>
      </c>
      <c r="Q905" t="n">
        <v>0</v>
      </c>
      <c r="R905" s="2" t="inlineStr"/>
    </row>
    <row r="906" ht="15" customHeight="1">
      <c r="A906" t="inlineStr">
        <is>
          <t>A 35708-2022</t>
        </is>
      </c>
      <c r="B906" s="1" t="n">
        <v>44799</v>
      </c>
      <c r="C906" s="1" t="n">
        <v>45578</v>
      </c>
      <c r="D906" t="inlineStr">
        <is>
          <t>STOCKHOLMS LÄN</t>
        </is>
      </c>
      <c r="E906" t="inlineStr">
        <is>
          <t>NORRTÄLJE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36269-2022</t>
        </is>
      </c>
      <c r="B907" s="1" t="n">
        <v>44803</v>
      </c>
      <c r="C907" s="1" t="n">
        <v>45578</v>
      </c>
      <c r="D907" t="inlineStr">
        <is>
          <t>STOCKHOLMS LÄN</t>
        </is>
      </c>
      <c r="E907" t="inlineStr">
        <is>
          <t>NORRTÄLJE</t>
        </is>
      </c>
      <c r="G907" t="n">
        <v>2.3</v>
      </c>
      <c r="H907" t="n">
        <v>0</v>
      </c>
      <c r="I907" t="n">
        <v>0</v>
      </c>
      <c r="J907" t="n">
        <v>0</v>
      </c>
      <c r="K907" t="n">
        <v>0</v>
      </c>
      <c r="L907" t="n">
        <v>0</v>
      </c>
      <c r="M907" t="n">
        <v>0</v>
      </c>
      <c r="N907" t="n">
        <v>0</v>
      </c>
      <c r="O907" t="n">
        <v>0</v>
      </c>
      <c r="P907" t="n">
        <v>0</v>
      </c>
      <c r="Q907" t="n">
        <v>0</v>
      </c>
      <c r="R907" s="2" t="inlineStr"/>
    </row>
    <row r="908" ht="15" customHeight="1">
      <c r="A908" t="inlineStr">
        <is>
          <t>A 36308-2022</t>
        </is>
      </c>
      <c r="B908" s="1" t="n">
        <v>44803</v>
      </c>
      <c r="C908" s="1" t="n">
        <v>45578</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36975-2022</t>
        </is>
      </c>
      <c r="B909" s="1" t="n">
        <v>44806</v>
      </c>
      <c r="C909" s="1" t="n">
        <v>45578</v>
      </c>
      <c r="D909" t="inlineStr">
        <is>
          <t>STOCKHOLMS LÄN</t>
        </is>
      </c>
      <c r="E909" t="inlineStr">
        <is>
          <t>NORRTÄLJE</t>
        </is>
      </c>
      <c r="G909" t="n">
        <v>4.7</v>
      </c>
      <c r="H909" t="n">
        <v>0</v>
      </c>
      <c r="I909" t="n">
        <v>0</v>
      </c>
      <c r="J909" t="n">
        <v>0</v>
      </c>
      <c r="K909" t="n">
        <v>0</v>
      </c>
      <c r="L909" t="n">
        <v>0</v>
      </c>
      <c r="M909" t="n">
        <v>0</v>
      </c>
      <c r="N909" t="n">
        <v>0</v>
      </c>
      <c r="O909" t="n">
        <v>0</v>
      </c>
      <c r="P909" t="n">
        <v>0</v>
      </c>
      <c r="Q909" t="n">
        <v>0</v>
      </c>
      <c r="R909" s="2" t="inlineStr"/>
    </row>
    <row r="910" ht="15" customHeight="1">
      <c r="A910" t="inlineStr">
        <is>
          <t>A 37550-2022</t>
        </is>
      </c>
      <c r="B910" s="1" t="n">
        <v>44809</v>
      </c>
      <c r="C910" s="1" t="n">
        <v>45578</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37679-2022</t>
        </is>
      </c>
      <c r="B911" s="1" t="n">
        <v>44810</v>
      </c>
      <c r="C911" s="1" t="n">
        <v>45578</v>
      </c>
      <c r="D911" t="inlineStr">
        <is>
          <t>STOCKHOLMS LÄN</t>
        </is>
      </c>
      <c r="E911" t="inlineStr">
        <is>
          <t>NORRTÄLJE</t>
        </is>
      </c>
      <c r="G911" t="n">
        <v>3.1</v>
      </c>
      <c r="H911" t="n">
        <v>0</v>
      </c>
      <c r="I911" t="n">
        <v>0</v>
      </c>
      <c r="J911" t="n">
        <v>0</v>
      </c>
      <c r="K911" t="n">
        <v>0</v>
      </c>
      <c r="L911" t="n">
        <v>0</v>
      </c>
      <c r="M911" t="n">
        <v>0</v>
      </c>
      <c r="N911" t="n">
        <v>0</v>
      </c>
      <c r="O911" t="n">
        <v>0</v>
      </c>
      <c r="P911" t="n">
        <v>0</v>
      </c>
      <c r="Q911" t="n">
        <v>0</v>
      </c>
      <c r="R911" s="2" t="inlineStr"/>
    </row>
    <row r="912" ht="15" customHeight="1">
      <c r="A912" t="inlineStr">
        <is>
          <t>A 37815-2022</t>
        </is>
      </c>
      <c r="B912" s="1" t="n">
        <v>44810</v>
      </c>
      <c r="C912" s="1" t="n">
        <v>45578</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38449-2022</t>
        </is>
      </c>
      <c r="B913" s="1" t="n">
        <v>44813</v>
      </c>
      <c r="C913" s="1" t="n">
        <v>45578</v>
      </c>
      <c r="D913" t="inlineStr">
        <is>
          <t>STOCKHOLMS LÄN</t>
        </is>
      </c>
      <c r="E913" t="inlineStr">
        <is>
          <t>NORRTÄLJE</t>
        </is>
      </c>
      <c r="G913" t="n">
        <v>4.2</v>
      </c>
      <c r="H913" t="n">
        <v>0</v>
      </c>
      <c r="I913" t="n">
        <v>0</v>
      </c>
      <c r="J913" t="n">
        <v>0</v>
      </c>
      <c r="K913" t="n">
        <v>0</v>
      </c>
      <c r="L913" t="n">
        <v>0</v>
      </c>
      <c r="M913" t="n">
        <v>0</v>
      </c>
      <c r="N913" t="n">
        <v>0</v>
      </c>
      <c r="O913" t="n">
        <v>0</v>
      </c>
      <c r="P913" t="n">
        <v>0</v>
      </c>
      <c r="Q913" t="n">
        <v>0</v>
      </c>
      <c r="R913" s="2" t="inlineStr"/>
    </row>
    <row r="914" ht="15" customHeight="1">
      <c r="A914" t="inlineStr">
        <is>
          <t>A 38612-2022</t>
        </is>
      </c>
      <c r="B914" s="1" t="n">
        <v>44813</v>
      </c>
      <c r="C914" s="1" t="n">
        <v>45578</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38590-2022</t>
        </is>
      </c>
      <c r="B915" s="1" t="n">
        <v>44813</v>
      </c>
      <c r="C915" s="1" t="n">
        <v>45578</v>
      </c>
      <c r="D915" t="inlineStr">
        <is>
          <t>STOCKHOLMS LÄN</t>
        </is>
      </c>
      <c r="E915" t="inlineStr">
        <is>
          <t>NORRTÄLJE</t>
        </is>
      </c>
      <c r="G915" t="n">
        <v>5.9</v>
      </c>
      <c r="H915" t="n">
        <v>0</v>
      </c>
      <c r="I915" t="n">
        <v>0</v>
      </c>
      <c r="J915" t="n">
        <v>0</v>
      </c>
      <c r="K915" t="n">
        <v>0</v>
      </c>
      <c r="L915" t="n">
        <v>0</v>
      </c>
      <c r="M915" t="n">
        <v>0</v>
      </c>
      <c r="N915" t="n">
        <v>0</v>
      </c>
      <c r="O915" t="n">
        <v>0</v>
      </c>
      <c r="P915" t="n">
        <v>0</v>
      </c>
      <c r="Q915" t="n">
        <v>0</v>
      </c>
      <c r="R915" s="2" t="inlineStr"/>
    </row>
    <row r="916" ht="15" customHeight="1">
      <c r="A916" t="inlineStr">
        <is>
          <t>A 38610-2022</t>
        </is>
      </c>
      <c r="B916" s="1" t="n">
        <v>44813</v>
      </c>
      <c r="C916" s="1" t="n">
        <v>45578</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38720-2022</t>
        </is>
      </c>
      <c r="B917" s="1" t="n">
        <v>44815</v>
      </c>
      <c r="C917" s="1" t="n">
        <v>45578</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38721-2022</t>
        </is>
      </c>
      <c r="B918" s="1" t="n">
        <v>44815</v>
      </c>
      <c r="C918" s="1" t="n">
        <v>45578</v>
      </c>
      <c r="D918" t="inlineStr">
        <is>
          <t>STOCKHOLMS LÄN</t>
        </is>
      </c>
      <c r="E918" t="inlineStr">
        <is>
          <t>NORRTÄLJE</t>
        </is>
      </c>
      <c r="G918" t="n">
        <v>1.3</v>
      </c>
      <c r="H918" t="n">
        <v>0</v>
      </c>
      <c r="I918" t="n">
        <v>0</v>
      </c>
      <c r="J918" t="n">
        <v>0</v>
      </c>
      <c r="K918" t="n">
        <v>0</v>
      </c>
      <c r="L918" t="n">
        <v>0</v>
      </c>
      <c r="M918" t="n">
        <v>0</v>
      </c>
      <c r="N918" t="n">
        <v>0</v>
      </c>
      <c r="O918" t="n">
        <v>0</v>
      </c>
      <c r="P918" t="n">
        <v>0</v>
      </c>
      <c r="Q918" t="n">
        <v>0</v>
      </c>
      <c r="R918" s="2" t="inlineStr"/>
    </row>
    <row r="919" ht="15" customHeight="1">
      <c r="A919" t="inlineStr">
        <is>
          <t>A 38927-2022</t>
        </is>
      </c>
      <c r="B919" s="1" t="n">
        <v>44816</v>
      </c>
      <c r="C919" s="1" t="n">
        <v>45578</v>
      </c>
      <c r="D919" t="inlineStr">
        <is>
          <t>STOCKHOLMS LÄN</t>
        </is>
      </c>
      <c r="E919" t="inlineStr">
        <is>
          <t>NORRTÄLJE</t>
        </is>
      </c>
      <c r="G919" t="n">
        <v>2.6</v>
      </c>
      <c r="H919" t="n">
        <v>0</v>
      </c>
      <c r="I919" t="n">
        <v>0</v>
      </c>
      <c r="J919" t="n">
        <v>0</v>
      </c>
      <c r="K919" t="n">
        <v>0</v>
      </c>
      <c r="L919" t="n">
        <v>0</v>
      </c>
      <c r="M919" t="n">
        <v>0</v>
      </c>
      <c r="N919" t="n">
        <v>0</v>
      </c>
      <c r="O919" t="n">
        <v>0</v>
      </c>
      <c r="P919" t="n">
        <v>0</v>
      </c>
      <c r="Q919" t="n">
        <v>0</v>
      </c>
      <c r="R919" s="2" t="inlineStr"/>
    </row>
    <row r="920" ht="15" customHeight="1">
      <c r="A920" t="inlineStr">
        <is>
          <t>A 38759-2022</t>
        </is>
      </c>
      <c r="B920" s="1" t="n">
        <v>44816</v>
      </c>
      <c r="C920" s="1" t="n">
        <v>45578</v>
      </c>
      <c r="D920" t="inlineStr">
        <is>
          <t>STOCKHOLMS LÄN</t>
        </is>
      </c>
      <c r="E920" t="inlineStr">
        <is>
          <t>NORRTÄLJE</t>
        </is>
      </c>
      <c r="G920" t="n">
        <v>2.8</v>
      </c>
      <c r="H920" t="n">
        <v>0</v>
      </c>
      <c r="I920" t="n">
        <v>0</v>
      </c>
      <c r="J920" t="n">
        <v>0</v>
      </c>
      <c r="K920" t="n">
        <v>0</v>
      </c>
      <c r="L920" t="n">
        <v>0</v>
      </c>
      <c r="M920" t="n">
        <v>0</v>
      </c>
      <c r="N920" t="n">
        <v>0</v>
      </c>
      <c r="O920" t="n">
        <v>0</v>
      </c>
      <c r="P920" t="n">
        <v>0</v>
      </c>
      <c r="Q920" t="n">
        <v>0</v>
      </c>
      <c r="R920" s="2" t="inlineStr"/>
    </row>
    <row r="921" ht="15" customHeight="1">
      <c r="A921" t="inlineStr">
        <is>
          <t>A 38990-2022</t>
        </is>
      </c>
      <c r="B921" s="1" t="n">
        <v>44816</v>
      </c>
      <c r="C921" s="1" t="n">
        <v>45578</v>
      </c>
      <c r="D921" t="inlineStr">
        <is>
          <t>STOCKHOLMS LÄN</t>
        </is>
      </c>
      <c r="E921" t="inlineStr">
        <is>
          <t>NORRTÄLJE</t>
        </is>
      </c>
      <c r="G921" t="n">
        <v>5.7</v>
      </c>
      <c r="H921" t="n">
        <v>0</v>
      </c>
      <c r="I921" t="n">
        <v>0</v>
      </c>
      <c r="J921" t="n">
        <v>0</v>
      </c>
      <c r="K921" t="n">
        <v>0</v>
      </c>
      <c r="L921" t="n">
        <v>0</v>
      </c>
      <c r="M921" t="n">
        <v>0</v>
      </c>
      <c r="N921" t="n">
        <v>0</v>
      </c>
      <c r="O921" t="n">
        <v>0</v>
      </c>
      <c r="P921" t="n">
        <v>0</v>
      </c>
      <c r="Q921" t="n">
        <v>0</v>
      </c>
      <c r="R921" s="2" t="inlineStr"/>
    </row>
    <row r="922" ht="15" customHeight="1">
      <c r="A922" t="inlineStr">
        <is>
          <t>A 38991-2022</t>
        </is>
      </c>
      <c r="B922" s="1" t="n">
        <v>44816</v>
      </c>
      <c r="C922" s="1" t="n">
        <v>45578</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38985-2022</t>
        </is>
      </c>
      <c r="B923" s="1" t="n">
        <v>44816</v>
      </c>
      <c r="C923" s="1" t="n">
        <v>45578</v>
      </c>
      <c r="D923" t="inlineStr">
        <is>
          <t>STOCKHOLMS LÄN</t>
        </is>
      </c>
      <c r="E923" t="inlineStr">
        <is>
          <t>NORRTÄLJE</t>
        </is>
      </c>
      <c r="G923" t="n">
        <v>10.1</v>
      </c>
      <c r="H923" t="n">
        <v>0</v>
      </c>
      <c r="I923" t="n">
        <v>0</v>
      </c>
      <c r="J923" t="n">
        <v>0</v>
      </c>
      <c r="K923" t="n">
        <v>0</v>
      </c>
      <c r="L923" t="n">
        <v>0</v>
      </c>
      <c r="M923" t="n">
        <v>0</v>
      </c>
      <c r="N923" t="n">
        <v>0</v>
      </c>
      <c r="O923" t="n">
        <v>0</v>
      </c>
      <c r="P923" t="n">
        <v>0</v>
      </c>
      <c r="Q923" t="n">
        <v>0</v>
      </c>
      <c r="R923" s="2" t="inlineStr"/>
    </row>
    <row r="924" ht="15" customHeight="1">
      <c r="A924" t="inlineStr">
        <is>
          <t>A 38992-2022</t>
        </is>
      </c>
      <c r="B924" s="1" t="n">
        <v>44817</v>
      </c>
      <c r="C924" s="1" t="n">
        <v>45578</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39213-2022</t>
        </is>
      </c>
      <c r="B925" s="1" t="n">
        <v>44817</v>
      </c>
      <c r="C925" s="1" t="n">
        <v>45578</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39319-2022</t>
        </is>
      </c>
      <c r="B926" s="1" t="n">
        <v>44817</v>
      </c>
      <c r="C926" s="1" t="n">
        <v>45578</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39318-2022</t>
        </is>
      </c>
      <c r="B927" s="1" t="n">
        <v>44817</v>
      </c>
      <c r="C927" s="1" t="n">
        <v>45578</v>
      </c>
      <c r="D927" t="inlineStr">
        <is>
          <t>STOCKHOLMS LÄN</t>
        </is>
      </c>
      <c r="E927" t="inlineStr">
        <is>
          <t>NORRTÄLJE</t>
        </is>
      </c>
      <c r="G927" t="n">
        <v>2.4</v>
      </c>
      <c r="H927" t="n">
        <v>0</v>
      </c>
      <c r="I927" t="n">
        <v>0</v>
      </c>
      <c r="J927" t="n">
        <v>0</v>
      </c>
      <c r="K927" t="n">
        <v>0</v>
      </c>
      <c r="L927" t="n">
        <v>0</v>
      </c>
      <c r="M927" t="n">
        <v>0</v>
      </c>
      <c r="N927" t="n">
        <v>0</v>
      </c>
      <c r="O927" t="n">
        <v>0</v>
      </c>
      <c r="P927" t="n">
        <v>0</v>
      </c>
      <c r="Q927" t="n">
        <v>0</v>
      </c>
      <c r="R927" s="2" t="inlineStr"/>
    </row>
    <row r="928" ht="15" customHeight="1">
      <c r="A928" t="inlineStr">
        <is>
          <t>A 39854-2022</t>
        </is>
      </c>
      <c r="B928" s="1" t="n">
        <v>44819</v>
      </c>
      <c r="C928" s="1" t="n">
        <v>45578</v>
      </c>
      <c r="D928" t="inlineStr">
        <is>
          <t>STOCKHOLMS LÄN</t>
        </is>
      </c>
      <c r="E928" t="inlineStr">
        <is>
          <t>NORRTÄLJE</t>
        </is>
      </c>
      <c r="G928" t="n">
        <v>4.4</v>
      </c>
      <c r="H928" t="n">
        <v>0</v>
      </c>
      <c r="I928" t="n">
        <v>0</v>
      </c>
      <c r="J928" t="n">
        <v>0</v>
      </c>
      <c r="K928" t="n">
        <v>0</v>
      </c>
      <c r="L928" t="n">
        <v>0</v>
      </c>
      <c r="M928" t="n">
        <v>0</v>
      </c>
      <c r="N928" t="n">
        <v>0</v>
      </c>
      <c r="O928" t="n">
        <v>0</v>
      </c>
      <c r="P928" t="n">
        <v>0</v>
      </c>
      <c r="Q928" t="n">
        <v>0</v>
      </c>
      <c r="R928" s="2" t="inlineStr"/>
    </row>
    <row r="929" ht="15" customHeight="1">
      <c r="A929" t="inlineStr">
        <is>
          <t>A 39869-2022</t>
        </is>
      </c>
      <c r="B929" s="1" t="n">
        <v>44819</v>
      </c>
      <c r="C929" s="1" t="n">
        <v>45578</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39867-2022</t>
        </is>
      </c>
      <c r="B930" s="1" t="n">
        <v>44819</v>
      </c>
      <c r="C930" s="1" t="n">
        <v>45578</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40504-2022</t>
        </is>
      </c>
      <c r="B931" s="1" t="n">
        <v>44823</v>
      </c>
      <c r="C931" s="1" t="n">
        <v>45578</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40503-2022</t>
        </is>
      </c>
      <c r="B932" s="1" t="n">
        <v>44823</v>
      </c>
      <c r="C932" s="1" t="n">
        <v>45578</v>
      </c>
      <c r="D932" t="inlineStr">
        <is>
          <t>STOCKHOLMS LÄN</t>
        </is>
      </c>
      <c r="E932" t="inlineStr">
        <is>
          <t>NORRTÄLJE</t>
        </is>
      </c>
      <c r="G932" t="n">
        <v>5.1</v>
      </c>
      <c r="H932" t="n">
        <v>0</v>
      </c>
      <c r="I932" t="n">
        <v>0</v>
      </c>
      <c r="J932" t="n">
        <v>0</v>
      </c>
      <c r="K932" t="n">
        <v>0</v>
      </c>
      <c r="L932" t="n">
        <v>0</v>
      </c>
      <c r="M932" t="n">
        <v>0</v>
      </c>
      <c r="N932" t="n">
        <v>0</v>
      </c>
      <c r="O932" t="n">
        <v>0</v>
      </c>
      <c r="P932" t="n">
        <v>0</v>
      </c>
      <c r="Q932" t="n">
        <v>0</v>
      </c>
      <c r="R932" s="2" t="inlineStr"/>
    </row>
    <row r="933" ht="15" customHeight="1">
      <c r="A933" t="inlineStr">
        <is>
          <t>A 40656-2022</t>
        </is>
      </c>
      <c r="B933" s="1" t="n">
        <v>44824</v>
      </c>
      <c r="C933" s="1" t="n">
        <v>45578</v>
      </c>
      <c r="D933" t="inlineStr">
        <is>
          <t>STOCKHOLMS LÄN</t>
        </is>
      </c>
      <c r="E933" t="inlineStr">
        <is>
          <t>NORRTÄLJE</t>
        </is>
      </c>
      <c r="G933" t="n">
        <v>2.7</v>
      </c>
      <c r="H933" t="n">
        <v>0</v>
      </c>
      <c r="I933" t="n">
        <v>0</v>
      </c>
      <c r="J933" t="n">
        <v>0</v>
      </c>
      <c r="K933" t="n">
        <v>0</v>
      </c>
      <c r="L933" t="n">
        <v>0</v>
      </c>
      <c r="M933" t="n">
        <v>0</v>
      </c>
      <c r="N933" t="n">
        <v>0</v>
      </c>
      <c r="O933" t="n">
        <v>0</v>
      </c>
      <c r="P933" t="n">
        <v>0</v>
      </c>
      <c r="Q933" t="n">
        <v>0</v>
      </c>
      <c r="R933" s="2" t="inlineStr"/>
    </row>
    <row r="934" ht="15" customHeight="1">
      <c r="A934" t="inlineStr">
        <is>
          <t>A 40751-2022</t>
        </is>
      </c>
      <c r="B934" s="1" t="n">
        <v>44824</v>
      </c>
      <c r="C934" s="1" t="n">
        <v>45578</v>
      </c>
      <c r="D934" t="inlineStr">
        <is>
          <t>STOCKHOLMS LÄN</t>
        </is>
      </c>
      <c r="E934" t="inlineStr">
        <is>
          <t>NORRTÄLJE</t>
        </is>
      </c>
      <c r="G934" t="n">
        <v>6.1</v>
      </c>
      <c r="H934" t="n">
        <v>0</v>
      </c>
      <c r="I934" t="n">
        <v>0</v>
      </c>
      <c r="J934" t="n">
        <v>0</v>
      </c>
      <c r="K934" t="n">
        <v>0</v>
      </c>
      <c r="L934" t="n">
        <v>0</v>
      </c>
      <c r="M934" t="n">
        <v>0</v>
      </c>
      <c r="N934" t="n">
        <v>0</v>
      </c>
      <c r="O934" t="n">
        <v>0</v>
      </c>
      <c r="P934" t="n">
        <v>0</v>
      </c>
      <c r="Q934" t="n">
        <v>0</v>
      </c>
      <c r="R934" s="2" t="inlineStr"/>
    </row>
    <row r="935" ht="15" customHeight="1">
      <c r="A935" t="inlineStr">
        <is>
          <t>A 41398-2022</t>
        </is>
      </c>
      <c r="B935" s="1" t="n">
        <v>44826</v>
      </c>
      <c r="C935" s="1" t="n">
        <v>45578</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41320-2022</t>
        </is>
      </c>
      <c r="B936" s="1" t="n">
        <v>44826</v>
      </c>
      <c r="C936" s="1" t="n">
        <v>45578</v>
      </c>
      <c r="D936" t="inlineStr">
        <is>
          <t>STOCKHOLMS LÄN</t>
        </is>
      </c>
      <c r="E936" t="inlineStr">
        <is>
          <t>NORRTÄLJE</t>
        </is>
      </c>
      <c r="F936" t="inlineStr">
        <is>
          <t>Holmen skog AB</t>
        </is>
      </c>
      <c r="G936" t="n">
        <v>1.6</v>
      </c>
      <c r="H936" t="n">
        <v>0</v>
      </c>
      <c r="I936" t="n">
        <v>0</v>
      </c>
      <c r="J936" t="n">
        <v>0</v>
      </c>
      <c r="K936" t="n">
        <v>0</v>
      </c>
      <c r="L936" t="n">
        <v>0</v>
      </c>
      <c r="M936" t="n">
        <v>0</v>
      </c>
      <c r="N936" t="n">
        <v>0</v>
      </c>
      <c r="O936" t="n">
        <v>0</v>
      </c>
      <c r="P936" t="n">
        <v>0</v>
      </c>
      <c r="Q936" t="n">
        <v>0</v>
      </c>
      <c r="R936" s="2" t="inlineStr"/>
    </row>
    <row r="937" ht="15" customHeight="1">
      <c r="A937" t="inlineStr">
        <is>
          <t>A 42087-2022</t>
        </is>
      </c>
      <c r="B937" s="1" t="n">
        <v>44830</v>
      </c>
      <c r="C937" s="1" t="n">
        <v>45578</v>
      </c>
      <c r="D937" t="inlineStr">
        <is>
          <t>STOCKHOLMS LÄN</t>
        </is>
      </c>
      <c r="E937" t="inlineStr">
        <is>
          <t>NORRTÄLJE</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42112-2022</t>
        </is>
      </c>
      <c r="B938" s="1" t="n">
        <v>44830</v>
      </c>
      <c r="C938" s="1" t="n">
        <v>45578</v>
      </c>
      <c r="D938" t="inlineStr">
        <is>
          <t>STOCKHOLMS LÄN</t>
        </is>
      </c>
      <c r="E938" t="inlineStr">
        <is>
          <t>NORRTÄLJE</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42126-2022</t>
        </is>
      </c>
      <c r="B939" s="1" t="n">
        <v>44830</v>
      </c>
      <c r="C939" s="1" t="n">
        <v>45578</v>
      </c>
      <c r="D939" t="inlineStr">
        <is>
          <t>STOCKHOLMS LÄN</t>
        </is>
      </c>
      <c r="E939" t="inlineStr">
        <is>
          <t>NORRTÄLJE</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42867-2022</t>
        </is>
      </c>
      <c r="B940" s="1" t="n">
        <v>44832</v>
      </c>
      <c r="C940" s="1" t="n">
        <v>45578</v>
      </c>
      <c r="D940" t="inlineStr">
        <is>
          <t>STOCKHOLMS LÄN</t>
        </is>
      </c>
      <c r="E940" t="inlineStr">
        <is>
          <t>NORRTÄLJE</t>
        </is>
      </c>
      <c r="G940" t="n">
        <v>6.4</v>
      </c>
      <c r="H940" t="n">
        <v>0</v>
      </c>
      <c r="I940" t="n">
        <v>0</v>
      </c>
      <c r="J940" t="n">
        <v>0</v>
      </c>
      <c r="K940" t="n">
        <v>0</v>
      </c>
      <c r="L940" t="n">
        <v>0</v>
      </c>
      <c r="M940" t="n">
        <v>0</v>
      </c>
      <c r="N940" t="n">
        <v>0</v>
      </c>
      <c r="O940" t="n">
        <v>0</v>
      </c>
      <c r="P940" t="n">
        <v>0</v>
      </c>
      <c r="Q940" t="n">
        <v>0</v>
      </c>
      <c r="R940" s="2" t="inlineStr"/>
    </row>
    <row r="941" ht="15" customHeight="1">
      <c r="A941" t="inlineStr">
        <is>
          <t>A 42955-2022</t>
        </is>
      </c>
      <c r="B941" s="1" t="n">
        <v>44833</v>
      </c>
      <c r="C941" s="1" t="n">
        <v>45578</v>
      </c>
      <c r="D941" t="inlineStr">
        <is>
          <t>STOCKHOLMS LÄN</t>
        </is>
      </c>
      <c r="E941" t="inlineStr">
        <is>
          <t>NORRTÄLJE</t>
        </is>
      </c>
      <c r="G941" t="n">
        <v>13.1</v>
      </c>
      <c r="H941" t="n">
        <v>0</v>
      </c>
      <c r="I941" t="n">
        <v>0</v>
      </c>
      <c r="J941" t="n">
        <v>0</v>
      </c>
      <c r="K941" t="n">
        <v>0</v>
      </c>
      <c r="L941" t="n">
        <v>0</v>
      </c>
      <c r="M941" t="n">
        <v>0</v>
      </c>
      <c r="N941" t="n">
        <v>0</v>
      </c>
      <c r="O941" t="n">
        <v>0</v>
      </c>
      <c r="P941" t="n">
        <v>0</v>
      </c>
      <c r="Q941" t="n">
        <v>0</v>
      </c>
      <c r="R941" s="2" t="inlineStr"/>
    </row>
    <row r="942" ht="15" customHeight="1">
      <c r="A942" t="inlineStr">
        <is>
          <t>A 43036-2022</t>
        </is>
      </c>
      <c r="B942" s="1" t="n">
        <v>44833</v>
      </c>
      <c r="C942" s="1" t="n">
        <v>45578</v>
      </c>
      <c r="D942" t="inlineStr">
        <is>
          <t>STOCKHOLMS LÄN</t>
        </is>
      </c>
      <c r="E942" t="inlineStr">
        <is>
          <t>NORRTÄLJE</t>
        </is>
      </c>
      <c r="F942" t="inlineStr">
        <is>
          <t>Kyrkan</t>
        </is>
      </c>
      <c r="G942" t="n">
        <v>1.7</v>
      </c>
      <c r="H942" t="n">
        <v>0</v>
      </c>
      <c r="I942" t="n">
        <v>0</v>
      </c>
      <c r="J942" t="n">
        <v>0</v>
      </c>
      <c r="K942" t="n">
        <v>0</v>
      </c>
      <c r="L942" t="n">
        <v>0</v>
      </c>
      <c r="M942" t="n">
        <v>0</v>
      </c>
      <c r="N942" t="n">
        <v>0</v>
      </c>
      <c r="O942" t="n">
        <v>0</v>
      </c>
      <c r="P942" t="n">
        <v>0</v>
      </c>
      <c r="Q942" t="n">
        <v>0</v>
      </c>
      <c r="R942" s="2" t="inlineStr"/>
    </row>
    <row r="943" ht="15" customHeight="1">
      <c r="A943" t="inlineStr">
        <is>
          <t>A 43212-2022</t>
        </is>
      </c>
      <c r="B943" s="1" t="n">
        <v>44834</v>
      </c>
      <c r="C943" s="1" t="n">
        <v>45578</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43374-2022</t>
        </is>
      </c>
      <c r="B944" s="1" t="n">
        <v>44834</v>
      </c>
      <c r="C944" s="1" t="n">
        <v>45578</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43972-2022</t>
        </is>
      </c>
      <c r="B945" s="1" t="n">
        <v>44838</v>
      </c>
      <c r="C945" s="1" t="n">
        <v>45578</v>
      </c>
      <c r="D945" t="inlineStr">
        <is>
          <t>STOCKHOLMS LÄN</t>
        </is>
      </c>
      <c r="E945" t="inlineStr">
        <is>
          <t>NORRTÄLJE</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44349-2022</t>
        </is>
      </c>
      <c r="B946" s="1" t="n">
        <v>44839</v>
      </c>
      <c r="C946" s="1" t="n">
        <v>45578</v>
      </c>
      <c r="D946" t="inlineStr">
        <is>
          <t>STOCKHOLMS LÄN</t>
        </is>
      </c>
      <c r="E946" t="inlineStr">
        <is>
          <t>NORRTÄLJE</t>
        </is>
      </c>
      <c r="G946" t="n">
        <v>0.8</v>
      </c>
      <c r="H946" t="n">
        <v>0</v>
      </c>
      <c r="I946" t="n">
        <v>0</v>
      </c>
      <c r="J946" t="n">
        <v>0</v>
      </c>
      <c r="K946" t="n">
        <v>0</v>
      </c>
      <c r="L946" t="n">
        <v>0</v>
      </c>
      <c r="M946" t="n">
        <v>0</v>
      </c>
      <c r="N946" t="n">
        <v>0</v>
      </c>
      <c r="O946" t="n">
        <v>0</v>
      </c>
      <c r="P946" t="n">
        <v>0</v>
      </c>
      <c r="Q946" t="n">
        <v>0</v>
      </c>
      <c r="R946" s="2" t="inlineStr"/>
    </row>
    <row r="947" ht="15" customHeight="1">
      <c r="A947" t="inlineStr">
        <is>
          <t>A 45255-2022</t>
        </is>
      </c>
      <c r="B947" s="1" t="n">
        <v>44840</v>
      </c>
      <c r="C947" s="1" t="n">
        <v>45578</v>
      </c>
      <c r="D947" t="inlineStr">
        <is>
          <t>STOCKHOLMS LÄN</t>
        </is>
      </c>
      <c r="E947" t="inlineStr">
        <is>
          <t>NORRTÄLJE</t>
        </is>
      </c>
      <c r="G947" t="n">
        <v>4.1</v>
      </c>
      <c r="H947" t="n">
        <v>0</v>
      </c>
      <c r="I947" t="n">
        <v>0</v>
      </c>
      <c r="J947" t="n">
        <v>0</v>
      </c>
      <c r="K947" t="n">
        <v>0</v>
      </c>
      <c r="L947" t="n">
        <v>0</v>
      </c>
      <c r="M947" t="n">
        <v>0</v>
      </c>
      <c r="N947" t="n">
        <v>0</v>
      </c>
      <c r="O947" t="n">
        <v>0</v>
      </c>
      <c r="P947" t="n">
        <v>0</v>
      </c>
      <c r="Q947" t="n">
        <v>0</v>
      </c>
      <c r="R947" s="2" t="inlineStr"/>
    </row>
    <row r="948" ht="15" customHeight="1">
      <c r="A948" t="inlineStr">
        <is>
          <t>A 44917-2022</t>
        </is>
      </c>
      <c r="B948" s="1" t="n">
        <v>44841</v>
      </c>
      <c r="C948" s="1" t="n">
        <v>45578</v>
      </c>
      <c r="D948" t="inlineStr">
        <is>
          <t>STOCKHOLMS LÄN</t>
        </is>
      </c>
      <c r="E948" t="inlineStr">
        <is>
          <t>NORRTÄLJE</t>
        </is>
      </c>
      <c r="F948" t="inlineStr">
        <is>
          <t>Holmen skog AB</t>
        </is>
      </c>
      <c r="G948" t="n">
        <v>3.3</v>
      </c>
      <c r="H948" t="n">
        <v>0</v>
      </c>
      <c r="I948" t="n">
        <v>0</v>
      </c>
      <c r="J948" t="n">
        <v>0</v>
      </c>
      <c r="K948" t="n">
        <v>0</v>
      </c>
      <c r="L948" t="n">
        <v>0</v>
      </c>
      <c r="M948" t="n">
        <v>0</v>
      </c>
      <c r="N948" t="n">
        <v>0</v>
      </c>
      <c r="O948" t="n">
        <v>0</v>
      </c>
      <c r="P948" t="n">
        <v>0</v>
      </c>
      <c r="Q948" t="n">
        <v>0</v>
      </c>
      <c r="R948" s="2" t="inlineStr"/>
    </row>
    <row r="949" ht="15" customHeight="1">
      <c r="A949" t="inlineStr">
        <is>
          <t>A 45541-2022</t>
        </is>
      </c>
      <c r="B949" s="1" t="n">
        <v>44845</v>
      </c>
      <c r="C949" s="1" t="n">
        <v>45578</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45539-2022</t>
        </is>
      </c>
      <c r="B950" s="1" t="n">
        <v>44845</v>
      </c>
      <c r="C950" s="1" t="n">
        <v>45578</v>
      </c>
      <c r="D950" t="inlineStr">
        <is>
          <t>STOCKHOLMS LÄN</t>
        </is>
      </c>
      <c r="E950" t="inlineStr">
        <is>
          <t>NORRTÄLJE</t>
        </is>
      </c>
      <c r="G950" t="n">
        <v>0.3</v>
      </c>
      <c r="H950" t="n">
        <v>0</v>
      </c>
      <c r="I950" t="n">
        <v>0</v>
      </c>
      <c r="J950" t="n">
        <v>0</v>
      </c>
      <c r="K950" t="n">
        <v>0</v>
      </c>
      <c r="L950" t="n">
        <v>0</v>
      </c>
      <c r="M950" t="n">
        <v>0</v>
      </c>
      <c r="N950" t="n">
        <v>0</v>
      </c>
      <c r="O950" t="n">
        <v>0</v>
      </c>
      <c r="P950" t="n">
        <v>0</v>
      </c>
      <c r="Q950" t="n">
        <v>0</v>
      </c>
      <c r="R950" s="2" t="inlineStr"/>
    </row>
    <row r="951" ht="15" customHeight="1">
      <c r="A951" t="inlineStr">
        <is>
          <t>A 45549-2022</t>
        </is>
      </c>
      <c r="B951" s="1" t="n">
        <v>44845</v>
      </c>
      <c r="C951" s="1" t="n">
        <v>45578</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46914-2022</t>
        </is>
      </c>
      <c r="B952" s="1" t="n">
        <v>44851</v>
      </c>
      <c r="C952" s="1" t="n">
        <v>45578</v>
      </c>
      <c r="D952" t="inlineStr">
        <is>
          <t>STOCKHOLMS LÄN</t>
        </is>
      </c>
      <c r="E952" t="inlineStr">
        <is>
          <t>NORRTÄLJE</t>
        </is>
      </c>
      <c r="G952" t="n">
        <v>2.4</v>
      </c>
      <c r="H952" t="n">
        <v>0</v>
      </c>
      <c r="I952" t="n">
        <v>0</v>
      </c>
      <c r="J952" t="n">
        <v>0</v>
      </c>
      <c r="K952" t="n">
        <v>0</v>
      </c>
      <c r="L952" t="n">
        <v>0</v>
      </c>
      <c r="M952" t="n">
        <v>0</v>
      </c>
      <c r="N952" t="n">
        <v>0</v>
      </c>
      <c r="O952" t="n">
        <v>0</v>
      </c>
      <c r="P952" t="n">
        <v>0</v>
      </c>
      <c r="Q952" t="n">
        <v>0</v>
      </c>
      <c r="R952" s="2" t="inlineStr"/>
    </row>
    <row r="953" ht="15" customHeight="1">
      <c r="A953" t="inlineStr">
        <is>
          <t>A 47076-2022</t>
        </is>
      </c>
      <c r="B953" s="1" t="n">
        <v>44852</v>
      </c>
      <c r="C953" s="1" t="n">
        <v>45578</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47079-2022</t>
        </is>
      </c>
      <c r="B954" s="1" t="n">
        <v>44852</v>
      </c>
      <c r="C954" s="1" t="n">
        <v>45578</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47626-2022</t>
        </is>
      </c>
      <c r="B955" s="1" t="n">
        <v>44854</v>
      </c>
      <c r="C955" s="1" t="n">
        <v>45578</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48316-2022</t>
        </is>
      </c>
      <c r="B956" s="1" t="n">
        <v>44854</v>
      </c>
      <c r="C956" s="1" t="n">
        <v>45578</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47929-2022</t>
        </is>
      </c>
      <c r="B957" s="1" t="n">
        <v>44855</v>
      </c>
      <c r="C957" s="1" t="n">
        <v>45578</v>
      </c>
      <c r="D957" t="inlineStr">
        <is>
          <t>STOCKHOLMS LÄN</t>
        </is>
      </c>
      <c r="E957" t="inlineStr">
        <is>
          <t>NORRTÄLJE</t>
        </is>
      </c>
      <c r="G957" t="n">
        <v>3.5</v>
      </c>
      <c r="H957" t="n">
        <v>0</v>
      </c>
      <c r="I957" t="n">
        <v>0</v>
      </c>
      <c r="J957" t="n">
        <v>0</v>
      </c>
      <c r="K957" t="n">
        <v>0</v>
      </c>
      <c r="L957" t="n">
        <v>0</v>
      </c>
      <c r="M957" t="n">
        <v>0</v>
      </c>
      <c r="N957" t="n">
        <v>0</v>
      </c>
      <c r="O957" t="n">
        <v>0</v>
      </c>
      <c r="P957" t="n">
        <v>0</v>
      </c>
      <c r="Q957" t="n">
        <v>0</v>
      </c>
      <c r="R957" s="2" t="inlineStr"/>
    </row>
    <row r="958" ht="15" customHeight="1">
      <c r="A958" t="inlineStr">
        <is>
          <t>A 48490-2022</t>
        </is>
      </c>
      <c r="B958" s="1" t="n">
        <v>44858</v>
      </c>
      <c r="C958" s="1" t="n">
        <v>45578</v>
      </c>
      <c r="D958" t="inlineStr">
        <is>
          <t>STOCKHOLMS LÄN</t>
        </is>
      </c>
      <c r="E958" t="inlineStr">
        <is>
          <t>NORRTÄLJE</t>
        </is>
      </c>
      <c r="G958" t="n">
        <v>15.8</v>
      </c>
      <c r="H958" t="n">
        <v>0</v>
      </c>
      <c r="I958" t="n">
        <v>0</v>
      </c>
      <c r="J958" t="n">
        <v>0</v>
      </c>
      <c r="K958" t="n">
        <v>0</v>
      </c>
      <c r="L958" t="n">
        <v>0</v>
      </c>
      <c r="M958" t="n">
        <v>0</v>
      </c>
      <c r="N958" t="n">
        <v>0</v>
      </c>
      <c r="O958" t="n">
        <v>0</v>
      </c>
      <c r="P958" t="n">
        <v>0</v>
      </c>
      <c r="Q958" t="n">
        <v>0</v>
      </c>
      <c r="R958" s="2" t="inlineStr"/>
    </row>
    <row r="959" ht="15" customHeight="1">
      <c r="A959" t="inlineStr">
        <is>
          <t>A 48161-2022</t>
        </is>
      </c>
      <c r="B959" s="1" t="n">
        <v>44858</v>
      </c>
      <c r="C959" s="1" t="n">
        <v>45578</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48453-2022</t>
        </is>
      </c>
      <c r="B960" s="1" t="n">
        <v>44858</v>
      </c>
      <c r="C960" s="1" t="n">
        <v>45578</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48492-2022</t>
        </is>
      </c>
      <c r="B961" s="1" t="n">
        <v>44858</v>
      </c>
      <c r="C961" s="1" t="n">
        <v>45578</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50065-2022</t>
        </is>
      </c>
      <c r="B962" s="1" t="n">
        <v>44865</v>
      </c>
      <c r="C962" s="1" t="n">
        <v>45578</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50469-2022</t>
        </is>
      </c>
      <c r="B963" s="1" t="n">
        <v>44866</v>
      </c>
      <c r="C963" s="1" t="n">
        <v>45578</v>
      </c>
      <c r="D963" t="inlineStr">
        <is>
          <t>STOCKHOLMS LÄN</t>
        </is>
      </c>
      <c r="E963" t="inlineStr">
        <is>
          <t>NORRTÄLJE</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50481-2022</t>
        </is>
      </c>
      <c r="B964" s="1" t="n">
        <v>44866</v>
      </c>
      <c r="C964" s="1" t="n">
        <v>45578</v>
      </c>
      <c r="D964" t="inlineStr">
        <is>
          <t>STOCKHOLMS LÄN</t>
        </is>
      </c>
      <c r="E964" t="inlineStr">
        <is>
          <t>NORRTÄLJE</t>
        </is>
      </c>
      <c r="G964" t="n">
        <v>3</v>
      </c>
      <c r="H964" t="n">
        <v>0</v>
      </c>
      <c r="I964" t="n">
        <v>0</v>
      </c>
      <c r="J964" t="n">
        <v>0</v>
      </c>
      <c r="K964" t="n">
        <v>0</v>
      </c>
      <c r="L964" t="n">
        <v>0</v>
      </c>
      <c r="M964" t="n">
        <v>0</v>
      </c>
      <c r="N964" t="n">
        <v>0</v>
      </c>
      <c r="O964" t="n">
        <v>0</v>
      </c>
      <c r="P964" t="n">
        <v>0</v>
      </c>
      <c r="Q964" t="n">
        <v>0</v>
      </c>
      <c r="R964" s="2" t="inlineStr"/>
    </row>
    <row r="965" ht="15" customHeight="1">
      <c r="A965" t="inlineStr">
        <is>
          <t>A 50465-2022</t>
        </is>
      </c>
      <c r="B965" s="1" t="n">
        <v>44866</v>
      </c>
      <c r="C965" s="1" t="n">
        <v>45578</v>
      </c>
      <c r="D965" t="inlineStr">
        <is>
          <t>STOCKHOLMS LÄN</t>
        </is>
      </c>
      <c r="E965" t="inlineStr">
        <is>
          <t>NORRTÄLJE</t>
        </is>
      </c>
      <c r="G965" t="n">
        <v>1.6</v>
      </c>
      <c r="H965" t="n">
        <v>0</v>
      </c>
      <c r="I965" t="n">
        <v>0</v>
      </c>
      <c r="J965" t="n">
        <v>0</v>
      </c>
      <c r="K965" t="n">
        <v>0</v>
      </c>
      <c r="L965" t="n">
        <v>0</v>
      </c>
      <c r="M965" t="n">
        <v>0</v>
      </c>
      <c r="N965" t="n">
        <v>0</v>
      </c>
      <c r="O965" t="n">
        <v>0</v>
      </c>
      <c r="P965" t="n">
        <v>0</v>
      </c>
      <c r="Q965" t="n">
        <v>0</v>
      </c>
      <c r="R965" s="2" t="inlineStr"/>
    </row>
    <row r="966" ht="15" customHeight="1">
      <c r="A966" t="inlineStr">
        <is>
          <t>A 50488-2022</t>
        </is>
      </c>
      <c r="B966" s="1" t="n">
        <v>44866</v>
      </c>
      <c r="C966" s="1" t="n">
        <v>45578</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50563-2022</t>
        </is>
      </c>
      <c r="B967" s="1" t="n">
        <v>44866</v>
      </c>
      <c r="C967" s="1" t="n">
        <v>45578</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50569-2022</t>
        </is>
      </c>
      <c r="B968" s="1" t="n">
        <v>44866</v>
      </c>
      <c r="C968" s="1" t="n">
        <v>45578</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50484-2022</t>
        </is>
      </c>
      <c r="B969" s="1" t="n">
        <v>44866</v>
      </c>
      <c r="C969" s="1" t="n">
        <v>45578</v>
      </c>
      <c r="D969" t="inlineStr">
        <is>
          <t>STOCKHOLMS LÄN</t>
        </is>
      </c>
      <c r="E969" t="inlineStr">
        <is>
          <t>NORRTÄLJE</t>
        </is>
      </c>
      <c r="G969" t="n">
        <v>6.7</v>
      </c>
      <c r="H969" t="n">
        <v>0</v>
      </c>
      <c r="I969" t="n">
        <v>0</v>
      </c>
      <c r="J969" t="n">
        <v>0</v>
      </c>
      <c r="K969" t="n">
        <v>0</v>
      </c>
      <c r="L969" t="n">
        <v>0</v>
      </c>
      <c r="M969" t="n">
        <v>0</v>
      </c>
      <c r="N969" t="n">
        <v>0</v>
      </c>
      <c r="O969" t="n">
        <v>0</v>
      </c>
      <c r="P969" t="n">
        <v>0</v>
      </c>
      <c r="Q969" t="n">
        <v>0</v>
      </c>
      <c r="R969" s="2" t="inlineStr"/>
    </row>
    <row r="970" ht="15" customHeight="1">
      <c r="A970" t="inlineStr">
        <is>
          <t>A 50970-2022</t>
        </is>
      </c>
      <c r="B970" s="1" t="n">
        <v>44867</v>
      </c>
      <c r="C970" s="1" t="n">
        <v>45578</v>
      </c>
      <c r="D970" t="inlineStr">
        <is>
          <t>STOCKHOLMS LÄN</t>
        </is>
      </c>
      <c r="E970" t="inlineStr">
        <is>
          <t>NORRTÄLJE</t>
        </is>
      </c>
      <c r="G970" t="n">
        <v>9</v>
      </c>
      <c r="H970" t="n">
        <v>0</v>
      </c>
      <c r="I970" t="n">
        <v>0</v>
      </c>
      <c r="J970" t="n">
        <v>0</v>
      </c>
      <c r="K970" t="n">
        <v>0</v>
      </c>
      <c r="L970" t="n">
        <v>0</v>
      </c>
      <c r="M970" t="n">
        <v>0</v>
      </c>
      <c r="N970" t="n">
        <v>0</v>
      </c>
      <c r="O970" t="n">
        <v>0</v>
      </c>
      <c r="P970" t="n">
        <v>0</v>
      </c>
      <c r="Q970" t="n">
        <v>0</v>
      </c>
      <c r="R970" s="2" t="inlineStr"/>
    </row>
    <row r="971" ht="15" customHeight="1">
      <c r="A971" t="inlineStr">
        <is>
          <t>A 50983-2022</t>
        </is>
      </c>
      <c r="B971" s="1" t="n">
        <v>44867</v>
      </c>
      <c r="C971" s="1" t="n">
        <v>45578</v>
      </c>
      <c r="D971" t="inlineStr">
        <is>
          <t>STOCKHOLMS LÄN</t>
        </is>
      </c>
      <c r="E971" t="inlineStr">
        <is>
          <t>NORRTÄLJE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50907-2022</t>
        </is>
      </c>
      <c r="B972" s="1" t="n">
        <v>44867</v>
      </c>
      <c r="C972" s="1" t="n">
        <v>45578</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51653-2022</t>
        </is>
      </c>
      <c r="B973" s="1" t="n">
        <v>44867</v>
      </c>
      <c r="C973" s="1" t="n">
        <v>45578</v>
      </c>
      <c r="D973" t="inlineStr">
        <is>
          <t>STOCKHOLMS LÄN</t>
        </is>
      </c>
      <c r="E973" t="inlineStr">
        <is>
          <t>NORRTÄLJE</t>
        </is>
      </c>
      <c r="G973" t="n">
        <v>6.6</v>
      </c>
      <c r="H973" t="n">
        <v>0</v>
      </c>
      <c r="I973" t="n">
        <v>0</v>
      </c>
      <c r="J973" t="n">
        <v>0</v>
      </c>
      <c r="K973" t="n">
        <v>0</v>
      </c>
      <c r="L973" t="n">
        <v>0</v>
      </c>
      <c r="M973" t="n">
        <v>0</v>
      </c>
      <c r="N973" t="n">
        <v>0</v>
      </c>
      <c r="O973" t="n">
        <v>0</v>
      </c>
      <c r="P973" t="n">
        <v>0</v>
      </c>
      <c r="Q973" t="n">
        <v>0</v>
      </c>
      <c r="R973" s="2" t="inlineStr"/>
    </row>
    <row r="974" ht="15" customHeight="1">
      <c r="A974" t="inlineStr">
        <is>
          <t>A 51116-2022</t>
        </is>
      </c>
      <c r="B974" s="1" t="n">
        <v>44868</v>
      </c>
      <c r="C974" s="1" t="n">
        <v>45578</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51265-2022</t>
        </is>
      </c>
      <c r="B975" s="1" t="n">
        <v>44868</v>
      </c>
      <c r="C975" s="1" t="n">
        <v>45578</v>
      </c>
      <c r="D975" t="inlineStr">
        <is>
          <t>STOCKHOLMS LÄN</t>
        </is>
      </c>
      <c r="E975" t="inlineStr">
        <is>
          <t>NORRTÄLJE</t>
        </is>
      </c>
      <c r="G975" t="n">
        <v>3.1</v>
      </c>
      <c r="H975" t="n">
        <v>0</v>
      </c>
      <c r="I975" t="n">
        <v>0</v>
      </c>
      <c r="J975" t="n">
        <v>0</v>
      </c>
      <c r="K975" t="n">
        <v>0</v>
      </c>
      <c r="L975" t="n">
        <v>0</v>
      </c>
      <c r="M975" t="n">
        <v>0</v>
      </c>
      <c r="N975" t="n">
        <v>0</v>
      </c>
      <c r="O975" t="n">
        <v>0</v>
      </c>
      <c r="P975" t="n">
        <v>0</v>
      </c>
      <c r="Q975" t="n">
        <v>0</v>
      </c>
      <c r="R975" s="2" t="inlineStr"/>
    </row>
    <row r="976" ht="15" customHeight="1">
      <c r="A976" t="inlineStr">
        <is>
          <t>A 52139-2022</t>
        </is>
      </c>
      <c r="B976" s="1" t="n">
        <v>44868</v>
      </c>
      <c r="C976" s="1" t="n">
        <v>45578</v>
      </c>
      <c r="D976" t="inlineStr">
        <is>
          <t>STOCKHOLMS LÄN</t>
        </is>
      </c>
      <c r="E976" t="inlineStr">
        <is>
          <t>NORRTÄLJE</t>
        </is>
      </c>
      <c r="G976" t="n">
        <v>3.2</v>
      </c>
      <c r="H976" t="n">
        <v>0</v>
      </c>
      <c r="I976" t="n">
        <v>0</v>
      </c>
      <c r="J976" t="n">
        <v>0</v>
      </c>
      <c r="K976" t="n">
        <v>0</v>
      </c>
      <c r="L976" t="n">
        <v>0</v>
      </c>
      <c r="M976" t="n">
        <v>0</v>
      </c>
      <c r="N976" t="n">
        <v>0</v>
      </c>
      <c r="O976" t="n">
        <v>0</v>
      </c>
      <c r="P976" t="n">
        <v>0</v>
      </c>
      <c r="Q976" t="n">
        <v>0</v>
      </c>
      <c r="R976" s="2" t="inlineStr"/>
    </row>
    <row r="977" ht="15" customHeight="1">
      <c r="A977" t="inlineStr">
        <is>
          <t>A 52133-2022</t>
        </is>
      </c>
      <c r="B977" s="1" t="n">
        <v>44868</v>
      </c>
      <c r="C977" s="1" t="n">
        <v>45578</v>
      </c>
      <c r="D977" t="inlineStr">
        <is>
          <t>STOCKHOLMS LÄN</t>
        </is>
      </c>
      <c r="E977" t="inlineStr">
        <is>
          <t>NORRTÄLJE</t>
        </is>
      </c>
      <c r="G977" t="n">
        <v>11.5</v>
      </c>
      <c r="H977" t="n">
        <v>0</v>
      </c>
      <c r="I977" t="n">
        <v>0</v>
      </c>
      <c r="J977" t="n">
        <v>0</v>
      </c>
      <c r="K977" t="n">
        <v>0</v>
      </c>
      <c r="L977" t="n">
        <v>0</v>
      </c>
      <c r="M977" t="n">
        <v>0</v>
      </c>
      <c r="N977" t="n">
        <v>0</v>
      </c>
      <c r="O977" t="n">
        <v>0</v>
      </c>
      <c r="P977" t="n">
        <v>0</v>
      </c>
      <c r="Q977" t="n">
        <v>0</v>
      </c>
      <c r="R977" s="2" t="inlineStr"/>
    </row>
    <row r="978" ht="15" customHeight="1">
      <c r="A978" t="inlineStr">
        <is>
          <t>A 52260-2022</t>
        </is>
      </c>
      <c r="B978" s="1" t="n">
        <v>44869</v>
      </c>
      <c r="C978" s="1" t="n">
        <v>45578</v>
      </c>
      <c r="D978" t="inlineStr">
        <is>
          <t>STOCKHOLMS LÄN</t>
        </is>
      </c>
      <c r="E978" t="inlineStr">
        <is>
          <t>NORRTÄLJE</t>
        </is>
      </c>
      <c r="G978" t="n">
        <v>3.1</v>
      </c>
      <c r="H978" t="n">
        <v>0</v>
      </c>
      <c r="I978" t="n">
        <v>0</v>
      </c>
      <c r="J978" t="n">
        <v>0</v>
      </c>
      <c r="K978" t="n">
        <v>0</v>
      </c>
      <c r="L978" t="n">
        <v>0</v>
      </c>
      <c r="M978" t="n">
        <v>0</v>
      </c>
      <c r="N978" t="n">
        <v>0</v>
      </c>
      <c r="O978" t="n">
        <v>0</v>
      </c>
      <c r="P978" t="n">
        <v>0</v>
      </c>
      <c r="Q978" t="n">
        <v>0</v>
      </c>
      <c r="R978" s="2" t="inlineStr"/>
    </row>
    <row r="979" ht="15" customHeight="1">
      <c r="A979" t="inlineStr">
        <is>
          <t>A 51984-2022</t>
        </is>
      </c>
      <c r="B979" s="1" t="n">
        <v>44872</v>
      </c>
      <c r="C979" s="1" t="n">
        <v>45578</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52322-2022</t>
        </is>
      </c>
      <c r="B980" s="1" t="n">
        <v>44873</v>
      </c>
      <c r="C980" s="1" t="n">
        <v>45578</v>
      </c>
      <c r="D980" t="inlineStr">
        <is>
          <t>STOCKHOLMS LÄN</t>
        </is>
      </c>
      <c r="E980" t="inlineStr">
        <is>
          <t>NORRTÄLJE</t>
        </is>
      </c>
      <c r="G980" t="n">
        <v>5.5</v>
      </c>
      <c r="H980" t="n">
        <v>0</v>
      </c>
      <c r="I980" t="n">
        <v>0</v>
      </c>
      <c r="J980" t="n">
        <v>0</v>
      </c>
      <c r="K980" t="n">
        <v>0</v>
      </c>
      <c r="L980" t="n">
        <v>0</v>
      </c>
      <c r="M980" t="n">
        <v>0</v>
      </c>
      <c r="N980" t="n">
        <v>0</v>
      </c>
      <c r="O980" t="n">
        <v>0</v>
      </c>
      <c r="P980" t="n">
        <v>0</v>
      </c>
      <c r="Q980" t="n">
        <v>0</v>
      </c>
      <c r="R980" s="2" t="inlineStr"/>
    </row>
    <row r="981" ht="15" customHeight="1">
      <c r="A981" t="inlineStr">
        <is>
          <t>A 53461-2022</t>
        </is>
      </c>
      <c r="B981" s="1" t="n">
        <v>44879</v>
      </c>
      <c r="C981" s="1" t="n">
        <v>45578</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53600-2022</t>
        </is>
      </c>
      <c r="B982" s="1" t="n">
        <v>44879</v>
      </c>
      <c r="C982" s="1" t="n">
        <v>45578</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53459-2022</t>
        </is>
      </c>
      <c r="B983" s="1" t="n">
        <v>44879</v>
      </c>
      <c r="C983" s="1" t="n">
        <v>45578</v>
      </c>
      <c r="D983" t="inlineStr">
        <is>
          <t>STOCKHOLMS LÄN</t>
        </is>
      </c>
      <c r="E983" t="inlineStr">
        <is>
          <t>NORRTÄLJE</t>
        </is>
      </c>
      <c r="G983" t="n">
        <v>3.9</v>
      </c>
      <c r="H983" t="n">
        <v>0</v>
      </c>
      <c r="I983" t="n">
        <v>0</v>
      </c>
      <c r="J983" t="n">
        <v>0</v>
      </c>
      <c r="K983" t="n">
        <v>0</v>
      </c>
      <c r="L983" t="n">
        <v>0</v>
      </c>
      <c r="M983" t="n">
        <v>0</v>
      </c>
      <c r="N983" t="n">
        <v>0</v>
      </c>
      <c r="O983" t="n">
        <v>0</v>
      </c>
      <c r="P983" t="n">
        <v>0</v>
      </c>
      <c r="Q983" t="n">
        <v>0</v>
      </c>
      <c r="R983" s="2" t="inlineStr"/>
    </row>
    <row r="984" ht="15" customHeight="1">
      <c r="A984" t="inlineStr">
        <is>
          <t>A 53884-2022</t>
        </is>
      </c>
      <c r="B984" s="1" t="n">
        <v>44880</v>
      </c>
      <c r="C984" s="1" t="n">
        <v>45578</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54169-2022</t>
        </is>
      </c>
      <c r="B985" s="1" t="n">
        <v>44881</v>
      </c>
      <c r="C985" s="1" t="n">
        <v>45578</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54175-2022</t>
        </is>
      </c>
      <c r="B986" s="1" t="n">
        <v>44881</v>
      </c>
      <c r="C986" s="1" t="n">
        <v>45578</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54355-2022</t>
        </is>
      </c>
      <c r="B987" s="1" t="n">
        <v>44882</v>
      </c>
      <c r="C987" s="1" t="n">
        <v>45578</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54427-2022</t>
        </is>
      </c>
      <c r="B988" s="1" t="n">
        <v>44882</v>
      </c>
      <c r="C988" s="1" t="n">
        <v>45578</v>
      </c>
      <c r="D988" t="inlineStr">
        <is>
          <t>STOCKHOLMS LÄN</t>
        </is>
      </c>
      <c r="E988" t="inlineStr">
        <is>
          <t>NORRTÄLJE</t>
        </is>
      </c>
      <c r="G988" t="n">
        <v>1.7</v>
      </c>
      <c r="H988" t="n">
        <v>0</v>
      </c>
      <c r="I988" t="n">
        <v>0</v>
      </c>
      <c r="J988" t="n">
        <v>0</v>
      </c>
      <c r="K988" t="n">
        <v>0</v>
      </c>
      <c r="L988" t="n">
        <v>0</v>
      </c>
      <c r="M988" t="n">
        <v>0</v>
      </c>
      <c r="N988" t="n">
        <v>0</v>
      </c>
      <c r="O988" t="n">
        <v>0</v>
      </c>
      <c r="P988" t="n">
        <v>0</v>
      </c>
      <c r="Q988" t="n">
        <v>0</v>
      </c>
      <c r="R988" s="2" t="inlineStr"/>
    </row>
    <row r="989" ht="15" customHeight="1">
      <c r="A989" t="inlineStr">
        <is>
          <t>A 54340-2022</t>
        </is>
      </c>
      <c r="B989" s="1" t="n">
        <v>44882</v>
      </c>
      <c r="C989" s="1" t="n">
        <v>45578</v>
      </c>
      <c r="D989" t="inlineStr">
        <is>
          <t>STOCKHOLMS LÄN</t>
        </is>
      </c>
      <c r="E989" t="inlineStr">
        <is>
          <t>NORRTÄLJE</t>
        </is>
      </c>
      <c r="G989" t="n">
        <v>6.7</v>
      </c>
      <c r="H989" t="n">
        <v>0</v>
      </c>
      <c r="I989" t="n">
        <v>0</v>
      </c>
      <c r="J989" t="n">
        <v>0</v>
      </c>
      <c r="K989" t="n">
        <v>0</v>
      </c>
      <c r="L989" t="n">
        <v>0</v>
      </c>
      <c r="M989" t="n">
        <v>0</v>
      </c>
      <c r="N989" t="n">
        <v>0</v>
      </c>
      <c r="O989" t="n">
        <v>0</v>
      </c>
      <c r="P989" t="n">
        <v>0</v>
      </c>
      <c r="Q989" t="n">
        <v>0</v>
      </c>
      <c r="R989" s="2" t="inlineStr"/>
    </row>
    <row r="990" ht="15" customHeight="1">
      <c r="A990" t="inlineStr">
        <is>
          <t>A 54358-2022</t>
        </is>
      </c>
      <c r="B990" s="1" t="n">
        <v>44882</v>
      </c>
      <c r="C990" s="1" t="n">
        <v>45578</v>
      </c>
      <c r="D990" t="inlineStr">
        <is>
          <t>STOCKHOLMS LÄN</t>
        </is>
      </c>
      <c r="E990" t="inlineStr">
        <is>
          <t>NORRTÄLJE</t>
        </is>
      </c>
      <c r="G990" t="n">
        <v>3.3</v>
      </c>
      <c r="H990" t="n">
        <v>0</v>
      </c>
      <c r="I990" t="n">
        <v>0</v>
      </c>
      <c r="J990" t="n">
        <v>0</v>
      </c>
      <c r="K990" t="n">
        <v>0</v>
      </c>
      <c r="L990" t="n">
        <v>0</v>
      </c>
      <c r="M990" t="n">
        <v>0</v>
      </c>
      <c r="N990" t="n">
        <v>0</v>
      </c>
      <c r="O990" t="n">
        <v>0</v>
      </c>
      <c r="P990" t="n">
        <v>0</v>
      </c>
      <c r="Q990" t="n">
        <v>0</v>
      </c>
      <c r="R990" s="2" t="inlineStr"/>
    </row>
    <row r="991" ht="15" customHeight="1">
      <c r="A991" t="inlineStr">
        <is>
          <t>A 54354-2022</t>
        </is>
      </c>
      <c r="B991" s="1" t="n">
        <v>44882</v>
      </c>
      <c r="C991" s="1" t="n">
        <v>45578</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55047-2022</t>
        </is>
      </c>
      <c r="B992" s="1" t="n">
        <v>44886</v>
      </c>
      <c r="C992" s="1" t="n">
        <v>45578</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55696-2022</t>
        </is>
      </c>
      <c r="B993" s="1" t="n">
        <v>44888</v>
      </c>
      <c r="C993" s="1" t="n">
        <v>45578</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57037-2022</t>
        </is>
      </c>
      <c r="B994" s="1" t="n">
        <v>44895</v>
      </c>
      <c r="C994" s="1" t="n">
        <v>45578</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59767-2022</t>
        </is>
      </c>
      <c r="B995" s="1" t="n">
        <v>44900</v>
      </c>
      <c r="C995" s="1" t="n">
        <v>45578</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58302-2022</t>
        </is>
      </c>
      <c r="B996" s="1" t="n">
        <v>44901</v>
      </c>
      <c r="C996" s="1" t="n">
        <v>45578</v>
      </c>
      <c r="D996" t="inlineStr">
        <is>
          <t>STOCKHOLMS LÄN</t>
        </is>
      </c>
      <c r="E996" t="inlineStr">
        <is>
          <t>NORRTÄLJE</t>
        </is>
      </c>
      <c r="G996" t="n">
        <v>3.9</v>
      </c>
      <c r="H996" t="n">
        <v>0</v>
      </c>
      <c r="I996" t="n">
        <v>0</v>
      </c>
      <c r="J996" t="n">
        <v>0</v>
      </c>
      <c r="K996" t="n">
        <v>0</v>
      </c>
      <c r="L996" t="n">
        <v>0</v>
      </c>
      <c r="M996" t="n">
        <v>0</v>
      </c>
      <c r="N996" t="n">
        <v>0</v>
      </c>
      <c r="O996" t="n">
        <v>0</v>
      </c>
      <c r="P996" t="n">
        <v>0</v>
      </c>
      <c r="Q996" t="n">
        <v>0</v>
      </c>
      <c r="R996" s="2" t="inlineStr"/>
    </row>
    <row r="997" ht="15" customHeight="1">
      <c r="A997" t="inlineStr">
        <is>
          <t>A 58492-2022</t>
        </is>
      </c>
      <c r="B997" s="1" t="n">
        <v>44902</v>
      </c>
      <c r="C997" s="1" t="n">
        <v>45578</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58543-2022</t>
        </is>
      </c>
      <c r="B998" s="1" t="n">
        <v>44902</v>
      </c>
      <c r="C998" s="1" t="n">
        <v>45578</v>
      </c>
      <c r="D998" t="inlineStr">
        <is>
          <t>STOCKHOLMS LÄN</t>
        </is>
      </c>
      <c r="E998" t="inlineStr">
        <is>
          <t>NORRTÄLJE</t>
        </is>
      </c>
      <c r="G998" t="n">
        <v>1.4</v>
      </c>
      <c r="H998" t="n">
        <v>0</v>
      </c>
      <c r="I998" t="n">
        <v>0</v>
      </c>
      <c r="J998" t="n">
        <v>0</v>
      </c>
      <c r="K998" t="n">
        <v>0</v>
      </c>
      <c r="L998" t="n">
        <v>0</v>
      </c>
      <c r="M998" t="n">
        <v>0</v>
      </c>
      <c r="N998" t="n">
        <v>0</v>
      </c>
      <c r="O998" t="n">
        <v>0</v>
      </c>
      <c r="P998" t="n">
        <v>0</v>
      </c>
      <c r="Q998" t="n">
        <v>0</v>
      </c>
      <c r="R998" s="2" t="inlineStr"/>
    </row>
    <row r="999" ht="15" customHeight="1">
      <c r="A999" t="inlineStr">
        <is>
          <t>A 58993-2022</t>
        </is>
      </c>
      <c r="B999" s="1" t="n">
        <v>44903</v>
      </c>
      <c r="C999" s="1" t="n">
        <v>45578</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60525-2022</t>
        </is>
      </c>
      <c r="B1000" s="1" t="n">
        <v>44904</v>
      </c>
      <c r="C1000" s="1" t="n">
        <v>45578</v>
      </c>
      <c r="D1000" t="inlineStr">
        <is>
          <t>STOCKHOLMS LÄN</t>
        </is>
      </c>
      <c r="E1000" t="inlineStr">
        <is>
          <t>NORRTÄLJE</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59717-2022</t>
        </is>
      </c>
      <c r="B1001" s="1" t="n">
        <v>44908</v>
      </c>
      <c r="C1001" s="1" t="n">
        <v>45578</v>
      </c>
      <c r="D1001" t="inlineStr">
        <is>
          <t>STOCKHOLMS LÄN</t>
        </is>
      </c>
      <c r="E1001" t="inlineStr">
        <is>
          <t>NORRTÄLJE</t>
        </is>
      </c>
      <c r="F1001" t="inlineStr">
        <is>
          <t>Holmen skog AB</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59893-2022</t>
        </is>
      </c>
      <c r="B1002" s="1" t="n">
        <v>44908</v>
      </c>
      <c r="C1002" s="1" t="n">
        <v>45578</v>
      </c>
      <c r="D1002" t="inlineStr">
        <is>
          <t>STOCKHOLMS LÄN</t>
        </is>
      </c>
      <c r="E1002" t="inlineStr">
        <is>
          <t>NORRTÄLJE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59892-2022</t>
        </is>
      </c>
      <c r="B1003" s="1" t="n">
        <v>44908</v>
      </c>
      <c r="C1003" s="1" t="n">
        <v>45578</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60840-2022</t>
        </is>
      </c>
      <c r="B1004" s="1" t="n">
        <v>44914</v>
      </c>
      <c r="C1004" s="1" t="n">
        <v>45578</v>
      </c>
      <c r="D1004" t="inlineStr">
        <is>
          <t>STOCKHOLMS LÄN</t>
        </is>
      </c>
      <c r="E1004" t="inlineStr">
        <is>
          <t>NORRTÄLJE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61016-2022</t>
        </is>
      </c>
      <c r="B1005" s="1" t="n">
        <v>44914</v>
      </c>
      <c r="C1005" s="1" t="n">
        <v>45578</v>
      </c>
      <c r="D1005" t="inlineStr">
        <is>
          <t>STOCKHOLMS LÄN</t>
        </is>
      </c>
      <c r="E1005" t="inlineStr">
        <is>
          <t>NORRTÄLJE</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62206-2022</t>
        </is>
      </c>
      <c r="B1006" s="1" t="n">
        <v>44922</v>
      </c>
      <c r="C1006" s="1" t="n">
        <v>45578</v>
      </c>
      <c r="D1006" t="inlineStr">
        <is>
          <t>STOCKHOLMS LÄN</t>
        </is>
      </c>
      <c r="E1006" t="inlineStr">
        <is>
          <t>NORRTÄLJE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62398-2022</t>
        </is>
      </c>
      <c r="B1007" s="1" t="n">
        <v>44923</v>
      </c>
      <c r="C1007" s="1" t="n">
        <v>45578</v>
      </c>
      <c r="D1007" t="inlineStr">
        <is>
          <t>STOCKHOLMS LÄN</t>
        </is>
      </c>
      <c r="E1007" t="inlineStr">
        <is>
          <t>NORRTÄLJE</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62593-2022</t>
        </is>
      </c>
      <c r="B1008" s="1" t="n">
        <v>44925</v>
      </c>
      <c r="C1008" s="1" t="n">
        <v>45578</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576-2023</t>
        </is>
      </c>
      <c r="B1009" s="1" t="n">
        <v>44925</v>
      </c>
      <c r="C1009" s="1" t="n">
        <v>45578</v>
      </c>
      <c r="D1009" t="inlineStr">
        <is>
          <t>STOCKHOLMS LÄN</t>
        </is>
      </c>
      <c r="E1009" t="inlineStr">
        <is>
          <t>NORRTÄLJE</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574-2023</t>
        </is>
      </c>
      <c r="B1010" s="1" t="n">
        <v>44925</v>
      </c>
      <c r="C1010" s="1" t="n">
        <v>45578</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755-2023</t>
        </is>
      </c>
      <c r="B1011" s="1" t="n">
        <v>44931</v>
      </c>
      <c r="C1011" s="1" t="n">
        <v>45578</v>
      </c>
      <c r="D1011" t="inlineStr">
        <is>
          <t>STOCKHOLMS LÄN</t>
        </is>
      </c>
      <c r="E1011" t="inlineStr">
        <is>
          <t>NORRTÄLJE</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875-2023</t>
        </is>
      </c>
      <c r="B1012" s="1" t="n">
        <v>44931</v>
      </c>
      <c r="C1012" s="1" t="n">
        <v>45578</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951-2023</t>
        </is>
      </c>
      <c r="B1013" s="1" t="n">
        <v>44934</v>
      </c>
      <c r="C1013" s="1" t="n">
        <v>45578</v>
      </c>
      <c r="D1013" t="inlineStr">
        <is>
          <t>STOCKHOLMS LÄN</t>
        </is>
      </c>
      <c r="E1013" t="inlineStr">
        <is>
          <t>NORRTÄLJE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1183-2023</t>
        </is>
      </c>
      <c r="B1014" s="1" t="n">
        <v>44935</v>
      </c>
      <c r="C1014" s="1" t="n">
        <v>45578</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1335-2023</t>
        </is>
      </c>
      <c r="B1015" s="1" t="n">
        <v>44936</v>
      </c>
      <c r="C1015" s="1" t="n">
        <v>45578</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1373-2023</t>
        </is>
      </c>
      <c r="B1016" s="1" t="n">
        <v>44936</v>
      </c>
      <c r="C1016" s="1" t="n">
        <v>45578</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1448-2023</t>
        </is>
      </c>
      <c r="B1017" s="1" t="n">
        <v>44937</v>
      </c>
      <c r="C1017" s="1" t="n">
        <v>45578</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1740-2023</t>
        </is>
      </c>
      <c r="B1018" s="1" t="n">
        <v>44938</v>
      </c>
      <c r="C1018" s="1" t="n">
        <v>45578</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1847-2023</t>
        </is>
      </c>
      <c r="B1019" s="1" t="n">
        <v>44938</v>
      </c>
      <c r="C1019" s="1" t="n">
        <v>45578</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2103-2023</t>
        </is>
      </c>
      <c r="B1020" s="1" t="n">
        <v>44939</v>
      </c>
      <c r="C1020" s="1" t="n">
        <v>45578</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2976-2023</t>
        </is>
      </c>
      <c r="B1021" s="1" t="n">
        <v>44945</v>
      </c>
      <c r="C1021" s="1" t="n">
        <v>45578</v>
      </c>
      <c r="D1021" t="inlineStr">
        <is>
          <t>STOCKHOLMS LÄN</t>
        </is>
      </c>
      <c r="E1021" t="inlineStr">
        <is>
          <t>NORRTÄLJE</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2890-2023</t>
        </is>
      </c>
      <c r="B1022" s="1" t="n">
        <v>44945</v>
      </c>
      <c r="C1022" s="1" t="n">
        <v>45578</v>
      </c>
      <c r="D1022" t="inlineStr">
        <is>
          <t>STOCKHOLMS LÄN</t>
        </is>
      </c>
      <c r="E1022" t="inlineStr">
        <is>
          <t>NORRTÄLJE</t>
        </is>
      </c>
      <c r="F1022" t="inlineStr">
        <is>
          <t>Holmen skog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2982-2023</t>
        </is>
      </c>
      <c r="B1023" s="1" t="n">
        <v>44945</v>
      </c>
      <c r="C1023" s="1" t="n">
        <v>45578</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3383-2023</t>
        </is>
      </c>
      <c r="B1024" s="1" t="n">
        <v>44949</v>
      </c>
      <c r="C1024" s="1" t="n">
        <v>45578</v>
      </c>
      <c r="D1024" t="inlineStr">
        <is>
          <t>STOCKHOLMS LÄN</t>
        </is>
      </c>
      <c r="E1024" t="inlineStr">
        <is>
          <t>NORRTÄLJE</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3444-2023</t>
        </is>
      </c>
      <c r="B1025" s="1" t="n">
        <v>44949</v>
      </c>
      <c r="C1025" s="1" t="n">
        <v>45578</v>
      </c>
      <c r="D1025" t="inlineStr">
        <is>
          <t>STOCKHOLMS LÄN</t>
        </is>
      </c>
      <c r="E1025" t="inlineStr">
        <is>
          <t>NORRTÄLJE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4035-2023</t>
        </is>
      </c>
      <c r="B1026" s="1" t="n">
        <v>44952</v>
      </c>
      <c r="C1026" s="1" t="n">
        <v>45578</v>
      </c>
      <c r="D1026" t="inlineStr">
        <is>
          <t>STOCKHOLMS LÄN</t>
        </is>
      </c>
      <c r="E1026" t="inlineStr">
        <is>
          <t>NORRTÄLJE</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4058-2023</t>
        </is>
      </c>
      <c r="B1027" s="1" t="n">
        <v>44952</v>
      </c>
      <c r="C1027" s="1" t="n">
        <v>45578</v>
      </c>
      <c r="D1027" t="inlineStr">
        <is>
          <t>STOCKHOLMS LÄN</t>
        </is>
      </c>
      <c r="E1027" t="inlineStr">
        <is>
          <t>NORRTÄLJE</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4194-2023</t>
        </is>
      </c>
      <c r="B1028" s="1" t="n">
        <v>44953</v>
      </c>
      <c r="C1028" s="1" t="n">
        <v>45578</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4168-2023</t>
        </is>
      </c>
      <c r="B1029" s="1" t="n">
        <v>44953</v>
      </c>
      <c r="C1029" s="1" t="n">
        <v>45578</v>
      </c>
      <c r="D1029" t="inlineStr">
        <is>
          <t>STOCKHOLMS LÄN</t>
        </is>
      </c>
      <c r="E1029" t="inlineStr">
        <is>
          <t>NORRTÄLJE</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4316-2023</t>
        </is>
      </c>
      <c r="B1030" s="1" t="n">
        <v>44953</v>
      </c>
      <c r="C1030" s="1" t="n">
        <v>45578</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4326-2023</t>
        </is>
      </c>
      <c r="B1031" s="1" t="n">
        <v>44953</v>
      </c>
      <c r="C1031" s="1" t="n">
        <v>45578</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4322-2023</t>
        </is>
      </c>
      <c r="B1032" s="1" t="n">
        <v>44953</v>
      </c>
      <c r="C1032" s="1" t="n">
        <v>45578</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4364-2023</t>
        </is>
      </c>
      <c r="B1033" s="1" t="n">
        <v>44954</v>
      </c>
      <c r="C1033" s="1" t="n">
        <v>45578</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4395-2023</t>
        </is>
      </c>
      <c r="B1034" s="1" t="n">
        <v>44956</v>
      </c>
      <c r="C1034" s="1" t="n">
        <v>45578</v>
      </c>
      <c r="D1034" t="inlineStr">
        <is>
          <t>STOCKHOLMS LÄN</t>
        </is>
      </c>
      <c r="E1034" t="inlineStr">
        <is>
          <t>NORRTÄLJE</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4438-2023</t>
        </is>
      </c>
      <c r="B1035" s="1" t="n">
        <v>44956</v>
      </c>
      <c r="C1035" s="1" t="n">
        <v>45578</v>
      </c>
      <c r="D1035" t="inlineStr">
        <is>
          <t>STOCKHOLMS LÄN</t>
        </is>
      </c>
      <c r="E1035" t="inlineStr">
        <is>
          <t>NORRTÄLJE</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4593-2023</t>
        </is>
      </c>
      <c r="B1036" s="1" t="n">
        <v>44956</v>
      </c>
      <c r="C1036" s="1" t="n">
        <v>45578</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4596-2023</t>
        </is>
      </c>
      <c r="B1037" s="1" t="n">
        <v>44956</v>
      </c>
      <c r="C1037" s="1" t="n">
        <v>45578</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4553-2023</t>
        </is>
      </c>
      <c r="B1038" s="1" t="n">
        <v>44956</v>
      </c>
      <c r="C1038" s="1" t="n">
        <v>45578</v>
      </c>
      <c r="D1038" t="inlineStr">
        <is>
          <t>STOCKHOLMS LÄN</t>
        </is>
      </c>
      <c r="E1038" t="inlineStr">
        <is>
          <t>NORRTÄLJE</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5137-2023</t>
        </is>
      </c>
      <c r="B1039" s="1" t="n">
        <v>44958</v>
      </c>
      <c r="C1039" s="1" t="n">
        <v>45578</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5207-2023</t>
        </is>
      </c>
      <c r="B1040" s="1" t="n">
        <v>44959</v>
      </c>
      <c r="C1040" s="1" t="n">
        <v>45578</v>
      </c>
      <c r="D1040" t="inlineStr">
        <is>
          <t>STOCKHOLMS LÄN</t>
        </is>
      </c>
      <c r="E1040" t="inlineStr">
        <is>
          <t>NORRTÄLJE</t>
        </is>
      </c>
      <c r="F1040" t="inlineStr">
        <is>
          <t>Holmen skog AB</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5422-2023</t>
        </is>
      </c>
      <c r="B1041" s="1" t="n">
        <v>44959</v>
      </c>
      <c r="C1041" s="1" t="n">
        <v>45578</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5244-2023</t>
        </is>
      </c>
      <c r="B1042" s="1" t="n">
        <v>44959</v>
      </c>
      <c r="C1042" s="1" t="n">
        <v>45578</v>
      </c>
      <c r="D1042" t="inlineStr">
        <is>
          <t>STOCKHOLMS LÄN</t>
        </is>
      </c>
      <c r="E1042" t="inlineStr">
        <is>
          <t>NORRTÄLJE</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5423-2023</t>
        </is>
      </c>
      <c r="B1043" s="1" t="n">
        <v>44959</v>
      </c>
      <c r="C1043" s="1" t="n">
        <v>45578</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6312-2023</t>
        </is>
      </c>
      <c r="B1044" s="1" t="n">
        <v>44959</v>
      </c>
      <c r="C1044" s="1" t="n">
        <v>45578</v>
      </c>
      <c r="D1044" t="inlineStr">
        <is>
          <t>STOCKHOLMS LÄN</t>
        </is>
      </c>
      <c r="E1044" t="inlineStr">
        <is>
          <t>NORRTÄLJE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5645-2023</t>
        </is>
      </c>
      <c r="B1045" s="1" t="n">
        <v>44960</v>
      </c>
      <c r="C1045" s="1" t="n">
        <v>45578</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5501-2023</t>
        </is>
      </c>
      <c r="B1046" s="1" t="n">
        <v>44960</v>
      </c>
      <c r="C1046" s="1" t="n">
        <v>45578</v>
      </c>
      <c r="D1046" t="inlineStr">
        <is>
          <t>STOCKHOLMS LÄN</t>
        </is>
      </c>
      <c r="E1046" t="inlineStr">
        <is>
          <t>NORRTÄLJE</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6496-2023</t>
        </is>
      </c>
      <c r="B1047" s="1" t="n">
        <v>44960</v>
      </c>
      <c r="C1047" s="1" t="n">
        <v>45578</v>
      </c>
      <c r="D1047" t="inlineStr">
        <is>
          <t>STOCKHOLMS LÄN</t>
        </is>
      </c>
      <c r="E1047" t="inlineStr">
        <is>
          <t>NORRTÄLJE</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5732-2023</t>
        </is>
      </c>
      <c r="B1048" s="1" t="n">
        <v>44962</v>
      </c>
      <c r="C1048" s="1" t="n">
        <v>45578</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5823-2023</t>
        </is>
      </c>
      <c r="B1049" s="1" t="n">
        <v>44963</v>
      </c>
      <c r="C1049" s="1" t="n">
        <v>45578</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5839-2023</t>
        </is>
      </c>
      <c r="B1050" s="1" t="n">
        <v>44963</v>
      </c>
      <c r="C1050" s="1" t="n">
        <v>45578</v>
      </c>
      <c r="D1050" t="inlineStr">
        <is>
          <t>STOCKHOLMS LÄN</t>
        </is>
      </c>
      <c r="E1050" t="inlineStr">
        <is>
          <t>NORRTÄLJE</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6433-2023</t>
        </is>
      </c>
      <c r="B1051" s="1" t="n">
        <v>44965</v>
      </c>
      <c r="C1051" s="1" t="n">
        <v>45578</v>
      </c>
      <c r="D1051" t="inlineStr">
        <is>
          <t>STOCKHOLMS LÄN</t>
        </is>
      </c>
      <c r="E1051" t="inlineStr">
        <is>
          <t>NORRTÄLJE</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7230-2023</t>
        </is>
      </c>
      <c r="B1052" s="1" t="n">
        <v>44965</v>
      </c>
      <c r="C1052" s="1" t="n">
        <v>45578</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6437-2023</t>
        </is>
      </c>
      <c r="B1053" s="1" t="n">
        <v>44965</v>
      </c>
      <c r="C1053" s="1" t="n">
        <v>45578</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7093-2023</t>
        </is>
      </c>
      <c r="B1054" s="1" t="n">
        <v>44970</v>
      </c>
      <c r="C1054" s="1" t="n">
        <v>45578</v>
      </c>
      <c r="D1054" t="inlineStr">
        <is>
          <t>STOCKHOLMS LÄN</t>
        </is>
      </c>
      <c r="E1054" t="inlineStr">
        <is>
          <t>NORRTÄLJE</t>
        </is>
      </c>
      <c r="F1054" t="inlineStr">
        <is>
          <t>Sveaskog</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7190-2023</t>
        </is>
      </c>
      <c r="B1055" s="1" t="n">
        <v>44970</v>
      </c>
      <c r="C1055" s="1" t="n">
        <v>45578</v>
      </c>
      <c r="D1055" t="inlineStr">
        <is>
          <t>STOCKHOLMS LÄN</t>
        </is>
      </c>
      <c r="E1055" t="inlineStr">
        <is>
          <t>NORRTÄLJE</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7120-2023</t>
        </is>
      </c>
      <c r="B1056" s="1" t="n">
        <v>44970</v>
      </c>
      <c r="C1056" s="1" t="n">
        <v>45578</v>
      </c>
      <c r="D1056" t="inlineStr">
        <is>
          <t>STOCKHOLMS LÄN</t>
        </is>
      </c>
      <c r="E1056" t="inlineStr">
        <is>
          <t>NORRTÄLJE</t>
        </is>
      </c>
      <c r="F1056" t="inlineStr">
        <is>
          <t>Sveaskog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7638-2023</t>
        </is>
      </c>
      <c r="B1057" s="1" t="n">
        <v>44972</v>
      </c>
      <c r="C1057" s="1" t="n">
        <v>45578</v>
      </c>
      <c r="D1057" t="inlineStr">
        <is>
          <t>STOCKHOLMS LÄN</t>
        </is>
      </c>
      <c r="E1057" t="inlineStr">
        <is>
          <t>NORRTÄLJE</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7966-2023</t>
        </is>
      </c>
      <c r="B1058" s="1" t="n">
        <v>44973</v>
      </c>
      <c r="C1058" s="1" t="n">
        <v>45578</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7974-2023</t>
        </is>
      </c>
      <c r="B1059" s="1" t="n">
        <v>44973</v>
      </c>
      <c r="C1059" s="1" t="n">
        <v>45578</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8296-2023</t>
        </is>
      </c>
      <c r="B1060" s="1" t="n">
        <v>44974</v>
      </c>
      <c r="C1060" s="1" t="n">
        <v>45578</v>
      </c>
      <c r="D1060" t="inlineStr">
        <is>
          <t>STOCKHOLMS LÄN</t>
        </is>
      </c>
      <c r="E1060" t="inlineStr">
        <is>
          <t>NORRTÄLJE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8586-2023</t>
        </is>
      </c>
      <c r="B1061" s="1" t="n">
        <v>44977</v>
      </c>
      <c r="C1061" s="1" t="n">
        <v>45578</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9401-2023</t>
        </is>
      </c>
      <c r="B1062" s="1" t="n">
        <v>44977</v>
      </c>
      <c r="C1062" s="1" t="n">
        <v>45578</v>
      </c>
      <c r="D1062" t="inlineStr">
        <is>
          <t>STOCKHOLMS LÄN</t>
        </is>
      </c>
      <c r="E1062" t="inlineStr">
        <is>
          <t>NORRTÄLJE</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8730-2023</t>
        </is>
      </c>
      <c r="B1063" s="1" t="n">
        <v>44978</v>
      </c>
      <c r="C1063" s="1" t="n">
        <v>45578</v>
      </c>
      <c r="D1063" t="inlineStr">
        <is>
          <t>STOCKHOLMS LÄN</t>
        </is>
      </c>
      <c r="E1063" t="inlineStr">
        <is>
          <t>NORRTÄLJE</t>
        </is>
      </c>
      <c r="F1063" t="inlineStr">
        <is>
          <t>Holmen skog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8762-2023</t>
        </is>
      </c>
      <c r="B1064" s="1" t="n">
        <v>44978</v>
      </c>
      <c r="C1064" s="1" t="n">
        <v>45578</v>
      </c>
      <c r="D1064" t="inlineStr">
        <is>
          <t>STOCKHOLMS LÄN</t>
        </is>
      </c>
      <c r="E1064" t="inlineStr">
        <is>
          <t>NORRTÄLJE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8899-2023</t>
        </is>
      </c>
      <c r="B1065" s="1" t="n">
        <v>44979</v>
      </c>
      <c r="C1065" s="1" t="n">
        <v>45578</v>
      </c>
      <c r="D1065" t="inlineStr">
        <is>
          <t>STOCKHOLMS LÄN</t>
        </is>
      </c>
      <c r="E1065" t="inlineStr">
        <is>
          <t>NORRTÄLJE</t>
        </is>
      </c>
      <c r="F1065" t="inlineStr">
        <is>
          <t>Naturvårdsverket</t>
        </is>
      </c>
      <c r="G1065" t="n">
        <v>14.9</v>
      </c>
      <c r="H1065" t="n">
        <v>0</v>
      </c>
      <c r="I1065" t="n">
        <v>0</v>
      </c>
      <c r="J1065" t="n">
        <v>0</v>
      </c>
      <c r="K1065" t="n">
        <v>0</v>
      </c>
      <c r="L1065" t="n">
        <v>0</v>
      </c>
      <c r="M1065" t="n">
        <v>0</v>
      </c>
      <c r="N1065" t="n">
        <v>0</v>
      </c>
      <c r="O1065" t="n">
        <v>0</v>
      </c>
      <c r="P1065" t="n">
        <v>0</v>
      </c>
      <c r="Q1065" t="n">
        <v>0</v>
      </c>
      <c r="R1065" s="2" t="inlineStr"/>
    </row>
    <row r="1066" ht="15" customHeight="1">
      <c r="A1066" t="inlineStr">
        <is>
          <t>A 9189-2023</t>
        </is>
      </c>
      <c r="B1066" s="1" t="n">
        <v>44980</v>
      </c>
      <c r="C1066" s="1" t="n">
        <v>45578</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9184-2023</t>
        </is>
      </c>
      <c r="B1067" s="1" t="n">
        <v>44980</v>
      </c>
      <c r="C1067" s="1" t="n">
        <v>45578</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9255-2023</t>
        </is>
      </c>
      <c r="B1068" s="1" t="n">
        <v>44980</v>
      </c>
      <c r="C1068" s="1" t="n">
        <v>45578</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9329-2023</t>
        </is>
      </c>
      <c r="B1069" s="1" t="n">
        <v>44980</v>
      </c>
      <c r="C1069" s="1" t="n">
        <v>45578</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9793-2023</t>
        </is>
      </c>
      <c r="B1070" s="1" t="n">
        <v>44984</v>
      </c>
      <c r="C1070" s="1" t="n">
        <v>45578</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9914-2023</t>
        </is>
      </c>
      <c r="B1071" s="1" t="n">
        <v>44985</v>
      </c>
      <c r="C1071" s="1" t="n">
        <v>45578</v>
      </c>
      <c r="D1071" t="inlineStr">
        <is>
          <t>STOCKHOLMS LÄN</t>
        </is>
      </c>
      <c r="E1071" t="inlineStr">
        <is>
          <t>NORRTÄLJE</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9965-2023</t>
        </is>
      </c>
      <c r="B1072" s="1" t="n">
        <v>44985</v>
      </c>
      <c r="C1072" s="1" t="n">
        <v>45578</v>
      </c>
      <c r="D1072" t="inlineStr">
        <is>
          <t>STOCKHOLMS LÄN</t>
        </is>
      </c>
      <c r="E1072" t="inlineStr">
        <is>
          <t>NORRTÄLJE</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9995-2023</t>
        </is>
      </c>
      <c r="B1073" s="1" t="n">
        <v>44985</v>
      </c>
      <c r="C1073" s="1" t="n">
        <v>45578</v>
      </c>
      <c r="D1073" t="inlineStr">
        <is>
          <t>STOCKHOLMS LÄN</t>
        </is>
      </c>
      <c r="E1073" t="inlineStr">
        <is>
          <t>NORRTÄLJE</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10036-2023</t>
        </is>
      </c>
      <c r="B1074" s="1" t="n">
        <v>44985</v>
      </c>
      <c r="C1074" s="1" t="n">
        <v>45578</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10039-2023</t>
        </is>
      </c>
      <c r="B1075" s="1" t="n">
        <v>44985</v>
      </c>
      <c r="C1075" s="1" t="n">
        <v>45578</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9945-2023</t>
        </is>
      </c>
      <c r="B1076" s="1" t="n">
        <v>44985</v>
      </c>
      <c r="C1076" s="1" t="n">
        <v>45578</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10105-2023</t>
        </is>
      </c>
      <c r="B1077" s="1" t="n">
        <v>44986</v>
      </c>
      <c r="C1077" s="1" t="n">
        <v>45578</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10215-2023</t>
        </is>
      </c>
      <c r="B1078" s="1" t="n">
        <v>44986</v>
      </c>
      <c r="C1078" s="1" t="n">
        <v>45578</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11280-2023</t>
        </is>
      </c>
      <c r="B1079" s="1" t="n">
        <v>44992</v>
      </c>
      <c r="C1079" s="1" t="n">
        <v>45578</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11499-2023</t>
        </is>
      </c>
      <c r="B1080" s="1" t="n">
        <v>44993</v>
      </c>
      <c r="C1080" s="1" t="n">
        <v>45578</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11844-2023</t>
        </is>
      </c>
      <c r="B1081" s="1" t="n">
        <v>44995</v>
      </c>
      <c r="C1081" s="1" t="n">
        <v>45578</v>
      </c>
      <c r="D1081" t="inlineStr">
        <is>
          <t>STOCKHOLMS LÄN</t>
        </is>
      </c>
      <c r="E1081" t="inlineStr">
        <is>
          <t>NORRTÄLJE</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11940-2023</t>
        </is>
      </c>
      <c r="B1082" s="1" t="n">
        <v>44995</v>
      </c>
      <c r="C1082" s="1" t="n">
        <v>45578</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11852-2023</t>
        </is>
      </c>
      <c r="B1083" s="1" t="n">
        <v>44995</v>
      </c>
      <c r="C1083" s="1" t="n">
        <v>45578</v>
      </c>
      <c r="D1083" t="inlineStr">
        <is>
          <t>STOCKHOLMS LÄN</t>
        </is>
      </c>
      <c r="E1083" t="inlineStr">
        <is>
          <t>NORRTÄLJE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12609-2023</t>
        </is>
      </c>
      <c r="B1084" s="1" t="n">
        <v>45000</v>
      </c>
      <c r="C1084" s="1" t="n">
        <v>45578</v>
      </c>
      <c r="D1084" t="inlineStr">
        <is>
          <t>STOCKHOLMS LÄN</t>
        </is>
      </c>
      <c r="E1084" t="inlineStr">
        <is>
          <t>NORRTÄLJE</t>
        </is>
      </c>
      <c r="F1084" t="inlineStr">
        <is>
          <t>Holmen skog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12756-2023</t>
        </is>
      </c>
      <c r="B1085" s="1" t="n">
        <v>45000</v>
      </c>
      <c r="C1085" s="1" t="n">
        <v>45578</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13072-2023</t>
        </is>
      </c>
      <c r="B1086" s="1" t="n">
        <v>45002</v>
      </c>
      <c r="C1086" s="1" t="n">
        <v>45578</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13354-2023</t>
        </is>
      </c>
      <c r="B1087" s="1" t="n">
        <v>45005</v>
      </c>
      <c r="C1087" s="1" t="n">
        <v>45578</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13360-2023</t>
        </is>
      </c>
      <c r="B1088" s="1" t="n">
        <v>45005</v>
      </c>
      <c r="C1088" s="1" t="n">
        <v>45578</v>
      </c>
      <c r="D1088" t="inlineStr">
        <is>
          <t>STOCKHOLMS LÄN</t>
        </is>
      </c>
      <c r="E1088" t="inlineStr">
        <is>
          <t>NORRTÄLJE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13860-2023</t>
        </is>
      </c>
      <c r="B1089" s="1" t="n">
        <v>45007</v>
      </c>
      <c r="C1089" s="1" t="n">
        <v>45578</v>
      </c>
      <c r="D1089" t="inlineStr">
        <is>
          <t>STOCKHOLMS LÄN</t>
        </is>
      </c>
      <c r="E1089" t="inlineStr">
        <is>
          <t>NORRTÄLJE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13957-2023</t>
        </is>
      </c>
      <c r="B1090" s="1" t="n">
        <v>45008</v>
      </c>
      <c r="C1090" s="1" t="n">
        <v>45578</v>
      </c>
      <c r="D1090" t="inlineStr">
        <is>
          <t>STOCKHOLMS LÄN</t>
        </is>
      </c>
      <c r="E1090" t="inlineStr">
        <is>
          <t>NORRTÄLJE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13947-2023</t>
        </is>
      </c>
      <c r="B1091" s="1" t="n">
        <v>45008</v>
      </c>
      <c r="C1091" s="1" t="n">
        <v>45578</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13977-2023</t>
        </is>
      </c>
      <c r="B1092" s="1" t="n">
        <v>45008</v>
      </c>
      <c r="C1092" s="1" t="n">
        <v>45578</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14135-2023</t>
        </is>
      </c>
      <c r="B1093" s="1" t="n">
        <v>45009</v>
      </c>
      <c r="C1093" s="1" t="n">
        <v>45578</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15217-2023</t>
        </is>
      </c>
      <c r="B1094" s="1" t="n">
        <v>45019</v>
      </c>
      <c r="C1094" s="1" t="n">
        <v>45578</v>
      </c>
      <c r="D1094" t="inlineStr">
        <is>
          <t>STOCKHOLMS LÄN</t>
        </is>
      </c>
      <c r="E1094" t="inlineStr">
        <is>
          <t>NORRTÄLJE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15256-2023</t>
        </is>
      </c>
      <c r="B1095" s="1" t="n">
        <v>45019</v>
      </c>
      <c r="C1095" s="1" t="n">
        <v>45578</v>
      </c>
      <c r="D1095" t="inlineStr">
        <is>
          <t>STOCKHOLMS LÄN</t>
        </is>
      </c>
      <c r="E1095" t="inlineStr">
        <is>
          <t>NORRTÄLJE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15447-2023</t>
        </is>
      </c>
      <c r="B1096" s="1" t="n">
        <v>45020</v>
      </c>
      <c r="C1096" s="1" t="n">
        <v>45578</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15459-2023</t>
        </is>
      </c>
      <c r="B1097" s="1" t="n">
        <v>45020</v>
      </c>
      <c r="C1097" s="1" t="n">
        <v>45578</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15655-2023</t>
        </is>
      </c>
      <c r="B1098" s="1" t="n">
        <v>45021</v>
      </c>
      <c r="C1098" s="1" t="n">
        <v>45578</v>
      </c>
      <c r="D1098" t="inlineStr">
        <is>
          <t>STOCKHOLMS LÄN</t>
        </is>
      </c>
      <c r="E1098" t="inlineStr">
        <is>
          <t>NORRTÄLJE</t>
        </is>
      </c>
      <c r="F1098" t="inlineStr">
        <is>
          <t>Holmen skog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15905-2023</t>
        </is>
      </c>
      <c r="B1099" s="1" t="n">
        <v>45022</v>
      </c>
      <c r="C1099" s="1" t="n">
        <v>45578</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15915-2023</t>
        </is>
      </c>
      <c r="B1100" s="1" t="n">
        <v>45022</v>
      </c>
      <c r="C1100" s="1" t="n">
        <v>45578</v>
      </c>
      <c r="D1100" t="inlineStr">
        <is>
          <t>STOCKHOLMS LÄN</t>
        </is>
      </c>
      <c r="E1100" t="inlineStr">
        <is>
          <t>NORRTÄLJE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15956-2023</t>
        </is>
      </c>
      <c r="B1101" s="1" t="n">
        <v>45022</v>
      </c>
      <c r="C1101" s="1" t="n">
        <v>45578</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15954-2023</t>
        </is>
      </c>
      <c r="B1102" s="1" t="n">
        <v>45022</v>
      </c>
      <c r="C1102" s="1" t="n">
        <v>45578</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16006-2023</t>
        </is>
      </c>
      <c r="B1103" s="1" t="n">
        <v>45025</v>
      </c>
      <c r="C1103" s="1" t="n">
        <v>45578</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16980-2023</t>
        </is>
      </c>
      <c r="B1104" s="1" t="n">
        <v>45033</v>
      </c>
      <c r="C1104" s="1" t="n">
        <v>45578</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16977-2023</t>
        </is>
      </c>
      <c r="B1105" s="1" t="n">
        <v>45033</v>
      </c>
      <c r="C1105" s="1" t="n">
        <v>45578</v>
      </c>
      <c r="D1105" t="inlineStr">
        <is>
          <t>STOCKHOLMS LÄN</t>
        </is>
      </c>
      <c r="E1105" t="inlineStr">
        <is>
          <t>NORRTÄLJE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17140-2023</t>
        </is>
      </c>
      <c r="B1106" s="1" t="n">
        <v>45034</v>
      </c>
      <c r="C1106" s="1" t="n">
        <v>45578</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17133-2023</t>
        </is>
      </c>
      <c r="B1107" s="1" t="n">
        <v>45034</v>
      </c>
      <c r="C1107" s="1" t="n">
        <v>45578</v>
      </c>
      <c r="D1107" t="inlineStr">
        <is>
          <t>STOCKHOLMS LÄN</t>
        </is>
      </c>
      <c r="E1107" t="inlineStr">
        <is>
          <t>NORRTÄLJE</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17919-2023</t>
        </is>
      </c>
      <c r="B1108" s="1" t="n">
        <v>45040</v>
      </c>
      <c r="C1108" s="1" t="n">
        <v>45578</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17939-2023</t>
        </is>
      </c>
      <c r="B1109" s="1" t="n">
        <v>45040</v>
      </c>
      <c r="C1109" s="1" t="n">
        <v>45578</v>
      </c>
      <c r="D1109" t="inlineStr">
        <is>
          <t>STOCKHOLMS LÄN</t>
        </is>
      </c>
      <c r="E1109" t="inlineStr">
        <is>
          <t>NORRTÄLJE</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17930-2023</t>
        </is>
      </c>
      <c r="B1110" s="1" t="n">
        <v>45040</v>
      </c>
      <c r="C1110" s="1" t="n">
        <v>45578</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17984-2023</t>
        </is>
      </c>
      <c r="B1111" s="1" t="n">
        <v>45040</v>
      </c>
      <c r="C1111" s="1" t="n">
        <v>45578</v>
      </c>
      <c r="D1111" t="inlineStr">
        <is>
          <t>STOCKHOLMS LÄN</t>
        </is>
      </c>
      <c r="E1111" t="inlineStr">
        <is>
          <t>NORRTÄLJE</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18023-2023</t>
        </is>
      </c>
      <c r="B1112" s="1" t="n">
        <v>45040</v>
      </c>
      <c r="C1112" s="1" t="n">
        <v>45578</v>
      </c>
      <c r="D1112" t="inlineStr">
        <is>
          <t>STOCKHOLMS LÄN</t>
        </is>
      </c>
      <c r="E1112" t="inlineStr">
        <is>
          <t>NORRTÄLJE</t>
        </is>
      </c>
      <c r="F1112" t="inlineStr">
        <is>
          <t>Sveaskog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18541-2023</t>
        </is>
      </c>
      <c r="B1113" s="1" t="n">
        <v>45042</v>
      </c>
      <c r="C1113" s="1" t="n">
        <v>45578</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18540-2023</t>
        </is>
      </c>
      <c r="B1114" s="1" t="n">
        <v>45042</v>
      </c>
      <c r="C1114" s="1" t="n">
        <v>45578</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18895-2023</t>
        </is>
      </c>
      <c r="B1115" s="1" t="n">
        <v>45044</v>
      </c>
      <c r="C1115" s="1" t="n">
        <v>45578</v>
      </c>
      <c r="D1115" t="inlineStr">
        <is>
          <t>STOCKHOLMS LÄN</t>
        </is>
      </c>
      <c r="E1115" t="inlineStr">
        <is>
          <t>NORRTÄLJE</t>
        </is>
      </c>
      <c r="F1115" t="inlineStr">
        <is>
          <t>Kommuner</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19074-2023</t>
        </is>
      </c>
      <c r="B1116" s="1" t="n">
        <v>45048</v>
      </c>
      <c r="C1116" s="1" t="n">
        <v>45578</v>
      </c>
      <c r="D1116" t="inlineStr">
        <is>
          <t>STOCKHOLMS LÄN</t>
        </is>
      </c>
      <c r="E1116" t="inlineStr">
        <is>
          <t>NORRTÄLJE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19058-2023</t>
        </is>
      </c>
      <c r="B1117" s="1" t="n">
        <v>45048</v>
      </c>
      <c r="C1117" s="1" t="n">
        <v>45578</v>
      </c>
      <c r="D1117" t="inlineStr">
        <is>
          <t>STOCKHOLMS LÄN</t>
        </is>
      </c>
      <c r="E1117" t="inlineStr">
        <is>
          <t>NORRTÄLJE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19702-2023</t>
        </is>
      </c>
      <c r="B1118" s="1" t="n">
        <v>45051</v>
      </c>
      <c r="C1118" s="1" t="n">
        <v>45578</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19706-2023</t>
        </is>
      </c>
      <c r="B1119" s="1" t="n">
        <v>45051</v>
      </c>
      <c r="C1119" s="1" t="n">
        <v>45578</v>
      </c>
      <c r="D1119" t="inlineStr">
        <is>
          <t>STOCKHOLMS LÄN</t>
        </is>
      </c>
      <c r="E1119" t="inlineStr">
        <is>
          <t>NORRTÄLJE</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19719-2023</t>
        </is>
      </c>
      <c r="B1120" s="1" t="n">
        <v>45051</v>
      </c>
      <c r="C1120" s="1" t="n">
        <v>45578</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19951-2023</t>
        </is>
      </c>
      <c r="B1121" s="1" t="n">
        <v>45054</v>
      </c>
      <c r="C1121" s="1" t="n">
        <v>45578</v>
      </c>
      <c r="D1121" t="inlineStr">
        <is>
          <t>STOCKHOLMS LÄN</t>
        </is>
      </c>
      <c r="E1121" t="inlineStr">
        <is>
          <t>NORRTÄLJE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19971-2023</t>
        </is>
      </c>
      <c r="B1122" s="1" t="n">
        <v>45054</v>
      </c>
      <c r="C1122" s="1" t="n">
        <v>45578</v>
      </c>
      <c r="D1122" t="inlineStr">
        <is>
          <t>STOCKHOLMS LÄN</t>
        </is>
      </c>
      <c r="E1122" t="inlineStr">
        <is>
          <t>NORRTÄLJE</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19994-2023</t>
        </is>
      </c>
      <c r="B1123" s="1" t="n">
        <v>45054</v>
      </c>
      <c r="C1123" s="1" t="n">
        <v>45578</v>
      </c>
      <c r="D1123" t="inlineStr">
        <is>
          <t>STOCKHOLMS LÄN</t>
        </is>
      </c>
      <c r="E1123" t="inlineStr">
        <is>
          <t>NORRTÄLJE</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19952-2023</t>
        </is>
      </c>
      <c r="B1124" s="1" t="n">
        <v>45054</v>
      </c>
      <c r="C1124" s="1" t="n">
        <v>45578</v>
      </c>
      <c r="D1124" t="inlineStr">
        <is>
          <t>STOCKHOLMS LÄN</t>
        </is>
      </c>
      <c r="E1124" t="inlineStr">
        <is>
          <t>NORRTÄLJE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20004-2023</t>
        </is>
      </c>
      <c r="B1125" s="1" t="n">
        <v>45054</v>
      </c>
      <c r="C1125" s="1" t="n">
        <v>45578</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20015-2023</t>
        </is>
      </c>
      <c r="B1126" s="1" t="n">
        <v>45054</v>
      </c>
      <c r="C1126" s="1" t="n">
        <v>45578</v>
      </c>
      <c r="D1126" t="inlineStr">
        <is>
          <t>STOCKHOLMS LÄN</t>
        </is>
      </c>
      <c r="E1126" t="inlineStr">
        <is>
          <t>NORRTÄLJE</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20144-2023</t>
        </is>
      </c>
      <c r="B1127" s="1" t="n">
        <v>45055</v>
      </c>
      <c r="C1127" s="1" t="n">
        <v>45578</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20304-2023</t>
        </is>
      </c>
      <c r="B1128" s="1" t="n">
        <v>45056</v>
      </c>
      <c r="C1128" s="1" t="n">
        <v>45578</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20535-2023</t>
        </is>
      </c>
      <c r="B1129" s="1" t="n">
        <v>45057</v>
      </c>
      <c r="C1129" s="1" t="n">
        <v>45578</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20852-2023</t>
        </is>
      </c>
      <c r="B1130" s="1" t="n">
        <v>45058</v>
      </c>
      <c r="C1130" s="1" t="n">
        <v>45578</v>
      </c>
      <c r="D1130" t="inlineStr">
        <is>
          <t>STOCKHOLMS LÄN</t>
        </is>
      </c>
      <c r="E1130" t="inlineStr">
        <is>
          <t>NORRTÄLJE</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21237-2023</t>
        </is>
      </c>
      <c r="B1131" s="1" t="n">
        <v>45062</v>
      </c>
      <c r="C1131" s="1" t="n">
        <v>45578</v>
      </c>
      <c r="D1131" t="inlineStr">
        <is>
          <t>STOCKHOLMS LÄN</t>
        </is>
      </c>
      <c r="E1131" t="inlineStr">
        <is>
          <t>NORRTÄLJE</t>
        </is>
      </c>
      <c r="F1131" t="inlineStr">
        <is>
          <t>Övriga Aktiebolag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21386-2023</t>
        </is>
      </c>
      <c r="B1132" s="1" t="n">
        <v>45063</v>
      </c>
      <c r="C1132" s="1" t="n">
        <v>45578</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21435-2023</t>
        </is>
      </c>
      <c r="B1133" s="1" t="n">
        <v>45063</v>
      </c>
      <c r="C1133" s="1" t="n">
        <v>45578</v>
      </c>
      <c r="D1133" t="inlineStr">
        <is>
          <t>STOCKHOLMS LÄN</t>
        </is>
      </c>
      <c r="E1133" t="inlineStr">
        <is>
          <t>NORRTÄLJE</t>
        </is>
      </c>
      <c r="G1133" t="n">
        <v>19.1</v>
      </c>
      <c r="H1133" t="n">
        <v>0</v>
      </c>
      <c r="I1133" t="n">
        <v>0</v>
      </c>
      <c r="J1133" t="n">
        <v>0</v>
      </c>
      <c r="K1133" t="n">
        <v>0</v>
      </c>
      <c r="L1133" t="n">
        <v>0</v>
      </c>
      <c r="M1133" t="n">
        <v>0</v>
      </c>
      <c r="N1133" t="n">
        <v>0</v>
      </c>
      <c r="O1133" t="n">
        <v>0</v>
      </c>
      <c r="P1133" t="n">
        <v>0</v>
      </c>
      <c r="Q1133" t="n">
        <v>0</v>
      </c>
      <c r="R1133" s="2" t="inlineStr"/>
    </row>
    <row r="1134" ht="15" customHeight="1">
      <c r="A1134" t="inlineStr">
        <is>
          <t>A 21732-2023</t>
        </is>
      </c>
      <c r="B1134" s="1" t="n">
        <v>45063</v>
      </c>
      <c r="C1134" s="1" t="n">
        <v>45578</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21733-2023</t>
        </is>
      </c>
      <c r="B1135" s="1" t="n">
        <v>45063</v>
      </c>
      <c r="C1135" s="1" t="n">
        <v>45578</v>
      </c>
      <c r="D1135" t="inlineStr">
        <is>
          <t>STOCKHOLMS LÄN</t>
        </is>
      </c>
      <c r="E1135" t="inlineStr">
        <is>
          <t>NORRTÄLJE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21731-2023</t>
        </is>
      </c>
      <c r="B1136" s="1" t="n">
        <v>45063</v>
      </c>
      <c r="C1136" s="1" t="n">
        <v>45578</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21718-2023</t>
        </is>
      </c>
      <c r="B1137" s="1" t="n">
        <v>45065</v>
      </c>
      <c r="C1137" s="1" t="n">
        <v>45578</v>
      </c>
      <c r="D1137" t="inlineStr">
        <is>
          <t>STOCKHOLMS LÄN</t>
        </is>
      </c>
      <c r="E1137" t="inlineStr">
        <is>
          <t>NORRTÄLJE</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21719-2023</t>
        </is>
      </c>
      <c r="B1138" s="1" t="n">
        <v>45065</v>
      </c>
      <c r="C1138" s="1" t="n">
        <v>45578</v>
      </c>
      <c r="D1138" t="inlineStr">
        <is>
          <t>STOCKHOLMS LÄN</t>
        </is>
      </c>
      <c r="E1138" t="inlineStr">
        <is>
          <t>NORRTÄLJE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21745-2023</t>
        </is>
      </c>
      <c r="B1139" s="1" t="n">
        <v>45065</v>
      </c>
      <c r="C1139" s="1" t="n">
        <v>45578</v>
      </c>
      <c r="D1139" t="inlineStr">
        <is>
          <t>STOCKHOLMS LÄN</t>
        </is>
      </c>
      <c r="E1139" t="inlineStr">
        <is>
          <t>NORRTÄLJE</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21720-2023</t>
        </is>
      </c>
      <c r="B1140" s="1" t="n">
        <v>45065</v>
      </c>
      <c r="C1140" s="1" t="n">
        <v>45578</v>
      </c>
      <c r="D1140" t="inlineStr">
        <is>
          <t>STOCKHOLMS LÄN</t>
        </is>
      </c>
      <c r="E1140" t="inlineStr">
        <is>
          <t>NORRTÄLJE</t>
        </is>
      </c>
      <c r="G1140" t="n">
        <v>13.6</v>
      </c>
      <c r="H1140" t="n">
        <v>0</v>
      </c>
      <c r="I1140" t="n">
        <v>0</v>
      </c>
      <c r="J1140" t="n">
        <v>0</v>
      </c>
      <c r="K1140" t="n">
        <v>0</v>
      </c>
      <c r="L1140" t="n">
        <v>0</v>
      </c>
      <c r="M1140" t="n">
        <v>0</v>
      </c>
      <c r="N1140" t="n">
        <v>0</v>
      </c>
      <c r="O1140" t="n">
        <v>0</v>
      </c>
      <c r="P1140" t="n">
        <v>0</v>
      </c>
      <c r="Q1140" t="n">
        <v>0</v>
      </c>
      <c r="R1140" s="2" t="inlineStr"/>
    </row>
    <row r="1141" ht="15" customHeight="1">
      <c r="A1141" t="inlineStr">
        <is>
          <t>A 21716-2023</t>
        </is>
      </c>
      <c r="B1141" s="1" t="n">
        <v>45065</v>
      </c>
      <c r="C1141" s="1" t="n">
        <v>45578</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21894-2023</t>
        </is>
      </c>
      <c r="B1142" s="1" t="n">
        <v>45068</v>
      </c>
      <c r="C1142" s="1" t="n">
        <v>45578</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21832-2023</t>
        </is>
      </c>
      <c r="B1143" s="1" t="n">
        <v>45068</v>
      </c>
      <c r="C1143" s="1" t="n">
        <v>45578</v>
      </c>
      <c r="D1143" t="inlineStr">
        <is>
          <t>STOCKHOLMS LÄN</t>
        </is>
      </c>
      <c r="E1143" t="inlineStr">
        <is>
          <t>NORRTÄLJE</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21825-2023</t>
        </is>
      </c>
      <c r="B1144" s="1" t="n">
        <v>45068</v>
      </c>
      <c r="C1144" s="1" t="n">
        <v>45578</v>
      </c>
      <c r="D1144" t="inlineStr">
        <is>
          <t>STOCKHOLMS LÄN</t>
        </is>
      </c>
      <c r="E1144" t="inlineStr">
        <is>
          <t>NORRTÄLJE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21897-2023</t>
        </is>
      </c>
      <c r="B1145" s="1" t="n">
        <v>45068</v>
      </c>
      <c r="C1145" s="1" t="n">
        <v>45578</v>
      </c>
      <c r="D1145" t="inlineStr">
        <is>
          <t>STOCKHOLMS LÄN</t>
        </is>
      </c>
      <c r="E1145" t="inlineStr">
        <is>
          <t>NORRTÄLJE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21993-2023</t>
        </is>
      </c>
      <c r="B1146" s="1" t="n">
        <v>45068</v>
      </c>
      <c r="C1146" s="1" t="n">
        <v>45578</v>
      </c>
      <c r="D1146" t="inlineStr">
        <is>
          <t>STOCKHOLMS LÄN</t>
        </is>
      </c>
      <c r="E1146" t="inlineStr">
        <is>
          <t>NORRTÄLJE</t>
        </is>
      </c>
      <c r="G1146" t="n">
        <v>17.2</v>
      </c>
      <c r="H1146" t="n">
        <v>0</v>
      </c>
      <c r="I1146" t="n">
        <v>0</v>
      </c>
      <c r="J1146" t="n">
        <v>0</v>
      </c>
      <c r="K1146" t="n">
        <v>0</v>
      </c>
      <c r="L1146" t="n">
        <v>0</v>
      </c>
      <c r="M1146" t="n">
        <v>0</v>
      </c>
      <c r="N1146" t="n">
        <v>0</v>
      </c>
      <c r="O1146" t="n">
        <v>0</v>
      </c>
      <c r="P1146" t="n">
        <v>0</v>
      </c>
      <c r="Q1146" t="n">
        <v>0</v>
      </c>
      <c r="R1146" s="2" t="inlineStr"/>
    </row>
    <row r="1147" ht="15" customHeight="1">
      <c r="A1147" t="inlineStr">
        <is>
          <t>A 21961-2023</t>
        </is>
      </c>
      <c r="B1147" s="1" t="n">
        <v>45068</v>
      </c>
      <c r="C1147" s="1" t="n">
        <v>45578</v>
      </c>
      <c r="D1147" t="inlineStr">
        <is>
          <t>STOCKHOLMS LÄN</t>
        </is>
      </c>
      <c r="E1147" t="inlineStr">
        <is>
          <t>NORRTÄLJE</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22157-2023</t>
        </is>
      </c>
      <c r="B1148" s="1" t="n">
        <v>45069</v>
      </c>
      <c r="C1148" s="1" t="n">
        <v>45578</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c r="U1148">
        <f>HYPERLINK("https://klasma.github.io/Logging_0188/knärot/A 22157-2023 karta knärot.png", "A 22157-2023")</f>
        <v/>
      </c>
      <c r="V1148">
        <f>HYPERLINK("https://klasma.github.io/Logging_0188/klagomål/A 22157-2023 FSC-klagomål.docx", "A 22157-2023")</f>
        <v/>
      </c>
      <c r="W1148">
        <f>HYPERLINK("https://klasma.github.io/Logging_0188/klagomålsmail/A 22157-2023 FSC-klagomål mail.docx", "A 22157-2023")</f>
        <v/>
      </c>
      <c r="X1148">
        <f>HYPERLINK("https://klasma.github.io/Logging_0188/tillsyn/A 22157-2023 tillsynsbegäran.docx", "A 22157-2023")</f>
        <v/>
      </c>
      <c r="Y1148">
        <f>HYPERLINK("https://klasma.github.io/Logging_0188/tillsynsmail/A 22157-2023 tillsynsbegäran mail.docx", "A 22157-2023")</f>
        <v/>
      </c>
    </row>
    <row r="1149" ht="15" customHeight="1">
      <c r="A1149" t="inlineStr">
        <is>
          <t>A 22175-2023</t>
        </is>
      </c>
      <c r="B1149" s="1" t="n">
        <v>45069</v>
      </c>
      <c r="C1149" s="1" t="n">
        <v>45578</v>
      </c>
      <c r="D1149" t="inlineStr">
        <is>
          <t>STOCKHOLMS LÄN</t>
        </is>
      </c>
      <c r="E1149" t="inlineStr">
        <is>
          <t>NORRTÄLJE</t>
        </is>
      </c>
      <c r="G1149" t="n">
        <v>32.7</v>
      </c>
      <c r="H1149" t="n">
        <v>0</v>
      </c>
      <c r="I1149" t="n">
        <v>0</v>
      </c>
      <c r="J1149" t="n">
        <v>0</v>
      </c>
      <c r="K1149" t="n">
        <v>0</v>
      </c>
      <c r="L1149" t="n">
        <v>0</v>
      </c>
      <c r="M1149" t="n">
        <v>0</v>
      </c>
      <c r="N1149" t="n">
        <v>0</v>
      </c>
      <c r="O1149" t="n">
        <v>0</v>
      </c>
      <c r="P1149" t="n">
        <v>0</v>
      </c>
      <c r="Q1149" t="n">
        <v>0</v>
      </c>
      <c r="R1149" s="2" t="inlineStr"/>
    </row>
    <row r="1150" ht="15" customHeight="1">
      <c r="A1150" t="inlineStr">
        <is>
          <t>A 22249-2023</t>
        </is>
      </c>
      <c r="B1150" s="1" t="n">
        <v>45070</v>
      </c>
      <c r="C1150" s="1" t="n">
        <v>45578</v>
      </c>
      <c r="D1150" t="inlineStr">
        <is>
          <t>STOCKHOLMS LÄN</t>
        </is>
      </c>
      <c r="E1150" t="inlineStr">
        <is>
          <t>NORRTÄLJE</t>
        </is>
      </c>
      <c r="F1150" t="inlineStr">
        <is>
          <t>Övriga Aktiebolag</t>
        </is>
      </c>
      <c r="G1150" t="n">
        <v>17.7</v>
      </c>
      <c r="H1150" t="n">
        <v>0</v>
      </c>
      <c r="I1150" t="n">
        <v>0</v>
      </c>
      <c r="J1150" t="n">
        <v>0</v>
      </c>
      <c r="K1150" t="n">
        <v>0</v>
      </c>
      <c r="L1150" t="n">
        <v>0</v>
      </c>
      <c r="M1150" t="n">
        <v>0</v>
      </c>
      <c r="N1150" t="n">
        <v>0</v>
      </c>
      <c r="O1150" t="n">
        <v>0</v>
      </c>
      <c r="P1150" t="n">
        <v>0</v>
      </c>
      <c r="Q1150" t="n">
        <v>0</v>
      </c>
      <c r="R1150" s="2" t="inlineStr"/>
    </row>
    <row r="1151" ht="15" customHeight="1">
      <c r="A1151" t="inlineStr">
        <is>
          <t>A 22398-2023</t>
        </is>
      </c>
      <c r="B1151" s="1" t="n">
        <v>45070</v>
      </c>
      <c r="C1151" s="1" t="n">
        <v>45578</v>
      </c>
      <c r="D1151" t="inlineStr">
        <is>
          <t>STOCKHOLMS LÄN</t>
        </is>
      </c>
      <c r="E1151" t="inlineStr">
        <is>
          <t>NORRTÄLJE</t>
        </is>
      </c>
      <c r="F1151" t="inlineStr">
        <is>
          <t>Övriga Aktiebolag</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22376-2023</t>
        </is>
      </c>
      <c r="B1152" s="1" t="n">
        <v>45070</v>
      </c>
      <c r="C1152" s="1" t="n">
        <v>45578</v>
      </c>
      <c r="D1152" t="inlineStr">
        <is>
          <t>STOCKHOLMS LÄN</t>
        </is>
      </c>
      <c r="E1152" t="inlineStr">
        <is>
          <t>NORRTÄLJE</t>
        </is>
      </c>
      <c r="F1152" t="inlineStr">
        <is>
          <t>Kommuner</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22456-2023</t>
        </is>
      </c>
      <c r="B1153" s="1" t="n">
        <v>45070</v>
      </c>
      <c r="C1153" s="1" t="n">
        <v>45578</v>
      </c>
      <c r="D1153" t="inlineStr">
        <is>
          <t>STOCKHOLMS LÄN</t>
        </is>
      </c>
      <c r="E1153" t="inlineStr">
        <is>
          <t>NORRTÄLJE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22378-2023</t>
        </is>
      </c>
      <c r="B1154" s="1" t="n">
        <v>45070</v>
      </c>
      <c r="C1154" s="1" t="n">
        <v>45578</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22406-2023</t>
        </is>
      </c>
      <c r="B1155" s="1" t="n">
        <v>45070</v>
      </c>
      <c r="C1155" s="1" t="n">
        <v>45578</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22553-2023</t>
        </is>
      </c>
      <c r="B1156" s="1" t="n">
        <v>45071</v>
      </c>
      <c r="C1156" s="1" t="n">
        <v>45578</v>
      </c>
      <c r="D1156" t="inlineStr">
        <is>
          <t>STOCKHOLMS LÄN</t>
        </is>
      </c>
      <c r="E1156" t="inlineStr">
        <is>
          <t>NORRTÄLJE</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22962-2023</t>
        </is>
      </c>
      <c r="B1157" s="1" t="n">
        <v>45072</v>
      </c>
      <c r="C1157" s="1" t="n">
        <v>45578</v>
      </c>
      <c r="D1157" t="inlineStr">
        <is>
          <t>STOCKHOLMS LÄN</t>
        </is>
      </c>
      <c r="E1157" t="inlineStr">
        <is>
          <t>NORRTÄLJE</t>
        </is>
      </c>
      <c r="F1157" t="inlineStr">
        <is>
          <t>Holmen skog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23056-2023</t>
        </is>
      </c>
      <c r="B1158" s="1" t="n">
        <v>45075</v>
      </c>
      <c r="C1158" s="1" t="n">
        <v>45578</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23060-2023</t>
        </is>
      </c>
      <c r="B1159" s="1" t="n">
        <v>45075</v>
      </c>
      <c r="C1159" s="1" t="n">
        <v>45578</v>
      </c>
      <c r="D1159" t="inlineStr">
        <is>
          <t>STOCKHOLMS LÄN</t>
        </is>
      </c>
      <c r="E1159" t="inlineStr">
        <is>
          <t>NORRTÄLJE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23070-2023</t>
        </is>
      </c>
      <c r="B1160" s="1" t="n">
        <v>45075</v>
      </c>
      <c r="C1160" s="1" t="n">
        <v>45578</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23130-2023</t>
        </is>
      </c>
      <c r="B1161" s="1" t="n">
        <v>45075</v>
      </c>
      <c r="C1161" s="1" t="n">
        <v>45578</v>
      </c>
      <c r="D1161" t="inlineStr">
        <is>
          <t>STOCKHOLMS LÄN</t>
        </is>
      </c>
      <c r="E1161" t="inlineStr">
        <is>
          <t>NORRTÄLJE</t>
        </is>
      </c>
      <c r="F1161" t="inlineStr">
        <is>
          <t>Kommuner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23265-2023</t>
        </is>
      </c>
      <c r="B1162" s="1" t="n">
        <v>45075</v>
      </c>
      <c r="C1162" s="1" t="n">
        <v>45578</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23269-2023</t>
        </is>
      </c>
      <c r="B1163" s="1" t="n">
        <v>45075</v>
      </c>
      <c r="C1163" s="1" t="n">
        <v>45578</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23273-2023</t>
        </is>
      </c>
      <c r="B1164" s="1" t="n">
        <v>45076</v>
      </c>
      <c r="C1164" s="1" t="n">
        <v>45578</v>
      </c>
      <c r="D1164" t="inlineStr">
        <is>
          <t>STOCKHOLMS LÄN</t>
        </is>
      </c>
      <c r="E1164" t="inlineStr">
        <is>
          <t>NORRTÄLJE</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23134-2023</t>
        </is>
      </c>
      <c r="B1165" s="1" t="n">
        <v>45075</v>
      </c>
      <c r="C1165" s="1" t="n">
        <v>45578</v>
      </c>
      <c r="D1165" t="inlineStr">
        <is>
          <t>STOCKHOLMS LÄN</t>
        </is>
      </c>
      <c r="E1165" t="inlineStr">
        <is>
          <t>NORRTÄLJE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23263-2023</t>
        </is>
      </c>
      <c r="B1166" s="1" t="n">
        <v>45075</v>
      </c>
      <c r="C1166" s="1" t="n">
        <v>45578</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23267-2023</t>
        </is>
      </c>
      <c r="B1167" s="1" t="n">
        <v>45075</v>
      </c>
      <c r="C1167" s="1" t="n">
        <v>45578</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23271-2023</t>
        </is>
      </c>
      <c r="B1168" s="1" t="n">
        <v>45075</v>
      </c>
      <c r="C1168" s="1" t="n">
        <v>45578</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23264-2023</t>
        </is>
      </c>
      <c r="B1169" s="1" t="n">
        <v>45075</v>
      </c>
      <c r="C1169" s="1" t="n">
        <v>45578</v>
      </c>
      <c r="D1169" t="inlineStr">
        <is>
          <t>STOCKHOLMS LÄN</t>
        </is>
      </c>
      <c r="E1169" t="inlineStr">
        <is>
          <t>NORRTÄLJE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23268-2023</t>
        </is>
      </c>
      <c r="B1170" s="1" t="n">
        <v>45075</v>
      </c>
      <c r="C1170" s="1" t="n">
        <v>45578</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23272-2023</t>
        </is>
      </c>
      <c r="B1171" s="1" t="n">
        <v>45075</v>
      </c>
      <c r="C1171" s="1" t="n">
        <v>45578</v>
      </c>
      <c r="D1171" t="inlineStr">
        <is>
          <t>STOCKHOLMS LÄN</t>
        </is>
      </c>
      <c r="E1171" t="inlineStr">
        <is>
          <t>NORRTÄLJE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23262-2023</t>
        </is>
      </c>
      <c r="B1172" s="1" t="n">
        <v>45075</v>
      </c>
      <c r="C1172" s="1" t="n">
        <v>45578</v>
      </c>
      <c r="D1172" t="inlineStr">
        <is>
          <t>STOCKHOLMS LÄN</t>
        </is>
      </c>
      <c r="E1172" t="inlineStr">
        <is>
          <t>NORRTÄLJE</t>
        </is>
      </c>
      <c r="F1172" t="inlineStr">
        <is>
          <t>Kommuner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23266-2023</t>
        </is>
      </c>
      <c r="B1173" s="1" t="n">
        <v>45075</v>
      </c>
      <c r="C1173" s="1" t="n">
        <v>45578</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23270-2023</t>
        </is>
      </c>
      <c r="B1174" s="1" t="n">
        <v>45075</v>
      </c>
      <c r="C1174" s="1" t="n">
        <v>45578</v>
      </c>
      <c r="D1174" t="inlineStr">
        <is>
          <t>STOCKHOLMS LÄN</t>
        </is>
      </c>
      <c r="E1174" t="inlineStr">
        <is>
          <t>NORRTÄLJE</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23274-2023</t>
        </is>
      </c>
      <c r="B1175" s="1" t="n">
        <v>45076</v>
      </c>
      <c r="C1175" s="1" t="n">
        <v>45578</v>
      </c>
      <c r="D1175" t="inlineStr">
        <is>
          <t>STOCKHOLMS LÄN</t>
        </is>
      </c>
      <c r="E1175" t="inlineStr">
        <is>
          <t>NORRTÄLJE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23699-2023</t>
        </is>
      </c>
      <c r="B1176" s="1" t="n">
        <v>45077</v>
      </c>
      <c r="C1176" s="1" t="n">
        <v>45578</v>
      </c>
      <c r="D1176" t="inlineStr">
        <is>
          <t>STOCKHOLMS LÄN</t>
        </is>
      </c>
      <c r="E1176" t="inlineStr">
        <is>
          <t>NORRTÄLJE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24129-2023</t>
        </is>
      </c>
      <c r="B1177" s="1" t="n">
        <v>45079</v>
      </c>
      <c r="C1177" s="1" t="n">
        <v>45578</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24330-2023</t>
        </is>
      </c>
      <c r="B1178" s="1" t="n">
        <v>45081</v>
      </c>
      <c r="C1178" s="1" t="n">
        <v>45578</v>
      </c>
      <c r="D1178" t="inlineStr">
        <is>
          <t>STOCKHOLMS LÄN</t>
        </is>
      </c>
      <c r="E1178" t="inlineStr">
        <is>
          <t>NORRTÄLJE</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24520-2023</t>
        </is>
      </c>
      <c r="B1179" s="1" t="n">
        <v>45082</v>
      </c>
      <c r="C1179" s="1" t="n">
        <v>45578</v>
      </c>
      <c r="D1179" t="inlineStr">
        <is>
          <t>STOCKHOLMS LÄN</t>
        </is>
      </c>
      <c r="E1179" t="inlineStr">
        <is>
          <t>NORRTÄLJE</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24501-2023</t>
        </is>
      </c>
      <c r="B1180" s="1" t="n">
        <v>45082</v>
      </c>
      <c r="C1180" s="1" t="n">
        <v>45578</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24522-2023</t>
        </is>
      </c>
      <c r="B1181" s="1" t="n">
        <v>45082</v>
      </c>
      <c r="C1181" s="1" t="n">
        <v>45578</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24705-2023</t>
        </is>
      </c>
      <c r="B1182" s="1" t="n">
        <v>45084</v>
      </c>
      <c r="C1182" s="1" t="n">
        <v>45578</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24727-2023</t>
        </is>
      </c>
      <c r="B1183" s="1" t="n">
        <v>45084</v>
      </c>
      <c r="C1183" s="1" t="n">
        <v>45578</v>
      </c>
      <c r="D1183" t="inlineStr">
        <is>
          <t>STOCKHOLMS LÄN</t>
        </is>
      </c>
      <c r="E1183" t="inlineStr">
        <is>
          <t>NORRTÄLJE</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24788-2023</t>
        </is>
      </c>
      <c r="B1184" s="1" t="n">
        <v>45084</v>
      </c>
      <c r="C1184" s="1" t="n">
        <v>45578</v>
      </c>
      <c r="D1184" t="inlineStr">
        <is>
          <t>STOCKHOLMS LÄN</t>
        </is>
      </c>
      <c r="E1184" t="inlineStr">
        <is>
          <t>NORRTÄLJE</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24789-2023</t>
        </is>
      </c>
      <c r="B1185" s="1" t="n">
        <v>45084</v>
      </c>
      <c r="C1185" s="1" t="n">
        <v>45578</v>
      </c>
      <c r="D1185" t="inlineStr">
        <is>
          <t>STOCKHOLMS LÄN</t>
        </is>
      </c>
      <c r="E1185" t="inlineStr">
        <is>
          <t>NORRTÄLJE</t>
        </is>
      </c>
      <c r="F1185" t="inlineStr">
        <is>
          <t>Sveaskog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24887-2023</t>
        </is>
      </c>
      <c r="B1186" s="1" t="n">
        <v>45085</v>
      </c>
      <c r="C1186" s="1" t="n">
        <v>45578</v>
      </c>
      <c r="D1186" t="inlineStr">
        <is>
          <t>STOCKHOLMS LÄN</t>
        </is>
      </c>
      <c r="E1186" t="inlineStr">
        <is>
          <t>NORRTÄLJE</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24933-2023</t>
        </is>
      </c>
      <c r="B1187" s="1" t="n">
        <v>45085</v>
      </c>
      <c r="C1187" s="1" t="n">
        <v>45578</v>
      </c>
      <c r="D1187" t="inlineStr">
        <is>
          <t>STOCKHOLMS LÄN</t>
        </is>
      </c>
      <c r="E1187" t="inlineStr">
        <is>
          <t>NORRTÄLJE</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25174-2023</t>
        </is>
      </c>
      <c r="B1188" s="1" t="n">
        <v>45086</v>
      </c>
      <c r="C1188" s="1" t="n">
        <v>45578</v>
      </c>
      <c r="D1188" t="inlineStr">
        <is>
          <t>STOCKHOLMS LÄN</t>
        </is>
      </c>
      <c r="E1188" t="inlineStr">
        <is>
          <t>NORRTÄLJE</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25094-2023</t>
        </is>
      </c>
      <c r="B1189" s="1" t="n">
        <v>45086</v>
      </c>
      <c r="C1189" s="1" t="n">
        <v>45578</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25257-2023</t>
        </is>
      </c>
      <c r="B1190" s="1" t="n">
        <v>45086</v>
      </c>
      <c r="C1190" s="1" t="n">
        <v>45578</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25614-2023</t>
        </is>
      </c>
      <c r="B1191" s="1" t="n">
        <v>45089</v>
      </c>
      <c r="C1191" s="1" t="n">
        <v>45578</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25625-2023</t>
        </is>
      </c>
      <c r="B1192" s="1" t="n">
        <v>45089</v>
      </c>
      <c r="C1192" s="1" t="n">
        <v>45578</v>
      </c>
      <c r="D1192" t="inlineStr">
        <is>
          <t>STOCKHOLMS LÄN</t>
        </is>
      </c>
      <c r="E1192" t="inlineStr">
        <is>
          <t>NORRTÄLJE</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25557-2023</t>
        </is>
      </c>
      <c r="B1193" s="1" t="n">
        <v>45089</v>
      </c>
      <c r="C1193" s="1" t="n">
        <v>45578</v>
      </c>
      <c r="D1193" t="inlineStr">
        <is>
          <t>STOCKHOLMS LÄN</t>
        </is>
      </c>
      <c r="E1193" t="inlineStr">
        <is>
          <t>NORRTÄLJE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25609-2023</t>
        </is>
      </c>
      <c r="B1194" s="1" t="n">
        <v>45089</v>
      </c>
      <c r="C1194" s="1" t="n">
        <v>45578</v>
      </c>
      <c r="D1194" t="inlineStr">
        <is>
          <t>STOCKHOLMS LÄN</t>
        </is>
      </c>
      <c r="E1194" t="inlineStr">
        <is>
          <t>NORRTÄLJE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25618-2023</t>
        </is>
      </c>
      <c r="B1195" s="1" t="n">
        <v>45089</v>
      </c>
      <c r="C1195" s="1" t="n">
        <v>45578</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25656-2023</t>
        </is>
      </c>
      <c r="B1196" s="1" t="n">
        <v>45089</v>
      </c>
      <c r="C1196" s="1" t="n">
        <v>45578</v>
      </c>
      <c r="D1196" t="inlineStr">
        <is>
          <t>STOCKHOLMS LÄN</t>
        </is>
      </c>
      <c r="E1196" t="inlineStr">
        <is>
          <t>NORRTÄLJE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25654-2023</t>
        </is>
      </c>
      <c r="B1197" s="1" t="n">
        <v>45089</v>
      </c>
      <c r="C1197" s="1" t="n">
        <v>45578</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25831-2023</t>
        </is>
      </c>
      <c r="B1198" s="1" t="n">
        <v>45090</v>
      </c>
      <c r="C1198" s="1" t="n">
        <v>45578</v>
      </c>
      <c r="D1198" t="inlineStr">
        <is>
          <t>STOCKHOLMS LÄN</t>
        </is>
      </c>
      <c r="E1198" t="inlineStr">
        <is>
          <t>NORRTÄLJE</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25915-2023</t>
        </is>
      </c>
      <c r="B1199" s="1" t="n">
        <v>45090</v>
      </c>
      <c r="C1199" s="1" t="n">
        <v>45578</v>
      </c>
      <c r="D1199" t="inlineStr">
        <is>
          <t>STOCKHOLMS LÄN</t>
        </is>
      </c>
      <c r="E1199" t="inlineStr">
        <is>
          <t>NORRTÄLJE</t>
        </is>
      </c>
      <c r="F1199" t="inlineStr">
        <is>
          <t>Naturvårdsverket</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26065-2023</t>
        </is>
      </c>
      <c r="B1200" s="1" t="n">
        <v>45091</v>
      </c>
      <c r="C1200" s="1" t="n">
        <v>45578</v>
      </c>
      <c r="D1200" t="inlineStr">
        <is>
          <t>STOCKHOLMS LÄN</t>
        </is>
      </c>
      <c r="E1200" t="inlineStr">
        <is>
          <t>NORRTÄLJE</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26315-2023</t>
        </is>
      </c>
      <c r="B1201" s="1" t="n">
        <v>45091</v>
      </c>
      <c r="C1201" s="1" t="n">
        <v>45578</v>
      </c>
      <c r="D1201" t="inlineStr">
        <is>
          <t>STOCKHOLMS LÄN</t>
        </is>
      </c>
      <c r="E1201" t="inlineStr">
        <is>
          <t>NORRTÄLJE</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26570-2023</t>
        </is>
      </c>
      <c r="B1202" s="1" t="n">
        <v>45092</v>
      </c>
      <c r="C1202" s="1" t="n">
        <v>45578</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26636-2023</t>
        </is>
      </c>
      <c r="B1203" s="1" t="n">
        <v>45092</v>
      </c>
      <c r="C1203" s="1" t="n">
        <v>45578</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26640-2023</t>
        </is>
      </c>
      <c r="B1204" s="1" t="n">
        <v>45092</v>
      </c>
      <c r="C1204" s="1" t="n">
        <v>45578</v>
      </c>
      <c r="D1204" t="inlineStr">
        <is>
          <t>STOCKHOLMS LÄN</t>
        </is>
      </c>
      <c r="E1204" t="inlineStr">
        <is>
          <t>NORRTÄLJE</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26637-2023</t>
        </is>
      </c>
      <c r="B1205" s="1" t="n">
        <v>45092</v>
      </c>
      <c r="C1205" s="1" t="n">
        <v>45578</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26639-2023</t>
        </is>
      </c>
      <c r="B1206" s="1" t="n">
        <v>45092</v>
      </c>
      <c r="C1206" s="1" t="n">
        <v>45578</v>
      </c>
      <c r="D1206" t="inlineStr">
        <is>
          <t>STOCKHOLMS LÄN</t>
        </is>
      </c>
      <c r="E1206" t="inlineStr">
        <is>
          <t>NORRTÄLJE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27651-2023</t>
        </is>
      </c>
      <c r="B1207" s="1" t="n">
        <v>45097</v>
      </c>
      <c r="C1207" s="1" t="n">
        <v>45578</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28281-2023</t>
        </is>
      </c>
      <c r="B1208" s="1" t="n">
        <v>45099</v>
      </c>
      <c r="C1208" s="1" t="n">
        <v>45578</v>
      </c>
      <c r="D1208" t="inlineStr">
        <is>
          <t>STOCKHOLMS LÄN</t>
        </is>
      </c>
      <c r="E1208" t="inlineStr">
        <is>
          <t>NORRTÄLJE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28820-2023</t>
        </is>
      </c>
      <c r="B1209" s="1" t="n">
        <v>45104</v>
      </c>
      <c r="C1209" s="1" t="n">
        <v>45578</v>
      </c>
      <c r="D1209" t="inlineStr">
        <is>
          <t>STOCKHOLMS LÄN</t>
        </is>
      </c>
      <c r="E1209" t="inlineStr">
        <is>
          <t>NORRTÄLJE</t>
        </is>
      </c>
      <c r="F1209" t="inlineStr">
        <is>
          <t>Kommuner</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28813-2023</t>
        </is>
      </c>
      <c r="B1210" s="1" t="n">
        <v>45104</v>
      </c>
      <c r="C1210" s="1" t="n">
        <v>45578</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29003-2023</t>
        </is>
      </c>
      <c r="B1211" s="1" t="n">
        <v>45104</v>
      </c>
      <c r="C1211" s="1" t="n">
        <v>45578</v>
      </c>
      <c r="D1211" t="inlineStr">
        <is>
          <t>STOCKHOLMS LÄN</t>
        </is>
      </c>
      <c r="E1211" t="inlineStr">
        <is>
          <t>NORRTÄLJE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28816-2023</t>
        </is>
      </c>
      <c r="B1212" s="1" t="n">
        <v>45104</v>
      </c>
      <c r="C1212" s="1" t="n">
        <v>45578</v>
      </c>
      <c r="D1212" t="inlineStr">
        <is>
          <t>STOCKHOLMS LÄN</t>
        </is>
      </c>
      <c r="E1212" t="inlineStr">
        <is>
          <t>NORRTÄLJE</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28809-2023</t>
        </is>
      </c>
      <c r="B1213" s="1" t="n">
        <v>45104</v>
      </c>
      <c r="C1213" s="1" t="n">
        <v>45578</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29254-2023</t>
        </is>
      </c>
      <c r="B1214" s="1" t="n">
        <v>45105</v>
      </c>
      <c r="C1214" s="1" t="n">
        <v>45578</v>
      </c>
      <c r="D1214" t="inlineStr">
        <is>
          <t>STOCKHOLMS LÄN</t>
        </is>
      </c>
      <c r="E1214" t="inlineStr">
        <is>
          <t>NORRTÄLJE</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29433-2023</t>
        </is>
      </c>
      <c r="B1215" s="1" t="n">
        <v>45106</v>
      </c>
      <c r="C1215" s="1" t="n">
        <v>45578</v>
      </c>
      <c r="D1215" t="inlineStr">
        <is>
          <t>STOCKHOLMS LÄN</t>
        </is>
      </c>
      <c r="E1215" t="inlineStr">
        <is>
          <t>NORRTÄLJE</t>
        </is>
      </c>
      <c r="F1215" t="inlineStr">
        <is>
          <t>Övriga Aktiebolag</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29681-2023</t>
        </is>
      </c>
      <c r="B1216" s="1" t="n">
        <v>45107</v>
      </c>
      <c r="C1216" s="1" t="n">
        <v>45578</v>
      </c>
      <c r="D1216" t="inlineStr">
        <is>
          <t>STOCKHOLMS LÄN</t>
        </is>
      </c>
      <c r="E1216" t="inlineStr">
        <is>
          <t>NORRTÄLJE</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29710-2023</t>
        </is>
      </c>
      <c r="B1217" s="1" t="n">
        <v>45107</v>
      </c>
      <c r="C1217" s="1" t="n">
        <v>45578</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29714-2023</t>
        </is>
      </c>
      <c r="B1218" s="1" t="n">
        <v>45107</v>
      </c>
      <c r="C1218" s="1" t="n">
        <v>45578</v>
      </c>
      <c r="D1218" t="inlineStr">
        <is>
          <t>STOCKHOLMS LÄN</t>
        </is>
      </c>
      <c r="E1218" t="inlineStr">
        <is>
          <t>NORRTÄLJE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30116-2023</t>
        </is>
      </c>
      <c r="B1219" s="1" t="n">
        <v>45110</v>
      </c>
      <c r="C1219" s="1" t="n">
        <v>45578</v>
      </c>
      <c r="D1219" t="inlineStr">
        <is>
          <t>STOCKHOLMS LÄN</t>
        </is>
      </c>
      <c r="E1219" t="inlineStr">
        <is>
          <t>NORRTÄLJE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30281-2023</t>
        </is>
      </c>
      <c r="B1220" s="1" t="n">
        <v>45110</v>
      </c>
      <c r="C1220" s="1" t="n">
        <v>45578</v>
      </c>
      <c r="D1220" t="inlineStr">
        <is>
          <t>STOCKHOLMS LÄN</t>
        </is>
      </c>
      <c r="E1220" t="inlineStr">
        <is>
          <t>NORRTÄLJE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30508-2023</t>
        </is>
      </c>
      <c r="B1221" s="1" t="n">
        <v>45111</v>
      </c>
      <c r="C1221" s="1" t="n">
        <v>45578</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30496-2023</t>
        </is>
      </c>
      <c r="B1222" s="1" t="n">
        <v>45111</v>
      </c>
      <c r="C1222" s="1" t="n">
        <v>45578</v>
      </c>
      <c r="D1222" t="inlineStr">
        <is>
          <t>STOCKHOLMS LÄN</t>
        </is>
      </c>
      <c r="E1222" t="inlineStr">
        <is>
          <t>NORRTÄLJE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30516-2023</t>
        </is>
      </c>
      <c r="B1223" s="1" t="n">
        <v>45111</v>
      </c>
      <c r="C1223" s="1" t="n">
        <v>45578</v>
      </c>
      <c r="D1223" t="inlineStr">
        <is>
          <t>STOCKHOLMS LÄN</t>
        </is>
      </c>
      <c r="E1223" t="inlineStr">
        <is>
          <t>NORRTÄLJE</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30525-2023</t>
        </is>
      </c>
      <c r="B1224" s="1" t="n">
        <v>45111</v>
      </c>
      <c r="C1224" s="1" t="n">
        <v>45578</v>
      </c>
      <c r="D1224" t="inlineStr">
        <is>
          <t>STOCKHOLMS LÄN</t>
        </is>
      </c>
      <c r="E1224" t="inlineStr">
        <is>
          <t>NORRTÄLJE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30424-2023</t>
        </is>
      </c>
      <c r="B1225" s="1" t="n">
        <v>45111</v>
      </c>
      <c r="C1225" s="1" t="n">
        <v>45578</v>
      </c>
      <c r="D1225" t="inlineStr">
        <is>
          <t>STOCKHOLMS LÄN</t>
        </is>
      </c>
      <c r="E1225" t="inlineStr">
        <is>
          <t>NORRTÄLJE</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30425-2023</t>
        </is>
      </c>
      <c r="B1226" s="1" t="n">
        <v>45111</v>
      </c>
      <c r="C1226" s="1" t="n">
        <v>45578</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30731-2023</t>
        </is>
      </c>
      <c r="B1227" s="1" t="n">
        <v>45112</v>
      </c>
      <c r="C1227" s="1" t="n">
        <v>45578</v>
      </c>
      <c r="D1227" t="inlineStr">
        <is>
          <t>STOCKHOLMS LÄN</t>
        </is>
      </c>
      <c r="E1227" t="inlineStr">
        <is>
          <t>NORRTÄLJE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30663-2023</t>
        </is>
      </c>
      <c r="B1228" s="1" t="n">
        <v>45112</v>
      </c>
      <c r="C1228" s="1" t="n">
        <v>45578</v>
      </c>
      <c r="D1228" t="inlineStr">
        <is>
          <t>STOCKHOLMS LÄN</t>
        </is>
      </c>
      <c r="E1228" t="inlineStr">
        <is>
          <t>NORRTÄLJE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30780-2023</t>
        </is>
      </c>
      <c r="B1229" s="1" t="n">
        <v>45112</v>
      </c>
      <c r="C1229" s="1" t="n">
        <v>45578</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30773-2023</t>
        </is>
      </c>
      <c r="B1230" s="1" t="n">
        <v>45112</v>
      </c>
      <c r="C1230" s="1" t="n">
        <v>45578</v>
      </c>
      <c r="D1230" t="inlineStr">
        <is>
          <t>STOCKHOLMS LÄN</t>
        </is>
      </c>
      <c r="E1230" t="inlineStr">
        <is>
          <t>NORRTÄLJE</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30924-2023</t>
        </is>
      </c>
      <c r="B1231" s="1" t="n">
        <v>45113</v>
      </c>
      <c r="C1231" s="1" t="n">
        <v>45578</v>
      </c>
      <c r="D1231" t="inlineStr">
        <is>
          <t>STOCKHOLMS LÄN</t>
        </is>
      </c>
      <c r="E1231" t="inlineStr">
        <is>
          <t>NORRTÄLJE</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30923-2023</t>
        </is>
      </c>
      <c r="B1232" s="1" t="n">
        <v>45113</v>
      </c>
      <c r="C1232" s="1" t="n">
        <v>45578</v>
      </c>
      <c r="D1232" t="inlineStr">
        <is>
          <t>STOCKHOLMS LÄN</t>
        </is>
      </c>
      <c r="E1232" t="inlineStr">
        <is>
          <t>NORRTÄLJE</t>
        </is>
      </c>
      <c r="F1232" t="inlineStr">
        <is>
          <t>Sveaskog</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31140-2023</t>
        </is>
      </c>
      <c r="B1233" s="1" t="n">
        <v>45113</v>
      </c>
      <c r="C1233" s="1" t="n">
        <v>45578</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30921-2023</t>
        </is>
      </c>
      <c r="B1234" s="1" t="n">
        <v>45113</v>
      </c>
      <c r="C1234" s="1" t="n">
        <v>45578</v>
      </c>
      <c r="D1234" t="inlineStr">
        <is>
          <t>STOCKHOLMS LÄN</t>
        </is>
      </c>
      <c r="E1234" t="inlineStr">
        <is>
          <t>NORRTÄLJE</t>
        </is>
      </c>
      <c r="F1234" t="inlineStr">
        <is>
          <t>Sveaskog</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31149-2023</t>
        </is>
      </c>
      <c r="B1235" s="1" t="n">
        <v>45113</v>
      </c>
      <c r="C1235" s="1" t="n">
        <v>45578</v>
      </c>
      <c r="D1235" t="inlineStr">
        <is>
          <t>STOCKHOLMS LÄN</t>
        </is>
      </c>
      <c r="E1235" t="inlineStr">
        <is>
          <t>NORRTÄLJE</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31153-2023</t>
        </is>
      </c>
      <c r="B1236" s="1" t="n">
        <v>45113</v>
      </c>
      <c r="C1236" s="1" t="n">
        <v>45578</v>
      </c>
      <c r="D1236" t="inlineStr">
        <is>
          <t>STOCKHOLMS LÄN</t>
        </is>
      </c>
      <c r="E1236" t="inlineStr">
        <is>
          <t>NORRTÄLJE</t>
        </is>
      </c>
      <c r="G1236" t="n">
        <v>17.5</v>
      </c>
      <c r="H1236" t="n">
        <v>0</v>
      </c>
      <c r="I1236" t="n">
        <v>0</v>
      </c>
      <c r="J1236" t="n">
        <v>0</v>
      </c>
      <c r="K1236" t="n">
        <v>0</v>
      </c>
      <c r="L1236" t="n">
        <v>0</v>
      </c>
      <c r="M1236" t="n">
        <v>0</v>
      </c>
      <c r="N1236" t="n">
        <v>0</v>
      </c>
      <c r="O1236" t="n">
        <v>0</v>
      </c>
      <c r="P1236" t="n">
        <v>0</v>
      </c>
      <c r="Q1236" t="n">
        <v>0</v>
      </c>
      <c r="R1236" s="2" t="inlineStr"/>
    </row>
    <row r="1237" ht="15" customHeight="1">
      <c r="A1237" t="inlineStr">
        <is>
          <t>A 31827-2023</t>
        </is>
      </c>
      <c r="B1237" s="1" t="n">
        <v>45118</v>
      </c>
      <c r="C1237" s="1" t="n">
        <v>45578</v>
      </c>
      <c r="D1237" t="inlineStr">
        <is>
          <t>STOCKHOLMS LÄN</t>
        </is>
      </c>
      <c r="E1237" t="inlineStr">
        <is>
          <t>NORRTÄLJE</t>
        </is>
      </c>
      <c r="F1237" t="inlineStr">
        <is>
          <t>Kyrkan</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31832-2023</t>
        </is>
      </c>
      <c r="B1238" s="1" t="n">
        <v>45118</v>
      </c>
      <c r="C1238" s="1" t="n">
        <v>45578</v>
      </c>
      <c r="D1238" t="inlineStr">
        <is>
          <t>STOCKHOLMS LÄN</t>
        </is>
      </c>
      <c r="E1238" t="inlineStr">
        <is>
          <t>NORRTÄLJE</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32071-2023</t>
        </is>
      </c>
      <c r="B1239" s="1" t="n">
        <v>45119</v>
      </c>
      <c r="C1239" s="1" t="n">
        <v>45578</v>
      </c>
      <c r="D1239" t="inlineStr">
        <is>
          <t>STOCKHOLMS LÄN</t>
        </is>
      </c>
      <c r="E1239" t="inlineStr">
        <is>
          <t>NORRTÄLJE</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32621-2023</t>
        </is>
      </c>
      <c r="B1240" s="1" t="n">
        <v>45121</v>
      </c>
      <c r="C1240" s="1" t="n">
        <v>45578</v>
      </c>
      <c r="D1240" t="inlineStr">
        <is>
          <t>STOCKHOLMS LÄN</t>
        </is>
      </c>
      <c r="E1240" t="inlineStr">
        <is>
          <t>NORRTÄLJE</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32595-2023</t>
        </is>
      </c>
      <c r="B1241" s="1" t="n">
        <v>45121</v>
      </c>
      <c r="C1241" s="1" t="n">
        <v>45578</v>
      </c>
      <c r="D1241" t="inlineStr">
        <is>
          <t>STOCKHOLMS LÄN</t>
        </is>
      </c>
      <c r="E1241" t="inlineStr">
        <is>
          <t>NORRTÄLJE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32948-2023</t>
        </is>
      </c>
      <c r="B1242" s="1" t="n">
        <v>45125</v>
      </c>
      <c r="C1242" s="1" t="n">
        <v>45578</v>
      </c>
      <c r="D1242" t="inlineStr">
        <is>
          <t>STOCKHOLMS LÄN</t>
        </is>
      </c>
      <c r="E1242" t="inlineStr">
        <is>
          <t>NORRTÄLJE</t>
        </is>
      </c>
      <c r="F1242" t="inlineStr">
        <is>
          <t>Holmen skog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33025-2023</t>
        </is>
      </c>
      <c r="B1243" s="1" t="n">
        <v>45125</v>
      </c>
      <c r="C1243" s="1" t="n">
        <v>45578</v>
      </c>
      <c r="D1243" t="inlineStr">
        <is>
          <t>STOCKHOLMS LÄN</t>
        </is>
      </c>
      <c r="E1243" t="inlineStr">
        <is>
          <t>NORRTÄLJE</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33130-2023</t>
        </is>
      </c>
      <c r="B1244" s="1" t="n">
        <v>45126</v>
      </c>
      <c r="C1244" s="1" t="n">
        <v>45578</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33295-2023</t>
        </is>
      </c>
      <c r="B1245" s="1" t="n">
        <v>45127</v>
      </c>
      <c r="C1245" s="1" t="n">
        <v>45578</v>
      </c>
      <c r="D1245" t="inlineStr">
        <is>
          <t>STOCKHOLMS LÄN</t>
        </is>
      </c>
      <c r="E1245" t="inlineStr">
        <is>
          <t>NORRTÄLJE</t>
        </is>
      </c>
      <c r="F1245" t="inlineStr">
        <is>
          <t>Holmen skog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33270-2023</t>
        </is>
      </c>
      <c r="B1246" s="1" t="n">
        <v>45127</v>
      </c>
      <c r="C1246" s="1" t="n">
        <v>45578</v>
      </c>
      <c r="D1246" t="inlineStr">
        <is>
          <t>STOCKHOLMS LÄN</t>
        </is>
      </c>
      <c r="E1246" t="inlineStr">
        <is>
          <t>NORRTÄLJE</t>
        </is>
      </c>
      <c r="F1246" t="inlineStr">
        <is>
          <t>Holmen skog AB</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33226-2023</t>
        </is>
      </c>
      <c r="B1247" s="1" t="n">
        <v>45127</v>
      </c>
      <c r="C1247" s="1" t="n">
        <v>45578</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33243-2023</t>
        </is>
      </c>
      <c r="B1248" s="1" t="n">
        <v>45127</v>
      </c>
      <c r="C1248" s="1" t="n">
        <v>45578</v>
      </c>
      <c r="D1248" t="inlineStr">
        <is>
          <t>STOCKHOLMS LÄN</t>
        </is>
      </c>
      <c r="E1248" t="inlineStr">
        <is>
          <t>NORRTÄLJE</t>
        </is>
      </c>
      <c r="F1248" t="inlineStr">
        <is>
          <t>Holmen skog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33291-2023</t>
        </is>
      </c>
      <c r="B1249" s="1" t="n">
        <v>45127</v>
      </c>
      <c r="C1249" s="1" t="n">
        <v>45578</v>
      </c>
      <c r="D1249" t="inlineStr">
        <is>
          <t>STOCKHOLMS LÄN</t>
        </is>
      </c>
      <c r="E1249" t="inlineStr">
        <is>
          <t>NORRTÄLJE</t>
        </is>
      </c>
      <c r="F1249" t="inlineStr">
        <is>
          <t>Holmen skog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33353-2023</t>
        </is>
      </c>
      <c r="B1250" s="1" t="n">
        <v>45128</v>
      </c>
      <c r="C1250" s="1" t="n">
        <v>45578</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33569-2023</t>
        </is>
      </c>
      <c r="B1251" s="1" t="n">
        <v>45131</v>
      </c>
      <c r="C1251" s="1" t="n">
        <v>45578</v>
      </c>
      <c r="D1251" t="inlineStr">
        <is>
          <t>STOCKHOLMS LÄN</t>
        </is>
      </c>
      <c r="E1251" t="inlineStr">
        <is>
          <t>NORRTÄLJE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33646-2023</t>
        </is>
      </c>
      <c r="B1252" s="1" t="n">
        <v>45132</v>
      </c>
      <c r="C1252" s="1" t="n">
        <v>45578</v>
      </c>
      <c r="D1252" t="inlineStr">
        <is>
          <t>STOCKHOLMS LÄN</t>
        </is>
      </c>
      <c r="E1252" t="inlineStr">
        <is>
          <t>NORRTÄLJE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33641-2023</t>
        </is>
      </c>
      <c r="B1253" s="1" t="n">
        <v>45132</v>
      </c>
      <c r="C1253" s="1" t="n">
        <v>45578</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34085-2023</t>
        </is>
      </c>
      <c r="B1254" s="1" t="n">
        <v>45135</v>
      </c>
      <c r="C1254" s="1" t="n">
        <v>45578</v>
      </c>
      <c r="D1254" t="inlineStr">
        <is>
          <t>STOCKHOLMS LÄN</t>
        </is>
      </c>
      <c r="E1254" t="inlineStr">
        <is>
          <t>NORRTÄLJE</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34084-2023</t>
        </is>
      </c>
      <c r="B1255" s="1" t="n">
        <v>45135</v>
      </c>
      <c r="C1255" s="1" t="n">
        <v>45578</v>
      </c>
      <c r="D1255" t="inlineStr">
        <is>
          <t>STOCKHOLMS LÄN</t>
        </is>
      </c>
      <c r="E1255" t="inlineStr">
        <is>
          <t>NORRTÄLJE</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34132-2023</t>
        </is>
      </c>
      <c r="B1256" s="1" t="n">
        <v>45135</v>
      </c>
      <c r="C1256" s="1" t="n">
        <v>45578</v>
      </c>
      <c r="D1256" t="inlineStr">
        <is>
          <t>STOCKHOLMS LÄN</t>
        </is>
      </c>
      <c r="E1256" t="inlineStr">
        <is>
          <t>NORRTÄLJE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34391-2023</t>
        </is>
      </c>
      <c r="B1257" s="1" t="n">
        <v>45139</v>
      </c>
      <c r="C1257" s="1" t="n">
        <v>45578</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34461-2023</t>
        </is>
      </c>
      <c r="B1258" s="1" t="n">
        <v>45139</v>
      </c>
      <c r="C1258" s="1" t="n">
        <v>45578</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34462-2023</t>
        </is>
      </c>
      <c r="B1259" s="1" t="n">
        <v>45139</v>
      </c>
      <c r="C1259" s="1" t="n">
        <v>45578</v>
      </c>
      <c r="D1259" t="inlineStr">
        <is>
          <t>STOCKHOLMS LÄN</t>
        </is>
      </c>
      <c r="E1259" t="inlineStr">
        <is>
          <t>NORRTÄLJE</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34825-2023</t>
        </is>
      </c>
      <c r="B1260" s="1" t="n">
        <v>45141</v>
      </c>
      <c r="C1260" s="1" t="n">
        <v>45578</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35215-2023</t>
        </is>
      </c>
      <c r="B1261" s="1" t="n">
        <v>45145</v>
      </c>
      <c r="C1261" s="1" t="n">
        <v>45578</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35219-2023</t>
        </is>
      </c>
      <c r="B1262" s="1" t="n">
        <v>45145</v>
      </c>
      <c r="C1262" s="1" t="n">
        <v>45578</v>
      </c>
      <c r="D1262" t="inlineStr">
        <is>
          <t>STOCKHOLMS LÄN</t>
        </is>
      </c>
      <c r="E1262" t="inlineStr">
        <is>
          <t>NORRTÄLJE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35127-2023</t>
        </is>
      </c>
      <c r="B1263" s="1" t="n">
        <v>45145</v>
      </c>
      <c r="C1263" s="1" t="n">
        <v>45578</v>
      </c>
      <c r="D1263" t="inlineStr">
        <is>
          <t>STOCKHOLMS LÄN</t>
        </is>
      </c>
      <c r="E1263" t="inlineStr">
        <is>
          <t>NORRTÄLJE</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35131-2023</t>
        </is>
      </c>
      <c r="B1264" s="1" t="n">
        <v>45145</v>
      </c>
      <c r="C1264" s="1" t="n">
        <v>45578</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35128-2023</t>
        </is>
      </c>
      <c r="B1265" s="1" t="n">
        <v>45145</v>
      </c>
      <c r="C1265" s="1" t="n">
        <v>45578</v>
      </c>
      <c r="D1265" t="inlineStr">
        <is>
          <t>STOCKHOLMS LÄN</t>
        </is>
      </c>
      <c r="E1265" t="inlineStr">
        <is>
          <t>NORRTÄLJE</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35210-2023</t>
        </is>
      </c>
      <c r="B1266" s="1" t="n">
        <v>45145</v>
      </c>
      <c r="C1266" s="1" t="n">
        <v>45578</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35438-2023</t>
        </is>
      </c>
      <c r="B1267" s="1" t="n">
        <v>45146</v>
      </c>
      <c r="C1267" s="1" t="n">
        <v>45578</v>
      </c>
      <c r="D1267" t="inlineStr">
        <is>
          <t>STOCKHOLMS LÄN</t>
        </is>
      </c>
      <c r="E1267" t="inlineStr">
        <is>
          <t>NORRTÄLJE</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35698-2023</t>
        </is>
      </c>
      <c r="B1268" s="1" t="n">
        <v>45147</v>
      </c>
      <c r="C1268" s="1" t="n">
        <v>45578</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35702-2023</t>
        </is>
      </c>
      <c r="B1269" s="1" t="n">
        <v>45147</v>
      </c>
      <c r="C1269" s="1" t="n">
        <v>45578</v>
      </c>
      <c r="D1269" t="inlineStr">
        <is>
          <t>STOCKHOLMS LÄN</t>
        </is>
      </c>
      <c r="E1269" t="inlineStr">
        <is>
          <t>NORRTÄLJE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35691-2023</t>
        </is>
      </c>
      <c r="B1270" s="1" t="n">
        <v>45147</v>
      </c>
      <c r="C1270" s="1" t="n">
        <v>45578</v>
      </c>
      <c r="D1270" t="inlineStr">
        <is>
          <t>STOCKHOLMS LÄN</t>
        </is>
      </c>
      <c r="E1270" t="inlineStr">
        <is>
          <t>NORRTÄLJE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35695-2023</t>
        </is>
      </c>
      <c r="B1271" s="1" t="n">
        <v>45147</v>
      </c>
      <c r="C1271" s="1" t="n">
        <v>45578</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35696-2023</t>
        </is>
      </c>
      <c r="B1272" s="1" t="n">
        <v>45147</v>
      </c>
      <c r="C1272" s="1" t="n">
        <v>45578</v>
      </c>
      <c r="D1272" t="inlineStr">
        <is>
          <t>STOCKHOLMS LÄN</t>
        </is>
      </c>
      <c r="E1272" t="inlineStr">
        <is>
          <t>NORRTÄLJE</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35700-2023</t>
        </is>
      </c>
      <c r="B1273" s="1" t="n">
        <v>45147</v>
      </c>
      <c r="C1273" s="1" t="n">
        <v>45578</v>
      </c>
      <c r="D1273" t="inlineStr">
        <is>
          <t>STOCKHOLMS LÄN</t>
        </is>
      </c>
      <c r="E1273" t="inlineStr">
        <is>
          <t>NORRTÄLJE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35704-2023</t>
        </is>
      </c>
      <c r="B1274" s="1" t="n">
        <v>45147</v>
      </c>
      <c r="C1274" s="1" t="n">
        <v>45578</v>
      </c>
      <c r="D1274" t="inlineStr">
        <is>
          <t>STOCKHOLMS LÄN</t>
        </is>
      </c>
      <c r="E1274" t="inlineStr">
        <is>
          <t>NORRTÄLJE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35693-2023</t>
        </is>
      </c>
      <c r="B1275" s="1" t="n">
        <v>45147</v>
      </c>
      <c r="C1275" s="1" t="n">
        <v>45578</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35701-2023</t>
        </is>
      </c>
      <c r="B1276" s="1" t="n">
        <v>45147</v>
      </c>
      <c r="C1276" s="1" t="n">
        <v>45578</v>
      </c>
      <c r="D1276" t="inlineStr">
        <is>
          <t>STOCKHOLMS LÄN</t>
        </is>
      </c>
      <c r="E1276" t="inlineStr">
        <is>
          <t>NORRTÄLJE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35823-2023</t>
        </is>
      </c>
      <c r="B1277" s="1" t="n">
        <v>45148</v>
      </c>
      <c r="C1277" s="1" t="n">
        <v>45578</v>
      </c>
      <c r="D1277" t="inlineStr">
        <is>
          <t>STOCKHOLMS LÄN</t>
        </is>
      </c>
      <c r="E1277" t="inlineStr">
        <is>
          <t>NORRTÄLJE</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36253-2023</t>
        </is>
      </c>
      <c r="B1278" s="1" t="n">
        <v>45151</v>
      </c>
      <c r="C1278" s="1" t="n">
        <v>45578</v>
      </c>
      <c r="D1278" t="inlineStr">
        <is>
          <t>STOCKHOLMS LÄN</t>
        </is>
      </c>
      <c r="E1278" t="inlineStr">
        <is>
          <t>NORRTÄLJE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36257-2023</t>
        </is>
      </c>
      <c r="B1279" s="1" t="n">
        <v>45151</v>
      </c>
      <c r="C1279" s="1" t="n">
        <v>45578</v>
      </c>
      <c r="D1279" t="inlineStr">
        <is>
          <t>STOCKHOLMS LÄN</t>
        </is>
      </c>
      <c r="E1279" t="inlineStr">
        <is>
          <t>NORRTÄLJE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36259-2023</t>
        </is>
      </c>
      <c r="B1280" s="1" t="n">
        <v>45151</v>
      </c>
      <c r="C1280" s="1" t="n">
        <v>45578</v>
      </c>
      <c r="D1280" t="inlineStr">
        <is>
          <t>STOCKHOLMS LÄN</t>
        </is>
      </c>
      <c r="E1280" t="inlineStr">
        <is>
          <t>NORRTÄLJE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36254-2023</t>
        </is>
      </c>
      <c r="B1281" s="1" t="n">
        <v>45151</v>
      </c>
      <c r="C1281" s="1" t="n">
        <v>45578</v>
      </c>
      <c r="D1281" t="inlineStr">
        <is>
          <t>STOCKHOLMS LÄN</t>
        </is>
      </c>
      <c r="E1281" t="inlineStr">
        <is>
          <t>NORRTÄLJE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36258-2023</t>
        </is>
      </c>
      <c r="B1282" s="1" t="n">
        <v>45151</v>
      </c>
      <c r="C1282" s="1" t="n">
        <v>45578</v>
      </c>
      <c r="D1282" t="inlineStr">
        <is>
          <t>STOCKHOLMS LÄN</t>
        </is>
      </c>
      <c r="E1282" t="inlineStr">
        <is>
          <t>NORRTÄLJE</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36689-2023</t>
        </is>
      </c>
      <c r="B1283" s="1" t="n">
        <v>45152</v>
      </c>
      <c r="C1283" s="1" t="n">
        <v>45578</v>
      </c>
      <c r="D1283" t="inlineStr">
        <is>
          <t>STOCKHOLMS LÄN</t>
        </is>
      </c>
      <c r="E1283" t="inlineStr">
        <is>
          <t>NORRTÄLJE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36865-2023</t>
        </is>
      </c>
      <c r="B1284" s="1" t="n">
        <v>45154</v>
      </c>
      <c r="C1284" s="1" t="n">
        <v>45578</v>
      </c>
      <c r="D1284" t="inlineStr">
        <is>
          <t>STOCKHOLMS LÄN</t>
        </is>
      </c>
      <c r="E1284" t="inlineStr">
        <is>
          <t>NORRTÄLJE</t>
        </is>
      </c>
      <c r="F1284" t="inlineStr">
        <is>
          <t>Kyrkan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37139-2023</t>
        </is>
      </c>
      <c r="B1285" s="1" t="n">
        <v>45155</v>
      </c>
      <c r="C1285" s="1" t="n">
        <v>45578</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37136-2023</t>
        </is>
      </c>
      <c r="B1286" s="1" t="n">
        <v>45155</v>
      </c>
      <c r="C1286" s="1" t="n">
        <v>45578</v>
      </c>
      <c r="D1286" t="inlineStr">
        <is>
          <t>STOCKHOLMS LÄN</t>
        </is>
      </c>
      <c r="E1286" t="inlineStr">
        <is>
          <t>NORRTÄLJE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37147-2023</t>
        </is>
      </c>
      <c r="B1287" s="1" t="n">
        <v>45155</v>
      </c>
      <c r="C1287" s="1" t="n">
        <v>45578</v>
      </c>
      <c r="D1287" t="inlineStr">
        <is>
          <t>STOCKHOLMS LÄN</t>
        </is>
      </c>
      <c r="E1287" t="inlineStr">
        <is>
          <t>NORRTÄLJE</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37670-2023</t>
        </is>
      </c>
      <c r="B1288" s="1" t="n">
        <v>45159</v>
      </c>
      <c r="C1288" s="1" t="n">
        <v>45578</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38049-2023</t>
        </is>
      </c>
      <c r="B1289" s="1" t="n">
        <v>45159</v>
      </c>
      <c r="C1289" s="1" t="n">
        <v>45578</v>
      </c>
      <c r="D1289" t="inlineStr">
        <is>
          <t>STOCKHOLMS LÄN</t>
        </is>
      </c>
      <c r="E1289" t="inlineStr">
        <is>
          <t>NORRTÄLJE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38022-2023</t>
        </is>
      </c>
      <c r="B1290" s="1" t="n">
        <v>45160</v>
      </c>
      <c r="C1290" s="1" t="n">
        <v>45578</v>
      </c>
      <c r="D1290" t="inlineStr">
        <is>
          <t>STOCKHOLMS LÄN</t>
        </is>
      </c>
      <c r="E1290" t="inlineStr">
        <is>
          <t>NORRTÄLJE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38482-2023</t>
        </is>
      </c>
      <c r="B1291" s="1" t="n">
        <v>45162</v>
      </c>
      <c r="C1291" s="1" t="n">
        <v>45578</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38487-2023</t>
        </is>
      </c>
      <c r="B1292" s="1" t="n">
        <v>45162</v>
      </c>
      <c r="C1292" s="1" t="n">
        <v>45578</v>
      </c>
      <c r="D1292" t="inlineStr">
        <is>
          <t>STOCKHOLMS LÄN</t>
        </is>
      </c>
      <c r="E1292" t="inlineStr">
        <is>
          <t>NORRTÄLJE</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38591-2023</t>
        </is>
      </c>
      <c r="B1293" s="1" t="n">
        <v>45162</v>
      </c>
      <c r="C1293" s="1" t="n">
        <v>45578</v>
      </c>
      <c r="D1293" t="inlineStr">
        <is>
          <t>STOCKHOLMS LÄN</t>
        </is>
      </c>
      <c r="E1293" t="inlineStr">
        <is>
          <t>NORRTÄLJE</t>
        </is>
      </c>
      <c r="F1293" t="inlineStr">
        <is>
          <t>Övriga Aktiebolag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39229-2023</t>
        </is>
      </c>
      <c r="B1294" s="1" t="n">
        <v>45166</v>
      </c>
      <c r="C1294" s="1" t="n">
        <v>45578</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39879-2023</t>
        </is>
      </c>
      <c r="B1295" s="1" t="n">
        <v>45168</v>
      </c>
      <c r="C1295" s="1" t="n">
        <v>45578</v>
      </c>
      <c r="D1295" t="inlineStr">
        <is>
          <t>STOCKHOLMS LÄN</t>
        </is>
      </c>
      <c r="E1295" t="inlineStr">
        <is>
          <t>NORRTÄLJE</t>
        </is>
      </c>
      <c r="F1295" t="inlineStr">
        <is>
          <t>Holmen skog AB</t>
        </is>
      </c>
      <c r="G1295" t="n">
        <v>10.9</v>
      </c>
      <c r="H1295" t="n">
        <v>0</v>
      </c>
      <c r="I1295" t="n">
        <v>0</v>
      </c>
      <c r="J1295" t="n">
        <v>0</v>
      </c>
      <c r="K1295" t="n">
        <v>0</v>
      </c>
      <c r="L1295" t="n">
        <v>0</v>
      </c>
      <c r="M1295" t="n">
        <v>0</v>
      </c>
      <c r="N1295" t="n">
        <v>0</v>
      </c>
      <c r="O1295" t="n">
        <v>0</v>
      </c>
      <c r="P1295" t="n">
        <v>0</v>
      </c>
      <c r="Q1295" t="n">
        <v>0</v>
      </c>
      <c r="R1295" s="2" t="inlineStr"/>
    </row>
    <row r="1296" ht="15" customHeight="1">
      <c r="A1296" t="inlineStr">
        <is>
          <t>A 39905-2023</t>
        </is>
      </c>
      <c r="B1296" s="1" t="n">
        <v>45168</v>
      </c>
      <c r="C1296" s="1" t="n">
        <v>45578</v>
      </c>
      <c r="D1296" t="inlineStr">
        <is>
          <t>STOCKHOLMS LÄN</t>
        </is>
      </c>
      <c r="E1296" t="inlineStr">
        <is>
          <t>NORRTÄLJE</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40139-2023</t>
        </is>
      </c>
      <c r="B1297" s="1" t="n">
        <v>45169</v>
      </c>
      <c r="C1297" s="1" t="n">
        <v>45578</v>
      </c>
      <c r="D1297" t="inlineStr">
        <is>
          <t>STOCKHOLMS LÄN</t>
        </is>
      </c>
      <c r="E1297" t="inlineStr">
        <is>
          <t>NORRTÄLJE</t>
        </is>
      </c>
      <c r="F1297" t="inlineStr">
        <is>
          <t>Kyrkan</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40192-2023</t>
        </is>
      </c>
      <c r="B1298" s="1" t="n">
        <v>45169</v>
      </c>
      <c r="C1298" s="1" t="n">
        <v>45578</v>
      </c>
      <c r="D1298" t="inlineStr">
        <is>
          <t>STOCKHOLMS LÄN</t>
        </is>
      </c>
      <c r="E1298" t="inlineStr">
        <is>
          <t>NORRTÄLJE</t>
        </is>
      </c>
      <c r="F1298" t="inlineStr">
        <is>
          <t>Kyrkan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40161-2023</t>
        </is>
      </c>
      <c r="B1299" s="1" t="n">
        <v>45169</v>
      </c>
      <c r="C1299" s="1" t="n">
        <v>45578</v>
      </c>
      <c r="D1299" t="inlineStr">
        <is>
          <t>STOCKHOLMS LÄN</t>
        </is>
      </c>
      <c r="E1299" t="inlineStr">
        <is>
          <t>NORRTÄLJE</t>
        </is>
      </c>
      <c r="F1299" t="inlineStr">
        <is>
          <t>Kyrkan</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40190-2023</t>
        </is>
      </c>
      <c r="B1300" s="1" t="n">
        <v>45169</v>
      </c>
      <c r="C1300" s="1" t="n">
        <v>45578</v>
      </c>
      <c r="D1300" t="inlineStr">
        <is>
          <t>STOCKHOLMS LÄN</t>
        </is>
      </c>
      <c r="E1300" t="inlineStr">
        <is>
          <t>NORRTÄLJE</t>
        </is>
      </c>
      <c r="F1300" t="inlineStr">
        <is>
          <t>Kyrkan</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40379-2023</t>
        </is>
      </c>
      <c r="B1301" s="1" t="n">
        <v>45169</v>
      </c>
      <c r="C1301" s="1" t="n">
        <v>45578</v>
      </c>
      <c r="D1301" t="inlineStr">
        <is>
          <t>STOCKHOLMS LÄN</t>
        </is>
      </c>
      <c r="E1301" t="inlineStr">
        <is>
          <t>NORRTÄLJE</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41172-2023</t>
        </is>
      </c>
      <c r="B1302" s="1" t="n">
        <v>45170</v>
      </c>
      <c r="C1302" s="1" t="n">
        <v>45578</v>
      </c>
      <c r="D1302" t="inlineStr">
        <is>
          <t>STOCKHOLMS LÄN</t>
        </is>
      </c>
      <c r="E1302" t="inlineStr">
        <is>
          <t>NORRTÄLJE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40995-2023</t>
        </is>
      </c>
      <c r="B1303" s="1" t="n">
        <v>45173</v>
      </c>
      <c r="C1303" s="1" t="n">
        <v>45578</v>
      </c>
      <c r="D1303" t="inlineStr">
        <is>
          <t>STOCKHOLMS LÄN</t>
        </is>
      </c>
      <c r="E1303" t="inlineStr">
        <is>
          <t>NORRTÄLJE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41335-2023</t>
        </is>
      </c>
      <c r="B1304" s="1" t="n">
        <v>45174</v>
      </c>
      <c r="C1304" s="1" t="n">
        <v>45578</v>
      </c>
      <c r="D1304" t="inlineStr">
        <is>
          <t>STOCKHOLMS LÄN</t>
        </is>
      </c>
      <c r="E1304" t="inlineStr">
        <is>
          <t>NORRTÄLJE</t>
        </is>
      </c>
      <c r="F1304" t="inlineStr">
        <is>
          <t>Holmen skog AB</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41587-2023</t>
        </is>
      </c>
      <c r="B1305" s="1" t="n">
        <v>45175</v>
      </c>
      <c r="C1305" s="1" t="n">
        <v>45578</v>
      </c>
      <c r="D1305" t="inlineStr">
        <is>
          <t>STOCKHOLMS LÄN</t>
        </is>
      </c>
      <c r="E1305" t="inlineStr">
        <is>
          <t>NORRTÄLJE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41716-2023</t>
        </is>
      </c>
      <c r="B1306" s="1" t="n">
        <v>45176</v>
      </c>
      <c r="C1306" s="1" t="n">
        <v>45578</v>
      </c>
      <c r="D1306" t="inlineStr">
        <is>
          <t>STOCKHOLMS LÄN</t>
        </is>
      </c>
      <c r="E1306" t="inlineStr">
        <is>
          <t>NORRTÄLJE</t>
        </is>
      </c>
      <c r="F1306" t="inlineStr">
        <is>
          <t>Kyrkan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41715-2023</t>
        </is>
      </c>
      <c r="B1307" s="1" t="n">
        <v>45176</v>
      </c>
      <c r="C1307" s="1" t="n">
        <v>45578</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41880-2023</t>
        </is>
      </c>
      <c r="B1308" s="1" t="n">
        <v>45176</v>
      </c>
      <c r="C1308" s="1" t="n">
        <v>45578</v>
      </c>
      <c r="D1308" t="inlineStr">
        <is>
          <t>STOCKHOLMS LÄN</t>
        </is>
      </c>
      <c r="E1308" t="inlineStr">
        <is>
          <t>NORRTÄLJE</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42094-2023</t>
        </is>
      </c>
      <c r="B1309" s="1" t="n">
        <v>45177</v>
      </c>
      <c r="C1309" s="1" t="n">
        <v>45578</v>
      </c>
      <c r="D1309" t="inlineStr">
        <is>
          <t>STOCKHOLMS LÄN</t>
        </is>
      </c>
      <c r="E1309" t="inlineStr">
        <is>
          <t>NORRTÄLJE</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42075-2023</t>
        </is>
      </c>
      <c r="B1310" s="1" t="n">
        <v>45177</v>
      </c>
      <c r="C1310" s="1" t="n">
        <v>45578</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42199-2023</t>
        </is>
      </c>
      <c r="B1311" s="1" t="n">
        <v>45179</v>
      </c>
      <c r="C1311" s="1" t="n">
        <v>45578</v>
      </c>
      <c r="D1311" t="inlineStr">
        <is>
          <t>STOCKHOLMS LÄN</t>
        </is>
      </c>
      <c r="E1311" t="inlineStr">
        <is>
          <t>NORRTÄLJE</t>
        </is>
      </c>
      <c r="F1311" t="inlineStr">
        <is>
          <t>Sveaskog</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42200-2023</t>
        </is>
      </c>
      <c r="B1312" s="1" t="n">
        <v>45179</v>
      </c>
      <c r="C1312" s="1" t="n">
        <v>45578</v>
      </c>
      <c r="D1312" t="inlineStr">
        <is>
          <t>STOCKHOLMS LÄN</t>
        </is>
      </c>
      <c r="E1312" t="inlineStr">
        <is>
          <t>NORRTÄLJE</t>
        </is>
      </c>
      <c r="F1312" t="inlineStr">
        <is>
          <t>Sveaskog</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42765-2023</t>
        </is>
      </c>
      <c r="B1313" s="1" t="n">
        <v>45181</v>
      </c>
      <c r="C1313" s="1" t="n">
        <v>45578</v>
      </c>
      <c r="D1313" t="inlineStr">
        <is>
          <t>STOCKHOLMS LÄN</t>
        </is>
      </c>
      <c r="E1313" t="inlineStr">
        <is>
          <t>NORRTÄLJE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42775-2023</t>
        </is>
      </c>
      <c r="B1314" s="1" t="n">
        <v>45181</v>
      </c>
      <c r="C1314" s="1" t="n">
        <v>45578</v>
      </c>
      <c r="D1314" t="inlineStr">
        <is>
          <t>STOCKHOLMS LÄN</t>
        </is>
      </c>
      <c r="E1314" t="inlineStr">
        <is>
          <t>NORRTÄLJE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42948-2023</t>
        </is>
      </c>
      <c r="B1315" s="1" t="n">
        <v>45182</v>
      </c>
      <c r="C1315" s="1" t="n">
        <v>45578</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42977-2023</t>
        </is>
      </c>
      <c r="B1316" s="1" t="n">
        <v>45182</v>
      </c>
      <c r="C1316" s="1" t="n">
        <v>45578</v>
      </c>
      <c r="D1316" t="inlineStr">
        <is>
          <t>STOCKHOLMS LÄN</t>
        </is>
      </c>
      <c r="E1316" t="inlineStr">
        <is>
          <t>NORRTÄLJE</t>
        </is>
      </c>
      <c r="F1316" t="inlineStr">
        <is>
          <t>Sveaskog</t>
        </is>
      </c>
      <c r="G1316" t="n">
        <v>11.8</v>
      </c>
      <c r="H1316" t="n">
        <v>0</v>
      </c>
      <c r="I1316" t="n">
        <v>0</v>
      </c>
      <c r="J1316" t="n">
        <v>0</v>
      </c>
      <c r="K1316" t="n">
        <v>0</v>
      </c>
      <c r="L1316" t="n">
        <v>0</v>
      </c>
      <c r="M1316" t="n">
        <v>0</v>
      </c>
      <c r="N1316" t="n">
        <v>0</v>
      </c>
      <c r="O1316" t="n">
        <v>0</v>
      </c>
      <c r="P1316" t="n">
        <v>0</v>
      </c>
      <c r="Q1316" t="n">
        <v>0</v>
      </c>
      <c r="R1316" s="2" t="inlineStr"/>
    </row>
    <row r="1317" ht="15" customHeight="1">
      <c r="A1317" t="inlineStr">
        <is>
          <t>A 43140-2023</t>
        </is>
      </c>
      <c r="B1317" s="1" t="n">
        <v>45183</v>
      </c>
      <c r="C1317" s="1" t="n">
        <v>45578</v>
      </c>
      <c r="D1317" t="inlineStr">
        <is>
          <t>STOCKHOLMS LÄN</t>
        </is>
      </c>
      <c r="E1317" t="inlineStr">
        <is>
          <t>NORRTÄLJE</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43207-2023</t>
        </is>
      </c>
      <c r="B1318" s="1" t="n">
        <v>45183</v>
      </c>
      <c r="C1318" s="1" t="n">
        <v>45578</v>
      </c>
      <c r="D1318" t="inlineStr">
        <is>
          <t>STOCKHOLMS LÄN</t>
        </is>
      </c>
      <c r="E1318" t="inlineStr">
        <is>
          <t>NORRTÄLJE</t>
        </is>
      </c>
      <c r="F1318" t="inlineStr">
        <is>
          <t>Kyrkan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43150-2023</t>
        </is>
      </c>
      <c r="B1319" s="1" t="n">
        <v>45183</v>
      </c>
      <c r="C1319" s="1" t="n">
        <v>45578</v>
      </c>
      <c r="D1319" t="inlineStr">
        <is>
          <t>STOCKHOLMS LÄN</t>
        </is>
      </c>
      <c r="E1319" t="inlineStr">
        <is>
          <t>NORRTÄLJE</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43170-2023</t>
        </is>
      </c>
      <c r="B1320" s="1" t="n">
        <v>45183</v>
      </c>
      <c r="C1320" s="1" t="n">
        <v>45578</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43289-2023</t>
        </is>
      </c>
      <c r="B1321" s="1" t="n">
        <v>45183</v>
      </c>
      <c r="C1321" s="1" t="n">
        <v>45578</v>
      </c>
      <c r="D1321" t="inlineStr">
        <is>
          <t>STOCKHOLMS LÄN</t>
        </is>
      </c>
      <c r="E1321" t="inlineStr">
        <is>
          <t>NORRTÄLJE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43300-2023</t>
        </is>
      </c>
      <c r="B1322" s="1" t="n">
        <v>45183</v>
      </c>
      <c r="C1322" s="1" t="n">
        <v>45578</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43638-2023</t>
        </is>
      </c>
      <c r="B1323" s="1" t="n">
        <v>45186</v>
      </c>
      <c r="C1323" s="1" t="n">
        <v>45578</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43684-2023</t>
        </is>
      </c>
      <c r="B1324" s="1" t="n">
        <v>45187</v>
      </c>
      <c r="C1324" s="1" t="n">
        <v>45578</v>
      </c>
      <c r="D1324" t="inlineStr">
        <is>
          <t>STOCKHOLMS LÄN</t>
        </is>
      </c>
      <c r="E1324" t="inlineStr">
        <is>
          <t>NORRTÄLJE</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43836-2023</t>
        </is>
      </c>
      <c r="B1325" s="1" t="n">
        <v>45187</v>
      </c>
      <c r="C1325" s="1" t="n">
        <v>45578</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43710-2023</t>
        </is>
      </c>
      <c r="B1326" s="1" t="n">
        <v>45187</v>
      </c>
      <c r="C1326" s="1" t="n">
        <v>45578</v>
      </c>
      <c r="D1326" t="inlineStr">
        <is>
          <t>STOCKHOLMS LÄN</t>
        </is>
      </c>
      <c r="E1326" t="inlineStr">
        <is>
          <t>NORRTÄLJE</t>
        </is>
      </c>
      <c r="F1326" t="inlineStr">
        <is>
          <t>Holmen skog AB</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44891-2023</t>
        </is>
      </c>
      <c r="B1327" s="1" t="n">
        <v>45187</v>
      </c>
      <c r="C1327" s="1" t="n">
        <v>45578</v>
      </c>
      <c r="D1327" t="inlineStr">
        <is>
          <t>STOCKHOLMS LÄN</t>
        </is>
      </c>
      <c r="E1327" t="inlineStr">
        <is>
          <t>NORRTÄLJE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44885-2023</t>
        </is>
      </c>
      <c r="B1328" s="1" t="n">
        <v>45187</v>
      </c>
      <c r="C1328" s="1" t="n">
        <v>45578</v>
      </c>
      <c r="D1328" t="inlineStr">
        <is>
          <t>STOCKHOLMS LÄN</t>
        </is>
      </c>
      <c r="E1328" t="inlineStr">
        <is>
          <t>NORRTÄLJE</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44075-2023</t>
        </is>
      </c>
      <c r="B1329" s="1" t="n">
        <v>45188</v>
      </c>
      <c r="C1329" s="1" t="n">
        <v>45578</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44154-2023</t>
        </is>
      </c>
      <c r="B1330" s="1" t="n">
        <v>45188</v>
      </c>
      <c r="C1330" s="1" t="n">
        <v>45578</v>
      </c>
      <c r="D1330" t="inlineStr">
        <is>
          <t>STOCKHOLMS LÄN</t>
        </is>
      </c>
      <c r="E1330" t="inlineStr">
        <is>
          <t>NORRTÄLJE</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44571-2023</t>
        </is>
      </c>
      <c r="B1331" s="1" t="n">
        <v>45189</v>
      </c>
      <c r="C1331" s="1" t="n">
        <v>45578</v>
      </c>
      <c r="D1331" t="inlineStr">
        <is>
          <t>STOCKHOLMS LÄN</t>
        </is>
      </c>
      <c r="E1331" t="inlineStr">
        <is>
          <t>NORRTÄLJE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44836-2023</t>
        </is>
      </c>
      <c r="B1332" s="1" t="n">
        <v>45190</v>
      </c>
      <c r="C1332" s="1" t="n">
        <v>45578</v>
      </c>
      <c r="D1332" t="inlineStr">
        <is>
          <t>STOCKHOLMS LÄN</t>
        </is>
      </c>
      <c r="E1332" t="inlineStr">
        <is>
          <t>NORRTÄLJE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45173-2023</t>
        </is>
      </c>
      <c r="B1333" s="1" t="n">
        <v>45191</v>
      </c>
      <c r="C1333" s="1" t="n">
        <v>45578</v>
      </c>
      <c r="D1333" t="inlineStr">
        <is>
          <t>STOCKHOLMS LÄN</t>
        </is>
      </c>
      <c r="E1333" t="inlineStr">
        <is>
          <t>NORRTÄLJE</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45174-2023</t>
        </is>
      </c>
      <c r="B1334" s="1" t="n">
        <v>45191</v>
      </c>
      <c r="C1334" s="1" t="n">
        <v>45578</v>
      </c>
      <c r="D1334" t="inlineStr">
        <is>
          <t>STOCKHOLMS LÄN</t>
        </is>
      </c>
      <c r="E1334" t="inlineStr">
        <is>
          <t>NORRTÄLJE</t>
        </is>
      </c>
      <c r="F1334" t="inlineStr">
        <is>
          <t>Sveaskog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46161-2023</t>
        </is>
      </c>
      <c r="B1335" s="1" t="n">
        <v>45196</v>
      </c>
      <c r="C1335" s="1" t="n">
        <v>45578</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46155-2023</t>
        </is>
      </c>
      <c r="B1336" s="1" t="n">
        <v>45196</v>
      </c>
      <c r="C1336" s="1" t="n">
        <v>45578</v>
      </c>
      <c r="D1336" t="inlineStr">
        <is>
          <t>STOCKHOLMS LÄN</t>
        </is>
      </c>
      <c r="E1336" t="inlineStr">
        <is>
          <t>NORRTÄLJE</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46621-2023</t>
        </is>
      </c>
      <c r="B1337" s="1" t="n">
        <v>45198</v>
      </c>
      <c r="C1337" s="1" t="n">
        <v>45578</v>
      </c>
      <c r="D1337" t="inlineStr">
        <is>
          <t>STOCKHOLMS LÄN</t>
        </is>
      </c>
      <c r="E1337" t="inlineStr">
        <is>
          <t>NORRTÄLJE</t>
        </is>
      </c>
      <c r="F1337" t="inlineStr">
        <is>
          <t>Holmen skog AB</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47419-2023</t>
        </is>
      </c>
      <c r="B1338" s="1" t="n">
        <v>45202</v>
      </c>
      <c r="C1338" s="1" t="n">
        <v>45578</v>
      </c>
      <c r="D1338" t="inlineStr">
        <is>
          <t>STOCKHOLMS LÄN</t>
        </is>
      </c>
      <c r="E1338" t="inlineStr">
        <is>
          <t>NORRTÄLJE</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47431-2023</t>
        </is>
      </c>
      <c r="B1339" s="1" t="n">
        <v>45202</v>
      </c>
      <c r="C1339" s="1" t="n">
        <v>45578</v>
      </c>
      <c r="D1339" t="inlineStr">
        <is>
          <t>STOCKHOLMS LÄN</t>
        </is>
      </c>
      <c r="E1339" t="inlineStr">
        <is>
          <t>NORRTÄLJE</t>
        </is>
      </c>
      <c r="F1339" t="inlineStr">
        <is>
          <t>Naturvårdsverket</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47325-2023</t>
        </is>
      </c>
      <c r="B1340" s="1" t="n">
        <v>45202</v>
      </c>
      <c r="C1340" s="1" t="n">
        <v>45578</v>
      </c>
      <c r="D1340" t="inlineStr">
        <is>
          <t>STOCKHOLMS LÄN</t>
        </is>
      </c>
      <c r="E1340" t="inlineStr">
        <is>
          <t>NORRTÄLJE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47433-2023</t>
        </is>
      </c>
      <c r="B1341" s="1" t="n">
        <v>45202</v>
      </c>
      <c r="C1341" s="1" t="n">
        <v>45578</v>
      </c>
      <c r="D1341" t="inlineStr">
        <is>
          <t>STOCKHOLMS LÄN</t>
        </is>
      </c>
      <c r="E1341" t="inlineStr">
        <is>
          <t>NORRTÄLJE</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47388-2023</t>
        </is>
      </c>
      <c r="B1342" s="1" t="n">
        <v>45202</v>
      </c>
      <c r="C1342" s="1" t="n">
        <v>45578</v>
      </c>
      <c r="D1342" t="inlineStr">
        <is>
          <t>STOCKHOLMS LÄN</t>
        </is>
      </c>
      <c r="E1342" t="inlineStr">
        <is>
          <t>NORRTÄLJE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47430-2023</t>
        </is>
      </c>
      <c r="B1343" s="1" t="n">
        <v>45202</v>
      </c>
      <c r="C1343" s="1" t="n">
        <v>45578</v>
      </c>
      <c r="D1343" t="inlineStr">
        <is>
          <t>STOCKHOLMS LÄN</t>
        </is>
      </c>
      <c r="E1343" t="inlineStr">
        <is>
          <t>NORRTÄLJE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49775-2023</t>
        </is>
      </c>
      <c r="B1344" s="1" t="n">
        <v>45202</v>
      </c>
      <c r="C1344" s="1" t="n">
        <v>45578</v>
      </c>
      <c r="D1344" t="inlineStr">
        <is>
          <t>STOCKHOLMS LÄN</t>
        </is>
      </c>
      <c r="E1344" t="inlineStr">
        <is>
          <t>NORRTÄLJE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48578-2023</t>
        </is>
      </c>
      <c r="B1345" s="1" t="n">
        <v>45202</v>
      </c>
      <c r="C1345" s="1" t="n">
        <v>45578</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49774-2023</t>
        </is>
      </c>
      <c r="B1346" s="1" t="n">
        <v>45202</v>
      </c>
      <c r="C1346" s="1" t="n">
        <v>45578</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47672-2023</t>
        </is>
      </c>
      <c r="B1347" s="1" t="n">
        <v>45203</v>
      </c>
      <c r="C1347" s="1" t="n">
        <v>45578</v>
      </c>
      <c r="D1347" t="inlineStr">
        <is>
          <t>STOCKHOLMS LÄN</t>
        </is>
      </c>
      <c r="E1347" t="inlineStr">
        <is>
          <t>NORRTÄLJE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47694-2023</t>
        </is>
      </c>
      <c r="B1348" s="1" t="n">
        <v>45203</v>
      </c>
      <c r="C1348" s="1" t="n">
        <v>45578</v>
      </c>
      <c r="D1348" t="inlineStr">
        <is>
          <t>STOCKHOLMS LÄN</t>
        </is>
      </c>
      <c r="E1348" t="inlineStr">
        <is>
          <t>NORRTÄLJE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47708-2023</t>
        </is>
      </c>
      <c r="B1349" s="1" t="n">
        <v>45203</v>
      </c>
      <c r="C1349" s="1" t="n">
        <v>45578</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47758-2023</t>
        </is>
      </c>
      <c r="B1350" s="1" t="n">
        <v>45203</v>
      </c>
      <c r="C1350" s="1" t="n">
        <v>45578</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47699-2023</t>
        </is>
      </c>
      <c r="B1351" s="1" t="n">
        <v>45203</v>
      </c>
      <c r="C1351" s="1" t="n">
        <v>45578</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47735-2023</t>
        </is>
      </c>
      <c r="B1352" s="1" t="n">
        <v>45203</v>
      </c>
      <c r="C1352" s="1" t="n">
        <v>45578</v>
      </c>
      <c r="D1352" t="inlineStr">
        <is>
          <t>STOCKHOLMS LÄN</t>
        </is>
      </c>
      <c r="E1352" t="inlineStr">
        <is>
          <t>NORRTÄLJE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48167-2023</t>
        </is>
      </c>
      <c r="B1353" s="1" t="n">
        <v>45205</v>
      </c>
      <c r="C1353" s="1" t="n">
        <v>45578</v>
      </c>
      <c r="D1353" t="inlineStr">
        <is>
          <t>STOCKHOLMS LÄN</t>
        </is>
      </c>
      <c r="E1353" t="inlineStr">
        <is>
          <t>NORRTÄLJE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48180-2023</t>
        </is>
      </c>
      <c r="B1354" s="1" t="n">
        <v>45205</v>
      </c>
      <c r="C1354" s="1" t="n">
        <v>45578</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48185-2023</t>
        </is>
      </c>
      <c r="B1355" s="1" t="n">
        <v>45205</v>
      </c>
      <c r="C1355" s="1" t="n">
        <v>45578</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48302-2023</t>
        </is>
      </c>
      <c r="B1356" s="1" t="n">
        <v>45205</v>
      </c>
      <c r="C1356" s="1" t="n">
        <v>45578</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48333-2023</t>
        </is>
      </c>
      <c r="B1357" s="1" t="n">
        <v>45205</v>
      </c>
      <c r="C1357" s="1" t="n">
        <v>45578</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48541-2023</t>
        </is>
      </c>
      <c r="B1358" s="1" t="n">
        <v>45208</v>
      </c>
      <c r="C1358" s="1" t="n">
        <v>45578</v>
      </c>
      <c r="D1358" t="inlineStr">
        <is>
          <t>STOCKHOLMS LÄN</t>
        </is>
      </c>
      <c r="E1358" t="inlineStr">
        <is>
          <t>NORRTÄLJE</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48552-2023</t>
        </is>
      </c>
      <c r="B1359" s="1" t="n">
        <v>45208</v>
      </c>
      <c r="C1359" s="1" t="n">
        <v>45578</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48587-2023</t>
        </is>
      </c>
      <c r="B1360" s="1" t="n">
        <v>45208</v>
      </c>
      <c r="C1360" s="1" t="n">
        <v>45578</v>
      </c>
      <c r="D1360" t="inlineStr">
        <is>
          <t>STOCKHOLMS LÄN</t>
        </is>
      </c>
      <c r="E1360" t="inlineStr">
        <is>
          <t>NORRTÄLJE</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48633-2023</t>
        </is>
      </c>
      <c r="B1361" s="1" t="n">
        <v>45208</v>
      </c>
      <c r="C1361" s="1" t="n">
        <v>45578</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48641-2023</t>
        </is>
      </c>
      <c r="B1362" s="1" t="n">
        <v>45208</v>
      </c>
      <c r="C1362" s="1" t="n">
        <v>45578</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48686-2023</t>
        </is>
      </c>
      <c r="B1363" s="1" t="n">
        <v>45208</v>
      </c>
      <c r="C1363" s="1" t="n">
        <v>45578</v>
      </c>
      <c r="D1363" t="inlineStr">
        <is>
          <t>STOCKHOLMS LÄN</t>
        </is>
      </c>
      <c r="E1363" t="inlineStr">
        <is>
          <t>NORRTÄLJE</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48629-2023</t>
        </is>
      </c>
      <c r="B1364" s="1" t="n">
        <v>45208</v>
      </c>
      <c r="C1364" s="1" t="n">
        <v>45578</v>
      </c>
      <c r="D1364" t="inlineStr">
        <is>
          <t>STOCKHOLMS LÄN</t>
        </is>
      </c>
      <c r="E1364" t="inlineStr">
        <is>
          <t>NORRTÄLJE</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48668-2023</t>
        </is>
      </c>
      <c r="B1365" s="1" t="n">
        <v>45208</v>
      </c>
      <c r="C1365" s="1" t="n">
        <v>45578</v>
      </c>
      <c r="D1365" t="inlineStr">
        <is>
          <t>STOCKHOLMS LÄN</t>
        </is>
      </c>
      <c r="E1365" t="inlineStr">
        <is>
          <t>NORRTÄLJE</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48685-2023</t>
        </is>
      </c>
      <c r="B1366" s="1" t="n">
        <v>45208</v>
      </c>
      <c r="C1366" s="1" t="n">
        <v>45578</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48691-2023</t>
        </is>
      </c>
      <c r="B1367" s="1" t="n">
        <v>45208</v>
      </c>
      <c r="C1367" s="1" t="n">
        <v>45578</v>
      </c>
      <c r="D1367" t="inlineStr">
        <is>
          <t>STOCKHOLMS LÄN</t>
        </is>
      </c>
      <c r="E1367" t="inlineStr">
        <is>
          <t>NORRTÄLJE</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48701-2023</t>
        </is>
      </c>
      <c r="B1368" s="1" t="n">
        <v>45208</v>
      </c>
      <c r="C1368" s="1" t="n">
        <v>45578</v>
      </c>
      <c r="D1368" t="inlineStr">
        <is>
          <t>STOCKHOLMS LÄN</t>
        </is>
      </c>
      <c r="E1368" t="inlineStr">
        <is>
          <t>NORRTÄLJE</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48716-2023</t>
        </is>
      </c>
      <c r="B1369" s="1" t="n">
        <v>45208</v>
      </c>
      <c r="C1369" s="1" t="n">
        <v>45578</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48709-2023</t>
        </is>
      </c>
      <c r="B1370" s="1" t="n">
        <v>45208</v>
      </c>
      <c r="C1370" s="1" t="n">
        <v>45578</v>
      </c>
      <c r="D1370" t="inlineStr">
        <is>
          <t>STOCKHOLMS LÄN</t>
        </is>
      </c>
      <c r="E1370" t="inlineStr">
        <is>
          <t>NORRTÄLJE</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48722-2023</t>
        </is>
      </c>
      <c r="B1371" s="1" t="n">
        <v>45208</v>
      </c>
      <c r="C1371" s="1" t="n">
        <v>45578</v>
      </c>
      <c r="D1371" t="inlineStr">
        <is>
          <t>STOCKHOLMS LÄN</t>
        </is>
      </c>
      <c r="E1371" t="inlineStr">
        <is>
          <t>NORRTÄLJE</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48726-2023</t>
        </is>
      </c>
      <c r="B1372" s="1" t="n">
        <v>45208</v>
      </c>
      <c r="C1372" s="1" t="n">
        <v>45578</v>
      </c>
      <c r="D1372" t="inlineStr">
        <is>
          <t>STOCKHOLMS LÄN</t>
        </is>
      </c>
      <c r="E1372" t="inlineStr">
        <is>
          <t>NORRTÄLJE</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49169-2023</t>
        </is>
      </c>
      <c r="B1373" s="1" t="n">
        <v>45210</v>
      </c>
      <c r="C1373" s="1" t="n">
        <v>45578</v>
      </c>
      <c r="D1373" t="inlineStr">
        <is>
          <t>STOCKHOLMS LÄN</t>
        </is>
      </c>
      <c r="E1373" t="inlineStr">
        <is>
          <t>NORRTÄLJE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49176-2023</t>
        </is>
      </c>
      <c r="B1374" s="1" t="n">
        <v>45210</v>
      </c>
      <c r="C1374" s="1" t="n">
        <v>45578</v>
      </c>
      <c r="D1374" t="inlineStr">
        <is>
          <t>STOCKHOLMS LÄN</t>
        </is>
      </c>
      <c r="E1374" t="inlineStr">
        <is>
          <t>NORRTÄLJE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49224-2023</t>
        </is>
      </c>
      <c r="B1375" s="1" t="n">
        <v>45210</v>
      </c>
      <c r="C1375" s="1" t="n">
        <v>45578</v>
      </c>
      <c r="D1375" t="inlineStr">
        <is>
          <t>STOCKHOLMS LÄN</t>
        </is>
      </c>
      <c r="E1375" t="inlineStr">
        <is>
          <t>NORRTÄLJE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49696-2023</t>
        </is>
      </c>
      <c r="B1376" s="1" t="n">
        <v>45212</v>
      </c>
      <c r="C1376" s="1" t="n">
        <v>45578</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49700-2023</t>
        </is>
      </c>
      <c r="B1377" s="1" t="n">
        <v>45212</v>
      </c>
      <c r="C1377" s="1" t="n">
        <v>45578</v>
      </c>
      <c r="D1377" t="inlineStr">
        <is>
          <t>STOCKHOLMS LÄN</t>
        </is>
      </c>
      <c r="E1377" t="inlineStr">
        <is>
          <t>NORRTÄLJE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49694-2023</t>
        </is>
      </c>
      <c r="B1378" s="1" t="n">
        <v>45212</v>
      </c>
      <c r="C1378" s="1" t="n">
        <v>45578</v>
      </c>
      <c r="D1378" t="inlineStr">
        <is>
          <t>STOCKHOLMS LÄN</t>
        </is>
      </c>
      <c r="E1378" t="inlineStr">
        <is>
          <t>NORRTÄLJE</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50143-2023</t>
        </is>
      </c>
      <c r="B1379" s="1" t="n">
        <v>45215</v>
      </c>
      <c r="C1379" s="1" t="n">
        <v>45578</v>
      </c>
      <c r="D1379" t="inlineStr">
        <is>
          <t>STOCKHOLMS LÄN</t>
        </is>
      </c>
      <c r="E1379" t="inlineStr">
        <is>
          <t>NORRTÄLJE</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50107-2023</t>
        </is>
      </c>
      <c r="B1380" s="1" t="n">
        <v>45215</v>
      </c>
      <c r="C1380" s="1" t="n">
        <v>45578</v>
      </c>
      <c r="D1380" t="inlineStr">
        <is>
          <t>STOCKHOLMS LÄN</t>
        </is>
      </c>
      <c r="E1380" t="inlineStr">
        <is>
          <t>NORRTÄLJE</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50033-2023</t>
        </is>
      </c>
      <c r="B1381" s="1" t="n">
        <v>45215</v>
      </c>
      <c r="C1381" s="1" t="n">
        <v>45578</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50136-2023</t>
        </is>
      </c>
      <c r="B1382" s="1" t="n">
        <v>45215</v>
      </c>
      <c r="C1382" s="1" t="n">
        <v>45578</v>
      </c>
      <c r="D1382" t="inlineStr">
        <is>
          <t>STOCKHOLMS LÄN</t>
        </is>
      </c>
      <c r="E1382" t="inlineStr">
        <is>
          <t>NORRTÄLJE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50150-2023</t>
        </is>
      </c>
      <c r="B1383" s="1" t="n">
        <v>45215</v>
      </c>
      <c r="C1383" s="1" t="n">
        <v>45578</v>
      </c>
      <c r="D1383" t="inlineStr">
        <is>
          <t>STOCKHOLMS LÄN</t>
        </is>
      </c>
      <c r="E1383" t="inlineStr">
        <is>
          <t>NORRTÄLJE</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50289-2023</t>
        </is>
      </c>
      <c r="B1384" s="1" t="n">
        <v>45216</v>
      </c>
      <c r="C1384" s="1" t="n">
        <v>45578</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50436-2023</t>
        </is>
      </c>
      <c r="B1385" s="1" t="n">
        <v>45216</v>
      </c>
      <c r="C1385" s="1" t="n">
        <v>45578</v>
      </c>
      <c r="D1385" t="inlineStr">
        <is>
          <t>STOCKHOLMS LÄN</t>
        </is>
      </c>
      <c r="E1385" t="inlineStr">
        <is>
          <t>NORRTÄLJE</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50690-2023</t>
        </is>
      </c>
      <c r="B1386" s="1" t="n">
        <v>45217</v>
      </c>
      <c r="C1386" s="1" t="n">
        <v>45578</v>
      </c>
      <c r="D1386" t="inlineStr">
        <is>
          <t>STOCKHOLMS LÄN</t>
        </is>
      </c>
      <c r="E1386" t="inlineStr">
        <is>
          <t>NORRTÄLJE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51049-2023</t>
        </is>
      </c>
      <c r="B1387" s="1" t="n">
        <v>45218</v>
      </c>
      <c r="C1387" s="1" t="n">
        <v>45578</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51063-2023</t>
        </is>
      </c>
      <c r="B1388" s="1" t="n">
        <v>45218</v>
      </c>
      <c r="C1388" s="1" t="n">
        <v>45578</v>
      </c>
      <c r="D1388" t="inlineStr">
        <is>
          <t>STOCKHOLMS LÄN</t>
        </is>
      </c>
      <c r="E1388" t="inlineStr">
        <is>
          <t>NORRTÄLJE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50880-2023</t>
        </is>
      </c>
      <c r="B1389" s="1" t="n">
        <v>45218</v>
      </c>
      <c r="C1389" s="1" t="n">
        <v>45578</v>
      </c>
      <c r="D1389" t="inlineStr">
        <is>
          <t>STOCKHOLMS LÄN</t>
        </is>
      </c>
      <c r="E1389" t="inlineStr">
        <is>
          <t>NORRTÄLJE</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51046-2023</t>
        </is>
      </c>
      <c r="B1390" s="1" t="n">
        <v>45218</v>
      </c>
      <c r="C1390" s="1" t="n">
        <v>45578</v>
      </c>
      <c r="D1390" t="inlineStr">
        <is>
          <t>STOCKHOLMS LÄN</t>
        </is>
      </c>
      <c r="E1390" t="inlineStr">
        <is>
          <t>NORRTÄLJE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51043-2023</t>
        </is>
      </c>
      <c r="B1391" s="1" t="n">
        <v>45218</v>
      </c>
      <c r="C1391" s="1" t="n">
        <v>45578</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51061-2023</t>
        </is>
      </c>
      <c r="B1392" s="1" t="n">
        <v>45218</v>
      </c>
      <c r="C1392" s="1" t="n">
        <v>45578</v>
      </c>
      <c r="D1392" t="inlineStr">
        <is>
          <t>STOCKHOLMS LÄN</t>
        </is>
      </c>
      <c r="E1392" t="inlineStr">
        <is>
          <t>NORRTÄLJE</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51325-2023</t>
        </is>
      </c>
      <c r="B1393" s="1" t="n">
        <v>45219</v>
      </c>
      <c r="C1393" s="1" t="n">
        <v>45578</v>
      </c>
      <c r="D1393" t="inlineStr">
        <is>
          <t>STOCKHOLMS LÄN</t>
        </is>
      </c>
      <c r="E1393" t="inlineStr">
        <is>
          <t>NORRTÄLJE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51312-2023</t>
        </is>
      </c>
      <c r="B1394" s="1" t="n">
        <v>45219</v>
      </c>
      <c r="C1394" s="1" t="n">
        <v>45578</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51597-2023</t>
        </is>
      </c>
      <c r="B1395" s="1" t="n">
        <v>45222</v>
      </c>
      <c r="C1395" s="1" t="n">
        <v>45578</v>
      </c>
      <c r="D1395" t="inlineStr">
        <is>
          <t>STOCKHOLMS LÄN</t>
        </is>
      </c>
      <c r="E1395" t="inlineStr">
        <is>
          <t>NORRTÄLJE</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51657-2023</t>
        </is>
      </c>
      <c r="B1396" s="1" t="n">
        <v>45222</v>
      </c>
      <c r="C1396" s="1" t="n">
        <v>45578</v>
      </c>
      <c r="D1396" t="inlineStr">
        <is>
          <t>STOCKHOLMS LÄN</t>
        </is>
      </c>
      <c r="E1396" t="inlineStr">
        <is>
          <t>NORRTÄLJE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51903-2023</t>
        </is>
      </c>
      <c r="B1397" s="1" t="n">
        <v>45223</v>
      </c>
      <c r="C1397" s="1" t="n">
        <v>45578</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52095-2023</t>
        </is>
      </c>
      <c r="B1398" s="1" t="n">
        <v>45223</v>
      </c>
      <c r="C1398" s="1" t="n">
        <v>45578</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51978-2023</t>
        </is>
      </c>
      <c r="B1399" s="1" t="n">
        <v>45223</v>
      </c>
      <c r="C1399" s="1" t="n">
        <v>45578</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51997-2023</t>
        </is>
      </c>
      <c r="B1400" s="1" t="n">
        <v>45223</v>
      </c>
      <c r="C1400" s="1" t="n">
        <v>45578</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52001-2023</t>
        </is>
      </c>
      <c r="B1401" s="1" t="n">
        <v>45223</v>
      </c>
      <c r="C1401" s="1" t="n">
        <v>45578</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52096-2023</t>
        </is>
      </c>
      <c r="B1402" s="1" t="n">
        <v>45223</v>
      </c>
      <c r="C1402" s="1" t="n">
        <v>45578</v>
      </c>
      <c r="D1402" t="inlineStr">
        <is>
          <t>STOCKHOLMS LÄN</t>
        </is>
      </c>
      <c r="E1402" t="inlineStr">
        <is>
          <t>NORRTÄLJE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53362-2023</t>
        </is>
      </c>
      <c r="B1403" s="1" t="n">
        <v>45223</v>
      </c>
      <c r="C1403" s="1" t="n">
        <v>45578</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53372-2023</t>
        </is>
      </c>
      <c r="B1404" s="1" t="n">
        <v>45223</v>
      </c>
      <c r="C1404" s="1" t="n">
        <v>45578</v>
      </c>
      <c r="D1404" t="inlineStr">
        <is>
          <t>STOCKHOLMS LÄN</t>
        </is>
      </c>
      <c r="E1404" t="inlineStr">
        <is>
          <t>NORRTÄLJE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52221-2023</t>
        </is>
      </c>
      <c r="B1405" s="1" t="n">
        <v>45224</v>
      </c>
      <c r="C1405" s="1" t="n">
        <v>45578</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53561-2023</t>
        </is>
      </c>
      <c r="B1406" s="1" t="n">
        <v>45224</v>
      </c>
      <c r="C1406" s="1" t="n">
        <v>45578</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53556-2023</t>
        </is>
      </c>
      <c r="B1407" s="1" t="n">
        <v>45224</v>
      </c>
      <c r="C1407" s="1" t="n">
        <v>45578</v>
      </c>
      <c r="D1407" t="inlineStr">
        <is>
          <t>STOCKHOLMS LÄN</t>
        </is>
      </c>
      <c r="E1407" t="inlineStr">
        <is>
          <t>NORRTÄLJE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52570-2023</t>
        </is>
      </c>
      <c r="B1408" s="1" t="n">
        <v>45225</v>
      </c>
      <c r="C1408" s="1" t="n">
        <v>45578</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52619-2023</t>
        </is>
      </c>
      <c r="B1409" s="1" t="n">
        <v>45225</v>
      </c>
      <c r="C1409" s="1" t="n">
        <v>45578</v>
      </c>
      <c r="D1409" t="inlineStr">
        <is>
          <t>STOCKHOLMS LÄN</t>
        </is>
      </c>
      <c r="E1409" t="inlineStr">
        <is>
          <t>NORRTÄLJE</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52875-2023</t>
        </is>
      </c>
      <c r="B1410" s="1" t="n">
        <v>45226</v>
      </c>
      <c r="C1410" s="1" t="n">
        <v>45578</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52899-2023</t>
        </is>
      </c>
      <c r="B1411" s="1" t="n">
        <v>45226</v>
      </c>
      <c r="C1411" s="1" t="n">
        <v>45578</v>
      </c>
      <c r="D1411" t="inlineStr">
        <is>
          <t>STOCKHOLMS LÄN</t>
        </is>
      </c>
      <c r="E1411" t="inlineStr">
        <is>
          <t>NORRTÄLJE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53563-2023</t>
        </is>
      </c>
      <c r="B1412" s="1" t="n">
        <v>45230</v>
      </c>
      <c r="C1412" s="1" t="n">
        <v>45578</v>
      </c>
      <c r="D1412" t="inlineStr">
        <is>
          <t>STOCKHOLMS LÄN</t>
        </is>
      </c>
      <c r="E1412" t="inlineStr">
        <is>
          <t>NORRTÄLJE</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53718-2023</t>
        </is>
      </c>
      <c r="B1413" s="1" t="n">
        <v>45230</v>
      </c>
      <c r="C1413" s="1" t="n">
        <v>45578</v>
      </c>
      <c r="D1413" t="inlineStr">
        <is>
          <t>STOCKHOLMS LÄN</t>
        </is>
      </c>
      <c r="E1413" t="inlineStr">
        <is>
          <t>NORRTÄLJE</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53787-2023</t>
        </is>
      </c>
      <c r="B1414" s="1" t="n">
        <v>45231</v>
      </c>
      <c r="C1414" s="1" t="n">
        <v>45578</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53792-2023</t>
        </is>
      </c>
      <c r="B1415" s="1" t="n">
        <v>45231</v>
      </c>
      <c r="C1415" s="1" t="n">
        <v>45578</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55518-2023</t>
        </is>
      </c>
      <c r="B1416" s="1" t="n">
        <v>45231</v>
      </c>
      <c r="C1416" s="1" t="n">
        <v>45578</v>
      </c>
      <c r="D1416" t="inlineStr">
        <is>
          <t>STOCKHOLMS LÄN</t>
        </is>
      </c>
      <c r="E1416" t="inlineStr">
        <is>
          <t>NORRTÄLJE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55533-2023</t>
        </is>
      </c>
      <c r="B1417" s="1" t="n">
        <v>45231</v>
      </c>
      <c r="C1417" s="1" t="n">
        <v>45578</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54259-2023</t>
        </is>
      </c>
      <c r="B1418" s="1" t="n">
        <v>45232</v>
      </c>
      <c r="C1418" s="1" t="n">
        <v>45578</v>
      </c>
      <c r="D1418" t="inlineStr">
        <is>
          <t>STOCKHOLMS LÄN</t>
        </is>
      </c>
      <c r="E1418" t="inlineStr">
        <is>
          <t>NORRTÄLJE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54546-2023</t>
        </is>
      </c>
      <c r="B1419" s="1" t="n">
        <v>45233</v>
      </c>
      <c r="C1419" s="1" t="n">
        <v>45578</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54776-2023</t>
        </is>
      </c>
      <c r="B1420" s="1" t="n">
        <v>45236</v>
      </c>
      <c r="C1420" s="1" t="n">
        <v>45578</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55038-2023</t>
        </is>
      </c>
      <c r="B1421" s="1" t="n">
        <v>45237</v>
      </c>
      <c r="C1421" s="1" t="n">
        <v>45578</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55243-2023</t>
        </is>
      </c>
      <c r="B1422" s="1" t="n">
        <v>45237</v>
      </c>
      <c r="C1422" s="1" t="n">
        <v>45578</v>
      </c>
      <c r="D1422" t="inlineStr">
        <is>
          <t>STOCKHOLMS LÄN</t>
        </is>
      </c>
      <c r="E1422" t="inlineStr">
        <is>
          <t>NORRTÄLJE</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55369-2023</t>
        </is>
      </c>
      <c r="B1423" s="1" t="n">
        <v>45238</v>
      </c>
      <c r="C1423" s="1" t="n">
        <v>45578</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55755-2023</t>
        </is>
      </c>
      <c r="B1424" s="1" t="n">
        <v>45239</v>
      </c>
      <c r="C1424" s="1" t="n">
        <v>45578</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56428-2023</t>
        </is>
      </c>
      <c r="B1425" s="1" t="n">
        <v>45243</v>
      </c>
      <c r="C1425" s="1" t="n">
        <v>45578</v>
      </c>
      <c r="D1425" t="inlineStr">
        <is>
          <t>STOCKHOLMS LÄN</t>
        </is>
      </c>
      <c r="E1425" t="inlineStr">
        <is>
          <t>NORRTÄLJE</t>
        </is>
      </c>
      <c r="F1425" t="inlineStr">
        <is>
          <t>Kyrkan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56439-2023</t>
        </is>
      </c>
      <c r="B1426" s="1" t="n">
        <v>45243</v>
      </c>
      <c r="C1426" s="1" t="n">
        <v>45578</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56445-2023</t>
        </is>
      </c>
      <c r="B1427" s="1" t="n">
        <v>45243</v>
      </c>
      <c r="C1427" s="1" t="n">
        <v>45578</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56577-2023</t>
        </is>
      </c>
      <c r="B1428" s="1" t="n">
        <v>45243</v>
      </c>
      <c r="C1428" s="1" t="n">
        <v>45578</v>
      </c>
      <c r="D1428" t="inlineStr">
        <is>
          <t>STOCKHOLMS LÄN</t>
        </is>
      </c>
      <c r="E1428" t="inlineStr">
        <is>
          <t>NORRTÄLJE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56593-2023</t>
        </is>
      </c>
      <c r="B1429" s="1" t="n">
        <v>45243</v>
      </c>
      <c r="C1429" s="1" t="n">
        <v>45578</v>
      </c>
      <c r="D1429" t="inlineStr">
        <is>
          <t>STOCKHOLMS LÄN</t>
        </is>
      </c>
      <c r="E1429" t="inlineStr">
        <is>
          <t>NORRTÄLJE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56819-2023</t>
        </is>
      </c>
      <c r="B1430" s="1" t="n">
        <v>45244</v>
      </c>
      <c r="C1430" s="1" t="n">
        <v>45578</v>
      </c>
      <c r="D1430" t="inlineStr">
        <is>
          <t>STOCKHOLMS LÄN</t>
        </is>
      </c>
      <c r="E1430" t="inlineStr">
        <is>
          <t>NORRTÄLJE</t>
        </is>
      </c>
      <c r="G1430" t="n">
        <v>13.6</v>
      </c>
      <c r="H1430" t="n">
        <v>0</v>
      </c>
      <c r="I1430" t="n">
        <v>0</v>
      </c>
      <c r="J1430" t="n">
        <v>0</v>
      </c>
      <c r="K1430" t="n">
        <v>0</v>
      </c>
      <c r="L1430" t="n">
        <v>0</v>
      </c>
      <c r="M1430" t="n">
        <v>0</v>
      </c>
      <c r="N1430" t="n">
        <v>0</v>
      </c>
      <c r="O1430" t="n">
        <v>0</v>
      </c>
      <c r="P1430" t="n">
        <v>0</v>
      </c>
      <c r="Q1430" t="n">
        <v>0</v>
      </c>
      <c r="R1430" s="2" t="inlineStr"/>
    </row>
    <row r="1431" ht="15" customHeight="1">
      <c r="A1431" t="inlineStr">
        <is>
          <t>A 58261-2023</t>
        </is>
      </c>
      <c r="B1431" s="1" t="n">
        <v>45245</v>
      </c>
      <c r="C1431" s="1" t="n">
        <v>45578</v>
      </c>
      <c r="D1431" t="inlineStr">
        <is>
          <t>STOCKHOLMS LÄN</t>
        </is>
      </c>
      <c r="E1431" t="inlineStr">
        <is>
          <t>NORRTÄLJE</t>
        </is>
      </c>
      <c r="G1431" t="n">
        <v>53.5</v>
      </c>
      <c r="H1431" t="n">
        <v>0</v>
      </c>
      <c r="I1431" t="n">
        <v>0</v>
      </c>
      <c r="J1431" t="n">
        <v>0</v>
      </c>
      <c r="K1431" t="n">
        <v>0</v>
      </c>
      <c r="L1431" t="n">
        <v>0</v>
      </c>
      <c r="M1431" t="n">
        <v>0</v>
      </c>
      <c r="N1431" t="n">
        <v>0</v>
      </c>
      <c r="O1431" t="n">
        <v>0</v>
      </c>
      <c r="P1431" t="n">
        <v>0</v>
      </c>
      <c r="Q1431" t="n">
        <v>0</v>
      </c>
      <c r="R1431" s="2" t="inlineStr"/>
    </row>
    <row r="1432" ht="15" customHeight="1">
      <c r="A1432" t="inlineStr">
        <is>
          <t>A 58209-2023</t>
        </is>
      </c>
      <c r="B1432" s="1" t="n">
        <v>45245</v>
      </c>
      <c r="C1432" s="1" t="n">
        <v>45578</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58227-2023</t>
        </is>
      </c>
      <c r="B1433" s="1" t="n">
        <v>45245</v>
      </c>
      <c r="C1433" s="1" t="n">
        <v>45578</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58291-2023</t>
        </is>
      </c>
      <c r="B1434" s="1" t="n">
        <v>45245</v>
      </c>
      <c r="C1434" s="1" t="n">
        <v>45578</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58277-2023</t>
        </is>
      </c>
      <c r="B1435" s="1" t="n">
        <v>45245</v>
      </c>
      <c r="C1435" s="1" t="n">
        <v>45578</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58213-2023</t>
        </is>
      </c>
      <c r="B1436" s="1" t="n">
        <v>45245</v>
      </c>
      <c r="C1436" s="1" t="n">
        <v>45578</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58311-2023</t>
        </is>
      </c>
      <c r="B1437" s="1" t="n">
        <v>45245</v>
      </c>
      <c r="C1437" s="1" t="n">
        <v>45578</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58300-2023</t>
        </is>
      </c>
      <c r="B1438" s="1" t="n">
        <v>45245</v>
      </c>
      <c r="C1438" s="1" t="n">
        <v>45578</v>
      </c>
      <c r="D1438" t="inlineStr">
        <is>
          <t>STOCKHOLMS LÄN</t>
        </is>
      </c>
      <c r="E1438" t="inlineStr">
        <is>
          <t>NORRTÄLJE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58260-2023</t>
        </is>
      </c>
      <c r="B1439" s="1" t="n">
        <v>45245</v>
      </c>
      <c r="C1439" s="1" t="n">
        <v>45578</v>
      </c>
      <c r="D1439" t="inlineStr">
        <is>
          <t>STOCKHOLMS LÄN</t>
        </is>
      </c>
      <c r="E1439" t="inlineStr">
        <is>
          <t>NORRTÄLJE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58297-2023</t>
        </is>
      </c>
      <c r="B1440" s="1" t="n">
        <v>45245</v>
      </c>
      <c r="C1440" s="1" t="n">
        <v>45578</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58306-2023</t>
        </is>
      </c>
      <c r="B1441" s="1" t="n">
        <v>45245</v>
      </c>
      <c r="C1441" s="1" t="n">
        <v>45578</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58404-2023</t>
        </is>
      </c>
      <c r="B1442" s="1" t="n">
        <v>45245</v>
      </c>
      <c r="C1442" s="1" t="n">
        <v>45578</v>
      </c>
      <c r="D1442" t="inlineStr">
        <is>
          <t>STOCKHOLMS LÄN</t>
        </is>
      </c>
      <c r="E1442" t="inlineStr">
        <is>
          <t>NORRTÄLJE</t>
        </is>
      </c>
      <c r="G1442" t="n">
        <v>53.5</v>
      </c>
      <c r="H1442" t="n">
        <v>0</v>
      </c>
      <c r="I1442" t="n">
        <v>0</v>
      </c>
      <c r="J1442" t="n">
        <v>0</v>
      </c>
      <c r="K1442" t="n">
        <v>0</v>
      </c>
      <c r="L1442" t="n">
        <v>0</v>
      </c>
      <c r="M1442" t="n">
        <v>0</v>
      </c>
      <c r="N1442" t="n">
        <v>0</v>
      </c>
      <c r="O1442" t="n">
        <v>0</v>
      </c>
      <c r="P1442" t="n">
        <v>0</v>
      </c>
      <c r="Q1442" t="n">
        <v>0</v>
      </c>
      <c r="R1442" s="2" t="inlineStr"/>
    </row>
    <row r="1443" ht="15" customHeight="1">
      <c r="A1443" t="inlineStr">
        <is>
          <t>A 58191-2023</t>
        </is>
      </c>
      <c r="B1443" s="1" t="n">
        <v>45250</v>
      </c>
      <c r="C1443" s="1" t="n">
        <v>45578</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58186-2023</t>
        </is>
      </c>
      <c r="B1444" s="1" t="n">
        <v>45250</v>
      </c>
      <c r="C1444" s="1" t="n">
        <v>45578</v>
      </c>
      <c r="D1444" t="inlineStr">
        <is>
          <t>STOCKHOLMS LÄN</t>
        </is>
      </c>
      <c r="E1444" t="inlineStr">
        <is>
          <t>NORRTÄLJE</t>
        </is>
      </c>
      <c r="F1444" t="inlineStr">
        <is>
          <t>Kyrkan</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58981-2023</t>
        </is>
      </c>
      <c r="B1445" s="1" t="n">
        <v>45250</v>
      </c>
      <c r="C1445" s="1" t="n">
        <v>45578</v>
      </c>
      <c r="D1445" t="inlineStr">
        <is>
          <t>STOCKHOLMS LÄN</t>
        </is>
      </c>
      <c r="E1445" t="inlineStr">
        <is>
          <t>NORRTÄLJE</t>
        </is>
      </c>
      <c r="F1445" t="inlineStr">
        <is>
          <t>Övriga statliga verk och myndigheter</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58601-2023</t>
        </is>
      </c>
      <c r="B1446" s="1" t="n">
        <v>45251</v>
      </c>
      <c r="C1446" s="1" t="n">
        <v>45578</v>
      </c>
      <c r="D1446" t="inlineStr">
        <is>
          <t>STOCKHOLMS LÄN</t>
        </is>
      </c>
      <c r="E1446" t="inlineStr">
        <is>
          <t>NORRTÄLJE</t>
        </is>
      </c>
      <c r="F1446" t="inlineStr">
        <is>
          <t>Holmen skog AB</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59310-2023</t>
        </is>
      </c>
      <c r="B1447" s="1" t="n">
        <v>45253</v>
      </c>
      <c r="C1447" s="1" t="n">
        <v>45578</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59326-2023</t>
        </is>
      </c>
      <c r="B1448" s="1" t="n">
        <v>45253</v>
      </c>
      <c r="C1448" s="1" t="n">
        <v>45578</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59212-2023</t>
        </is>
      </c>
      <c r="B1449" s="1" t="n">
        <v>45253</v>
      </c>
      <c r="C1449" s="1" t="n">
        <v>45578</v>
      </c>
      <c r="D1449" t="inlineStr">
        <is>
          <t>STOCKHOLMS LÄN</t>
        </is>
      </c>
      <c r="E1449" t="inlineStr">
        <is>
          <t>NORRTÄLJE</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59276-2023</t>
        </is>
      </c>
      <c r="B1450" s="1" t="n">
        <v>45253</v>
      </c>
      <c r="C1450" s="1" t="n">
        <v>45578</v>
      </c>
      <c r="D1450" t="inlineStr">
        <is>
          <t>STOCKHOLMS LÄN</t>
        </is>
      </c>
      <c r="E1450" t="inlineStr">
        <is>
          <t>NORRTÄLJE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59468-2023</t>
        </is>
      </c>
      <c r="B1451" s="1" t="n">
        <v>45254</v>
      </c>
      <c r="C1451" s="1" t="n">
        <v>45578</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59499-2023</t>
        </is>
      </c>
      <c r="B1452" s="1" t="n">
        <v>45254</v>
      </c>
      <c r="C1452" s="1" t="n">
        <v>45578</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59504-2023</t>
        </is>
      </c>
      <c r="B1453" s="1" t="n">
        <v>45254</v>
      </c>
      <c r="C1453" s="1" t="n">
        <v>45578</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59676-2023</t>
        </is>
      </c>
      <c r="B1454" s="1" t="n">
        <v>45255</v>
      </c>
      <c r="C1454" s="1" t="n">
        <v>45578</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59904-2023</t>
        </is>
      </c>
      <c r="B1455" s="1" t="n">
        <v>45257</v>
      </c>
      <c r="C1455" s="1" t="n">
        <v>45578</v>
      </c>
      <c r="D1455" t="inlineStr">
        <is>
          <t>STOCKHOLMS LÄN</t>
        </is>
      </c>
      <c r="E1455" t="inlineStr">
        <is>
          <t>NORRTÄLJE</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59906-2023</t>
        </is>
      </c>
      <c r="B1456" s="1" t="n">
        <v>45257</v>
      </c>
      <c r="C1456" s="1" t="n">
        <v>45578</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59992-2023</t>
        </is>
      </c>
      <c r="B1457" s="1" t="n">
        <v>45257</v>
      </c>
      <c r="C1457" s="1" t="n">
        <v>45578</v>
      </c>
      <c r="D1457" t="inlineStr">
        <is>
          <t>STOCKHOLMS LÄN</t>
        </is>
      </c>
      <c r="E1457" t="inlineStr">
        <is>
          <t>NORRTÄLJE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60224-2023</t>
        </is>
      </c>
      <c r="B1458" s="1" t="n">
        <v>45257</v>
      </c>
      <c r="C1458" s="1" t="n">
        <v>45578</v>
      </c>
      <c r="D1458" t="inlineStr">
        <is>
          <t>STOCKHOLMS LÄN</t>
        </is>
      </c>
      <c r="E1458" t="inlineStr">
        <is>
          <t>NORRTÄLJE</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60073-2023</t>
        </is>
      </c>
      <c r="B1459" s="1" t="n">
        <v>45258</v>
      </c>
      <c r="C1459" s="1" t="n">
        <v>45578</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60492-2023</t>
        </is>
      </c>
      <c r="B1460" s="1" t="n">
        <v>45259</v>
      </c>
      <c r="C1460" s="1" t="n">
        <v>45578</v>
      </c>
      <c r="D1460" t="inlineStr">
        <is>
          <t>STOCKHOLMS LÄN</t>
        </is>
      </c>
      <c r="E1460" t="inlineStr">
        <is>
          <t>NORRTÄLJE</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60529-2023</t>
        </is>
      </c>
      <c r="B1461" s="1" t="n">
        <v>45259</v>
      </c>
      <c r="C1461" s="1" t="n">
        <v>45578</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60822-2023</t>
        </is>
      </c>
      <c r="B1462" s="1" t="n">
        <v>45259</v>
      </c>
      <c r="C1462" s="1" t="n">
        <v>45578</v>
      </c>
      <c r="D1462" t="inlineStr">
        <is>
          <t>STOCKHOLMS LÄN</t>
        </is>
      </c>
      <c r="E1462" t="inlineStr">
        <is>
          <t>NORRTÄLJE</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60654-2023</t>
        </is>
      </c>
      <c r="B1463" s="1" t="n">
        <v>45260</v>
      </c>
      <c r="C1463" s="1" t="n">
        <v>45578</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60640-2023</t>
        </is>
      </c>
      <c r="B1464" s="1" t="n">
        <v>45260</v>
      </c>
      <c r="C1464" s="1" t="n">
        <v>45578</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60672-2023</t>
        </is>
      </c>
      <c r="B1465" s="1" t="n">
        <v>45260</v>
      </c>
      <c r="C1465" s="1" t="n">
        <v>45578</v>
      </c>
      <c r="D1465" t="inlineStr">
        <is>
          <t>STOCKHOLMS LÄN</t>
        </is>
      </c>
      <c r="E1465" t="inlineStr">
        <is>
          <t>NORRTÄLJE</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60823-2023</t>
        </is>
      </c>
      <c r="B1466" s="1" t="n">
        <v>45260</v>
      </c>
      <c r="C1466" s="1" t="n">
        <v>45578</v>
      </c>
      <c r="D1466" t="inlineStr">
        <is>
          <t>STOCKHOLMS LÄN</t>
        </is>
      </c>
      <c r="E1466" t="inlineStr">
        <is>
          <t>NORRTÄLJE</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60656-2023</t>
        </is>
      </c>
      <c r="B1467" s="1" t="n">
        <v>45260</v>
      </c>
      <c r="C1467" s="1" t="n">
        <v>45578</v>
      </c>
      <c r="D1467" t="inlineStr">
        <is>
          <t>STOCKHOLMS LÄN</t>
        </is>
      </c>
      <c r="E1467" t="inlineStr">
        <is>
          <t>NORRTÄLJE</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60765-2023</t>
        </is>
      </c>
      <c r="B1468" s="1" t="n">
        <v>45260</v>
      </c>
      <c r="C1468" s="1" t="n">
        <v>45578</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61113-2023</t>
        </is>
      </c>
      <c r="B1469" s="1" t="n">
        <v>45261</v>
      </c>
      <c r="C1469" s="1" t="n">
        <v>45578</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62644-2023</t>
        </is>
      </c>
      <c r="B1470" s="1" t="n">
        <v>45271</v>
      </c>
      <c r="C1470" s="1" t="n">
        <v>45578</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62998-2023</t>
        </is>
      </c>
      <c r="B1471" s="1" t="n">
        <v>45272</v>
      </c>
      <c r="C1471" s="1" t="n">
        <v>45578</v>
      </c>
      <c r="D1471" t="inlineStr">
        <is>
          <t>STOCKHOLMS LÄN</t>
        </is>
      </c>
      <c r="E1471" t="inlineStr">
        <is>
          <t>NORRTÄLJE</t>
        </is>
      </c>
      <c r="G1471" t="n">
        <v>16.3</v>
      </c>
      <c r="H1471" t="n">
        <v>0</v>
      </c>
      <c r="I1471" t="n">
        <v>0</v>
      </c>
      <c r="J1471" t="n">
        <v>0</v>
      </c>
      <c r="K1471" t="n">
        <v>0</v>
      </c>
      <c r="L1471" t="n">
        <v>0</v>
      </c>
      <c r="M1471" t="n">
        <v>0</v>
      </c>
      <c r="N1471" t="n">
        <v>0</v>
      </c>
      <c r="O1471" t="n">
        <v>0</v>
      </c>
      <c r="P1471" t="n">
        <v>0</v>
      </c>
      <c r="Q1471" t="n">
        <v>0</v>
      </c>
      <c r="R1471" s="2" t="inlineStr"/>
    </row>
    <row r="1472" ht="15" customHeight="1">
      <c r="A1472" t="inlineStr">
        <is>
          <t>A 63015-2023</t>
        </is>
      </c>
      <c r="B1472" s="1" t="n">
        <v>45272</v>
      </c>
      <c r="C1472" s="1" t="n">
        <v>45578</v>
      </c>
      <c r="D1472" t="inlineStr">
        <is>
          <t>STOCKHOLMS LÄN</t>
        </is>
      </c>
      <c r="E1472" t="inlineStr">
        <is>
          <t>NORRTÄLJE</t>
        </is>
      </c>
      <c r="G1472" t="n">
        <v>13.1</v>
      </c>
      <c r="H1472" t="n">
        <v>0</v>
      </c>
      <c r="I1472" t="n">
        <v>0</v>
      </c>
      <c r="J1472" t="n">
        <v>0</v>
      </c>
      <c r="K1472" t="n">
        <v>0</v>
      </c>
      <c r="L1472" t="n">
        <v>0</v>
      </c>
      <c r="M1472" t="n">
        <v>0</v>
      </c>
      <c r="N1472" t="n">
        <v>0</v>
      </c>
      <c r="O1472" t="n">
        <v>0</v>
      </c>
      <c r="P1472" t="n">
        <v>0</v>
      </c>
      <c r="Q1472" t="n">
        <v>0</v>
      </c>
      <c r="R1472" s="2" t="inlineStr"/>
    </row>
    <row r="1473" ht="15" customHeight="1">
      <c r="A1473" t="inlineStr">
        <is>
          <t>A 62971-2023</t>
        </is>
      </c>
      <c r="B1473" s="1" t="n">
        <v>45272</v>
      </c>
      <c r="C1473" s="1" t="n">
        <v>45578</v>
      </c>
      <c r="D1473" t="inlineStr">
        <is>
          <t>STOCKHOLMS LÄN</t>
        </is>
      </c>
      <c r="E1473" t="inlineStr">
        <is>
          <t>NORRTÄLJE</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63013-2023</t>
        </is>
      </c>
      <c r="B1474" s="1" t="n">
        <v>45272</v>
      </c>
      <c r="C1474" s="1" t="n">
        <v>45578</v>
      </c>
      <c r="D1474" t="inlineStr">
        <is>
          <t>STOCKHOLMS LÄN</t>
        </is>
      </c>
      <c r="E1474" t="inlineStr">
        <is>
          <t>NORRTÄLJE</t>
        </is>
      </c>
      <c r="G1474" t="n">
        <v>14.9</v>
      </c>
      <c r="H1474" t="n">
        <v>0</v>
      </c>
      <c r="I1474" t="n">
        <v>0</v>
      </c>
      <c r="J1474" t="n">
        <v>0</v>
      </c>
      <c r="K1474" t="n">
        <v>0</v>
      </c>
      <c r="L1474" t="n">
        <v>0</v>
      </c>
      <c r="M1474" t="n">
        <v>0</v>
      </c>
      <c r="N1474" t="n">
        <v>0</v>
      </c>
      <c r="O1474" t="n">
        <v>0</v>
      </c>
      <c r="P1474" t="n">
        <v>0</v>
      </c>
      <c r="Q1474" t="n">
        <v>0</v>
      </c>
      <c r="R1474" s="2" t="inlineStr"/>
    </row>
    <row r="1475" ht="15" customHeight="1">
      <c r="A1475" t="inlineStr">
        <is>
          <t>A 63161-2023</t>
        </is>
      </c>
      <c r="B1475" s="1" t="n">
        <v>45273</v>
      </c>
      <c r="C1475" s="1" t="n">
        <v>45578</v>
      </c>
      <c r="D1475" t="inlineStr">
        <is>
          <t>STOCKHOLMS LÄN</t>
        </is>
      </c>
      <c r="E1475" t="inlineStr">
        <is>
          <t>NORRTÄLJE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63655-2023</t>
        </is>
      </c>
      <c r="B1476" s="1" t="n">
        <v>45275</v>
      </c>
      <c r="C1476" s="1" t="n">
        <v>45578</v>
      </c>
      <c r="D1476" t="inlineStr">
        <is>
          <t>STOCKHOLMS LÄN</t>
        </is>
      </c>
      <c r="E1476" t="inlineStr">
        <is>
          <t>NORRTÄLJE</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64902-2023</t>
        </is>
      </c>
      <c r="B1477" s="1" t="n">
        <v>45282</v>
      </c>
      <c r="C1477" s="1" t="n">
        <v>45578</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64899-2023</t>
        </is>
      </c>
      <c r="B1478" s="1" t="n">
        <v>45282</v>
      </c>
      <c r="C1478" s="1" t="n">
        <v>45578</v>
      </c>
      <c r="D1478" t="inlineStr">
        <is>
          <t>STOCKHOLMS LÄN</t>
        </is>
      </c>
      <c r="E1478" t="inlineStr">
        <is>
          <t>NORRTÄLJE</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9-2024</t>
        </is>
      </c>
      <c r="B1479" s="1" t="n">
        <v>45293</v>
      </c>
      <c r="C1479" s="1" t="n">
        <v>45578</v>
      </c>
      <c r="D1479" t="inlineStr">
        <is>
          <t>STOCKHOLMS LÄN</t>
        </is>
      </c>
      <c r="E1479" t="inlineStr">
        <is>
          <t>NORRTÄLJE</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13-2024</t>
        </is>
      </c>
      <c r="B1480" s="1" t="n">
        <v>45293</v>
      </c>
      <c r="C1480" s="1" t="n">
        <v>45578</v>
      </c>
      <c r="D1480" t="inlineStr">
        <is>
          <t>STOCKHOLMS LÄN</t>
        </is>
      </c>
      <c r="E1480" t="inlineStr">
        <is>
          <t>NORRTÄLJE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11-2024</t>
        </is>
      </c>
      <c r="B1481" s="1" t="n">
        <v>45293</v>
      </c>
      <c r="C1481" s="1" t="n">
        <v>45578</v>
      </c>
      <c r="D1481" t="inlineStr">
        <is>
          <t>STOCKHOLMS LÄN</t>
        </is>
      </c>
      <c r="E1481" t="inlineStr">
        <is>
          <t>NORRTÄLJE</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19-2024</t>
        </is>
      </c>
      <c r="B1482" s="1" t="n">
        <v>45293</v>
      </c>
      <c r="C1482" s="1" t="n">
        <v>45578</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329-2024</t>
        </is>
      </c>
      <c r="B1483" s="1" t="n">
        <v>45295</v>
      </c>
      <c r="C1483" s="1" t="n">
        <v>45578</v>
      </c>
      <c r="D1483" t="inlineStr">
        <is>
          <t>STOCKHOLMS LÄN</t>
        </is>
      </c>
      <c r="E1483" t="inlineStr">
        <is>
          <t>NORRTÄLJE</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498-2024</t>
        </is>
      </c>
      <c r="B1484" s="1" t="n">
        <v>45299</v>
      </c>
      <c r="C1484" s="1" t="n">
        <v>45578</v>
      </c>
      <c r="D1484" t="inlineStr">
        <is>
          <t>STOCKHOLMS LÄN</t>
        </is>
      </c>
      <c r="E1484" t="inlineStr">
        <is>
          <t>NORRTÄLJE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577-2024</t>
        </is>
      </c>
      <c r="B1485" s="1" t="n">
        <v>45299</v>
      </c>
      <c r="C1485" s="1" t="n">
        <v>45578</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1372-2024</t>
        </is>
      </c>
      <c r="B1486" s="1" t="n">
        <v>45303</v>
      </c>
      <c r="C1486" s="1" t="n">
        <v>45578</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1996-2024</t>
        </is>
      </c>
      <c r="B1487" s="1" t="n">
        <v>45308</v>
      </c>
      <c r="C1487" s="1" t="n">
        <v>45578</v>
      </c>
      <c r="D1487" t="inlineStr">
        <is>
          <t>STOCKHOLMS LÄN</t>
        </is>
      </c>
      <c r="E1487" t="inlineStr">
        <is>
          <t>NORRTÄLJE</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2287-2024</t>
        </is>
      </c>
      <c r="B1488" s="1" t="n">
        <v>45310</v>
      </c>
      <c r="C1488" s="1" t="n">
        <v>45578</v>
      </c>
      <c r="D1488" t="inlineStr">
        <is>
          <t>STOCKHOLMS LÄN</t>
        </is>
      </c>
      <c r="E1488" t="inlineStr">
        <is>
          <t>NORRTÄLJE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2281-2024</t>
        </is>
      </c>
      <c r="B1489" s="1" t="n">
        <v>45310</v>
      </c>
      <c r="C1489" s="1" t="n">
        <v>45578</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2613-2024</t>
        </is>
      </c>
      <c r="B1490" s="1" t="n">
        <v>45313</v>
      </c>
      <c r="C1490" s="1" t="n">
        <v>45578</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2611-2024</t>
        </is>
      </c>
      <c r="B1491" s="1" t="n">
        <v>45313</v>
      </c>
      <c r="C1491" s="1" t="n">
        <v>45578</v>
      </c>
      <c r="D1491" t="inlineStr">
        <is>
          <t>STOCKHOLMS LÄN</t>
        </is>
      </c>
      <c r="E1491" t="inlineStr">
        <is>
          <t>NORRTÄLJE</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3084-2024</t>
        </is>
      </c>
      <c r="B1492" s="1" t="n">
        <v>45316</v>
      </c>
      <c r="C1492" s="1" t="n">
        <v>45578</v>
      </c>
      <c r="D1492" t="inlineStr">
        <is>
          <t>STOCKHOLMS LÄN</t>
        </is>
      </c>
      <c r="E1492" t="inlineStr">
        <is>
          <t>NORRTÄLJE</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3152-2024</t>
        </is>
      </c>
      <c r="B1493" s="1" t="n">
        <v>45316</v>
      </c>
      <c r="C1493" s="1" t="n">
        <v>45578</v>
      </c>
      <c r="D1493" t="inlineStr">
        <is>
          <t>STOCKHOLMS LÄN</t>
        </is>
      </c>
      <c r="E1493" t="inlineStr">
        <is>
          <t>NORRTÄLJE</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3381-2024</t>
        </is>
      </c>
      <c r="B1494" s="1" t="n">
        <v>45317</v>
      </c>
      <c r="C1494" s="1" t="n">
        <v>45578</v>
      </c>
      <c r="D1494" t="inlineStr">
        <is>
          <t>STOCKHOLMS LÄN</t>
        </is>
      </c>
      <c r="E1494" t="inlineStr">
        <is>
          <t>NORRTÄLJE</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3942-2024</t>
        </is>
      </c>
      <c r="B1495" s="1" t="n">
        <v>45322</v>
      </c>
      <c r="C1495" s="1" t="n">
        <v>45578</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3966-2024</t>
        </is>
      </c>
      <c r="B1496" s="1" t="n">
        <v>45322</v>
      </c>
      <c r="C1496" s="1" t="n">
        <v>45578</v>
      </c>
      <c r="D1496" t="inlineStr">
        <is>
          <t>STOCKHOLMS LÄN</t>
        </is>
      </c>
      <c r="E1496" t="inlineStr">
        <is>
          <t>NORRTÄLJE</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4051-2024</t>
        </is>
      </c>
      <c r="B1497" s="1" t="n">
        <v>45323</v>
      </c>
      <c r="C1497" s="1" t="n">
        <v>45578</v>
      </c>
      <c r="D1497" t="inlineStr">
        <is>
          <t>STOCKHOLMS LÄN</t>
        </is>
      </c>
      <c r="E1497" t="inlineStr">
        <is>
          <t>NORRTÄLJE</t>
        </is>
      </c>
      <c r="F1497" t="inlineStr">
        <is>
          <t>Kyrkan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4542-2024</t>
        </is>
      </c>
      <c r="B1498" s="1" t="n">
        <v>45327</v>
      </c>
      <c r="C1498" s="1" t="n">
        <v>45578</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4658-2024</t>
        </is>
      </c>
      <c r="B1499" s="1" t="n">
        <v>45328</v>
      </c>
      <c r="C1499" s="1" t="n">
        <v>45578</v>
      </c>
      <c r="D1499" t="inlineStr">
        <is>
          <t>STOCKHOLMS LÄN</t>
        </is>
      </c>
      <c r="E1499" t="inlineStr">
        <is>
          <t>NORRTÄLJE</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4730-2024</t>
        </is>
      </c>
      <c r="B1500" s="1" t="n">
        <v>45328</v>
      </c>
      <c r="C1500" s="1" t="n">
        <v>45578</v>
      </c>
      <c r="D1500" t="inlineStr">
        <is>
          <t>STOCKHOLMS LÄN</t>
        </is>
      </c>
      <c r="E1500" t="inlineStr">
        <is>
          <t>NORRTÄLJE</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5158-2024</t>
        </is>
      </c>
      <c r="B1501" s="1" t="n">
        <v>45330</v>
      </c>
      <c r="C1501" s="1" t="n">
        <v>45578</v>
      </c>
      <c r="D1501" t="inlineStr">
        <is>
          <t>STOCKHOLMS LÄN</t>
        </is>
      </c>
      <c r="E1501" t="inlineStr">
        <is>
          <t>NORRTÄLJE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5670-2024</t>
        </is>
      </c>
      <c r="B1502" s="1" t="n">
        <v>45334</v>
      </c>
      <c r="C1502" s="1" t="n">
        <v>45578</v>
      </c>
      <c r="D1502" t="inlineStr">
        <is>
          <t>STOCKHOLMS LÄN</t>
        </is>
      </c>
      <c r="E1502" t="inlineStr">
        <is>
          <t>NORRTÄLJE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5664-2024</t>
        </is>
      </c>
      <c r="B1503" s="1" t="n">
        <v>45334</v>
      </c>
      <c r="C1503" s="1" t="n">
        <v>45578</v>
      </c>
      <c r="D1503" t="inlineStr">
        <is>
          <t>STOCKHOLMS LÄN</t>
        </is>
      </c>
      <c r="E1503" t="inlineStr">
        <is>
          <t>NORRTÄLJE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5683-2024</t>
        </is>
      </c>
      <c r="B1504" s="1" t="n">
        <v>45334</v>
      </c>
      <c r="C1504" s="1" t="n">
        <v>45578</v>
      </c>
      <c r="D1504" t="inlineStr">
        <is>
          <t>STOCKHOLMS LÄN</t>
        </is>
      </c>
      <c r="E1504" t="inlineStr">
        <is>
          <t>NORRTÄLJE</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5625-2024</t>
        </is>
      </c>
      <c r="B1505" s="1" t="n">
        <v>45334</v>
      </c>
      <c r="C1505" s="1" t="n">
        <v>45578</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5862-2024</t>
        </is>
      </c>
      <c r="B1506" s="1" t="n">
        <v>45335</v>
      </c>
      <c r="C1506" s="1" t="n">
        <v>45578</v>
      </c>
      <c r="D1506" t="inlineStr">
        <is>
          <t>STOCKHOLMS LÄN</t>
        </is>
      </c>
      <c r="E1506" t="inlineStr">
        <is>
          <t>NORRTÄLJE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5831-2024</t>
        </is>
      </c>
      <c r="B1507" s="1" t="n">
        <v>45335</v>
      </c>
      <c r="C1507" s="1" t="n">
        <v>45578</v>
      </c>
      <c r="D1507" t="inlineStr">
        <is>
          <t>STOCKHOLMS LÄN</t>
        </is>
      </c>
      <c r="E1507" t="inlineStr">
        <is>
          <t>NORRTÄLJE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5894-2024</t>
        </is>
      </c>
      <c r="B1508" s="1" t="n">
        <v>45335</v>
      </c>
      <c r="C1508" s="1" t="n">
        <v>45578</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6401-2024</t>
        </is>
      </c>
      <c r="B1509" s="1" t="n">
        <v>45338</v>
      </c>
      <c r="C1509" s="1" t="n">
        <v>45578</v>
      </c>
      <c r="D1509" t="inlineStr">
        <is>
          <t>STOCKHOLMS LÄN</t>
        </is>
      </c>
      <c r="E1509" t="inlineStr">
        <is>
          <t>NORRTÄLJE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6537-2024</t>
        </is>
      </c>
      <c r="B1510" s="1" t="n">
        <v>45341</v>
      </c>
      <c r="C1510" s="1" t="n">
        <v>45578</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7009-2024</t>
        </is>
      </c>
      <c r="B1511" s="1" t="n">
        <v>45343</v>
      </c>
      <c r="C1511" s="1" t="n">
        <v>45578</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7186-2024</t>
        </is>
      </c>
      <c r="B1512" s="1" t="n">
        <v>45344</v>
      </c>
      <c r="C1512" s="1" t="n">
        <v>45578</v>
      </c>
      <c r="D1512" t="inlineStr">
        <is>
          <t>STOCKHOLMS LÄN</t>
        </is>
      </c>
      <c r="E1512" t="inlineStr">
        <is>
          <t>NORRTÄLJE</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7408-2024</t>
        </is>
      </c>
      <c r="B1513" s="1" t="n">
        <v>45345</v>
      </c>
      <c r="C1513" s="1" t="n">
        <v>45578</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7573-2024</t>
        </is>
      </c>
      <c r="B1514" s="1" t="n">
        <v>45345</v>
      </c>
      <c r="C1514" s="1" t="n">
        <v>45578</v>
      </c>
      <c r="D1514" t="inlineStr">
        <is>
          <t>STOCKHOLMS LÄN</t>
        </is>
      </c>
      <c r="E1514" t="inlineStr">
        <is>
          <t>NORRTÄLJE</t>
        </is>
      </c>
      <c r="F1514" t="inlineStr">
        <is>
          <t>Övriga Aktiebolag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7425-2024</t>
        </is>
      </c>
      <c r="B1515" s="1" t="n">
        <v>45345</v>
      </c>
      <c r="C1515" s="1" t="n">
        <v>45578</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7413-2024</t>
        </is>
      </c>
      <c r="B1516" s="1" t="n">
        <v>45345</v>
      </c>
      <c r="C1516" s="1" t="n">
        <v>45578</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7385-2024</t>
        </is>
      </c>
      <c r="B1517" s="1" t="n">
        <v>45345</v>
      </c>
      <c r="C1517" s="1" t="n">
        <v>45578</v>
      </c>
      <c r="D1517" t="inlineStr">
        <is>
          <t>STOCKHOLMS LÄN</t>
        </is>
      </c>
      <c r="E1517" t="inlineStr">
        <is>
          <t>NORRTÄLJE</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7329-2024</t>
        </is>
      </c>
      <c r="B1518" s="1" t="n">
        <v>45345</v>
      </c>
      <c r="C1518" s="1" t="n">
        <v>45578</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7483-2024</t>
        </is>
      </c>
      <c r="B1519" s="1" t="n">
        <v>45346</v>
      </c>
      <c r="C1519" s="1" t="n">
        <v>45578</v>
      </c>
      <c r="D1519" t="inlineStr">
        <is>
          <t>STOCKHOLMS LÄN</t>
        </is>
      </c>
      <c r="E1519" t="inlineStr">
        <is>
          <t>NORRTÄLJE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7571-2024</t>
        </is>
      </c>
      <c r="B1520" s="1" t="n">
        <v>45348</v>
      </c>
      <c r="C1520" s="1" t="n">
        <v>45578</v>
      </c>
      <c r="D1520" t="inlineStr">
        <is>
          <t>STOCKHOLMS LÄN</t>
        </is>
      </c>
      <c r="E1520" t="inlineStr">
        <is>
          <t>NORRTÄLJE</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8270-2024</t>
        </is>
      </c>
      <c r="B1521" s="1" t="n">
        <v>45352</v>
      </c>
      <c r="C1521" s="1" t="n">
        <v>45578</v>
      </c>
      <c r="D1521" t="inlineStr">
        <is>
          <t>STOCKHOLMS LÄN</t>
        </is>
      </c>
      <c r="E1521" t="inlineStr">
        <is>
          <t>NORRTÄLJE</t>
        </is>
      </c>
      <c r="F1521" t="inlineStr">
        <is>
          <t>Kyrkan</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8399-2024</t>
        </is>
      </c>
      <c r="B1522" s="1" t="n">
        <v>45352</v>
      </c>
      <c r="C1522" s="1" t="n">
        <v>45578</v>
      </c>
      <c r="D1522" t="inlineStr">
        <is>
          <t>STOCKHOLMS LÄN</t>
        </is>
      </c>
      <c r="E1522" t="inlineStr">
        <is>
          <t>NORRTÄLJE</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8365-2024</t>
        </is>
      </c>
      <c r="B1523" s="1" t="n">
        <v>45352</v>
      </c>
      <c r="C1523" s="1" t="n">
        <v>45578</v>
      </c>
      <c r="D1523" t="inlineStr">
        <is>
          <t>STOCKHOLMS LÄN</t>
        </is>
      </c>
      <c r="E1523" t="inlineStr">
        <is>
          <t>NORRTÄLJE</t>
        </is>
      </c>
      <c r="F1523" t="inlineStr">
        <is>
          <t>Naturvårdsverket</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8400-2024</t>
        </is>
      </c>
      <c r="B1524" s="1" t="n">
        <v>45352</v>
      </c>
      <c r="C1524" s="1" t="n">
        <v>45578</v>
      </c>
      <c r="D1524" t="inlineStr">
        <is>
          <t>STOCKHOLMS LÄN</t>
        </is>
      </c>
      <c r="E1524" t="inlineStr">
        <is>
          <t>NORRTÄLJE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8401-2024</t>
        </is>
      </c>
      <c r="B1525" s="1" t="n">
        <v>45352</v>
      </c>
      <c r="C1525" s="1" t="n">
        <v>45578</v>
      </c>
      <c r="D1525" t="inlineStr">
        <is>
          <t>STOCKHOLMS LÄN</t>
        </is>
      </c>
      <c r="E1525" t="inlineStr">
        <is>
          <t>NORRTÄLJE</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8739-2024</t>
        </is>
      </c>
      <c r="B1526" s="1" t="n">
        <v>45356</v>
      </c>
      <c r="C1526" s="1" t="n">
        <v>45578</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8736-2024</t>
        </is>
      </c>
      <c r="B1527" s="1" t="n">
        <v>45356</v>
      </c>
      <c r="C1527" s="1" t="n">
        <v>45578</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9246-2024</t>
        </is>
      </c>
      <c r="B1528" s="1" t="n">
        <v>45357</v>
      </c>
      <c r="C1528" s="1" t="n">
        <v>45578</v>
      </c>
      <c r="D1528" t="inlineStr">
        <is>
          <t>STOCKHOLMS LÄN</t>
        </is>
      </c>
      <c r="E1528" t="inlineStr">
        <is>
          <t>NORRTÄLJE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9300-2024</t>
        </is>
      </c>
      <c r="B1529" s="1" t="n">
        <v>45358</v>
      </c>
      <c r="C1529" s="1" t="n">
        <v>45578</v>
      </c>
      <c r="D1529" t="inlineStr">
        <is>
          <t>STOCKHOLMS LÄN</t>
        </is>
      </c>
      <c r="E1529" t="inlineStr">
        <is>
          <t>NORRTÄLJE</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9297-2024</t>
        </is>
      </c>
      <c r="B1530" s="1" t="n">
        <v>45358</v>
      </c>
      <c r="C1530" s="1" t="n">
        <v>45578</v>
      </c>
      <c r="D1530" t="inlineStr">
        <is>
          <t>STOCKHOLMS LÄN</t>
        </is>
      </c>
      <c r="E1530" t="inlineStr">
        <is>
          <t>NORRTÄLJE</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9301-2024</t>
        </is>
      </c>
      <c r="B1531" s="1" t="n">
        <v>45358</v>
      </c>
      <c r="C1531" s="1" t="n">
        <v>45578</v>
      </c>
      <c r="D1531" t="inlineStr">
        <is>
          <t>STOCKHOLMS LÄN</t>
        </is>
      </c>
      <c r="E1531" t="inlineStr">
        <is>
          <t>NORRTÄLJE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9305-2024</t>
        </is>
      </c>
      <c r="B1532" s="1" t="n">
        <v>45358</v>
      </c>
      <c r="C1532" s="1" t="n">
        <v>45578</v>
      </c>
      <c r="D1532" t="inlineStr">
        <is>
          <t>STOCKHOLMS LÄN</t>
        </is>
      </c>
      <c r="E1532" t="inlineStr">
        <is>
          <t>NORRTÄLJE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9765-2024</t>
        </is>
      </c>
      <c r="B1533" s="1" t="n">
        <v>45362</v>
      </c>
      <c r="C1533" s="1" t="n">
        <v>45578</v>
      </c>
      <c r="D1533" t="inlineStr">
        <is>
          <t>STOCKHOLMS LÄN</t>
        </is>
      </c>
      <c r="E1533" t="inlineStr">
        <is>
          <t>NORRTÄLJE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9959-2024</t>
        </is>
      </c>
      <c r="B1534" s="1" t="n">
        <v>45363</v>
      </c>
      <c r="C1534" s="1" t="n">
        <v>45578</v>
      </c>
      <c r="D1534" t="inlineStr">
        <is>
          <t>STOCKHOLMS LÄN</t>
        </is>
      </c>
      <c r="E1534" t="inlineStr">
        <is>
          <t>NORRTÄLJE</t>
        </is>
      </c>
      <c r="F1534" t="inlineStr">
        <is>
          <t>Naturvårdsverket</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10258-2024</t>
        </is>
      </c>
      <c r="B1535" s="1" t="n">
        <v>45365</v>
      </c>
      <c r="C1535" s="1" t="n">
        <v>45578</v>
      </c>
      <c r="D1535" t="inlineStr">
        <is>
          <t>STOCKHOLMS LÄN</t>
        </is>
      </c>
      <c r="E1535" t="inlineStr">
        <is>
          <t>NORRTÄLJE</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10279-2024</t>
        </is>
      </c>
      <c r="B1536" s="1" t="n">
        <v>45365</v>
      </c>
      <c r="C1536" s="1" t="n">
        <v>45578</v>
      </c>
      <c r="D1536" t="inlineStr">
        <is>
          <t>STOCKHOLMS LÄN</t>
        </is>
      </c>
      <c r="E1536" t="inlineStr">
        <is>
          <t>NORRTÄLJE</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10643-2024</t>
        </is>
      </c>
      <c r="B1537" s="1" t="n">
        <v>45367</v>
      </c>
      <c r="C1537" s="1" t="n">
        <v>45578</v>
      </c>
      <c r="D1537" t="inlineStr">
        <is>
          <t>STOCKHOLMS LÄN</t>
        </is>
      </c>
      <c r="E1537" t="inlineStr">
        <is>
          <t>NORRTÄLJE</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10840-2024</t>
        </is>
      </c>
      <c r="B1538" s="1" t="n">
        <v>45369</v>
      </c>
      <c r="C1538" s="1" t="n">
        <v>45578</v>
      </c>
      <c r="D1538" t="inlineStr">
        <is>
          <t>STOCKHOLMS LÄN</t>
        </is>
      </c>
      <c r="E1538" t="inlineStr">
        <is>
          <t>NORRTÄLJE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10810-2024</t>
        </is>
      </c>
      <c r="B1539" s="1" t="n">
        <v>45369</v>
      </c>
      <c r="C1539" s="1" t="n">
        <v>45578</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10930-2024</t>
        </is>
      </c>
      <c r="B1540" s="1" t="n">
        <v>45370</v>
      </c>
      <c r="C1540" s="1" t="n">
        <v>45578</v>
      </c>
      <c r="D1540" t="inlineStr">
        <is>
          <t>STOCKHOLMS LÄN</t>
        </is>
      </c>
      <c r="E1540" t="inlineStr">
        <is>
          <t>NORRTÄLJE</t>
        </is>
      </c>
      <c r="G1540" t="n">
        <v>8.699999999999999</v>
      </c>
      <c r="H1540" t="n">
        <v>0</v>
      </c>
      <c r="I1540" t="n">
        <v>0</v>
      </c>
      <c r="J1540" t="n">
        <v>0</v>
      </c>
      <c r="K1540" t="n">
        <v>0</v>
      </c>
      <c r="L1540" t="n">
        <v>0</v>
      </c>
      <c r="M1540" t="n">
        <v>0</v>
      </c>
      <c r="N1540" t="n">
        <v>0</v>
      </c>
      <c r="O1540" t="n">
        <v>0</v>
      </c>
      <c r="P1540" t="n">
        <v>0</v>
      </c>
      <c r="Q1540" t="n">
        <v>0</v>
      </c>
      <c r="R1540" s="2" t="inlineStr"/>
      <c r="U1540">
        <f>HYPERLINK("https://klasma.github.io/Logging_0188/knärot/A 10930-2024 karta knärot.png", "A 10930-2024")</f>
        <v/>
      </c>
      <c r="V1540">
        <f>HYPERLINK("https://klasma.github.io/Logging_0188/klagomål/A 10930-2024 FSC-klagomål.docx", "A 10930-2024")</f>
        <v/>
      </c>
      <c r="W1540">
        <f>HYPERLINK("https://klasma.github.io/Logging_0188/klagomålsmail/A 10930-2024 FSC-klagomål mail.docx", "A 10930-2024")</f>
        <v/>
      </c>
      <c r="X1540">
        <f>HYPERLINK("https://klasma.github.io/Logging_0188/tillsyn/A 10930-2024 tillsynsbegäran.docx", "A 10930-2024")</f>
        <v/>
      </c>
      <c r="Y1540">
        <f>HYPERLINK("https://klasma.github.io/Logging_0188/tillsynsmail/A 10930-2024 tillsynsbegäran mail.docx", "A 10930-2024")</f>
        <v/>
      </c>
    </row>
    <row r="1541" ht="15" customHeight="1">
      <c r="A1541" t="inlineStr">
        <is>
          <t>A 11062-2024</t>
        </is>
      </c>
      <c r="B1541" s="1" t="n">
        <v>45370</v>
      </c>
      <c r="C1541" s="1" t="n">
        <v>45578</v>
      </c>
      <c r="D1541" t="inlineStr">
        <is>
          <t>STOCKHOLMS LÄN</t>
        </is>
      </c>
      <c r="E1541" t="inlineStr">
        <is>
          <t>NORRTÄLJE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10968-2024</t>
        </is>
      </c>
      <c r="B1542" s="1" t="n">
        <v>45370</v>
      </c>
      <c r="C1542" s="1" t="n">
        <v>45578</v>
      </c>
      <c r="D1542" t="inlineStr">
        <is>
          <t>STOCKHOLMS LÄN</t>
        </is>
      </c>
      <c r="E1542" t="inlineStr">
        <is>
          <t>NORRTÄLJE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11902-2024</t>
        </is>
      </c>
      <c r="B1543" s="1" t="n">
        <v>45376</v>
      </c>
      <c r="C1543" s="1" t="n">
        <v>45578</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11926-2024</t>
        </is>
      </c>
      <c r="B1544" s="1" t="n">
        <v>45376</v>
      </c>
      <c r="C1544" s="1" t="n">
        <v>45578</v>
      </c>
      <c r="D1544" t="inlineStr">
        <is>
          <t>STOCKHOLMS LÄN</t>
        </is>
      </c>
      <c r="E1544" t="inlineStr">
        <is>
          <t>NORRTÄLJE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11896-2024</t>
        </is>
      </c>
      <c r="B1545" s="1" t="n">
        <v>45376</v>
      </c>
      <c r="C1545" s="1" t="n">
        <v>45578</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11900-2024</t>
        </is>
      </c>
      <c r="B1546" s="1" t="n">
        <v>45376</v>
      </c>
      <c r="C1546" s="1" t="n">
        <v>45578</v>
      </c>
      <c r="D1546" t="inlineStr">
        <is>
          <t>STOCKHOLMS LÄN</t>
        </is>
      </c>
      <c r="E1546" t="inlineStr">
        <is>
          <t>NORRTÄLJE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11924-2024</t>
        </is>
      </c>
      <c r="B1547" s="1" t="n">
        <v>45376</v>
      </c>
      <c r="C1547" s="1" t="n">
        <v>45578</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11893-2024</t>
        </is>
      </c>
      <c r="B1548" s="1" t="n">
        <v>45376</v>
      </c>
      <c r="C1548" s="1" t="n">
        <v>45578</v>
      </c>
      <c r="D1548" t="inlineStr">
        <is>
          <t>STOCKHOLMS LÄN</t>
        </is>
      </c>
      <c r="E1548" t="inlineStr">
        <is>
          <t>NORRTÄLJE</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11901-2024</t>
        </is>
      </c>
      <c r="B1549" s="1" t="n">
        <v>45376</v>
      </c>
      <c r="C1549" s="1" t="n">
        <v>45578</v>
      </c>
      <c r="D1549" t="inlineStr">
        <is>
          <t>STOCKHOLMS LÄN</t>
        </is>
      </c>
      <c r="E1549" t="inlineStr">
        <is>
          <t>NORRTÄLJE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11929-2024</t>
        </is>
      </c>
      <c r="B1550" s="1" t="n">
        <v>45376</v>
      </c>
      <c r="C1550" s="1" t="n">
        <v>45578</v>
      </c>
      <c r="D1550" t="inlineStr">
        <is>
          <t>STOCKHOLMS LÄN</t>
        </is>
      </c>
      <c r="E1550" t="inlineStr">
        <is>
          <t>NORRTÄLJE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11996-2024</t>
        </is>
      </c>
      <c r="B1551" s="1" t="n">
        <v>45376</v>
      </c>
      <c r="C1551" s="1" t="n">
        <v>45578</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11997-2024</t>
        </is>
      </c>
      <c r="B1552" s="1" t="n">
        <v>45377</v>
      </c>
      <c r="C1552" s="1" t="n">
        <v>45578</v>
      </c>
      <c r="D1552" t="inlineStr">
        <is>
          <t>STOCKHOLMS LÄN</t>
        </is>
      </c>
      <c r="E1552" t="inlineStr">
        <is>
          <t>NORRTÄLJE</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12135-2024</t>
        </is>
      </c>
      <c r="B1553" s="1" t="n">
        <v>45377</v>
      </c>
      <c r="C1553" s="1" t="n">
        <v>45578</v>
      </c>
      <c r="D1553" t="inlineStr">
        <is>
          <t>STOCKHOLMS LÄN</t>
        </is>
      </c>
      <c r="E1553" t="inlineStr">
        <is>
          <t>NORRTÄLJE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12022-2024</t>
        </is>
      </c>
      <c r="B1554" s="1" t="n">
        <v>45377</v>
      </c>
      <c r="C1554" s="1" t="n">
        <v>45578</v>
      </c>
      <c r="D1554" t="inlineStr">
        <is>
          <t>STOCKHOLMS LÄN</t>
        </is>
      </c>
      <c r="E1554" t="inlineStr">
        <is>
          <t>NORRTÄLJE</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12323-2024</t>
        </is>
      </c>
      <c r="B1555" s="1" t="n">
        <v>45378</v>
      </c>
      <c r="C1555" s="1" t="n">
        <v>45578</v>
      </c>
      <c r="D1555" t="inlineStr">
        <is>
          <t>STOCKHOLMS LÄN</t>
        </is>
      </c>
      <c r="E1555" t="inlineStr">
        <is>
          <t>NORRTÄLJE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12470-2024</t>
        </is>
      </c>
      <c r="B1556" s="1" t="n">
        <v>45379</v>
      </c>
      <c r="C1556" s="1" t="n">
        <v>45578</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12560-2024</t>
        </is>
      </c>
      <c r="B1557" s="1" t="n">
        <v>45379</v>
      </c>
      <c r="C1557" s="1" t="n">
        <v>45578</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12629-2024</t>
        </is>
      </c>
      <c r="B1558" s="1" t="n">
        <v>45383</v>
      </c>
      <c r="C1558" s="1" t="n">
        <v>45578</v>
      </c>
      <c r="D1558" t="inlineStr">
        <is>
          <t>STOCKHOLMS LÄN</t>
        </is>
      </c>
      <c r="E1558" t="inlineStr">
        <is>
          <t>NORRTÄLJE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12896-2024</t>
        </is>
      </c>
      <c r="B1559" s="1" t="n">
        <v>45385</v>
      </c>
      <c r="C1559" s="1" t="n">
        <v>45578</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12904-2024</t>
        </is>
      </c>
      <c r="B1560" s="1" t="n">
        <v>45385</v>
      </c>
      <c r="C1560" s="1" t="n">
        <v>45578</v>
      </c>
      <c r="D1560" t="inlineStr">
        <is>
          <t>STOCKHOLMS LÄN</t>
        </is>
      </c>
      <c r="E1560" t="inlineStr">
        <is>
          <t>NORRTÄLJE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12901-2024</t>
        </is>
      </c>
      <c r="B1561" s="1" t="n">
        <v>45385</v>
      </c>
      <c r="C1561" s="1" t="n">
        <v>45578</v>
      </c>
      <c r="D1561" t="inlineStr">
        <is>
          <t>STOCKHOLMS LÄN</t>
        </is>
      </c>
      <c r="E1561" t="inlineStr">
        <is>
          <t>NORRTÄLJE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12890-2024</t>
        </is>
      </c>
      <c r="B1562" s="1" t="n">
        <v>45385</v>
      </c>
      <c r="C1562" s="1" t="n">
        <v>45578</v>
      </c>
      <c r="D1562" t="inlineStr">
        <is>
          <t>STOCKHOLMS LÄN</t>
        </is>
      </c>
      <c r="E1562" t="inlineStr">
        <is>
          <t>NORRTÄLJE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12902-2024</t>
        </is>
      </c>
      <c r="B1563" s="1" t="n">
        <v>45385</v>
      </c>
      <c r="C1563" s="1" t="n">
        <v>45578</v>
      </c>
      <c r="D1563" t="inlineStr">
        <is>
          <t>STOCKHOLMS LÄN</t>
        </is>
      </c>
      <c r="E1563" t="inlineStr">
        <is>
          <t>NORRTÄLJE</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13115-2024</t>
        </is>
      </c>
      <c r="B1564" s="1" t="n">
        <v>45385</v>
      </c>
      <c r="C1564" s="1" t="n">
        <v>45578</v>
      </c>
      <c r="D1564" t="inlineStr">
        <is>
          <t>STOCKHOLMS LÄN</t>
        </is>
      </c>
      <c r="E1564" t="inlineStr">
        <is>
          <t>NORRTÄLJE</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13137-2024</t>
        </is>
      </c>
      <c r="B1565" s="1" t="n">
        <v>45386</v>
      </c>
      <c r="C1565" s="1" t="n">
        <v>45578</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13241-2024</t>
        </is>
      </c>
      <c r="B1566" s="1" t="n">
        <v>45386</v>
      </c>
      <c r="C1566" s="1" t="n">
        <v>45578</v>
      </c>
      <c r="D1566" t="inlineStr">
        <is>
          <t>STOCKHOLMS LÄN</t>
        </is>
      </c>
      <c r="E1566" t="inlineStr">
        <is>
          <t>NORRTÄLJE</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13391-2024</t>
        </is>
      </c>
      <c r="B1567" s="1" t="n">
        <v>45387</v>
      </c>
      <c r="C1567" s="1" t="n">
        <v>45578</v>
      </c>
      <c r="D1567" t="inlineStr">
        <is>
          <t>STOCKHOLMS LÄN</t>
        </is>
      </c>
      <c r="E1567" t="inlineStr">
        <is>
          <t>NORRTÄLJE</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13785-2024</t>
        </is>
      </c>
      <c r="B1568" s="1" t="n">
        <v>45391</v>
      </c>
      <c r="C1568" s="1" t="n">
        <v>45578</v>
      </c>
      <c r="D1568" t="inlineStr">
        <is>
          <t>STOCKHOLMS LÄN</t>
        </is>
      </c>
      <c r="E1568" t="inlineStr">
        <is>
          <t>NORRTÄLJE</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14530-2024</t>
        </is>
      </c>
      <c r="B1569" s="1" t="n">
        <v>45394</v>
      </c>
      <c r="C1569" s="1" t="n">
        <v>45578</v>
      </c>
      <c r="D1569" t="inlineStr">
        <is>
          <t>STOCKHOLMS LÄN</t>
        </is>
      </c>
      <c r="E1569" t="inlineStr">
        <is>
          <t>NORRTÄLJE</t>
        </is>
      </c>
      <c r="F1569" t="inlineStr">
        <is>
          <t>Kyrkan</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14498-2024</t>
        </is>
      </c>
      <c r="B1570" s="1" t="n">
        <v>45394</v>
      </c>
      <c r="C1570" s="1" t="n">
        <v>45578</v>
      </c>
      <c r="D1570" t="inlineStr">
        <is>
          <t>STOCKHOLMS LÄN</t>
        </is>
      </c>
      <c r="E1570" t="inlineStr">
        <is>
          <t>NORRTÄLJE</t>
        </is>
      </c>
      <c r="F1570" t="inlineStr">
        <is>
          <t>Kyrkan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14559-2024</t>
        </is>
      </c>
      <c r="B1571" s="1" t="n">
        <v>45394</v>
      </c>
      <c r="C1571" s="1" t="n">
        <v>45578</v>
      </c>
      <c r="D1571" t="inlineStr">
        <is>
          <t>STOCKHOLMS LÄN</t>
        </is>
      </c>
      <c r="E1571" t="inlineStr">
        <is>
          <t>NORRTÄLJE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14751-2024</t>
        </is>
      </c>
      <c r="B1572" s="1" t="n">
        <v>45397</v>
      </c>
      <c r="C1572" s="1" t="n">
        <v>45578</v>
      </c>
      <c r="D1572" t="inlineStr">
        <is>
          <t>STOCKHOLMS LÄN</t>
        </is>
      </c>
      <c r="E1572" t="inlineStr">
        <is>
          <t>NORRTÄLJE</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14762-2024</t>
        </is>
      </c>
      <c r="B1573" s="1" t="n">
        <v>45397</v>
      </c>
      <c r="C1573" s="1" t="n">
        <v>45578</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15278-2024</t>
        </is>
      </c>
      <c r="B1574" s="1" t="n">
        <v>45400</v>
      </c>
      <c r="C1574" s="1" t="n">
        <v>45578</v>
      </c>
      <c r="D1574" t="inlineStr">
        <is>
          <t>STOCKHOLMS LÄN</t>
        </is>
      </c>
      <c r="E1574" t="inlineStr">
        <is>
          <t>NORRTÄLJE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15347-2024</t>
        </is>
      </c>
      <c r="B1575" s="1" t="n">
        <v>45400</v>
      </c>
      <c r="C1575" s="1" t="n">
        <v>45578</v>
      </c>
      <c r="D1575" t="inlineStr">
        <is>
          <t>STOCKHOLMS LÄN</t>
        </is>
      </c>
      <c r="E1575" t="inlineStr">
        <is>
          <t>NORRTÄLJE</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15317-2024</t>
        </is>
      </c>
      <c r="B1576" s="1" t="n">
        <v>45400</v>
      </c>
      <c r="C1576" s="1" t="n">
        <v>45578</v>
      </c>
      <c r="D1576" t="inlineStr">
        <is>
          <t>STOCKHOLMS LÄN</t>
        </is>
      </c>
      <c r="E1576" t="inlineStr">
        <is>
          <t>NORRTÄLJE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15429-2024</t>
        </is>
      </c>
      <c r="B1577" s="1" t="n">
        <v>45401</v>
      </c>
      <c r="C1577" s="1" t="n">
        <v>45578</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15422-2024</t>
        </is>
      </c>
      <c r="B1578" s="1" t="n">
        <v>45401</v>
      </c>
      <c r="C1578" s="1" t="n">
        <v>45578</v>
      </c>
      <c r="D1578" t="inlineStr">
        <is>
          <t>STOCKHOLMS LÄN</t>
        </is>
      </c>
      <c r="E1578" t="inlineStr">
        <is>
          <t>NORRTÄLJE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15470-2024</t>
        </is>
      </c>
      <c r="B1579" s="1" t="n">
        <v>45401</v>
      </c>
      <c r="C1579" s="1" t="n">
        <v>45578</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15428-2024</t>
        </is>
      </c>
      <c r="B1580" s="1" t="n">
        <v>45401</v>
      </c>
      <c r="C1580" s="1" t="n">
        <v>45578</v>
      </c>
      <c r="D1580" t="inlineStr">
        <is>
          <t>STOCKHOLMS LÄN</t>
        </is>
      </c>
      <c r="E1580" t="inlineStr">
        <is>
          <t>NORRTÄLJE</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15415-2024</t>
        </is>
      </c>
      <c r="B1581" s="1" t="n">
        <v>45401</v>
      </c>
      <c r="C1581" s="1" t="n">
        <v>45578</v>
      </c>
      <c r="D1581" t="inlineStr">
        <is>
          <t>STOCKHOLMS LÄN</t>
        </is>
      </c>
      <c r="E1581" t="inlineStr">
        <is>
          <t>NORRTÄLJE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15956-2024</t>
        </is>
      </c>
      <c r="B1582" s="1" t="n">
        <v>45405</v>
      </c>
      <c r="C1582" s="1" t="n">
        <v>45578</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15978-2024</t>
        </is>
      </c>
      <c r="B1583" s="1" t="n">
        <v>45405</v>
      </c>
      <c r="C1583" s="1" t="n">
        <v>45578</v>
      </c>
      <c r="D1583" t="inlineStr">
        <is>
          <t>STOCKHOLMS LÄN</t>
        </is>
      </c>
      <c r="E1583" t="inlineStr">
        <is>
          <t>NORRTÄLJE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16072-2024</t>
        </is>
      </c>
      <c r="B1584" s="1" t="n">
        <v>45406</v>
      </c>
      <c r="C1584" s="1" t="n">
        <v>45578</v>
      </c>
      <c r="D1584" t="inlineStr">
        <is>
          <t>STOCKHOLMS LÄN</t>
        </is>
      </c>
      <c r="E1584" t="inlineStr">
        <is>
          <t>NORRTÄLJE</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16071-2024</t>
        </is>
      </c>
      <c r="B1585" s="1" t="n">
        <v>45406</v>
      </c>
      <c r="C1585" s="1" t="n">
        <v>45578</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16075-2024</t>
        </is>
      </c>
      <c r="B1586" s="1" t="n">
        <v>45406</v>
      </c>
      <c r="C1586" s="1" t="n">
        <v>45578</v>
      </c>
      <c r="D1586" t="inlineStr">
        <is>
          <t>STOCKHOLMS LÄN</t>
        </is>
      </c>
      <c r="E1586" t="inlineStr">
        <is>
          <t>NORRTÄLJE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16620-2024</t>
        </is>
      </c>
      <c r="B1587" s="1" t="n">
        <v>45408</v>
      </c>
      <c r="C1587" s="1" t="n">
        <v>45578</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16852-2024</t>
        </is>
      </c>
      <c r="B1588" s="1" t="n">
        <v>45411</v>
      </c>
      <c r="C1588" s="1" t="n">
        <v>45578</v>
      </c>
      <c r="D1588" t="inlineStr">
        <is>
          <t>STOCKHOLMS LÄN</t>
        </is>
      </c>
      <c r="E1588" t="inlineStr">
        <is>
          <t>NORRTÄLJE</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17013-2024</t>
        </is>
      </c>
      <c r="B1589" s="1" t="n">
        <v>45412</v>
      </c>
      <c r="C1589" s="1" t="n">
        <v>45578</v>
      </c>
      <c r="D1589" t="inlineStr">
        <is>
          <t>STOCKHOLMS LÄN</t>
        </is>
      </c>
      <c r="E1589" t="inlineStr">
        <is>
          <t>NORRTÄLJE</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17039-2024</t>
        </is>
      </c>
      <c r="B1590" s="1" t="n">
        <v>45412</v>
      </c>
      <c r="C1590" s="1" t="n">
        <v>45578</v>
      </c>
      <c r="D1590" t="inlineStr">
        <is>
          <t>STOCKHOLMS LÄN</t>
        </is>
      </c>
      <c r="E1590" t="inlineStr">
        <is>
          <t>NORRTÄLJE</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17348-2024</t>
        </is>
      </c>
      <c r="B1591" s="1" t="n">
        <v>45414</v>
      </c>
      <c r="C1591" s="1" t="n">
        <v>45578</v>
      </c>
      <c r="D1591" t="inlineStr">
        <is>
          <t>STOCKHOLMS LÄN</t>
        </is>
      </c>
      <c r="E1591" t="inlineStr">
        <is>
          <t>NORRTÄLJE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17304-2024</t>
        </is>
      </c>
      <c r="B1592" s="1" t="n">
        <v>45414</v>
      </c>
      <c r="C1592" s="1" t="n">
        <v>45578</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17354-2024</t>
        </is>
      </c>
      <c r="B1593" s="1" t="n">
        <v>45414</v>
      </c>
      <c r="C1593" s="1" t="n">
        <v>45578</v>
      </c>
      <c r="D1593" t="inlineStr">
        <is>
          <t>STOCKHOLMS LÄN</t>
        </is>
      </c>
      <c r="E1593" t="inlineStr">
        <is>
          <t>NORRTÄLJE</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17385-2024</t>
        </is>
      </c>
      <c r="B1594" s="1" t="n">
        <v>45414</v>
      </c>
      <c r="C1594" s="1" t="n">
        <v>45578</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17382-2024</t>
        </is>
      </c>
      <c r="B1595" s="1" t="n">
        <v>45414</v>
      </c>
      <c r="C1595" s="1" t="n">
        <v>45578</v>
      </c>
      <c r="D1595" t="inlineStr">
        <is>
          <t>STOCKHOLMS LÄN</t>
        </is>
      </c>
      <c r="E1595" t="inlineStr">
        <is>
          <t>NORRTÄLJE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17397-2024</t>
        </is>
      </c>
      <c r="B1596" s="1" t="n">
        <v>45414</v>
      </c>
      <c r="C1596" s="1" t="n">
        <v>45578</v>
      </c>
      <c r="D1596" t="inlineStr">
        <is>
          <t>STOCKHOLMS LÄN</t>
        </is>
      </c>
      <c r="E1596" t="inlineStr">
        <is>
          <t>NORRTÄLJE</t>
        </is>
      </c>
      <c r="F1596" t="inlineStr">
        <is>
          <t>Holmen skog AB</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17554-2024</t>
        </is>
      </c>
      <c r="B1597" s="1" t="n">
        <v>45415</v>
      </c>
      <c r="C1597" s="1" t="n">
        <v>45578</v>
      </c>
      <c r="D1597" t="inlineStr">
        <is>
          <t>STOCKHOLMS LÄN</t>
        </is>
      </c>
      <c r="E1597" t="inlineStr">
        <is>
          <t>NORRTÄLJE</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17775-2024</t>
        </is>
      </c>
      <c r="B1598" s="1" t="n">
        <v>45418</v>
      </c>
      <c r="C1598" s="1" t="n">
        <v>45578</v>
      </c>
      <c r="D1598" t="inlineStr">
        <is>
          <t>STOCKHOLMS LÄN</t>
        </is>
      </c>
      <c r="E1598" t="inlineStr">
        <is>
          <t>NORRTÄLJE</t>
        </is>
      </c>
      <c r="F1598" t="inlineStr">
        <is>
          <t>Holmen skog AB</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17785-2024</t>
        </is>
      </c>
      <c r="B1599" s="1" t="n">
        <v>45418</v>
      </c>
      <c r="C1599" s="1" t="n">
        <v>45578</v>
      </c>
      <c r="D1599" t="inlineStr">
        <is>
          <t>STOCKHOLMS LÄN</t>
        </is>
      </c>
      <c r="E1599" t="inlineStr">
        <is>
          <t>NORRTÄLJE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17843-2024</t>
        </is>
      </c>
      <c r="B1600" s="1" t="n">
        <v>45418</v>
      </c>
      <c r="C1600" s="1" t="n">
        <v>45578</v>
      </c>
      <c r="D1600" t="inlineStr">
        <is>
          <t>STOCKHOLMS LÄN</t>
        </is>
      </c>
      <c r="E1600" t="inlineStr">
        <is>
          <t>NORRTÄLJE</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18331-2024</t>
        </is>
      </c>
      <c r="B1601" s="1" t="n">
        <v>45422</v>
      </c>
      <c r="C1601" s="1" t="n">
        <v>45578</v>
      </c>
      <c r="D1601" t="inlineStr">
        <is>
          <t>STOCKHOLMS LÄN</t>
        </is>
      </c>
      <c r="E1601" t="inlineStr">
        <is>
          <t>NORRTÄLJE</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18285-2024</t>
        </is>
      </c>
      <c r="B1602" s="1" t="n">
        <v>45422</v>
      </c>
      <c r="C1602" s="1" t="n">
        <v>45578</v>
      </c>
      <c r="D1602" t="inlineStr">
        <is>
          <t>STOCKHOLMS LÄN</t>
        </is>
      </c>
      <c r="E1602" t="inlineStr">
        <is>
          <t>NORRTÄLJE</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18287-2024</t>
        </is>
      </c>
      <c r="B1603" s="1" t="n">
        <v>45422</v>
      </c>
      <c r="C1603" s="1" t="n">
        <v>45578</v>
      </c>
      <c r="D1603" t="inlineStr">
        <is>
          <t>STOCKHOLMS LÄN</t>
        </is>
      </c>
      <c r="E1603" t="inlineStr">
        <is>
          <t>NORRTÄLJE</t>
        </is>
      </c>
      <c r="F1603" t="inlineStr">
        <is>
          <t>Sveaskog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19058-2024</t>
        </is>
      </c>
      <c r="B1604" s="1" t="n">
        <v>45427</v>
      </c>
      <c r="C1604" s="1" t="n">
        <v>45578</v>
      </c>
      <c r="D1604" t="inlineStr">
        <is>
          <t>STOCKHOLMS LÄN</t>
        </is>
      </c>
      <c r="E1604" t="inlineStr">
        <is>
          <t>NORRTÄLJE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19057-2024</t>
        </is>
      </c>
      <c r="B1605" s="1" t="n">
        <v>45427</v>
      </c>
      <c r="C1605" s="1" t="n">
        <v>45578</v>
      </c>
      <c r="D1605" t="inlineStr">
        <is>
          <t>STOCKHOLMS LÄN</t>
        </is>
      </c>
      <c r="E1605" t="inlineStr">
        <is>
          <t>NORRTÄLJE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19150-2024</t>
        </is>
      </c>
      <c r="B1606" s="1" t="n">
        <v>45428</v>
      </c>
      <c r="C1606" s="1" t="n">
        <v>45578</v>
      </c>
      <c r="D1606" t="inlineStr">
        <is>
          <t>STOCKHOLMS LÄN</t>
        </is>
      </c>
      <c r="E1606" t="inlineStr">
        <is>
          <t>NORRTÄLJE</t>
        </is>
      </c>
      <c r="F1606" t="inlineStr">
        <is>
          <t>Holmen skog AB</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19915-2024</t>
        </is>
      </c>
      <c r="B1607" s="1" t="n">
        <v>45433</v>
      </c>
      <c r="C1607" s="1" t="n">
        <v>45578</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19919-2024</t>
        </is>
      </c>
      <c r="B1608" s="1" t="n">
        <v>45433</v>
      </c>
      <c r="C1608" s="1" t="n">
        <v>45578</v>
      </c>
      <c r="D1608" t="inlineStr">
        <is>
          <t>STOCKHOLMS LÄN</t>
        </is>
      </c>
      <c r="E1608" t="inlineStr">
        <is>
          <t>NORRTÄLJE</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20336-2024</t>
        </is>
      </c>
      <c r="B1609" s="1" t="n">
        <v>45435</v>
      </c>
      <c r="C1609" s="1" t="n">
        <v>45578</v>
      </c>
      <c r="D1609" t="inlineStr">
        <is>
          <t>STOCKHOLMS LÄN</t>
        </is>
      </c>
      <c r="E1609" t="inlineStr">
        <is>
          <t>NORRTÄLJE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20345-2024</t>
        </is>
      </c>
      <c r="B1610" s="1" t="n">
        <v>45435</v>
      </c>
      <c r="C1610" s="1" t="n">
        <v>45578</v>
      </c>
      <c r="D1610" t="inlineStr">
        <is>
          <t>STOCKHOLMS LÄN</t>
        </is>
      </c>
      <c r="E1610" t="inlineStr">
        <is>
          <t>NORRTÄLJE</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20343-2024</t>
        </is>
      </c>
      <c r="B1611" s="1" t="n">
        <v>45435</v>
      </c>
      <c r="C1611" s="1" t="n">
        <v>45578</v>
      </c>
      <c r="D1611" t="inlineStr">
        <is>
          <t>STOCKHOLMS LÄN</t>
        </is>
      </c>
      <c r="E1611" t="inlineStr">
        <is>
          <t>NORRTÄLJE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20393-2024</t>
        </is>
      </c>
      <c r="B1612" s="1" t="n">
        <v>45435</v>
      </c>
      <c r="C1612" s="1" t="n">
        <v>45578</v>
      </c>
      <c r="D1612" t="inlineStr">
        <is>
          <t>STOCKHOLMS LÄN</t>
        </is>
      </c>
      <c r="E1612" t="inlineStr">
        <is>
          <t>NORRTÄLJE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20445-2024</t>
        </is>
      </c>
      <c r="B1613" s="1" t="n">
        <v>45435</v>
      </c>
      <c r="C1613" s="1" t="n">
        <v>45578</v>
      </c>
      <c r="D1613" t="inlineStr">
        <is>
          <t>STOCKHOLMS LÄN</t>
        </is>
      </c>
      <c r="E1613" t="inlineStr">
        <is>
          <t>NORRTÄLJE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20428-2024</t>
        </is>
      </c>
      <c r="B1614" s="1" t="n">
        <v>45435</v>
      </c>
      <c r="C1614" s="1" t="n">
        <v>45578</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20460-2024</t>
        </is>
      </c>
      <c r="B1615" s="1" t="n">
        <v>45435</v>
      </c>
      <c r="C1615" s="1" t="n">
        <v>45578</v>
      </c>
      <c r="D1615" t="inlineStr">
        <is>
          <t>STOCKHOLMS LÄN</t>
        </is>
      </c>
      <c r="E1615" t="inlineStr">
        <is>
          <t>NORRTÄLJE</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20464-2024</t>
        </is>
      </c>
      <c r="B1616" s="1" t="n">
        <v>45435</v>
      </c>
      <c r="C1616" s="1" t="n">
        <v>45578</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20431-2024</t>
        </is>
      </c>
      <c r="B1617" s="1" t="n">
        <v>45435</v>
      </c>
      <c r="C1617" s="1" t="n">
        <v>45578</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20680-2024</t>
        </is>
      </c>
      <c r="B1618" s="1" t="n">
        <v>45436</v>
      </c>
      <c r="C1618" s="1" t="n">
        <v>45578</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20698-2024</t>
        </is>
      </c>
      <c r="B1619" s="1" t="n">
        <v>45436</v>
      </c>
      <c r="C1619" s="1" t="n">
        <v>45578</v>
      </c>
      <c r="D1619" t="inlineStr">
        <is>
          <t>STOCKHOLMS LÄN</t>
        </is>
      </c>
      <c r="E1619" t="inlineStr">
        <is>
          <t>NORRTÄLJE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20730-2024</t>
        </is>
      </c>
      <c r="B1620" s="1" t="n">
        <v>45436</v>
      </c>
      <c r="C1620" s="1" t="n">
        <v>45578</v>
      </c>
      <c r="D1620" t="inlineStr">
        <is>
          <t>STOCKHOLMS LÄN</t>
        </is>
      </c>
      <c r="E1620" t="inlineStr">
        <is>
          <t>NORRTÄLJE</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20825-2024</t>
        </is>
      </c>
      <c r="B1621" s="1" t="n">
        <v>45439</v>
      </c>
      <c r="C1621" s="1" t="n">
        <v>45578</v>
      </c>
      <c r="D1621" t="inlineStr">
        <is>
          <t>STOCKHOLMS LÄN</t>
        </is>
      </c>
      <c r="E1621" t="inlineStr">
        <is>
          <t>NORRTÄLJE</t>
        </is>
      </c>
      <c r="F1621" t="inlineStr">
        <is>
          <t>Holmen skog AB</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20836-2024</t>
        </is>
      </c>
      <c r="B1622" s="1" t="n">
        <v>45439</v>
      </c>
      <c r="C1622" s="1" t="n">
        <v>45578</v>
      </c>
      <c r="D1622" t="inlineStr">
        <is>
          <t>STOCKHOLMS LÄN</t>
        </is>
      </c>
      <c r="E1622" t="inlineStr">
        <is>
          <t>NORRTÄLJE</t>
        </is>
      </c>
      <c r="F1622" t="inlineStr">
        <is>
          <t>Holmen skog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21066-2024</t>
        </is>
      </c>
      <c r="B1623" s="1" t="n">
        <v>45439</v>
      </c>
      <c r="C1623" s="1" t="n">
        <v>45578</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21729-2024</t>
        </is>
      </c>
      <c r="B1624" s="1" t="n">
        <v>45442</v>
      </c>
      <c r="C1624" s="1" t="n">
        <v>45578</v>
      </c>
      <c r="D1624" t="inlineStr">
        <is>
          <t>STOCKHOLMS LÄN</t>
        </is>
      </c>
      <c r="E1624" t="inlineStr">
        <is>
          <t>NORRTÄLJE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21696-2024</t>
        </is>
      </c>
      <c r="B1625" s="1" t="n">
        <v>45442</v>
      </c>
      <c r="C1625" s="1" t="n">
        <v>45578</v>
      </c>
      <c r="D1625" t="inlineStr">
        <is>
          <t>STOCKHOLMS LÄN</t>
        </is>
      </c>
      <c r="E1625" t="inlineStr">
        <is>
          <t>NORRTÄLJE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22008-2024</t>
        </is>
      </c>
      <c r="B1626" s="1" t="n">
        <v>45443</v>
      </c>
      <c r="C1626" s="1" t="n">
        <v>45578</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22232-2024</t>
        </is>
      </c>
      <c r="B1627" s="1" t="n">
        <v>45446</v>
      </c>
      <c r="C1627" s="1" t="n">
        <v>45578</v>
      </c>
      <c r="D1627" t="inlineStr">
        <is>
          <t>STOCKHOLMS LÄN</t>
        </is>
      </c>
      <c r="E1627" t="inlineStr">
        <is>
          <t>NORRTÄLJE</t>
        </is>
      </c>
      <c r="G1627" t="n">
        <v>12.8</v>
      </c>
      <c r="H1627" t="n">
        <v>0</v>
      </c>
      <c r="I1627" t="n">
        <v>0</v>
      </c>
      <c r="J1627" t="n">
        <v>0</v>
      </c>
      <c r="K1627" t="n">
        <v>0</v>
      </c>
      <c r="L1627" t="n">
        <v>0</v>
      </c>
      <c r="M1627" t="n">
        <v>0</v>
      </c>
      <c r="N1627" t="n">
        <v>0</v>
      </c>
      <c r="O1627" t="n">
        <v>0</v>
      </c>
      <c r="P1627" t="n">
        <v>0</v>
      </c>
      <c r="Q1627" t="n">
        <v>0</v>
      </c>
      <c r="R1627" s="2" t="inlineStr"/>
    </row>
    <row r="1628" ht="15" customHeight="1">
      <c r="A1628" t="inlineStr">
        <is>
          <t>A 22190-2024</t>
        </is>
      </c>
      <c r="B1628" s="1" t="n">
        <v>45446</v>
      </c>
      <c r="C1628" s="1" t="n">
        <v>45578</v>
      </c>
      <c r="D1628" t="inlineStr">
        <is>
          <t>STOCKHOLMS LÄN</t>
        </is>
      </c>
      <c r="E1628" t="inlineStr">
        <is>
          <t>NORRTÄLJE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22231-2024</t>
        </is>
      </c>
      <c r="B1629" s="1" t="n">
        <v>45446</v>
      </c>
      <c r="C1629" s="1" t="n">
        <v>45578</v>
      </c>
      <c r="D1629" t="inlineStr">
        <is>
          <t>STOCKHOLMS LÄN</t>
        </is>
      </c>
      <c r="E1629" t="inlineStr">
        <is>
          <t>NORRTÄLJE</t>
        </is>
      </c>
      <c r="F1629" t="inlineStr">
        <is>
          <t>Holmen skog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22833-2024</t>
        </is>
      </c>
      <c r="B1630" s="1" t="n">
        <v>45448</v>
      </c>
      <c r="C1630" s="1" t="n">
        <v>45578</v>
      </c>
      <c r="D1630" t="inlineStr">
        <is>
          <t>STOCKHOLMS LÄN</t>
        </is>
      </c>
      <c r="E1630" t="inlineStr">
        <is>
          <t>NORRTÄLJE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23018-2024</t>
        </is>
      </c>
      <c r="B1631" s="1" t="n">
        <v>45450</v>
      </c>
      <c r="C1631" s="1" t="n">
        <v>45578</v>
      </c>
      <c r="D1631" t="inlineStr">
        <is>
          <t>STOCKHOLMS LÄN</t>
        </is>
      </c>
      <c r="E1631" t="inlineStr">
        <is>
          <t>NORRTÄLJE</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23149-2024</t>
        </is>
      </c>
      <c r="B1632" s="1" t="n">
        <v>45450</v>
      </c>
      <c r="C1632" s="1" t="n">
        <v>45578</v>
      </c>
      <c r="D1632" t="inlineStr">
        <is>
          <t>STOCKHOLMS LÄN</t>
        </is>
      </c>
      <c r="E1632" t="inlineStr">
        <is>
          <t>NORRTÄLJE</t>
        </is>
      </c>
      <c r="F1632" t="inlineStr">
        <is>
          <t>Kommuner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23150-2024</t>
        </is>
      </c>
      <c r="B1633" s="1" t="n">
        <v>45450</v>
      </c>
      <c r="C1633" s="1" t="n">
        <v>45578</v>
      </c>
      <c r="D1633" t="inlineStr">
        <is>
          <t>STOCKHOLMS LÄN</t>
        </is>
      </c>
      <c r="E1633" t="inlineStr">
        <is>
          <t>NORRTÄLJE</t>
        </is>
      </c>
      <c r="F1633" t="inlineStr">
        <is>
          <t>Kommuner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23151-2024</t>
        </is>
      </c>
      <c r="B1634" s="1" t="n">
        <v>45450</v>
      </c>
      <c r="C1634" s="1" t="n">
        <v>45578</v>
      </c>
      <c r="D1634" t="inlineStr">
        <is>
          <t>STOCKHOLMS LÄN</t>
        </is>
      </c>
      <c r="E1634" t="inlineStr">
        <is>
          <t>NORRTÄLJE</t>
        </is>
      </c>
      <c r="F1634" t="inlineStr">
        <is>
          <t>Kommuner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23307-2024</t>
        </is>
      </c>
      <c r="B1635" s="1" t="n">
        <v>45453</v>
      </c>
      <c r="C1635" s="1" t="n">
        <v>45578</v>
      </c>
      <c r="D1635" t="inlineStr">
        <is>
          <t>STOCKHOLMS LÄN</t>
        </is>
      </c>
      <c r="E1635" t="inlineStr">
        <is>
          <t>NORRTÄLJE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23583-2024</t>
        </is>
      </c>
      <c r="B1636" s="1" t="n">
        <v>45454</v>
      </c>
      <c r="C1636" s="1" t="n">
        <v>45578</v>
      </c>
      <c r="D1636" t="inlineStr">
        <is>
          <t>STOCKHOLMS LÄN</t>
        </is>
      </c>
      <c r="E1636" t="inlineStr">
        <is>
          <t>NORRTÄLJE</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23683-2024</t>
        </is>
      </c>
      <c r="B1637" s="1" t="n">
        <v>45454</v>
      </c>
      <c r="C1637" s="1" t="n">
        <v>45578</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23692-2024</t>
        </is>
      </c>
      <c r="B1638" s="1" t="n">
        <v>45454</v>
      </c>
      <c r="C1638" s="1" t="n">
        <v>45578</v>
      </c>
      <c r="D1638" t="inlineStr">
        <is>
          <t>STOCKHOLMS LÄN</t>
        </is>
      </c>
      <c r="E1638" t="inlineStr">
        <is>
          <t>NORRTÄLJE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23572-2024</t>
        </is>
      </c>
      <c r="B1639" s="1" t="n">
        <v>45454</v>
      </c>
      <c r="C1639" s="1" t="n">
        <v>45578</v>
      </c>
      <c r="D1639" t="inlineStr">
        <is>
          <t>STOCKHOLMS LÄN</t>
        </is>
      </c>
      <c r="E1639" t="inlineStr">
        <is>
          <t>NORRTÄLJE</t>
        </is>
      </c>
      <c r="F1639" t="inlineStr">
        <is>
          <t>Kyrkan</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23749-2024</t>
        </is>
      </c>
      <c r="B1640" s="1" t="n">
        <v>45455</v>
      </c>
      <c r="C1640" s="1" t="n">
        <v>45578</v>
      </c>
      <c r="D1640" t="inlineStr">
        <is>
          <t>STOCKHOLMS LÄN</t>
        </is>
      </c>
      <c r="E1640" t="inlineStr">
        <is>
          <t>NORRTÄLJE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23755-2024</t>
        </is>
      </c>
      <c r="B1641" s="1" t="n">
        <v>45455</v>
      </c>
      <c r="C1641" s="1" t="n">
        <v>45578</v>
      </c>
      <c r="D1641" t="inlineStr">
        <is>
          <t>STOCKHOLMS LÄN</t>
        </is>
      </c>
      <c r="E1641" t="inlineStr">
        <is>
          <t>NORRTÄLJE</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23998-2024</t>
        </is>
      </c>
      <c r="B1642" s="1" t="n">
        <v>45456</v>
      </c>
      <c r="C1642" s="1" t="n">
        <v>45578</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24027-2024</t>
        </is>
      </c>
      <c r="B1643" s="1" t="n">
        <v>45456</v>
      </c>
      <c r="C1643" s="1" t="n">
        <v>45578</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24024-2024</t>
        </is>
      </c>
      <c r="B1644" s="1" t="n">
        <v>45456</v>
      </c>
      <c r="C1644" s="1" t="n">
        <v>45578</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23991-2024</t>
        </is>
      </c>
      <c r="B1645" s="1" t="n">
        <v>45456</v>
      </c>
      <c r="C1645" s="1" t="n">
        <v>45578</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24021-2024</t>
        </is>
      </c>
      <c r="B1646" s="1" t="n">
        <v>45456</v>
      </c>
      <c r="C1646" s="1" t="n">
        <v>45578</v>
      </c>
      <c r="D1646" t="inlineStr">
        <is>
          <t>STOCKHOLMS LÄN</t>
        </is>
      </c>
      <c r="E1646" t="inlineStr">
        <is>
          <t>NORRTÄLJE</t>
        </is>
      </c>
      <c r="G1646" t="n">
        <v>17.5</v>
      </c>
      <c r="H1646" t="n">
        <v>0</v>
      </c>
      <c r="I1646" t="n">
        <v>0</v>
      </c>
      <c r="J1646" t="n">
        <v>0</v>
      </c>
      <c r="K1646" t="n">
        <v>0</v>
      </c>
      <c r="L1646" t="n">
        <v>0</v>
      </c>
      <c r="M1646" t="n">
        <v>0</v>
      </c>
      <c r="N1646" t="n">
        <v>0</v>
      </c>
      <c r="O1646" t="n">
        <v>0</v>
      </c>
      <c r="P1646" t="n">
        <v>0</v>
      </c>
      <c r="Q1646" t="n">
        <v>0</v>
      </c>
      <c r="R1646" s="2" t="inlineStr"/>
    </row>
    <row r="1647" ht="15" customHeight="1">
      <c r="A1647" t="inlineStr">
        <is>
          <t>A 24022-2024</t>
        </is>
      </c>
      <c r="B1647" s="1" t="n">
        <v>45456</v>
      </c>
      <c r="C1647" s="1" t="n">
        <v>45578</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24245-2024</t>
        </is>
      </c>
      <c r="B1648" s="1" t="n">
        <v>45457</v>
      </c>
      <c r="C1648" s="1" t="n">
        <v>45578</v>
      </c>
      <c r="D1648" t="inlineStr">
        <is>
          <t>STOCKHOLMS LÄN</t>
        </is>
      </c>
      <c r="E1648" t="inlineStr">
        <is>
          <t>NORRTÄLJE</t>
        </is>
      </c>
      <c r="F1648" t="inlineStr">
        <is>
          <t>Holmen skog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24357-2024</t>
        </is>
      </c>
      <c r="B1649" s="1" t="n">
        <v>45457</v>
      </c>
      <c r="C1649" s="1" t="n">
        <v>45578</v>
      </c>
      <c r="D1649" t="inlineStr">
        <is>
          <t>STOCKHOLMS LÄN</t>
        </is>
      </c>
      <c r="E1649" t="inlineStr">
        <is>
          <t>NORRTÄLJE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24731-2024</t>
        </is>
      </c>
      <c r="B1650" s="1" t="n">
        <v>45460</v>
      </c>
      <c r="C1650" s="1" t="n">
        <v>45578</v>
      </c>
      <c r="D1650" t="inlineStr">
        <is>
          <t>STOCKHOLMS LÄN</t>
        </is>
      </c>
      <c r="E1650" t="inlineStr">
        <is>
          <t>NORRTÄLJE</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24575-2024</t>
        </is>
      </c>
      <c r="B1651" s="1" t="n">
        <v>45460</v>
      </c>
      <c r="C1651" s="1" t="n">
        <v>45578</v>
      </c>
      <c r="D1651" t="inlineStr">
        <is>
          <t>STOCKHOLMS LÄN</t>
        </is>
      </c>
      <c r="E1651" t="inlineStr">
        <is>
          <t>NORRTÄLJE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24563-2024</t>
        </is>
      </c>
      <c r="B1652" s="1" t="n">
        <v>45460</v>
      </c>
      <c r="C1652" s="1" t="n">
        <v>45578</v>
      </c>
      <c r="D1652" t="inlineStr">
        <is>
          <t>STOCKHOLMS LÄN</t>
        </is>
      </c>
      <c r="E1652" t="inlineStr">
        <is>
          <t>NORRTÄLJE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24610-2024</t>
        </is>
      </c>
      <c r="B1653" s="1" t="n">
        <v>45460</v>
      </c>
      <c r="C1653" s="1" t="n">
        <v>45578</v>
      </c>
      <c r="D1653" t="inlineStr">
        <is>
          <t>STOCKHOLMS LÄN</t>
        </is>
      </c>
      <c r="E1653" t="inlineStr">
        <is>
          <t>NORRTÄLJE</t>
        </is>
      </c>
      <c r="G1653" t="n">
        <v>18.4</v>
      </c>
      <c r="H1653" t="n">
        <v>0</v>
      </c>
      <c r="I1653" t="n">
        <v>0</v>
      </c>
      <c r="J1653" t="n">
        <v>0</v>
      </c>
      <c r="K1653" t="n">
        <v>0</v>
      </c>
      <c r="L1653" t="n">
        <v>0</v>
      </c>
      <c r="M1653" t="n">
        <v>0</v>
      </c>
      <c r="N1653" t="n">
        <v>0</v>
      </c>
      <c r="O1653" t="n">
        <v>0</v>
      </c>
      <c r="P1653" t="n">
        <v>0</v>
      </c>
      <c r="Q1653" t="n">
        <v>0</v>
      </c>
      <c r="R1653" s="2" t="inlineStr"/>
    </row>
    <row r="1654" ht="15" customHeight="1">
      <c r="A1654" t="inlineStr">
        <is>
          <t>A 24730-2024</t>
        </is>
      </c>
      <c r="B1654" s="1" t="n">
        <v>45460</v>
      </c>
      <c r="C1654" s="1" t="n">
        <v>45578</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25301-2024</t>
        </is>
      </c>
      <c r="B1655" s="1" t="n">
        <v>45462</v>
      </c>
      <c r="C1655" s="1" t="n">
        <v>45578</v>
      </c>
      <c r="D1655" t="inlineStr">
        <is>
          <t>STOCKHOLMS LÄN</t>
        </is>
      </c>
      <c r="E1655" t="inlineStr">
        <is>
          <t>NORRTÄLJE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25055-2024</t>
        </is>
      </c>
      <c r="B1656" s="1" t="n">
        <v>45462</v>
      </c>
      <c r="C1656" s="1" t="n">
        <v>45578</v>
      </c>
      <c r="D1656" t="inlineStr">
        <is>
          <t>STOCKHOLMS LÄN</t>
        </is>
      </c>
      <c r="E1656" t="inlineStr">
        <is>
          <t>NORRTÄLJE</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25565-2024</t>
        </is>
      </c>
      <c r="B1657" s="1" t="n">
        <v>45463</v>
      </c>
      <c r="C1657" s="1" t="n">
        <v>45578</v>
      </c>
      <c r="D1657" t="inlineStr">
        <is>
          <t>STOCKHOLMS LÄN</t>
        </is>
      </c>
      <c r="E1657" t="inlineStr">
        <is>
          <t>NORRTÄLJE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25681-2024</t>
        </is>
      </c>
      <c r="B1658" s="1" t="n">
        <v>45463</v>
      </c>
      <c r="C1658" s="1" t="n">
        <v>45578</v>
      </c>
      <c r="D1658" t="inlineStr">
        <is>
          <t>STOCKHOLMS LÄN</t>
        </is>
      </c>
      <c r="E1658" t="inlineStr">
        <is>
          <t>NORRTÄLJE</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25817-2024</t>
        </is>
      </c>
      <c r="B1659" s="1" t="n">
        <v>45467</v>
      </c>
      <c r="C1659" s="1" t="n">
        <v>45578</v>
      </c>
      <c r="D1659" t="inlineStr">
        <is>
          <t>STOCKHOLMS LÄN</t>
        </is>
      </c>
      <c r="E1659" t="inlineStr">
        <is>
          <t>NORRTÄLJE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26116-2024</t>
        </is>
      </c>
      <c r="B1660" s="1" t="n">
        <v>45468</v>
      </c>
      <c r="C1660" s="1" t="n">
        <v>45578</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26115-2024</t>
        </is>
      </c>
      <c r="B1661" s="1" t="n">
        <v>45468</v>
      </c>
      <c r="C1661" s="1" t="n">
        <v>45578</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26067-2024</t>
        </is>
      </c>
      <c r="B1662" s="1" t="n">
        <v>45468</v>
      </c>
      <c r="C1662" s="1" t="n">
        <v>45578</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26117-2024</t>
        </is>
      </c>
      <c r="B1663" s="1" t="n">
        <v>45468</v>
      </c>
      <c r="C1663" s="1" t="n">
        <v>45578</v>
      </c>
      <c r="D1663" t="inlineStr">
        <is>
          <t>STOCKHOLMS LÄN</t>
        </is>
      </c>
      <c r="E1663" t="inlineStr">
        <is>
          <t>NORRTÄLJE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26113-2024</t>
        </is>
      </c>
      <c r="B1664" s="1" t="n">
        <v>45468</v>
      </c>
      <c r="C1664" s="1" t="n">
        <v>45578</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26090-2024</t>
        </is>
      </c>
      <c r="B1665" s="1" t="n">
        <v>45468</v>
      </c>
      <c r="C1665" s="1" t="n">
        <v>45578</v>
      </c>
      <c r="D1665" t="inlineStr">
        <is>
          <t>STOCKHOLMS LÄN</t>
        </is>
      </c>
      <c r="E1665" t="inlineStr">
        <is>
          <t>NORRTÄLJE</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26355-2024</t>
        </is>
      </c>
      <c r="B1666" s="1" t="n">
        <v>45469</v>
      </c>
      <c r="C1666" s="1" t="n">
        <v>45578</v>
      </c>
      <c r="D1666" t="inlineStr">
        <is>
          <t>STOCKHOLMS LÄN</t>
        </is>
      </c>
      <c r="E1666" t="inlineStr">
        <is>
          <t>NORRTÄLJE</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26359-2024</t>
        </is>
      </c>
      <c r="B1667" s="1" t="n">
        <v>45469</v>
      </c>
      <c r="C1667" s="1" t="n">
        <v>45578</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26365-2024</t>
        </is>
      </c>
      <c r="B1668" s="1" t="n">
        <v>45469</v>
      </c>
      <c r="C1668" s="1" t="n">
        <v>45578</v>
      </c>
      <c r="D1668" t="inlineStr">
        <is>
          <t>STOCKHOLMS LÄN</t>
        </is>
      </c>
      <c r="E1668" t="inlineStr">
        <is>
          <t>NORRTÄLJE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26526-2024</t>
        </is>
      </c>
      <c r="B1669" s="1" t="n">
        <v>45469</v>
      </c>
      <c r="C1669" s="1" t="n">
        <v>45578</v>
      </c>
      <c r="D1669" t="inlineStr">
        <is>
          <t>STOCKHOLMS LÄN</t>
        </is>
      </c>
      <c r="E1669" t="inlineStr">
        <is>
          <t>NORRTÄLJE</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26407-2024</t>
        </is>
      </c>
      <c r="B1670" s="1" t="n">
        <v>45469</v>
      </c>
      <c r="C1670" s="1" t="n">
        <v>45578</v>
      </c>
      <c r="D1670" t="inlineStr">
        <is>
          <t>STOCKHOLMS LÄN</t>
        </is>
      </c>
      <c r="E1670" t="inlineStr">
        <is>
          <t>NORRTÄLJE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26600-2024</t>
        </is>
      </c>
      <c r="B1671" s="1" t="n">
        <v>45469</v>
      </c>
      <c r="C1671" s="1" t="n">
        <v>45578</v>
      </c>
      <c r="D1671" t="inlineStr">
        <is>
          <t>STOCKHOLMS LÄN</t>
        </is>
      </c>
      <c r="E1671" t="inlineStr">
        <is>
          <t>NORRTÄLJE</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26612-2024</t>
        </is>
      </c>
      <c r="B1672" s="1" t="n">
        <v>45469</v>
      </c>
      <c r="C1672" s="1" t="n">
        <v>45578</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26644-2024</t>
        </is>
      </c>
      <c r="B1673" s="1" t="n">
        <v>45469</v>
      </c>
      <c r="C1673" s="1" t="n">
        <v>45578</v>
      </c>
      <c r="D1673" t="inlineStr">
        <is>
          <t>STOCKHOLMS LÄN</t>
        </is>
      </c>
      <c r="E1673" t="inlineStr">
        <is>
          <t>NORRTÄLJE</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26668-2024</t>
        </is>
      </c>
      <c r="B1674" s="1" t="n">
        <v>45469</v>
      </c>
      <c r="C1674" s="1" t="n">
        <v>45578</v>
      </c>
      <c r="D1674" t="inlineStr">
        <is>
          <t>STOCKHOLMS LÄN</t>
        </is>
      </c>
      <c r="E1674" t="inlineStr">
        <is>
          <t>NORRTÄLJE</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26698-2024</t>
        </is>
      </c>
      <c r="B1675" s="1" t="n">
        <v>45470</v>
      </c>
      <c r="C1675" s="1" t="n">
        <v>45578</v>
      </c>
      <c r="D1675" t="inlineStr">
        <is>
          <t>STOCKHOLMS LÄN</t>
        </is>
      </c>
      <c r="E1675" t="inlineStr">
        <is>
          <t>NORRTÄLJE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27059-2024</t>
        </is>
      </c>
      <c r="B1676" s="1" t="n">
        <v>45471</v>
      </c>
      <c r="C1676" s="1" t="n">
        <v>45578</v>
      </c>
      <c r="D1676" t="inlineStr">
        <is>
          <t>STOCKHOLMS LÄN</t>
        </is>
      </c>
      <c r="E1676" t="inlineStr">
        <is>
          <t>NORRTÄLJE</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27248-2024</t>
        </is>
      </c>
      <c r="B1677" s="1" t="n">
        <v>45471</v>
      </c>
      <c r="C1677" s="1" t="n">
        <v>45578</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27381-2024</t>
        </is>
      </c>
      <c r="B1678" s="1" t="n">
        <v>45474</v>
      </c>
      <c r="C1678" s="1" t="n">
        <v>45578</v>
      </c>
      <c r="D1678" t="inlineStr">
        <is>
          <t>STOCKHOLMS LÄN</t>
        </is>
      </c>
      <c r="E1678" t="inlineStr">
        <is>
          <t>NORRTÄLJE</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27831-2024</t>
        </is>
      </c>
      <c r="B1679" s="1" t="n">
        <v>45475</v>
      </c>
      <c r="C1679" s="1" t="n">
        <v>45578</v>
      </c>
      <c r="D1679" t="inlineStr">
        <is>
          <t>STOCKHOLMS LÄN</t>
        </is>
      </c>
      <c r="E1679" t="inlineStr">
        <is>
          <t>NORRTÄLJE</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28190-2024</t>
        </is>
      </c>
      <c r="B1680" s="1" t="n">
        <v>45477</v>
      </c>
      <c r="C1680" s="1" t="n">
        <v>45578</v>
      </c>
      <c r="D1680" t="inlineStr">
        <is>
          <t>STOCKHOLMS LÄN</t>
        </is>
      </c>
      <c r="E1680" t="inlineStr">
        <is>
          <t>NORRTÄLJE</t>
        </is>
      </c>
      <c r="F1680" t="inlineStr">
        <is>
          <t>Kyrkan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28245-2024</t>
        </is>
      </c>
      <c r="B1681" s="1" t="n">
        <v>45477</v>
      </c>
      <c r="C1681" s="1" t="n">
        <v>45578</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28200-2024</t>
        </is>
      </c>
      <c r="B1682" s="1" t="n">
        <v>45477</v>
      </c>
      <c r="C1682" s="1" t="n">
        <v>45578</v>
      </c>
      <c r="D1682" t="inlineStr">
        <is>
          <t>STOCKHOLMS LÄN</t>
        </is>
      </c>
      <c r="E1682" t="inlineStr">
        <is>
          <t>NORRTÄLJE</t>
        </is>
      </c>
      <c r="F1682" t="inlineStr">
        <is>
          <t>Kyrkan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28603-2024</t>
        </is>
      </c>
      <c r="B1683" s="1" t="n">
        <v>45478</v>
      </c>
      <c r="C1683" s="1" t="n">
        <v>45578</v>
      </c>
      <c r="D1683" t="inlineStr">
        <is>
          <t>STOCKHOLMS LÄN</t>
        </is>
      </c>
      <c r="E1683" t="inlineStr">
        <is>
          <t>NORRTÄLJE</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28764-2024</t>
        </is>
      </c>
      <c r="B1684" s="1" t="n">
        <v>45478</v>
      </c>
      <c r="C1684" s="1" t="n">
        <v>45578</v>
      </c>
      <c r="D1684" t="inlineStr">
        <is>
          <t>STOCKHOLMS LÄN</t>
        </is>
      </c>
      <c r="E1684" t="inlineStr">
        <is>
          <t>NORRTÄLJE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29210-2024</t>
        </is>
      </c>
      <c r="B1685" s="1" t="n">
        <v>45482</v>
      </c>
      <c r="C1685" s="1" t="n">
        <v>45578</v>
      </c>
      <c r="D1685" t="inlineStr">
        <is>
          <t>STOCKHOLMS LÄN</t>
        </is>
      </c>
      <c r="E1685" t="inlineStr">
        <is>
          <t>NORRTÄLJE</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29176-2024</t>
        </is>
      </c>
      <c r="B1686" s="1" t="n">
        <v>45482</v>
      </c>
      <c r="C1686" s="1" t="n">
        <v>45578</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29369-2024</t>
        </is>
      </c>
      <c r="B1687" s="1" t="n">
        <v>45483</v>
      </c>
      <c r="C1687" s="1" t="n">
        <v>45578</v>
      </c>
      <c r="D1687" t="inlineStr">
        <is>
          <t>STOCKHOLMS LÄN</t>
        </is>
      </c>
      <c r="E1687" t="inlineStr">
        <is>
          <t>NORRTÄLJE</t>
        </is>
      </c>
      <c r="G1687" t="n">
        <v>15.9</v>
      </c>
      <c r="H1687" t="n">
        <v>0</v>
      </c>
      <c r="I1687" t="n">
        <v>0</v>
      </c>
      <c r="J1687" t="n">
        <v>0</v>
      </c>
      <c r="K1687" t="n">
        <v>0</v>
      </c>
      <c r="L1687" t="n">
        <v>0</v>
      </c>
      <c r="M1687" t="n">
        <v>0</v>
      </c>
      <c r="N1687" t="n">
        <v>0</v>
      </c>
      <c r="O1687" t="n">
        <v>0</v>
      </c>
      <c r="P1687" t="n">
        <v>0</v>
      </c>
      <c r="Q1687" t="n">
        <v>0</v>
      </c>
      <c r="R1687" s="2" t="inlineStr"/>
    </row>
    <row r="1688" ht="15" customHeight="1">
      <c r="A1688" t="inlineStr">
        <is>
          <t>A 29419-2024</t>
        </is>
      </c>
      <c r="B1688" s="1" t="n">
        <v>45483</v>
      </c>
      <c r="C1688" s="1" t="n">
        <v>45578</v>
      </c>
      <c r="D1688" t="inlineStr">
        <is>
          <t>STOCKHOLMS LÄN</t>
        </is>
      </c>
      <c r="E1688" t="inlineStr">
        <is>
          <t>NORRTÄLJE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29504-2024</t>
        </is>
      </c>
      <c r="B1689" s="1" t="n">
        <v>45484</v>
      </c>
      <c r="C1689" s="1" t="n">
        <v>45578</v>
      </c>
      <c r="D1689" t="inlineStr">
        <is>
          <t>STOCKHOLMS LÄN</t>
        </is>
      </c>
      <c r="E1689" t="inlineStr">
        <is>
          <t>NORRTÄLJE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29589-2024</t>
        </is>
      </c>
      <c r="B1690" s="1" t="n">
        <v>45484</v>
      </c>
      <c r="C1690" s="1" t="n">
        <v>45578</v>
      </c>
      <c r="D1690" t="inlineStr">
        <is>
          <t>STOCKHOLMS LÄN</t>
        </is>
      </c>
      <c r="E1690" t="inlineStr">
        <is>
          <t>NORRTÄLJE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29583-2024</t>
        </is>
      </c>
      <c r="B1691" s="1" t="n">
        <v>45484</v>
      </c>
      <c r="C1691" s="1" t="n">
        <v>45578</v>
      </c>
      <c r="D1691" t="inlineStr">
        <is>
          <t>STOCKHOLMS LÄN</t>
        </is>
      </c>
      <c r="E1691" t="inlineStr">
        <is>
          <t>NORRTÄLJE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29578-2024</t>
        </is>
      </c>
      <c r="B1692" s="1" t="n">
        <v>45484</v>
      </c>
      <c r="C1692" s="1" t="n">
        <v>45578</v>
      </c>
      <c r="D1692" t="inlineStr">
        <is>
          <t>STOCKHOLMS LÄN</t>
        </is>
      </c>
      <c r="E1692" t="inlineStr">
        <is>
          <t>NORRTÄLJE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29505-2024</t>
        </is>
      </c>
      <c r="B1693" s="1" t="n">
        <v>45484</v>
      </c>
      <c r="C1693" s="1" t="n">
        <v>45578</v>
      </c>
      <c r="D1693" t="inlineStr">
        <is>
          <t>STOCKHOLMS LÄN</t>
        </is>
      </c>
      <c r="E1693" t="inlineStr">
        <is>
          <t>NORRTÄLJE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29972-2024</t>
        </is>
      </c>
      <c r="B1694" s="1" t="n">
        <v>45485</v>
      </c>
      <c r="C1694" s="1" t="n">
        <v>45578</v>
      </c>
      <c r="D1694" t="inlineStr">
        <is>
          <t>STOCKHOLMS LÄN</t>
        </is>
      </c>
      <c r="E1694" t="inlineStr">
        <is>
          <t>NORRTÄLJE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29841-2024</t>
        </is>
      </c>
      <c r="B1695" s="1" t="n">
        <v>45485</v>
      </c>
      <c r="C1695" s="1" t="n">
        <v>45578</v>
      </c>
      <c r="D1695" t="inlineStr">
        <is>
          <t>STOCKHOLMS LÄN</t>
        </is>
      </c>
      <c r="E1695" t="inlineStr">
        <is>
          <t>NORRTÄLJE</t>
        </is>
      </c>
      <c r="G1695" t="n">
        <v>15.9</v>
      </c>
      <c r="H1695" t="n">
        <v>0</v>
      </c>
      <c r="I1695" t="n">
        <v>0</v>
      </c>
      <c r="J1695" t="n">
        <v>0</v>
      </c>
      <c r="K1695" t="n">
        <v>0</v>
      </c>
      <c r="L1695" t="n">
        <v>0</v>
      </c>
      <c r="M1695" t="n">
        <v>0</v>
      </c>
      <c r="N1695" t="n">
        <v>0</v>
      </c>
      <c r="O1695" t="n">
        <v>0</v>
      </c>
      <c r="P1695" t="n">
        <v>0</v>
      </c>
      <c r="Q1695" t="n">
        <v>0</v>
      </c>
      <c r="R1695" s="2" t="inlineStr"/>
    </row>
    <row r="1696" ht="15" customHeight="1">
      <c r="A1696" t="inlineStr">
        <is>
          <t>A 30108-2024</t>
        </is>
      </c>
      <c r="B1696" s="1" t="n">
        <v>45487</v>
      </c>
      <c r="C1696" s="1" t="n">
        <v>45578</v>
      </c>
      <c r="D1696" t="inlineStr">
        <is>
          <t>STOCKHOLMS LÄN</t>
        </is>
      </c>
      <c r="E1696" t="inlineStr">
        <is>
          <t>NORRTÄLJE</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30033-2024</t>
        </is>
      </c>
      <c r="B1697" s="1" t="n">
        <v>45488</v>
      </c>
      <c r="C1697" s="1" t="n">
        <v>45578</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29994-2024</t>
        </is>
      </c>
      <c r="B1698" s="1" t="n">
        <v>45488</v>
      </c>
      <c r="C1698" s="1" t="n">
        <v>45578</v>
      </c>
      <c r="D1698" t="inlineStr">
        <is>
          <t>STOCKHOLMS LÄN</t>
        </is>
      </c>
      <c r="E1698" t="inlineStr">
        <is>
          <t>NORRTÄLJE</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30096-2024</t>
        </is>
      </c>
      <c r="B1699" s="1" t="n">
        <v>45489</v>
      </c>
      <c r="C1699" s="1" t="n">
        <v>45578</v>
      </c>
      <c r="D1699" t="inlineStr">
        <is>
          <t>STOCKHOLMS LÄN</t>
        </is>
      </c>
      <c r="E1699" t="inlineStr">
        <is>
          <t>NORRTÄLJE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30221-2024</t>
        </is>
      </c>
      <c r="B1700" s="1" t="n">
        <v>45490</v>
      </c>
      <c r="C1700" s="1" t="n">
        <v>45578</v>
      </c>
      <c r="D1700" t="inlineStr">
        <is>
          <t>STOCKHOLMS LÄN</t>
        </is>
      </c>
      <c r="E1700" t="inlineStr">
        <is>
          <t>NORRTÄLJE</t>
        </is>
      </c>
      <c r="F1700" t="inlineStr">
        <is>
          <t>Holmen skog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30268-2024</t>
        </is>
      </c>
      <c r="B1701" s="1" t="n">
        <v>45490</v>
      </c>
      <c r="C1701" s="1" t="n">
        <v>45578</v>
      </c>
      <c r="D1701" t="inlineStr">
        <is>
          <t>STOCKHOLMS LÄN</t>
        </is>
      </c>
      <c r="E1701" t="inlineStr">
        <is>
          <t>NORRTÄLJE</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30323-2024</t>
        </is>
      </c>
      <c r="B1702" s="1" t="n">
        <v>45490</v>
      </c>
      <c r="C1702" s="1" t="n">
        <v>45578</v>
      </c>
      <c r="D1702" t="inlineStr">
        <is>
          <t>STOCKHOLMS LÄN</t>
        </is>
      </c>
      <c r="E1702" t="inlineStr">
        <is>
          <t>NORRTÄLJE</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30396-2024</t>
        </is>
      </c>
      <c r="B1703" s="1" t="n">
        <v>45491</v>
      </c>
      <c r="C1703" s="1" t="n">
        <v>45578</v>
      </c>
      <c r="D1703" t="inlineStr">
        <is>
          <t>STOCKHOLMS LÄN</t>
        </is>
      </c>
      <c r="E1703" t="inlineStr">
        <is>
          <t>NORRTÄLJE</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30553-2024</t>
        </is>
      </c>
      <c r="B1704" s="1" t="n">
        <v>45492</v>
      </c>
      <c r="C1704" s="1" t="n">
        <v>45578</v>
      </c>
      <c r="D1704" t="inlineStr">
        <is>
          <t>STOCKHOLMS LÄN</t>
        </is>
      </c>
      <c r="E1704" t="inlineStr">
        <is>
          <t>NORRTÄLJE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30666-2024</t>
        </is>
      </c>
      <c r="B1705" s="1" t="n">
        <v>45495</v>
      </c>
      <c r="C1705" s="1" t="n">
        <v>45578</v>
      </c>
      <c r="D1705" t="inlineStr">
        <is>
          <t>STOCKHOLMS LÄN</t>
        </is>
      </c>
      <c r="E1705" t="inlineStr">
        <is>
          <t>NORRTÄLJE</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30963-2024</t>
        </is>
      </c>
      <c r="B1706" s="1" t="n">
        <v>45499</v>
      </c>
      <c r="C1706" s="1" t="n">
        <v>45578</v>
      </c>
      <c r="D1706" t="inlineStr">
        <is>
          <t>STOCKHOLMS LÄN</t>
        </is>
      </c>
      <c r="E1706" t="inlineStr">
        <is>
          <t>NORRTÄLJE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30995-2024</t>
        </is>
      </c>
      <c r="B1707" s="1" t="n">
        <v>45499</v>
      </c>
      <c r="C1707" s="1" t="n">
        <v>45578</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31027-2024</t>
        </is>
      </c>
      <c r="B1708" s="1" t="n">
        <v>45501</v>
      </c>
      <c r="C1708" s="1" t="n">
        <v>45578</v>
      </c>
      <c r="D1708" t="inlineStr">
        <is>
          <t>STOCKHOLMS LÄN</t>
        </is>
      </c>
      <c r="E1708" t="inlineStr">
        <is>
          <t>NORRTÄLJE</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31228-2024</t>
        </is>
      </c>
      <c r="B1709" s="1" t="n">
        <v>45503</v>
      </c>
      <c r="C1709" s="1" t="n">
        <v>45578</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31232-2024</t>
        </is>
      </c>
      <c r="B1710" s="1" t="n">
        <v>45503</v>
      </c>
      <c r="C1710" s="1" t="n">
        <v>45578</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31343-2024</t>
        </is>
      </c>
      <c r="B1711" s="1" t="n">
        <v>45504</v>
      </c>
      <c r="C1711" s="1" t="n">
        <v>45578</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31311-2024</t>
        </is>
      </c>
      <c r="B1712" s="1" t="n">
        <v>45504</v>
      </c>
      <c r="C1712" s="1" t="n">
        <v>45578</v>
      </c>
      <c r="D1712" t="inlineStr">
        <is>
          <t>STOCKHOLMS LÄN</t>
        </is>
      </c>
      <c r="E1712" t="inlineStr">
        <is>
          <t>NORRTÄLJE</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31279-2024</t>
        </is>
      </c>
      <c r="B1713" s="1" t="n">
        <v>45504</v>
      </c>
      <c r="C1713" s="1" t="n">
        <v>45578</v>
      </c>
      <c r="D1713" t="inlineStr">
        <is>
          <t>STOCKHOLMS LÄN</t>
        </is>
      </c>
      <c r="E1713" t="inlineStr">
        <is>
          <t>NORRTÄLJE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32874-2024</t>
        </is>
      </c>
      <c r="B1714" s="1" t="n">
        <v>45516</v>
      </c>
      <c r="C1714" s="1" t="n">
        <v>45578</v>
      </c>
      <c r="D1714" t="inlineStr">
        <is>
          <t>STOCKHOLMS LÄN</t>
        </is>
      </c>
      <c r="E1714" t="inlineStr">
        <is>
          <t>NORRTÄLJE</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32706-2024</t>
        </is>
      </c>
      <c r="B1715" s="1" t="n">
        <v>45516</v>
      </c>
      <c r="C1715" s="1" t="n">
        <v>45578</v>
      </c>
      <c r="D1715" t="inlineStr">
        <is>
          <t>STOCKHOLMS LÄN</t>
        </is>
      </c>
      <c r="E1715" t="inlineStr">
        <is>
          <t>NORRTÄLJE</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33173-2024</t>
        </is>
      </c>
      <c r="B1716" s="1" t="n">
        <v>45518</v>
      </c>
      <c r="C1716" s="1" t="n">
        <v>45578</v>
      </c>
      <c r="D1716" t="inlineStr">
        <is>
          <t>STOCKHOLMS LÄN</t>
        </is>
      </c>
      <c r="E1716" t="inlineStr">
        <is>
          <t>NORRTÄLJE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33226-2024</t>
        </is>
      </c>
      <c r="B1717" s="1" t="n">
        <v>45518</v>
      </c>
      <c r="C1717" s="1" t="n">
        <v>45578</v>
      </c>
      <c r="D1717" t="inlineStr">
        <is>
          <t>STOCKHOLMS LÄN</t>
        </is>
      </c>
      <c r="E1717" t="inlineStr">
        <is>
          <t>NORRTÄLJE</t>
        </is>
      </c>
      <c r="G1717" t="n">
        <v>13.8</v>
      </c>
      <c r="H1717" t="n">
        <v>0</v>
      </c>
      <c r="I1717" t="n">
        <v>0</v>
      </c>
      <c r="J1717" t="n">
        <v>0</v>
      </c>
      <c r="K1717" t="n">
        <v>0</v>
      </c>
      <c r="L1717" t="n">
        <v>0</v>
      </c>
      <c r="M1717" t="n">
        <v>0</v>
      </c>
      <c r="N1717" t="n">
        <v>0</v>
      </c>
      <c r="O1717" t="n">
        <v>0</v>
      </c>
      <c r="P1717" t="n">
        <v>0</v>
      </c>
      <c r="Q1717" t="n">
        <v>0</v>
      </c>
      <c r="R1717" s="2" t="inlineStr"/>
    </row>
    <row r="1718" ht="15" customHeight="1">
      <c r="A1718" t="inlineStr">
        <is>
          <t>A 33175-2024</t>
        </is>
      </c>
      <c r="B1718" s="1" t="n">
        <v>45518</v>
      </c>
      <c r="C1718" s="1" t="n">
        <v>45578</v>
      </c>
      <c r="D1718" t="inlineStr">
        <is>
          <t>STOCKHOLMS LÄN</t>
        </is>
      </c>
      <c r="E1718" t="inlineStr">
        <is>
          <t>NORRTÄLJE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33385-2024</t>
        </is>
      </c>
      <c r="B1719" s="1" t="n">
        <v>45519</v>
      </c>
      <c r="C1719" s="1" t="n">
        <v>45578</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33592-2024</t>
        </is>
      </c>
      <c r="B1720" s="1" t="n">
        <v>45520</v>
      </c>
      <c r="C1720" s="1" t="n">
        <v>45578</v>
      </c>
      <c r="D1720" t="inlineStr">
        <is>
          <t>STOCKHOLMS LÄN</t>
        </is>
      </c>
      <c r="E1720" t="inlineStr">
        <is>
          <t>NORRTÄLJE</t>
        </is>
      </c>
      <c r="F1720" t="inlineStr">
        <is>
          <t>Kyrkan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33878-2024</t>
        </is>
      </c>
      <c r="B1721" s="1" t="n">
        <v>45522</v>
      </c>
      <c r="C1721" s="1" t="n">
        <v>45578</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34295-2024</t>
        </is>
      </c>
      <c r="B1722" s="1" t="n">
        <v>45524</v>
      </c>
      <c r="C1722" s="1" t="n">
        <v>45578</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34444-2024</t>
        </is>
      </c>
      <c r="B1723" s="1" t="n">
        <v>45525</v>
      </c>
      <c r="C1723" s="1" t="n">
        <v>45578</v>
      </c>
      <c r="D1723" t="inlineStr">
        <is>
          <t>STOCKHOLMS LÄN</t>
        </is>
      </c>
      <c r="E1723" t="inlineStr">
        <is>
          <t>NORRTÄLJE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34547-2024</t>
        </is>
      </c>
      <c r="B1724" s="1" t="n">
        <v>45525</v>
      </c>
      <c r="C1724" s="1" t="n">
        <v>45578</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34583-2024</t>
        </is>
      </c>
      <c r="B1725" s="1" t="n">
        <v>45526</v>
      </c>
      <c r="C1725" s="1" t="n">
        <v>45578</v>
      </c>
      <c r="D1725" t="inlineStr">
        <is>
          <t>STOCKHOLMS LÄN</t>
        </is>
      </c>
      <c r="E1725" t="inlineStr">
        <is>
          <t>NORRTÄLJE</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35239-2024</t>
        </is>
      </c>
      <c r="B1726" s="1" t="n">
        <v>45530</v>
      </c>
      <c r="C1726" s="1" t="n">
        <v>45578</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35235-2024</t>
        </is>
      </c>
      <c r="B1727" s="1" t="n">
        <v>45530</v>
      </c>
      <c r="C1727" s="1" t="n">
        <v>45578</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35532-2024</t>
        </is>
      </c>
      <c r="B1728" s="1" t="n">
        <v>45531</v>
      </c>
      <c r="C1728" s="1" t="n">
        <v>45578</v>
      </c>
      <c r="D1728" t="inlineStr">
        <is>
          <t>STOCKHOLMS LÄN</t>
        </is>
      </c>
      <c r="E1728" t="inlineStr">
        <is>
          <t>NORRTÄLJE</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35467-2024</t>
        </is>
      </c>
      <c r="B1729" s="1" t="n">
        <v>45531</v>
      </c>
      <c r="C1729" s="1" t="n">
        <v>45578</v>
      </c>
      <c r="D1729" t="inlineStr">
        <is>
          <t>STOCKHOLMS LÄN</t>
        </is>
      </c>
      <c r="E1729" t="inlineStr">
        <is>
          <t>NORRTÄLJE</t>
        </is>
      </c>
      <c r="F1729" t="inlineStr">
        <is>
          <t>Holmen skog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35640-2024</t>
        </is>
      </c>
      <c r="B1730" s="1" t="n">
        <v>45531</v>
      </c>
      <c r="C1730" s="1" t="n">
        <v>45578</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35719-2024</t>
        </is>
      </c>
      <c r="B1731" s="1" t="n">
        <v>45532</v>
      </c>
      <c r="C1731" s="1" t="n">
        <v>45578</v>
      </c>
      <c r="D1731" t="inlineStr">
        <is>
          <t>STOCKHOLMS LÄN</t>
        </is>
      </c>
      <c r="E1731" t="inlineStr">
        <is>
          <t>NORRTÄLJE</t>
        </is>
      </c>
      <c r="F1731" t="inlineStr">
        <is>
          <t>Holmen skog AB</t>
        </is>
      </c>
      <c r="G1731" t="n">
        <v>15.2</v>
      </c>
      <c r="H1731" t="n">
        <v>0</v>
      </c>
      <c r="I1731" t="n">
        <v>0</v>
      </c>
      <c r="J1731" t="n">
        <v>0</v>
      </c>
      <c r="K1731" t="n">
        <v>0</v>
      </c>
      <c r="L1731" t="n">
        <v>0</v>
      </c>
      <c r="M1731" t="n">
        <v>0</v>
      </c>
      <c r="N1731" t="n">
        <v>0</v>
      </c>
      <c r="O1731" t="n">
        <v>0</v>
      </c>
      <c r="P1731" t="n">
        <v>0</v>
      </c>
      <c r="Q1731" t="n">
        <v>0</v>
      </c>
      <c r="R1731" s="2" t="inlineStr"/>
    </row>
    <row r="1732" ht="15" customHeight="1">
      <c r="A1732" t="inlineStr">
        <is>
          <t>A 35782-2024</t>
        </is>
      </c>
      <c r="B1732" s="1" t="n">
        <v>45532</v>
      </c>
      <c r="C1732" s="1" t="n">
        <v>45578</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35647-2024</t>
        </is>
      </c>
      <c r="B1733" s="1" t="n">
        <v>45532</v>
      </c>
      <c r="C1733" s="1" t="n">
        <v>45578</v>
      </c>
      <c r="D1733" t="inlineStr">
        <is>
          <t>STOCKHOLMS LÄN</t>
        </is>
      </c>
      <c r="E1733" t="inlineStr">
        <is>
          <t>NORRTÄLJE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35916-2024</t>
        </is>
      </c>
      <c r="B1734" s="1" t="n">
        <v>45533</v>
      </c>
      <c r="C1734" s="1" t="n">
        <v>45578</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36157-2024</t>
        </is>
      </c>
      <c r="B1735" s="1" t="n">
        <v>45534</v>
      </c>
      <c r="C1735" s="1" t="n">
        <v>45578</v>
      </c>
      <c r="D1735" t="inlineStr">
        <is>
          <t>STOCKHOLMS LÄN</t>
        </is>
      </c>
      <c r="E1735" t="inlineStr">
        <is>
          <t>NORRTÄLJE</t>
        </is>
      </c>
      <c r="F1735" t="inlineStr">
        <is>
          <t>Övriga Aktiebolag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36430-2024</t>
        </is>
      </c>
      <c r="B1736" s="1" t="n">
        <v>45536</v>
      </c>
      <c r="C1736" s="1" t="n">
        <v>45578</v>
      </c>
      <c r="D1736" t="inlineStr">
        <is>
          <t>STOCKHOLMS LÄN</t>
        </is>
      </c>
      <c r="E1736" t="inlineStr">
        <is>
          <t>NORRTÄLJE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36556-2024</t>
        </is>
      </c>
      <c r="B1737" s="1" t="n">
        <v>45537</v>
      </c>
      <c r="C1737" s="1" t="n">
        <v>45578</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36625-2024</t>
        </is>
      </c>
      <c r="B1738" s="1" t="n">
        <v>45537</v>
      </c>
      <c r="C1738" s="1" t="n">
        <v>45578</v>
      </c>
      <c r="D1738" t="inlineStr">
        <is>
          <t>STOCKHOLMS LÄN</t>
        </is>
      </c>
      <c r="E1738" t="inlineStr">
        <is>
          <t>NORRTÄLJE</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37273-2024</t>
        </is>
      </c>
      <c r="B1739" s="1" t="n">
        <v>45540</v>
      </c>
      <c r="C1739" s="1" t="n">
        <v>45578</v>
      </c>
      <c r="D1739" t="inlineStr">
        <is>
          <t>STOCKHOLMS LÄN</t>
        </is>
      </c>
      <c r="E1739" t="inlineStr">
        <is>
          <t>NORRTÄLJE</t>
        </is>
      </c>
      <c r="F1739" t="inlineStr">
        <is>
          <t>Sveaskog</t>
        </is>
      </c>
      <c r="G1739" t="n">
        <v>12.5</v>
      </c>
      <c r="H1739" t="n">
        <v>0</v>
      </c>
      <c r="I1739" t="n">
        <v>0</v>
      </c>
      <c r="J1739" t="n">
        <v>0</v>
      </c>
      <c r="K1739" t="n">
        <v>0</v>
      </c>
      <c r="L1739" t="n">
        <v>0</v>
      </c>
      <c r="M1739" t="n">
        <v>0</v>
      </c>
      <c r="N1739" t="n">
        <v>0</v>
      </c>
      <c r="O1739" t="n">
        <v>0</v>
      </c>
      <c r="P1739" t="n">
        <v>0</v>
      </c>
      <c r="Q1739" t="n">
        <v>0</v>
      </c>
      <c r="R1739" s="2" t="inlineStr"/>
    </row>
    <row r="1740" ht="15" customHeight="1">
      <c r="A1740" t="inlineStr">
        <is>
          <t>A 37663-2024</t>
        </is>
      </c>
      <c r="B1740" s="1" t="n">
        <v>45541</v>
      </c>
      <c r="C1740" s="1" t="n">
        <v>45578</v>
      </c>
      <c r="D1740" t="inlineStr">
        <is>
          <t>STOCKHOLMS LÄN</t>
        </is>
      </c>
      <c r="E1740" t="inlineStr">
        <is>
          <t>NORRTÄLJE</t>
        </is>
      </c>
      <c r="F1740" t="inlineStr">
        <is>
          <t>Holmen skog AB</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37684-2024</t>
        </is>
      </c>
      <c r="B1741" s="1" t="n">
        <v>45541</v>
      </c>
      <c r="C1741" s="1" t="n">
        <v>45578</v>
      </c>
      <c r="D1741" t="inlineStr">
        <is>
          <t>STOCKHOLMS LÄN</t>
        </is>
      </c>
      <c r="E1741" t="inlineStr">
        <is>
          <t>NORRTÄLJE</t>
        </is>
      </c>
      <c r="F1741" t="inlineStr">
        <is>
          <t>Holmen skog AB</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37980-2024</t>
        </is>
      </c>
      <c r="B1742" s="1" t="n">
        <v>45544</v>
      </c>
      <c r="C1742" s="1" t="n">
        <v>45578</v>
      </c>
      <c r="D1742" t="inlineStr">
        <is>
          <t>STOCKHOLMS LÄN</t>
        </is>
      </c>
      <c r="E1742" t="inlineStr">
        <is>
          <t>NORRTÄLJE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38073-2024</t>
        </is>
      </c>
      <c r="B1743" s="1" t="n">
        <v>45544</v>
      </c>
      <c r="C1743" s="1" t="n">
        <v>45578</v>
      </c>
      <c r="D1743" t="inlineStr">
        <is>
          <t>STOCKHOLMS LÄN</t>
        </is>
      </c>
      <c r="E1743" t="inlineStr">
        <is>
          <t>NORRTÄLJE</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38878-2024</t>
        </is>
      </c>
      <c r="B1744" s="1" t="n">
        <v>45547</v>
      </c>
      <c r="C1744" s="1" t="n">
        <v>45578</v>
      </c>
      <c r="D1744" t="inlineStr">
        <is>
          <t>STOCKHOLMS LÄN</t>
        </is>
      </c>
      <c r="E1744" t="inlineStr">
        <is>
          <t>NORRTÄLJE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38889-2024</t>
        </is>
      </c>
      <c r="B1745" s="1" t="n">
        <v>45547</v>
      </c>
      <c r="C1745" s="1" t="n">
        <v>45578</v>
      </c>
      <c r="D1745" t="inlineStr">
        <is>
          <t>STOCKHOLMS LÄN</t>
        </is>
      </c>
      <c r="E1745" t="inlineStr">
        <is>
          <t>NORRTÄLJE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39203-2024</t>
        </is>
      </c>
      <c r="B1746" s="1" t="n">
        <v>45548</v>
      </c>
      <c r="C1746" s="1" t="n">
        <v>45578</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39202-2024</t>
        </is>
      </c>
      <c r="B1747" s="1" t="n">
        <v>45548</v>
      </c>
      <c r="C1747" s="1" t="n">
        <v>45578</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39238-2024</t>
        </is>
      </c>
      <c r="B1748" s="1" t="n">
        <v>45549</v>
      </c>
      <c r="C1748" s="1" t="n">
        <v>45578</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39237-2024</t>
        </is>
      </c>
      <c r="B1749" s="1" t="n">
        <v>45549</v>
      </c>
      <c r="C1749" s="1" t="n">
        <v>45578</v>
      </c>
      <c r="D1749" t="inlineStr">
        <is>
          <t>STOCKHOLMS LÄN</t>
        </is>
      </c>
      <c r="E1749" t="inlineStr">
        <is>
          <t>NORRTÄLJE</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39667-2024</t>
        </is>
      </c>
      <c r="B1750" s="1" t="n">
        <v>45552</v>
      </c>
      <c r="C1750" s="1" t="n">
        <v>45578</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39669-2024</t>
        </is>
      </c>
      <c r="B1751" s="1" t="n">
        <v>45552</v>
      </c>
      <c r="C1751" s="1" t="n">
        <v>45578</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39913-2024</t>
        </is>
      </c>
      <c r="B1752" s="1" t="n">
        <v>45553</v>
      </c>
      <c r="C1752" s="1" t="n">
        <v>45578</v>
      </c>
      <c r="D1752" t="inlineStr">
        <is>
          <t>STOCKHOLMS LÄN</t>
        </is>
      </c>
      <c r="E1752" t="inlineStr">
        <is>
          <t>NORRTÄLJE</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40175-2024</t>
        </is>
      </c>
      <c r="B1753" s="1" t="n">
        <v>45554</v>
      </c>
      <c r="C1753" s="1" t="n">
        <v>45578</v>
      </c>
      <c r="D1753" t="inlineStr">
        <is>
          <t>STOCKHOLMS LÄN</t>
        </is>
      </c>
      <c r="E1753" t="inlineStr">
        <is>
          <t>NORRTÄLJE</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40761-2024</t>
        </is>
      </c>
      <c r="B1754" s="1" t="n">
        <v>45558</v>
      </c>
      <c r="C1754" s="1" t="n">
        <v>45578</v>
      </c>
      <c r="D1754" t="inlineStr">
        <is>
          <t>STOCKHOLMS LÄN</t>
        </is>
      </c>
      <c r="E1754" t="inlineStr">
        <is>
          <t>NORRTÄLJE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41219-2024</t>
        </is>
      </c>
      <c r="B1755" s="1" t="n">
        <v>45559</v>
      </c>
      <c r="C1755" s="1" t="n">
        <v>45578</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41310-2024</t>
        </is>
      </c>
      <c r="B1756" s="1" t="n">
        <v>45559</v>
      </c>
      <c r="C1756" s="1" t="n">
        <v>45578</v>
      </c>
      <c r="D1756" t="inlineStr">
        <is>
          <t>STOCKHOLMS LÄN</t>
        </is>
      </c>
      <c r="E1756" t="inlineStr">
        <is>
          <t>NORRTÄLJE</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41342-2024</t>
        </is>
      </c>
      <c r="B1757" s="1" t="n">
        <v>45559</v>
      </c>
      <c r="C1757" s="1" t="n">
        <v>45578</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41218-2024</t>
        </is>
      </c>
      <c r="B1758" s="1" t="n">
        <v>45559</v>
      </c>
      <c r="C1758" s="1" t="n">
        <v>45578</v>
      </c>
      <c r="D1758" t="inlineStr">
        <is>
          <t>STOCKHOLMS LÄN</t>
        </is>
      </c>
      <c r="E1758" t="inlineStr">
        <is>
          <t>NORRTÄLJE</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41243-2024</t>
        </is>
      </c>
      <c r="B1759" s="1" t="n">
        <v>45559</v>
      </c>
      <c r="C1759" s="1" t="n">
        <v>45578</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41253-2024</t>
        </is>
      </c>
      <c r="B1760" s="1" t="n">
        <v>45559</v>
      </c>
      <c r="C1760" s="1" t="n">
        <v>45578</v>
      </c>
      <c r="D1760" t="inlineStr">
        <is>
          <t>STOCKHOLMS LÄN</t>
        </is>
      </c>
      <c r="E1760" t="inlineStr">
        <is>
          <t>NORRTÄLJE</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41976-2024</t>
        </is>
      </c>
      <c r="B1761" s="1" t="n">
        <v>45561</v>
      </c>
      <c r="C1761" s="1" t="n">
        <v>45578</v>
      </c>
      <c r="D1761" t="inlineStr">
        <is>
          <t>STOCKHOLMS LÄN</t>
        </is>
      </c>
      <c r="E1761" t="inlineStr">
        <is>
          <t>NORRTÄLJE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44032-2024</t>
        </is>
      </c>
      <c r="B1762" s="1" t="n">
        <v>45572</v>
      </c>
      <c r="C1762" s="1" t="n">
        <v>45578</v>
      </c>
      <c r="D1762" t="inlineStr">
        <is>
          <t>STOCKHOLMS LÄN</t>
        </is>
      </c>
      <c r="E1762" t="inlineStr">
        <is>
          <t>NORRTÄLJE</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44237-2024</t>
        </is>
      </c>
      <c r="B1763" s="1" t="n">
        <v>45573</v>
      </c>
      <c r="C1763" s="1" t="n">
        <v>45578</v>
      </c>
      <c r="D1763" t="inlineStr">
        <is>
          <t>STOCKHOLMS LÄN</t>
        </is>
      </c>
      <c r="E1763" t="inlineStr">
        <is>
          <t>NORRTÄLJE</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44776-2024</t>
        </is>
      </c>
      <c r="B1764" s="1" t="n">
        <v>45574</v>
      </c>
      <c r="C1764" s="1" t="n">
        <v>45578</v>
      </c>
      <c r="D1764" t="inlineStr">
        <is>
          <t>STOCKHOLMS LÄN</t>
        </is>
      </c>
      <c r="E1764" t="inlineStr">
        <is>
          <t>NORRTÄLJE</t>
        </is>
      </c>
      <c r="G1764" t="n">
        <v>12.6</v>
      </c>
      <c r="H1764" t="n">
        <v>0</v>
      </c>
      <c r="I1764" t="n">
        <v>0</v>
      </c>
      <c r="J1764" t="n">
        <v>0</v>
      </c>
      <c r="K1764" t="n">
        <v>0</v>
      </c>
      <c r="L1764" t="n">
        <v>0</v>
      </c>
      <c r="M1764" t="n">
        <v>0</v>
      </c>
      <c r="N1764" t="n">
        <v>0</v>
      </c>
      <c r="O1764" t="n">
        <v>0</v>
      </c>
      <c r="P1764" t="n">
        <v>0</v>
      </c>
      <c r="Q1764" t="n">
        <v>0</v>
      </c>
      <c r="R1764" s="2" t="inlineStr"/>
    </row>
    <row r="1765" ht="15" customHeight="1">
      <c r="A1765" t="inlineStr">
        <is>
          <t>A 44821-2024</t>
        </is>
      </c>
      <c r="B1765" s="1" t="n">
        <v>45574</v>
      </c>
      <c r="C1765" s="1" t="n">
        <v>45578</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45220-2024</t>
        </is>
      </c>
      <c r="B1766" s="1" t="n">
        <v>45575</v>
      </c>
      <c r="C1766" s="1" t="n">
        <v>45578</v>
      </c>
      <c r="D1766" t="inlineStr">
        <is>
          <t>STOCKHOLMS LÄN</t>
        </is>
      </c>
      <c r="E1766" t="inlineStr">
        <is>
          <t>NORRTÄLJE</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45254-2024</t>
        </is>
      </c>
      <c r="B1767" s="1" t="n">
        <v>45576</v>
      </c>
      <c r="C1767" s="1" t="n">
        <v>45578</v>
      </c>
      <c r="D1767" t="inlineStr">
        <is>
          <t>STOCKHOLMS LÄN</t>
        </is>
      </c>
      <c r="E1767" t="inlineStr">
        <is>
          <t>NORRTÄLJE</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45247-2024</t>
        </is>
      </c>
      <c r="B1768" s="1" t="n">
        <v>45576</v>
      </c>
      <c r="C1768" s="1" t="n">
        <v>45578</v>
      </c>
      <c r="D1768" t="inlineStr">
        <is>
          <t>STOCKHOLMS LÄN</t>
        </is>
      </c>
      <c r="E1768" t="inlineStr">
        <is>
          <t>NORRTÄLJE</t>
        </is>
      </c>
      <c r="G1768" t="n">
        <v>7.5</v>
      </c>
      <c r="H1768" t="n">
        <v>0</v>
      </c>
      <c r="I1768" t="n">
        <v>0</v>
      </c>
      <c r="J1768" t="n">
        <v>0</v>
      </c>
      <c r="K1768" t="n">
        <v>0</v>
      </c>
      <c r="L1768" t="n">
        <v>0</v>
      </c>
      <c r="M1768" t="n">
        <v>0</v>
      </c>
      <c r="N1768" t="n">
        <v>0</v>
      </c>
      <c r="O1768" t="n">
        <v>0</v>
      </c>
      <c r="P1768" t="n">
        <v>0</v>
      </c>
      <c r="Q1768" t="n">
        <v>0</v>
      </c>
      <c r="R1768" s="2" t="inlineStr"/>
    </row>
    <row r="1769">
      <c r="A1769" t="inlineStr">
        <is>
          <t>A 45451-2024</t>
        </is>
      </c>
      <c r="B1769" s="1" t="n">
        <v>45576</v>
      </c>
      <c r="C1769" s="1" t="n">
        <v>45578</v>
      </c>
      <c r="D1769" t="inlineStr">
        <is>
          <t>STOCKHOLMS LÄN</t>
        </is>
      </c>
      <c r="E1769" t="inlineStr">
        <is>
          <t>NORRTÄLJE</t>
        </is>
      </c>
      <c r="G1769" t="n">
        <v>1.3</v>
      </c>
      <c r="H1769" t="n">
        <v>0</v>
      </c>
      <c r="I1769" t="n">
        <v>0</v>
      </c>
      <c r="J1769" t="n">
        <v>0</v>
      </c>
      <c r="K1769" t="n">
        <v>0</v>
      </c>
      <c r="L1769" t="n">
        <v>0</v>
      </c>
      <c r="M1769" t="n">
        <v>0</v>
      </c>
      <c r="N1769" t="n">
        <v>0</v>
      </c>
      <c r="O1769" t="n">
        <v>0</v>
      </c>
      <c r="P1769" t="n">
        <v>0</v>
      </c>
      <c r="Q1769" t="n">
        <v>0</v>
      </c>
      <c r="R1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2024-10-13T12:12:50Z</dcterms:created>
  <dcterms:modified xmlns:dcterms="http://purl.org/dc/terms/" xmlns:xsi="http://www.w3.org/2001/XMLSchema-instance" xsi:type="dcterms:W3CDTF">2024-10-13T12:12:52Z</dcterms:modified>
</cp:coreProperties>
</file>