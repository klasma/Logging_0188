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5521-2022</t>
        </is>
      </c>
      <c r="B2" t="inlineStr">
        <is>
          <t>samrådsanmälan</t>
        </is>
      </c>
      <c r="C2" t="inlineStr">
        <is>
          <t>Annan skogsbruksåtgärd</t>
        </is>
      </c>
      <c r="D2" s="1" t="n">
        <v>44834</v>
      </c>
      <c r="E2" s="1" t="n">
        <v>46221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Y2">
        <f>HYPERLINK("https://klasma.github.io/Logging_0188/klagomål/S 5521-2022 FSC-klagomål.docx", "S 5521-2022")</f>
        <v/>
      </c>
      <c r="Z2">
        <f>HYPERLINK("https://klasma.github.io/Logging_0188/klagomålsmail/S 5521-2022 FSC-klagomål mail.docx", "S 5521-2022")</f>
        <v/>
      </c>
      <c r="AA2">
        <f>HYPERLINK("https://klasma.github.io/Logging_0188/tillsyn/S 5521-2022 tillsynsbegäran.docx", "S 5521-2022")</f>
        <v/>
      </c>
      <c r="AB2">
        <f>HYPERLINK("https://klasma.github.io/Logging_0188/tillsynsmail/S 5521-2022 tillsynsbegäran mail.docx", "S 5521-2022")</f>
        <v/>
      </c>
      <c r="AC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Y3">
        <f>HYPERLINK("https://klasma.github.io/Logging_0188/klagomål/A 34045-2023 FSC-klagomål.docx", "A 34045-2023")</f>
        <v/>
      </c>
      <c r="Z3">
        <f>HYPERLINK("https://klasma.github.io/Logging_0188/klagomålsmail/A 34045-2023 FSC-klagomål mail.docx", "A 34045-2023")</f>
        <v/>
      </c>
      <c r="AA3">
        <f>HYPERLINK("https://klasma.github.io/Logging_0188/tillsyn/A 34045-2023 tillsynsbegäran.docx", "A 34045-2023")</f>
        <v/>
      </c>
      <c r="AB3">
        <f>HYPERLINK("https://klasma.github.io/Logging_0188/tillsynsmail/A 34045-2023 tillsynsbegäran mail.docx", "A 34045-2023")</f>
        <v/>
      </c>
      <c r="AC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46221</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Y4">
        <f>HYPERLINK("https://klasma.github.io/Logging_0188/klagomål/A 16696-2026 FSC-klagomål.docx", "A 16696-2026")</f>
        <v/>
      </c>
      <c r="Z4">
        <f>HYPERLINK("https://klasma.github.io/Logging_0188/klagomålsmail/A 16696-2026 FSC-klagomål mail.docx", "A 16696-2026")</f>
        <v/>
      </c>
      <c r="AA4">
        <f>HYPERLINK("https://klasma.github.io/Logging_0188/tillsyn/A 16696-2026 tillsynsbegäran.docx", "A 16696-2026")</f>
        <v/>
      </c>
      <c r="AB4">
        <f>HYPERLINK("https://klasma.github.io/Logging_0188/tillsynsmail/A 16696-2026 tillsynsbegäran mail.docx", "A 16696-2026")</f>
        <v/>
      </c>
      <c r="AC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Y5">
        <f>HYPERLINK("https://klasma.github.io/Logging_0188/klagomål/S 214-2023 FSC-klagomål.docx", "S 214-2023")</f>
        <v/>
      </c>
      <c r="Z5">
        <f>HYPERLINK("https://klasma.github.io/Logging_0188/klagomålsmail/S 214-2023 FSC-klagomål mail.docx", "S 214-2023")</f>
        <v/>
      </c>
      <c r="AA5">
        <f>HYPERLINK("https://klasma.github.io/Logging_0188/tillsyn/S 214-2023 tillsynsbegäran.docx", "S 214-2023")</f>
        <v/>
      </c>
      <c r="AB5">
        <f>HYPERLINK("https://klasma.github.io/Logging_0188/tillsynsmail/S 214-2023 tillsynsbegäran mail.docx", "S 214-2023")</f>
        <v/>
      </c>
      <c r="AC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46221</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HYPERLINK("https://klasma.github.io/Logging_0188/knärot/A 17406-2025 karta knärot.png", "A 17406-2025")</f>
        <v/>
      </c>
      <c r="Y6">
        <f>HYPERLINK("https://klasma.github.io/Logging_0188/klagomål/A 17406-2025 FSC-klagomål.docx", "A 17406-2025")</f>
        <v/>
      </c>
      <c r="Z6">
        <f>HYPERLINK("https://klasma.github.io/Logging_0188/klagomålsmail/A 17406-2025 FSC-klagomål mail.docx", "A 17406-2025")</f>
        <v/>
      </c>
      <c r="AA6">
        <f>HYPERLINK("https://klasma.github.io/Logging_0188/tillsyn/A 17406-2025 tillsynsbegäran.docx", "A 17406-2025")</f>
        <v/>
      </c>
      <c r="AB6">
        <f>HYPERLINK("https://klasma.github.io/Logging_0188/tillsynsmail/A 17406-2025 tillsynsbegäran mail.docx", "A 17406-2025")</f>
        <v/>
      </c>
      <c r="AC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Y7">
        <f>HYPERLINK("https://klasma.github.io/Logging_0188/klagomål/A 30799-2025 FSC-klagomål.docx", "A 30799-2025")</f>
        <v/>
      </c>
      <c r="Z7">
        <f>HYPERLINK("https://klasma.github.io/Logging_0188/klagomålsmail/A 30799-2025 FSC-klagomål mail.docx", "A 30799-2025")</f>
        <v/>
      </c>
      <c r="AA7">
        <f>HYPERLINK("https://klasma.github.io/Logging_0188/tillsyn/A 30799-2025 tillsynsbegäran.docx", "A 30799-2025")</f>
        <v/>
      </c>
      <c r="AB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46221</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HYPERLINK("https://klasma.github.io/Logging_0188/knärot/A 9472-2025 karta knärot.png", "A 9472-2025")</f>
        <v/>
      </c>
      <c r="Y8">
        <f>HYPERLINK("https://klasma.github.io/Logging_0188/klagomål/A 9472-2025 FSC-klagomål.docx", "A 9472-2025")</f>
        <v/>
      </c>
      <c r="Z8">
        <f>HYPERLINK("https://klasma.github.io/Logging_0188/klagomålsmail/A 9472-2025 FSC-klagomål mail.docx", "A 9472-2025")</f>
        <v/>
      </c>
      <c r="AA8">
        <f>HYPERLINK("https://klasma.github.io/Logging_0188/tillsyn/A 9472-2025 tillsynsbegäran.docx", "A 9472-2025")</f>
        <v/>
      </c>
      <c r="AB8">
        <f>HYPERLINK("https://klasma.github.io/Logging_0188/tillsynsmail/A 9472-2025 tillsynsbegäran mail.docx", "A 9472-2025")</f>
        <v/>
      </c>
      <c r="AC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46221</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HYPERLINK("https://klasma.github.io/Logging_0188/knärot/A 25731-2025 karta knärot.png", "A 25731-2025")</f>
        <v/>
      </c>
      <c r="Y9">
        <f>HYPERLINK("https://klasma.github.io/Logging_0188/klagomål/A 25731-2025 FSC-klagomål.docx", "A 25731-2025")</f>
        <v/>
      </c>
      <c r="Z9">
        <f>HYPERLINK("https://klasma.github.io/Logging_0188/klagomålsmail/A 25731-2025 FSC-klagomål mail.docx", "A 25731-2025")</f>
        <v/>
      </c>
      <c r="AA9">
        <f>HYPERLINK("https://klasma.github.io/Logging_0188/tillsyn/A 25731-2025 tillsynsbegäran.docx", "A 25731-2025")</f>
        <v/>
      </c>
      <c r="AB9">
        <f>HYPERLINK("https://klasma.github.io/Logging_0188/tillsynsmail/A 25731-2025 tillsynsbegäran mail.docx", "A 25731-2025")</f>
        <v/>
      </c>
      <c r="AC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Y10">
        <f>HYPERLINK("https://klasma.github.io/Logging_0188/klagomål/A 56024-2025 FSC-klagomål.docx", "A 56024-2025")</f>
        <v/>
      </c>
      <c r="Z10">
        <f>HYPERLINK("https://klasma.github.io/Logging_0188/klagomålsmail/A 56024-2025 FSC-klagomål mail.docx", "A 56024-2025")</f>
        <v/>
      </c>
      <c r="AA10">
        <f>HYPERLINK("https://klasma.github.io/Logging_0188/tillsyn/A 56024-2025 tillsynsbegäran.docx", "A 56024-2025")</f>
        <v/>
      </c>
      <c r="AB10">
        <f>HYPERLINK("https://klasma.github.io/Logging_0188/tillsynsmail/A 56024-2025 tillsynsbegäran mail.docx", "A 56024-2025")</f>
        <v/>
      </c>
      <c r="AC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Y11">
        <f>HYPERLINK("https://klasma.github.io/Logging_0188/klagomål/S 4434-2023 FSC-klagomål.docx", "S 4434-2023")</f>
        <v/>
      </c>
      <c r="Z11">
        <f>HYPERLINK("https://klasma.github.io/Logging_0188/klagomålsmail/S 4434-2023 FSC-klagomål mail.docx", "S 4434-2023")</f>
        <v/>
      </c>
      <c r="AA11">
        <f>HYPERLINK("https://klasma.github.io/Logging_0188/tillsyn/S 4434-2023 tillsynsbegäran.docx", "S 4434-2023")</f>
        <v/>
      </c>
      <c r="AB11">
        <f>HYPERLINK("https://klasma.github.io/Logging_0188/tillsynsmail/S 4434-2023 tillsynsbegäran mail.docx", "S 4434-2023")</f>
        <v/>
      </c>
      <c r="AC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Y12">
        <f>HYPERLINK("https://klasma.github.io/Logging_0188/klagomål/A 21837-2025 FSC-klagomål.docx", "A 21837-2025")</f>
        <v/>
      </c>
      <c r="Z12">
        <f>HYPERLINK("https://klasma.github.io/Logging_0188/klagomålsmail/A 21837-2025 FSC-klagomål mail.docx", "A 21837-2025")</f>
        <v/>
      </c>
      <c r="AA12">
        <f>HYPERLINK("https://klasma.github.io/Logging_0188/tillsyn/A 21837-2025 tillsynsbegäran.docx", "A 21837-2025")</f>
        <v/>
      </c>
      <c r="AB12">
        <f>HYPERLINK("https://klasma.github.io/Logging_0188/tillsynsmail/A 21837-2025 tillsynsbegäran mail.docx", "A 21837-2025")</f>
        <v/>
      </c>
      <c r="AC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Y13">
        <f>HYPERLINK("https://klasma.github.io/Logging_0188/klagomål/S 6467-2022 FSC-klagomål.docx", "S 6467-2022")</f>
        <v/>
      </c>
      <c r="Z13">
        <f>HYPERLINK("https://klasma.github.io/Logging_0188/klagomålsmail/S 6467-2022 FSC-klagomål mail.docx", "S 6467-2022")</f>
        <v/>
      </c>
      <c r="AA13">
        <f>HYPERLINK("https://klasma.github.io/Logging_0188/tillsyn/S 6467-2022 tillsynsbegäran.docx", "S 6467-2022")</f>
        <v/>
      </c>
      <c r="AB13">
        <f>HYPERLINK("https://klasma.github.io/Logging_0188/tillsynsmail/S 6467-2022 tillsynsbegäran mail.docx", "S 6467-2022")</f>
        <v/>
      </c>
      <c r="AC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46221</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Y14">
        <f>HYPERLINK("https://klasma.github.io/Logging_0188/klagomål/A 30156-2022 FSC-klagomål.docx", "A 30156-2022")</f>
        <v/>
      </c>
      <c r="Z14">
        <f>HYPERLINK("https://klasma.github.io/Logging_0188/klagomålsmail/A 30156-2022 FSC-klagomål mail.docx", "A 30156-2022")</f>
        <v/>
      </c>
      <c r="AA14">
        <f>HYPERLINK("https://klasma.github.io/Logging_0188/tillsyn/A 30156-2022 tillsynsbegäran.docx", "A 30156-2022")</f>
        <v/>
      </c>
      <c r="AB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46221</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Y15">
        <f>HYPERLINK("https://klasma.github.io/Logging_0188/klagomål/A 60019-2022 FSC-klagomål.docx", "A 60019-2022")</f>
        <v/>
      </c>
      <c r="Z15">
        <f>HYPERLINK("https://klasma.github.io/Logging_0188/klagomålsmail/A 60019-2022 FSC-klagomål mail.docx", "A 60019-2022")</f>
        <v/>
      </c>
      <c r="AA15">
        <f>HYPERLINK("https://klasma.github.io/Logging_0188/tillsyn/A 60019-2022 tillsynsbegäran.docx", "A 60019-2022")</f>
        <v/>
      </c>
      <c r="AB15">
        <f>HYPERLINK("https://klasma.github.io/Logging_0188/tillsynsmail/A 60019-2022 tillsynsbegäran mail.docx", "A 60019-2022")</f>
        <v/>
      </c>
      <c r="AC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46221</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HYPERLINK("https://klasma.github.io/Logging_0188/knärot/S 8557-2021 karta knärot.png", "S 8557-2021")</f>
        <v/>
      </c>
      <c r="Y16">
        <f>HYPERLINK("https://klasma.github.io/Logging_0188/klagomål/S 8557-2021 FSC-klagomål.docx", "S 8557-2021")</f>
        <v/>
      </c>
      <c r="Z16">
        <f>HYPERLINK("https://klasma.github.io/Logging_0188/klagomålsmail/S 8557-2021 FSC-klagomål mail.docx", "S 8557-2021")</f>
        <v/>
      </c>
      <c r="AA16">
        <f>HYPERLINK("https://klasma.github.io/Logging_0188/tillsyn/S 8557-2021 tillsynsbegäran.docx", "S 8557-2021")</f>
        <v/>
      </c>
      <c r="AB16">
        <f>HYPERLINK("https://klasma.github.io/Logging_0188/tillsynsmail/S 8557-2021 tillsynsbegäran mail.docx", "S 8557-2021")</f>
        <v/>
      </c>
      <c r="AC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46221</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HYPERLINK("https://klasma.github.io/Logging_0188/knärot/A 17645-2026 karta knärot.png", "A 17645-2026")</f>
        <v/>
      </c>
      <c r="Y17">
        <f>HYPERLINK("https://klasma.github.io/Logging_0188/klagomål/A 17645-2026 FSC-klagomål.docx", "A 17645-2026")</f>
        <v/>
      </c>
      <c r="Z17">
        <f>HYPERLINK("https://klasma.github.io/Logging_0188/klagomålsmail/A 17645-2026 FSC-klagomål mail.docx", "A 17645-2026")</f>
        <v/>
      </c>
      <c r="AA17">
        <f>HYPERLINK("https://klasma.github.io/Logging_0188/tillsyn/A 17645-2026 tillsynsbegäran.docx", "A 17645-2026")</f>
        <v/>
      </c>
      <c r="AB17">
        <f>HYPERLINK("https://klasma.github.io/Logging_0188/tillsynsmail/A 17645-2026 tillsynsbegäran mail.docx", "A 17645-2026")</f>
        <v/>
      </c>
      <c r="AC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46221</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Y18">
        <f>HYPERLINK("https://klasma.github.io/Logging_0188/klagomål/S 2313-2020 FSC-klagomål.docx", "S 2313-2020")</f>
        <v/>
      </c>
      <c r="Z18">
        <f>HYPERLINK("https://klasma.github.io/Logging_0188/klagomålsmail/S 2313-2020 FSC-klagomål mail.docx", "S 2313-2020")</f>
        <v/>
      </c>
      <c r="AA18">
        <f>HYPERLINK("https://klasma.github.io/Logging_0188/tillsyn/S 2313-2020 tillsynsbegäran.docx", "S 2313-2020")</f>
        <v/>
      </c>
      <c r="AB18">
        <f>HYPERLINK("https://klasma.github.io/Logging_0188/tillsynsmail/S 2313-2020 tillsynsbegäran mail.docx", "S 2313-2020")</f>
        <v/>
      </c>
      <c r="AC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46221</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Y19">
        <f>HYPERLINK("https://klasma.github.io/Logging_0188/klagomål/A 21927-2025 FSC-klagomål.docx", "A 21927-2025")</f>
        <v/>
      </c>
      <c r="Z19">
        <f>HYPERLINK("https://klasma.github.io/Logging_0188/klagomålsmail/A 21927-2025 FSC-klagomål mail.docx", "A 21927-2025")</f>
        <v/>
      </c>
      <c r="AA19">
        <f>HYPERLINK("https://klasma.github.io/Logging_0188/tillsyn/A 21927-2025 tillsynsbegäran.docx", "A 21927-2025")</f>
        <v/>
      </c>
      <c r="AB19">
        <f>HYPERLINK("https://klasma.github.io/Logging_0188/tillsynsmail/A 21927-2025 tillsynsbegäran mail.docx", "A 21927-2025")</f>
        <v/>
      </c>
      <c r="AC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46221</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Y20">
        <f>HYPERLINK("https://klasma.github.io/Logging_0188/klagomål/S 1185-2022 FSC-klagomål.docx", "S 1185-2022")</f>
        <v/>
      </c>
      <c r="Z20">
        <f>HYPERLINK("https://klasma.github.io/Logging_0188/klagomålsmail/S 1185-2022 FSC-klagomål mail.docx", "S 1185-2022")</f>
        <v/>
      </c>
      <c r="AA20">
        <f>HYPERLINK("https://klasma.github.io/Logging_0188/tillsyn/S 1185-2022 tillsynsbegäran.docx", "S 1185-2022")</f>
        <v/>
      </c>
      <c r="AB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46221</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Y21">
        <f>HYPERLINK("https://klasma.github.io/Logging_0188/klagomål/A 52797-2023 FSC-klagomål.docx", "A 52797-2023")</f>
        <v/>
      </c>
      <c r="Z21">
        <f>HYPERLINK("https://klasma.github.io/Logging_0188/klagomålsmail/A 52797-2023 FSC-klagomål mail.docx", "A 52797-2023")</f>
        <v/>
      </c>
      <c r="AA21">
        <f>HYPERLINK("https://klasma.github.io/Logging_0188/tillsyn/A 52797-2023 tillsynsbegäran.docx", "A 52797-2023")</f>
        <v/>
      </c>
      <c r="AB21">
        <f>HYPERLINK("https://klasma.github.io/Logging_0188/tillsynsmail/A 52797-2023 tillsynsbegäran mail.docx", "A 52797-2023")</f>
        <v/>
      </c>
      <c r="AC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46221</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Y22">
        <f>HYPERLINK("https://klasma.github.io/Logging_0188/klagomål/S 971-2023 FSC-klagomål.docx", "S 971-2023")</f>
        <v/>
      </c>
      <c r="Z22">
        <f>HYPERLINK("https://klasma.github.io/Logging_0188/klagomålsmail/S 971-2023 FSC-klagomål mail.docx", "S 971-2023")</f>
        <v/>
      </c>
      <c r="AA22">
        <f>HYPERLINK("https://klasma.github.io/Logging_0188/tillsyn/S 971-2023 tillsynsbegäran.docx", "S 971-2023")</f>
        <v/>
      </c>
      <c r="AB22">
        <f>HYPERLINK("https://klasma.github.io/Logging_0188/tillsynsmail/S 971-2023 tillsynsbegäran mail.docx", "S 971-2023")</f>
        <v/>
      </c>
      <c r="AC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46221</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Y23">
        <f>HYPERLINK("https://klasma.github.io/Logging_0188/klagomål/A 10646-2024 FSC-klagomål.docx", "A 10646-2024")</f>
        <v/>
      </c>
      <c r="Z23">
        <f>HYPERLINK("https://klasma.github.io/Logging_0188/klagomålsmail/A 10646-2024 FSC-klagomål mail.docx", "A 10646-2024")</f>
        <v/>
      </c>
      <c r="AA23">
        <f>HYPERLINK("https://klasma.github.io/Logging_0188/tillsyn/A 10646-2024 tillsynsbegäran.docx", "A 10646-2024")</f>
        <v/>
      </c>
      <c r="AB23">
        <f>HYPERLINK("https://klasma.github.io/Logging_0188/tillsynsmail/A 10646-2024 tillsynsbegäran mail.docx", "A 10646-2024")</f>
        <v/>
      </c>
      <c r="AC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46221</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Y24">
        <f>HYPERLINK("https://klasma.github.io/Logging_0188/klagomål/S 1630-2026 FSC-klagomål.docx", "S 1630-2026")</f>
        <v/>
      </c>
      <c r="Z24">
        <f>HYPERLINK("https://klasma.github.io/Logging_0188/klagomålsmail/S 1630-2026 FSC-klagomål mail.docx", "S 1630-2026")</f>
        <v/>
      </c>
      <c r="AA24">
        <f>HYPERLINK("https://klasma.github.io/Logging_0188/tillsyn/S 1630-2026 tillsynsbegäran.docx", "S 1630-2026")</f>
        <v/>
      </c>
      <c r="AB24">
        <f>HYPERLINK("https://klasma.github.io/Logging_0188/tillsynsmail/S 1630-2026 tillsynsbegäran mail.docx", "S 1630-2026")</f>
        <v/>
      </c>
      <c r="AC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46221</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Y25">
        <f>HYPERLINK("https://klasma.github.io/Logging_0188/klagomål/S 817-2026 FSC-klagomål.docx", "S 817-2026")</f>
        <v/>
      </c>
      <c r="Z25">
        <f>HYPERLINK("https://klasma.github.io/Logging_0188/klagomålsmail/S 817-2026 FSC-klagomål mail.docx", "S 817-2026")</f>
        <v/>
      </c>
      <c r="AA25">
        <f>HYPERLINK("https://klasma.github.io/Logging_0188/tillsyn/S 817-2026 tillsynsbegäran.docx", "S 817-2026")</f>
        <v/>
      </c>
      <c r="AB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46221</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Y26">
        <f>HYPERLINK("https://klasma.github.io/Logging_0188/klagomål/A 28785-2026 FSC-klagomål.docx", "A 28785-2026")</f>
        <v/>
      </c>
      <c r="Z26">
        <f>HYPERLINK("https://klasma.github.io/Logging_0188/klagomålsmail/A 28785-2026 FSC-klagomål mail.docx", "A 28785-2026")</f>
        <v/>
      </c>
      <c r="AA26">
        <f>HYPERLINK("https://klasma.github.io/Logging_0188/tillsyn/A 28785-2026 tillsynsbegäran.docx", "A 28785-2026")</f>
        <v/>
      </c>
      <c r="AB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46221</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Y27">
        <f>HYPERLINK("https://klasma.github.io/Logging_0188/klagomål/A 34521-2025 FSC-klagomål.docx", "A 34521-2025")</f>
        <v/>
      </c>
      <c r="Z27">
        <f>HYPERLINK("https://klasma.github.io/Logging_0188/klagomålsmail/A 34521-2025 FSC-klagomål mail.docx", "A 34521-2025")</f>
        <v/>
      </c>
      <c r="AA27">
        <f>HYPERLINK("https://klasma.github.io/Logging_0188/tillsyn/A 34521-2025 tillsynsbegäran.docx", "A 34521-2025")</f>
        <v/>
      </c>
      <c r="AB27">
        <f>HYPERLINK("https://klasma.github.io/Logging_0188/tillsynsmail/A 34521-2025 tillsynsbegäran mail.docx", "A 34521-2025")</f>
        <v/>
      </c>
      <c r="AC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46221</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Y28">
        <f>HYPERLINK("https://klasma.github.io/Logging_0188/klagomål/A 639-2026 FSC-klagomål.docx", "A 639-2026")</f>
        <v/>
      </c>
      <c r="Z28">
        <f>HYPERLINK("https://klasma.github.io/Logging_0188/klagomålsmail/A 639-2026 FSC-klagomål mail.docx", "A 639-2026")</f>
        <v/>
      </c>
      <c r="AA28">
        <f>HYPERLINK("https://klasma.github.io/Logging_0188/tillsyn/A 639-2026 tillsynsbegäran.docx", "A 639-2026")</f>
        <v/>
      </c>
      <c r="AB28">
        <f>HYPERLINK("https://klasma.github.io/Logging_0188/tillsynsmail/A 639-2026 tillsynsbegäran mail.docx", "A 639-2026")</f>
        <v/>
      </c>
      <c r="AC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46221</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HYPERLINK("https://klasma.github.io/Logging_0188/knärot/S 6380-2022 karta knärot.png", "S 6380-2022")</f>
        <v/>
      </c>
      <c r="Y29">
        <f>HYPERLINK("https://klasma.github.io/Logging_0188/klagomål/S 6380-2022 FSC-klagomål.docx", "S 6380-2022")</f>
        <v/>
      </c>
      <c r="Z29">
        <f>HYPERLINK("https://klasma.github.io/Logging_0188/klagomålsmail/S 6380-2022 FSC-klagomål mail.docx", "S 6380-2022")</f>
        <v/>
      </c>
      <c r="AA29">
        <f>HYPERLINK("https://klasma.github.io/Logging_0188/tillsyn/S 6380-2022 tillsynsbegäran.docx", "S 6380-2022")</f>
        <v/>
      </c>
      <c r="AB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46221</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Y30">
        <f>HYPERLINK("https://klasma.github.io/Logging_0188/klagomål/S 7863-2021 FSC-klagomål.docx", "S 7863-2021")</f>
        <v/>
      </c>
      <c r="Z30">
        <f>HYPERLINK("https://klasma.github.io/Logging_0188/klagomålsmail/S 7863-2021 FSC-klagomål mail.docx", "S 7863-2021")</f>
        <v/>
      </c>
      <c r="AA30">
        <f>HYPERLINK("https://klasma.github.io/Logging_0188/tillsyn/S 7863-2021 tillsynsbegäran.docx", "S 7863-2021")</f>
        <v/>
      </c>
      <c r="AB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46221</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Y31">
        <f>HYPERLINK("https://klasma.github.io/Logging_0188/klagomål/S 5910-2021 FSC-klagomål.docx", "S 5910-2021")</f>
        <v/>
      </c>
      <c r="Z31">
        <f>HYPERLINK("https://klasma.github.io/Logging_0188/klagomålsmail/S 5910-2021 FSC-klagomål mail.docx", "S 5910-2021")</f>
        <v/>
      </c>
      <c r="AA31">
        <f>HYPERLINK("https://klasma.github.io/Logging_0188/tillsyn/S 5910-2021 tillsynsbegäran.docx", "S 5910-2021")</f>
        <v/>
      </c>
      <c r="AB31">
        <f>HYPERLINK("https://klasma.github.io/Logging_0188/tillsynsmail/S 5910-2021 tillsynsbegäran mail.docx", "S 5910-2021")</f>
        <v/>
      </c>
      <c r="AC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46221</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Y32">
        <f>HYPERLINK("https://klasma.github.io/Logging_0188/klagomål/A 10430-2026 FSC-klagomål.docx", "A 10430-2026")</f>
        <v/>
      </c>
      <c r="Z32">
        <f>HYPERLINK("https://klasma.github.io/Logging_0188/klagomålsmail/A 10430-2026 FSC-klagomål mail.docx", "A 10430-2026")</f>
        <v/>
      </c>
      <c r="AA32">
        <f>HYPERLINK("https://klasma.github.io/Logging_0188/tillsyn/A 10430-2026 tillsynsbegäran.docx", "A 10430-2026")</f>
        <v/>
      </c>
      <c r="AB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46221</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Y33">
        <f>HYPERLINK("https://klasma.github.io/Logging_0188/klagomål/A 17785-2024 FSC-klagomål.docx", "A 17785-2024")</f>
        <v/>
      </c>
      <c r="Z33">
        <f>HYPERLINK("https://klasma.github.io/Logging_0188/klagomålsmail/A 17785-2024 FSC-klagomål mail.docx", "A 17785-2024")</f>
        <v/>
      </c>
      <c r="AA33">
        <f>HYPERLINK("https://klasma.github.io/Logging_0188/tillsyn/A 17785-2024 tillsynsbegäran.docx", "A 17785-2024")</f>
        <v/>
      </c>
      <c r="AB33">
        <f>HYPERLINK("https://klasma.github.io/Logging_0188/tillsynsmail/A 17785-2024 tillsynsbegäran mail.docx", "A 17785-2024")</f>
        <v/>
      </c>
      <c r="AC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46221</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s="2" t="inlineStr">
        <is>
          <t>Knärot
Skrovlig taggsvamp
Blå taggsvamp
Dropptaggsvamp
Motaggsvamp
Talltita
Björksplintborre
Grönpyrola
Plattlummer
Spillkråka
Kungsfågel</t>
        </is>
      </c>
      <c r="V34">
        <f>HYPERLINK("https://klasma.github.io/Logging_0188/artfynd/A 25732-2025 artfynd.xlsx", "A 25732-2025")</f>
        <v/>
      </c>
      <c r="W34">
        <f>HYPERLINK("https://klasma.github.io/Logging_0188/kartor/A 25732-2025 karta.png", "A 25732-2025")</f>
        <v/>
      </c>
      <c r="X34">
        <f>HYPERLINK("https://klasma.github.io/Logging_0188/knärot/A 25732-2025 karta knärot.png", "A 25732-2025")</f>
        <v/>
      </c>
      <c r="Y34">
        <f>HYPERLINK("https://klasma.github.io/Logging_0188/klagomål/A 25732-2025 FSC-klagomål.docx", "A 25732-2025")</f>
        <v/>
      </c>
      <c r="Z34">
        <f>HYPERLINK("https://klasma.github.io/Logging_0188/klagomålsmail/A 25732-2025 FSC-klagomål mail.docx", "A 25732-2025")</f>
        <v/>
      </c>
      <c r="AA34">
        <f>HYPERLINK("https://klasma.github.io/Logging_0188/tillsyn/A 25732-2025 tillsynsbegäran.docx", "A 25732-2025")</f>
        <v/>
      </c>
      <c r="AB34">
        <f>HYPERLINK("https://klasma.github.io/Logging_0188/tillsynsmail/A 25732-2025 tillsynsbegäran mail.docx", "A 25732-2025")</f>
        <v/>
      </c>
      <c r="AC34">
        <f>HYPERLINK("https://klasma.github.io/Logging_0188/fåglar/A 25732-2025 prioriterade fågelarter.docx", "A 25732-2025")</f>
        <v/>
      </c>
    </row>
    <row r="35" ht="15" customHeight="1">
      <c r="A35" t="inlineStr">
        <is>
          <t>A 73093-2021</t>
        </is>
      </c>
      <c r="B35" t="inlineStr">
        <is>
          <t>avverkningsanmälan</t>
        </is>
      </c>
      <c r="C35" t="inlineStr">
        <is>
          <t>Föryngringsavverkning</t>
        </is>
      </c>
      <c r="D35" s="1" t="n">
        <v>44550</v>
      </c>
      <c r="E35" s="1" t="n">
        <v>46221</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s="2" t="inlineStr">
        <is>
          <t>Rödvingetrast
Guckusko
Myskmadra
Nästrot
Skogsknipprot
Tibast
Vätteros
Blåsippa
Spillkråka
Grönsiska
Nattviol</t>
        </is>
      </c>
      <c r="V35">
        <f>HYPERLINK("https://klasma.github.io/Logging_0188/artfynd/A 73093-2021 artfynd.xlsx", "A 73093-2021")</f>
        <v/>
      </c>
      <c r="W35">
        <f>HYPERLINK("https://klasma.github.io/Logging_0188/kartor/A 73093-2021 karta.png", "A 73093-2021")</f>
        <v/>
      </c>
      <c r="Y35">
        <f>HYPERLINK("https://klasma.github.io/Logging_0188/klagomål/A 73093-2021 FSC-klagomål.docx", "A 73093-2021")</f>
        <v/>
      </c>
      <c r="Z35">
        <f>HYPERLINK("https://klasma.github.io/Logging_0188/klagomålsmail/A 73093-2021 FSC-klagomål mail.docx", "A 73093-2021")</f>
        <v/>
      </c>
      <c r="AA35">
        <f>HYPERLINK("https://klasma.github.io/Logging_0188/tillsyn/A 73093-2021 tillsynsbegäran.docx", "A 73093-2021")</f>
        <v/>
      </c>
      <c r="AB35">
        <f>HYPERLINK("https://klasma.github.io/Logging_0188/tillsynsmail/A 73093-2021 tillsynsbegäran mail.docx", "A 73093-2021")</f>
        <v/>
      </c>
      <c r="AC35">
        <f>HYPERLINK("https://klasma.github.io/Logging_0188/fåglar/A 73093-2021 prioriterade fågelarter.docx", "A 73093-2021")</f>
        <v/>
      </c>
    </row>
    <row r="36" ht="15" customHeight="1">
      <c r="A36" t="inlineStr">
        <is>
          <t>A 50326-2024</t>
        </is>
      </c>
      <c r="B36" t="inlineStr">
        <is>
          <t>avverkningsanmälan</t>
        </is>
      </c>
      <c r="C36" t="inlineStr">
        <is>
          <t>Avverkning för att bevara och utveckla /försöksver</t>
        </is>
      </c>
      <c r="D36" s="1" t="n">
        <v>45600</v>
      </c>
      <c r="E36" s="1" t="n">
        <v>46221</v>
      </c>
      <c r="F36" t="inlineStr">
        <is>
          <t>STOCKHOLMS LÄN</t>
        </is>
      </c>
      <c r="G36" t="inlineStr">
        <is>
          <t>NORRTÄLJE</t>
        </is>
      </c>
      <c r="I36" t="n">
        <v>23.9</v>
      </c>
      <c r="J36" t="n">
        <v>5</v>
      </c>
      <c r="K36" t="n">
        <v>5</v>
      </c>
      <c r="L36" t="n">
        <v>2</v>
      </c>
      <c r="M36" t="n">
        <v>0</v>
      </c>
      <c r="N36" t="n">
        <v>0</v>
      </c>
      <c r="O36" t="n">
        <v>0</v>
      </c>
      <c r="P36" t="n">
        <v>0</v>
      </c>
      <c r="Q36" t="n">
        <v>2</v>
      </c>
      <c r="R36" t="n">
        <v>0</v>
      </c>
      <c r="S36" t="n">
        <v>11</v>
      </c>
      <c r="T36" t="n">
        <v>26</v>
      </c>
      <c r="U36" s="2" t="inlineStr">
        <is>
          <t>Sommarfibbla
Vårärt
Nästrot
Slät lönnlav
Svart trolldruva
Tibast
Tvåblad
Blåsippa
Tandrot
Fläcknycklar
Gullviva</t>
        </is>
      </c>
      <c r="V36">
        <f>HYPERLINK("https://klasma.github.io/Logging_0188/artfynd/A 50326-2024 artfynd.xlsx", "A 50326-2024")</f>
        <v/>
      </c>
      <c r="W36">
        <f>HYPERLINK("https://klasma.github.io/Logging_0188/kartor/A 50326-2024 karta.png", "A 50326-2024")</f>
        <v/>
      </c>
      <c r="Y36">
        <f>HYPERLINK("https://klasma.github.io/Logging_0188/klagomål/A 50326-2024 FSC-klagomål.docx", "A 50326-2024")</f>
        <v/>
      </c>
      <c r="Z36">
        <f>HYPERLINK("https://klasma.github.io/Logging_0188/klagomålsmail/A 50326-2024 FSC-klagomål mail.docx", "A 50326-2024")</f>
        <v/>
      </c>
      <c r="AA36">
        <f>HYPERLINK("https://klasma.github.io/Logging_0188/tillsyn/A 50326-2024 tillsynsbegäran.docx", "A 50326-2024")</f>
        <v/>
      </c>
      <c r="AB36">
        <f>HYPERLINK("https://klasma.github.io/Logging_0188/tillsynsmail/A 50326-2024 tillsynsbegäran mail.docx", "A 50326-2024")</f>
        <v/>
      </c>
    </row>
    <row r="37" ht="15" customHeight="1">
      <c r="A37" t="inlineStr">
        <is>
          <t>A 3472-2023</t>
        </is>
      </c>
      <c r="B37" t="inlineStr">
        <is>
          <t>avverkningsanmälan</t>
        </is>
      </c>
      <c r="C37" t="inlineStr">
        <is>
          <t>Avverkning för att bevara och utveckla /försöksver</t>
        </is>
      </c>
      <c r="D37" s="1" t="n">
        <v>44949</v>
      </c>
      <c r="E37" s="1" t="n">
        <v>46221</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s="2" t="inlineStr">
        <is>
          <t>Blackticka
Tallticka
Ullticka
Vårärt
Aspvedgnagare
Platt fjädermossa
Rävticka
Rökmusseron
Stor aspticka
Svavelriska
Blåsippa</t>
        </is>
      </c>
      <c r="V37">
        <f>HYPERLINK("https://klasma.github.io/Logging_0188/artfynd/A 3472-2023 artfynd.xlsx", "A 3472-2023")</f>
        <v/>
      </c>
      <c r="W37">
        <f>HYPERLINK("https://klasma.github.io/Logging_0188/kartor/A 3472-2023 karta.png", "A 3472-2023")</f>
        <v/>
      </c>
      <c r="Y37">
        <f>HYPERLINK("https://klasma.github.io/Logging_0188/klagomål/A 3472-2023 FSC-klagomål.docx", "A 3472-2023")</f>
        <v/>
      </c>
      <c r="Z37">
        <f>HYPERLINK("https://klasma.github.io/Logging_0188/klagomålsmail/A 3472-2023 FSC-klagomål mail.docx", "A 3472-2023")</f>
        <v/>
      </c>
      <c r="AA37">
        <f>HYPERLINK("https://klasma.github.io/Logging_0188/tillsyn/A 3472-2023 tillsynsbegäran.docx", "A 3472-2023")</f>
        <v/>
      </c>
      <c r="AB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46221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Y38">
        <f>HYPERLINK("https://klasma.github.io/Logging_0188/klagomål/S 6465-2022 FSC-klagomål.docx", "S 6465-2022")</f>
        <v/>
      </c>
      <c r="Z38">
        <f>HYPERLINK("https://klasma.github.io/Logging_0188/klagomålsmail/S 6465-2022 FSC-klagomål mail.docx", "S 6465-2022")</f>
        <v/>
      </c>
      <c r="AA38">
        <f>HYPERLINK("https://klasma.github.io/Logging_0188/tillsyn/S 6465-2022 tillsynsbegäran.docx", "S 6465-2022")</f>
        <v/>
      </c>
      <c r="AB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Y39">
        <f>HYPERLINK("https://klasma.github.io/Logging_0188/klagomål/A 1054-2022 FSC-klagomål.docx", "A 1054-2022")</f>
        <v/>
      </c>
      <c r="Z39">
        <f>HYPERLINK("https://klasma.github.io/Logging_0188/klagomålsmail/A 1054-2022 FSC-klagomål mail.docx", "A 1054-2022")</f>
        <v/>
      </c>
      <c r="AA39">
        <f>HYPERLINK("https://klasma.github.io/Logging_0188/tillsyn/A 1054-2022 tillsynsbegäran.docx", "A 1054-2022")</f>
        <v/>
      </c>
      <c r="AB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46221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HYPERLINK("https://klasma.github.io/Logging_0188/knärot/A 20722-2024 karta knärot.png", "A 20722-2024")</f>
        <v/>
      </c>
      <c r="Y40">
        <f>HYPERLINK("https://klasma.github.io/Logging_0188/klagomål/A 20722-2024 FSC-klagomål.docx", "A 20722-2024")</f>
        <v/>
      </c>
      <c r="Z40">
        <f>HYPERLINK("https://klasma.github.io/Logging_0188/klagomålsmail/A 20722-2024 FSC-klagomål mail.docx", "A 20722-2024")</f>
        <v/>
      </c>
      <c r="AA40">
        <f>HYPERLINK("https://klasma.github.io/Logging_0188/tillsyn/A 20722-2024 tillsynsbegäran.docx", "A 20722-2024")</f>
        <v/>
      </c>
      <c r="AB40">
        <f>HYPERLINK("https://klasma.github.io/Logging_0188/tillsynsmail/A 20722-2024 tillsynsbegäran mail.docx", "A 20722-2024")</f>
        <v/>
      </c>
      <c r="AC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46221</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s="2" t="inlineStr">
        <is>
          <t>Ejder
Havstrut
Gråtrut
Knärot
Stare
Skrattmås
Strandskata
Grönsiska
Havsörn
Kråka</t>
        </is>
      </c>
      <c r="V41">
        <f>HYPERLINK("https://klasma.github.io/Logging_0188/artfynd/A 44847-2023 artfynd.xlsx", "A 44847-2023")</f>
        <v/>
      </c>
      <c r="W41">
        <f>HYPERLINK("https://klasma.github.io/Logging_0188/kartor/A 44847-2023 karta.png", "A 44847-2023")</f>
        <v/>
      </c>
      <c r="X41">
        <f>HYPERLINK("https://klasma.github.io/Logging_0188/knärot/A 44847-2023 karta knärot.png", "A 44847-2023")</f>
        <v/>
      </c>
      <c r="Y41">
        <f>HYPERLINK("https://klasma.github.io/Logging_0188/klagomål/A 44847-2023 FSC-klagomål.docx", "A 44847-2023")</f>
        <v/>
      </c>
      <c r="Z41">
        <f>HYPERLINK("https://klasma.github.io/Logging_0188/klagomålsmail/A 44847-2023 FSC-klagomål mail.docx", "A 44847-2023")</f>
        <v/>
      </c>
      <c r="AA41">
        <f>HYPERLINK("https://klasma.github.io/Logging_0188/tillsyn/A 44847-2023 tillsynsbegäran.docx", "A 44847-2023")</f>
        <v/>
      </c>
      <c r="AB41">
        <f>HYPERLINK("https://klasma.github.io/Logging_0188/tillsynsmail/A 44847-2023 tillsynsbegäran mail.docx", "A 44847-2023")</f>
        <v/>
      </c>
      <c r="AC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46221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s="2" t="inlineStr">
        <is>
          <t>Knärot
Fjällig taggsvamp s.str.
Sårläka
Ullticka
Kamjordstjärna
Svart trolldruva
Svavelriska
Blåsippa
Spillkråka
Tofsmes</t>
        </is>
      </c>
      <c r="V42">
        <f>HYPERLINK("https://klasma.github.io/Logging_0188/artfynd/A 15925-2026 artfynd.xlsx", "A 15925-2026")</f>
        <v/>
      </c>
      <c r="W42">
        <f>HYPERLINK("https://klasma.github.io/Logging_0188/kartor/A 15925-2026 karta.png", "A 15925-2026")</f>
        <v/>
      </c>
      <c r="X42">
        <f>HYPERLINK("https://klasma.github.io/Logging_0188/knärot/A 15925-2026 karta knärot.png", "A 15925-2026")</f>
        <v/>
      </c>
      <c r="Y42">
        <f>HYPERLINK("https://klasma.github.io/Logging_0188/klagomål/A 15925-2026 FSC-klagomål.docx", "A 15925-2026")</f>
        <v/>
      </c>
      <c r="Z42">
        <f>HYPERLINK("https://klasma.github.io/Logging_0188/klagomålsmail/A 15925-2026 FSC-klagomål mail.docx", "A 15925-2026")</f>
        <v/>
      </c>
      <c r="AA42">
        <f>HYPERLINK("https://klasma.github.io/Logging_0188/tillsyn/A 15925-2026 tillsynsbegäran.docx", "A 15925-2026")</f>
        <v/>
      </c>
      <c r="AB42">
        <f>HYPERLINK("https://klasma.github.io/Logging_0188/tillsynsmail/A 15925-2026 tillsynsbegäran mail.docx", "A 15925-2026")</f>
        <v/>
      </c>
      <c r="AC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46221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Y43">
        <f>HYPERLINK("https://klasma.github.io/Logging_0188/klagomål/S 3407-2025 FSC-klagomål.docx", "S 3407-2025")</f>
        <v/>
      </c>
      <c r="Z43">
        <f>HYPERLINK("https://klasma.github.io/Logging_0188/klagomålsmail/S 3407-2025 FSC-klagomål mail.docx", "S 3407-2025")</f>
        <v/>
      </c>
      <c r="AA43">
        <f>HYPERLINK("https://klasma.github.io/Logging_0188/tillsyn/S 3407-2025 tillsynsbegäran.docx", "S 3407-2025")</f>
        <v/>
      </c>
      <c r="AB43">
        <f>HYPERLINK("https://klasma.github.io/Logging_0188/tillsynsmail/S 3407-2025 tillsynsbegäran mail.docx", "S 3407-2025")</f>
        <v/>
      </c>
      <c r="AC43">
        <f>HYPERLINK("https://klasma.github.io/Logging_0188/fåglar/S 3407-2025 prioriterade fågelarter.docx", "S 3407-2025")</f>
        <v/>
      </c>
    </row>
    <row r="44" ht="15" customHeight="1">
      <c r="A44" t="inlineStr">
        <is>
          <t>A 26081-2026</t>
        </is>
      </c>
      <c r="B44" t="inlineStr">
        <is>
          <t>avverkningsanmälan</t>
        </is>
      </c>
      <c r="C44" t="inlineStr">
        <is>
          <t>Föryngringsavverkning</t>
        </is>
      </c>
      <c r="D44" s="1" t="n">
        <v>46181</v>
      </c>
      <c r="E44" s="1" t="n">
        <v>46221</v>
      </c>
      <c r="F44" t="inlineStr">
        <is>
          <t>STOCKHOLMS LÄN</t>
        </is>
      </c>
      <c r="G44" t="inlineStr">
        <is>
          <t>NORRTÄLJE</t>
        </is>
      </c>
      <c r="I44" t="n">
        <v>13.9</v>
      </c>
      <c r="J44" t="n">
        <v>1</v>
      </c>
      <c r="K44" t="n">
        <v>3</v>
      </c>
      <c r="L44" t="n">
        <v>4</v>
      </c>
      <c r="M44" t="n">
        <v>0</v>
      </c>
      <c r="N44" t="n">
        <v>1</v>
      </c>
      <c r="O44" t="n">
        <v>0</v>
      </c>
      <c r="P44" t="n">
        <v>0</v>
      </c>
      <c r="Q44" t="n">
        <v>5</v>
      </c>
      <c r="R44" t="n">
        <v>1</v>
      </c>
      <c r="S44" t="n">
        <v>9</v>
      </c>
      <c r="T44" t="n">
        <v>12</v>
      </c>
      <c r="U44" s="2" t="inlineStr">
        <is>
          <t>Koppartaggsvamp
Dofttaggsvamp
Fjällig taggsvamp s.str.
Orange taggsvamp
Ullticka
Grönpyrola
Kamjordstjärna
Svavelriska
Blåsippa</t>
        </is>
      </c>
      <c r="V44">
        <f>HYPERLINK("https://klasma.github.io/Logging_0188/artfynd/A 26081-2026 artfynd.xlsx", "A 26081-2026")</f>
        <v/>
      </c>
      <c r="W44">
        <f>HYPERLINK("https://klasma.github.io/Logging_0188/kartor/A 26081-2026 karta.png", "A 26081-2026")</f>
        <v/>
      </c>
      <c r="Y44">
        <f>HYPERLINK("https://klasma.github.io/Logging_0188/klagomål/A 26081-2026 FSC-klagomål.docx", "A 26081-2026")</f>
        <v/>
      </c>
      <c r="Z44">
        <f>HYPERLINK("https://klasma.github.io/Logging_0188/klagomålsmail/A 26081-2026 FSC-klagomål mail.docx", "A 26081-2026")</f>
        <v/>
      </c>
      <c r="AA44">
        <f>HYPERLINK("https://klasma.github.io/Logging_0188/tillsyn/A 26081-2026 tillsynsbegäran.docx", "A 26081-2026")</f>
        <v/>
      </c>
      <c r="AB44">
        <f>HYPERLINK("https://klasma.github.io/Logging_0188/tillsynsmail/A 26081-2026 tillsynsbegäran mail.docx", "A 26081-2026")</f>
        <v/>
      </c>
    </row>
    <row r="45" ht="15" customHeight="1">
      <c r="A45" t="inlineStr">
        <is>
          <t>A 52815-2021</t>
        </is>
      </c>
      <c r="B45" t="inlineStr">
        <is>
          <t>avverkningsanmälan</t>
        </is>
      </c>
      <c r="C45" t="inlineStr">
        <is>
          <t>Föryngringsavverkning</t>
        </is>
      </c>
      <c r="D45" s="1" t="n">
        <v>44467</v>
      </c>
      <c r="E45" s="1" t="n">
        <v>46221</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s="2" t="inlineStr">
        <is>
          <t>Koppartaggsvamp
Raggtaggsvamp
Spricktaggsvamp
Gul lammticka
Svartfjällig musseron
Bittermusseron
Fjällig taggsvamp s.str.
Flattoppad klubbsvamp
Diskvaxskivling</t>
        </is>
      </c>
      <c r="V45">
        <f>HYPERLINK("https://klasma.github.io/Logging_0188/artfynd/A 52815-2021 artfynd.xlsx", "A 52815-2021")</f>
        <v/>
      </c>
      <c r="W45">
        <f>HYPERLINK("https://klasma.github.io/Logging_0188/kartor/A 52815-2021 karta.png", "A 52815-2021")</f>
        <v/>
      </c>
      <c r="Y45">
        <f>HYPERLINK("https://klasma.github.io/Logging_0188/klagomål/A 52815-2021 FSC-klagomål.docx", "A 52815-2021")</f>
        <v/>
      </c>
      <c r="Z45">
        <f>HYPERLINK("https://klasma.github.io/Logging_0188/klagomålsmail/A 52815-2021 FSC-klagomål mail.docx", "A 52815-2021")</f>
        <v/>
      </c>
      <c r="AA45">
        <f>HYPERLINK("https://klasma.github.io/Logging_0188/tillsyn/A 52815-2021 tillsynsbegäran.docx", "A 52815-2021")</f>
        <v/>
      </c>
      <c r="AB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46221</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s="2" t="inlineStr">
        <is>
          <t>Knärot
Tallkötticka
Vedtrappmossa
Skogshakmossa
Stubbspretmossa
Blåsippa
Spillkråka
Kungsfågel
Nattviol</t>
        </is>
      </c>
      <c r="V46">
        <f>HYPERLINK("https://klasma.github.io/Logging_0188/artfynd/A 61099-2025 artfynd.xlsx", "A 61099-2025")</f>
        <v/>
      </c>
      <c r="W46">
        <f>HYPERLINK("https://klasma.github.io/Logging_0188/kartor/A 61099-2025 karta.png", "A 61099-2025")</f>
        <v/>
      </c>
      <c r="X46">
        <f>HYPERLINK("https://klasma.github.io/Logging_0188/knärot/A 61099-2025 karta knärot.png", "A 61099-2025")</f>
        <v/>
      </c>
      <c r="Y46">
        <f>HYPERLINK("https://klasma.github.io/Logging_0188/klagomål/A 61099-2025 FSC-klagomål.docx", "A 61099-2025")</f>
        <v/>
      </c>
      <c r="Z46">
        <f>HYPERLINK("https://klasma.github.io/Logging_0188/klagomålsmail/A 61099-2025 FSC-klagomål mail.docx", "A 61099-2025")</f>
        <v/>
      </c>
      <c r="AA46">
        <f>HYPERLINK("https://klasma.github.io/Logging_0188/tillsyn/A 61099-2025 tillsynsbegäran.docx", "A 61099-2025")</f>
        <v/>
      </c>
      <c r="AB46">
        <f>HYPERLINK("https://klasma.github.io/Logging_0188/tillsynsmail/A 61099-2025 tillsynsbegäran mail.docx", "A 61099-2025")</f>
        <v/>
      </c>
      <c r="AC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46221</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s="2" t="inlineStr">
        <is>
          <t>Knärot
Dropptaggsvamp
Grönhjon
Motaggsvamp
Ullticka
Vedskivlav
Grönpyrola
Svavelriska
Blåsippa</t>
        </is>
      </c>
      <c r="V47">
        <f>HYPERLINK("https://klasma.github.io/Logging_0188/artfynd/A 47274-2024 artfynd.xlsx", "A 47274-2024")</f>
        <v/>
      </c>
      <c r="W47">
        <f>HYPERLINK("https://klasma.github.io/Logging_0188/kartor/A 47274-2024 karta.png", "A 47274-2024")</f>
        <v/>
      </c>
      <c r="X47">
        <f>HYPERLINK("https://klasma.github.io/Logging_0188/knärot/A 47274-2024 karta knärot.png", "A 47274-2024")</f>
        <v/>
      </c>
      <c r="Y47">
        <f>HYPERLINK("https://klasma.github.io/Logging_0188/klagomål/A 47274-2024 FSC-klagomål.docx", "A 47274-2024")</f>
        <v/>
      </c>
      <c r="Z47">
        <f>HYPERLINK("https://klasma.github.io/Logging_0188/klagomålsmail/A 47274-2024 FSC-klagomål mail.docx", "A 47274-2024")</f>
        <v/>
      </c>
      <c r="AA47">
        <f>HYPERLINK("https://klasma.github.io/Logging_0188/tillsyn/A 47274-2024 tillsynsbegäran.docx", "A 47274-2024")</f>
        <v/>
      </c>
      <c r="AB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46221</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Y48">
        <f>HYPERLINK("https://klasma.github.io/Logging_0188/klagomål/S 1235-2020 FSC-klagomål.docx", "S 1235-2020")</f>
        <v/>
      </c>
      <c r="Z48">
        <f>HYPERLINK("https://klasma.github.io/Logging_0188/klagomålsmail/S 1235-2020 FSC-klagomål mail.docx", "S 1235-2020")</f>
        <v/>
      </c>
      <c r="AA48">
        <f>HYPERLINK("https://klasma.github.io/Logging_0188/tillsyn/S 1235-2020 tillsynsbegäran.docx", "S 1235-2020")</f>
        <v/>
      </c>
      <c r="AB48">
        <f>HYPERLINK("https://klasma.github.io/Logging_0188/tillsynsmail/S 1235-2020 tillsynsbegäran mail.docx", "S 1235-2020")</f>
        <v/>
      </c>
      <c r="AC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46221</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Y49">
        <f>HYPERLINK("https://klasma.github.io/Logging_0188/klagomål/A 45811-2022 FSC-klagomål.docx", "A 45811-2022")</f>
        <v/>
      </c>
      <c r="Z49">
        <f>HYPERLINK("https://klasma.github.io/Logging_0188/klagomålsmail/A 45811-2022 FSC-klagomål mail.docx", "A 45811-2022")</f>
        <v/>
      </c>
      <c r="AA49">
        <f>HYPERLINK("https://klasma.github.io/Logging_0188/tillsyn/A 45811-2022 tillsynsbegäran.docx", "A 45811-2022")</f>
        <v/>
      </c>
      <c r="AB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46221</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Y50">
        <f>HYPERLINK("https://klasma.github.io/Logging_0188/klagomål/A 48490-2022 FSC-klagomål.docx", "A 48490-2022")</f>
        <v/>
      </c>
      <c r="Z50">
        <f>HYPERLINK("https://klasma.github.io/Logging_0188/klagomålsmail/A 48490-2022 FSC-klagomål mail.docx", "A 48490-2022")</f>
        <v/>
      </c>
      <c r="AA50">
        <f>HYPERLINK("https://klasma.github.io/Logging_0188/tillsyn/A 48490-2022 tillsynsbegäran.docx", "A 48490-2022")</f>
        <v/>
      </c>
      <c r="AB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46221</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Y51">
        <f>HYPERLINK("https://klasma.github.io/Logging_0188/klagomål/A 47346-2021 FSC-klagomål.docx", "A 47346-2021")</f>
        <v/>
      </c>
      <c r="Z51">
        <f>HYPERLINK("https://klasma.github.io/Logging_0188/klagomålsmail/A 47346-2021 FSC-klagomål mail.docx", "A 47346-2021")</f>
        <v/>
      </c>
      <c r="AA51">
        <f>HYPERLINK("https://klasma.github.io/Logging_0188/tillsyn/A 47346-2021 tillsynsbegäran.docx", "A 47346-2021")</f>
        <v/>
      </c>
      <c r="AB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46221</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Y52">
        <f>HYPERLINK("https://klasma.github.io/Logging_0188/klagomål/S 5097-2024 FSC-klagomål.docx", "S 5097-2024")</f>
        <v/>
      </c>
      <c r="Z52">
        <f>HYPERLINK("https://klasma.github.io/Logging_0188/klagomålsmail/S 5097-2024 FSC-klagomål mail.docx", "S 5097-2024")</f>
        <v/>
      </c>
      <c r="AA52">
        <f>HYPERLINK("https://klasma.github.io/Logging_0188/tillsyn/S 5097-2024 tillsynsbegäran.docx", "S 5097-2024")</f>
        <v/>
      </c>
      <c r="AB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46221</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Y53">
        <f>HYPERLINK("https://klasma.github.io/Logging_0188/klagomål/S 250-2025 FSC-klagomål.docx", "S 250-2025")</f>
        <v/>
      </c>
      <c r="Z53">
        <f>HYPERLINK("https://klasma.github.io/Logging_0188/klagomålsmail/S 250-2025 FSC-klagomål mail.docx", "S 250-2025")</f>
        <v/>
      </c>
      <c r="AA53">
        <f>HYPERLINK("https://klasma.github.io/Logging_0188/tillsyn/S 250-2025 tillsynsbegäran.docx", "S 250-2025")</f>
        <v/>
      </c>
      <c r="AB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46221</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Y54">
        <f>HYPERLINK("https://klasma.github.io/Logging_0188/klagomål/A 24534-2022 FSC-klagomål.docx", "A 24534-2022")</f>
        <v/>
      </c>
      <c r="Z54">
        <f>HYPERLINK("https://klasma.github.io/Logging_0188/klagomålsmail/A 24534-2022 FSC-klagomål mail.docx", "A 24534-2022")</f>
        <v/>
      </c>
      <c r="AA54">
        <f>HYPERLINK("https://klasma.github.io/Logging_0188/tillsyn/A 24534-2022 tillsynsbegäran.docx", "A 24534-2022")</f>
        <v/>
      </c>
      <c r="AB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46221</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s="2" t="inlineStr">
        <is>
          <t>Kattfotslav
Tallticka
Vedtrappmossa
Bronshjon
Kornknutmossa
Stubbspretmossa
Vanlig rörsvepemossa</t>
        </is>
      </c>
      <c r="V55">
        <f>HYPERLINK("https://klasma.github.io/Logging_0188/artfynd/A 34524-2025 artfynd.xlsx", "A 34524-2025")</f>
        <v/>
      </c>
      <c r="W55">
        <f>HYPERLINK("https://klasma.github.io/Logging_0188/kartor/A 34524-2025 karta.png", "A 34524-2025")</f>
        <v/>
      </c>
      <c r="Y55">
        <f>HYPERLINK("https://klasma.github.io/Logging_0188/klagomål/A 34524-2025 FSC-klagomål.docx", "A 34524-2025")</f>
        <v/>
      </c>
      <c r="Z55">
        <f>HYPERLINK("https://klasma.github.io/Logging_0188/klagomålsmail/A 34524-2025 FSC-klagomål mail.docx", "A 34524-2025")</f>
        <v/>
      </c>
      <c r="AA55">
        <f>HYPERLINK("https://klasma.github.io/Logging_0188/tillsyn/A 34524-2025 tillsynsbegäran.docx", "A 34524-2025")</f>
        <v/>
      </c>
      <c r="AB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46221</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s="2" t="inlineStr">
        <is>
          <t>Grönfink
Björktrast
Skogsknipprot
Röd glada
Svartvit flugsnappare
Åkergroda
Vanlig groda</t>
        </is>
      </c>
      <c r="V56">
        <f>HYPERLINK("https://klasma.github.io/Logging_0188/artfynd/A 22190-2024 artfynd.xlsx", "A 22190-2024")</f>
        <v/>
      </c>
      <c r="W56">
        <f>HYPERLINK("https://klasma.github.io/Logging_0188/kartor/A 22190-2024 karta.png", "A 22190-2024")</f>
        <v/>
      </c>
      <c r="Y56">
        <f>HYPERLINK("https://klasma.github.io/Logging_0188/klagomål/A 22190-2024 FSC-klagomål.docx", "A 22190-2024")</f>
        <v/>
      </c>
      <c r="Z56">
        <f>HYPERLINK("https://klasma.github.io/Logging_0188/klagomålsmail/A 22190-2024 FSC-klagomål mail.docx", "A 22190-2024")</f>
        <v/>
      </c>
      <c r="AA56">
        <f>HYPERLINK("https://klasma.github.io/Logging_0188/tillsyn/A 22190-2024 tillsynsbegäran.docx", "A 22190-2024")</f>
        <v/>
      </c>
      <c r="AB56">
        <f>HYPERLINK("https://klasma.github.io/Logging_0188/tillsynsmail/A 22190-2024 tillsynsbegäran mail.docx", "A 22190-2024")</f>
        <v/>
      </c>
      <c r="AC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46221</v>
      </c>
      <c r="F57" t="inlineStr">
        <is>
          <t>STOCKHOLMS LÄN</t>
        </is>
      </c>
      <c r="G57" t="inlineStr">
        <is>
          <t>NORRTÄLJE</t>
        </is>
      </c>
      <c r="I57" t="n">
        <v>4.9</v>
      </c>
      <c r="J57" t="n">
        <v>3</v>
      </c>
      <c r="K57" t="n">
        <v>2</v>
      </c>
      <c r="L57" t="n">
        <v>3</v>
      </c>
      <c r="M57" t="n">
        <v>0</v>
      </c>
      <c r="N57" t="n">
        <v>0</v>
      </c>
      <c r="O57" t="n">
        <v>0</v>
      </c>
      <c r="P57" t="n">
        <v>0</v>
      </c>
      <c r="Q57" t="n">
        <v>3</v>
      </c>
      <c r="R57" t="n">
        <v>0</v>
      </c>
      <c r="S57" t="n">
        <v>7</v>
      </c>
      <c r="T57" t="n">
        <v>18</v>
      </c>
      <c r="U57" s="2" t="inlineStr">
        <is>
          <t>Adam och eva
Jungfrulin
Solvända
Stor aspticka
Svavelriska
Blåsippa
Gullviva</t>
        </is>
      </c>
      <c r="V57">
        <f>HYPERLINK("https://klasma.github.io/Logging_0188/artfynd/A 21922-2023 artfynd.xlsx", "A 21922-2023")</f>
        <v/>
      </c>
      <c r="W57">
        <f>HYPERLINK("https://klasma.github.io/Logging_0188/kartor/A 21922-2023 karta.png", "A 21922-2023")</f>
        <v/>
      </c>
      <c r="Y57">
        <f>HYPERLINK("https://klasma.github.io/Logging_0188/klagomål/A 21922-2023 FSC-klagomål.docx", "A 21922-2023")</f>
        <v/>
      </c>
      <c r="Z57">
        <f>HYPERLINK("https://klasma.github.io/Logging_0188/klagomålsmail/A 21922-2023 FSC-klagomål mail.docx", "A 21922-2023")</f>
        <v/>
      </c>
      <c r="AA57">
        <f>HYPERLINK("https://klasma.github.io/Logging_0188/tillsyn/A 21922-2023 tillsynsbegäran.docx", "A 21922-2023")</f>
        <v/>
      </c>
      <c r="AB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46221</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s="2" t="inlineStr">
        <is>
          <t>Jungfrulin
Nordfladdermus
Dvärgpipistrell
Gråskimlig fladdermus
Större brunfladdermus
Trollpipistrell
Gullviva</t>
        </is>
      </c>
      <c r="V58">
        <f>HYPERLINK("https://klasma.github.io/Logging_0188/artfynd/A 3444-2023 artfynd.xlsx", "A 3444-2023")</f>
        <v/>
      </c>
      <c r="W58">
        <f>HYPERLINK("https://klasma.github.io/Logging_0188/kartor/A 3444-2023 karta.png", "A 3444-2023")</f>
        <v/>
      </c>
      <c r="Y58">
        <f>HYPERLINK("https://klasma.github.io/Logging_0188/klagomål/A 3444-2023 FSC-klagomål.docx", "A 3444-2023")</f>
        <v/>
      </c>
      <c r="Z58">
        <f>HYPERLINK("https://klasma.github.io/Logging_0188/klagomålsmail/A 3444-2023 FSC-klagomål mail.docx", "A 3444-2023")</f>
        <v/>
      </c>
      <c r="AA58">
        <f>HYPERLINK("https://klasma.github.io/Logging_0188/tillsyn/A 3444-2023 tillsynsbegäran.docx", "A 3444-2023")</f>
        <v/>
      </c>
      <c r="AB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46221</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s="2" t="inlineStr">
        <is>
          <t>Knärot
Fjällig taggsvamp s.str.
Kattfotslav
Ullticka
Grönpyrola
Vedticka
Blåsippa</t>
        </is>
      </c>
      <c r="V59">
        <f>HYPERLINK("https://klasma.github.io/Logging_0188/artfynd/A 15278-2024 artfynd.xlsx", "A 15278-2024")</f>
        <v/>
      </c>
      <c r="W59">
        <f>HYPERLINK("https://klasma.github.io/Logging_0188/kartor/A 15278-2024 karta.png", "A 15278-2024")</f>
        <v/>
      </c>
      <c r="X59">
        <f>HYPERLINK("https://klasma.github.io/Logging_0188/knärot/A 15278-2024 karta knärot.png", "A 15278-2024")</f>
        <v/>
      </c>
      <c r="Y59">
        <f>HYPERLINK("https://klasma.github.io/Logging_0188/klagomål/A 15278-2024 FSC-klagomål.docx", "A 15278-2024")</f>
        <v/>
      </c>
      <c r="Z59">
        <f>HYPERLINK("https://klasma.github.io/Logging_0188/klagomålsmail/A 15278-2024 FSC-klagomål mail.docx", "A 15278-2024")</f>
        <v/>
      </c>
      <c r="AA59">
        <f>HYPERLINK("https://klasma.github.io/Logging_0188/tillsyn/A 15278-2024 tillsynsbegäran.docx", "A 15278-2024")</f>
        <v/>
      </c>
      <c r="AB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46221</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s="2" t="inlineStr">
        <is>
          <t>Knärot
Fjällig taggsvamp s.str.
Talltita
Vårärt
Nästrot
Blåsippa
Nattviol</t>
        </is>
      </c>
      <c r="V60">
        <f>HYPERLINK("https://klasma.github.io/Logging_0188/artfynd/A 15913-2026 artfynd.xlsx", "A 15913-2026")</f>
        <v/>
      </c>
      <c r="W60">
        <f>HYPERLINK("https://klasma.github.io/Logging_0188/kartor/A 15913-2026 karta.png", "A 15913-2026")</f>
        <v/>
      </c>
      <c r="X60">
        <f>HYPERLINK("https://klasma.github.io/Logging_0188/knärot/A 15913-2026 karta knärot.png", "A 15913-2026")</f>
        <v/>
      </c>
      <c r="Y60">
        <f>HYPERLINK("https://klasma.github.io/Logging_0188/klagomål/A 15913-2026 FSC-klagomål.docx", "A 15913-2026")</f>
        <v/>
      </c>
      <c r="Z60">
        <f>HYPERLINK("https://klasma.github.io/Logging_0188/klagomålsmail/A 15913-2026 FSC-klagomål mail.docx", "A 15913-2026")</f>
        <v/>
      </c>
      <c r="AA60">
        <f>HYPERLINK("https://klasma.github.io/Logging_0188/tillsyn/A 15913-2026 tillsynsbegäran.docx", "A 15913-2026")</f>
        <v/>
      </c>
      <c r="AB60">
        <f>HYPERLINK("https://klasma.github.io/Logging_0188/tillsynsmail/A 15913-2026 tillsynsbegäran mail.docx", "A 15913-2026")</f>
        <v/>
      </c>
      <c r="AC60">
        <f>HYPERLINK("https://klasma.github.io/Logging_0188/fåglar/A 15913-2026 prioriterade fågelarter.docx", "A 15913-2026")</f>
        <v/>
      </c>
    </row>
    <row r="61" ht="15" customHeight="1">
      <c r="A61" t="inlineStr">
        <is>
          <t>A 72111-2021</t>
        </is>
      </c>
      <c r="B61" t="inlineStr">
        <is>
          <t>avverkningsanmälan</t>
        </is>
      </c>
      <c r="C61" t="inlineStr">
        <is>
          <t>Föryngringsavverkning</t>
        </is>
      </c>
      <c r="D61" s="1" t="n">
        <v>44544</v>
      </c>
      <c r="E61" s="1" t="n">
        <v>46221</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s="2" t="inlineStr">
        <is>
          <t>Grangråticka
Lunglav
Oxtungssvamp
Sårläka
Vårärt
Scharlakansvårskål agg.
Blåsippa</t>
        </is>
      </c>
      <c r="V61">
        <f>HYPERLINK("https://klasma.github.io/Logging_0188/artfynd/A 72111-2021 artfynd.xlsx", "A 72111-2021")</f>
        <v/>
      </c>
      <c r="W61">
        <f>HYPERLINK("https://klasma.github.io/Logging_0188/kartor/A 72111-2021 karta.png", "A 72111-2021")</f>
        <v/>
      </c>
      <c r="Y61">
        <f>HYPERLINK("https://klasma.github.io/Logging_0188/klagomål/A 72111-2021 FSC-klagomål.docx", "A 72111-2021")</f>
        <v/>
      </c>
      <c r="Z61">
        <f>HYPERLINK("https://klasma.github.io/Logging_0188/klagomålsmail/A 72111-2021 FSC-klagomål mail.docx", "A 72111-2021")</f>
        <v/>
      </c>
      <c r="AA61">
        <f>HYPERLINK("https://klasma.github.io/Logging_0188/tillsyn/A 72111-2021 tillsynsbegäran.docx", "A 72111-2021")</f>
        <v/>
      </c>
      <c r="AB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46221</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s="2" t="inlineStr">
        <is>
          <t>Ullticka
Grön sköldmossa
Nästrot
Skogshakmossa
Tibast
Ögonpyrola
Blåsippa</t>
        </is>
      </c>
      <c r="V62">
        <f>HYPERLINK("https://klasma.github.io/Logging_0188/artfynd/A 13933-2022 artfynd.xlsx", "A 13933-2022")</f>
        <v/>
      </c>
      <c r="W62">
        <f>HYPERLINK("https://klasma.github.io/Logging_0188/kartor/A 13933-2022 karta.png", "A 13933-2022")</f>
        <v/>
      </c>
      <c r="Y62">
        <f>HYPERLINK("https://klasma.github.io/Logging_0188/klagomål/A 13933-2022 FSC-klagomål.docx", "A 13933-2022")</f>
        <v/>
      </c>
      <c r="Z62">
        <f>HYPERLINK("https://klasma.github.io/Logging_0188/klagomålsmail/A 13933-2022 FSC-klagomål mail.docx", "A 13933-2022")</f>
        <v/>
      </c>
      <c r="AA62">
        <f>HYPERLINK("https://klasma.github.io/Logging_0188/tillsyn/A 13933-2022 tillsynsbegäran.docx", "A 13933-2022")</f>
        <v/>
      </c>
      <c r="AB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46221</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Y63">
        <f>HYPERLINK("https://klasma.github.io/Logging_0188/klagomål/S 2835-2022 FSC-klagomål.docx", "S 2835-2022")</f>
        <v/>
      </c>
      <c r="Z63">
        <f>HYPERLINK("https://klasma.github.io/Logging_0188/klagomålsmail/S 2835-2022 FSC-klagomål mail.docx", "S 2835-2022")</f>
        <v/>
      </c>
      <c r="AA63">
        <f>HYPERLINK("https://klasma.github.io/Logging_0188/tillsyn/S 2835-2022 tillsynsbegäran.docx", "S 2835-2022")</f>
        <v/>
      </c>
      <c r="AB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46221</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s="2" t="inlineStr">
        <is>
          <t>Gyllenfingersvamp
Fjällig taggsvamp s.str.
Gammelgransskål
Motaggsvamp
Svavelriska
Spillkråka</t>
        </is>
      </c>
      <c r="V64">
        <f>HYPERLINK("https://klasma.github.io/Logging_0188/artfynd/A 34528-2025 artfynd.xlsx", "A 34528-2025")</f>
        <v/>
      </c>
      <c r="W64">
        <f>HYPERLINK("https://klasma.github.io/Logging_0188/kartor/A 34528-2025 karta.png", "A 34528-2025")</f>
        <v/>
      </c>
      <c r="Y64">
        <f>HYPERLINK("https://klasma.github.io/Logging_0188/klagomål/A 34528-2025 FSC-klagomål.docx", "A 34528-2025")</f>
        <v/>
      </c>
      <c r="Z64">
        <f>HYPERLINK("https://klasma.github.io/Logging_0188/klagomålsmail/A 34528-2025 FSC-klagomål mail.docx", "A 34528-2025")</f>
        <v/>
      </c>
      <c r="AA64">
        <f>HYPERLINK("https://klasma.github.io/Logging_0188/tillsyn/A 34528-2025 tillsynsbegäran.docx", "A 34528-2025")</f>
        <v/>
      </c>
      <c r="AB64">
        <f>HYPERLINK("https://klasma.github.io/Logging_0188/tillsynsmail/A 34528-2025 tillsynsbegäran mail.docx", "A 34528-2025")</f>
        <v/>
      </c>
      <c r="AC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46221</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s="2" t="inlineStr">
        <is>
          <t>Gulyxne
Igelkott
Källmossa
Dubbelnycklar
Kärrknipprot
Ängsnycklar</t>
        </is>
      </c>
      <c r="V65">
        <f>HYPERLINK("https://klasma.github.io/Logging_0188/artfynd/A 48370-2025 artfynd.xlsx", "A 48370-2025")</f>
        <v/>
      </c>
      <c r="W65">
        <f>HYPERLINK("https://klasma.github.io/Logging_0188/kartor/A 48370-2025 karta.png", "A 48370-2025")</f>
        <v/>
      </c>
      <c r="Y65">
        <f>HYPERLINK("https://klasma.github.io/Logging_0188/klagomål/A 48370-2025 FSC-klagomål.docx", "A 48370-2025")</f>
        <v/>
      </c>
      <c r="Z65">
        <f>HYPERLINK("https://klasma.github.io/Logging_0188/klagomålsmail/A 48370-2025 FSC-klagomål mail.docx", "A 48370-2025")</f>
        <v/>
      </c>
      <c r="AA65">
        <f>HYPERLINK("https://klasma.github.io/Logging_0188/tillsyn/A 48370-2025 tillsynsbegäran.docx", "A 48370-2025")</f>
        <v/>
      </c>
      <c r="AB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46221</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s="2" t="inlineStr">
        <is>
          <t>Asknätfjäril
Hålskenknäppare
Björksplintborre
Robust tickgnagare
Spillkråka
Orre</t>
        </is>
      </c>
      <c r="V66">
        <f>HYPERLINK("https://klasma.github.io/Logging_0188/artfynd/A 53608-2025 artfynd.xlsx", "A 53608-2025")</f>
        <v/>
      </c>
      <c r="W66">
        <f>HYPERLINK("https://klasma.github.io/Logging_0188/kartor/A 53608-2025 karta.png", "A 53608-2025")</f>
        <v/>
      </c>
      <c r="Y66">
        <f>HYPERLINK("https://klasma.github.io/Logging_0188/klagomål/A 53608-2025 FSC-klagomål.docx", "A 53608-2025")</f>
        <v/>
      </c>
      <c r="Z66">
        <f>HYPERLINK("https://klasma.github.io/Logging_0188/klagomålsmail/A 53608-2025 FSC-klagomål mail.docx", "A 53608-2025")</f>
        <v/>
      </c>
      <c r="AA66">
        <f>HYPERLINK("https://klasma.github.io/Logging_0188/tillsyn/A 53608-2025 tillsynsbegäran.docx", "A 53608-2025")</f>
        <v/>
      </c>
      <c r="AB66">
        <f>HYPERLINK("https://klasma.github.io/Logging_0188/tillsynsmail/A 53608-2025 tillsynsbegäran mail.docx", "A 53608-2025")</f>
        <v/>
      </c>
      <c r="AC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46221</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Y67">
        <f>HYPERLINK("https://klasma.github.io/Logging_0188/klagomål/S 2412-2023 FSC-klagomål.docx", "S 2412-2023")</f>
        <v/>
      </c>
      <c r="Z67">
        <f>HYPERLINK("https://klasma.github.io/Logging_0188/klagomålsmail/S 2412-2023 FSC-klagomål mail.docx", "S 2412-2023")</f>
        <v/>
      </c>
      <c r="AA67">
        <f>HYPERLINK("https://klasma.github.io/Logging_0188/tillsyn/S 2412-2023 tillsynsbegäran.docx", "S 2412-2023")</f>
        <v/>
      </c>
      <c r="AB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46221</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Y68">
        <f>HYPERLINK("https://klasma.github.io/Logging_0188/klagomål/A 58676-2021 FSC-klagomål.docx", "A 58676-2021")</f>
        <v/>
      </c>
      <c r="Z68">
        <f>HYPERLINK("https://klasma.github.io/Logging_0188/klagomålsmail/A 58676-2021 FSC-klagomål mail.docx", "A 58676-2021")</f>
        <v/>
      </c>
      <c r="AA68">
        <f>HYPERLINK("https://klasma.github.io/Logging_0188/tillsyn/A 58676-2021 tillsynsbegäran.docx", "A 58676-2021")</f>
        <v/>
      </c>
      <c r="AB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46221</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s="2" t="inlineStr">
        <is>
          <t>Kattfotslav
Slåtterfibbla
Vedskivlav
Björksplintborre
Spillkråka</t>
        </is>
      </c>
      <c r="V69">
        <f>HYPERLINK("https://klasma.github.io/Logging_0188/artfynd/A 22071-2022 artfynd.xlsx", "A 22071-2022")</f>
        <v/>
      </c>
      <c r="W69">
        <f>HYPERLINK("https://klasma.github.io/Logging_0188/kartor/A 22071-2022 karta.png", "A 22071-2022")</f>
        <v/>
      </c>
      <c r="Y69">
        <f>HYPERLINK("https://klasma.github.io/Logging_0188/klagomål/A 22071-2022 FSC-klagomål.docx", "A 22071-2022")</f>
        <v/>
      </c>
      <c r="Z69">
        <f>HYPERLINK("https://klasma.github.io/Logging_0188/klagomålsmail/A 22071-2022 FSC-klagomål mail.docx", "A 22071-2022")</f>
        <v/>
      </c>
      <c r="AA69">
        <f>HYPERLINK("https://klasma.github.io/Logging_0188/tillsyn/A 22071-2022 tillsynsbegäran.docx", "A 22071-2022")</f>
        <v/>
      </c>
      <c r="AB69">
        <f>HYPERLINK("https://klasma.github.io/Logging_0188/tillsynsmail/A 22071-2022 tillsynsbegäran mail.docx", "A 22071-2022")</f>
        <v/>
      </c>
      <c r="AC69">
        <f>HYPERLINK("https://klasma.github.io/Logging_0188/fåglar/A 22071-2022 prioriterade fågelarter.docx", "A 22071-2022")</f>
        <v/>
      </c>
    </row>
    <row r="70" ht="15" customHeight="1">
      <c r="A70" t="inlineStr">
        <is>
          <t>A 26703-2025</t>
        </is>
      </c>
      <c r="B70" t="inlineStr">
        <is>
          <t>avverkningsanmälan</t>
        </is>
      </c>
      <c r="C70" t="inlineStr">
        <is>
          <t>Föryngringsavverkning</t>
        </is>
      </c>
      <c r="D70" s="1" t="n">
        <v>45810</v>
      </c>
      <c r="E70" s="1" t="n">
        <v>46221</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s="2" t="inlineStr">
        <is>
          <t>Aspgelélav
Grangråticka
Fjällig taggsvamp s.str.
Svavelriska
Blåsippa</t>
        </is>
      </c>
      <c r="V70">
        <f>HYPERLINK("https://klasma.github.io/Logging_0188/artfynd/A 26703-2025 artfynd.xlsx", "A 26703-2025")</f>
        <v/>
      </c>
      <c r="W70">
        <f>HYPERLINK("https://klasma.github.io/Logging_0188/kartor/A 26703-2025 karta.png", "A 26703-2025")</f>
        <v/>
      </c>
      <c r="Y70">
        <f>HYPERLINK("https://klasma.github.io/Logging_0188/klagomål/A 26703-2025 FSC-klagomål.docx", "A 26703-2025")</f>
        <v/>
      </c>
      <c r="Z70">
        <f>HYPERLINK("https://klasma.github.io/Logging_0188/klagomålsmail/A 26703-2025 FSC-klagomål mail.docx", "A 26703-2025")</f>
        <v/>
      </c>
      <c r="AA70">
        <f>HYPERLINK("https://klasma.github.io/Logging_0188/tillsyn/A 26703-2025 tillsynsbegäran.docx", "A 26703-2025")</f>
        <v/>
      </c>
      <c r="AB70">
        <f>HYPERLINK("https://klasma.github.io/Logging_0188/tillsynsmail/A 26703-2025 tillsynsbegäran mail.docx", "A 26703-2025")</f>
        <v/>
      </c>
    </row>
    <row r="71" ht="15" customHeight="1">
      <c r="A71" t="inlineStr">
        <is>
          <t>A 29972-2024</t>
        </is>
      </c>
      <c r="B71" t="inlineStr">
        <is>
          <t>avverkningsanmälan</t>
        </is>
      </c>
      <c r="C71" t="inlineStr">
        <is>
          <t>Föryngringsavverkning</t>
        </is>
      </c>
      <c r="D71" s="1" t="n">
        <v>45485</v>
      </c>
      <c r="E71" s="1" t="n">
        <v>46221</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s="2" t="inlineStr">
        <is>
          <t>Ask
Sårläka
Bronshjon
Granbarkgnagare
Blåsippa</t>
        </is>
      </c>
      <c r="V71">
        <f>HYPERLINK("https://klasma.github.io/Logging_0188/artfynd/A 29972-2024 artfynd.xlsx", "A 29972-2024")</f>
        <v/>
      </c>
      <c r="W71">
        <f>HYPERLINK("https://klasma.github.io/Logging_0188/kartor/A 29972-2024 karta.png", "A 29972-2024")</f>
        <v/>
      </c>
      <c r="Y71">
        <f>HYPERLINK("https://klasma.github.io/Logging_0188/klagomål/A 29972-2024 FSC-klagomål.docx", "A 29972-2024")</f>
        <v/>
      </c>
      <c r="Z71">
        <f>HYPERLINK("https://klasma.github.io/Logging_0188/klagomålsmail/A 29972-2024 FSC-klagomål mail.docx", "A 29972-2024")</f>
        <v/>
      </c>
      <c r="AA71">
        <f>HYPERLINK("https://klasma.github.io/Logging_0188/tillsyn/A 29972-2024 tillsynsbegäran.docx", "A 29972-2024")</f>
        <v/>
      </c>
      <c r="AB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46221</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s="2" t="inlineStr">
        <is>
          <t>Fransfladdermus
Nordfladdermus
Dvärgpipistrell
Större brunfladdermus
Vattenfladdermus</t>
        </is>
      </c>
      <c r="V72">
        <f>HYPERLINK("https://klasma.github.io/Logging_0188/artfynd/A 652-2025 artfynd.xlsx", "A 652-2025")</f>
        <v/>
      </c>
      <c r="W72">
        <f>HYPERLINK("https://klasma.github.io/Logging_0188/kartor/A 652-2025 karta.png", "A 652-2025")</f>
        <v/>
      </c>
      <c r="Y72">
        <f>HYPERLINK("https://klasma.github.io/Logging_0188/klagomål/A 652-2025 FSC-klagomål.docx", "A 652-2025")</f>
        <v/>
      </c>
      <c r="Z72">
        <f>HYPERLINK("https://klasma.github.io/Logging_0188/klagomålsmail/A 652-2025 FSC-klagomål mail.docx", "A 652-2025")</f>
        <v/>
      </c>
      <c r="AA72">
        <f>HYPERLINK("https://klasma.github.io/Logging_0188/tillsyn/A 652-2025 tillsynsbegäran.docx", "A 652-2025")</f>
        <v/>
      </c>
      <c r="AB72">
        <f>HYPERLINK("https://klasma.github.io/Logging_0188/tillsynsmail/A 652-2025 tillsynsbegäran mail.docx", "A 652-2025")</f>
        <v/>
      </c>
    </row>
    <row r="73" ht="15" customHeight="1">
      <c r="A73" t="inlineStr">
        <is>
          <t>A 29558-2026</t>
        </is>
      </c>
      <c r="B73" t="inlineStr">
        <is>
          <t>avverkningsanmälan</t>
        </is>
      </c>
      <c r="C73" t="inlineStr">
        <is>
          <t>Föryngringsavverkning</t>
        </is>
      </c>
      <c r="D73" s="1" t="n">
        <v>46204</v>
      </c>
      <c r="E73" s="1" t="n">
        <v>46221</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s="2" t="inlineStr">
        <is>
          <t>Nordfladdermus
Dvärgpipistrell
Havsörn
Större brunfladdermus
Trollpipistrell</t>
        </is>
      </c>
      <c r="V73">
        <f>HYPERLINK("https://klasma.github.io/Logging_0188/artfynd/A 29558-2026 artfynd.xlsx", "A 29558-2026")</f>
        <v/>
      </c>
      <c r="W73">
        <f>HYPERLINK("https://klasma.github.io/Logging_0188/kartor/A 29558-2026 karta.png", "A 29558-2026")</f>
        <v/>
      </c>
      <c r="Y73">
        <f>HYPERLINK("https://klasma.github.io/Logging_0188/klagomål/A 29558-2026 FSC-klagomål.docx", "A 29558-2026")</f>
        <v/>
      </c>
      <c r="Z73">
        <f>HYPERLINK("https://klasma.github.io/Logging_0188/klagomålsmail/A 29558-2026 FSC-klagomål mail.docx", "A 29558-2026")</f>
        <v/>
      </c>
      <c r="AA73">
        <f>HYPERLINK("https://klasma.github.io/Logging_0188/tillsyn/A 29558-2026 tillsynsbegäran.docx", "A 29558-2026")</f>
        <v/>
      </c>
      <c r="AB73">
        <f>HYPERLINK("https://klasma.github.io/Logging_0188/tillsynsmail/A 29558-2026 tillsynsbegäran mail.docx", "A 29558-2026")</f>
        <v/>
      </c>
      <c r="AC73">
        <f>HYPERLINK("https://klasma.github.io/Logging_0188/fåglar/A 29558-2026 prioriterade fågelarter.docx", "A 29558-2026")</f>
        <v/>
      </c>
    </row>
    <row r="74" ht="15" customHeight="1">
      <c r="A74" t="inlineStr">
        <is>
          <t>A 38591-2023</t>
        </is>
      </c>
      <c r="B74" t="inlineStr">
        <is>
          <t>avverkningsanmälan</t>
        </is>
      </c>
      <c r="C74" t="inlineStr">
        <is>
          <t>Avverkning för annat ändamål</t>
        </is>
      </c>
      <c r="D74" s="1" t="n">
        <v>45162</v>
      </c>
      <c r="E74" s="1" t="n">
        <v>46221</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s="2" t="inlineStr">
        <is>
          <t>Brun mårfältmätare
Porfyrljusmott
Brunflammig fältmätare
Sädesärla
Trädlärka</t>
        </is>
      </c>
      <c r="V74">
        <f>HYPERLINK("https://klasma.github.io/Logging_0188/artfynd/A 38591-2023 artfynd.xlsx", "A 38591-2023")</f>
        <v/>
      </c>
      <c r="W74">
        <f>HYPERLINK("https://klasma.github.io/Logging_0188/kartor/A 38591-2023 karta.png", "A 38591-2023")</f>
        <v/>
      </c>
      <c r="Y74">
        <f>HYPERLINK("https://klasma.github.io/Logging_0188/klagomål/A 38591-2023 FSC-klagomål.docx", "A 38591-2023")</f>
        <v/>
      </c>
      <c r="Z74">
        <f>HYPERLINK("https://klasma.github.io/Logging_0188/klagomålsmail/A 38591-2023 FSC-klagomål mail.docx", "A 38591-2023")</f>
        <v/>
      </c>
      <c r="AA74">
        <f>HYPERLINK("https://klasma.github.io/Logging_0188/tillsyn/A 38591-2023 tillsynsbegäran.docx", "A 38591-2023")</f>
        <v/>
      </c>
      <c r="AB74">
        <f>HYPERLINK("https://klasma.github.io/Logging_0188/tillsynsmail/A 38591-2023 tillsynsbegäran mail.docx", "A 38591-2023")</f>
        <v/>
      </c>
      <c r="AC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46221</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s="2" t="inlineStr">
        <is>
          <t>Ask
Skogsalm
Jungfrulin
Blåsippa
Spillkråka</t>
        </is>
      </c>
      <c r="V75">
        <f>HYPERLINK("https://klasma.github.io/Logging_0188/artfynd/A 4438-2023 artfynd.xlsx", "A 4438-2023")</f>
        <v/>
      </c>
      <c r="W75">
        <f>HYPERLINK("https://klasma.github.io/Logging_0188/kartor/A 4438-2023 karta.png", "A 4438-2023")</f>
        <v/>
      </c>
      <c r="Y75">
        <f>HYPERLINK("https://klasma.github.io/Logging_0188/klagomål/A 4438-2023 FSC-klagomål.docx", "A 4438-2023")</f>
        <v/>
      </c>
      <c r="Z75">
        <f>HYPERLINK("https://klasma.github.io/Logging_0188/klagomålsmail/A 4438-2023 FSC-klagomål mail.docx", "A 4438-2023")</f>
        <v/>
      </c>
      <c r="AA75">
        <f>HYPERLINK("https://klasma.github.io/Logging_0188/tillsyn/A 4438-2023 tillsynsbegäran.docx", "A 4438-2023")</f>
        <v/>
      </c>
      <c r="AB75">
        <f>HYPERLINK("https://klasma.github.io/Logging_0188/tillsynsmail/A 4438-2023 tillsynsbegäran mail.docx", "A 4438-2023")</f>
        <v/>
      </c>
      <c r="AC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46221</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s="2" t="inlineStr">
        <is>
          <t>Blåmossa
Brandticka
Skogsbräsma
Blåsippa
Revlummer</t>
        </is>
      </c>
      <c r="V76">
        <f>HYPERLINK("https://klasma.github.io/Logging_0188/artfynd/A 21730-2025 artfynd.xlsx", "A 21730-2025")</f>
        <v/>
      </c>
      <c r="W76">
        <f>HYPERLINK("https://klasma.github.io/Logging_0188/kartor/A 21730-2025 karta.png", "A 21730-2025")</f>
        <v/>
      </c>
      <c r="Y76">
        <f>HYPERLINK("https://klasma.github.io/Logging_0188/klagomål/A 21730-2025 FSC-klagomål.docx", "A 21730-2025")</f>
        <v/>
      </c>
      <c r="Z76">
        <f>HYPERLINK("https://klasma.github.io/Logging_0188/klagomålsmail/A 21730-2025 FSC-klagomål mail.docx", "A 21730-2025")</f>
        <v/>
      </c>
      <c r="AA76">
        <f>HYPERLINK("https://klasma.github.io/Logging_0188/tillsyn/A 21730-2025 tillsynsbegäran.docx", "A 21730-2025")</f>
        <v/>
      </c>
      <c r="AB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46221</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Y77">
        <f>HYPERLINK("https://klasma.github.io/Logging_0188/klagomål/S 529-2023 FSC-klagomål.docx", "S 529-2023")</f>
        <v/>
      </c>
      <c r="Z77">
        <f>HYPERLINK("https://klasma.github.io/Logging_0188/klagomålsmail/S 529-2023 FSC-klagomål mail.docx", "S 529-2023")</f>
        <v/>
      </c>
      <c r="AA77">
        <f>HYPERLINK("https://klasma.github.io/Logging_0188/tillsyn/S 529-2023 tillsynsbegäran.docx", "S 529-2023")</f>
        <v/>
      </c>
      <c r="AB77">
        <f>HYPERLINK("https://klasma.github.io/Logging_0188/tillsynsmail/S 529-2023 tillsynsbegäran mail.docx", "S 529-2023")</f>
        <v/>
      </c>
      <c r="AC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46221</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Y78">
        <f>HYPERLINK("https://klasma.github.io/Logging_0188/klagomål/S 1805-2023 FSC-klagomål.docx", "S 1805-2023")</f>
        <v/>
      </c>
      <c r="Z78">
        <f>HYPERLINK("https://klasma.github.io/Logging_0188/klagomålsmail/S 1805-2023 FSC-klagomål mail.docx", "S 1805-2023")</f>
        <v/>
      </c>
      <c r="AA78">
        <f>HYPERLINK("https://klasma.github.io/Logging_0188/tillsyn/S 1805-2023 tillsynsbegäran.docx", "S 1805-2023")</f>
        <v/>
      </c>
      <c r="AB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46221</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Y79">
        <f>HYPERLINK("https://klasma.github.io/Logging_0188/klagomål/S 10169-2021 FSC-klagomål.docx", "S 10169-2021")</f>
        <v/>
      </c>
      <c r="Z79">
        <f>HYPERLINK("https://klasma.github.io/Logging_0188/klagomålsmail/S 10169-2021 FSC-klagomål mail.docx", "S 10169-2021")</f>
        <v/>
      </c>
      <c r="AA79">
        <f>HYPERLINK("https://klasma.github.io/Logging_0188/tillsyn/S 10169-2021 tillsynsbegäran.docx", "S 10169-2021")</f>
        <v/>
      </c>
      <c r="AB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46221</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Y80">
        <f>HYPERLINK("https://klasma.github.io/Logging_0188/klagomål/A 28836-2022 FSC-klagomål.docx", "A 28836-2022")</f>
        <v/>
      </c>
      <c r="Z80">
        <f>HYPERLINK("https://klasma.github.io/Logging_0188/klagomålsmail/A 28836-2022 FSC-klagomål mail.docx", "A 28836-2022")</f>
        <v/>
      </c>
      <c r="AA80">
        <f>HYPERLINK("https://klasma.github.io/Logging_0188/tillsyn/A 28836-2022 tillsynsbegäran.docx", "A 28836-2022")</f>
        <v/>
      </c>
      <c r="AB80">
        <f>HYPERLINK("https://klasma.github.io/Logging_0188/tillsynsmail/A 28836-2022 tillsynsbegäran mail.docx", "A 28836-2022")</f>
        <v/>
      </c>
    </row>
    <row r="81" ht="15" customHeight="1">
      <c r="A81" t="inlineStr">
        <is>
          <t>A 47898-2022</t>
        </is>
      </c>
      <c r="B81" t="inlineStr">
        <is>
          <t>avverkningsanmälan</t>
        </is>
      </c>
      <c r="C81" t="inlineStr">
        <is>
          <t>Föryngringsavverkning</t>
        </is>
      </c>
      <c r="D81" s="1" t="n">
        <v>44855</v>
      </c>
      <c r="E81" s="1" t="n">
        <v>46221</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s="2" t="inlineStr">
        <is>
          <t>Hällebräcka
Mindre bastardsvärmare
Backklöver
Guckusko</t>
        </is>
      </c>
      <c r="V81">
        <f>HYPERLINK("https://klasma.github.io/Logging_0188/artfynd/A 47898-2022 artfynd.xlsx", "A 47898-2022")</f>
        <v/>
      </c>
      <c r="W81">
        <f>HYPERLINK("https://klasma.github.io/Logging_0188/kartor/A 47898-2022 karta.png", "A 47898-2022")</f>
        <v/>
      </c>
      <c r="Y81">
        <f>HYPERLINK("https://klasma.github.io/Logging_0188/klagomål/A 47898-2022 FSC-klagomål.docx", "A 47898-2022")</f>
        <v/>
      </c>
      <c r="Z81">
        <f>HYPERLINK("https://klasma.github.io/Logging_0188/klagomålsmail/A 47898-2022 FSC-klagomål mail.docx", "A 47898-2022")</f>
        <v/>
      </c>
      <c r="AA81">
        <f>HYPERLINK("https://klasma.github.io/Logging_0188/tillsyn/A 47898-2022 tillsynsbegäran.docx", "A 47898-2022")</f>
        <v/>
      </c>
      <c r="AB81">
        <f>HYPERLINK("https://klasma.github.io/Logging_0188/tillsynsmail/A 47898-2022 tillsynsbegäran mail.docx", "A 47898-2022")</f>
        <v/>
      </c>
    </row>
    <row r="82" ht="15" customHeight="1">
      <c r="A82" t="inlineStr">
        <is>
          <t>A 29185-2025</t>
        </is>
      </c>
      <c r="B82" t="inlineStr">
        <is>
          <t>avverkningsanmälan</t>
        </is>
      </c>
      <c r="C82" t="inlineStr">
        <is>
          <t>Föryngringsavverkning</t>
        </is>
      </c>
      <c r="D82" s="1" t="n">
        <v>45821</v>
      </c>
      <c r="E82" s="1" t="n">
        <v>46221</v>
      </c>
      <c r="F82" t="inlineStr">
        <is>
          <t>STOCKHOLMS LÄN</t>
        </is>
      </c>
      <c r="G82" t="inlineStr">
        <is>
          <t>NORRTÄLJE</t>
        </is>
      </c>
      <c r="H82" t="inlineStr">
        <is>
          <t>Övriga Aktiebolag</t>
        </is>
      </c>
      <c r="I82" t="n">
        <v>8.5</v>
      </c>
      <c r="J82" t="n">
        <v>3</v>
      </c>
      <c r="K82" t="n">
        <v>0</v>
      </c>
      <c r="L82" t="n">
        <v>1</v>
      </c>
      <c r="M82" t="n">
        <v>0</v>
      </c>
      <c r="N82" t="n">
        <v>0</v>
      </c>
      <c r="O82" t="n">
        <v>0</v>
      </c>
      <c r="P82" t="n">
        <v>0</v>
      </c>
      <c r="Q82" t="n">
        <v>1</v>
      </c>
      <c r="R82" t="n">
        <v>0</v>
      </c>
      <c r="S82" t="n">
        <v>4</v>
      </c>
      <c r="T82" t="n">
        <v>7</v>
      </c>
      <c r="U82" s="2" t="inlineStr">
        <is>
          <t>Vårärt
Blåsippa
Tjäder
Fläcknycklar</t>
        </is>
      </c>
      <c r="V82">
        <f>HYPERLINK("https://klasma.github.io/Logging_0188/artfynd/A 29185-2025 artfynd.xlsx", "A 29185-2025")</f>
        <v/>
      </c>
      <c r="W82">
        <f>HYPERLINK("https://klasma.github.io/Logging_0188/kartor/A 29185-2025 karta.png", "A 29185-2025")</f>
        <v/>
      </c>
      <c r="Y82">
        <f>HYPERLINK("https://klasma.github.io/Logging_0188/klagomål/A 29185-2025 FSC-klagomål.docx", "A 29185-2025")</f>
        <v/>
      </c>
      <c r="Z82">
        <f>HYPERLINK("https://klasma.github.io/Logging_0188/klagomålsmail/A 29185-2025 FSC-klagomål mail.docx", "A 29185-2025")</f>
        <v/>
      </c>
      <c r="AA82">
        <f>HYPERLINK("https://klasma.github.io/Logging_0188/tillsyn/A 29185-2025 tillsynsbegäran.docx", "A 29185-2025")</f>
        <v/>
      </c>
      <c r="AB82">
        <f>HYPERLINK("https://klasma.github.io/Logging_0188/tillsynsmail/A 29185-2025 tillsynsbegäran mail.docx", "A 29185-2025")</f>
        <v/>
      </c>
      <c r="AC82">
        <f>HYPERLINK("https://klasma.github.io/Logging_0188/fåglar/A 29185-2025 prioriterade fågelarter.docx", "A 29185-2025")</f>
        <v/>
      </c>
    </row>
    <row r="83" ht="15" customHeight="1">
      <c r="A83" t="inlineStr">
        <is>
          <t>A 41276-2025</t>
        </is>
      </c>
      <c r="B83" t="inlineStr">
        <is>
          <t>avverkningsanmälan</t>
        </is>
      </c>
      <c r="C83" t="inlineStr">
        <is>
          <t>Avverkning för att bevara och utveckla /försöksver</t>
        </is>
      </c>
      <c r="D83" s="1" t="n">
        <v>45898</v>
      </c>
      <c r="E83" s="1" t="n">
        <v>46221</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s="2" t="inlineStr">
        <is>
          <t>Ask
Vårärt
Underviol
Blåsippa</t>
        </is>
      </c>
      <c r="V83">
        <f>HYPERLINK("https://klasma.github.io/Logging_0188/artfynd/A 41276-2025 artfynd.xlsx", "A 41276-2025")</f>
        <v/>
      </c>
      <c r="W83">
        <f>HYPERLINK("https://klasma.github.io/Logging_0188/kartor/A 41276-2025 karta.png", "A 41276-2025")</f>
        <v/>
      </c>
      <c r="Y83">
        <f>HYPERLINK("https://klasma.github.io/Logging_0188/klagomål/A 41276-2025 FSC-klagomål.docx", "A 41276-2025")</f>
        <v/>
      </c>
      <c r="Z83">
        <f>HYPERLINK("https://klasma.github.io/Logging_0188/klagomålsmail/A 41276-2025 FSC-klagomål mail.docx", "A 41276-2025")</f>
        <v/>
      </c>
      <c r="AA83">
        <f>HYPERLINK("https://klasma.github.io/Logging_0188/tillsyn/A 41276-2025 tillsynsbegäran.docx", "A 41276-2025")</f>
        <v/>
      </c>
      <c r="AB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46221</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s="2" t="inlineStr">
        <is>
          <t>Kandelabersvamp
Stinkbrosking
Svart trolldruva
Blåsippa</t>
        </is>
      </c>
      <c r="V84">
        <f>HYPERLINK("https://klasma.github.io/Logging_0188/artfynd/A 30687-2025 artfynd.xlsx", "A 30687-2025")</f>
        <v/>
      </c>
      <c r="W84">
        <f>HYPERLINK("https://klasma.github.io/Logging_0188/kartor/A 30687-2025 karta.png", "A 30687-2025")</f>
        <v/>
      </c>
      <c r="Y84">
        <f>HYPERLINK("https://klasma.github.io/Logging_0188/klagomål/A 30687-2025 FSC-klagomål.docx", "A 30687-2025")</f>
        <v/>
      </c>
      <c r="Z84">
        <f>HYPERLINK("https://klasma.github.io/Logging_0188/klagomålsmail/A 30687-2025 FSC-klagomål mail.docx", "A 30687-2025")</f>
        <v/>
      </c>
      <c r="AA84">
        <f>HYPERLINK("https://klasma.github.io/Logging_0188/tillsyn/A 30687-2025 tillsynsbegäran.docx", "A 30687-2025")</f>
        <v/>
      </c>
      <c r="AB84">
        <f>HYPERLINK("https://klasma.github.io/Logging_0188/tillsynsmail/A 30687-2025 tillsynsbegäran mail.docx", "A 30687-2025")</f>
        <v/>
      </c>
    </row>
    <row r="85" ht="15" customHeight="1">
      <c r="A85" t="inlineStr">
        <is>
          <t>A 32103-2022</t>
        </is>
      </c>
      <c r="B85" t="inlineStr">
        <is>
          <t>avverkningsanmälan</t>
        </is>
      </c>
      <c r="C85" t="inlineStr">
        <is>
          <t>Föryngringsavverkning</t>
        </is>
      </c>
      <c r="D85" s="1" t="n">
        <v>44778</v>
      </c>
      <c r="E85" s="1" t="n">
        <v>46221</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s="2" t="inlineStr">
        <is>
          <t>Kornknarr
Gräshoppsångare
Rörsångare
Näktergal</t>
        </is>
      </c>
      <c r="V85">
        <f>HYPERLINK("https://klasma.github.io/Logging_0188/artfynd/A 32103-2022 artfynd.xlsx", "A 32103-2022")</f>
        <v/>
      </c>
      <c r="W85">
        <f>HYPERLINK("https://klasma.github.io/Logging_0188/kartor/A 32103-2022 karta.png", "A 32103-2022")</f>
        <v/>
      </c>
      <c r="Y85">
        <f>HYPERLINK("https://klasma.github.io/Logging_0188/klagomål/A 32103-2022 FSC-klagomål.docx", "A 32103-2022")</f>
        <v/>
      </c>
      <c r="Z85">
        <f>HYPERLINK("https://klasma.github.io/Logging_0188/klagomålsmail/A 32103-2022 FSC-klagomål mail.docx", "A 32103-2022")</f>
        <v/>
      </c>
      <c r="AA85">
        <f>HYPERLINK("https://klasma.github.io/Logging_0188/tillsyn/A 32103-2022 tillsynsbegäran.docx", "A 32103-2022")</f>
        <v/>
      </c>
      <c r="AB85">
        <f>HYPERLINK("https://klasma.github.io/Logging_0188/tillsynsmail/A 32103-2022 tillsynsbegäran mail.docx", "A 32103-2022")</f>
        <v/>
      </c>
      <c r="AC85">
        <f>HYPERLINK("https://klasma.github.io/Logging_0188/fåglar/A 32103-2022 prioriterade fågelarter.docx", "A 32103-2022")</f>
        <v/>
      </c>
    </row>
    <row r="86" ht="15" customHeight="1">
      <c r="A86" t="inlineStr">
        <is>
          <t>A 17952-2022</t>
        </is>
      </c>
      <c r="B86" t="inlineStr">
        <is>
          <t>avverkningsanmälan</t>
        </is>
      </c>
      <c r="C86" t="inlineStr">
        <is>
          <t>Föryngringsavverkning</t>
        </is>
      </c>
      <c r="D86" s="1" t="n">
        <v>44683</v>
      </c>
      <c r="E86" s="1" t="n">
        <v>46221</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s="2" t="inlineStr">
        <is>
          <t>Kattunvisslare
Mindre hackspett
Talltita
Revlummer</t>
        </is>
      </c>
      <c r="V86">
        <f>HYPERLINK("https://klasma.github.io/Logging_0188/artfynd/A 17952-2022 artfynd.xlsx", "A 17952-2022")</f>
        <v/>
      </c>
      <c r="W86">
        <f>HYPERLINK("https://klasma.github.io/Logging_0188/kartor/A 17952-2022 karta.png", "A 17952-2022")</f>
        <v/>
      </c>
      <c r="Y86">
        <f>HYPERLINK("https://klasma.github.io/Logging_0188/klagomål/A 17952-2022 FSC-klagomål.docx", "A 17952-2022")</f>
        <v/>
      </c>
      <c r="Z86">
        <f>HYPERLINK("https://klasma.github.io/Logging_0188/klagomålsmail/A 17952-2022 FSC-klagomål mail.docx", "A 17952-2022")</f>
        <v/>
      </c>
      <c r="AA86">
        <f>HYPERLINK("https://klasma.github.io/Logging_0188/tillsyn/A 17952-2022 tillsynsbegäran.docx", "A 17952-2022")</f>
        <v/>
      </c>
      <c r="AB86">
        <f>HYPERLINK("https://klasma.github.io/Logging_0188/tillsynsmail/A 17952-2022 tillsynsbegäran mail.docx", "A 17952-2022")</f>
        <v/>
      </c>
      <c r="AC86">
        <f>HYPERLINK("https://klasma.github.io/Logging_0188/fåglar/A 17952-2022 prioriterade fågelarter.docx", "A 17952-2022")</f>
        <v/>
      </c>
    </row>
    <row r="87" ht="15" customHeight="1">
      <c r="A87" t="inlineStr">
        <is>
          <t>A 24535-2023</t>
        </is>
      </c>
      <c r="B87" t="inlineStr">
        <is>
          <t>avverkningsanmälan</t>
        </is>
      </c>
      <c r="C87" t="inlineStr">
        <is>
          <t>Föryngringsavverkning</t>
        </is>
      </c>
      <c r="D87" s="1" t="n">
        <v>45082</v>
      </c>
      <c r="E87" s="1" t="n">
        <v>46221</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s="2" t="inlineStr">
        <is>
          <t>Nästrot
Svavelriska
Blåsippa
Mindre flugsnappare</t>
        </is>
      </c>
      <c r="V87">
        <f>HYPERLINK("https://klasma.github.io/Logging_0188/artfynd/A 24535-2023 artfynd.xlsx", "A 24535-2023")</f>
        <v/>
      </c>
      <c r="W87">
        <f>HYPERLINK("https://klasma.github.io/Logging_0188/kartor/A 24535-2023 karta.png", "A 24535-2023")</f>
        <v/>
      </c>
      <c r="Y87">
        <f>HYPERLINK("https://klasma.github.io/Logging_0188/klagomål/A 24535-2023 FSC-klagomål.docx", "A 24535-2023")</f>
        <v/>
      </c>
      <c r="Z87">
        <f>HYPERLINK("https://klasma.github.io/Logging_0188/klagomålsmail/A 24535-2023 FSC-klagomål mail.docx", "A 24535-2023")</f>
        <v/>
      </c>
      <c r="AA87">
        <f>HYPERLINK("https://klasma.github.io/Logging_0188/tillsyn/A 24535-2023 tillsynsbegäran.docx", "A 24535-2023")</f>
        <v/>
      </c>
      <c r="AB87">
        <f>HYPERLINK("https://klasma.github.io/Logging_0188/tillsynsmail/A 24535-2023 tillsynsbegäran mail.docx", "A 24535-2023")</f>
        <v/>
      </c>
      <c r="AC87">
        <f>HYPERLINK("https://klasma.github.io/Logging_0188/fåglar/A 24535-2023 prioriterade fågelarter.docx", "A 24535-2023")</f>
        <v/>
      </c>
    </row>
    <row r="88" ht="15" customHeight="1">
      <c r="A88" t="inlineStr">
        <is>
          <t>A 72305-2021</t>
        </is>
      </c>
      <c r="B88" t="inlineStr">
        <is>
          <t>avverkningsanmälan</t>
        </is>
      </c>
      <c r="C88" t="inlineStr">
        <is>
          <t>Föryngringsavverkning</t>
        </is>
      </c>
      <c r="D88" s="1" t="n">
        <v>44545</v>
      </c>
      <c r="E88" s="1" t="n">
        <v>46221</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s="2" t="inlineStr">
        <is>
          <t>Sårläka
Vårärt
Svart trolldruva
Blåsippa</t>
        </is>
      </c>
      <c r="V88">
        <f>HYPERLINK("https://klasma.github.io/Logging_0188/artfynd/A 72305-2021 artfynd.xlsx", "A 72305-2021")</f>
        <v/>
      </c>
      <c r="W88">
        <f>HYPERLINK("https://klasma.github.io/Logging_0188/kartor/A 72305-2021 karta.png", "A 72305-2021")</f>
        <v/>
      </c>
      <c r="Y88">
        <f>HYPERLINK("https://klasma.github.io/Logging_0188/klagomål/A 72305-2021 FSC-klagomål.docx", "A 72305-2021")</f>
        <v/>
      </c>
      <c r="Z88">
        <f>HYPERLINK("https://klasma.github.io/Logging_0188/klagomålsmail/A 72305-2021 FSC-klagomål mail.docx", "A 72305-2021")</f>
        <v/>
      </c>
      <c r="AA88">
        <f>HYPERLINK("https://klasma.github.io/Logging_0188/tillsyn/A 72305-2021 tillsynsbegäran.docx", "A 72305-2021")</f>
        <v/>
      </c>
      <c r="AB88">
        <f>HYPERLINK("https://klasma.github.io/Logging_0188/tillsynsmail/A 72305-2021 tillsynsbegäran mail.docx", "A 72305-2021")</f>
        <v/>
      </c>
    </row>
    <row r="89" ht="15" customHeight="1">
      <c r="A89" t="inlineStr">
        <is>
          <t>A 44709-2022</t>
        </is>
      </c>
      <c r="B89" t="inlineStr">
        <is>
          <t>avverkningsanmälan</t>
        </is>
      </c>
      <c r="C89" t="inlineStr">
        <is>
          <t>Föryngringsavverkning</t>
        </is>
      </c>
      <c r="D89" s="1" t="n">
        <v>44839</v>
      </c>
      <c r="E89" s="1" t="n">
        <v>46221</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s="2" t="inlineStr">
        <is>
          <t>Enkelbeckasin
Jungfrulin
Spillkråka
Orre</t>
        </is>
      </c>
      <c r="V89">
        <f>HYPERLINK("https://klasma.github.io/Logging_0188/artfynd/A 44709-2022 artfynd.xlsx", "A 44709-2022")</f>
        <v/>
      </c>
      <c r="W89">
        <f>HYPERLINK("https://klasma.github.io/Logging_0188/kartor/A 44709-2022 karta.png", "A 44709-2022")</f>
        <v/>
      </c>
      <c r="Y89">
        <f>HYPERLINK("https://klasma.github.io/Logging_0188/klagomål/A 44709-2022 FSC-klagomål.docx", "A 44709-2022")</f>
        <v/>
      </c>
      <c r="Z89">
        <f>HYPERLINK("https://klasma.github.io/Logging_0188/klagomålsmail/A 44709-2022 FSC-klagomål mail.docx", "A 44709-2022")</f>
        <v/>
      </c>
      <c r="AA89">
        <f>HYPERLINK("https://klasma.github.io/Logging_0188/tillsyn/A 44709-2022 tillsynsbegäran.docx", "A 44709-2022")</f>
        <v/>
      </c>
      <c r="AB89">
        <f>HYPERLINK("https://klasma.github.io/Logging_0188/tillsynsmail/A 44709-2022 tillsynsbegäran mail.docx", "A 44709-2022")</f>
        <v/>
      </c>
      <c r="AC89">
        <f>HYPERLINK("https://klasma.github.io/Logging_0188/fåglar/A 44709-2022 prioriterade fågelarter.docx", "A 44709-2022")</f>
        <v/>
      </c>
    </row>
    <row r="90" ht="15" customHeight="1">
      <c r="A90" t="inlineStr">
        <is>
          <t>A 27870-2022</t>
        </is>
      </c>
      <c r="B90" t="inlineStr">
        <is>
          <t>avverkningsanmälan</t>
        </is>
      </c>
      <c r="C90" t="inlineStr">
        <is>
          <t>Föryngringsavverkning</t>
        </is>
      </c>
      <c r="D90" s="1" t="n">
        <v>44743</v>
      </c>
      <c r="E90" s="1" t="n">
        <v>46221</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s="2" t="inlineStr">
        <is>
          <t>Ask
Nordfladdermus
Dvärgpipistrell
Större brunfladdermus</t>
        </is>
      </c>
      <c r="V90">
        <f>HYPERLINK("https://klasma.github.io/Logging_0188/artfynd/A 27870-2022 artfynd.xlsx", "A 27870-2022")</f>
        <v/>
      </c>
      <c r="W90">
        <f>HYPERLINK("https://klasma.github.io/Logging_0188/kartor/A 27870-2022 karta.png", "A 27870-2022")</f>
        <v/>
      </c>
      <c r="Y90">
        <f>HYPERLINK("https://klasma.github.io/Logging_0188/klagomål/A 27870-2022 FSC-klagomål.docx", "A 27870-2022")</f>
        <v/>
      </c>
      <c r="Z90">
        <f>HYPERLINK("https://klasma.github.io/Logging_0188/klagomålsmail/A 27870-2022 FSC-klagomål mail.docx", "A 27870-2022")</f>
        <v/>
      </c>
      <c r="AA90">
        <f>HYPERLINK("https://klasma.github.io/Logging_0188/tillsyn/A 27870-2022 tillsynsbegäran.docx", "A 27870-2022")</f>
        <v/>
      </c>
      <c r="AB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46221</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s="2" t="inlineStr">
        <is>
          <t>Rödgul trumpetsvamp
Skogsknipprot
Trådfräken
Tvåblad</t>
        </is>
      </c>
      <c r="V91">
        <f>HYPERLINK("https://klasma.github.io/Logging_0188/artfynd/A 51980-2022 artfynd.xlsx", "A 51980-2022")</f>
        <v/>
      </c>
      <c r="W91">
        <f>HYPERLINK("https://klasma.github.io/Logging_0188/kartor/A 51980-2022 karta.png", "A 51980-2022")</f>
        <v/>
      </c>
      <c r="Y91">
        <f>HYPERLINK("https://klasma.github.io/Logging_0188/klagomål/A 51980-2022 FSC-klagomål.docx", "A 51980-2022")</f>
        <v/>
      </c>
      <c r="Z91">
        <f>HYPERLINK("https://klasma.github.io/Logging_0188/klagomålsmail/A 51980-2022 FSC-klagomål mail.docx", "A 51980-2022")</f>
        <v/>
      </c>
      <c r="AA91">
        <f>HYPERLINK("https://klasma.github.io/Logging_0188/tillsyn/A 51980-2022 tillsynsbegäran.docx", "A 51980-2022")</f>
        <v/>
      </c>
      <c r="AB91">
        <f>HYPERLINK("https://klasma.github.io/Logging_0188/tillsynsmail/A 51980-2022 tillsynsbegäran mail.docx", "A 51980-2022")</f>
        <v/>
      </c>
    </row>
    <row r="92" ht="15" customHeight="1">
      <c r="A92" t="inlineStr">
        <is>
          <t>A 25913-2026</t>
        </is>
      </c>
      <c r="B92" t="inlineStr">
        <is>
          <t>avverkningsanmälan</t>
        </is>
      </c>
      <c r="C92" t="inlineStr">
        <is>
          <t>Föryngringsavverkning</t>
        </is>
      </c>
      <c r="D92" s="1" t="n">
        <v>46178</v>
      </c>
      <c r="E92" s="1" t="n">
        <v>46221</v>
      </c>
      <c r="F92" t="inlineStr">
        <is>
          <t>STOCKHOLMS LÄN</t>
        </is>
      </c>
      <c r="G92" t="inlineStr">
        <is>
          <t>NORRTÄLJE</t>
        </is>
      </c>
      <c r="I92" t="n">
        <v>10.3</v>
      </c>
      <c r="J92" t="n">
        <v>3</v>
      </c>
      <c r="K92" t="n">
        <v>0</v>
      </c>
      <c r="L92" t="n">
        <v>1</v>
      </c>
      <c r="M92" t="n">
        <v>1</v>
      </c>
      <c r="N92" t="n">
        <v>0</v>
      </c>
      <c r="O92" t="n">
        <v>0</v>
      </c>
      <c r="P92" t="n">
        <v>0</v>
      </c>
      <c r="Q92" t="n">
        <v>2</v>
      </c>
      <c r="R92" t="n">
        <v>1</v>
      </c>
      <c r="S92" t="n">
        <v>4</v>
      </c>
      <c r="T92" t="n">
        <v>4</v>
      </c>
      <c r="U92" s="2" t="inlineStr">
        <is>
          <t>Igelkott
Talltita
Grönsiska
Havsörn</t>
        </is>
      </c>
      <c r="V92">
        <f>HYPERLINK("https://klasma.github.io/Logging_0188/artfynd/A 25913-2026 artfynd.xlsx", "A 25913-2026")</f>
        <v/>
      </c>
      <c r="W92">
        <f>HYPERLINK("https://klasma.github.io/Logging_0188/kartor/A 25913-2026 karta.png", "A 25913-2026")</f>
        <v/>
      </c>
      <c r="Y92">
        <f>HYPERLINK("https://klasma.github.io/Logging_0188/klagomål/A 25913-2026 FSC-klagomål.docx", "A 25913-2026")</f>
        <v/>
      </c>
      <c r="Z92">
        <f>HYPERLINK("https://klasma.github.io/Logging_0188/klagomålsmail/A 25913-2026 FSC-klagomål mail.docx", "A 25913-2026")</f>
        <v/>
      </c>
      <c r="AA92">
        <f>HYPERLINK("https://klasma.github.io/Logging_0188/tillsyn/A 25913-2026 tillsynsbegäran.docx", "A 25913-2026")</f>
        <v/>
      </c>
      <c r="AB92">
        <f>HYPERLINK("https://klasma.github.io/Logging_0188/tillsynsmail/A 25913-2026 tillsynsbegäran mail.docx", "A 25913-2026")</f>
        <v/>
      </c>
      <c r="AC92">
        <f>HYPERLINK("https://klasma.github.io/Logging_0188/fåglar/A 25913-2026 prioriterade fågelarter.docx", "A 25913-2026")</f>
        <v/>
      </c>
    </row>
    <row r="93" ht="15" customHeight="1">
      <c r="A93" t="inlineStr">
        <is>
          <t>A 54110-2024</t>
        </is>
      </c>
      <c r="B93" t="inlineStr">
        <is>
          <t>avverkningsanmälan</t>
        </is>
      </c>
      <c r="C93" t="inlineStr">
        <is>
          <t>Föryngringsavverkning</t>
        </is>
      </c>
      <c r="D93" s="1" t="n">
        <v>45616</v>
      </c>
      <c r="E93" s="1" t="n">
        <v>46221</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s="2" t="inlineStr">
        <is>
          <t>Jungfrulin
Klasefibbla
Nattviol
Gullviva</t>
        </is>
      </c>
      <c r="V93">
        <f>HYPERLINK("https://klasma.github.io/Logging_0188/artfynd/A 54110-2024 artfynd.xlsx", "A 54110-2024")</f>
        <v/>
      </c>
      <c r="W93">
        <f>HYPERLINK("https://klasma.github.io/Logging_0188/kartor/A 54110-2024 karta.png", "A 54110-2024")</f>
        <v/>
      </c>
      <c r="Y93">
        <f>HYPERLINK("https://klasma.github.io/Logging_0188/klagomål/A 54110-2024 FSC-klagomål.docx", "A 54110-2024")</f>
        <v/>
      </c>
      <c r="Z93">
        <f>HYPERLINK("https://klasma.github.io/Logging_0188/klagomålsmail/A 54110-2024 FSC-klagomål mail.docx", "A 54110-2024")</f>
        <v/>
      </c>
      <c r="AA93">
        <f>HYPERLINK("https://klasma.github.io/Logging_0188/tillsyn/A 54110-2024 tillsynsbegäran.docx", "A 54110-2024")</f>
        <v/>
      </c>
      <c r="AB93">
        <f>HYPERLINK("https://klasma.github.io/Logging_0188/tillsynsmail/A 54110-2024 tillsynsbegäran mail.docx", "A 54110-2024")</f>
        <v/>
      </c>
    </row>
    <row r="94" ht="15" customHeight="1">
      <c r="A94" t="inlineStr">
        <is>
          <t>S 2204-2022</t>
        </is>
      </c>
      <c r="B94" t="inlineStr">
        <is>
          <t>samrådsanmälan</t>
        </is>
      </c>
      <c r="C94" t="inlineStr">
        <is>
          <t>Åtgärd i nyckelbiotop</t>
        </is>
      </c>
      <c r="D94" s="1" t="n">
        <v>44679</v>
      </c>
      <c r="E94" s="1" t="n">
        <v>46221</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Y94">
        <f>HYPERLINK("https://klasma.github.io/Logging_0188/klagomål/S 2204-2022 FSC-klagomål.docx", "S 2204-2022")</f>
        <v/>
      </c>
      <c r="Z94">
        <f>HYPERLINK("https://klasma.github.io/Logging_0188/klagomålsmail/S 2204-2022 FSC-klagomål mail.docx", "S 2204-2022")</f>
        <v/>
      </c>
      <c r="AA94">
        <f>HYPERLINK("https://klasma.github.io/Logging_0188/tillsyn/S 2204-2022 tillsynsbegäran.docx", "S 2204-2022")</f>
        <v/>
      </c>
      <c r="AB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46221</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Y95">
        <f>HYPERLINK("https://klasma.github.io/Logging_0188/klagomål/S 6469-2022 FSC-klagomål.docx", "S 6469-2022")</f>
        <v/>
      </c>
      <c r="Z95">
        <f>HYPERLINK("https://klasma.github.io/Logging_0188/klagomålsmail/S 6469-2022 FSC-klagomål mail.docx", "S 6469-2022")</f>
        <v/>
      </c>
      <c r="AA95">
        <f>HYPERLINK("https://klasma.github.io/Logging_0188/tillsyn/S 6469-2022 tillsynsbegäran.docx", "S 6469-2022")</f>
        <v/>
      </c>
      <c r="AB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46221</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Y96">
        <f>HYPERLINK("https://klasma.github.io/Logging_0188/klagomål/S 9808-2021 FSC-klagomål.docx", "S 9808-2021")</f>
        <v/>
      </c>
      <c r="Z96">
        <f>HYPERLINK("https://klasma.github.io/Logging_0188/klagomålsmail/S 9808-2021 FSC-klagomål mail.docx", "S 9808-2021")</f>
        <v/>
      </c>
      <c r="AA96">
        <f>HYPERLINK("https://klasma.github.io/Logging_0188/tillsyn/S 9808-2021 tillsynsbegäran.docx", "S 9808-2021")</f>
        <v/>
      </c>
      <c r="AB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46221</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Y97">
        <f>HYPERLINK("https://klasma.github.io/Logging_0188/klagomål/A 45113-2022 FSC-klagomål.docx", "A 45113-2022")</f>
        <v/>
      </c>
      <c r="Z97">
        <f>HYPERLINK("https://klasma.github.io/Logging_0188/klagomålsmail/A 45113-2022 FSC-klagomål mail.docx", "A 45113-2022")</f>
        <v/>
      </c>
      <c r="AA97">
        <f>HYPERLINK("https://klasma.github.io/Logging_0188/tillsyn/A 45113-2022 tillsynsbegäran.docx", "A 45113-2022")</f>
        <v/>
      </c>
      <c r="AB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46221</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s="2" t="inlineStr">
        <is>
          <t>Gulsparv
Slaguggla
Gullviva</t>
        </is>
      </c>
      <c r="V98">
        <f>HYPERLINK("https://klasma.github.io/Logging_0188/artfynd/A 30693-2022 artfynd.xlsx", "A 30693-2022")</f>
        <v/>
      </c>
      <c r="W98">
        <f>HYPERLINK("https://klasma.github.io/Logging_0188/kartor/A 30693-2022 karta.png", "A 30693-2022")</f>
        <v/>
      </c>
      <c r="Y98">
        <f>HYPERLINK("https://klasma.github.io/Logging_0188/klagomål/A 30693-2022 FSC-klagomål.docx", "A 30693-2022")</f>
        <v/>
      </c>
      <c r="Z98">
        <f>HYPERLINK("https://klasma.github.io/Logging_0188/klagomålsmail/A 30693-2022 FSC-klagomål mail.docx", "A 30693-2022")</f>
        <v/>
      </c>
      <c r="AA98">
        <f>HYPERLINK("https://klasma.github.io/Logging_0188/tillsyn/A 30693-2022 tillsynsbegäran.docx", "A 30693-2022")</f>
        <v/>
      </c>
      <c r="AB98">
        <f>HYPERLINK("https://klasma.github.io/Logging_0188/tillsynsmail/A 30693-2022 tillsynsbegäran mail.docx", "A 30693-2022")</f>
        <v/>
      </c>
      <c r="AC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46221</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s="2" t="inlineStr">
        <is>
          <t>Grönsiska
Skogsduva
Törnskata</t>
        </is>
      </c>
      <c r="V99">
        <f>HYPERLINK("https://klasma.github.io/Logging_0188/artfynd/A 40192-2023 artfynd.xlsx", "A 40192-2023")</f>
        <v/>
      </c>
      <c r="W99">
        <f>HYPERLINK("https://klasma.github.io/Logging_0188/kartor/A 40192-2023 karta.png", "A 40192-2023")</f>
        <v/>
      </c>
      <c r="Y99">
        <f>HYPERLINK("https://klasma.github.io/Logging_0188/klagomål/A 40192-2023 FSC-klagomål.docx", "A 40192-2023")</f>
        <v/>
      </c>
      <c r="Z99">
        <f>HYPERLINK("https://klasma.github.io/Logging_0188/klagomålsmail/A 40192-2023 FSC-klagomål mail.docx", "A 40192-2023")</f>
        <v/>
      </c>
      <c r="AA99">
        <f>HYPERLINK("https://klasma.github.io/Logging_0188/tillsyn/A 40192-2023 tillsynsbegäran.docx", "A 40192-2023")</f>
        <v/>
      </c>
      <c r="AB99">
        <f>HYPERLINK("https://klasma.github.io/Logging_0188/tillsynsmail/A 40192-2023 tillsynsbegäran mail.docx", "A 40192-2023")</f>
        <v/>
      </c>
      <c r="AC99">
        <f>HYPERLINK("https://klasma.github.io/Logging_0188/fåglar/A 40192-2023 prioriterade fågelarter.docx", "A 40192-2023")</f>
        <v/>
      </c>
    </row>
    <row r="100" ht="15" customHeight="1">
      <c r="A100" t="inlineStr">
        <is>
          <t>A 9914-2023</t>
        </is>
      </c>
      <c r="B100" t="inlineStr">
        <is>
          <t>avverkningsanmälan</t>
        </is>
      </c>
      <c r="C100" t="inlineStr">
        <is>
          <t>Föryngringsavverkning</t>
        </is>
      </c>
      <c r="D100" s="1" t="n">
        <v>44985</v>
      </c>
      <c r="E100" s="1" t="n">
        <v>46221</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s="2" t="inlineStr">
        <is>
          <t>Orange taggsvamp
Olivspindling
Zontaggsvamp</t>
        </is>
      </c>
      <c r="V100">
        <f>HYPERLINK("https://klasma.github.io/Logging_0188/artfynd/A 9914-2023 artfynd.xlsx", "A 9914-2023")</f>
        <v/>
      </c>
      <c r="W100">
        <f>HYPERLINK("https://klasma.github.io/Logging_0188/kartor/A 9914-2023 karta.png", "A 9914-2023")</f>
        <v/>
      </c>
      <c r="Y100">
        <f>HYPERLINK("https://klasma.github.io/Logging_0188/klagomål/A 9914-2023 FSC-klagomål.docx", "A 9914-2023")</f>
        <v/>
      </c>
      <c r="Z100">
        <f>HYPERLINK("https://klasma.github.io/Logging_0188/klagomålsmail/A 9914-2023 FSC-klagomål mail.docx", "A 9914-2023")</f>
        <v/>
      </c>
      <c r="AA100">
        <f>HYPERLINK("https://klasma.github.io/Logging_0188/tillsyn/A 9914-2023 tillsynsbegäran.docx", "A 9914-2023")</f>
        <v/>
      </c>
      <c r="AB100">
        <f>HYPERLINK("https://klasma.github.io/Logging_0188/tillsynsmail/A 9914-2023 tillsynsbegäran mail.docx", "A 9914-2023")</f>
        <v/>
      </c>
    </row>
    <row r="101" ht="15" customHeight="1">
      <c r="A101" t="inlineStr">
        <is>
          <t>A 20185-2022</t>
        </is>
      </c>
      <c r="B101" t="inlineStr">
        <is>
          <t>avverkningsanmälan</t>
        </is>
      </c>
      <c r="C101" t="inlineStr">
        <is>
          <t>Föryngringsavverkning</t>
        </is>
      </c>
      <c r="D101" s="1" t="n">
        <v>44698</v>
      </c>
      <c r="E101" s="1" t="n">
        <v>46221</v>
      </c>
      <c r="F101" t="inlineStr">
        <is>
          <t>STOCKHOLMS LÄN</t>
        </is>
      </c>
      <c r="G101" t="inlineStr">
        <is>
          <t>NORRTÄLJE</t>
        </is>
      </c>
      <c r="I101" t="n">
        <v>8.4</v>
      </c>
      <c r="J101" t="n">
        <v>1</v>
      </c>
      <c r="K101" t="n">
        <v>2</v>
      </c>
      <c r="L101" t="n">
        <v>0</v>
      </c>
      <c r="M101" t="n">
        <v>0</v>
      </c>
      <c r="N101" t="n">
        <v>0</v>
      </c>
      <c r="O101" t="n">
        <v>0</v>
      </c>
      <c r="P101" t="n">
        <v>0</v>
      </c>
      <c r="Q101" t="n">
        <v>0</v>
      </c>
      <c r="R101" t="n">
        <v>0</v>
      </c>
      <c r="S101" t="n">
        <v>3</v>
      </c>
      <c r="T101" t="n">
        <v>3</v>
      </c>
      <c r="U101" s="2" t="inlineStr">
        <is>
          <t>Gullgröppa
Vedticka
Tallbit</t>
        </is>
      </c>
      <c r="V101">
        <f>HYPERLINK("https://klasma.github.io/Logging_0188/artfynd/A 20185-2022 artfynd.xlsx", "A 20185-2022")</f>
        <v/>
      </c>
      <c r="W101">
        <f>HYPERLINK("https://klasma.github.io/Logging_0188/kartor/A 20185-2022 karta.png", "A 20185-2022")</f>
        <v/>
      </c>
      <c r="Y101">
        <f>HYPERLINK("https://klasma.github.io/Logging_0188/klagomål/A 20185-2022 FSC-klagomål.docx", "A 20185-2022")</f>
        <v/>
      </c>
      <c r="Z101">
        <f>HYPERLINK("https://klasma.github.io/Logging_0188/klagomålsmail/A 20185-2022 FSC-klagomål mail.docx", "A 20185-2022")</f>
        <v/>
      </c>
      <c r="AA101">
        <f>HYPERLINK("https://klasma.github.io/Logging_0188/tillsyn/A 20185-2022 tillsynsbegäran.docx", "A 20185-2022")</f>
        <v/>
      </c>
      <c r="AB101">
        <f>HYPERLINK("https://klasma.github.io/Logging_0188/tillsynsmail/A 20185-2022 tillsynsbegäran mail.docx", "A 20185-2022")</f>
        <v/>
      </c>
      <c r="AC101">
        <f>HYPERLINK("https://klasma.github.io/Logging_0188/fåglar/A 20185-2022 prioriterade fågelarter.docx", "A 20185-2022")</f>
        <v/>
      </c>
    </row>
    <row r="102" ht="15" customHeight="1">
      <c r="A102" t="inlineStr">
        <is>
          <t>A 52776-2025</t>
        </is>
      </c>
      <c r="B102" t="inlineStr">
        <is>
          <t>avverkningsanmälan</t>
        </is>
      </c>
      <c r="C102" t="inlineStr">
        <is>
          <t>Föryngringsavverkning</t>
        </is>
      </c>
      <c r="D102" s="1" t="n">
        <v>45957</v>
      </c>
      <c r="E102" s="1" t="n">
        <v>46221</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s="2" t="inlineStr">
        <is>
          <t>Slaguggla
Sångsvan
Trana</t>
        </is>
      </c>
      <c r="V102">
        <f>HYPERLINK("https://klasma.github.io/Logging_0188/artfynd/A 52776-2025 artfynd.xlsx", "A 52776-2025")</f>
        <v/>
      </c>
      <c r="W102">
        <f>HYPERLINK("https://klasma.github.io/Logging_0188/kartor/A 52776-2025 karta.png", "A 52776-2025")</f>
        <v/>
      </c>
      <c r="Y102">
        <f>HYPERLINK("https://klasma.github.io/Logging_0188/klagomål/A 52776-2025 FSC-klagomål.docx", "A 52776-2025")</f>
        <v/>
      </c>
      <c r="Z102">
        <f>HYPERLINK("https://klasma.github.io/Logging_0188/klagomålsmail/A 52776-2025 FSC-klagomål mail.docx", "A 52776-2025")</f>
        <v/>
      </c>
      <c r="AA102">
        <f>HYPERLINK("https://klasma.github.io/Logging_0188/tillsyn/A 52776-2025 tillsynsbegäran.docx", "A 52776-2025")</f>
        <v/>
      </c>
      <c r="AB102">
        <f>HYPERLINK("https://klasma.github.io/Logging_0188/tillsynsmail/A 52776-2025 tillsynsbegäran mail.docx", "A 52776-2025")</f>
        <v/>
      </c>
      <c r="AC102">
        <f>HYPERLINK("https://klasma.github.io/Logging_0188/fåglar/A 52776-2025 prioriterade fågelarter.docx", "A 52776-2025")</f>
        <v/>
      </c>
    </row>
    <row r="103" ht="15" customHeight="1">
      <c r="A103" t="inlineStr">
        <is>
          <t>A 19829-2022</t>
        </is>
      </c>
      <c r="B103" t="inlineStr">
        <is>
          <t>avverkningsanmälan</t>
        </is>
      </c>
      <c r="C103" t="inlineStr">
        <is>
          <t>Föryngringsavverkning</t>
        </is>
      </c>
      <c r="D103" s="1" t="n">
        <v>44695</v>
      </c>
      <c r="E103" s="1" t="n">
        <v>46221</v>
      </c>
      <c r="F103" t="inlineStr">
        <is>
          <t>STOCKHOLMS LÄN</t>
        </is>
      </c>
      <c r="G103" t="inlineStr">
        <is>
          <t>NORRTÄLJE</t>
        </is>
      </c>
      <c r="I103" t="n">
        <v>2</v>
      </c>
      <c r="J103" t="n">
        <v>3</v>
      </c>
      <c r="K103" t="n">
        <v>3</v>
      </c>
      <c r="L103" t="n">
        <v>0</v>
      </c>
      <c r="M103" t="n">
        <v>0</v>
      </c>
      <c r="N103" t="n">
        <v>0</v>
      </c>
      <c r="O103" t="n">
        <v>0</v>
      </c>
      <c r="P103" t="n">
        <v>0</v>
      </c>
      <c r="Q103" t="n">
        <v>0</v>
      </c>
      <c r="R103" t="n">
        <v>0</v>
      </c>
      <c r="S103" t="n">
        <v>3</v>
      </c>
      <c r="T103" t="n">
        <v>4</v>
      </c>
      <c r="U103" s="2" t="inlineStr">
        <is>
          <t>Guckusko
Skogsknipprot
Tvåblad</t>
        </is>
      </c>
      <c r="V103">
        <f>HYPERLINK("https://klasma.github.io/Logging_0188/artfynd/A 19829-2022 artfynd.xlsx", "A 19829-2022")</f>
        <v/>
      </c>
      <c r="W103">
        <f>HYPERLINK("https://klasma.github.io/Logging_0188/kartor/A 19829-2022 karta.png", "A 19829-2022")</f>
        <v/>
      </c>
      <c r="Y103">
        <f>HYPERLINK("https://klasma.github.io/Logging_0188/klagomål/A 19829-2022 FSC-klagomål.docx", "A 19829-2022")</f>
        <v/>
      </c>
      <c r="Z103">
        <f>HYPERLINK("https://klasma.github.io/Logging_0188/klagomålsmail/A 19829-2022 FSC-klagomål mail.docx", "A 19829-2022")</f>
        <v/>
      </c>
      <c r="AA103">
        <f>HYPERLINK("https://klasma.github.io/Logging_0188/tillsyn/A 19829-2022 tillsynsbegäran.docx", "A 19829-2022")</f>
        <v/>
      </c>
      <c r="AB103">
        <f>HYPERLINK("https://klasma.github.io/Logging_0188/tillsynsmail/A 19829-2022 tillsynsbegäran mail.docx", "A 19829-2022")</f>
        <v/>
      </c>
    </row>
    <row r="104" ht="15" customHeight="1">
      <c r="A104" t="inlineStr">
        <is>
          <t>A 364-2026</t>
        </is>
      </c>
      <c r="B104" t="inlineStr">
        <is>
          <t>avverkningsanmälan</t>
        </is>
      </c>
      <c r="C104" t="inlineStr">
        <is>
          <t>Föryngringsavverkning</t>
        </is>
      </c>
      <c r="D104" s="1" t="n">
        <v>46027</v>
      </c>
      <c r="E104" s="1" t="n">
        <v>46221</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s="2" t="inlineStr">
        <is>
          <t>Asknätfjäril
Vårärt
Guckusko</t>
        </is>
      </c>
      <c r="V104">
        <f>HYPERLINK("https://klasma.github.io/Logging_0188/artfynd/A 364-2026 artfynd.xlsx", "A 364-2026")</f>
        <v/>
      </c>
      <c r="W104">
        <f>HYPERLINK("https://klasma.github.io/Logging_0188/kartor/A 364-2026 karta.png", "A 364-2026")</f>
        <v/>
      </c>
      <c r="Y104">
        <f>HYPERLINK("https://klasma.github.io/Logging_0188/klagomål/A 364-2026 FSC-klagomål.docx", "A 364-2026")</f>
        <v/>
      </c>
      <c r="Z104">
        <f>HYPERLINK("https://klasma.github.io/Logging_0188/klagomålsmail/A 364-2026 FSC-klagomål mail.docx", "A 364-2026")</f>
        <v/>
      </c>
      <c r="AA104">
        <f>HYPERLINK("https://klasma.github.io/Logging_0188/tillsyn/A 364-2026 tillsynsbegäran.docx", "A 364-2026")</f>
        <v/>
      </c>
      <c r="AB104">
        <f>HYPERLINK("https://klasma.github.io/Logging_0188/tillsynsmail/A 364-2026 tillsynsbegäran mail.docx", "A 364-2026")</f>
        <v/>
      </c>
    </row>
    <row r="105" ht="15" customHeight="1">
      <c r="A105" t="inlineStr">
        <is>
          <t>A 52360-2024</t>
        </is>
      </c>
      <c r="B105" t="inlineStr">
        <is>
          <t>avverkningsanmälan</t>
        </is>
      </c>
      <c r="C105" t="inlineStr">
        <is>
          <t>Föryngringsavverkning</t>
        </is>
      </c>
      <c r="D105" s="1" t="n">
        <v>45609</v>
      </c>
      <c r="E105" s="1" t="n">
        <v>46221</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s="2" t="inlineStr">
        <is>
          <t>Brandticka
Blåsippa
Revlummer</t>
        </is>
      </c>
      <c r="V105">
        <f>HYPERLINK("https://klasma.github.io/Logging_0188/artfynd/A 52360-2024 artfynd.xlsx", "A 52360-2024")</f>
        <v/>
      </c>
      <c r="W105">
        <f>HYPERLINK("https://klasma.github.io/Logging_0188/kartor/A 52360-2024 karta.png", "A 52360-2024")</f>
        <v/>
      </c>
      <c r="Y105">
        <f>HYPERLINK("https://klasma.github.io/Logging_0188/klagomål/A 52360-2024 FSC-klagomål.docx", "A 52360-2024")</f>
        <v/>
      </c>
      <c r="Z105">
        <f>HYPERLINK("https://klasma.github.io/Logging_0188/klagomålsmail/A 52360-2024 FSC-klagomål mail.docx", "A 52360-2024")</f>
        <v/>
      </c>
      <c r="AA105">
        <f>HYPERLINK("https://klasma.github.io/Logging_0188/tillsyn/A 52360-2024 tillsynsbegäran.docx", "A 52360-2024")</f>
        <v/>
      </c>
      <c r="AB105">
        <f>HYPERLINK("https://klasma.github.io/Logging_0188/tillsynsmail/A 52360-2024 tillsynsbegäran mail.docx", "A 52360-2024")</f>
        <v/>
      </c>
    </row>
    <row r="106" ht="15" customHeight="1">
      <c r="A106" t="inlineStr">
        <is>
          <t>A 16870-2025</t>
        </is>
      </c>
      <c r="B106" t="inlineStr">
        <is>
          <t>avverkningsanmälan</t>
        </is>
      </c>
      <c r="C106" t="inlineStr">
        <is>
          <t>Avverkning för annat ändamål</t>
        </is>
      </c>
      <c r="D106" s="1" t="n">
        <v>45754</v>
      </c>
      <c r="E106" s="1" t="n">
        <v>46221</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s="2" t="inlineStr">
        <is>
          <t>Getrams
Kärrviol
Vanlig groda</t>
        </is>
      </c>
      <c r="V106">
        <f>HYPERLINK("https://klasma.github.io/Logging_0188/artfynd/A 16870-2025 artfynd.xlsx", "A 16870-2025")</f>
        <v/>
      </c>
      <c r="W106">
        <f>HYPERLINK("https://klasma.github.io/Logging_0188/kartor/A 16870-2025 karta.png", "A 16870-2025")</f>
        <v/>
      </c>
      <c r="Y106">
        <f>HYPERLINK("https://klasma.github.io/Logging_0188/klagomål/A 16870-2025 FSC-klagomål.docx", "A 16870-2025")</f>
        <v/>
      </c>
      <c r="Z106">
        <f>HYPERLINK("https://klasma.github.io/Logging_0188/klagomålsmail/A 16870-2025 FSC-klagomål mail.docx", "A 16870-2025")</f>
        <v/>
      </c>
      <c r="AA106">
        <f>HYPERLINK("https://klasma.github.io/Logging_0188/tillsyn/A 16870-2025 tillsynsbegäran.docx", "A 16870-2025")</f>
        <v/>
      </c>
      <c r="AB106">
        <f>HYPERLINK("https://klasma.github.io/Logging_0188/tillsynsmail/A 16870-2025 tillsynsbegäran mail.docx", "A 16870-2025")</f>
        <v/>
      </c>
    </row>
    <row r="107" ht="15" customHeight="1">
      <c r="A107" t="inlineStr">
        <is>
          <t>A 50618-2022</t>
        </is>
      </c>
      <c r="B107" t="inlineStr">
        <is>
          <t>avverkningsanmälan</t>
        </is>
      </c>
      <c r="C107" t="inlineStr">
        <is>
          <t>Avverkning för annat ändamål</t>
        </is>
      </c>
      <c r="D107" s="1" t="n">
        <v>44866</v>
      </c>
      <c r="E107" s="1" t="n">
        <v>46221</v>
      </c>
      <c r="F107" t="inlineStr">
        <is>
          <t>STOCKHOLMS LÄN</t>
        </is>
      </c>
      <c r="G107" t="inlineStr">
        <is>
          <t>NORRTÄLJE</t>
        </is>
      </c>
      <c r="I107" t="n">
        <v>7.8</v>
      </c>
      <c r="J107" t="n">
        <v>2</v>
      </c>
      <c r="K107" t="n">
        <v>1</v>
      </c>
      <c r="L107" t="n">
        <v>1</v>
      </c>
      <c r="M107" t="n">
        <v>0</v>
      </c>
      <c r="N107" t="n">
        <v>0</v>
      </c>
      <c r="O107" t="n">
        <v>0</v>
      </c>
      <c r="P107" t="n">
        <v>0</v>
      </c>
      <c r="Q107" t="n">
        <v>1</v>
      </c>
      <c r="R107" t="n">
        <v>0</v>
      </c>
      <c r="S107" t="n">
        <v>3</v>
      </c>
      <c r="T107" t="n">
        <v>6</v>
      </c>
      <c r="U107" s="2" t="inlineStr">
        <is>
          <t>Vårärt
Skogsknipprot
Blåsippa</t>
        </is>
      </c>
      <c r="V107">
        <f>HYPERLINK("https://klasma.github.io/Logging_0188/artfynd/A 50618-2022 artfynd.xlsx", "A 50618-2022")</f>
        <v/>
      </c>
      <c r="W107">
        <f>HYPERLINK("https://klasma.github.io/Logging_0188/kartor/A 50618-2022 karta.png", "A 50618-2022")</f>
        <v/>
      </c>
      <c r="Y107">
        <f>HYPERLINK("https://klasma.github.io/Logging_0188/klagomål/A 50618-2022 FSC-klagomål.docx", "A 50618-2022")</f>
        <v/>
      </c>
      <c r="Z107">
        <f>HYPERLINK("https://klasma.github.io/Logging_0188/klagomålsmail/A 50618-2022 FSC-klagomål mail.docx", "A 50618-2022")</f>
        <v/>
      </c>
      <c r="AA107">
        <f>HYPERLINK("https://klasma.github.io/Logging_0188/tillsyn/A 50618-2022 tillsynsbegäran.docx", "A 50618-2022")</f>
        <v/>
      </c>
      <c r="AB107">
        <f>HYPERLINK("https://klasma.github.io/Logging_0188/tillsynsmail/A 50618-2022 tillsynsbegäran mail.docx", "A 50618-2022")</f>
        <v/>
      </c>
    </row>
    <row r="108" ht="15" customHeight="1">
      <c r="A108" t="inlineStr">
        <is>
          <t>A 26399-2026</t>
        </is>
      </c>
      <c r="B108" t="inlineStr">
        <is>
          <t>avverkningsanmälan</t>
        </is>
      </c>
      <c r="C108" t="inlineStr">
        <is>
          <t>Föryngringsavverkning</t>
        </is>
      </c>
      <c r="D108" s="1" t="n">
        <v>46183</v>
      </c>
      <c r="E108" s="1" t="n">
        <v>46221</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s="2" t="inlineStr">
        <is>
          <t>Asknätfjäril
Spinnfingersvamp
Stor aspticka</t>
        </is>
      </c>
      <c r="V108">
        <f>HYPERLINK("https://klasma.github.io/Logging_0188/artfynd/A 26399-2026 artfynd.xlsx", "A 26399-2026")</f>
        <v/>
      </c>
      <c r="W108">
        <f>HYPERLINK("https://klasma.github.io/Logging_0188/kartor/A 26399-2026 karta.png", "A 26399-2026")</f>
        <v/>
      </c>
      <c r="Y108">
        <f>HYPERLINK("https://klasma.github.io/Logging_0188/klagomål/A 26399-2026 FSC-klagomål.docx", "A 26399-2026")</f>
        <v/>
      </c>
      <c r="Z108">
        <f>HYPERLINK("https://klasma.github.io/Logging_0188/klagomålsmail/A 26399-2026 FSC-klagomål mail.docx", "A 26399-2026")</f>
        <v/>
      </c>
      <c r="AA108">
        <f>HYPERLINK("https://klasma.github.io/Logging_0188/tillsyn/A 26399-2026 tillsynsbegäran.docx", "A 26399-2026")</f>
        <v/>
      </c>
      <c r="AB108">
        <f>HYPERLINK("https://klasma.github.io/Logging_0188/tillsynsmail/A 26399-2026 tillsynsbegäran mail.docx", "A 26399-2026")</f>
        <v/>
      </c>
    </row>
    <row r="109" ht="15" customHeight="1">
      <c r="A109" t="inlineStr">
        <is>
          <t>A 26525-2026</t>
        </is>
      </c>
      <c r="B109" t="inlineStr">
        <is>
          <t>avverkningsanmälan</t>
        </is>
      </c>
      <c r="C109" t="inlineStr">
        <is>
          <t>Föryngringsavverkning</t>
        </is>
      </c>
      <c r="D109" s="1" t="n">
        <v>46183</v>
      </c>
      <c r="E109" s="1" t="n">
        <v>46221</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s="2" t="inlineStr">
        <is>
          <t>Fjällig taggsvamp s.str.
Skarp dropptaggsvamp
Olivspindling</t>
        </is>
      </c>
      <c r="V109">
        <f>HYPERLINK("https://klasma.github.io/Logging_0188/artfynd/A 26525-2026 artfynd.xlsx", "A 26525-2026")</f>
        <v/>
      </c>
      <c r="W109">
        <f>HYPERLINK("https://klasma.github.io/Logging_0188/kartor/A 26525-2026 karta.png", "A 26525-2026")</f>
        <v/>
      </c>
      <c r="Y109">
        <f>HYPERLINK("https://klasma.github.io/Logging_0188/klagomål/A 26525-2026 FSC-klagomål.docx", "A 26525-2026")</f>
        <v/>
      </c>
      <c r="Z109">
        <f>HYPERLINK("https://klasma.github.io/Logging_0188/klagomålsmail/A 26525-2026 FSC-klagomål mail.docx", "A 26525-2026")</f>
        <v/>
      </c>
      <c r="AA109">
        <f>HYPERLINK("https://klasma.github.io/Logging_0188/tillsyn/A 26525-2026 tillsynsbegäran.docx", "A 26525-2026")</f>
        <v/>
      </c>
      <c r="AB109">
        <f>HYPERLINK("https://klasma.github.io/Logging_0188/tillsynsmail/A 26525-2026 tillsynsbegäran mail.docx", "A 26525-2026")</f>
        <v/>
      </c>
    </row>
    <row r="110" ht="15" customHeight="1">
      <c r="A110" t="inlineStr">
        <is>
          <t>A 14365-2025</t>
        </is>
      </c>
      <c r="B110" t="inlineStr">
        <is>
          <t>avverkningsanmälan</t>
        </is>
      </c>
      <c r="C110" t="inlineStr">
        <is>
          <t>Föryngringsavverkning</t>
        </is>
      </c>
      <c r="D110" s="1" t="n">
        <v>45741</v>
      </c>
      <c r="E110" s="1" t="n">
        <v>46221</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s="2" t="inlineStr">
        <is>
          <t>Adam och eva
Jungfrulin
Underviol</t>
        </is>
      </c>
      <c r="V110">
        <f>HYPERLINK("https://klasma.github.io/Logging_0188/artfynd/A 14365-2025 artfynd.xlsx", "A 14365-2025")</f>
        <v/>
      </c>
      <c r="W110">
        <f>HYPERLINK("https://klasma.github.io/Logging_0188/kartor/A 14365-2025 karta.png", "A 14365-2025")</f>
        <v/>
      </c>
      <c r="Y110">
        <f>HYPERLINK("https://klasma.github.io/Logging_0188/klagomål/A 14365-2025 FSC-klagomål.docx", "A 14365-2025")</f>
        <v/>
      </c>
      <c r="Z110">
        <f>HYPERLINK("https://klasma.github.io/Logging_0188/klagomålsmail/A 14365-2025 FSC-klagomål mail.docx", "A 14365-2025")</f>
        <v/>
      </c>
      <c r="AA110">
        <f>HYPERLINK("https://klasma.github.io/Logging_0188/tillsyn/A 14365-2025 tillsynsbegäran.docx", "A 14365-2025")</f>
        <v/>
      </c>
      <c r="AB110">
        <f>HYPERLINK("https://klasma.github.io/Logging_0188/tillsynsmail/A 14365-2025 tillsynsbegäran mail.docx", "A 14365-2025")</f>
        <v/>
      </c>
    </row>
    <row r="111" ht="15" customHeight="1">
      <c r="A111" t="inlineStr">
        <is>
          <t>A 31281-2022</t>
        </is>
      </c>
      <c r="B111" t="inlineStr">
        <is>
          <t>avverkningsanmälan</t>
        </is>
      </c>
      <c r="C111" t="inlineStr">
        <is>
          <t>Föryngringsavverkning</t>
        </is>
      </c>
      <c r="D111" s="1" t="n">
        <v>44771</v>
      </c>
      <c r="E111" s="1" t="n">
        <v>46221</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s="2" t="inlineStr">
        <is>
          <t>Nattskärra
Kråka
Näktergal</t>
        </is>
      </c>
      <c r="V111">
        <f>HYPERLINK("https://klasma.github.io/Logging_0188/artfynd/A 31281-2022 artfynd.xlsx", "A 31281-2022")</f>
        <v/>
      </c>
      <c r="W111">
        <f>HYPERLINK("https://klasma.github.io/Logging_0188/kartor/A 31281-2022 karta.png", "A 31281-2022")</f>
        <v/>
      </c>
      <c r="Y111">
        <f>HYPERLINK("https://klasma.github.io/Logging_0188/klagomål/A 31281-2022 FSC-klagomål.docx", "A 31281-2022")</f>
        <v/>
      </c>
      <c r="Z111">
        <f>HYPERLINK("https://klasma.github.io/Logging_0188/klagomålsmail/A 31281-2022 FSC-klagomål mail.docx", "A 31281-2022")</f>
        <v/>
      </c>
      <c r="AA111">
        <f>HYPERLINK("https://klasma.github.io/Logging_0188/tillsyn/A 31281-2022 tillsynsbegäran.docx", "A 31281-2022")</f>
        <v/>
      </c>
      <c r="AB111">
        <f>HYPERLINK("https://klasma.github.io/Logging_0188/tillsynsmail/A 31281-2022 tillsynsbegäran mail.docx", "A 31281-2022")</f>
        <v/>
      </c>
      <c r="AC111">
        <f>HYPERLINK("https://klasma.github.io/Logging_0188/fåglar/A 31281-2022 prioriterade fågelarter.docx", "A 31281-2022")</f>
        <v/>
      </c>
    </row>
    <row r="112" ht="15" customHeight="1">
      <c r="A112" t="inlineStr">
        <is>
          <t>A 23548-2026</t>
        </is>
      </c>
      <c r="B112" t="inlineStr">
        <is>
          <t>avverkningsanmälan</t>
        </is>
      </c>
      <c r="C112" t="inlineStr">
        <is>
          <t>Föryngringsavverkning</t>
        </is>
      </c>
      <c r="D112" s="1" t="n">
        <v>46163</v>
      </c>
      <c r="E112" s="1" t="n">
        <v>46221</v>
      </c>
      <c r="F112" t="inlineStr">
        <is>
          <t>STOCKHOLMS LÄN</t>
        </is>
      </c>
      <c r="G112" t="inlineStr">
        <is>
          <t>NORRTÄLJE</t>
        </is>
      </c>
      <c r="I112" t="n">
        <v>2.3</v>
      </c>
      <c r="J112" t="n">
        <v>2</v>
      </c>
      <c r="K112" t="n">
        <v>0</v>
      </c>
      <c r="L112" t="n">
        <v>1</v>
      </c>
      <c r="M112" t="n">
        <v>0</v>
      </c>
      <c r="N112" t="n">
        <v>0</v>
      </c>
      <c r="O112" t="n">
        <v>0</v>
      </c>
      <c r="P112" t="n">
        <v>0</v>
      </c>
      <c r="Q112" t="n">
        <v>1</v>
      </c>
      <c r="R112" t="n">
        <v>0</v>
      </c>
      <c r="S112" t="n">
        <v>3</v>
      </c>
      <c r="T112" t="n">
        <v>3</v>
      </c>
      <c r="U112" s="2" t="inlineStr">
        <is>
          <t>Backklöver
Nattviol × grönvit nattviol
Ängsnattviol × grönvit nattviol</t>
        </is>
      </c>
      <c r="V112">
        <f>HYPERLINK("https://klasma.github.io/Logging_0188/artfynd/A 23548-2026 artfynd.xlsx", "A 23548-2026")</f>
        <v/>
      </c>
      <c r="W112">
        <f>HYPERLINK("https://klasma.github.io/Logging_0188/kartor/A 23548-2026 karta.png", "A 23548-2026")</f>
        <v/>
      </c>
      <c r="Y112">
        <f>HYPERLINK("https://klasma.github.io/Logging_0188/klagomål/A 23548-2026 FSC-klagomål.docx", "A 23548-2026")</f>
        <v/>
      </c>
      <c r="Z112">
        <f>HYPERLINK("https://klasma.github.io/Logging_0188/klagomålsmail/A 23548-2026 FSC-klagomål mail.docx", "A 23548-2026")</f>
        <v/>
      </c>
      <c r="AA112">
        <f>HYPERLINK("https://klasma.github.io/Logging_0188/tillsyn/A 23548-2026 tillsynsbegäran.docx", "A 23548-2026")</f>
        <v/>
      </c>
      <c r="AB112">
        <f>HYPERLINK("https://klasma.github.io/Logging_0188/tillsynsmail/A 23548-2026 tillsynsbegäran mail.docx", "A 23548-2026")</f>
        <v/>
      </c>
    </row>
    <row r="113" ht="15" customHeight="1">
      <c r="A113" t="inlineStr">
        <is>
          <t>A 27827-2022</t>
        </is>
      </c>
      <c r="B113" t="inlineStr">
        <is>
          <t>avverkningsanmälan</t>
        </is>
      </c>
      <c r="C113" t="inlineStr">
        <is>
          <t>Föryngringsavverkning</t>
        </is>
      </c>
      <c r="D113" s="1" t="n">
        <v>44743</v>
      </c>
      <c r="E113" s="1" t="n">
        <v>46221</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s="2" t="inlineStr">
        <is>
          <t>Ask
Berggräsfjäril
Nordfladdermus</t>
        </is>
      </c>
      <c r="V113">
        <f>HYPERLINK("https://klasma.github.io/Logging_0188/artfynd/A 27827-2022 artfynd.xlsx", "A 27827-2022")</f>
        <v/>
      </c>
      <c r="W113">
        <f>HYPERLINK("https://klasma.github.io/Logging_0188/kartor/A 27827-2022 karta.png", "A 27827-2022")</f>
        <v/>
      </c>
      <c r="Y113">
        <f>HYPERLINK("https://klasma.github.io/Logging_0188/klagomål/A 27827-2022 FSC-klagomål.docx", "A 27827-2022")</f>
        <v/>
      </c>
      <c r="Z113">
        <f>HYPERLINK("https://klasma.github.io/Logging_0188/klagomålsmail/A 27827-2022 FSC-klagomål mail.docx", "A 27827-2022")</f>
        <v/>
      </c>
      <c r="AA113">
        <f>HYPERLINK("https://klasma.github.io/Logging_0188/tillsyn/A 27827-2022 tillsynsbegäran.docx", "A 27827-2022")</f>
        <v/>
      </c>
      <c r="AB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46221</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Y114">
        <f>HYPERLINK("https://klasma.github.io/Logging_0188/klagomål/S 1342-2022 FSC-klagomål.docx", "S 1342-2022")</f>
        <v/>
      </c>
      <c r="Z114">
        <f>HYPERLINK("https://klasma.github.io/Logging_0188/klagomålsmail/S 1342-2022 FSC-klagomål mail.docx", "S 1342-2022")</f>
        <v/>
      </c>
      <c r="AA114">
        <f>HYPERLINK("https://klasma.github.io/Logging_0188/tillsyn/S 1342-2022 tillsynsbegäran.docx", "S 1342-2022")</f>
        <v/>
      </c>
      <c r="AB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46221</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Y115">
        <f>HYPERLINK("https://klasma.github.io/Logging_0188/klagomål/S 5107-2024 FSC-klagomål.docx", "S 5107-2024")</f>
        <v/>
      </c>
      <c r="Z115">
        <f>HYPERLINK("https://klasma.github.io/Logging_0188/klagomålsmail/S 5107-2024 FSC-klagomål mail.docx", "S 5107-2024")</f>
        <v/>
      </c>
      <c r="AA115">
        <f>HYPERLINK("https://klasma.github.io/Logging_0188/tillsyn/S 5107-2024 tillsynsbegäran.docx", "S 5107-2024")</f>
        <v/>
      </c>
      <c r="AB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46221</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Y116">
        <f>HYPERLINK("https://klasma.github.io/Logging_0188/klagomål/A 5351-2022 FSC-klagomål.docx", "A 5351-2022")</f>
        <v/>
      </c>
      <c r="Z116">
        <f>HYPERLINK("https://klasma.github.io/Logging_0188/klagomålsmail/A 5351-2022 FSC-klagomål mail.docx", "A 5351-2022")</f>
        <v/>
      </c>
      <c r="AA116">
        <f>HYPERLINK("https://klasma.github.io/Logging_0188/tillsyn/A 5351-2022 tillsynsbegäran.docx", "A 5351-2022")</f>
        <v/>
      </c>
      <c r="AB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46221</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s="2" t="inlineStr">
        <is>
          <t>Hartmansstarr
Backklöver</t>
        </is>
      </c>
      <c r="V117">
        <f>HYPERLINK("https://klasma.github.io/Logging_0188/artfynd/A 53884-2022 artfynd.xlsx", "A 53884-2022")</f>
        <v/>
      </c>
      <c r="W117">
        <f>HYPERLINK("https://klasma.github.io/Logging_0188/kartor/A 53884-2022 karta.png", "A 53884-2022")</f>
        <v/>
      </c>
      <c r="Y117">
        <f>HYPERLINK("https://klasma.github.io/Logging_0188/klagomål/A 53884-2022 FSC-klagomål.docx", "A 53884-2022")</f>
        <v/>
      </c>
      <c r="Z117">
        <f>HYPERLINK("https://klasma.github.io/Logging_0188/klagomålsmail/A 53884-2022 FSC-klagomål mail.docx", "A 53884-2022")</f>
        <v/>
      </c>
      <c r="AA117">
        <f>HYPERLINK("https://klasma.github.io/Logging_0188/tillsyn/A 53884-2022 tillsynsbegäran.docx", "A 53884-2022")</f>
        <v/>
      </c>
      <c r="AB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46221</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s="2" t="inlineStr">
        <is>
          <t>Tvåblad
Slaguggla</t>
        </is>
      </c>
      <c r="V118">
        <f>HYPERLINK("https://klasma.github.io/Logging_0188/artfynd/A 62030-2021 artfynd.xlsx", "A 62030-2021")</f>
        <v/>
      </c>
      <c r="W118">
        <f>HYPERLINK("https://klasma.github.io/Logging_0188/kartor/A 62030-2021 karta.png", "A 62030-2021")</f>
        <v/>
      </c>
      <c r="Y118">
        <f>HYPERLINK("https://klasma.github.io/Logging_0188/klagomål/A 62030-2021 FSC-klagomål.docx", "A 62030-2021")</f>
        <v/>
      </c>
      <c r="Z118">
        <f>HYPERLINK("https://klasma.github.io/Logging_0188/klagomålsmail/A 62030-2021 FSC-klagomål mail.docx", "A 62030-2021")</f>
        <v/>
      </c>
      <c r="AA118">
        <f>HYPERLINK("https://klasma.github.io/Logging_0188/tillsyn/A 62030-2021 tillsynsbegäran.docx", "A 62030-2021")</f>
        <v/>
      </c>
      <c r="AB118">
        <f>HYPERLINK("https://klasma.github.io/Logging_0188/tillsynsmail/A 62030-2021 tillsynsbegäran mail.docx", "A 62030-2021")</f>
        <v/>
      </c>
      <c r="AC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46221</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s="2" t="inlineStr">
        <is>
          <t>Fläckfingersvamp
Orange taggsvamp</t>
        </is>
      </c>
      <c r="V119">
        <f>HYPERLINK("https://klasma.github.io/Logging_0188/artfynd/A 41823-2021 artfynd.xlsx", "A 41823-2021")</f>
        <v/>
      </c>
      <c r="W119">
        <f>HYPERLINK("https://klasma.github.io/Logging_0188/kartor/A 41823-2021 karta.png", "A 41823-2021")</f>
        <v/>
      </c>
      <c r="Y119">
        <f>HYPERLINK("https://klasma.github.io/Logging_0188/klagomål/A 41823-2021 FSC-klagomål.docx", "A 41823-2021")</f>
        <v/>
      </c>
      <c r="Z119">
        <f>HYPERLINK("https://klasma.github.io/Logging_0188/klagomålsmail/A 41823-2021 FSC-klagomål mail.docx", "A 41823-2021")</f>
        <v/>
      </c>
      <c r="AA119">
        <f>HYPERLINK("https://klasma.github.io/Logging_0188/tillsyn/A 41823-2021 tillsynsbegäran.docx", "A 41823-2021")</f>
        <v/>
      </c>
      <c r="AB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46221</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s="2" t="inlineStr">
        <is>
          <t>Bronshjon
Grovticka</t>
        </is>
      </c>
      <c r="V120">
        <f>HYPERLINK("https://klasma.github.io/Logging_0188/artfynd/A 38991-2022 artfynd.xlsx", "A 38991-2022")</f>
        <v/>
      </c>
      <c r="W120">
        <f>HYPERLINK("https://klasma.github.io/Logging_0188/kartor/A 38991-2022 karta.png", "A 38991-2022")</f>
        <v/>
      </c>
      <c r="Y120">
        <f>HYPERLINK("https://klasma.github.io/Logging_0188/klagomål/A 38991-2022 FSC-klagomål.docx", "A 38991-2022")</f>
        <v/>
      </c>
      <c r="Z120">
        <f>HYPERLINK("https://klasma.github.io/Logging_0188/klagomålsmail/A 38991-2022 FSC-klagomål mail.docx", "A 38991-2022")</f>
        <v/>
      </c>
      <c r="AA120">
        <f>HYPERLINK("https://klasma.github.io/Logging_0188/tillsyn/A 38991-2022 tillsynsbegäran.docx", "A 38991-2022")</f>
        <v/>
      </c>
      <c r="AB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46221</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s="2" t="inlineStr">
        <is>
          <t>Ullticka
Blåsippa</t>
        </is>
      </c>
      <c r="V121">
        <f>HYPERLINK("https://klasma.github.io/Logging_0188/artfynd/A 51220-2023 artfynd.xlsx", "A 51220-2023")</f>
        <v/>
      </c>
      <c r="W121">
        <f>HYPERLINK("https://klasma.github.io/Logging_0188/kartor/A 51220-2023 karta.png", "A 51220-2023")</f>
        <v/>
      </c>
      <c r="Y121">
        <f>HYPERLINK("https://klasma.github.io/Logging_0188/klagomål/A 51220-2023 FSC-klagomål.docx", "A 51220-2023")</f>
        <v/>
      </c>
      <c r="Z121">
        <f>HYPERLINK("https://klasma.github.io/Logging_0188/klagomålsmail/A 51220-2023 FSC-klagomål mail.docx", "A 51220-2023")</f>
        <v/>
      </c>
      <c r="AA121">
        <f>HYPERLINK("https://klasma.github.io/Logging_0188/tillsyn/A 51220-2023 tillsynsbegäran.docx", "A 51220-2023")</f>
        <v/>
      </c>
      <c r="AB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46221</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s="2" t="inlineStr">
        <is>
          <t>Mindre hackspett
Sävsparv</t>
        </is>
      </c>
      <c r="V122">
        <f>HYPERLINK("https://klasma.github.io/Logging_0188/artfynd/A 12629-2024 artfynd.xlsx", "A 12629-2024")</f>
        <v/>
      </c>
      <c r="W122">
        <f>HYPERLINK("https://klasma.github.io/Logging_0188/kartor/A 12629-2024 karta.png", "A 12629-2024")</f>
        <v/>
      </c>
      <c r="Y122">
        <f>HYPERLINK("https://klasma.github.io/Logging_0188/klagomål/A 12629-2024 FSC-klagomål.docx", "A 12629-2024")</f>
        <v/>
      </c>
      <c r="Z122">
        <f>HYPERLINK("https://klasma.github.io/Logging_0188/klagomålsmail/A 12629-2024 FSC-klagomål mail.docx", "A 12629-2024")</f>
        <v/>
      </c>
      <c r="AA122">
        <f>HYPERLINK("https://klasma.github.io/Logging_0188/tillsyn/A 12629-2024 tillsynsbegäran.docx", "A 12629-2024")</f>
        <v/>
      </c>
      <c r="AB122">
        <f>HYPERLINK("https://klasma.github.io/Logging_0188/tillsynsmail/A 12629-2024 tillsynsbegäran mail.docx", "A 12629-2024")</f>
        <v/>
      </c>
      <c r="AC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46221</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s="2" t="inlineStr">
        <is>
          <t>Hasselticka
Blåsippa</t>
        </is>
      </c>
      <c r="V123">
        <f>HYPERLINK("https://klasma.github.io/Logging_0188/artfynd/A 4595-2023 artfynd.xlsx", "A 4595-2023")</f>
        <v/>
      </c>
      <c r="W123">
        <f>HYPERLINK("https://klasma.github.io/Logging_0188/kartor/A 4595-2023 karta.png", "A 4595-2023")</f>
        <v/>
      </c>
      <c r="Y123">
        <f>HYPERLINK("https://klasma.github.io/Logging_0188/klagomål/A 4595-2023 FSC-klagomål.docx", "A 4595-2023")</f>
        <v/>
      </c>
      <c r="Z123">
        <f>HYPERLINK("https://klasma.github.io/Logging_0188/klagomålsmail/A 4595-2023 FSC-klagomål mail.docx", "A 4595-2023")</f>
        <v/>
      </c>
      <c r="AA123">
        <f>HYPERLINK("https://klasma.github.io/Logging_0188/tillsyn/A 4595-2023 tillsynsbegäran.docx", "A 4595-2023")</f>
        <v/>
      </c>
      <c r="AB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46221</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s="2" t="inlineStr">
        <is>
          <t>Tallkötticka
Blodvaxing</t>
        </is>
      </c>
      <c r="V124">
        <f>HYPERLINK("https://klasma.github.io/Logging_0188/artfynd/A 55058-2021 artfynd.xlsx", "A 55058-2021")</f>
        <v/>
      </c>
      <c r="W124">
        <f>HYPERLINK("https://klasma.github.io/Logging_0188/kartor/A 55058-2021 karta.png", "A 55058-2021")</f>
        <v/>
      </c>
      <c r="Y124">
        <f>HYPERLINK("https://klasma.github.io/Logging_0188/klagomål/A 55058-2021 FSC-klagomål.docx", "A 55058-2021")</f>
        <v/>
      </c>
      <c r="Z124">
        <f>HYPERLINK("https://klasma.github.io/Logging_0188/klagomålsmail/A 55058-2021 FSC-klagomål mail.docx", "A 55058-2021")</f>
        <v/>
      </c>
      <c r="AA124">
        <f>HYPERLINK("https://klasma.github.io/Logging_0188/tillsyn/A 55058-2021 tillsynsbegäran.docx", "A 55058-2021")</f>
        <v/>
      </c>
      <c r="AB124">
        <f>HYPERLINK("https://klasma.github.io/Logging_0188/tillsynsmail/A 55058-2021 tillsynsbegäran mail.docx", "A 55058-2021")</f>
        <v/>
      </c>
    </row>
    <row r="125" ht="15" customHeight="1">
      <c r="A125" t="inlineStr">
        <is>
          <t>A 25669-2025</t>
        </is>
      </c>
      <c r="B125" t="inlineStr">
        <is>
          <t>avverkningsanmälan</t>
        </is>
      </c>
      <c r="C125" t="inlineStr">
        <is>
          <t>Föryngringsavverkning</t>
        </is>
      </c>
      <c r="D125" s="1" t="n">
        <v>45803</v>
      </c>
      <c r="E125" s="1" t="n">
        <v>46221</v>
      </c>
      <c r="F125" t="inlineStr">
        <is>
          <t>STOCKHOLMS LÄN</t>
        </is>
      </c>
      <c r="G125" t="inlineStr">
        <is>
          <t>NORRTÄLJE</t>
        </is>
      </c>
      <c r="H125" t="inlineStr">
        <is>
          <t>Holmen skog AB</t>
        </is>
      </c>
      <c r="I125" t="n">
        <v>3.1</v>
      </c>
      <c r="J125" t="n">
        <v>2</v>
      </c>
      <c r="K125" t="n">
        <v>0</v>
      </c>
      <c r="L125" t="n">
        <v>0</v>
      </c>
      <c r="M125" t="n">
        <v>0</v>
      </c>
      <c r="N125" t="n">
        <v>0</v>
      </c>
      <c r="O125" t="n">
        <v>0</v>
      </c>
      <c r="P125" t="n">
        <v>0</v>
      </c>
      <c r="Q125" t="n">
        <v>0</v>
      </c>
      <c r="R125" t="n">
        <v>0</v>
      </c>
      <c r="S125" t="n">
        <v>2</v>
      </c>
      <c r="T125" t="n">
        <v>2</v>
      </c>
      <c r="U125" s="2" t="inlineStr">
        <is>
          <t>Tjäder
Revlummer</t>
        </is>
      </c>
      <c r="V125">
        <f>HYPERLINK("https://klasma.github.io/Logging_0188/artfynd/A 25669-2025 artfynd.xlsx", "A 25669-2025")</f>
        <v/>
      </c>
      <c r="W125">
        <f>HYPERLINK("https://klasma.github.io/Logging_0188/kartor/A 25669-2025 karta.png", "A 25669-2025")</f>
        <v/>
      </c>
      <c r="Y125">
        <f>HYPERLINK("https://klasma.github.io/Logging_0188/klagomål/A 25669-2025 FSC-klagomål.docx", "A 25669-2025")</f>
        <v/>
      </c>
      <c r="Z125">
        <f>HYPERLINK("https://klasma.github.io/Logging_0188/klagomålsmail/A 25669-2025 FSC-klagomål mail.docx", "A 25669-2025")</f>
        <v/>
      </c>
      <c r="AA125">
        <f>HYPERLINK("https://klasma.github.io/Logging_0188/tillsyn/A 25669-2025 tillsynsbegäran.docx", "A 25669-2025")</f>
        <v/>
      </c>
      <c r="AB125">
        <f>HYPERLINK("https://klasma.github.io/Logging_0188/tillsynsmail/A 25669-2025 tillsynsbegäran mail.docx", "A 25669-2025")</f>
        <v/>
      </c>
      <c r="AC125">
        <f>HYPERLINK("https://klasma.github.io/Logging_0188/fåglar/A 25669-2025 prioriterade fågelarter.docx", "A 25669-2025")</f>
        <v/>
      </c>
    </row>
    <row r="126" ht="15" customHeight="1">
      <c r="A126" t="inlineStr">
        <is>
          <t>A 22456-2023</t>
        </is>
      </c>
      <c r="B126" t="inlineStr">
        <is>
          <t>avverkningsanmälan</t>
        </is>
      </c>
      <c r="C126" t="inlineStr">
        <is>
          <t>Föryngringsavverkning</t>
        </is>
      </c>
      <c r="D126" s="1" t="n">
        <v>45070</v>
      </c>
      <c r="E126" s="1" t="n">
        <v>46221</v>
      </c>
      <c r="F126" t="inlineStr">
        <is>
          <t>STOCKHOLMS LÄN</t>
        </is>
      </c>
      <c r="G126" t="inlineStr">
        <is>
          <t>NORRTÄLJE</t>
        </is>
      </c>
      <c r="I126" t="n">
        <v>3.1</v>
      </c>
      <c r="J126" t="n">
        <v>1</v>
      </c>
      <c r="K126" t="n">
        <v>1</v>
      </c>
      <c r="L126" t="n">
        <v>0</v>
      </c>
      <c r="M126" t="n">
        <v>0</v>
      </c>
      <c r="N126" t="n">
        <v>1</v>
      </c>
      <c r="O126" t="n">
        <v>0</v>
      </c>
      <c r="P126" t="n">
        <v>0</v>
      </c>
      <c r="Q126" t="n">
        <v>1</v>
      </c>
      <c r="R126" t="n">
        <v>1</v>
      </c>
      <c r="S126" t="n">
        <v>2</v>
      </c>
      <c r="T126" t="n">
        <v>78</v>
      </c>
      <c r="U126" s="2" t="inlineStr">
        <is>
          <t>Asknätfjäril
Underviol</t>
        </is>
      </c>
      <c r="V126">
        <f>HYPERLINK("https://klasma.github.io/Logging_0188/artfynd/A 22456-2023 artfynd.xlsx", "A 22456-2023")</f>
        <v/>
      </c>
      <c r="W126">
        <f>HYPERLINK("https://klasma.github.io/Logging_0188/kartor/A 22456-2023 karta.png", "A 22456-2023")</f>
        <v/>
      </c>
      <c r="Y126">
        <f>HYPERLINK("https://klasma.github.io/Logging_0188/klagomål/A 22456-2023 FSC-klagomål.docx", "A 22456-2023")</f>
        <v/>
      </c>
      <c r="Z126">
        <f>HYPERLINK("https://klasma.github.io/Logging_0188/klagomålsmail/A 22456-2023 FSC-klagomål mail.docx", "A 22456-2023")</f>
        <v/>
      </c>
      <c r="AA126">
        <f>HYPERLINK("https://klasma.github.io/Logging_0188/tillsyn/A 22456-2023 tillsynsbegäran.docx", "A 22456-2023")</f>
        <v/>
      </c>
      <c r="AB126">
        <f>HYPERLINK("https://klasma.github.io/Logging_0188/tillsynsmail/A 22456-2023 tillsynsbegäran mail.docx", "A 22456-2023")</f>
        <v/>
      </c>
    </row>
    <row r="127" ht="15" customHeight="1">
      <c r="A127" t="inlineStr">
        <is>
          <t>A 50097-2025</t>
        </is>
      </c>
      <c r="B127" t="inlineStr">
        <is>
          <t>avverkningsanmälan</t>
        </is>
      </c>
      <c r="C127" t="inlineStr">
        <is>
          <t>Föryngringsavverkning</t>
        </is>
      </c>
      <c r="D127" s="1" t="n">
        <v>45943</v>
      </c>
      <c r="E127" s="1" t="n">
        <v>46221</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s="2" t="inlineStr">
        <is>
          <t>Asknätfjäril
Kattfotslav</t>
        </is>
      </c>
      <c r="V127">
        <f>HYPERLINK("https://klasma.github.io/Logging_0188/artfynd/A 50097-2025 artfynd.xlsx", "A 50097-2025")</f>
        <v/>
      </c>
      <c r="W127">
        <f>HYPERLINK("https://klasma.github.io/Logging_0188/kartor/A 50097-2025 karta.png", "A 50097-2025")</f>
        <v/>
      </c>
      <c r="Y127">
        <f>HYPERLINK("https://klasma.github.io/Logging_0188/klagomål/A 50097-2025 FSC-klagomål.docx", "A 50097-2025")</f>
        <v/>
      </c>
      <c r="Z127">
        <f>HYPERLINK("https://klasma.github.io/Logging_0188/klagomålsmail/A 50097-2025 FSC-klagomål mail.docx", "A 50097-2025")</f>
        <v/>
      </c>
      <c r="AA127">
        <f>HYPERLINK("https://klasma.github.io/Logging_0188/tillsyn/A 50097-2025 tillsynsbegäran.docx", "A 50097-2025")</f>
        <v/>
      </c>
      <c r="AB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46221</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s="2" t="inlineStr">
        <is>
          <t>Skogsklocka
Småflikig brosklav</t>
        </is>
      </c>
      <c r="V128">
        <f>HYPERLINK("https://klasma.github.io/Logging_0188/artfynd/A 50697-2025 artfynd.xlsx", "A 50697-2025")</f>
        <v/>
      </c>
      <c r="W128">
        <f>HYPERLINK("https://klasma.github.io/Logging_0188/kartor/A 50697-2025 karta.png", "A 50697-2025")</f>
        <v/>
      </c>
      <c r="Y128">
        <f>HYPERLINK("https://klasma.github.io/Logging_0188/klagomål/A 50697-2025 FSC-klagomål.docx", "A 50697-2025")</f>
        <v/>
      </c>
      <c r="Z128">
        <f>HYPERLINK("https://klasma.github.io/Logging_0188/klagomålsmail/A 50697-2025 FSC-klagomål mail.docx", "A 50697-2025")</f>
        <v/>
      </c>
      <c r="AA128">
        <f>HYPERLINK("https://klasma.github.io/Logging_0188/tillsyn/A 50697-2025 tillsynsbegäran.docx", "A 50697-2025")</f>
        <v/>
      </c>
      <c r="AB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46221</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s="2" t="inlineStr">
        <is>
          <t>Fältgentiana
Fjällig jordtunga</t>
        </is>
      </c>
      <c r="V129">
        <f>HYPERLINK("https://klasma.github.io/Logging_0188/artfynd/A 53716-2025 artfynd.xlsx", "A 53716-2025")</f>
        <v/>
      </c>
      <c r="W129">
        <f>HYPERLINK("https://klasma.github.io/Logging_0188/kartor/A 53716-2025 karta.png", "A 53716-2025")</f>
        <v/>
      </c>
      <c r="Y129">
        <f>HYPERLINK("https://klasma.github.io/Logging_0188/klagomål/A 53716-2025 FSC-klagomål.docx", "A 53716-2025")</f>
        <v/>
      </c>
      <c r="Z129">
        <f>HYPERLINK("https://klasma.github.io/Logging_0188/klagomålsmail/A 53716-2025 FSC-klagomål mail.docx", "A 53716-2025")</f>
        <v/>
      </c>
      <c r="AA129">
        <f>HYPERLINK("https://klasma.github.io/Logging_0188/tillsyn/A 53716-2025 tillsynsbegäran.docx", "A 53716-2025")</f>
        <v/>
      </c>
      <c r="AB129">
        <f>HYPERLINK("https://klasma.github.io/Logging_0188/tillsynsmail/A 53716-2025 tillsynsbegäran mail.docx", "A 53716-2025")</f>
        <v/>
      </c>
    </row>
    <row r="130" ht="15" customHeight="1">
      <c r="A130" t="inlineStr">
        <is>
          <t>A 39202-2024</t>
        </is>
      </c>
      <c r="B130" t="inlineStr">
        <is>
          <t>avverkningsanmälan</t>
        </is>
      </c>
      <c r="C130" t="inlineStr">
        <is>
          <t>Föryngringsavverkning</t>
        </is>
      </c>
      <c r="D130" s="1" t="n">
        <v>45548</v>
      </c>
      <c r="E130" s="1" t="n">
        <v>46221</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s="2" t="inlineStr">
        <is>
          <t>Mindre bastardsvärmare
Sexfläckig bastardsvärmare</t>
        </is>
      </c>
      <c r="V130">
        <f>HYPERLINK("https://klasma.github.io/Logging_0188/artfynd/A 39202-2024 artfynd.xlsx", "A 39202-2024")</f>
        <v/>
      </c>
      <c r="W130">
        <f>HYPERLINK("https://klasma.github.io/Logging_0188/kartor/A 39202-2024 karta.png", "A 39202-2024")</f>
        <v/>
      </c>
      <c r="Y130">
        <f>HYPERLINK("https://klasma.github.io/Logging_0188/klagomål/A 39202-2024 FSC-klagomål.docx", "A 39202-2024")</f>
        <v/>
      </c>
      <c r="Z130">
        <f>HYPERLINK("https://klasma.github.io/Logging_0188/klagomålsmail/A 39202-2024 FSC-klagomål mail.docx", "A 39202-2024")</f>
        <v/>
      </c>
      <c r="AA130">
        <f>HYPERLINK("https://klasma.github.io/Logging_0188/tillsyn/A 39202-2024 tillsynsbegäran.docx", "A 39202-2024")</f>
        <v/>
      </c>
      <c r="AB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46221</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s="2" t="inlineStr">
        <is>
          <t>Stjärnstarr
Fläcknycklar</t>
        </is>
      </c>
      <c r="V131">
        <f>HYPERLINK("https://klasma.github.io/Logging_0188/artfynd/A 26635-2023 artfynd.xlsx", "A 26635-2023")</f>
        <v/>
      </c>
      <c r="W131">
        <f>HYPERLINK("https://klasma.github.io/Logging_0188/kartor/A 26635-2023 karta.png", "A 26635-2023")</f>
        <v/>
      </c>
      <c r="Y131">
        <f>HYPERLINK("https://klasma.github.io/Logging_0188/klagomål/A 26635-2023 FSC-klagomål.docx", "A 26635-2023")</f>
        <v/>
      </c>
      <c r="Z131">
        <f>HYPERLINK("https://klasma.github.io/Logging_0188/klagomålsmail/A 26635-2023 FSC-klagomål mail.docx", "A 26635-2023")</f>
        <v/>
      </c>
      <c r="AA131">
        <f>HYPERLINK("https://klasma.github.io/Logging_0188/tillsyn/A 26635-2023 tillsynsbegäran.docx", "A 26635-2023")</f>
        <v/>
      </c>
      <c r="AB131">
        <f>HYPERLINK("https://klasma.github.io/Logging_0188/tillsynsmail/A 26635-2023 tillsynsbegäran mail.docx", "A 26635-2023")</f>
        <v/>
      </c>
    </row>
    <row r="132" ht="15" customHeight="1">
      <c r="A132" t="inlineStr">
        <is>
          <t>A 22157-2023</t>
        </is>
      </c>
      <c r="B132" t="inlineStr">
        <is>
          <t>avverkningsanmälan</t>
        </is>
      </c>
      <c r="C132" t="inlineStr">
        <is>
          <t>Föryngringsavverkning</t>
        </is>
      </c>
      <c r="D132" s="1" t="n">
        <v>45069</v>
      </c>
      <c r="E132" s="1" t="n">
        <v>46221</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s="2" t="inlineStr">
        <is>
          <t>Knärot
Grönpyrola</t>
        </is>
      </c>
      <c r="V132">
        <f>HYPERLINK("https://klasma.github.io/Logging_0188/artfynd/A 22157-2023 artfynd.xlsx", "A 22157-2023")</f>
        <v/>
      </c>
      <c r="W132">
        <f>HYPERLINK("https://klasma.github.io/Logging_0188/kartor/A 22157-2023 karta.png", "A 22157-2023")</f>
        <v/>
      </c>
      <c r="X132">
        <f>HYPERLINK("https://klasma.github.io/Logging_0188/knärot/A 22157-2023 karta knärot.png", "A 22157-2023")</f>
        <v/>
      </c>
      <c r="Y132">
        <f>HYPERLINK("https://klasma.github.io/Logging_0188/klagomål/A 22157-2023 FSC-klagomål.docx", "A 22157-2023")</f>
        <v/>
      </c>
      <c r="Z132">
        <f>HYPERLINK("https://klasma.github.io/Logging_0188/klagomålsmail/A 22157-2023 FSC-klagomål mail.docx", "A 22157-2023")</f>
        <v/>
      </c>
      <c r="AA132">
        <f>HYPERLINK("https://klasma.github.io/Logging_0188/tillsyn/A 22157-2023 tillsynsbegäran.docx", "A 22157-2023")</f>
        <v/>
      </c>
      <c r="AB132">
        <f>HYPERLINK("https://klasma.github.io/Logging_0188/tillsynsmail/A 22157-2023 tillsynsbegäran mail.docx", "A 22157-2023")</f>
        <v/>
      </c>
    </row>
    <row r="133" ht="15" customHeight="1">
      <c r="A133" t="inlineStr">
        <is>
          <t>A 26207-2026</t>
        </is>
      </c>
      <c r="B133" t="inlineStr">
        <is>
          <t>avverkningsanmälan</t>
        </is>
      </c>
      <c r="C133" t="inlineStr">
        <is>
          <t>Föryngringsavverkning</t>
        </is>
      </c>
      <c r="D133" s="1" t="n">
        <v>46182</v>
      </c>
      <c r="E133" s="1" t="n">
        <v>46221</v>
      </c>
      <c r="F133" t="inlineStr">
        <is>
          <t>STOCKHOLMS LÄN</t>
        </is>
      </c>
      <c r="G133" t="inlineStr">
        <is>
          <t>NORRTÄLJE</t>
        </is>
      </c>
      <c r="I133" t="n">
        <v>4.2</v>
      </c>
      <c r="J133" t="n">
        <v>2</v>
      </c>
      <c r="K133" t="n">
        <v>0</v>
      </c>
      <c r="L133" t="n">
        <v>1</v>
      </c>
      <c r="M133" t="n">
        <v>0</v>
      </c>
      <c r="N133" t="n">
        <v>0</v>
      </c>
      <c r="O133" t="n">
        <v>0</v>
      </c>
      <c r="P133" t="n">
        <v>0</v>
      </c>
      <c r="Q133" t="n">
        <v>1</v>
      </c>
      <c r="R133" t="n">
        <v>0</v>
      </c>
      <c r="S133" t="n">
        <v>2</v>
      </c>
      <c r="T133" t="n">
        <v>2</v>
      </c>
      <c r="U133" s="2" t="inlineStr">
        <is>
          <t>Björktrast
Grönsiska</t>
        </is>
      </c>
      <c r="V133">
        <f>HYPERLINK("https://klasma.github.io/Logging_0188/artfynd/A 26207-2026 artfynd.xlsx", "A 26207-2026")</f>
        <v/>
      </c>
      <c r="W133">
        <f>HYPERLINK("https://klasma.github.io/Logging_0188/kartor/A 26207-2026 karta.png", "A 26207-2026")</f>
        <v/>
      </c>
      <c r="Y133">
        <f>HYPERLINK("https://klasma.github.io/Logging_0188/klagomål/A 26207-2026 FSC-klagomål.docx", "A 26207-2026")</f>
        <v/>
      </c>
      <c r="Z133">
        <f>HYPERLINK("https://klasma.github.io/Logging_0188/klagomålsmail/A 26207-2026 FSC-klagomål mail.docx", "A 26207-2026")</f>
        <v/>
      </c>
      <c r="AA133">
        <f>HYPERLINK("https://klasma.github.io/Logging_0188/tillsyn/A 26207-2026 tillsynsbegäran.docx", "A 26207-2026")</f>
        <v/>
      </c>
      <c r="AB133">
        <f>HYPERLINK("https://klasma.github.io/Logging_0188/tillsynsmail/A 26207-2026 tillsynsbegäran mail.docx", "A 26207-2026")</f>
        <v/>
      </c>
      <c r="AC133">
        <f>HYPERLINK("https://klasma.github.io/Logging_0188/fåglar/A 26207-2026 prioriterade fågelarter.docx", "A 26207-2026")</f>
        <v/>
      </c>
    </row>
    <row r="134" ht="15" customHeight="1">
      <c r="A134" t="inlineStr">
        <is>
          <t>A 26221-2026</t>
        </is>
      </c>
      <c r="B134" t="inlineStr">
        <is>
          <t>avverkningsanmälan</t>
        </is>
      </c>
      <c r="C134" t="inlineStr">
        <is>
          <t>Föryngringsavverkning</t>
        </is>
      </c>
      <c r="D134" s="1" t="n">
        <v>46182</v>
      </c>
      <c r="E134" s="1" t="n">
        <v>46221</v>
      </c>
      <c r="F134" t="inlineStr">
        <is>
          <t>STOCKHOLMS LÄN</t>
        </is>
      </c>
      <c r="G134" t="inlineStr">
        <is>
          <t>NORRTÄLJE</t>
        </is>
      </c>
      <c r="I134" t="n">
        <v>4.1</v>
      </c>
      <c r="J134" t="n">
        <v>2</v>
      </c>
      <c r="K134" t="n">
        <v>0</v>
      </c>
      <c r="L134" t="n">
        <v>1</v>
      </c>
      <c r="M134" t="n">
        <v>0</v>
      </c>
      <c r="N134" t="n">
        <v>0</v>
      </c>
      <c r="O134" t="n">
        <v>0</v>
      </c>
      <c r="P134" t="n">
        <v>0</v>
      </c>
      <c r="Q134" t="n">
        <v>1</v>
      </c>
      <c r="R134" t="n">
        <v>0</v>
      </c>
      <c r="S134" t="n">
        <v>2</v>
      </c>
      <c r="T134" t="n">
        <v>2</v>
      </c>
      <c r="U134" s="2" t="inlineStr">
        <is>
          <t>Duvhök
Havsörn</t>
        </is>
      </c>
      <c r="V134">
        <f>HYPERLINK("https://klasma.github.io/Logging_0188/artfynd/A 26221-2026 artfynd.xlsx", "A 26221-2026")</f>
        <v/>
      </c>
      <c r="W134">
        <f>HYPERLINK("https://klasma.github.io/Logging_0188/kartor/A 26221-2026 karta.png", "A 26221-2026")</f>
        <v/>
      </c>
      <c r="Y134">
        <f>HYPERLINK("https://klasma.github.io/Logging_0188/klagomål/A 26221-2026 FSC-klagomål.docx", "A 26221-2026")</f>
        <v/>
      </c>
      <c r="Z134">
        <f>HYPERLINK("https://klasma.github.io/Logging_0188/klagomålsmail/A 26221-2026 FSC-klagomål mail.docx", "A 26221-2026")</f>
        <v/>
      </c>
      <c r="AA134">
        <f>HYPERLINK("https://klasma.github.io/Logging_0188/tillsyn/A 26221-2026 tillsynsbegäran.docx", "A 26221-2026")</f>
        <v/>
      </c>
      <c r="AB134">
        <f>HYPERLINK("https://klasma.github.io/Logging_0188/tillsynsmail/A 26221-2026 tillsynsbegäran mail.docx", "A 26221-2026")</f>
        <v/>
      </c>
      <c r="AC134">
        <f>HYPERLINK("https://klasma.github.io/Logging_0188/fåglar/A 26221-2026 prioriterade fågelarter.docx", "A 26221-2026")</f>
        <v/>
      </c>
    </row>
    <row r="135" ht="15" customHeight="1">
      <c r="A135" t="inlineStr">
        <is>
          <t>A 26418-2026</t>
        </is>
      </c>
      <c r="B135" t="inlineStr">
        <is>
          <t>avverkningsanmälan</t>
        </is>
      </c>
      <c r="C135" t="inlineStr">
        <is>
          <t>Föryngringsavverkning</t>
        </is>
      </c>
      <c r="D135" s="1" t="n">
        <v>46183</v>
      </c>
      <c r="E135" s="1" t="n">
        <v>46221</v>
      </c>
      <c r="F135" t="inlineStr">
        <is>
          <t>STOCKHOLMS LÄN</t>
        </is>
      </c>
      <c r="G135" t="inlineStr">
        <is>
          <t>NORRTÄLJE</t>
        </is>
      </c>
      <c r="I135" t="n">
        <v>2.2</v>
      </c>
      <c r="J135" t="n">
        <v>2</v>
      </c>
      <c r="K135" t="n">
        <v>1</v>
      </c>
      <c r="L135" t="n">
        <v>0</v>
      </c>
      <c r="M135" t="n">
        <v>0</v>
      </c>
      <c r="N135" t="n">
        <v>0</v>
      </c>
      <c r="O135" t="n">
        <v>0</v>
      </c>
      <c r="P135" t="n">
        <v>0</v>
      </c>
      <c r="Q135" t="n">
        <v>0</v>
      </c>
      <c r="R135" t="n">
        <v>0</v>
      </c>
      <c r="S135" t="n">
        <v>2</v>
      </c>
      <c r="T135" t="n">
        <v>2</v>
      </c>
      <c r="U135" s="2" t="inlineStr">
        <is>
          <t>Korallrot
Brudsporre</t>
        </is>
      </c>
      <c r="V135">
        <f>HYPERLINK("https://klasma.github.io/Logging_0188/artfynd/A 26418-2026 artfynd.xlsx", "A 26418-2026")</f>
        <v/>
      </c>
      <c r="W135">
        <f>HYPERLINK("https://klasma.github.io/Logging_0188/kartor/A 26418-2026 karta.png", "A 26418-2026")</f>
        <v/>
      </c>
      <c r="Y135">
        <f>HYPERLINK("https://klasma.github.io/Logging_0188/klagomål/A 26418-2026 FSC-klagomål.docx", "A 26418-2026")</f>
        <v/>
      </c>
      <c r="Z135">
        <f>HYPERLINK("https://klasma.github.io/Logging_0188/klagomålsmail/A 26418-2026 FSC-klagomål mail.docx", "A 26418-2026")</f>
        <v/>
      </c>
      <c r="AA135">
        <f>HYPERLINK("https://klasma.github.io/Logging_0188/tillsyn/A 26418-2026 tillsynsbegäran.docx", "A 26418-2026")</f>
        <v/>
      </c>
      <c r="AB135">
        <f>HYPERLINK("https://klasma.github.io/Logging_0188/tillsynsmail/A 26418-2026 tillsynsbegäran mail.docx", "A 26418-2026")</f>
        <v/>
      </c>
    </row>
    <row r="136" ht="15" customHeight="1">
      <c r="A136" t="inlineStr">
        <is>
          <t>A 52825-2023</t>
        </is>
      </c>
      <c r="B136" t="inlineStr">
        <is>
          <t>avverkningsanmälan</t>
        </is>
      </c>
      <c r="C136" t="inlineStr">
        <is>
          <t>Föryngringsavverkning</t>
        </is>
      </c>
      <c r="D136" s="1" t="n">
        <v>45226</v>
      </c>
      <c r="E136" s="1" t="n">
        <v>46221</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s="2" t="inlineStr">
        <is>
          <t>Fjällig taggsvamp s.str.
Strimspindling</t>
        </is>
      </c>
      <c r="V136">
        <f>HYPERLINK("https://klasma.github.io/Logging_0188/artfynd/A 52825-2023 artfynd.xlsx", "A 52825-2023")</f>
        <v/>
      </c>
      <c r="W136">
        <f>HYPERLINK("https://klasma.github.io/Logging_0188/kartor/A 52825-2023 karta.png", "A 52825-2023")</f>
        <v/>
      </c>
      <c r="Y136">
        <f>HYPERLINK("https://klasma.github.io/Logging_0188/klagomål/A 52825-2023 FSC-klagomål.docx", "A 52825-2023")</f>
        <v/>
      </c>
      <c r="Z136">
        <f>HYPERLINK("https://klasma.github.io/Logging_0188/klagomålsmail/A 52825-2023 FSC-klagomål mail.docx", "A 52825-2023")</f>
        <v/>
      </c>
      <c r="AA136">
        <f>HYPERLINK("https://klasma.github.io/Logging_0188/tillsyn/A 52825-2023 tillsynsbegäran.docx", "A 52825-2023")</f>
        <v/>
      </c>
      <c r="AB136">
        <f>HYPERLINK("https://klasma.github.io/Logging_0188/tillsynsmail/A 52825-2023 tillsynsbegäran mail.docx", "A 52825-2023")</f>
        <v/>
      </c>
    </row>
    <row r="137" ht="15" customHeight="1">
      <c r="A137" t="inlineStr">
        <is>
          <t>A 21821-2026</t>
        </is>
      </c>
      <c r="B137" t="inlineStr">
        <is>
          <t>avverkningsanmälan</t>
        </is>
      </c>
      <c r="C137" t="inlineStr">
        <is>
          <t>Föryngringsavverkning</t>
        </is>
      </c>
      <c r="D137" s="1" t="n">
        <v>46150</v>
      </c>
      <c r="E137" s="1" t="n">
        <v>46221</v>
      </c>
      <c r="F137" t="inlineStr">
        <is>
          <t>STOCKHOLMS LÄN</t>
        </is>
      </c>
      <c r="G137" t="inlineStr">
        <is>
          <t>NORRTÄLJE</t>
        </is>
      </c>
      <c r="I137" t="n">
        <v>2.6</v>
      </c>
      <c r="J137" t="n">
        <v>1</v>
      </c>
      <c r="K137" t="n">
        <v>0</v>
      </c>
      <c r="L137" t="n">
        <v>0</v>
      </c>
      <c r="M137" t="n">
        <v>2</v>
      </c>
      <c r="N137" t="n">
        <v>0</v>
      </c>
      <c r="O137" t="n">
        <v>0</v>
      </c>
      <c r="P137" t="n">
        <v>0</v>
      </c>
      <c r="Q137" t="n">
        <v>2</v>
      </c>
      <c r="R137" t="n">
        <v>2</v>
      </c>
      <c r="S137" t="n">
        <v>2</v>
      </c>
      <c r="T137" t="n">
        <v>3</v>
      </c>
      <c r="U137" s="2" t="inlineStr">
        <is>
          <t>Bredgentiana
Fältgentiana</t>
        </is>
      </c>
      <c r="V137">
        <f>HYPERLINK("https://klasma.github.io/Logging_0188/artfynd/A 21821-2026 artfynd.xlsx", "A 21821-2026")</f>
        <v/>
      </c>
      <c r="W137">
        <f>HYPERLINK("https://klasma.github.io/Logging_0188/kartor/A 21821-2026 karta.png", "A 21821-2026")</f>
        <v/>
      </c>
      <c r="Y137">
        <f>HYPERLINK("https://klasma.github.io/Logging_0188/klagomål/A 21821-2026 FSC-klagomål.docx", "A 21821-2026")</f>
        <v/>
      </c>
      <c r="Z137">
        <f>HYPERLINK("https://klasma.github.io/Logging_0188/klagomålsmail/A 21821-2026 FSC-klagomål mail.docx", "A 21821-2026")</f>
        <v/>
      </c>
      <c r="AA137">
        <f>HYPERLINK("https://klasma.github.io/Logging_0188/tillsyn/A 21821-2026 tillsynsbegäran.docx", "A 21821-2026")</f>
        <v/>
      </c>
      <c r="AB137">
        <f>HYPERLINK("https://klasma.github.io/Logging_0188/tillsynsmail/A 21821-2026 tillsynsbegäran mail.docx", "A 21821-2026")</f>
        <v/>
      </c>
    </row>
    <row r="138" ht="15" customHeight="1">
      <c r="A138" t="inlineStr">
        <is>
          <t>A 21781-2026</t>
        </is>
      </c>
      <c r="B138" t="inlineStr">
        <is>
          <t>avverkningsanmälan</t>
        </is>
      </c>
      <c r="C138" t="inlineStr">
        <is>
          <t>Föryngringsavverkning</t>
        </is>
      </c>
      <c r="D138" s="1" t="n">
        <v>46150</v>
      </c>
      <c r="E138" s="1" t="n">
        <v>46221</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s="2" t="inlineStr">
        <is>
          <t>Hällebräcka
Slåtterfibbla</t>
        </is>
      </c>
      <c r="V138">
        <f>HYPERLINK("https://klasma.github.io/Logging_0188/artfynd/A 21781-2026 artfynd.xlsx", "A 21781-2026")</f>
        <v/>
      </c>
      <c r="W138">
        <f>HYPERLINK("https://klasma.github.io/Logging_0188/kartor/A 21781-2026 karta.png", "A 21781-2026")</f>
        <v/>
      </c>
      <c r="Y138">
        <f>HYPERLINK("https://klasma.github.io/Logging_0188/klagomål/A 21781-2026 FSC-klagomål.docx", "A 21781-2026")</f>
        <v/>
      </c>
      <c r="Z138">
        <f>HYPERLINK("https://klasma.github.io/Logging_0188/klagomålsmail/A 21781-2026 FSC-klagomål mail.docx", "A 21781-2026")</f>
        <v/>
      </c>
      <c r="AA138">
        <f>HYPERLINK("https://klasma.github.io/Logging_0188/tillsyn/A 21781-2026 tillsynsbegäran.docx", "A 21781-2026")</f>
        <v/>
      </c>
      <c r="AB138">
        <f>HYPERLINK("https://klasma.github.io/Logging_0188/tillsynsmail/A 21781-2026 tillsynsbegäran mail.docx", "A 21781-2026")</f>
        <v/>
      </c>
    </row>
    <row r="139" ht="15" customHeight="1">
      <c r="A139" t="inlineStr">
        <is>
          <t>A 50854-2022</t>
        </is>
      </c>
      <c r="B139" t="inlineStr">
        <is>
          <t>avverkningsanmälan</t>
        </is>
      </c>
      <c r="C139" t="inlineStr">
        <is>
          <t>Avverkning för att bevara och utveckla /försöksver</t>
        </is>
      </c>
      <c r="D139" s="1" t="n">
        <v>44863</v>
      </c>
      <c r="E139" s="1" t="n">
        <v>46221</v>
      </c>
      <c r="F139" t="inlineStr">
        <is>
          <t>STOCKHOLMS LÄN</t>
        </is>
      </c>
      <c r="G139" t="inlineStr">
        <is>
          <t>NORRTÄLJE</t>
        </is>
      </c>
      <c r="I139" t="n">
        <v>2.9</v>
      </c>
      <c r="J139" t="n">
        <v>1</v>
      </c>
      <c r="K139" t="n">
        <v>1</v>
      </c>
      <c r="L139" t="n">
        <v>1</v>
      </c>
      <c r="M139" t="n">
        <v>0</v>
      </c>
      <c r="N139" t="n">
        <v>0</v>
      </c>
      <c r="O139" t="n">
        <v>0</v>
      </c>
      <c r="P139" t="n">
        <v>0</v>
      </c>
      <c r="Q139" t="n">
        <v>1</v>
      </c>
      <c r="R139" t="n">
        <v>0</v>
      </c>
      <c r="S139" t="n">
        <v>2</v>
      </c>
      <c r="T139" t="n">
        <v>11</v>
      </c>
      <c r="U139" s="2" t="inlineStr">
        <is>
          <t>Mindre hackspett
Tibast</t>
        </is>
      </c>
      <c r="V139">
        <f>HYPERLINK("https://klasma.github.io/Logging_0188/artfynd/A 50854-2022 artfynd.xlsx", "A 50854-2022")</f>
        <v/>
      </c>
      <c r="W139">
        <f>HYPERLINK("https://klasma.github.io/Logging_0188/kartor/A 50854-2022 karta.png", "A 50854-2022")</f>
        <v/>
      </c>
      <c r="Y139">
        <f>HYPERLINK("https://klasma.github.io/Logging_0188/klagomål/A 50854-2022 FSC-klagomål.docx", "A 50854-2022")</f>
        <v/>
      </c>
      <c r="Z139">
        <f>HYPERLINK("https://klasma.github.io/Logging_0188/klagomålsmail/A 50854-2022 FSC-klagomål mail.docx", "A 50854-2022")</f>
        <v/>
      </c>
      <c r="AA139">
        <f>HYPERLINK("https://klasma.github.io/Logging_0188/tillsyn/A 50854-2022 tillsynsbegäran.docx", "A 50854-2022")</f>
        <v/>
      </c>
      <c r="AB139">
        <f>HYPERLINK("https://klasma.github.io/Logging_0188/tillsynsmail/A 50854-2022 tillsynsbegäran mail.docx", "A 50854-2022")</f>
        <v/>
      </c>
      <c r="AC139">
        <f>HYPERLINK("https://klasma.github.io/Logging_0188/fåglar/A 50854-2022 prioriterade fågelarter.docx", "A 50854-2022")</f>
        <v/>
      </c>
    </row>
    <row r="140" ht="15" customHeight="1">
      <c r="A140" t="inlineStr">
        <is>
          <t>A 52124-2022</t>
        </is>
      </c>
      <c r="B140" t="inlineStr">
        <is>
          <t>avverkningsanmälan</t>
        </is>
      </c>
      <c r="C140" t="inlineStr">
        <is>
          <t>Föryngringsavverkning</t>
        </is>
      </c>
      <c r="D140" s="1" t="n">
        <v>44868</v>
      </c>
      <c r="E140" s="1" t="n">
        <v>46221</v>
      </c>
      <c r="F140" t="inlineStr">
        <is>
          <t>STOCKHOLMS LÄN</t>
        </is>
      </c>
      <c r="G140" t="inlineStr">
        <is>
          <t>NORRTÄLJE</t>
        </is>
      </c>
      <c r="I140" t="n">
        <v>4.8</v>
      </c>
      <c r="J140" t="n">
        <v>1</v>
      </c>
      <c r="K140" t="n">
        <v>0</v>
      </c>
      <c r="L140" t="n">
        <v>1</v>
      </c>
      <c r="M140" t="n">
        <v>0</v>
      </c>
      <c r="N140" t="n">
        <v>0</v>
      </c>
      <c r="O140" t="n">
        <v>0</v>
      </c>
      <c r="P140" t="n">
        <v>0</v>
      </c>
      <c r="Q140" t="n">
        <v>1</v>
      </c>
      <c r="R140" t="n">
        <v>0</v>
      </c>
      <c r="S140" t="n">
        <v>2</v>
      </c>
      <c r="T140" t="n">
        <v>2</v>
      </c>
      <c r="U140" s="2" t="inlineStr">
        <is>
          <t>Kandelabersvamp
Blåsippa</t>
        </is>
      </c>
      <c r="V140">
        <f>HYPERLINK("https://klasma.github.io/Logging_0188/artfynd/A 52124-2022 artfynd.xlsx", "A 52124-2022")</f>
        <v/>
      </c>
      <c r="W140">
        <f>HYPERLINK("https://klasma.github.io/Logging_0188/kartor/A 52124-2022 karta.png", "A 52124-2022")</f>
        <v/>
      </c>
      <c r="Y140">
        <f>HYPERLINK("https://klasma.github.io/Logging_0188/klagomål/A 52124-2022 FSC-klagomål.docx", "A 52124-2022")</f>
        <v/>
      </c>
      <c r="Z140">
        <f>HYPERLINK("https://klasma.github.io/Logging_0188/klagomålsmail/A 52124-2022 FSC-klagomål mail.docx", "A 52124-2022")</f>
        <v/>
      </c>
      <c r="AA140">
        <f>HYPERLINK("https://klasma.github.io/Logging_0188/tillsyn/A 52124-2022 tillsynsbegäran.docx", "A 52124-2022")</f>
        <v/>
      </c>
      <c r="AB140">
        <f>HYPERLINK("https://klasma.github.io/Logging_0188/tillsynsmail/A 52124-2022 tillsynsbegäran mail.docx", "A 52124-2022")</f>
        <v/>
      </c>
    </row>
    <row r="141" ht="15" customHeight="1">
      <c r="A141" t="inlineStr">
        <is>
          <t>A 31827-2023</t>
        </is>
      </c>
      <c r="B141" t="inlineStr">
        <is>
          <t>avverkningsanmälan</t>
        </is>
      </c>
      <c r="C141" t="inlineStr">
        <is>
          <t>Föryngringsavverkning</t>
        </is>
      </c>
      <c r="D141" s="1" t="n">
        <v>45118</v>
      </c>
      <c r="E141" s="1" t="n">
        <v>46221</v>
      </c>
      <c r="F141" t="inlineStr">
        <is>
          <t>STOCKHOLMS LÄN</t>
        </is>
      </c>
      <c r="G141" t="inlineStr">
        <is>
          <t>NORRTÄLJE</t>
        </is>
      </c>
      <c r="H141" t="inlineStr">
        <is>
          <t>Kyrkan</t>
        </is>
      </c>
      <c r="I141" t="n">
        <v>4.9</v>
      </c>
      <c r="J141" t="n">
        <v>1</v>
      </c>
      <c r="K141" t="n">
        <v>0</v>
      </c>
      <c r="L141" t="n">
        <v>1</v>
      </c>
      <c r="M141" t="n">
        <v>0</v>
      </c>
      <c r="N141" t="n">
        <v>0</v>
      </c>
      <c r="O141" t="n">
        <v>0</v>
      </c>
      <c r="P141" t="n">
        <v>0</v>
      </c>
      <c r="Q141" t="n">
        <v>1</v>
      </c>
      <c r="R141" t="n">
        <v>0</v>
      </c>
      <c r="S141" t="n">
        <v>2</v>
      </c>
      <c r="T141" t="n">
        <v>2</v>
      </c>
      <c r="U141" s="2" t="inlineStr">
        <is>
          <t>Sårläka
Blåsippa</t>
        </is>
      </c>
      <c r="V141">
        <f>HYPERLINK("https://klasma.github.io/Logging_0188/artfynd/A 31827-2023 artfynd.xlsx", "A 31827-2023")</f>
        <v/>
      </c>
      <c r="W141">
        <f>HYPERLINK("https://klasma.github.io/Logging_0188/kartor/A 31827-2023 karta.png", "A 31827-2023")</f>
        <v/>
      </c>
      <c r="Y141">
        <f>HYPERLINK("https://klasma.github.io/Logging_0188/klagomål/A 31827-2023 FSC-klagomål.docx", "A 31827-2023")</f>
        <v/>
      </c>
      <c r="Z141">
        <f>HYPERLINK("https://klasma.github.io/Logging_0188/klagomålsmail/A 31827-2023 FSC-klagomål mail.docx", "A 31827-2023")</f>
        <v/>
      </c>
      <c r="AA141">
        <f>HYPERLINK("https://klasma.github.io/Logging_0188/tillsyn/A 31827-2023 tillsynsbegäran.docx", "A 31827-2023")</f>
        <v/>
      </c>
      <c r="AB141">
        <f>HYPERLINK("https://klasma.github.io/Logging_0188/tillsynsmail/A 31827-2023 tillsynsbegäran mail.docx", "A 31827-2023")</f>
        <v/>
      </c>
    </row>
    <row r="142" ht="15" customHeight="1">
      <c r="A142" t="inlineStr">
        <is>
          <t>A 35649-2023</t>
        </is>
      </c>
      <c r="B142" t="inlineStr">
        <is>
          <t>avverkningsanmälan</t>
        </is>
      </c>
      <c r="C142" t="inlineStr">
        <is>
          <t>Avverkning för annat ändamål</t>
        </is>
      </c>
      <c r="D142" s="1" t="n">
        <v>45146</v>
      </c>
      <c r="E142" s="1" t="n">
        <v>46221</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s="2" t="inlineStr">
        <is>
          <t>Majviva
Månlåsbräken</t>
        </is>
      </c>
      <c r="V142">
        <f>HYPERLINK("https://klasma.github.io/Logging_0188/artfynd/A 35649-2023 artfynd.xlsx", "A 35649-2023")</f>
        <v/>
      </c>
      <c r="W142">
        <f>HYPERLINK("https://klasma.github.io/Logging_0188/kartor/A 35649-2023 karta.png", "A 35649-2023")</f>
        <v/>
      </c>
      <c r="Y142">
        <f>HYPERLINK("https://klasma.github.io/Logging_0188/klagomål/A 35649-2023 FSC-klagomål.docx", "A 35649-2023")</f>
        <v/>
      </c>
      <c r="Z142">
        <f>HYPERLINK("https://klasma.github.io/Logging_0188/klagomålsmail/A 35649-2023 FSC-klagomål mail.docx", "A 35649-2023")</f>
        <v/>
      </c>
      <c r="AA142">
        <f>HYPERLINK("https://klasma.github.io/Logging_0188/tillsyn/A 35649-2023 tillsynsbegäran.docx", "A 35649-2023")</f>
        <v/>
      </c>
      <c r="AB142">
        <f>HYPERLINK("https://klasma.github.io/Logging_0188/tillsynsmail/A 35649-2023 tillsynsbegäran mail.docx", "A 35649-2023")</f>
        <v/>
      </c>
    </row>
    <row r="143" ht="15" customHeight="1">
      <c r="A143" t="inlineStr">
        <is>
          <t>A 41218-2024</t>
        </is>
      </c>
      <c r="B143" t="inlineStr">
        <is>
          <t>avverkningsanmälan</t>
        </is>
      </c>
      <c r="C143" t="inlineStr">
        <is>
          <t>Föryngringsavverkning</t>
        </is>
      </c>
      <c r="D143" s="1" t="n">
        <v>45559</v>
      </c>
      <c r="E143" s="1" t="n">
        <v>46221</v>
      </c>
      <c r="F143" t="inlineStr">
        <is>
          <t>STOCKHOLMS LÄN</t>
        </is>
      </c>
      <c r="G143" t="inlineStr">
        <is>
          <t>NORRTÄLJE</t>
        </is>
      </c>
      <c r="I143" t="n">
        <v>6</v>
      </c>
      <c r="J143" t="n">
        <v>1</v>
      </c>
      <c r="K143" t="n">
        <v>0</v>
      </c>
      <c r="L143" t="n">
        <v>0</v>
      </c>
      <c r="M143" t="n">
        <v>1</v>
      </c>
      <c r="N143" t="n">
        <v>0</v>
      </c>
      <c r="O143" t="n">
        <v>0</v>
      </c>
      <c r="P143" t="n">
        <v>0</v>
      </c>
      <c r="Q143" t="n">
        <v>1</v>
      </c>
      <c r="R143" t="n">
        <v>1</v>
      </c>
      <c r="S143" t="n">
        <v>2</v>
      </c>
      <c r="T143" t="n">
        <v>2</v>
      </c>
      <c r="U143" s="2" t="inlineStr">
        <is>
          <t>Igelkott
Näktergal</t>
        </is>
      </c>
      <c r="V143">
        <f>HYPERLINK("https://klasma.github.io/Logging_0188/artfynd/A 41218-2024 artfynd.xlsx", "A 41218-2024")</f>
        <v/>
      </c>
      <c r="W143">
        <f>HYPERLINK("https://klasma.github.io/Logging_0188/kartor/A 41218-2024 karta.png", "A 41218-2024")</f>
        <v/>
      </c>
      <c r="Y143">
        <f>HYPERLINK("https://klasma.github.io/Logging_0188/klagomål/A 41218-2024 FSC-klagomål.docx", "A 41218-2024")</f>
        <v/>
      </c>
      <c r="Z143">
        <f>HYPERLINK("https://klasma.github.io/Logging_0188/klagomålsmail/A 41218-2024 FSC-klagomål mail.docx", "A 41218-2024")</f>
        <v/>
      </c>
      <c r="AA143">
        <f>HYPERLINK("https://klasma.github.io/Logging_0188/tillsyn/A 41218-2024 tillsynsbegäran.docx", "A 41218-2024")</f>
        <v/>
      </c>
      <c r="AB143">
        <f>HYPERLINK("https://klasma.github.io/Logging_0188/tillsynsmail/A 41218-2024 tillsynsbegäran mail.docx", "A 41218-2024")</f>
        <v/>
      </c>
      <c r="AC143">
        <f>HYPERLINK("https://klasma.github.io/Logging_0188/fåglar/A 41218-2024 prioriterade fågelarter.docx", "A 41218-2024")</f>
        <v/>
      </c>
    </row>
    <row r="144" ht="15" customHeight="1">
      <c r="A144" t="inlineStr">
        <is>
          <t>S 2192-2022</t>
        </is>
      </c>
      <c r="B144" t="inlineStr">
        <is>
          <t>samrådsanmälan</t>
        </is>
      </c>
      <c r="C144" t="inlineStr">
        <is>
          <t>Åtgärd i nyckelbiotop</t>
        </is>
      </c>
      <c r="D144" s="1" t="n">
        <v>44678</v>
      </c>
      <c r="E144" s="1" t="n">
        <v>46221</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s="2" t="inlineStr">
        <is>
          <t>Ask
Adam och eva</t>
        </is>
      </c>
      <c r="V144">
        <f>HYPERLINK("https://klasma.github.io/Logging_0188/artfynd/S 2192-2022 artfynd.xlsx", "S 2192-2022")</f>
        <v/>
      </c>
      <c r="W144">
        <f>HYPERLINK("https://klasma.github.io/Logging_0188/kartor/S 2192-2022 karta.png", "S 2192-2022")</f>
        <v/>
      </c>
      <c r="Y144">
        <f>HYPERLINK("https://klasma.github.io/Logging_0188/klagomål/S 2192-2022 FSC-klagomål.docx", "S 2192-2022")</f>
        <v/>
      </c>
      <c r="Z144">
        <f>HYPERLINK("https://klasma.github.io/Logging_0188/klagomålsmail/S 2192-2022 FSC-klagomål mail.docx", "S 2192-2022")</f>
        <v/>
      </c>
      <c r="AA144">
        <f>HYPERLINK("https://klasma.github.io/Logging_0188/tillsyn/S 2192-2022 tillsynsbegäran.docx", "S 2192-2022")</f>
        <v/>
      </c>
      <c r="AB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46221</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s="2" t="inlineStr">
        <is>
          <t>Mindre hackspett
Tibast</t>
        </is>
      </c>
      <c r="V145">
        <f>HYPERLINK("https://klasma.github.io/Logging_0188/artfynd/S 6865-2022 artfynd.xlsx", "S 6865-2022")</f>
        <v/>
      </c>
      <c r="W145">
        <f>HYPERLINK("https://klasma.github.io/Logging_0188/kartor/S 6865-2022 karta.png", "S 6865-2022")</f>
        <v/>
      </c>
      <c r="Y145">
        <f>HYPERLINK("https://klasma.github.io/Logging_0188/klagomål/S 6865-2022 FSC-klagomål.docx", "S 6865-2022")</f>
        <v/>
      </c>
      <c r="Z145">
        <f>HYPERLINK("https://klasma.github.io/Logging_0188/klagomålsmail/S 6865-2022 FSC-klagomål mail.docx", "S 6865-2022")</f>
        <v/>
      </c>
      <c r="AA145">
        <f>HYPERLINK("https://klasma.github.io/Logging_0188/tillsyn/S 6865-2022 tillsynsbegäran.docx", "S 6865-2022")</f>
        <v/>
      </c>
      <c r="AB145">
        <f>HYPERLINK("https://klasma.github.io/Logging_0188/tillsynsmail/S 6865-2022 tillsynsbegäran mail.docx", "S 6865-2022")</f>
        <v/>
      </c>
      <c r="AC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46221</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Y146">
        <f>HYPERLINK("https://klasma.github.io/Logging_0188/klagomål/S 8561-2021 FSC-klagomål.docx", "S 8561-2021")</f>
        <v/>
      </c>
      <c r="Z146">
        <f>HYPERLINK("https://klasma.github.io/Logging_0188/klagomålsmail/S 8561-2021 FSC-klagomål mail.docx", "S 8561-2021")</f>
        <v/>
      </c>
      <c r="AA146">
        <f>HYPERLINK("https://klasma.github.io/Logging_0188/tillsyn/S 8561-2021 tillsynsbegäran.docx", "S 8561-2021")</f>
        <v/>
      </c>
      <c r="AB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46221</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Y147">
        <f>HYPERLINK("https://klasma.github.io/Logging_0188/klagomål/S 621-2023 FSC-klagomål.docx", "S 621-2023")</f>
        <v/>
      </c>
      <c r="Z147">
        <f>HYPERLINK("https://klasma.github.io/Logging_0188/klagomålsmail/S 621-2023 FSC-klagomål mail.docx", "S 621-2023")</f>
        <v/>
      </c>
      <c r="AA147">
        <f>HYPERLINK("https://klasma.github.io/Logging_0188/tillsyn/S 621-2023 tillsynsbegäran.docx", "S 621-2023")</f>
        <v/>
      </c>
      <c r="AB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46221</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Y148">
        <f>HYPERLINK("https://klasma.github.io/Logging_0188/klagomål/S 3404-2025 FSC-klagomål.docx", "S 3404-2025")</f>
        <v/>
      </c>
      <c r="Z148">
        <f>HYPERLINK("https://klasma.github.io/Logging_0188/klagomålsmail/S 3404-2025 FSC-klagomål mail.docx", "S 3404-2025")</f>
        <v/>
      </c>
      <c r="AA148">
        <f>HYPERLINK("https://klasma.github.io/Logging_0188/tillsyn/S 3404-2025 tillsynsbegäran.docx", "S 3404-2025")</f>
        <v/>
      </c>
      <c r="AB148">
        <f>HYPERLINK("https://klasma.github.io/Logging_0188/tillsynsmail/S 3404-2025 tillsynsbegäran mail.docx", "S 3404-2025")</f>
        <v/>
      </c>
      <c r="AC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46221</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Y149">
        <f>HYPERLINK("https://klasma.github.io/Logging_0188/klagomål/A 1547-2022 FSC-klagomål.docx", "A 1547-2022")</f>
        <v/>
      </c>
      <c r="Z149">
        <f>HYPERLINK("https://klasma.github.io/Logging_0188/klagomålsmail/A 1547-2022 FSC-klagomål mail.docx", "A 1547-2022")</f>
        <v/>
      </c>
      <c r="AA149">
        <f>HYPERLINK("https://klasma.github.io/Logging_0188/tillsyn/A 1547-2022 tillsynsbegäran.docx", "A 1547-2022")</f>
        <v/>
      </c>
      <c r="AB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46221</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HYPERLINK("https://klasma.github.io/Logging_0188/knärot/A 52133-2022 karta knärot.png", "A 52133-2022")</f>
        <v/>
      </c>
      <c r="Y150">
        <f>HYPERLINK("https://klasma.github.io/Logging_0188/klagomål/A 52133-2022 FSC-klagomål.docx", "A 52133-2022")</f>
        <v/>
      </c>
      <c r="Z150">
        <f>HYPERLINK("https://klasma.github.io/Logging_0188/klagomålsmail/A 52133-2022 FSC-klagomål mail.docx", "A 52133-2022")</f>
        <v/>
      </c>
      <c r="AA150">
        <f>HYPERLINK("https://klasma.github.io/Logging_0188/tillsyn/A 52133-2022 tillsynsbegäran.docx", "A 52133-2022")</f>
        <v/>
      </c>
      <c r="AB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46221</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s="2" t="inlineStr">
        <is>
          <t>Svart trolldruva</t>
        </is>
      </c>
      <c r="V151">
        <f>HYPERLINK("https://klasma.github.io/Logging_0188/artfynd/A 188-2022 artfynd.xlsx", "A 188-2022")</f>
        <v/>
      </c>
      <c r="W151">
        <f>HYPERLINK("https://klasma.github.io/Logging_0188/kartor/A 188-2022 karta.png", "A 188-2022")</f>
        <v/>
      </c>
      <c r="Y151">
        <f>HYPERLINK("https://klasma.github.io/Logging_0188/klagomål/A 188-2022 FSC-klagomål.docx", "A 188-2022")</f>
        <v/>
      </c>
      <c r="Z151">
        <f>HYPERLINK("https://klasma.github.io/Logging_0188/klagomålsmail/A 188-2022 FSC-klagomål mail.docx", "A 188-2022")</f>
        <v/>
      </c>
      <c r="AA151">
        <f>HYPERLINK("https://klasma.github.io/Logging_0188/tillsyn/A 188-2022 tillsynsbegäran.docx", "A 188-2022")</f>
        <v/>
      </c>
      <c r="AB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46221</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s="2" t="inlineStr">
        <is>
          <t>Gulsparv</t>
        </is>
      </c>
      <c r="V152">
        <f>HYPERLINK("https://klasma.github.io/Logging_0188/artfynd/A 48492-2022 artfynd.xlsx", "A 48492-2022")</f>
        <v/>
      </c>
      <c r="W152">
        <f>HYPERLINK("https://klasma.github.io/Logging_0188/kartor/A 48492-2022 karta.png", "A 48492-2022")</f>
        <v/>
      </c>
      <c r="Y152">
        <f>HYPERLINK("https://klasma.github.io/Logging_0188/klagomål/A 48492-2022 FSC-klagomål.docx", "A 48492-2022")</f>
        <v/>
      </c>
      <c r="Z152">
        <f>HYPERLINK("https://klasma.github.io/Logging_0188/klagomålsmail/A 48492-2022 FSC-klagomål mail.docx", "A 48492-2022")</f>
        <v/>
      </c>
      <c r="AA152">
        <f>HYPERLINK("https://klasma.github.io/Logging_0188/tillsyn/A 48492-2022 tillsynsbegäran.docx", "A 48492-2022")</f>
        <v/>
      </c>
      <c r="AB152">
        <f>HYPERLINK("https://klasma.github.io/Logging_0188/tillsynsmail/A 48492-2022 tillsynsbegäran mail.docx", "A 48492-2022")</f>
        <v/>
      </c>
      <c r="AC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46221</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Y153">
        <f>HYPERLINK("https://klasma.github.io/Logging_0188/klagomål/A 60209-2021 FSC-klagomål.docx", "A 60209-2021")</f>
        <v/>
      </c>
      <c r="Z153">
        <f>HYPERLINK("https://klasma.github.io/Logging_0188/klagomålsmail/A 60209-2021 FSC-klagomål mail.docx", "A 60209-2021")</f>
        <v/>
      </c>
      <c r="AA153">
        <f>HYPERLINK("https://klasma.github.io/Logging_0188/tillsyn/A 60209-2021 tillsynsbegäran.docx", "A 60209-2021")</f>
        <v/>
      </c>
      <c r="AB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46221</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Y154">
        <f>HYPERLINK("https://klasma.github.io/Logging_0188/klagomål/A 17629-2022 FSC-klagomål.docx", "A 17629-2022")</f>
        <v/>
      </c>
      <c r="Z154">
        <f>HYPERLINK("https://klasma.github.io/Logging_0188/klagomålsmail/A 17629-2022 FSC-klagomål mail.docx", "A 17629-2022")</f>
        <v/>
      </c>
      <c r="AA154">
        <f>HYPERLINK("https://klasma.github.io/Logging_0188/tillsyn/A 17629-2022 tillsynsbegäran.docx", "A 17629-2022")</f>
        <v/>
      </c>
      <c r="AB154">
        <f>HYPERLINK("https://klasma.github.io/Logging_0188/tillsynsmail/A 17629-2022 tillsynsbegäran mail.docx", "A 17629-2022")</f>
        <v/>
      </c>
      <c r="AC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46221</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s="2" t="inlineStr">
        <is>
          <t>Knärot</t>
        </is>
      </c>
      <c r="V155">
        <f>HYPERLINK("https://klasma.github.io/Logging_0188/artfynd/A 52139-2022 artfynd.xlsx", "A 52139-2022")</f>
        <v/>
      </c>
      <c r="W155">
        <f>HYPERLINK("https://klasma.github.io/Logging_0188/kartor/A 52139-2022 karta.png", "A 52139-2022")</f>
        <v/>
      </c>
      <c r="X155">
        <f>HYPERLINK("https://klasma.github.io/Logging_0188/knärot/A 52139-2022 karta knärot.png", "A 52139-2022")</f>
        <v/>
      </c>
      <c r="Y155">
        <f>HYPERLINK("https://klasma.github.io/Logging_0188/klagomål/A 52139-2022 FSC-klagomål.docx", "A 52139-2022")</f>
        <v/>
      </c>
      <c r="Z155">
        <f>HYPERLINK("https://klasma.github.io/Logging_0188/klagomålsmail/A 52139-2022 FSC-klagomål mail.docx", "A 52139-2022")</f>
        <v/>
      </c>
      <c r="AA155">
        <f>HYPERLINK("https://klasma.github.io/Logging_0188/tillsyn/A 52139-2022 tillsynsbegäran.docx", "A 52139-2022")</f>
        <v/>
      </c>
      <c r="AB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46221</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s="2" t="inlineStr">
        <is>
          <t>Tofsvipa</t>
        </is>
      </c>
      <c r="V156">
        <f>HYPERLINK("https://klasma.github.io/Logging_0188/artfynd/A 15226-2022 artfynd.xlsx", "A 15226-2022")</f>
        <v/>
      </c>
      <c r="W156">
        <f>HYPERLINK("https://klasma.github.io/Logging_0188/kartor/A 15226-2022 karta.png", "A 15226-2022")</f>
        <v/>
      </c>
      <c r="Y156">
        <f>HYPERLINK("https://klasma.github.io/Logging_0188/klagomål/A 15226-2022 FSC-klagomål.docx", "A 15226-2022")</f>
        <v/>
      </c>
      <c r="Z156">
        <f>HYPERLINK("https://klasma.github.io/Logging_0188/klagomålsmail/A 15226-2022 FSC-klagomål mail.docx", "A 15226-2022")</f>
        <v/>
      </c>
      <c r="AA156">
        <f>HYPERLINK("https://klasma.github.io/Logging_0188/tillsyn/A 15226-2022 tillsynsbegäran.docx", "A 15226-2022")</f>
        <v/>
      </c>
      <c r="AB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46221</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s="2" t="inlineStr">
        <is>
          <t>Plattsäv</t>
        </is>
      </c>
      <c r="V157">
        <f>HYPERLINK("https://klasma.github.io/Logging_0188/artfynd/A 12348-2025 artfynd.xlsx", "A 12348-2025")</f>
        <v/>
      </c>
      <c r="W157">
        <f>HYPERLINK("https://klasma.github.io/Logging_0188/kartor/A 12348-2025 karta.png", "A 12348-2025")</f>
        <v/>
      </c>
      <c r="Y157">
        <f>HYPERLINK("https://klasma.github.io/Logging_0188/klagomål/A 12348-2025 FSC-klagomål.docx", "A 12348-2025")</f>
        <v/>
      </c>
      <c r="Z157">
        <f>HYPERLINK("https://klasma.github.io/Logging_0188/klagomålsmail/A 12348-2025 FSC-klagomål mail.docx", "A 12348-2025")</f>
        <v/>
      </c>
      <c r="AA157">
        <f>HYPERLINK("https://klasma.github.io/Logging_0188/tillsyn/A 12348-2025 tillsynsbegäran.docx", "A 12348-2025")</f>
        <v/>
      </c>
      <c r="AB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46221</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s="2" t="inlineStr">
        <is>
          <t>Orange taggsvamp</t>
        </is>
      </c>
      <c r="V158">
        <f>HYPERLINK("https://klasma.github.io/Logging_0188/artfynd/A 32111-2022 artfynd.xlsx", "A 32111-2022")</f>
        <v/>
      </c>
      <c r="W158">
        <f>HYPERLINK("https://klasma.github.io/Logging_0188/kartor/A 32111-2022 karta.png", "A 32111-2022")</f>
        <v/>
      </c>
      <c r="Y158">
        <f>HYPERLINK("https://klasma.github.io/Logging_0188/klagomål/A 32111-2022 FSC-klagomål.docx", "A 32111-2022")</f>
        <v/>
      </c>
      <c r="Z158">
        <f>HYPERLINK("https://klasma.github.io/Logging_0188/klagomålsmail/A 32111-2022 FSC-klagomål mail.docx", "A 32111-2022")</f>
        <v/>
      </c>
      <c r="AA158">
        <f>HYPERLINK("https://klasma.github.io/Logging_0188/tillsyn/A 32111-2022 tillsynsbegäran.docx", "A 32111-2022")</f>
        <v/>
      </c>
      <c r="AB158">
        <f>HYPERLINK("https://klasma.github.io/Logging_0188/tillsynsmail/A 32111-2022 tillsynsbegäran mail.docx", "A 32111-2022")</f>
        <v/>
      </c>
    </row>
    <row r="159" ht="15" customHeight="1">
      <c r="A159" t="inlineStr">
        <is>
          <t>A 51978-2023</t>
        </is>
      </c>
      <c r="B159" t="inlineStr">
        <is>
          <t>avverkningsanmälan</t>
        </is>
      </c>
      <c r="C159" t="inlineStr">
        <is>
          <t>Föryngringsavverkning</t>
        </is>
      </c>
      <c r="D159" s="1" t="n">
        <v>45223</v>
      </c>
      <c r="E159" s="1" t="n">
        <v>46221</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s="2" t="inlineStr">
        <is>
          <t>Skogsknipprot</t>
        </is>
      </c>
      <c r="V159">
        <f>HYPERLINK("https://klasma.github.io/Logging_0188/artfynd/A 51978-2023 artfynd.xlsx", "A 51978-2023")</f>
        <v/>
      </c>
      <c r="W159">
        <f>HYPERLINK("https://klasma.github.io/Logging_0188/kartor/A 51978-2023 karta.png", "A 51978-2023")</f>
        <v/>
      </c>
      <c r="Y159">
        <f>HYPERLINK("https://klasma.github.io/Logging_0188/klagomål/A 51978-2023 FSC-klagomål.docx", "A 51978-2023")</f>
        <v/>
      </c>
      <c r="Z159">
        <f>HYPERLINK("https://klasma.github.io/Logging_0188/klagomålsmail/A 51978-2023 FSC-klagomål mail.docx", "A 51978-2023")</f>
        <v/>
      </c>
      <c r="AA159">
        <f>HYPERLINK("https://klasma.github.io/Logging_0188/tillsyn/A 51978-2023 tillsynsbegäran.docx", "A 51978-2023")</f>
        <v/>
      </c>
      <c r="AB159">
        <f>HYPERLINK("https://klasma.github.io/Logging_0188/tillsynsmail/A 51978-2023 tillsynsbegäran mail.docx", "A 51978-2023")</f>
        <v/>
      </c>
    </row>
    <row r="160" ht="15" customHeight="1">
      <c r="A160" t="inlineStr">
        <is>
          <t>A 24245-2024</t>
        </is>
      </c>
      <c r="B160" t="inlineStr">
        <is>
          <t>avverkningsanmälan</t>
        </is>
      </c>
      <c r="C160" t="inlineStr">
        <is>
          <t>Föryngringsavverkning</t>
        </is>
      </c>
      <c r="D160" s="1" t="n">
        <v>45457</v>
      </c>
      <c r="E160" s="1" t="n">
        <v>46221</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s="2" t="inlineStr">
        <is>
          <t>Hällebräcka</t>
        </is>
      </c>
      <c r="V160">
        <f>HYPERLINK("https://klasma.github.io/Logging_0188/artfynd/A 24245-2024 artfynd.xlsx", "A 24245-2024")</f>
        <v/>
      </c>
      <c r="W160">
        <f>HYPERLINK("https://klasma.github.io/Logging_0188/kartor/A 24245-2024 karta.png", "A 24245-2024")</f>
        <v/>
      </c>
      <c r="Y160">
        <f>HYPERLINK("https://klasma.github.io/Logging_0188/klagomål/A 24245-2024 FSC-klagomål.docx", "A 24245-2024")</f>
        <v/>
      </c>
      <c r="Z160">
        <f>HYPERLINK("https://klasma.github.io/Logging_0188/klagomålsmail/A 24245-2024 FSC-klagomål mail.docx", "A 24245-2024")</f>
        <v/>
      </c>
      <c r="AA160">
        <f>HYPERLINK("https://klasma.github.io/Logging_0188/tillsyn/A 24245-2024 tillsynsbegäran.docx", "A 24245-2024")</f>
        <v/>
      </c>
      <c r="AB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46221</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s="2" t="inlineStr">
        <is>
          <t>Blåsippa</t>
        </is>
      </c>
      <c r="V161">
        <f>HYPERLINK("https://klasma.github.io/Logging_0188/artfynd/A 52260-2022 artfynd.xlsx", "A 52260-2022")</f>
        <v/>
      </c>
      <c r="W161">
        <f>HYPERLINK("https://klasma.github.io/Logging_0188/kartor/A 52260-2022 karta.png", "A 52260-2022")</f>
        <v/>
      </c>
      <c r="Y161">
        <f>HYPERLINK("https://klasma.github.io/Logging_0188/klagomål/A 52260-2022 FSC-klagomål.docx", "A 52260-2022")</f>
        <v/>
      </c>
      <c r="Z161">
        <f>HYPERLINK("https://klasma.github.io/Logging_0188/klagomålsmail/A 52260-2022 FSC-klagomål mail.docx", "A 52260-2022")</f>
        <v/>
      </c>
      <c r="AA161">
        <f>HYPERLINK("https://klasma.github.io/Logging_0188/tillsyn/A 52260-2022 tillsynsbegäran.docx", "A 52260-2022")</f>
        <v/>
      </c>
      <c r="AB161">
        <f>HYPERLINK("https://klasma.github.io/Logging_0188/tillsynsmail/A 52260-2022 tillsynsbegäran mail.docx", "A 52260-2022")</f>
        <v/>
      </c>
    </row>
    <row r="162" ht="15" customHeight="1">
      <c r="A162" t="inlineStr">
        <is>
          <t>A 4860-2022</t>
        </is>
      </c>
      <c r="B162" t="inlineStr">
        <is>
          <t>avverkningsanmälan</t>
        </is>
      </c>
      <c r="C162" t="inlineStr">
        <is>
          <t>Föryngringsavverkning</t>
        </is>
      </c>
      <c r="D162" s="1" t="n">
        <v>44592</v>
      </c>
      <c r="E162" s="1" t="n">
        <v>46221</v>
      </c>
      <c r="F162" t="inlineStr">
        <is>
          <t>STOCKHOLMS LÄN</t>
        </is>
      </c>
      <c r="G162" t="inlineStr">
        <is>
          <t>NORRTÄLJE</t>
        </is>
      </c>
      <c r="I162" t="n">
        <v>22.3</v>
      </c>
      <c r="J162" t="n">
        <v>0</v>
      </c>
      <c r="K162" t="n">
        <v>0</v>
      </c>
      <c r="L162" t="n">
        <v>0</v>
      </c>
      <c r="M162" t="n">
        <v>1</v>
      </c>
      <c r="N162" t="n">
        <v>0</v>
      </c>
      <c r="O162" t="n">
        <v>0</v>
      </c>
      <c r="P162" t="n">
        <v>0</v>
      </c>
      <c r="Q162" t="n">
        <v>1</v>
      </c>
      <c r="R162" t="n">
        <v>1</v>
      </c>
      <c r="S162" t="n">
        <v>1</v>
      </c>
      <c r="T162" t="n">
        <v>1</v>
      </c>
      <c r="U162" s="2" t="inlineStr">
        <is>
          <t>Igelkott</t>
        </is>
      </c>
      <c r="V162">
        <f>HYPERLINK("https://klasma.github.io/Logging_0188/artfynd/A 4860-2022 artfynd.xlsx", "A 4860-2022")</f>
        <v/>
      </c>
      <c r="W162">
        <f>HYPERLINK("https://klasma.github.io/Logging_0188/kartor/A 4860-2022 karta.png", "A 4860-2022")</f>
        <v/>
      </c>
      <c r="Y162">
        <f>HYPERLINK("https://klasma.github.io/Logging_0188/klagomål/A 4860-2022 FSC-klagomål.docx", "A 4860-2022")</f>
        <v/>
      </c>
      <c r="Z162">
        <f>HYPERLINK("https://klasma.github.io/Logging_0188/klagomålsmail/A 4860-2022 FSC-klagomål mail.docx", "A 4860-2022")</f>
        <v/>
      </c>
      <c r="AA162">
        <f>HYPERLINK("https://klasma.github.io/Logging_0188/tillsyn/A 4860-2022 tillsynsbegäran.docx", "A 4860-2022")</f>
        <v/>
      </c>
      <c r="AB162">
        <f>HYPERLINK("https://klasma.github.io/Logging_0188/tillsynsmail/A 4860-2022 tillsynsbegäran mail.docx", "A 4860-2022")</f>
        <v/>
      </c>
    </row>
    <row r="163" ht="15" customHeight="1">
      <c r="A163" t="inlineStr">
        <is>
          <t>A 6381-2023</t>
        </is>
      </c>
      <c r="B163" t="inlineStr">
        <is>
          <t>avverkningsanmälan</t>
        </is>
      </c>
      <c r="C163" t="inlineStr">
        <is>
          <t>Avverkning för annat ändamål</t>
        </is>
      </c>
      <c r="D163" s="1" t="n">
        <v>44965</v>
      </c>
      <c r="E163" s="1" t="n">
        <v>46221</v>
      </c>
      <c r="F163" t="inlineStr">
        <is>
          <t>STOCKHOLMS LÄN</t>
        </is>
      </c>
      <c r="G163" t="inlineStr">
        <is>
          <t>NORRTÄLJE</t>
        </is>
      </c>
      <c r="I163" t="n">
        <v>3.5</v>
      </c>
      <c r="J163" t="n">
        <v>1</v>
      </c>
      <c r="K163" t="n">
        <v>1</v>
      </c>
      <c r="L163" t="n">
        <v>0</v>
      </c>
      <c r="M163" t="n">
        <v>0</v>
      </c>
      <c r="N163" t="n">
        <v>0</v>
      </c>
      <c r="O163" t="n">
        <v>0</v>
      </c>
      <c r="P163" t="n">
        <v>0</v>
      </c>
      <c r="Q163" t="n">
        <v>0</v>
      </c>
      <c r="R163" t="n">
        <v>0</v>
      </c>
      <c r="S163" t="n">
        <v>1</v>
      </c>
      <c r="T163" t="n">
        <v>2</v>
      </c>
      <c r="U163" s="2" t="inlineStr">
        <is>
          <t>Guckusko</t>
        </is>
      </c>
      <c r="V163">
        <f>HYPERLINK("https://klasma.github.io/Logging_0188/artfynd/A 6381-2023 artfynd.xlsx", "A 6381-2023")</f>
        <v/>
      </c>
      <c r="W163">
        <f>HYPERLINK("https://klasma.github.io/Logging_0188/kartor/A 6381-2023 karta.png", "A 6381-2023")</f>
        <v/>
      </c>
      <c r="Y163">
        <f>HYPERLINK("https://klasma.github.io/Logging_0188/klagomål/A 6381-2023 FSC-klagomål.docx", "A 6381-2023")</f>
        <v/>
      </c>
      <c r="Z163">
        <f>HYPERLINK("https://klasma.github.io/Logging_0188/klagomålsmail/A 6381-2023 FSC-klagomål mail.docx", "A 6381-2023")</f>
        <v/>
      </c>
      <c r="AA163">
        <f>HYPERLINK("https://klasma.github.io/Logging_0188/tillsyn/A 6381-2023 tillsynsbegäran.docx", "A 6381-2023")</f>
        <v/>
      </c>
      <c r="AB163">
        <f>HYPERLINK("https://klasma.github.io/Logging_0188/tillsynsmail/A 6381-2023 tillsynsbegäran mail.docx", "A 6381-2023")</f>
        <v/>
      </c>
    </row>
    <row r="164" ht="15" customHeight="1">
      <c r="A164" t="inlineStr">
        <is>
          <t>A 29946-2025</t>
        </is>
      </c>
      <c r="B164" t="inlineStr">
        <is>
          <t>avverkningsanmälan</t>
        </is>
      </c>
      <c r="C164" t="inlineStr">
        <is>
          <t>Föryngringsavverkning</t>
        </is>
      </c>
      <c r="D164" s="1" t="n">
        <v>45826</v>
      </c>
      <c r="E164" s="1" t="n">
        <v>46221</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s="2" t="inlineStr">
        <is>
          <t>Asknätfjäril</t>
        </is>
      </c>
      <c r="V164">
        <f>HYPERLINK("https://klasma.github.io/Logging_0188/artfynd/A 29946-2025 artfynd.xlsx", "A 29946-2025")</f>
        <v/>
      </c>
      <c r="W164">
        <f>HYPERLINK("https://klasma.github.io/Logging_0188/kartor/A 29946-2025 karta.png", "A 29946-2025")</f>
        <v/>
      </c>
      <c r="Y164">
        <f>HYPERLINK("https://klasma.github.io/Logging_0188/klagomål/A 29946-2025 FSC-klagomål.docx", "A 29946-2025")</f>
        <v/>
      </c>
      <c r="Z164">
        <f>HYPERLINK("https://klasma.github.io/Logging_0188/klagomålsmail/A 29946-2025 FSC-klagomål mail.docx", "A 29946-2025")</f>
        <v/>
      </c>
      <c r="AA164">
        <f>HYPERLINK("https://klasma.github.io/Logging_0188/tillsyn/A 29946-2025 tillsynsbegäran.docx", "A 29946-2025")</f>
        <v/>
      </c>
      <c r="AB164">
        <f>HYPERLINK("https://klasma.github.io/Logging_0188/tillsynsmail/A 29946-2025 tillsynsbegäran mail.docx", "A 29946-2025")</f>
        <v/>
      </c>
    </row>
    <row r="165" ht="15" customHeight="1">
      <c r="A165" t="inlineStr">
        <is>
          <t>A 40861-2025</t>
        </is>
      </c>
      <c r="B165" t="inlineStr">
        <is>
          <t>avverkningsanmälan</t>
        </is>
      </c>
      <c r="C165" t="inlineStr">
        <is>
          <t>Föryngringsavverkning</t>
        </is>
      </c>
      <c r="D165" s="1" t="n">
        <v>45897</v>
      </c>
      <c r="E165" s="1" t="n">
        <v>46221</v>
      </c>
      <c r="F165" t="inlineStr">
        <is>
          <t>STOCKHOLMS LÄN</t>
        </is>
      </c>
      <c r="G165" t="inlineStr">
        <is>
          <t>NORRTÄLJE</t>
        </is>
      </c>
      <c r="I165" t="n">
        <v>4</v>
      </c>
      <c r="J165" t="n">
        <v>0</v>
      </c>
      <c r="K165" t="n">
        <v>0</v>
      </c>
      <c r="L165" t="n">
        <v>1</v>
      </c>
      <c r="M165" t="n">
        <v>0</v>
      </c>
      <c r="N165" t="n">
        <v>0</v>
      </c>
      <c r="O165" t="n">
        <v>0</v>
      </c>
      <c r="P165" t="n">
        <v>0</v>
      </c>
      <c r="Q165" t="n">
        <v>1</v>
      </c>
      <c r="R165" t="n">
        <v>0</v>
      </c>
      <c r="S165" t="n">
        <v>1</v>
      </c>
      <c r="T165" t="n">
        <v>2</v>
      </c>
      <c r="U165" s="2" t="inlineStr">
        <is>
          <t>Skogsklocka</t>
        </is>
      </c>
      <c r="V165">
        <f>HYPERLINK("https://klasma.github.io/Logging_0188/artfynd/A 40861-2025 artfynd.xlsx", "A 40861-2025")</f>
        <v/>
      </c>
      <c r="W165">
        <f>HYPERLINK("https://klasma.github.io/Logging_0188/kartor/A 40861-2025 karta.png", "A 40861-2025")</f>
        <v/>
      </c>
      <c r="Y165">
        <f>HYPERLINK("https://klasma.github.io/Logging_0188/klagomål/A 40861-2025 FSC-klagomål.docx", "A 40861-2025")</f>
        <v/>
      </c>
      <c r="Z165">
        <f>HYPERLINK("https://klasma.github.io/Logging_0188/klagomålsmail/A 40861-2025 FSC-klagomål mail.docx", "A 40861-2025")</f>
        <v/>
      </c>
      <c r="AA165">
        <f>HYPERLINK("https://klasma.github.io/Logging_0188/tillsyn/A 40861-2025 tillsynsbegäran.docx", "A 40861-2025")</f>
        <v/>
      </c>
      <c r="AB165">
        <f>HYPERLINK("https://klasma.github.io/Logging_0188/tillsynsmail/A 40861-2025 tillsynsbegäran mail.docx", "A 40861-2025")</f>
        <v/>
      </c>
    </row>
    <row r="166" ht="15" customHeight="1">
      <c r="A166" t="inlineStr">
        <is>
          <t>A 50907-2022</t>
        </is>
      </c>
      <c r="B166" t="inlineStr">
        <is>
          <t>avverkningsanmälan</t>
        </is>
      </c>
      <c r="C166" t="inlineStr">
        <is>
          <t>Föryngringsavverkning</t>
        </is>
      </c>
      <c r="D166" s="1" t="n">
        <v>44867</v>
      </c>
      <c r="E166" s="1" t="n">
        <v>46221</v>
      </c>
      <c r="F166" t="inlineStr">
        <is>
          <t>STOCKHOLMS LÄN</t>
        </is>
      </c>
      <c r="G166" t="inlineStr">
        <is>
          <t>NORRTÄLJE</t>
        </is>
      </c>
      <c r="I166" t="n">
        <v>8.199999999999999</v>
      </c>
      <c r="J166" t="n">
        <v>0</v>
      </c>
      <c r="K166" t="n">
        <v>1</v>
      </c>
      <c r="L166" t="n">
        <v>0</v>
      </c>
      <c r="M166" t="n">
        <v>0</v>
      </c>
      <c r="N166" t="n">
        <v>0</v>
      </c>
      <c r="O166" t="n">
        <v>0</v>
      </c>
      <c r="P166" t="n">
        <v>0</v>
      </c>
      <c r="Q166" t="n">
        <v>0</v>
      </c>
      <c r="R166" t="n">
        <v>0</v>
      </c>
      <c r="S166" t="n">
        <v>1</v>
      </c>
      <c r="T166" t="n">
        <v>1</v>
      </c>
      <c r="U166" s="2" t="inlineStr">
        <is>
          <t>Tibast</t>
        </is>
      </c>
      <c r="V166">
        <f>HYPERLINK("https://klasma.github.io/Logging_0188/artfynd/A 50907-2022 artfynd.xlsx", "A 50907-2022")</f>
        <v/>
      </c>
      <c r="W166">
        <f>HYPERLINK("https://klasma.github.io/Logging_0188/kartor/A 50907-2022 karta.png", "A 50907-2022")</f>
        <v/>
      </c>
      <c r="Y166">
        <f>HYPERLINK("https://klasma.github.io/Logging_0188/klagomål/A 50907-2022 FSC-klagomål.docx", "A 50907-2022")</f>
        <v/>
      </c>
      <c r="Z166">
        <f>HYPERLINK("https://klasma.github.io/Logging_0188/klagomålsmail/A 50907-2022 FSC-klagomål mail.docx", "A 50907-2022")</f>
        <v/>
      </c>
      <c r="AA166">
        <f>HYPERLINK("https://klasma.github.io/Logging_0188/tillsyn/A 50907-2022 tillsynsbegäran.docx", "A 50907-2022")</f>
        <v/>
      </c>
      <c r="AB166">
        <f>HYPERLINK("https://klasma.github.io/Logging_0188/tillsynsmail/A 50907-2022 tillsynsbegäran mail.docx", "A 50907-2022")</f>
        <v/>
      </c>
    </row>
    <row r="167" ht="15" customHeight="1">
      <c r="A167" t="inlineStr">
        <is>
          <t>A 5823-2023</t>
        </is>
      </c>
      <c r="B167" t="inlineStr">
        <is>
          <t>avverkningsanmälan</t>
        </is>
      </c>
      <c r="C167" t="inlineStr">
        <is>
          <t>Föryngringsavverkning</t>
        </is>
      </c>
      <c r="D167" s="1" t="n">
        <v>44963</v>
      </c>
      <c r="E167" s="1" t="n">
        <v>46221</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s="2" t="inlineStr">
        <is>
          <t>Slåtterfibbla</t>
        </is>
      </c>
      <c r="V167">
        <f>HYPERLINK("https://klasma.github.io/Logging_0188/artfynd/A 5823-2023 artfynd.xlsx", "A 5823-2023")</f>
        <v/>
      </c>
      <c r="W167">
        <f>HYPERLINK("https://klasma.github.io/Logging_0188/kartor/A 5823-2023 karta.png", "A 5823-2023")</f>
        <v/>
      </c>
      <c r="Y167">
        <f>HYPERLINK("https://klasma.github.io/Logging_0188/klagomål/A 5823-2023 FSC-klagomål.docx", "A 5823-2023")</f>
        <v/>
      </c>
      <c r="Z167">
        <f>HYPERLINK("https://klasma.github.io/Logging_0188/klagomålsmail/A 5823-2023 FSC-klagomål mail.docx", "A 5823-2023")</f>
        <v/>
      </c>
      <c r="AA167">
        <f>HYPERLINK("https://klasma.github.io/Logging_0188/tillsyn/A 5823-2023 tillsynsbegäran.docx", "A 5823-2023")</f>
        <v/>
      </c>
      <c r="AB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46221</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s="2" t="inlineStr">
        <is>
          <t>Slåtterfibbla</t>
        </is>
      </c>
      <c r="V168">
        <f>HYPERLINK("https://klasma.github.io/Logging_0188/artfynd/A 30731-2023 artfynd.xlsx", "A 30731-2023")</f>
        <v/>
      </c>
      <c r="W168">
        <f>HYPERLINK("https://klasma.github.io/Logging_0188/kartor/A 30731-2023 karta.png", "A 30731-2023")</f>
        <v/>
      </c>
      <c r="Y168">
        <f>HYPERLINK("https://klasma.github.io/Logging_0188/klagomål/A 30731-2023 FSC-klagomål.docx", "A 30731-2023")</f>
        <v/>
      </c>
      <c r="Z168">
        <f>HYPERLINK("https://klasma.github.io/Logging_0188/klagomålsmail/A 30731-2023 FSC-klagomål mail.docx", "A 30731-2023")</f>
        <v/>
      </c>
      <c r="AA168">
        <f>HYPERLINK("https://klasma.github.io/Logging_0188/tillsyn/A 30731-2023 tillsynsbegäran.docx", "A 30731-2023")</f>
        <v/>
      </c>
      <c r="AB168">
        <f>HYPERLINK("https://klasma.github.io/Logging_0188/tillsynsmail/A 30731-2023 tillsynsbegäran mail.docx", "A 30731-2023")</f>
        <v/>
      </c>
    </row>
    <row r="169" ht="15" customHeight="1">
      <c r="A169" t="inlineStr">
        <is>
          <t>A 58888-2021</t>
        </is>
      </c>
      <c r="B169" t="inlineStr">
        <is>
          <t>avverkningsanmälan</t>
        </is>
      </c>
      <c r="C169" t="inlineStr">
        <is>
          <t>Föryngringsavverkning</t>
        </is>
      </c>
      <c r="D169" s="1" t="n">
        <v>44489</v>
      </c>
      <c r="E169" s="1" t="n">
        <v>46221</v>
      </c>
      <c r="F169" t="inlineStr">
        <is>
          <t>STOCKHOLMS LÄN</t>
        </is>
      </c>
      <c r="G169" t="inlineStr">
        <is>
          <t>NORRTÄLJE</t>
        </is>
      </c>
      <c r="H169" t="inlineStr">
        <is>
          <t>Holmen skog AB</t>
        </is>
      </c>
      <c r="I169" t="n">
        <v>2.5</v>
      </c>
      <c r="J169" t="n">
        <v>1</v>
      </c>
      <c r="K169" t="n">
        <v>0</v>
      </c>
      <c r="L169" t="n">
        <v>0</v>
      </c>
      <c r="M169" t="n">
        <v>0</v>
      </c>
      <c r="N169" t="n">
        <v>1</v>
      </c>
      <c r="O169" t="n">
        <v>0</v>
      </c>
      <c r="P169" t="n">
        <v>0</v>
      </c>
      <c r="Q169" t="n">
        <v>1</v>
      </c>
      <c r="R169" t="n">
        <v>1</v>
      </c>
      <c r="S169" t="n">
        <v>1</v>
      </c>
      <c r="T169" t="n">
        <v>1</v>
      </c>
      <c r="U169" s="2" t="inlineStr">
        <is>
          <t>Asknätfjäril</t>
        </is>
      </c>
      <c r="V169">
        <f>HYPERLINK("https://klasma.github.io/Logging_0188/artfynd/A 58888-2021 artfynd.xlsx", "A 58888-2021")</f>
        <v/>
      </c>
      <c r="W169">
        <f>HYPERLINK("https://klasma.github.io/Logging_0188/kartor/A 58888-2021 karta.png", "A 58888-2021")</f>
        <v/>
      </c>
      <c r="Y169">
        <f>HYPERLINK("https://klasma.github.io/Logging_0188/klagomål/A 58888-2021 FSC-klagomål.docx", "A 58888-2021")</f>
        <v/>
      </c>
      <c r="Z169">
        <f>HYPERLINK("https://klasma.github.io/Logging_0188/klagomålsmail/A 58888-2021 FSC-klagomål mail.docx", "A 58888-2021")</f>
        <v/>
      </c>
      <c r="AA169">
        <f>HYPERLINK("https://klasma.github.io/Logging_0188/tillsyn/A 58888-2021 tillsynsbegäran.docx", "A 58888-2021")</f>
        <v/>
      </c>
      <c r="AB169">
        <f>HYPERLINK("https://klasma.github.io/Logging_0188/tillsynsmail/A 58888-2021 tillsynsbegäran mail.docx", "A 58888-2021")</f>
        <v/>
      </c>
    </row>
    <row r="170" ht="15" customHeight="1">
      <c r="A170" t="inlineStr">
        <is>
          <t>A 55952-2024</t>
        </is>
      </c>
      <c r="B170" t="inlineStr">
        <is>
          <t>avverkningsanmälan</t>
        </is>
      </c>
      <c r="C170" t="inlineStr">
        <is>
          <t>Föryngringsavverkning</t>
        </is>
      </c>
      <c r="D170" s="1" t="n">
        <v>45623</v>
      </c>
      <c r="E170" s="1" t="n">
        <v>46221</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s="2" t="inlineStr">
        <is>
          <t>Asknätfjäril</t>
        </is>
      </c>
      <c r="V170">
        <f>HYPERLINK("https://klasma.github.io/Logging_0188/artfynd/A 55952-2024 artfynd.xlsx", "A 55952-2024")</f>
        <v/>
      </c>
      <c r="W170">
        <f>HYPERLINK("https://klasma.github.io/Logging_0188/kartor/A 55952-2024 karta.png", "A 55952-2024")</f>
        <v/>
      </c>
      <c r="Y170">
        <f>HYPERLINK("https://klasma.github.io/Logging_0188/klagomål/A 55952-2024 FSC-klagomål.docx", "A 55952-2024")</f>
        <v/>
      </c>
      <c r="Z170">
        <f>HYPERLINK("https://klasma.github.io/Logging_0188/klagomålsmail/A 55952-2024 FSC-klagomål mail.docx", "A 55952-2024")</f>
        <v/>
      </c>
      <c r="AA170">
        <f>HYPERLINK("https://klasma.github.io/Logging_0188/tillsyn/A 55952-2024 tillsynsbegäran.docx", "A 55952-2024")</f>
        <v/>
      </c>
      <c r="AB170">
        <f>HYPERLINK("https://klasma.github.io/Logging_0188/tillsynsmail/A 55952-2024 tillsynsbegäran mail.docx", "A 55952-2024")</f>
        <v/>
      </c>
    </row>
    <row r="171" ht="15" customHeight="1">
      <c r="A171" t="inlineStr">
        <is>
          <t>A 35451-2025</t>
        </is>
      </c>
      <c r="B171" t="inlineStr">
        <is>
          <t>avverkningsanmälan</t>
        </is>
      </c>
      <c r="C171" t="inlineStr">
        <is>
          <t>Föryngringsavverkning</t>
        </is>
      </c>
      <c r="D171" s="1" t="n">
        <v>45855</v>
      </c>
      <c r="E171" s="1" t="n">
        <v>46221</v>
      </c>
      <c r="F171" t="inlineStr">
        <is>
          <t>STOCKHOLMS LÄN</t>
        </is>
      </c>
      <c r="G171" t="inlineStr">
        <is>
          <t>NORRTÄLJE</t>
        </is>
      </c>
      <c r="H171" t="inlineStr">
        <is>
          <t>Holmen skog AB</t>
        </is>
      </c>
      <c r="I171" t="n">
        <v>7.4</v>
      </c>
      <c r="J171" t="n">
        <v>1</v>
      </c>
      <c r="K171" t="n">
        <v>0</v>
      </c>
      <c r="L171" t="n">
        <v>0</v>
      </c>
      <c r="M171" t="n">
        <v>1</v>
      </c>
      <c r="N171" t="n">
        <v>0</v>
      </c>
      <c r="O171" t="n">
        <v>0</v>
      </c>
      <c r="P171" t="n">
        <v>0</v>
      </c>
      <c r="Q171" t="n">
        <v>1</v>
      </c>
      <c r="R171" t="n">
        <v>1</v>
      </c>
      <c r="S171" t="n">
        <v>1</v>
      </c>
      <c r="T171" t="n">
        <v>2</v>
      </c>
      <c r="U171" s="2" t="inlineStr">
        <is>
          <t>Hällebräcka</t>
        </is>
      </c>
      <c r="V171">
        <f>HYPERLINK("https://klasma.github.io/Logging_0188/artfynd/A 35451-2025 artfynd.xlsx", "A 35451-2025")</f>
        <v/>
      </c>
      <c r="W171">
        <f>HYPERLINK("https://klasma.github.io/Logging_0188/kartor/A 35451-2025 karta.png", "A 35451-2025")</f>
        <v/>
      </c>
      <c r="Y171">
        <f>HYPERLINK("https://klasma.github.io/Logging_0188/klagomål/A 35451-2025 FSC-klagomål.docx", "A 35451-2025")</f>
        <v/>
      </c>
      <c r="Z171">
        <f>HYPERLINK("https://klasma.github.io/Logging_0188/klagomålsmail/A 35451-2025 FSC-klagomål mail.docx", "A 35451-2025")</f>
        <v/>
      </c>
      <c r="AA171">
        <f>HYPERLINK("https://klasma.github.io/Logging_0188/tillsyn/A 35451-2025 tillsynsbegäran.docx", "A 35451-2025")</f>
        <v/>
      </c>
      <c r="AB171">
        <f>HYPERLINK("https://klasma.github.io/Logging_0188/tillsynsmail/A 35451-2025 tillsynsbegäran mail.docx", "A 35451-2025")</f>
        <v/>
      </c>
    </row>
    <row r="172" ht="15" customHeight="1">
      <c r="A172" t="inlineStr">
        <is>
          <t>A 35161-2022</t>
        </is>
      </c>
      <c r="B172" t="inlineStr">
        <is>
          <t>avverkningsanmälan</t>
        </is>
      </c>
      <c r="C172" t="inlineStr">
        <is>
          <t>Föryngringsavverkning</t>
        </is>
      </c>
      <c r="D172" s="1" t="n">
        <v>44797</v>
      </c>
      <c r="E172" s="1" t="n">
        <v>46221</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s="2" t="inlineStr">
        <is>
          <t>Skogsknipprot</t>
        </is>
      </c>
      <c r="V172">
        <f>HYPERLINK("https://klasma.github.io/Logging_0188/artfynd/A 35161-2022 artfynd.xlsx", "A 35161-2022")</f>
        <v/>
      </c>
      <c r="W172">
        <f>HYPERLINK("https://klasma.github.io/Logging_0188/kartor/A 35161-2022 karta.png", "A 35161-2022")</f>
        <v/>
      </c>
      <c r="Y172">
        <f>HYPERLINK("https://klasma.github.io/Logging_0188/klagomål/A 35161-2022 FSC-klagomål.docx", "A 35161-2022")</f>
        <v/>
      </c>
      <c r="Z172">
        <f>HYPERLINK("https://klasma.github.io/Logging_0188/klagomålsmail/A 35161-2022 FSC-klagomål mail.docx", "A 35161-2022")</f>
        <v/>
      </c>
      <c r="AA172">
        <f>HYPERLINK("https://klasma.github.io/Logging_0188/tillsyn/A 35161-2022 tillsynsbegäran.docx", "A 35161-2022")</f>
        <v/>
      </c>
      <c r="AB172">
        <f>HYPERLINK("https://klasma.github.io/Logging_0188/tillsynsmail/A 35161-2022 tillsynsbegäran mail.docx", "A 35161-2022")</f>
        <v/>
      </c>
    </row>
    <row r="173" ht="15" customHeight="1">
      <c r="A173" t="inlineStr">
        <is>
          <t>A 58993-2022</t>
        </is>
      </c>
      <c r="B173" t="inlineStr">
        <is>
          <t>avverkningsanmälan</t>
        </is>
      </c>
      <c r="C173" t="inlineStr">
        <is>
          <t>Föryngringsavverkning</t>
        </is>
      </c>
      <c r="D173" s="1" t="n">
        <v>44903</v>
      </c>
      <c r="E173" s="1" t="n">
        <v>46221</v>
      </c>
      <c r="F173" t="inlineStr">
        <is>
          <t>STOCKHOLMS LÄN</t>
        </is>
      </c>
      <c r="G173" t="inlineStr">
        <is>
          <t>NORRTÄLJE</t>
        </is>
      </c>
      <c r="I173" t="n">
        <v>2.3</v>
      </c>
      <c r="J173" t="n">
        <v>0</v>
      </c>
      <c r="K173" t="n">
        <v>0</v>
      </c>
      <c r="L173" t="n">
        <v>1</v>
      </c>
      <c r="M173" t="n">
        <v>0</v>
      </c>
      <c r="N173" t="n">
        <v>0</v>
      </c>
      <c r="O173" t="n">
        <v>0</v>
      </c>
      <c r="P173" t="n">
        <v>0</v>
      </c>
      <c r="Q173" t="n">
        <v>1</v>
      </c>
      <c r="R173" t="n">
        <v>0</v>
      </c>
      <c r="S173" t="n">
        <v>1</v>
      </c>
      <c r="T173" t="n">
        <v>1</v>
      </c>
      <c r="U173" s="2" t="inlineStr">
        <is>
          <t>Rödlånke</t>
        </is>
      </c>
      <c r="V173">
        <f>HYPERLINK("https://klasma.github.io/Logging_0188/artfynd/A 58993-2022 artfynd.xlsx", "A 58993-2022")</f>
        <v/>
      </c>
      <c r="W173">
        <f>HYPERLINK("https://klasma.github.io/Logging_0188/kartor/A 58993-2022 karta.png", "A 58993-2022")</f>
        <v/>
      </c>
      <c r="Y173">
        <f>HYPERLINK("https://klasma.github.io/Logging_0188/klagomål/A 58993-2022 FSC-klagomål.docx", "A 58993-2022")</f>
        <v/>
      </c>
      <c r="Z173">
        <f>HYPERLINK("https://klasma.github.io/Logging_0188/klagomålsmail/A 58993-2022 FSC-klagomål mail.docx", "A 58993-2022")</f>
        <v/>
      </c>
      <c r="AA173">
        <f>HYPERLINK("https://klasma.github.io/Logging_0188/tillsyn/A 58993-2022 tillsynsbegäran.docx", "A 58993-2022")</f>
        <v/>
      </c>
      <c r="AB173">
        <f>HYPERLINK("https://klasma.github.io/Logging_0188/tillsynsmail/A 58993-2022 tillsynsbegäran mail.docx", "A 58993-2022")</f>
        <v/>
      </c>
    </row>
    <row r="174" ht="15" customHeight="1">
      <c r="A174" t="inlineStr">
        <is>
          <t>A 8371-2025</t>
        </is>
      </c>
      <c r="B174" t="inlineStr">
        <is>
          <t>avverkningsanmälan</t>
        </is>
      </c>
      <c r="C174" t="inlineStr">
        <is>
          <t>Föryngringsavverkning</t>
        </is>
      </c>
      <c r="D174" s="1" t="n">
        <v>45708</v>
      </c>
      <c r="E174" s="1" t="n">
        <v>46221</v>
      </c>
      <c r="F174" t="inlineStr">
        <is>
          <t>STOCKHOLMS LÄN</t>
        </is>
      </c>
      <c r="G174" t="inlineStr">
        <is>
          <t>NORRTÄLJE</t>
        </is>
      </c>
      <c r="H174" t="inlineStr">
        <is>
          <t>Övriga Aktiebolag</t>
        </is>
      </c>
      <c r="I174" t="n">
        <v>2.9</v>
      </c>
      <c r="J174" t="n">
        <v>1</v>
      </c>
      <c r="K174" t="n">
        <v>0</v>
      </c>
      <c r="L174" t="n">
        <v>0</v>
      </c>
      <c r="M174" t="n">
        <v>0</v>
      </c>
      <c r="N174" t="n">
        <v>0</v>
      </c>
      <c r="O174" t="n">
        <v>0</v>
      </c>
      <c r="P174" t="n">
        <v>0</v>
      </c>
      <c r="Q174" t="n">
        <v>0</v>
      </c>
      <c r="R174" t="n">
        <v>0</v>
      </c>
      <c r="S174" t="n">
        <v>1</v>
      </c>
      <c r="T174" t="n">
        <v>1</v>
      </c>
      <c r="U174" s="2" t="inlineStr">
        <is>
          <t>Spillkråka</t>
        </is>
      </c>
      <c r="V174">
        <f>HYPERLINK("https://klasma.github.io/Logging_0188/artfynd/A 8371-2025 artfynd.xlsx", "A 8371-2025")</f>
        <v/>
      </c>
      <c r="W174">
        <f>HYPERLINK("https://klasma.github.io/Logging_0188/kartor/A 8371-2025 karta.png", "A 8371-2025")</f>
        <v/>
      </c>
      <c r="Y174">
        <f>HYPERLINK("https://klasma.github.io/Logging_0188/klagomål/A 8371-2025 FSC-klagomål.docx", "A 8371-2025")</f>
        <v/>
      </c>
      <c r="Z174">
        <f>HYPERLINK("https://klasma.github.io/Logging_0188/klagomålsmail/A 8371-2025 FSC-klagomål mail.docx", "A 8371-2025")</f>
        <v/>
      </c>
      <c r="AA174">
        <f>HYPERLINK("https://klasma.github.io/Logging_0188/tillsyn/A 8371-2025 tillsynsbegäran.docx", "A 8371-2025")</f>
        <v/>
      </c>
      <c r="AB174">
        <f>HYPERLINK("https://klasma.github.io/Logging_0188/tillsynsmail/A 8371-2025 tillsynsbegäran mail.docx", "A 8371-2025")</f>
        <v/>
      </c>
      <c r="AC174">
        <f>HYPERLINK("https://klasma.github.io/Logging_0188/fåglar/A 8371-2025 prioriterade fågelarter.docx", "A 8371-2025")</f>
        <v/>
      </c>
    </row>
    <row r="175" ht="15" customHeight="1">
      <c r="A175" t="inlineStr">
        <is>
          <t>A 52529-2025</t>
        </is>
      </c>
      <c r="B175" t="inlineStr">
        <is>
          <t>avverkningsanmälan</t>
        </is>
      </c>
      <c r="C175" t="inlineStr">
        <is>
          <t>Föryngringsavverkning</t>
        </is>
      </c>
      <c r="D175" s="1" t="n">
        <v>45954</v>
      </c>
      <c r="E175" s="1" t="n">
        <v>46221</v>
      </c>
      <c r="F175" t="inlineStr">
        <is>
          <t>STOCKHOLMS LÄN</t>
        </is>
      </c>
      <c r="G175" t="inlineStr">
        <is>
          <t>NORRTÄLJE</t>
        </is>
      </c>
      <c r="H175" t="inlineStr">
        <is>
          <t>Sveaskog</t>
        </is>
      </c>
      <c r="I175" t="n">
        <v>7.8</v>
      </c>
      <c r="J175" t="n">
        <v>1</v>
      </c>
      <c r="K175" t="n">
        <v>0</v>
      </c>
      <c r="L175" t="n">
        <v>0</v>
      </c>
      <c r="M175" t="n">
        <v>0</v>
      </c>
      <c r="N175" t="n">
        <v>1</v>
      </c>
      <c r="O175" t="n">
        <v>0</v>
      </c>
      <c r="P175" t="n">
        <v>0</v>
      </c>
      <c r="Q175" t="n">
        <v>1</v>
      </c>
      <c r="R175" t="n">
        <v>1</v>
      </c>
      <c r="S175" t="n">
        <v>1</v>
      </c>
      <c r="T175" t="n">
        <v>1</v>
      </c>
      <c r="U175" s="2" t="inlineStr">
        <is>
          <t>Pärluggla</t>
        </is>
      </c>
      <c r="V175">
        <f>HYPERLINK("https://klasma.github.io/Logging_0188/artfynd/A 52529-2025 artfynd.xlsx", "A 52529-2025")</f>
        <v/>
      </c>
      <c r="W175">
        <f>HYPERLINK("https://klasma.github.io/Logging_0188/kartor/A 52529-2025 karta.png", "A 52529-2025")</f>
        <v/>
      </c>
      <c r="Y175">
        <f>HYPERLINK("https://klasma.github.io/Logging_0188/klagomål/A 52529-2025 FSC-klagomål.docx", "A 52529-2025")</f>
        <v/>
      </c>
      <c r="Z175">
        <f>HYPERLINK("https://klasma.github.io/Logging_0188/klagomålsmail/A 52529-2025 FSC-klagomål mail.docx", "A 52529-2025")</f>
        <v/>
      </c>
      <c r="AA175">
        <f>HYPERLINK("https://klasma.github.io/Logging_0188/tillsyn/A 52529-2025 tillsynsbegäran.docx", "A 52529-2025")</f>
        <v/>
      </c>
      <c r="AB175">
        <f>HYPERLINK("https://klasma.github.io/Logging_0188/tillsynsmail/A 52529-2025 tillsynsbegäran mail.docx", "A 52529-2025")</f>
        <v/>
      </c>
      <c r="AC175">
        <f>HYPERLINK("https://klasma.github.io/Logging_0188/fåglar/A 52529-2025 prioriterade fågelarter.docx", "A 52529-2025")</f>
        <v/>
      </c>
    </row>
    <row r="176" ht="15" customHeight="1">
      <c r="A176" t="inlineStr">
        <is>
          <t>A 52775-2025</t>
        </is>
      </c>
      <c r="B176" t="inlineStr">
        <is>
          <t>avverkningsanmälan</t>
        </is>
      </c>
      <c r="C176" t="inlineStr">
        <is>
          <t>Föryngringsavverkning</t>
        </is>
      </c>
      <c r="D176" s="1" t="n">
        <v>45957</v>
      </c>
      <c r="E176" s="1" t="n">
        <v>46221</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s="2" t="inlineStr">
        <is>
          <t>Vedtrappmossa</t>
        </is>
      </c>
      <c r="V176">
        <f>HYPERLINK("https://klasma.github.io/Logging_0188/artfynd/A 52775-2025 artfynd.xlsx", "A 52775-2025")</f>
        <v/>
      </c>
      <c r="W176">
        <f>HYPERLINK("https://klasma.github.io/Logging_0188/kartor/A 52775-2025 karta.png", "A 52775-2025")</f>
        <v/>
      </c>
      <c r="Y176">
        <f>HYPERLINK("https://klasma.github.io/Logging_0188/klagomål/A 52775-2025 FSC-klagomål.docx", "A 52775-2025")</f>
        <v/>
      </c>
      <c r="Z176">
        <f>HYPERLINK("https://klasma.github.io/Logging_0188/klagomålsmail/A 52775-2025 FSC-klagomål mail.docx", "A 52775-2025")</f>
        <v/>
      </c>
      <c r="AA176">
        <f>HYPERLINK("https://klasma.github.io/Logging_0188/tillsyn/A 52775-2025 tillsynsbegäran.docx", "A 52775-2025")</f>
        <v/>
      </c>
      <c r="AB176">
        <f>HYPERLINK("https://klasma.github.io/Logging_0188/tillsynsmail/A 52775-2025 tillsynsbegäran mail.docx", "A 52775-2025")</f>
        <v/>
      </c>
    </row>
    <row r="177" ht="15" customHeight="1">
      <c r="A177" t="inlineStr">
        <is>
          <t>A 53629-2025</t>
        </is>
      </c>
      <c r="B177" t="inlineStr">
        <is>
          <t>avverkningsanmälan</t>
        </is>
      </c>
      <c r="C177" t="inlineStr">
        <is>
          <t>Föryngringsavverkning</t>
        </is>
      </c>
      <c r="D177" s="1" t="n">
        <v>45960</v>
      </c>
      <c r="E177" s="1" t="n">
        <v>46221</v>
      </c>
      <c r="F177" t="inlineStr">
        <is>
          <t>STOCKHOLMS LÄN</t>
        </is>
      </c>
      <c r="G177" t="inlineStr">
        <is>
          <t>NORRTÄLJE</t>
        </is>
      </c>
      <c r="H177" t="inlineStr">
        <is>
          <t>Naturvårdsverket</t>
        </is>
      </c>
      <c r="I177" t="n">
        <v>7.9</v>
      </c>
      <c r="J177" t="n">
        <v>0</v>
      </c>
      <c r="K177" t="n">
        <v>0</v>
      </c>
      <c r="L177" t="n">
        <v>1</v>
      </c>
      <c r="M177" t="n">
        <v>0</v>
      </c>
      <c r="N177" t="n">
        <v>0</v>
      </c>
      <c r="O177" t="n">
        <v>0</v>
      </c>
      <c r="P177" t="n">
        <v>0</v>
      </c>
      <c r="Q177" t="n">
        <v>1</v>
      </c>
      <c r="R177" t="n">
        <v>0</v>
      </c>
      <c r="S177" t="n">
        <v>1</v>
      </c>
      <c r="T177" t="n">
        <v>1</v>
      </c>
      <c r="U177" s="2" t="inlineStr">
        <is>
          <t>Olvonglasvinge</t>
        </is>
      </c>
      <c r="V177">
        <f>HYPERLINK("https://klasma.github.io/Logging_0188/artfynd/A 53629-2025 artfynd.xlsx", "A 53629-2025")</f>
        <v/>
      </c>
      <c r="W177">
        <f>HYPERLINK("https://klasma.github.io/Logging_0188/kartor/A 53629-2025 karta.png", "A 53629-2025")</f>
        <v/>
      </c>
      <c r="Y177">
        <f>HYPERLINK("https://klasma.github.io/Logging_0188/klagomål/A 53629-2025 FSC-klagomål.docx", "A 53629-2025")</f>
        <v/>
      </c>
      <c r="Z177">
        <f>HYPERLINK("https://klasma.github.io/Logging_0188/klagomålsmail/A 53629-2025 FSC-klagomål mail.docx", "A 53629-2025")</f>
        <v/>
      </c>
      <c r="AA177">
        <f>HYPERLINK("https://klasma.github.io/Logging_0188/tillsyn/A 53629-2025 tillsynsbegäran.docx", "A 53629-2025")</f>
        <v/>
      </c>
      <c r="AB177">
        <f>HYPERLINK("https://klasma.github.io/Logging_0188/tillsynsmail/A 53629-2025 tillsynsbegäran mail.docx", "A 53629-2025")</f>
        <v/>
      </c>
    </row>
    <row r="178" ht="15" customHeight="1">
      <c r="A178" t="inlineStr">
        <is>
          <t>A 23146-2024</t>
        </is>
      </c>
      <c r="B178" t="inlineStr">
        <is>
          <t>avverkningsanmälan</t>
        </is>
      </c>
      <c r="C178" t="inlineStr">
        <is>
          <t>Föryngringsavverkning</t>
        </is>
      </c>
      <c r="D178" s="1" t="n">
        <v>45450</v>
      </c>
      <c r="E178" s="1" t="n">
        <v>46221</v>
      </c>
      <c r="F178" t="inlineStr">
        <is>
          <t>STOCKHOLMS LÄN</t>
        </is>
      </c>
      <c r="G178" t="inlineStr">
        <is>
          <t>NORRTÄLJE</t>
        </is>
      </c>
      <c r="H178" t="inlineStr">
        <is>
          <t>Kommuner</t>
        </is>
      </c>
      <c r="I178" t="n">
        <v>6</v>
      </c>
      <c r="J178" t="n">
        <v>0</v>
      </c>
      <c r="K178" t="n">
        <v>0</v>
      </c>
      <c r="L178" t="n">
        <v>1</v>
      </c>
      <c r="M178" t="n">
        <v>0</v>
      </c>
      <c r="N178" t="n">
        <v>0</v>
      </c>
      <c r="O178" t="n">
        <v>0</v>
      </c>
      <c r="P178" t="n">
        <v>0</v>
      </c>
      <c r="Q178" t="n">
        <v>1</v>
      </c>
      <c r="R178" t="n">
        <v>0</v>
      </c>
      <c r="S178" t="n">
        <v>1</v>
      </c>
      <c r="T178" t="n">
        <v>1</v>
      </c>
      <c r="U178" s="2" t="inlineStr">
        <is>
          <t>Motaggsvamp</t>
        </is>
      </c>
      <c r="V178">
        <f>HYPERLINK("https://klasma.github.io/Logging_0188/artfynd/A 23146-2024 artfynd.xlsx", "A 23146-2024")</f>
        <v/>
      </c>
      <c r="W178">
        <f>HYPERLINK("https://klasma.github.io/Logging_0188/kartor/A 23146-2024 karta.png", "A 23146-2024")</f>
        <v/>
      </c>
      <c r="Y178">
        <f>HYPERLINK("https://klasma.github.io/Logging_0188/klagomål/A 23146-2024 FSC-klagomål.docx", "A 23146-2024")</f>
        <v/>
      </c>
      <c r="Z178">
        <f>HYPERLINK("https://klasma.github.io/Logging_0188/klagomålsmail/A 23146-2024 FSC-klagomål mail.docx", "A 23146-2024")</f>
        <v/>
      </c>
      <c r="AA178">
        <f>HYPERLINK("https://klasma.github.io/Logging_0188/tillsyn/A 23146-2024 tillsynsbegäran.docx", "A 23146-2024")</f>
        <v/>
      </c>
      <c r="AB178">
        <f>HYPERLINK("https://klasma.github.io/Logging_0188/tillsynsmail/A 23146-2024 tillsynsbegäran mail.docx", "A 23146-2024")</f>
        <v/>
      </c>
    </row>
    <row r="179" ht="15" customHeight="1">
      <c r="A179" t="inlineStr">
        <is>
          <t>A 27538-2024</t>
        </is>
      </c>
      <c r="B179" t="inlineStr">
        <is>
          <t>avverkningsanmälan</t>
        </is>
      </c>
      <c r="C179" t="inlineStr">
        <is>
          <t>Föryngringsavverkning</t>
        </is>
      </c>
      <c r="D179" s="1" t="n">
        <v>45474</v>
      </c>
      <c r="E179" s="1" t="n">
        <v>46221</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s="2" t="inlineStr">
        <is>
          <t>Skogsknipprot</t>
        </is>
      </c>
      <c r="V179">
        <f>HYPERLINK("https://klasma.github.io/Logging_0188/artfynd/A 27538-2024 artfynd.xlsx", "A 27538-2024")</f>
        <v/>
      </c>
      <c r="W179">
        <f>HYPERLINK("https://klasma.github.io/Logging_0188/kartor/A 27538-2024 karta.png", "A 27538-2024")</f>
        <v/>
      </c>
      <c r="Y179">
        <f>HYPERLINK("https://klasma.github.io/Logging_0188/klagomål/A 27538-2024 FSC-klagomål.docx", "A 27538-2024")</f>
        <v/>
      </c>
      <c r="Z179">
        <f>HYPERLINK("https://klasma.github.io/Logging_0188/klagomålsmail/A 27538-2024 FSC-klagomål mail.docx", "A 27538-2024")</f>
        <v/>
      </c>
      <c r="AA179">
        <f>HYPERLINK("https://klasma.github.io/Logging_0188/tillsyn/A 27538-2024 tillsynsbegäran.docx", "A 27538-2024")</f>
        <v/>
      </c>
      <c r="AB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46221</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s="2" t="inlineStr">
        <is>
          <t>Skogsknipprot</t>
        </is>
      </c>
      <c r="V180">
        <f>HYPERLINK("https://klasma.github.io/Logging_0188/artfynd/A 4385-2023 artfynd.xlsx", "A 4385-2023")</f>
        <v/>
      </c>
      <c r="W180">
        <f>HYPERLINK("https://klasma.github.io/Logging_0188/kartor/A 4385-2023 karta.png", "A 4385-2023")</f>
        <v/>
      </c>
      <c r="Y180">
        <f>HYPERLINK("https://klasma.github.io/Logging_0188/klagomål/A 4385-2023 FSC-klagomål.docx", "A 4385-2023")</f>
        <v/>
      </c>
      <c r="Z180">
        <f>HYPERLINK("https://klasma.github.io/Logging_0188/klagomålsmail/A 4385-2023 FSC-klagomål mail.docx", "A 4385-2023")</f>
        <v/>
      </c>
      <c r="AA180">
        <f>HYPERLINK("https://klasma.github.io/Logging_0188/tillsyn/A 4385-2023 tillsynsbegäran.docx", "A 4385-2023")</f>
        <v/>
      </c>
      <c r="AB180">
        <f>HYPERLINK("https://klasma.github.io/Logging_0188/tillsynsmail/A 4385-2023 tillsynsbegäran mail.docx", "A 4385-2023")</f>
        <v/>
      </c>
    </row>
    <row r="181" ht="15" customHeight="1">
      <c r="A181" t="inlineStr">
        <is>
          <t>A 58939-2025</t>
        </is>
      </c>
      <c r="B181" t="inlineStr">
        <is>
          <t>avverkningsanmälan</t>
        </is>
      </c>
      <c r="C181" t="inlineStr">
        <is>
          <t>Föryngringsavverkning</t>
        </is>
      </c>
      <c r="D181" s="1" t="n">
        <v>45987</v>
      </c>
      <c r="E181" s="1" t="n">
        <v>46221</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s="2" t="inlineStr">
        <is>
          <t>Bronshjon</t>
        </is>
      </c>
      <c r="V181">
        <f>HYPERLINK("https://klasma.github.io/Logging_0188/artfynd/A 58939-2025 artfynd.xlsx", "A 58939-2025")</f>
        <v/>
      </c>
      <c r="W181">
        <f>HYPERLINK("https://klasma.github.io/Logging_0188/kartor/A 58939-2025 karta.png", "A 58939-2025")</f>
        <v/>
      </c>
      <c r="Y181">
        <f>HYPERLINK("https://klasma.github.io/Logging_0188/klagomål/A 58939-2025 FSC-klagomål.docx", "A 58939-2025")</f>
        <v/>
      </c>
      <c r="Z181">
        <f>HYPERLINK("https://klasma.github.io/Logging_0188/klagomålsmail/A 58939-2025 FSC-klagomål mail.docx", "A 58939-2025")</f>
        <v/>
      </c>
      <c r="AA181">
        <f>HYPERLINK("https://klasma.github.io/Logging_0188/tillsyn/A 58939-2025 tillsynsbegäran.docx", "A 58939-2025")</f>
        <v/>
      </c>
      <c r="AB181">
        <f>HYPERLINK("https://klasma.github.io/Logging_0188/tillsynsmail/A 58939-2025 tillsynsbegäran mail.docx", "A 58939-2025")</f>
        <v/>
      </c>
    </row>
    <row r="182" ht="15" customHeight="1">
      <c r="A182" t="inlineStr">
        <is>
          <t>A 19025-2025</t>
        </is>
      </c>
      <c r="B182" t="inlineStr">
        <is>
          <t>avverkningsanmälan</t>
        </is>
      </c>
      <c r="C182" t="inlineStr">
        <is>
          <t>Föryngringsavverkning</t>
        </is>
      </c>
      <c r="D182" s="1" t="n">
        <v>45764</v>
      </c>
      <c r="E182" s="1" t="n">
        <v>46221</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s="2" t="inlineStr">
        <is>
          <t>Granbarkgnagare</t>
        </is>
      </c>
      <c r="V182">
        <f>HYPERLINK("https://klasma.github.io/Logging_0188/artfynd/A 19025-2025 artfynd.xlsx", "A 19025-2025")</f>
        <v/>
      </c>
      <c r="W182">
        <f>HYPERLINK("https://klasma.github.io/Logging_0188/kartor/A 19025-2025 karta.png", "A 19025-2025")</f>
        <v/>
      </c>
      <c r="Y182">
        <f>HYPERLINK("https://klasma.github.io/Logging_0188/klagomål/A 19025-2025 FSC-klagomål.docx", "A 19025-2025")</f>
        <v/>
      </c>
      <c r="Z182">
        <f>HYPERLINK("https://klasma.github.io/Logging_0188/klagomålsmail/A 19025-2025 FSC-klagomål mail.docx", "A 19025-2025")</f>
        <v/>
      </c>
      <c r="AA182">
        <f>HYPERLINK("https://klasma.github.io/Logging_0188/tillsyn/A 19025-2025 tillsynsbegäran.docx", "A 19025-2025")</f>
        <v/>
      </c>
      <c r="AB182">
        <f>HYPERLINK("https://klasma.github.io/Logging_0188/tillsynsmail/A 19025-2025 tillsynsbegäran mail.docx", "A 19025-2025")</f>
        <v/>
      </c>
    </row>
    <row r="183" ht="15" customHeight="1">
      <c r="A183" t="inlineStr">
        <is>
          <t>A 59682-2025</t>
        </is>
      </c>
      <c r="B183" t="inlineStr">
        <is>
          <t>avverkningsanmälan</t>
        </is>
      </c>
      <c r="C183" t="inlineStr">
        <is>
          <t>Föryngringsavverkning</t>
        </is>
      </c>
      <c r="D183" s="1" t="n">
        <v>45992</v>
      </c>
      <c r="E183" s="1" t="n">
        <v>46221</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s="2" t="inlineStr">
        <is>
          <t>Grönpyrola</t>
        </is>
      </c>
      <c r="V183">
        <f>HYPERLINK("https://klasma.github.io/Logging_0188/artfynd/A 59682-2025 artfynd.xlsx", "A 59682-2025")</f>
        <v/>
      </c>
      <c r="W183">
        <f>HYPERLINK("https://klasma.github.io/Logging_0188/kartor/A 59682-2025 karta.png", "A 59682-2025")</f>
        <v/>
      </c>
      <c r="Y183">
        <f>HYPERLINK("https://klasma.github.io/Logging_0188/klagomål/A 59682-2025 FSC-klagomål.docx", "A 59682-2025")</f>
        <v/>
      </c>
      <c r="Z183">
        <f>HYPERLINK("https://klasma.github.io/Logging_0188/klagomålsmail/A 59682-2025 FSC-klagomål mail.docx", "A 59682-2025")</f>
        <v/>
      </c>
      <c r="AA183">
        <f>HYPERLINK("https://klasma.github.io/Logging_0188/tillsyn/A 59682-2025 tillsynsbegäran.docx", "A 59682-2025")</f>
        <v/>
      </c>
      <c r="AB183">
        <f>HYPERLINK("https://klasma.github.io/Logging_0188/tillsynsmail/A 59682-2025 tillsynsbegäran mail.docx", "A 59682-2025")</f>
        <v/>
      </c>
    </row>
    <row r="184" ht="15" customHeight="1">
      <c r="A184" t="inlineStr">
        <is>
          <t>A 13109-2026</t>
        </is>
      </c>
      <c r="B184" t="inlineStr">
        <is>
          <t>avverkningsanmälan</t>
        </is>
      </c>
      <c r="C184" t="inlineStr">
        <is>
          <t>Föryngringsavverkning</t>
        </is>
      </c>
      <c r="D184" s="1" t="n">
        <v>46093</v>
      </c>
      <c r="E184" s="1" t="n">
        <v>46221</v>
      </c>
      <c r="F184" t="inlineStr">
        <is>
          <t>STOCKHOLMS LÄN</t>
        </is>
      </c>
      <c r="G184" t="inlineStr">
        <is>
          <t>NORRTÄLJE</t>
        </is>
      </c>
      <c r="I184" t="n">
        <v>4</v>
      </c>
      <c r="J184" t="n">
        <v>1</v>
      </c>
      <c r="K184" t="n">
        <v>0</v>
      </c>
      <c r="L184" t="n">
        <v>0</v>
      </c>
      <c r="M184" t="n">
        <v>0</v>
      </c>
      <c r="N184" t="n">
        <v>1</v>
      </c>
      <c r="O184" t="n">
        <v>0</v>
      </c>
      <c r="P184" t="n">
        <v>0</v>
      </c>
      <c r="Q184" t="n">
        <v>1</v>
      </c>
      <c r="R184" t="n">
        <v>1</v>
      </c>
      <c r="S184" t="n">
        <v>1</v>
      </c>
      <c r="T184" t="n">
        <v>13</v>
      </c>
      <c r="U184" s="2" t="inlineStr">
        <is>
          <t>Asknätfjäril</t>
        </is>
      </c>
      <c r="V184">
        <f>HYPERLINK("https://klasma.github.io/Logging_0188/artfynd/A 13109-2026 artfynd.xlsx", "A 13109-2026")</f>
        <v/>
      </c>
      <c r="W184">
        <f>HYPERLINK("https://klasma.github.io/Logging_0188/kartor/A 13109-2026 karta.png", "A 13109-2026")</f>
        <v/>
      </c>
      <c r="Y184">
        <f>HYPERLINK("https://klasma.github.io/Logging_0188/klagomål/A 13109-2026 FSC-klagomål.docx", "A 13109-2026")</f>
        <v/>
      </c>
      <c r="Z184">
        <f>HYPERLINK("https://klasma.github.io/Logging_0188/klagomålsmail/A 13109-2026 FSC-klagomål mail.docx", "A 13109-2026")</f>
        <v/>
      </c>
      <c r="AA184">
        <f>HYPERLINK("https://klasma.github.io/Logging_0188/tillsyn/A 13109-2026 tillsynsbegäran.docx", "A 13109-2026")</f>
        <v/>
      </c>
      <c r="AB184">
        <f>HYPERLINK("https://klasma.github.io/Logging_0188/tillsynsmail/A 13109-2026 tillsynsbegäran mail.docx", "A 13109-2026")</f>
        <v/>
      </c>
    </row>
    <row r="185" ht="15" customHeight="1">
      <c r="A185" t="inlineStr">
        <is>
          <t>A 24330-2023</t>
        </is>
      </c>
      <c r="B185" t="inlineStr">
        <is>
          <t>avverkningsanmälan</t>
        </is>
      </c>
      <c r="C185" t="inlineStr">
        <is>
          <t>Föryngringsavverkning</t>
        </is>
      </c>
      <c r="D185" s="1" t="n">
        <v>45081</v>
      </c>
      <c r="E185" s="1" t="n">
        <v>46221</v>
      </c>
      <c r="F185" t="inlineStr">
        <is>
          <t>STOCKHOLMS LÄN</t>
        </is>
      </c>
      <c r="G185" t="inlineStr">
        <is>
          <t>NORRTÄLJE</t>
        </is>
      </c>
      <c r="I185" t="n">
        <v>5</v>
      </c>
      <c r="J185" t="n">
        <v>1</v>
      </c>
      <c r="K185" t="n">
        <v>0</v>
      </c>
      <c r="L185" t="n">
        <v>1</v>
      </c>
      <c r="M185" t="n">
        <v>0</v>
      </c>
      <c r="N185" t="n">
        <v>0</v>
      </c>
      <c r="O185" t="n">
        <v>0</v>
      </c>
      <c r="P185" t="n">
        <v>0</v>
      </c>
      <c r="Q185" t="n">
        <v>1</v>
      </c>
      <c r="R185" t="n">
        <v>0</v>
      </c>
      <c r="S185" t="n">
        <v>1</v>
      </c>
      <c r="T185" t="n">
        <v>1</v>
      </c>
      <c r="U185" s="2" t="inlineStr">
        <is>
          <t>Mindre hackspett</t>
        </is>
      </c>
      <c r="V185">
        <f>HYPERLINK("https://klasma.github.io/Logging_0188/artfynd/A 24330-2023 artfynd.xlsx", "A 24330-2023")</f>
        <v/>
      </c>
      <c r="W185">
        <f>HYPERLINK("https://klasma.github.io/Logging_0188/kartor/A 24330-2023 karta.png", "A 24330-2023")</f>
        <v/>
      </c>
      <c r="Y185">
        <f>HYPERLINK("https://klasma.github.io/Logging_0188/klagomål/A 24330-2023 FSC-klagomål.docx", "A 24330-2023")</f>
        <v/>
      </c>
      <c r="Z185">
        <f>HYPERLINK("https://klasma.github.io/Logging_0188/klagomålsmail/A 24330-2023 FSC-klagomål mail.docx", "A 24330-2023")</f>
        <v/>
      </c>
      <c r="AA185">
        <f>HYPERLINK("https://klasma.github.io/Logging_0188/tillsyn/A 24330-2023 tillsynsbegäran.docx", "A 24330-2023")</f>
        <v/>
      </c>
      <c r="AB185">
        <f>HYPERLINK("https://klasma.github.io/Logging_0188/tillsynsmail/A 24330-2023 tillsynsbegäran mail.docx", "A 24330-2023")</f>
        <v/>
      </c>
      <c r="AC185">
        <f>HYPERLINK("https://klasma.github.io/Logging_0188/fåglar/A 24330-2023 prioriterade fågelarter.docx", "A 24330-2023")</f>
        <v/>
      </c>
    </row>
    <row r="186" ht="15" customHeight="1">
      <c r="A186" t="inlineStr">
        <is>
          <t>A 30290-2022</t>
        </is>
      </c>
      <c r="B186" t="inlineStr">
        <is>
          <t>avverkningsanmälan</t>
        </is>
      </c>
      <c r="C186" t="inlineStr">
        <is>
          <t>Föryngringsavverkning</t>
        </is>
      </c>
      <c r="D186" s="1" t="n">
        <v>44760</v>
      </c>
      <c r="E186" s="1" t="n">
        <v>46221</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s="2" t="inlineStr">
        <is>
          <t>Skogsknipprot</t>
        </is>
      </c>
      <c r="V186">
        <f>HYPERLINK("https://klasma.github.io/Logging_0188/artfynd/A 30290-2022 artfynd.xlsx", "A 30290-2022")</f>
        <v/>
      </c>
      <c r="W186">
        <f>HYPERLINK("https://klasma.github.io/Logging_0188/kartor/A 30290-2022 karta.png", "A 30290-2022")</f>
        <v/>
      </c>
      <c r="Y186">
        <f>HYPERLINK("https://klasma.github.io/Logging_0188/klagomål/A 30290-2022 FSC-klagomål.docx", "A 30290-2022")</f>
        <v/>
      </c>
      <c r="Z186">
        <f>HYPERLINK("https://klasma.github.io/Logging_0188/klagomålsmail/A 30290-2022 FSC-klagomål mail.docx", "A 30290-2022")</f>
        <v/>
      </c>
      <c r="AA186">
        <f>HYPERLINK("https://klasma.github.io/Logging_0188/tillsyn/A 30290-2022 tillsynsbegäran.docx", "A 30290-2022")</f>
        <v/>
      </c>
      <c r="AB186">
        <f>HYPERLINK("https://klasma.github.io/Logging_0188/tillsynsmail/A 30290-2022 tillsynsbegäran mail.docx", "A 30290-2022")</f>
        <v/>
      </c>
    </row>
    <row r="187" ht="15" customHeight="1">
      <c r="A187" t="inlineStr">
        <is>
          <t>A 53499-2025</t>
        </is>
      </c>
      <c r="B187" t="inlineStr">
        <is>
          <t>avverkningsanmälan</t>
        </is>
      </c>
      <c r="C187" t="inlineStr">
        <is>
          <t>Föryngringsavverkning</t>
        </is>
      </c>
      <c r="D187" s="1" t="n">
        <v>45960</v>
      </c>
      <c r="E187" s="1" t="n">
        <v>46221</v>
      </c>
      <c r="F187" t="inlineStr">
        <is>
          <t>STOCKHOLMS LÄN</t>
        </is>
      </c>
      <c r="G187" t="inlineStr">
        <is>
          <t>NORRTÄLJE</t>
        </is>
      </c>
      <c r="I187" t="n">
        <v>23.8</v>
      </c>
      <c r="J187" t="n">
        <v>1</v>
      </c>
      <c r="K187" t="n">
        <v>0</v>
      </c>
      <c r="L187" t="n">
        <v>1</v>
      </c>
      <c r="M187" t="n">
        <v>0</v>
      </c>
      <c r="N187" t="n">
        <v>0</v>
      </c>
      <c r="O187" t="n">
        <v>0</v>
      </c>
      <c r="P187" t="n">
        <v>0</v>
      </c>
      <c r="Q187" t="n">
        <v>1</v>
      </c>
      <c r="R187" t="n">
        <v>0</v>
      </c>
      <c r="S187" t="n">
        <v>1</v>
      </c>
      <c r="T187" t="n">
        <v>1</v>
      </c>
      <c r="U187" s="2" t="inlineStr">
        <is>
          <t>Talltita</t>
        </is>
      </c>
      <c r="V187">
        <f>HYPERLINK("https://klasma.github.io/Logging_0188/artfynd/A 53499-2025 artfynd.xlsx", "A 53499-2025")</f>
        <v/>
      </c>
      <c r="W187">
        <f>HYPERLINK("https://klasma.github.io/Logging_0188/kartor/A 53499-2025 karta.png", "A 53499-2025")</f>
        <v/>
      </c>
      <c r="Y187">
        <f>HYPERLINK("https://klasma.github.io/Logging_0188/klagomål/A 53499-2025 FSC-klagomål.docx", "A 53499-2025")</f>
        <v/>
      </c>
      <c r="Z187">
        <f>HYPERLINK("https://klasma.github.io/Logging_0188/klagomålsmail/A 53499-2025 FSC-klagomål mail.docx", "A 53499-2025")</f>
        <v/>
      </c>
      <c r="AA187">
        <f>HYPERLINK("https://klasma.github.io/Logging_0188/tillsyn/A 53499-2025 tillsynsbegäran.docx", "A 53499-2025")</f>
        <v/>
      </c>
      <c r="AB187">
        <f>HYPERLINK("https://klasma.github.io/Logging_0188/tillsynsmail/A 53499-2025 tillsynsbegäran mail.docx", "A 53499-2025")</f>
        <v/>
      </c>
      <c r="AC187">
        <f>HYPERLINK("https://klasma.github.io/Logging_0188/fåglar/A 53499-2025 prioriterade fågelarter.docx", "A 53499-2025")</f>
        <v/>
      </c>
    </row>
    <row r="188" ht="15" customHeight="1">
      <c r="A188" t="inlineStr">
        <is>
          <t>A 33279-2025</t>
        </is>
      </c>
      <c r="B188" t="inlineStr">
        <is>
          <t>avverkningsanmälan</t>
        </is>
      </c>
      <c r="C188" t="inlineStr">
        <is>
          <t>Föryngringsavverkning</t>
        </is>
      </c>
      <c r="D188" s="1" t="n">
        <v>45840</v>
      </c>
      <c r="E188" s="1" t="n">
        <v>46221</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s="2" t="inlineStr">
        <is>
          <t>Platt fjädermossa</t>
        </is>
      </c>
      <c r="V188">
        <f>HYPERLINK("https://klasma.github.io/Logging_0188/artfynd/A 33279-2025 artfynd.xlsx", "A 33279-2025")</f>
        <v/>
      </c>
      <c r="W188">
        <f>HYPERLINK("https://klasma.github.io/Logging_0188/kartor/A 33279-2025 karta.png", "A 33279-2025")</f>
        <v/>
      </c>
      <c r="Y188">
        <f>HYPERLINK("https://klasma.github.io/Logging_0188/klagomål/A 33279-2025 FSC-klagomål.docx", "A 33279-2025")</f>
        <v/>
      </c>
      <c r="Z188">
        <f>HYPERLINK("https://klasma.github.io/Logging_0188/klagomålsmail/A 33279-2025 FSC-klagomål mail.docx", "A 33279-2025")</f>
        <v/>
      </c>
      <c r="AA188">
        <f>HYPERLINK("https://klasma.github.io/Logging_0188/tillsyn/A 33279-2025 tillsynsbegäran.docx", "A 33279-2025")</f>
        <v/>
      </c>
      <c r="AB188">
        <f>HYPERLINK("https://klasma.github.io/Logging_0188/tillsynsmail/A 33279-2025 tillsynsbegäran mail.docx", "A 33279-2025")</f>
        <v/>
      </c>
    </row>
    <row r="189" ht="15" customHeight="1">
      <c r="A189" t="inlineStr">
        <is>
          <t>A 28816-2023</t>
        </is>
      </c>
      <c r="B189" t="inlineStr">
        <is>
          <t>avverkningsanmälan</t>
        </is>
      </c>
      <c r="C189" t="inlineStr">
        <is>
          <t>Föryngringsavverkning</t>
        </is>
      </c>
      <c r="D189" s="1" t="n">
        <v>45104</v>
      </c>
      <c r="E189" s="1" t="n">
        <v>46221</v>
      </c>
      <c r="F189" t="inlineStr">
        <is>
          <t>STOCKHOLMS LÄN</t>
        </is>
      </c>
      <c r="G189" t="inlineStr">
        <is>
          <t>NORRTÄLJE</t>
        </is>
      </c>
      <c r="H189" t="inlineStr">
        <is>
          <t>Kommuner</t>
        </is>
      </c>
      <c r="I189" t="n">
        <v>0.5</v>
      </c>
      <c r="J189" t="n">
        <v>1</v>
      </c>
      <c r="K189" t="n">
        <v>0</v>
      </c>
      <c r="L189" t="n">
        <v>0</v>
      </c>
      <c r="M189" t="n">
        <v>0</v>
      </c>
      <c r="N189" t="n">
        <v>0</v>
      </c>
      <c r="O189" t="n">
        <v>0</v>
      </c>
      <c r="P189" t="n">
        <v>0</v>
      </c>
      <c r="Q189" t="n">
        <v>0</v>
      </c>
      <c r="R189" t="n">
        <v>0</v>
      </c>
      <c r="S189" t="n">
        <v>1</v>
      </c>
      <c r="T189" t="n">
        <v>1</v>
      </c>
      <c r="U189" s="2" t="inlineStr">
        <is>
          <t>Kungsfågel</t>
        </is>
      </c>
      <c r="V189">
        <f>HYPERLINK("https://klasma.github.io/Logging_0188/artfynd/A 28816-2023 artfynd.xlsx", "A 28816-2023")</f>
        <v/>
      </c>
      <c r="W189">
        <f>HYPERLINK("https://klasma.github.io/Logging_0188/kartor/A 28816-2023 karta.png", "A 28816-2023")</f>
        <v/>
      </c>
      <c r="Y189">
        <f>HYPERLINK("https://klasma.github.io/Logging_0188/klagomål/A 28816-2023 FSC-klagomål.docx", "A 28816-2023")</f>
        <v/>
      </c>
      <c r="Z189">
        <f>HYPERLINK("https://klasma.github.io/Logging_0188/klagomålsmail/A 28816-2023 FSC-klagomål mail.docx", "A 28816-2023")</f>
        <v/>
      </c>
      <c r="AA189">
        <f>HYPERLINK("https://klasma.github.io/Logging_0188/tillsyn/A 28816-2023 tillsynsbegäran.docx", "A 28816-2023")</f>
        <v/>
      </c>
      <c r="AB189">
        <f>HYPERLINK("https://klasma.github.io/Logging_0188/tillsynsmail/A 28816-2023 tillsynsbegäran mail.docx", "A 28816-2023")</f>
        <v/>
      </c>
    </row>
    <row r="190" ht="15" customHeight="1">
      <c r="A190" t="inlineStr">
        <is>
          <t>A 57442-2021</t>
        </is>
      </c>
      <c r="B190" t="inlineStr">
        <is>
          <t>avverkningsanmälan</t>
        </is>
      </c>
      <c r="C190" t="inlineStr">
        <is>
          <t>Föryngringsavverkning</t>
        </is>
      </c>
      <c r="D190" s="1" t="n">
        <v>44483</v>
      </c>
      <c r="E190" s="1" t="n">
        <v>46221</v>
      </c>
      <c r="F190" t="inlineStr">
        <is>
          <t>STOCKHOLMS LÄN</t>
        </is>
      </c>
      <c r="G190" t="inlineStr">
        <is>
          <t>NORRTÄLJE</t>
        </is>
      </c>
      <c r="I190" t="n">
        <v>3.3</v>
      </c>
      <c r="J190" t="n">
        <v>0</v>
      </c>
      <c r="K190" t="n">
        <v>0</v>
      </c>
      <c r="L190" t="n">
        <v>1</v>
      </c>
      <c r="M190" t="n">
        <v>0</v>
      </c>
      <c r="N190" t="n">
        <v>0</v>
      </c>
      <c r="O190" t="n">
        <v>0</v>
      </c>
      <c r="P190" t="n">
        <v>0</v>
      </c>
      <c r="Q190" t="n">
        <v>1</v>
      </c>
      <c r="R190" t="n">
        <v>0</v>
      </c>
      <c r="S190" t="n">
        <v>1</v>
      </c>
      <c r="T190" t="n">
        <v>2</v>
      </c>
      <c r="U190" s="2" t="inlineStr">
        <is>
          <t>Slåtterfibbla</t>
        </is>
      </c>
      <c r="V190">
        <f>HYPERLINK("https://klasma.github.io/Logging_0188/artfynd/A 57442-2021 artfynd.xlsx", "A 57442-2021")</f>
        <v/>
      </c>
      <c r="W190">
        <f>HYPERLINK("https://klasma.github.io/Logging_0188/kartor/A 57442-2021 karta.png", "A 57442-2021")</f>
        <v/>
      </c>
      <c r="Y190">
        <f>HYPERLINK("https://klasma.github.io/Logging_0188/klagomål/A 57442-2021 FSC-klagomål.docx", "A 57442-2021")</f>
        <v/>
      </c>
      <c r="Z190">
        <f>HYPERLINK("https://klasma.github.io/Logging_0188/klagomålsmail/A 57442-2021 FSC-klagomål mail.docx", "A 57442-2021")</f>
        <v/>
      </c>
      <c r="AA190">
        <f>HYPERLINK("https://klasma.github.io/Logging_0188/tillsyn/A 57442-2021 tillsynsbegäran.docx", "A 57442-2021")</f>
        <v/>
      </c>
      <c r="AB190">
        <f>HYPERLINK("https://klasma.github.io/Logging_0188/tillsynsmail/A 57442-2021 tillsynsbegäran mail.docx", "A 57442-2021")</f>
        <v/>
      </c>
    </row>
    <row r="191" ht="15" customHeight="1">
      <c r="A191" t="inlineStr">
        <is>
          <t>A 35691-2023</t>
        </is>
      </c>
      <c r="B191" t="inlineStr">
        <is>
          <t>avverkningsanmälan</t>
        </is>
      </c>
      <c r="C191" t="inlineStr">
        <is>
          <t>Föryngringsavverkning</t>
        </is>
      </c>
      <c r="D191" s="1" t="n">
        <v>45147</v>
      </c>
      <c r="E191" s="1" t="n">
        <v>46221</v>
      </c>
      <c r="F191" t="inlineStr">
        <is>
          <t>STOCKHOLMS LÄN</t>
        </is>
      </c>
      <c r="G191" t="inlineStr">
        <is>
          <t>NORRTÄLJE</t>
        </is>
      </c>
      <c r="I191" t="n">
        <v>2.3</v>
      </c>
      <c r="J191" t="n">
        <v>1</v>
      </c>
      <c r="K191" t="n">
        <v>0</v>
      </c>
      <c r="L191" t="n">
        <v>0</v>
      </c>
      <c r="M191" t="n">
        <v>0</v>
      </c>
      <c r="N191" t="n">
        <v>0</v>
      </c>
      <c r="O191" t="n">
        <v>0</v>
      </c>
      <c r="P191" t="n">
        <v>0</v>
      </c>
      <c r="Q191" t="n">
        <v>0</v>
      </c>
      <c r="R191" t="n">
        <v>0</v>
      </c>
      <c r="S191" t="n">
        <v>1</v>
      </c>
      <c r="T191" t="n">
        <v>1</v>
      </c>
      <c r="U191" s="2" t="inlineStr">
        <is>
          <t>Kungsfågel</t>
        </is>
      </c>
      <c r="V191">
        <f>HYPERLINK("https://klasma.github.io/Logging_0188/artfynd/A 35691-2023 artfynd.xlsx", "A 35691-2023")</f>
        <v/>
      </c>
      <c r="W191">
        <f>HYPERLINK("https://klasma.github.io/Logging_0188/kartor/A 35691-2023 karta.png", "A 35691-2023")</f>
        <v/>
      </c>
      <c r="Y191">
        <f>HYPERLINK("https://klasma.github.io/Logging_0188/klagomål/A 35691-2023 FSC-klagomål.docx", "A 35691-2023")</f>
        <v/>
      </c>
      <c r="Z191">
        <f>HYPERLINK("https://klasma.github.io/Logging_0188/klagomålsmail/A 35691-2023 FSC-klagomål mail.docx", "A 35691-2023")</f>
        <v/>
      </c>
      <c r="AA191">
        <f>HYPERLINK("https://klasma.github.io/Logging_0188/tillsyn/A 35691-2023 tillsynsbegäran.docx", "A 35691-2023")</f>
        <v/>
      </c>
      <c r="AB191">
        <f>HYPERLINK("https://klasma.github.io/Logging_0188/tillsynsmail/A 35691-2023 tillsynsbegäran mail.docx", "A 35691-2023")</f>
        <v/>
      </c>
    </row>
    <row r="192" ht="15" customHeight="1">
      <c r="A192" t="inlineStr">
        <is>
          <t>A 35693-2023</t>
        </is>
      </c>
      <c r="B192" t="inlineStr">
        <is>
          <t>avverkningsanmälan</t>
        </is>
      </c>
      <c r="C192" t="inlineStr">
        <is>
          <t>Föryngringsavverkning</t>
        </is>
      </c>
      <c r="D192" s="1" t="n">
        <v>45147</v>
      </c>
      <c r="E192" s="1" t="n">
        <v>46221</v>
      </c>
      <c r="F192" t="inlineStr">
        <is>
          <t>STOCKHOLMS LÄN</t>
        </is>
      </c>
      <c r="G192" t="inlineStr">
        <is>
          <t>NORRTÄLJE</t>
        </is>
      </c>
      <c r="I192" t="n">
        <v>2.2</v>
      </c>
      <c r="J192" t="n">
        <v>0</v>
      </c>
      <c r="K192" t="n">
        <v>0</v>
      </c>
      <c r="L192" t="n">
        <v>1</v>
      </c>
      <c r="M192" t="n">
        <v>0</v>
      </c>
      <c r="N192" t="n">
        <v>0</v>
      </c>
      <c r="O192" t="n">
        <v>0</v>
      </c>
      <c r="P192" t="n">
        <v>0</v>
      </c>
      <c r="Q192" t="n">
        <v>1</v>
      </c>
      <c r="R192" t="n">
        <v>0</v>
      </c>
      <c r="S192" t="n">
        <v>1</v>
      </c>
      <c r="T192" t="n">
        <v>1</v>
      </c>
      <c r="U192" s="2" t="inlineStr">
        <is>
          <t>Motaggsvamp</t>
        </is>
      </c>
      <c r="V192">
        <f>HYPERLINK("https://klasma.github.io/Logging_0188/artfynd/A 35693-2023 artfynd.xlsx", "A 35693-2023")</f>
        <v/>
      </c>
      <c r="W192">
        <f>HYPERLINK("https://klasma.github.io/Logging_0188/kartor/A 35693-2023 karta.png", "A 35693-2023")</f>
        <v/>
      </c>
      <c r="Y192">
        <f>HYPERLINK("https://klasma.github.io/Logging_0188/klagomål/A 35693-2023 FSC-klagomål.docx", "A 35693-2023")</f>
        <v/>
      </c>
      <c r="Z192">
        <f>HYPERLINK("https://klasma.github.io/Logging_0188/klagomålsmail/A 35693-2023 FSC-klagomål mail.docx", "A 35693-2023")</f>
        <v/>
      </c>
      <c r="AA192">
        <f>HYPERLINK("https://klasma.github.io/Logging_0188/tillsyn/A 35693-2023 tillsynsbegäran.docx", "A 35693-2023")</f>
        <v/>
      </c>
      <c r="AB192">
        <f>HYPERLINK("https://klasma.github.io/Logging_0188/tillsynsmail/A 35693-2023 tillsynsbegäran mail.docx", "A 35693-2023")</f>
        <v/>
      </c>
    </row>
    <row r="193" ht="15" customHeight="1">
      <c r="A193" t="inlineStr">
        <is>
          <t>A 21329-2022</t>
        </is>
      </c>
      <c r="B193" t="inlineStr">
        <is>
          <t>avverkningsanmälan</t>
        </is>
      </c>
      <c r="C193" t="inlineStr">
        <is>
          <t>Föryngringsavverkning</t>
        </is>
      </c>
      <c r="D193" s="1" t="n">
        <v>44705</v>
      </c>
      <c r="E193" s="1" t="n">
        <v>46221</v>
      </c>
      <c r="F193" t="inlineStr">
        <is>
          <t>STOCKHOLMS LÄN</t>
        </is>
      </c>
      <c r="G193" t="inlineStr">
        <is>
          <t>NORRTÄLJE</t>
        </is>
      </c>
      <c r="I193" t="n">
        <v>4.1</v>
      </c>
      <c r="J193" t="n">
        <v>1</v>
      </c>
      <c r="K193" t="n">
        <v>1</v>
      </c>
      <c r="L193" t="n">
        <v>0</v>
      </c>
      <c r="M193" t="n">
        <v>0</v>
      </c>
      <c r="N193" t="n">
        <v>0</v>
      </c>
      <c r="O193" t="n">
        <v>0</v>
      </c>
      <c r="P193" t="n">
        <v>0</v>
      </c>
      <c r="Q193" t="n">
        <v>0</v>
      </c>
      <c r="R193" t="n">
        <v>0</v>
      </c>
      <c r="S193" t="n">
        <v>1</v>
      </c>
      <c r="T193" t="n">
        <v>1</v>
      </c>
      <c r="U193" s="2" t="inlineStr">
        <is>
          <t>Skogsknipprot</t>
        </is>
      </c>
      <c r="V193">
        <f>HYPERLINK("https://klasma.github.io/Logging_0188/artfynd/A 21329-2022 artfynd.xlsx", "A 21329-2022")</f>
        <v/>
      </c>
      <c r="W193">
        <f>HYPERLINK("https://klasma.github.io/Logging_0188/kartor/A 21329-2022 karta.png", "A 21329-2022")</f>
        <v/>
      </c>
      <c r="Y193">
        <f>HYPERLINK("https://klasma.github.io/Logging_0188/klagomål/A 21329-2022 FSC-klagomål.docx", "A 21329-2022")</f>
        <v/>
      </c>
      <c r="Z193">
        <f>HYPERLINK("https://klasma.github.io/Logging_0188/klagomålsmail/A 21329-2022 FSC-klagomål mail.docx", "A 21329-2022")</f>
        <v/>
      </c>
      <c r="AA193">
        <f>HYPERLINK("https://klasma.github.io/Logging_0188/tillsyn/A 21329-2022 tillsynsbegäran.docx", "A 21329-2022")</f>
        <v/>
      </c>
      <c r="AB193">
        <f>HYPERLINK("https://klasma.github.io/Logging_0188/tillsynsmail/A 21329-2022 tillsynsbegäran mail.docx", "A 21329-2022")</f>
        <v/>
      </c>
    </row>
    <row r="194" ht="15" customHeight="1">
      <c r="A194" t="inlineStr">
        <is>
          <t>A 17843-2024</t>
        </is>
      </c>
      <c r="B194" t="inlineStr">
        <is>
          <t>avverkningsanmälan</t>
        </is>
      </c>
      <c r="C194" t="inlineStr">
        <is>
          <t>Föryngringsavverkning</t>
        </is>
      </c>
      <c r="D194" s="1" t="n">
        <v>45418</v>
      </c>
      <c r="E194" s="1" t="n">
        <v>46221</v>
      </c>
      <c r="F194" t="inlineStr">
        <is>
          <t>STOCKHOLMS LÄN</t>
        </is>
      </c>
      <c r="G194" t="inlineStr">
        <is>
          <t>NORRTÄLJE</t>
        </is>
      </c>
      <c r="I194" t="n">
        <v>5.4</v>
      </c>
      <c r="J194" t="n">
        <v>0</v>
      </c>
      <c r="K194" t="n">
        <v>0</v>
      </c>
      <c r="L194" t="n">
        <v>1</v>
      </c>
      <c r="M194" t="n">
        <v>0</v>
      </c>
      <c r="N194" t="n">
        <v>0</v>
      </c>
      <c r="O194" t="n">
        <v>0</v>
      </c>
      <c r="P194" t="n">
        <v>0</v>
      </c>
      <c r="Q194" t="n">
        <v>1</v>
      </c>
      <c r="R194" t="n">
        <v>0</v>
      </c>
      <c r="S194" t="n">
        <v>1</v>
      </c>
      <c r="T194" t="n">
        <v>1</v>
      </c>
      <c r="U194" s="2" t="inlineStr">
        <is>
          <t>Krisslesköldbagge</t>
        </is>
      </c>
      <c r="V194">
        <f>HYPERLINK("https://klasma.github.io/Logging_0188/artfynd/A 17843-2024 artfynd.xlsx", "A 17843-2024")</f>
        <v/>
      </c>
      <c r="W194">
        <f>HYPERLINK("https://klasma.github.io/Logging_0188/kartor/A 17843-2024 karta.png", "A 17843-2024")</f>
        <v/>
      </c>
      <c r="Y194">
        <f>HYPERLINK("https://klasma.github.io/Logging_0188/klagomål/A 17843-2024 FSC-klagomål.docx", "A 17843-2024")</f>
        <v/>
      </c>
      <c r="Z194">
        <f>HYPERLINK("https://klasma.github.io/Logging_0188/klagomålsmail/A 17843-2024 FSC-klagomål mail.docx", "A 17843-2024")</f>
        <v/>
      </c>
      <c r="AA194">
        <f>HYPERLINK("https://klasma.github.io/Logging_0188/tillsyn/A 17843-2024 tillsynsbegäran.docx", "A 17843-2024")</f>
        <v/>
      </c>
      <c r="AB194">
        <f>HYPERLINK("https://klasma.github.io/Logging_0188/tillsynsmail/A 17843-2024 tillsynsbegäran mail.docx", "A 17843-2024")</f>
        <v/>
      </c>
    </row>
    <row r="195" ht="15" customHeight="1">
      <c r="A195" t="inlineStr">
        <is>
          <t>A 60765-2023</t>
        </is>
      </c>
      <c r="B195" t="inlineStr">
        <is>
          <t>avverkningsanmälan</t>
        </is>
      </c>
      <c r="C195" t="inlineStr">
        <is>
          <t>Föryngringsavverkning</t>
        </is>
      </c>
      <c r="D195" s="1" t="n">
        <v>45260</v>
      </c>
      <c r="E195" s="1" t="n">
        <v>46221</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s="2" t="inlineStr">
        <is>
          <t>Pudrad kärrtrollslända</t>
        </is>
      </c>
      <c r="V195">
        <f>HYPERLINK("https://klasma.github.io/Logging_0188/artfynd/A 60765-2023 artfynd.xlsx", "A 60765-2023")</f>
        <v/>
      </c>
      <c r="W195">
        <f>HYPERLINK("https://klasma.github.io/Logging_0188/kartor/A 60765-2023 karta.png", "A 60765-2023")</f>
        <v/>
      </c>
      <c r="Y195">
        <f>HYPERLINK("https://klasma.github.io/Logging_0188/klagomål/A 60765-2023 FSC-klagomål.docx", "A 60765-2023")</f>
        <v/>
      </c>
      <c r="Z195">
        <f>HYPERLINK("https://klasma.github.io/Logging_0188/klagomålsmail/A 60765-2023 FSC-klagomål mail.docx", "A 60765-2023")</f>
        <v/>
      </c>
      <c r="AA195">
        <f>HYPERLINK("https://klasma.github.io/Logging_0188/tillsyn/A 60765-2023 tillsynsbegäran.docx", "A 60765-2023")</f>
        <v/>
      </c>
      <c r="AB195">
        <f>HYPERLINK("https://klasma.github.io/Logging_0188/tillsynsmail/A 60765-2023 tillsynsbegäran mail.docx", "A 60765-2023")</f>
        <v/>
      </c>
    </row>
    <row r="196" ht="15" customHeight="1">
      <c r="A196" t="inlineStr">
        <is>
          <t>A 51315-2021</t>
        </is>
      </c>
      <c r="B196" t="inlineStr">
        <is>
          <t>avverkningsanmälan</t>
        </is>
      </c>
      <c r="C196" t="inlineStr">
        <is>
          <t>Föryngringsavverkning</t>
        </is>
      </c>
      <c r="D196" s="1" t="n">
        <v>44461</v>
      </c>
      <c r="E196" s="1" t="n">
        <v>46221</v>
      </c>
      <c r="F196" t="inlineStr">
        <is>
          <t>STOCKHOLMS LÄN</t>
        </is>
      </c>
      <c r="G196" t="inlineStr">
        <is>
          <t>NORRTÄLJE</t>
        </is>
      </c>
      <c r="H196" t="inlineStr">
        <is>
          <t>Holmen skog AB</t>
        </is>
      </c>
      <c r="I196" t="n">
        <v>2.2</v>
      </c>
      <c r="J196" t="n">
        <v>1</v>
      </c>
      <c r="K196" t="n">
        <v>0</v>
      </c>
      <c r="L196" t="n">
        <v>0</v>
      </c>
      <c r="M196" t="n">
        <v>1</v>
      </c>
      <c r="N196" t="n">
        <v>0</v>
      </c>
      <c r="O196" t="n">
        <v>0</v>
      </c>
      <c r="P196" t="n">
        <v>0</v>
      </c>
      <c r="Q196" t="n">
        <v>1</v>
      </c>
      <c r="R196" t="n">
        <v>1</v>
      </c>
      <c r="S196" t="n">
        <v>1</v>
      </c>
      <c r="T196" t="n">
        <v>3</v>
      </c>
      <c r="U196" s="2" t="inlineStr">
        <is>
          <t>Hällebräcka</t>
        </is>
      </c>
      <c r="V196">
        <f>HYPERLINK("https://klasma.github.io/Logging_0188/artfynd/A 51315-2021 artfynd.xlsx", "A 51315-2021")</f>
        <v/>
      </c>
      <c r="W196">
        <f>HYPERLINK("https://klasma.github.io/Logging_0188/kartor/A 51315-2021 karta.png", "A 51315-2021")</f>
        <v/>
      </c>
      <c r="Y196">
        <f>HYPERLINK("https://klasma.github.io/Logging_0188/klagomål/A 51315-2021 FSC-klagomål.docx", "A 51315-2021")</f>
        <v/>
      </c>
      <c r="Z196">
        <f>HYPERLINK("https://klasma.github.io/Logging_0188/klagomålsmail/A 51315-2021 FSC-klagomål mail.docx", "A 51315-2021")</f>
        <v/>
      </c>
      <c r="AA196">
        <f>HYPERLINK("https://klasma.github.io/Logging_0188/tillsyn/A 51315-2021 tillsynsbegäran.docx", "A 51315-2021")</f>
        <v/>
      </c>
      <c r="AB196">
        <f>HYPERLINK("https://klasma.github.io/Logging_0188/tillsynsmail/A 51315-2021 tillsynsbegäran mail.docx", "A 51315-2021")</f>
        <v/>
      </c>
    </row>
    <row r="197" ht="15" customHeight="1">
      <c r="A197" t="inlineStr">
        <is>
          <t>A 19355-2026</t>
        </is>
      </c>
      <c r="B197" t="inlineStr">
        <is>
          <t>avverkningsanmälan</t>
        </is>
      </c>
      <c r="C197" t="inlineStr">
        <is>
          <t>Föryngringsavverkning</t>
        </is>
      </c>
      <c r="D197" s="1" t="n">
        <v>46133</v>
      </c>
      <c r="E197" s="1" t="n">
        <v>46221</v>
      </c>
      <c r="F197" t="inlineStr">
        <is>
          <t>STOCKHOLMS LÄN</t>
        </is>
      </c>
      <c r="G197" t="inlineStr">
        <is>
          <t>NORRTÄLJE</t>
        </is>
      </c>
      <c r="I197" t="n">
        <v>22.5</v>
      </c>
      <c r="J197" t="n">
        <v>0</v>
      </c>
      <c r="K197" t="n">
        <v>1</v>
      </c>
      <c r="L197" t="n">
        <v>0</v>
      </c>
      <c r="M197" t="n">
        <v>0</v>
      </c>
      <c r="N197" t="n">
        <v>0</v>
      </c>
      <c r="O197" t="n">
        <v>0</v>
      </c>
      <c r="P197" t="n">
        <v>0</v>
      </c>
      <c r="Q197" t="n">
        <v>0</v>
      </c>
      <c r="R197" t="n">
        <v>0</v>
      </c>
      <c r="S197" t="n">
        <v>1</v>
      </c>
      <c r="T197" t="n">
        <v>1</v>
      </c>
      <c r="U197" s="2" t="inlineStr">
        <is>
          <t>Mönjevaxing</t>
        </is>
      </c>
      <c r="V197">
        <f>HYPERLINK("https://klasma.github.io/Logging_0188/artfynd/A 19355-2026 artfynd.xlsx", "A 19355-2026")</f>
        <v/>
      </c>
      <c r="W197">
        <f>HYPERLINK("https://klasma.github.io/Logging_0188/kartor/A 19355-2026 karta.png", "A 19355-2026")</f>
        <v/>
      </c>
      <c r="Y197">
        <f>HYPERLINK("https://klasma.github.io/Logging_0188/klagomål/A 19355-2026 FSC-klagomål.docx", "A 19355-2026")</f>
        <v/>
      </c>
      <c r="Z197">
        <f>HYPERLINK("https://klasma.github.io/Logging_0188/klagomålsmail/A 19355-2026 FSC-klagomål mail.docx", "A 19355-2026")</f>
        <v/>
      </c>
      <c r="AA197">
        <f>HYPERLINK("https://klasma.github.io/Logging_0188/tillsyn/A 19355-2026 tillsynsbegäran.docx", "A 19355-2026")</f>
        <v/>
      </c>
      <c r="AB197">
        <f>HYPERLINK("https://klasma.github.io/Logging_0188/tillsynsmail/A 19355-2026 tillsynsbegäran mail.docx", "A 19355-2026")</f>
        <v/>
      </c>
    </row>
    <row r="198" ht="15" customHeight="1">
      <c r="A198" t="inlineStr">
        <is>
          <t>A 42075-2023</t>
        </is>
      </c>
      <c r="B198" t="inlineStr">
        <is>
          <t>avverkningsanmälan</t>
        </is>
      </c>
      <c r="C198" t="inlineStr">
        <is>
          <t>Föryngringsavverkning</t>
        </is>
      </c>
      <c r="D198" s="1" t="n">
        <v>45177</v>
      </c>
      <c r="E198" s="1" t="n">
        <v>46221</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s="2" t="inlineStr">
        <is>
          <t>Skogsknipprot</t>
        </is>
      </c>
      <c r="V198">
        <f>HYPERLINK("https://klasma.github.io/Logging_0188/artfynd/A 42075-2023 artfynd.xlsx", "A 42075-2023")</f>
        <v/>
      </c>
      <c r="W198">
        <f>HYPERLINK("https://klasma.github.io/Logging_0188/kartor/A 42075-2023 karta.png", "A 42075-2023")</f>
        <v/>
      </c>
      <c r="Y198">
        <f>HYPERLINK("https://klasma.github.io/Logging_0188/klagomål/A 42075-2023 FSC-klagomål.docx", "A 42075-2023")</f>
        <v/>
      </c>
      <c r="Z198">
        <f>HYPERLINK("https://klasma.github.io/Logging_0188/klagomålsmail/A 42075-2023 FSC-klagomål mail.docx", "A 42075-2023")</f>
        <v/>
      </c>
      <c r="AA198">
        <f>HYPERLINK("https://klasma.github.io/Logging_0188/tillsyn/A 42075-2023 tillsynsbegäran.docx", "A 42075-2023")</f>
        <v/>
      </c>
      <c r="AB198">
        <f>HYPERLINK("https://klasma.github.io/Logging_0188/tillsynsmail/A 42075-2023 tillsynsbegäran mail.docx", "A 42075-2023")</f>
        <v/>
      </c>
    </row>
    <row r="199" ht="15" customHeight="1">
      <c r="A199" t="inlineStr">
        <is>
          <t>A 31140-2023</t>
        </is>
      </c>
      <c r="B199" t="inlineStr">
        <is>
          <t>avverkningsanmälan</t>
        </is>
      </c>
      <c r="C199" t="inlineStr">
        <is>
          <t>Föryngringsavverkning</t>
        </is>
      </c>
      <c r="D199" s="1" t="n">
        <v>45113</v>
      </c>
      <c r="E199" s="1" t="n">
        <v>46221</v>
      </c>
      <c r="F199" t="inlineStr">
        <is>
          <t>STOCKHOLMS LÄN</t>
        </is>
      </c>
      <c r="G199" t="inlineStr">
        <is>
          <t>NORRTÄLJE</t>
        </is>
      </c>
      <c r="I199" t="n">
        <v>1.3</v>
      </c>
      <c r="J199" t="n">
        <v>0</v>
      </c>
      <c r="K199" t="n">
        <v>0</v>
      </c>
      <c r="L199" t="n">
        <v>1</v>
      </c>
      <c r="M199" t="n">
        <v>0</v>
      </c>
      <c r="N199" t="n">
        <v>0</v>
      </c>
      <c r="O199" t="n">
        <v>0</v>
      </c>
      <c r="P199" t="n">
        <v>0</v>
      </c>
      <c r="Q199" t="n">
        <v>1</v>
      </c>
      <c r="R199" t="n">
        <v>0</v>
      </c>
      <c r="S199" t="n">
        <v>1</v>
      </c>
      <c r="T199" t="n">
        <v>1</v>
      </c>
      <c r="U199" s="2" t="inlineStr">
        <is>
          <t>Krusfrö</t>
        </is>
      </c>
      <c r="V199">
        <f>HYPERLINK("https://klasma.github.io/Logging_0188/artfynd/A 31140-2023 artfynd.xlsx", "A 31140-2023")</f>
        <v/>
      </c>
      <c r="W199">
        <f>HYPERLINK("https://klasma.github.io/Logging_0188/kartor/A 31140-2023 karta.png", "A 31140-2023")</f>
        <v/>
      </c>
      <c r="Y199">
        <f>HYPERLINK("https://klasma.github.io/Logging_0188/klagomål/A 31140-2023 FSC-klagomål.docx", "A 31140-2023")</f>
        <v/>
      </c>
      <c r="Z199">
        <f>HYPERLINK("https://klasma.github.io/Logging_0188/klagomålsmail/A 31140-2023 FSC-klagomål mail.docx", "A 31140-2023")</f>
        <v/>
      </c>
      <c r="AA199">
        <f>HYPERLINK("https://klasma.github.io/Logging_0188/tillsyn/A 31140-2023 tillsynsbegäran.docx", "A 31140-2023")</f>
        <v/>
      </c>
      <c r="AB199">
        <f>HYPERLINK("https://klasma.github.io/Logging_0188/tillsynsmail/A 31140-2023 tillsynsbegäran mail.docx", "A 31140-2023")</f>
        <v/>
      </c>
    </row>
    <row r="200" ht="15" customHeight="1">
      <c r="A200" t="inlineStr">
        <is>
          <t>A 13718-2022</t>
        </is>
      </c>
      <c r="B200" t="inlineStr">
        <is>
          <t>avverkningsanmälan</t>
        </is>
      </c>
      <c r="C200" t="inlineStr">
        <is>
          <t>Föryngringsavverkning</t>
        </is>
      </c>
      <c r="D200" s="1" t="n">
        <v>44649</v>
      </c>
      <c r="E200" s="1" t="n">
        <v>46221</v>
      </c>
      <c r="F200" t="inlineStr">
        <is>
          <t>STOCKHOLMS LÄN</t>
        </is>
      </c>
      <c r="G200" t="inlineStr">
        <is>
          <t>NORRTÄLJE</t>
        </is>
      </c>
      <c r="I200" t="n">
        <v>8.800000000000001</v>
      </c>
      <c r="J200" t="n">
        <v>0</v>
      </c>
      <c r="K200" t="n">
        <v>0</v>
      </c>
      <c r="L200" t="n">
        <v>1</v>
      </c>
      <c r="M200" t="n">
        <v>0</v>
      </c>
      <c r="N200" t="n">
        <v>0</v>
      </c>
      <c r="O200" t="n">
        <v>0</v>
      </c>
      <c r="P200" t="n">
        <v>0</v>
      </c>
      <c r="Q200" t="n">
        <v>1</v>
      </c>
      <c r="R200" t="n">
        <v>0</v>
      </c>
      <c r="S200" t="n">
        <v>1</v>
      </c>
      <c r="T200" t="n">
        <v>1</v>
      </c>
      <c r="U200" s="2" t="inlineStr">
        <is>
          <t>Flattoppad klubbsvamp</t>
        </is>
      </c>
      <c r="V200">
        <f>HYPERLINK("https://klasma.github.io/Logging_0188/artfynd/A 13718-2022 artfynd.xlsx", "A 13718-2022")</f>
        <v/>
      </c>
      <c r="W200">
        <f>HYPERLINK("https://klasma.github.io/Logging_0188/kartor/A 13718-2022 karta.png", "A 13718-2022")</f>
        <v/>
      </c>
      <c r="Y200">
        <f>HYPERLINK("https://klasma.github.io/Logging_0188/klagomål/A 13718-2022 FSC-klagomål.docx", "A 13718-2022")</f>
        <v/>
      </c>
      <c r="Z200">
        <f>HYPERLINK("https://klasma.github.io/Logging_0188/klagomålsmail/A 13718-2022 FSC-klagomål mail.docx", "A 13718-2022")</f>
        <v/>
      </c>
      <c r="AA200">
        <f>HYPERLINK("https://klasma.github.io/Logging_0188/tillsyn/A 13718-2022 tillsynsbegäran.docx", "A 13718-2022")</f>
        <v/>
      </c>
      <c r="AB200">
        <f>HYPERLINK("https://klasma.github.io/Logging_0188/tillsynsmail/A 13718-2022 tillsynsbegäran mail.docx", "A 13718-2022")</f>
        <v/>
      </c>
    </row>
    <row r="201" ht="15" customHeight="1">
      <c r="A201" t="inlineStr">
        <is>
          <t>A 4580-2025</t>
        </is>
      </c>
      <c r="B201" t="inlineStr">
        <is>
          <t>avverkningsanmälan</t>
        </is>
      </c>
      <c r="C201" t="inlineStr">
        <is>
          <t>Föryngringsavverkning</t>
        </is>
      </c>
      <c r="D201" s="1" t="n">
        <v>45687</v>
      </c>
      <c r="E201" s="1" t="n">
        <v>46221</v>
      </c>
      <c r="F201" t="inlineStr">
        <is>
          <t>STOCKHOLMS LÄN</t>
        </is>
      </c>
      <c r="G201" t="inlineStr">
        <is>
          <t>NORRTÄLJE</t>
        </is>
      </c>
      <c r="H201" t="inlineStr">
        <is>
          <t>Holmen skog AB</t>
        </is>
      </c>
      <c r="I201" t="n">
        <v>4.8</v>
      </c>
      <c r="J201" t="n">
        <v>1</v>
      </c>
      <c r="K201" t="n">
        <v>0</v>
      </c>
      <c r="L201" t="n">
        <v>0</v>
      </c>
      <c r="M201" t="n">
        <v>0</v>
      </c>
      <c r="N201" t="n">
        <v>1</v>
      </c>
      <c r="O201" t="n">
        <v>0</v>
      </c>
      <c r="P201" t="n">
        <v>0</v>
      </c>
      <c r="Q201" t="n">
        <v>1</v>
      </c>
      <c r="R201" t="n">
        <v>1</v>
      </c>
      <c r="S201" t="n">
        <v>1</v>
      </c>
      <c r="T201" t="n">
        <v>2</v>
      </c>
      <c r="U201" s="2" t="inlineStr">
        <is>
          <t>Asknätfjäril</t>
        </is>
      </c>
      <c r="V201">
        <f>HYPERLINK("https://klasma.github.io/Logging_0188/artfynd/A 4580-2025 artfynd.xlsx", "A 4580-2025")</f>
        <v/>
      </c>
      <c r="W201">
        <f>HYPERLINK("https://klasma.github.io/Logging_0188/kartor/A 4580-2025 karta.png", "A 4580-2025")</f>
        <v/>
      </c>
      <c r="Y201">
        <f>HYPERLINK("https://klasma.github.io/Logging_0188/klagomål/A 4580-2025 FSC-klagomål.docx", "A 4580-2025")</f>
        <v/>
      </c>
      <c r="Z201">
        <f>HYPERLINK("https://klasma.github.io/Logging_0188/klagomålsmail/A 4580-2025 FSC-klagomål mail.docx", "A 4580-2025")</f>
        <v/>
      </c>
      <c r="AA201">
        <f>HYPERLINK("https://klasma.github.io/Logging_0188/tillsyn/A 4580-2025 tillsynsbegäran.docx", "A 4580-2025")</f>
        <v/>
      </c>
      <c r="AB201">
        <f>HYPERLINK("https://klasma.github.io/Logging_0188/tillsynsmail/A 4580-2025 tillsynsbegäran mail.docx", "A 4580-2025")</f>
        <v/>
      </c>
    </row>
    <row r="202" ht="15" customHeight="1">
      <c r="A202" t="inlineStr">
        <is>
          <t>A 52321-2024</t>
        </is>
      </c>
      <c r="B202" t="inlineStr">
        <is>
          <t>avverkningsanmälan</t>
        </is>
      </c>
      <c r="C202" t="inlineStr">
        <is>
          <t>Avverkning för annat ändamål</t>
        </is>
      </c>
      <c r="D202" s="1" t="n">
        <v>45608</v>
      </c>
      <c r="E202" s="1" t="n">
        <v>46221</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s="2" t="inlineStr">
        <is>
          <t>Smånunneört</t>
        </is>
      </c>
      <c r="V202">
        <f>HYPERLINK("https://klasma.github.io/Logging_0188/artfynd/A 52321-2024 artfynd.xlsx", "A 52321-2024")</f>
        <v/>
      </c>
      <c r="W202">
        <f>HYPERLINK("https://klasma.github.io/Logging_0188/kartor/A 52321-2024 karta.png", "A 52321-2024")</f>
        <v/>
      </c>
      <c r="Y202">
        <f>HYPERLINK("https://klasma.github.io/Logging_0188/klagomål/A 52321-2024 FSC-klagomål.docx", "A 52321-2024")</f>
        <v/>
      </c>
      <c r="Z202">
        <f>HYPERLINK("https://klasma.github.io/Logging_0188/klagomålsmail/A 52321-2024 FSC-klagomål mail.docx", "A 52321-2024")</f>
        <v/>
      </c>
      <c r="AA202">
        <f>HYPERLINK("https://klasma.github.io/Logging_0188/tillsyn/A 52321-2024 tillsynsbegäran.docx", "A 52321-2024")</f>
        <v/>
      </c>
      <c r="AB202">
        <f>HYPERLINK("https://klasma.github.io/Logging_0188/tillsynsmail/A 52321-2024 tillsynsbegäran mail.docx", "A 52321-2024")</f>
        <v/>
      </c>
    </row>
    <row r="203" ht="15" customHeight="1">
      <c r="A203" t="inlineStr">
        <is>
          <t>A 63292-2025</t>
        </is>
      </c>
      <c r="B203" t="inlineStr">
        <is>
          <t>avverkningsanmälan</t>
        </is>
      </c>
      <c r="C203" t="inlineStr">
        <is>
          <t>Föryngringsavverkning</t>
        </is>
      </c>
      <c r="D203" s="1" t="n">
        <v>46010</v>
      </c>
      <c r="E203" s="1" t="n">
        <v>46221</v>
      </c>
      <c r="F203" t="inlineStr">
        <is>
          <t>STOCKHOLMS LÄN</t>
        </is>
      </c>
      <c r="G203" t="inlineStr">
        <is>
          <t>NORRTÄLJE</t>
        </is>
      </c>
      <c r="I203" t="n">
        <v>11.1</v>
      </c>
      <c r="J203" t="n">
        <v>1</v>
      </c>
      <c r="K203" t="n">
        <v>1</v>
      </c>
      <c r="L203" t="n">
        <v>0</v>
      </c>
      <c r="M203" t="n">
        <v>0</v>
      </c>
      <c r="N203" t="n">
        <v>0</v>
      </c>
      <c r="O203" t="n">
        <v>0</v>
      </c>
      <c r="P203" t="n">
        <v>0</v>
      </c>
      <c r="Q203" t="n">
        <v>0</v>
      </c>
      <c r="R203" t="n">
        <v>0</v>
      </c>
      <c r="S203" t="n">
        <v>1</v>
      </c>
      <c r="T203" t="n">
        <v>1</v>
      </c>
      <c r="U203" s="2" t="inlineStr">
        <is>
          <t>Nästrot</t>
        </is>
      </c>
      <c r="V203">
        <f>HYPERLINK("https://klasma.github.io/Logging_0188/artfynd/A 63292-2025 artfynd.xlsx", "A 63292-2025")</f>
        <v/>
      </c>
      <c r="W203">
        <f>HYPERLINK("https://klasma.github.io/Logging_0188/kartor/A 63292-2025 karta.png", "A 63292-2025")</f>
        <v/>
      </c>
      <c r="Y203">
        <f>HYPERLINK("https://klasma.github.io/Logging_0188/klagomål/A 63292-2025 FSC-klagomål.docx", "A 63292-2025")</f>
        <v/>
      </c>
      <c r="Z203">
        <f>HYPERLINK("https://klasma.github.io/Logging_0188/klagomålsmail/A 63292-2025 FSC-klagomål mail.docx", "A 63292-2025")</f>
        <v/>
      </c>
      <c r="AA203">
        <f>HYPERLINK("https://klasma.github.io/Logging_0188/tillsyn/A 63292-2025 tillsynsbegäran.docx", "A 63292-2025")</f>
        <v/>
      </c>
      <c r="AB203">
        <f>HYPERLINK("https://klasma.github.io/Logging_0188/tillsynsmail/A 63292-2025 tillsynsbegäran mail.docx", "A 63292-2025")</f>
        <v/>
      </c>
    </row>
    <row r="204" ht="15" customHeight="1">
      <c r="A204" t="inlineStr">
        <is>
          <t>A 4532-2025</t>
        </is>
      </c>
      <c r="B204" t="inlineStr">
        <is>
          <t>avverkningsanmälan</t>
        </is>
      </c>
      <c r="C204" t="inlineStr">
        <is>
          <t>Föryngringsavverkning</t>
        </is>
      </c>
      <c r="D204" s="1" t="n">
        <v>45687</v>
      </c>
      <c r="E204" s="1" t="n">
        <v>46221</v>
      </c>
      <c r="F204" t="inlineStr">
        <is>
          <t>STOCKHOLMS LÄN</t>
        </is>
      </c>
      <c r="G204" t="inlineStr">
        <is>
          <t>NORRTÄLJE</t>
        </is>
      </c>
      <c r="H204" t="inlineStr">
        <is>
          <t>Holmen skog AB</t>
        </is>
      </c>
      <c r="I204" t="n">
        <v>6.4</v>
      </c>
      <c r="J204" t="n">
        <v>1</v>
      </c>
      <c r="K204" t="n">
        <v>0</v>
      </c>
      <c r="L204" t="n">
        <v>0</v>
      </c>
      <c r="M204" t="n">
        <v>0</v>
      </c>
      <c r="N204" t="n">
        <v>1</v>
      </c>
      <c r="O204" t="n">
        <v>0</v>
      </c>
      <c r="P204" t="n">
        <v>0</v>
      </c>
      <c r="Q204" t="n">
        <v>1</v>
      </c>
      <c r="R204" t="n">
        <v>1</v>
      </c>
      <c r="S204" t="n">
        <v>1</v>
      </c>
      <c r="T204" t="n">
        <v>20</v>
      </c>
      <c r="U204" s="2" t="inlineStr">
        <is>
          <t>Asknätfjäril</t>
        </is>
      </c>
      <c r="V204">
        <f>HYPERLINK("https://klasma.github.io/Logging_0188/artfynd/A 4532-2025 artfynd.xlsx", "A 4532-2025")</f>
        <v/>
      </c>
      <c r="W204">
        <f>HYPERLINK("https://klasma.github.io/Logging_0188/kartor/A 4532-2025 karta.png", "A 4532-2025")</f>
        <v/>
      </c>
      <c r="Y204">
        <f>HYPERLINK("https://klasma.github.io/Logging_0188/klagomål/A 4532-2025 FSC-klagomål.docx", "A 4532-2025")</f>
        <v/>
      </c>
      <c r="Z204">
        <f>HYPERLINK("https://klasma.github.io/Logging_0188/klagomålsmail/A 4532-2025 FSC-klagomål mail.docx", "A 4532-2025")</f>
        <v/>
      </c>
      <c r="AA204">
        <f>HYPERLINK("https://klasma.github.io/Logging_0188/tillsyn/A 4532-2025 tillsynsbegäran.docx", "A 4532-2025")</f>
        <v/>
      </c>
      <c r="AB204">
        <f>HYPERLINK("https://klasma.github.io/Logging_0188/tillsynsmail/A 4532-2025 tillsynsbegäran mail.docx", "A 4532-2025")</f>
        <v/>
      </c>
    </row>
    <row r="205" ht="15" customHeight="1">
      <c r="A205" t="inlineStr">
        <is>
          <t>A 37273-2024</t>
        </is>
      </c>
      <c r="B205" t="inlineStr">
        <is>
          <t>avverkningsanmälan</t>
        </is>
      </c>
      <c r="C205" t="inlineStr">
        <is>
          <t>Föryngringsavverkning</t>
        </is>
      </c>
      <c r="D205" s="1" t="n">
        <v>45540</v>
      </c>
      <c r="E205" s="1" t="n">
        <v>46221</v>
      </c>
      <c r="F205" t="inlineStr">
        <is>
          <t>STOCKHOLMS LÄN</t>
        </is>
      </c>
      <c r="G205" t="inlineStr">
        <is>
          <t>NORRTÄLJE</t>
        </is>
      </c>
      <c r="H205" t="inlineStr">
        <is>
          <t>Sveaskog</t>
        </is>
      </c>
      <c r="I205" t="n">
        <v>12.5</v>
      </c>
      <c r="J205" t="n">
        <v>0</v>
      </c>
      <c r="K205" t="n">
        <v>1</v>
      </c>
      <c r="L205" t="n">
        <v>0</v>
      </c>
      <c r="M205" t="n">
        <v>0</v>
      </c>
      <c r="N205" t="n">
        <v>0</v>
      </c>
      <c r="O205" t="n">
        <v>0</v>
      </c>
      <c r="P205" t="n">
        <v>0</v>
      </c>
      <c r="Q205" t="n">
        <v>0</v>
      </c>
      <c r="R205" t="n">
        <v>0</v>
      </c>
      <c r="S205" t="n">
        <v>1</v>
      </c>
      <c r="T205" t="n">
        <v>1</v>
      </c>
      <c r="U205" s="2" t="inlineStr">
        <is>
          <t>Trådticka</t>
        </is>
      </c>
      <c r="V205">
        <f>HYPERLINK("https://klasma.github.io/Logging_0188/artfynd/A 37273-2024 artfynd.xlsx", "A 37273-2024")</f>
        <v/>
      </c>
      <c r="W205">
        <f>HYPERLINK("https://klasma.github.io/Logging_0188/kartor/A 37273-2024 karta.png", "A 37273-2024")</f>
        <v/>
      </c>
      <c r="Y205">
        <f>HYPERLINK("https://klasma.github.io/Logging_0188/klagomål/A 37273-2024 FSC-klagomål.docx", "A 37273-2024")</f>
        <v/>
      </c>
      <c r="Z205">
        <f>HYPERLINK("https://klasma.github.io/Logging_0188/klagomålsmail/A 37273-2024 FSC-klagomål mail.docx", "A 37273-2024")</f>
        <v/>
      </c>
      <c r="AA205">
        <f>HYPERLINK("https://klasma.github.io/Logging_0188/tillsyn/A 37273-2024 tillsynsbegäran.docx", "A 37273-2024")</f>
        <v/>
      </c>
      <c r="AB205">
        <f>HYPERLINK("https://klasma.github.io/Logging_0188/tillsynsmail/A 37273-2024 tillsynsbegäran mail.docx", "A 37273-2024")</f>
        <v/>
      </c>
    </row>
    <row r="206" ht="15" customHeight="1">
      <c r="A206" t="inlineStr">
        <is>
          <t>A 7734-2026</t>
        </is>
      </c>
      <c r="B206" t="inlineStr">
        <is>
          <t>avverkningsanmälan</t>
        </is>
      </c>
      <c r="C206" t="inlineStr">
        <is>
          <t>Föryngringsavverkning</t>
        </is>
      </c>
      <c r="D206" s="1" t="n">
        <v>46062</v>
      </c>
      <c r="E206" s="1" t="n">
        <v>46221</v>
      </c>
      <c r="F206" t="inlineStr">
        <is>
          <t>STOCKHOLMS LÄN</t>
        </is>
      </c>
      <c r="G206" t="inlineStr">
        <is>
          <t>NORRTÄLJE</t>
        </is>
      </c>
      <c r="I206" t="n">
        <v>6.6</v>
      </c>
      <c r="J206" t="n">
        <v>0</v>
      </c>
      <c r="K206" t="n">
        <v>1</v>
      </c>
      <c r="L206" t="n">
        <v>0</v>
      </c>
      <c r="M206" t="n">
        <v>0</v>
      </c>
      <c r="N206" t="n">
        <v>0</v>
      </c>
      <c r="O206" t="n">
        <v>0</v>
      </c>
      <c r="P206" t="n">
        <v>0</v>
      </c>
      <c r="Q206" t="n">
        <v>0</v>
      </c>
      <c r="R206" t="n">
        <v>0</v>
      </c>
      <c r="S206" t="n">
        <v>1</v>
      </c>
      <c r="T206" t="n">
        <v>1</v>
      </c>
      <c r="U206" s="2" t="inlineStr">
        <is>
          <t>Kastanjefjällskivling</t>
        </is>
      </c>
      <c r="V206">
        <f>HYPERLINK("https://klasma.github.io/Logging_0188/artfynd/A 7734-2026 artfynd.xlsx", "A 7734-2026")</f>
        <v/>
      </c>
      <c r="W206">
        <f>HYPERLINK("https://klasma.github.io/Logging_0188/kartor/A 7734-2026 karta.png", "A 7734-2026")</f>
        <v/>
      </c>
      <c r="Y206">
        <f>HYPERLINK("https://klasma.github.io/Logging_0188/klagomål/A 7734-2026 FSC-klagomål.docx", "A 7734-2026")</f>
        <v/>
      </c>
      <c r="Z206">
        <f>HYPERLINK("https://klasma.github.io/Logging_0188/klagomålsmail/A 7734-2026 FSC-klagomål mail.docx", "A 7734-2026")</f>
        <v/>
      </c>
      <c r="AA206">
        <f>HYPERLINK("https://klasma.github.io/Logging_0188/tillsyn/A 7734-2026 tillsynsbegäran.docx", "A 7734-2026")</f>
        <v/>
      </c>
      <c r="AB206">
        <f>HYPERLINK("https://klasma.github.io/Logging_0188/tillsynsmail/A 7734-2026 tillsynsbegäran mail.docx", "A 7734-2026")</f>
        <v/>
      </c>
    </row>
    <row r="207" ht="15" customHeight="1">
      <c r="A207" t="inlineStr">
        <is>
          <t>A 26415-2026</t>
        </is>
      </c>
      <c r="B207" t="inlineStr">
        <is>
          <t>avverkningsanmälan</t>
        </is>
      </c>
      <c r="C207" t="inlineStr">
        <is>
          <t>Föryngringsavverkning</t>
        </is>
      </c>
      <c r="D207" s="1" t="n">
        <v>46183</v>
      </c>
      <c r="E207" s="1" t="n">
        <v>46221</v>
      </c>
      <c r="F207" t="inlineStr">
        <is>
          <t>STOCKHOLMS LÄN</t>
        </is>
      </c>
      <c r="G207" t="inlineStr">
        <is>
          <t>NORRTÄLJE</t>
        </is>
      </c>
      <c r="I207" t="n">
        <v>2.3</v>
      </c>
      <c r="J207" t="n">
        <v>1</v>
      </c>
      <c r="K207" t="n">
        <v>1</v>
      </c>
      <c r="L207" t="n">
        <v>0</v>
      </c>
      <c r="M207" t="n">
        <v>0</v>
      </c>
      <c r="N207" t="n">
        <v>0</v>
      </c>
      <c r="O207" t="n">
        <v>0</v>
      </c>
      <c r="P207" t="n">
        <v>0</v>
      </c>
      <c r="Q207" t="n">
        <v>0</v>
      </c>
      <c r="R207" t="n">
        <v>0</v>
      </c>
      <c r="S207" t="n">
        <v>1</v>
      </c>
      <c r="T207" t="n">
        <v>1</v>
      </c>
      <c r="U207" s="2" t="inlineStr">
        <is>
          <t>Korallrot</t>
        </is>
      </c>
      <c r="V207">
        <f>HYPERLINK("https://klasma.github.io/Logging_0188/artfynd/A 26415-2026 artfynd.xlsx", "A 26415-2026")</f>
        <v/>
      </c>
      <c r="W207">
        <f>HYPERLINK("https://klasma.github.io/Logging_0188/kartor/A 26415-2026 karta.png", "A 26415-2026")</f>
        <v/>
      </c>
      <c r="Y207">
        <f>HYPERLINK("https://klasma.github.io/Logging_0188/klagomål/A 26415-2026 FSC-klagomål.docx", "A 26415-2026")</f>
        <v/>
      </c>
      <c r="Z207">
        <f>HYPERLINK("https://klasma.github.io/Logging_0188/klagomålsmail/A 26415-2026 FSC-klagomål mail.docx", "A 26415-2026")</f>
        <v/>
      </c>
      <c r="AA207">
        <f>HYPERLINK("https://klasma.github.io/Logging_0188/tillsyn/A 26415-2026 tillsynsbegäran.docx", "A 26415-2026")</f>
        <v/>
      </c>
      <c r="AB207">
        <f>HYPERLINK("https://klasma.github.io/Logging_0188/tillsynsmail/A 26415-2026 tillsynsbegäran mail.docx", "A 26415-2026")</f>
        <v/>
      </c>
    </row>
    <row r="208" ht="15" customHeight="1">
      <c r="A208" t="inlineStr">
        <is>
          <t>A 51312-2023</t>
        </is>
      </c>
      <c r="B208" t="inlineStr">
        <is>
          <t>avverkningsanmälan</t>
        </is>
      </c>
      <c r="C208" t="inlineStr">
        <is>
          <t>Föryngringsavverkning</t>
        </is>
      </c>
      <c r="D208" s="1" t="n">
        <v>45219</v>
      </c>
      <c r="E208" s="1" t="n">
        <v>46221</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s="2" t="inlineStr">
        <is>
          <t>Hällebräcka</t>
        </is>
      </c>
      <c r="V208">
        <f>HYPERLINK("https://klasma.github.io/Logging_0188/artfynd/A 51312-2023 artfynd.xlsx", "A 51312-2023")</f>
        <v/>
      </c>
      <c r="W208">
        <f>HYPERLINK("https://klasma.github.io/Logging_0188/kartor/A 51312-2023 karta.png", "A 51312-2023")</f>
        <v/>
      </c>
      <c r="Y208">
        <f>HYPERLINK("https://klasma.github.io/Logging_0188/klagomål/A 51312-2023 FSC-klagomål.docx", "A 51312-2023")</f>
        <v/>
      </c>
      <c r="Z208">
        <f>HYPERLINK("https://klasma.github.io/Logging_0188/klagomålsmail/A 51312-2023 FSC-klagomål mail.docx", "A 51312-2023")</f>
        <v/>
      </c>
      <c r="AA208">
        <f>HYPERLINK("https://klasma.github.io/Logging_0188/tillsyn/A 51312-2023 tillsynsbegäran.docx", "A 51312-2023")</f>
        <v/>
      </c>
      <c r="AB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46221</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s="2" t="inlineStr">
        <is>
          <t>Hällebräcka</t>
        </is>
      </c>
      <c r="V209">
        <f>HYPERLINK("https://klasma.github.io/Logging_0188/artfynd/A 38610-2022 artfynd.xlsx", "A 38610-2022")</f>
        <v/>
      </c>
      <c r="W209">
        <f>HYPERLINK("https://klasma.github.io/Logging_0188/kartor/A 38610-2022 karta.png", "A 38610-2022")</f>
        <v/>
      </c>
      <c r="Y209">
        <f>HYPERLINK("https://klasma.github.io/Logging_0188/klagomål/A 38610-2022 FSC-klagomål.docx", "A 38610-2022")</f>
        <v/>
      </c>
      <c r="Z209">
        <f>HYPERLINK("https://klasma.github.io/Logging_0188/klagomålsmail/A 38610-2022 FSC-klagomål mail.docx", "A 38610-2022")</f>
        <v/>
      </c>
      <c r="AA209">
        <f>HYPERLINK("https://klasma.github.io/Logging_0188/tillsyn/A 38610-2022 tillsynsbegäran.docx", "A 38610-2022")</f>
        <v/>
      </c>
      <c r="AB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46221</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s="2" t="inlineStr">
        <is>
          <t>Asknätfjäril</t>
        </is>
      </c>
      <c r="V210">
        <f>HYPERLINK("https://klasma.github.io/Logging_0188/artfynd/A 21150-2022 artfynd.xlsx", "A 21150-2022")</f>
        <v/>
      </c>
      <c r="W210">
        <f>HYPERLINK("https://klasma.github.io/Logging_0188/kartor/A 21150-2022 karta.png", "A 21150-2022")</f>
        <v/>
      </c>
      <c r="Y210">
        <f>HYPERLINK("https://klasma.github.io/Logging_0188/klagomål/A 21150-2022 FSC-klagomål.docx", "A 21150-2022")</f>
        <v/>
      </c>
      <c r="Z210">
        <f>HYPERLINK("https://klasma.github.io/Logging_0188/klagomålsmail/A 21150-2022 FSC-klagomål mail.docx", "A 21150-2022")</f>
        <v/>
      </c>
      <c r="AA210">
        <f>HYPERLINK("https://klasma.github.io/Logging_0188/tillsyn/A 21150-2022 tillsynsbegäran.docx", "A 21150-2022")</f>
        <v/>
      </c>
      <c r="AB210">
        <f>HYPERLINK("https://klasma.github.io/Logging_0188/tillsynsmail/A 21150-2022 tillsynsbegäran mail.docx", "A 21150-2022")</f>
        <v/>
      </c>
    </row>
    <row r="211" ht="15" customHeight="1">
      <c r="A211" t="inlineStr">
        <is>
          <t>A 11-2024</t>
        </is>
      </c>
      <c r="B211" t="inlineStr">
        <is>
          <t>avverkningsanmälan</t>
        </is>
      </c>
      <c r="C211" t="inlineStr">
        <is>
          <t>Avverkning för annat ändamål</t>
        </is>
      </c>
      <c r="D211" s="1" t="n">
        <v>45293</v>
      </c>
      <c r="E211" s="1" t="n">
        <v>46221</v>
      </c>
      <c r="F211" t="inlineStr">
        <is>
          <t>STOCKHOLMS LÄN</t>
        </is>
      </c>
      <c r="G211" t="inlineStr">
        <is>
          <t>NORRTÄLJE</t>
        </is>
      </c>
      <c r="H211" t="inlineStr">
        <is>
          <t>Sveaskog</t>
        </is>
      </c>
      <c r="I211" t="n">
        <v>3.2</v>
      </c>
      <c r="J211" t="n">
        <v>1</v>
      </c>
      <c r="K211" t="n">
        <v>0</v>
      </c>
      <c r="L211" t="n">
        <v>1</v>
      </c>
      <c r="M211" t="n">
        <v>0</v>
      </c>
      <c r="N211" t="n">
        <v>0</v>
      </c>
      <c r="O211" t="n">
        <v>0</v>
      </c>
      <c r="P211" t="n">
        <v>0</v>
      </c>
      <c r="Q211" t="n">
        <v>1</v>
      </c>
      <c r="R211" t="n">
        <v>0</v>
      </c>
      <c r="S211" t="n">
        <v>1</v>
      </c>
      <c r="T211" t="n">
        <v>1</v>
      </c>
      <c r="U211" s="2" t="inlineStr">
        <is>
          <t>Talltita</t>
        </is>
      </c>
      <c r="V211">
        <f>HYPERLINK("https://klasma.github.io/Logging_0188/artfynd/A 11-2024 artfynd.xlsx", "A 11-2024")</f>
        <v/>
      </c>
      <c r="W211">
        <f>HYPERLINK("https://klasma.github.io/Logging_0188/kartor/A 11-2024 karta.png", "A 11-2024")</f>
        <v/>
      </c>
      <c r="Y211">
        <f>HYPERLINK("https://klasma.github.io/Logging_0188/klagomål/A 11-2024 FSC-klagomål.docx", "A 11-2024")</f>
        <v/>
      </c>
      <c r="Z211">
        <f>HYPERLINK("https://klasma.github.io/Logging_0188/klagomålsmail/A 11-2024 FSC-klagomål mail.docx", "A 11-2024")</f>
        <v/>
      </c>
      <c r="AA211">
        <f>HYPERLINK("https://klasma.github.io/Logging_0188/tillsyn/A 11-2024 tillsynsbegäran.docx", "A 11-2024")</f>
        <v/>
      </c>
      <c r="AB211">
        <f>HYPERLINK("https://klasma.github.io/Logging_0188/tillsynsmail/A 11-2024 tillsynsbegäran mail.docx", "A 11-2024")</f>
        <v/>
      </c>
      <c r="AC211">
        <f>HYPERLINK("https://klasma.github.io/Logging_0188/fåglar/A 11-2024 prioriterade fågelarter.docx", "A 11-2024")</f>
        <v/>
      </c>
    </row>
    <row r="212" ht="15" customHeight="1">
      <c r="A212" t="inlineStr">
        <is>
          <t>A 26120-2024</t>
        </is>
      </c>
      <c r="B212" t="inlineStr">
        <is>
          <t>avverkningsanmälan</t>
        </is>
      </c>
      <c r="C212" t="inlineStr">
        <is>
          <t>Föryngringsavverkning</t>
        </is>
      </c>
      <c r="D212" s="1" t="n">
        <v>45468</v>
      </c>
      <c r="E212" s="1" t="n">
        <v>46221</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s="2" t="inlineStr">
        <is>
          <t>Majviva</t>
        </is>
      </c>
      <c r="V212">
        <f>HYPERLINK("https://klasma.github.io/Logging_0188/artfynd/A 26120-2024 artfynd.xlsx", "A 26120-2024")</f>
        <v/>
      </c>
      <c r="W212">
        <f>HYPERLINK("https://klasma.github.io/Logging_0188/kartor/A 26120-2024 karta.png", "A 26120-2024")</f>
        <v/>
      </c>
      <c r="Y212">
        <f>HYPERLINK("https://klasma.github.io/Logging_0188/klagomål/A 26120-2024 FSC-klagomål.docx", "A 26120-2024")</f>
        <v/>
      </c>
      <c r="Z212">
        <f>HYPERLINK("https://klasma.github.io/Logging_0188/klagomålsmail/A 26120-2024 FSC-klagomål mail.docx", "A 26120-2024")</f>
        <v/>
      </c>
      <c r="AA212">
        <f>HYPERLINK("https://klasma.github.io/Logging_0188/tillsyn/A 26120-2024 tillsynsbegäran.docx", "A 26120-2024")</f>
        <v/>
      </c>
      <c r="AB212">
        <f>HYPERLINK("https://klasma.github.io/Logging_0188/tillsynsmail/A 26120-2024 tillsynsbegäran mail.docx", "A 26120-2024")</f>
        <v/>
      </c>
    </row>
    <row r="213" ht="15" customHeight="1">
      <c r="A213" t="inlineStr">
        <is>
          <t>A 11429-2023</t>
        </is>
      </c>
      <c r="B213" t="inlineStr">
        <is>
          <t>avverkningsanmälan</t>
        </is>
      </c>
      <c r="C213" t="inlineStr">
        <is>
          <t>Avverkning för annat ändamål</t>
        </is>
      </c>
      <c r="D213" s="1" t="n">
        <v>44993</v>
      </c>
      <c r="E213" s="1" t="n">
        <v>46221</v>
      </c>
      <c r="F213" t="inlineStr">
        <is>
          <t>STOCKHOLMS LÄN</t>
        </is>
      </c>
      <c r="G213" t="inlineStr">
        <is>
          <t>NORRTÄLJE</t>
        </is>
      </c>
      <c r="I213" t="n">
        <v>2</v>
      </c>
      <c r="J213" t="n">
        <v>0</v>
      </c>
      <c r="K213" t="n">
        <v>0</v>
      </c>
      <c r="L213" t="n">
        <v>1</v>
      </c>
      <c r="M213" t="n">
        <v>0</v>
      </c>
      <c r="N213" t="n">
        <v>0</v>
      </c>
      <c r="O213" t="n">
        <v>0</v>
      </c>
      <c r="P213" t="n">
        <v>0</v>
      </c>
      <c r="Q213" t="n">
        <v>1</v>
      </c>
      <c r="R213" t="n">
        <v>0</v>
      </c>
      <c r="S213" t="n">
        <v>1</v>
      </c>
      <c r="T213" t="n">
        <v>2</v>
      </c>
      <c r="U213" s="2" t="inlineStr">
        <is>
          <t>Skogsklocka</t>
        </is>
      </c>
      <c r="V213">
        <f>HYPERLINK("https://klasma.github.io/Logging_0188/artfynd/A 11429-2023 artfynd.xlsx", "A 11429-2023")</f>
        <v/>
      </c>
      <c r="W213">
        <f>HYPERLINK("https://klasma.github.io/Logging_0188/kartor/A 11429-2023 karta.png", "A 11429-2023")</f>
        <v/>
      </c>
      <c r="Y213">
        <f>HYPERLINK("https://klasma.github.io/Logging_0188/klagomål/A 11429-2023 FSC-klagomål.docx", "A 11429-2023")</f>
        <v/>
      </c>
      <c r="Z213">
        <f>HYPERLINK("https://klasma.github.io/Logging_0188/klagomålsmail/A 11429-2023 FSC-klagomål mail.docx", "A 11429-2023")</f>
        <v/>
      </c>
      <c r="AA213">
        <f>HYPERLINK("https://klasma.github.io/Logging_0188/tillsyn/A 11429-2023 tillsynsbegäran.docx", "A 11429-2023")</f>
        <v/>
      </c>
      <c r="AB213">
        <f>HYPERLINK("https://klasma.github.io/Logging_0188/tillsynsmail/A 11429-2023 tillsynsbegäran mail.docx", "A 11429-2023")</f>
        <v/>
      </c>
    </row>
    <row r="214" ht="15" customHeight="1">
      <c r="A214" t="inlineStr">
        <is>
          <t>A 28365-2022</t>
        </is>
      </c>
      <c r="B214" t="inlineStr">
        <is>
          <t>avverkningsanmälan</t>
        </is>
      </c>
      <c r="C214" t="inlineStr">
        <is>
          <t>Avverkning för annat ändamål</t>
        </is>
      </c>
      <c r="D214" s="1" t="n">
        <v>44747</v>
      </c>
      <c r="E214" s="1" t="n">
        <v>46221</v>
      </c>
      <c r="F214" t="inlineStr">
        <is>
          <t>STOCKHOLMS LÄN</t>
        </is>
      </c>
      <c r="G214" t="inlineStr">
        <is>
          <t>NORRTÄLJE</t>
        </is>
      </c>
      <c r="I214" t="n">
        <v>5.1</v>
      </c>
      <c r="J214" t="n">
        <v>0</v>
      </c>
      <c r="K214" t="n">
        <v>0</v>
      </c>
      <c r="L214" t="n">
        <v>1</v>
      </c>
      <c r="M214" t="n">
        <v>0</v>
      </c>
      <c r="N214" t="n">
        <v>0</v>
      </c>
      <c r="O214" t="n">
        <v>0</v>
      </c>
      <c r="P214" t="n">
        <v>0</v>
      </c>
      <c r="Q214" t="n">
        <v>1</v>
      </c>
      <c r="R214" t="n">
        <v>0</v>
      </c>
      <c r="S214" t="n">
        <v>1</v>
      </c>
      <c r="T214" t="n">
        <v>1</v>
      </c>
      <c r="U214" s="2" t="inlineStr">
        <is>
          <t>Oxtungssvamp</t>
        </is>
      </c>
      <c r="V214">
        <f>HYPERLINK("https://klasma.github.io/Logging_0188/artfynd/A 28365-2022 artfynd.xlsx", "A 28365-2022")</f>
        <v/>
      </c>
      <c r="W214">
        <f>HYPERLINK("https://klasma.github.io/Logging_0188/kartor/A 28365-2022 karta.png", "A 28365-2022")</f>
        <v/>
      </c>
      <c r="Y214">
        <f>HYPERLINK("https://klasma.github.io/Logging_0188/klagomål/A 28365-2022 FSC-klagomål.docx", "A 28365-2022")</f>
        <v/>
      </c>
      <c r="Z214">
        <f>HYPERLINK("https://klasma.github.io/Logging_0188/klagomålsmail/A 28365-2022 FSC-klagomål mail.docx", "A 28365-2022")</f>
        <v/>
      </c>
      <c r="AA214">
        <f>HYPERLINK("https://klasma.github.io/Logging_0188/tillsyn/A 28365-2022 tillsynsbegäran.docx", "A 28365-2022")</f>
        <v/>
      </c>
      <c r="AB214">
        <f>HYPERLINK("https://klasma.github.io/Logging_0188/tillsynsmail/A 28365-2022 tillsynsbegäran mail.docx", "A 28365-2022")</f>
        <v/>
      </c>
    </row>
    <row r="215" ht="15" customHeight="1">
      <c r="A215" t="inlineStr">
        <is>
          <t>A 64456-2023</t>
        </is>
      </c>
      <c r="B215" t="inlineStr">
        <is>
          <t>avverkningsanmälan</t>
        </is>
      </c>
      <c r="C215" t="inlineStr">
        <is>
          <t>Avverkning för att bevara och utveckla /försöksver</t>
        </is>
      </c>
      <c r="D215" s="1" t="n">
        <v>45280</v>
      </c>
      <c r="E215" s="1" t="n">
        <v>46221</v>
      </c>
      <c r="F215" t="inlineStr">
        <is>
          <t>STOCKHOLMS LÄN</t>
        </is>
      </c>
      <c r="G215" t="inlineStr">
        <is>
          <t>NORRTÄLJE</t>
        </is>
      </c>
      <c r="I215" t="n">
        <v>2.5</v>
      </c>
      <c r="J215" t="n">
        <v>0</v>
      </c>
      <c r="K215" t="n">
        <v>1</v>
      </c>
      <c r="L215" t="n">
        <v>0</v>
      </c>
      <c r="M215" t="n">
        <v>0</v>
      </c>
      <c r="N215" t="n">
        <v>0</v>
      </c>
      <c r="O215" t="n">
        <v>0</v>
      </c>
      <c r="P215" t="n">
        <v>0</v>
      </c>
      <c r="Q215" t="n">
        <v>0</v>
      </c>
      <c r="R215" t="n">
        <v>0</v>
      </c>
      <c r="S215" t="n">
        <v>1</v>
      </c>
      <c r="T215" t="n">
        <v>1</v>
      </c>
      <c r="U215" s="2" t="inlineStr">
        <is>
          <t>Rödgul trumpetsvamp</t>
        </is>
      </c>
      <c r="V215">
        <f>HYPERLINK("https://klasma.github.io/Logging_0188/artfynd/A 64456-2023 artfynd.xlsx", "A 64456-2023")</f>
        <v/>
      </c>
      <c r="W215">
        <f>HYPERLINK("https://klasma.github.io/Logging_0188/kartor/A 64456-2023 karta.png", "A 64456-2023")</f>
        <v/>
      </c>
      <c r="Y215">
        <f>HYPERLINK("https://klasma.github.io/Logging_0188/klagomål/A 64456-2023 FSC-klagomål.docx", "A 64456-2023")</f>
        <v/>
      </c>
      <c r="Z215">
        <f>HYPERLINK("https://klasma.github.io/Logging_0188/klagomålsmail/A 64456-2023 FSC-klagomål mail.docx", "A 64456-2023")</f>
        <v/>
      </c>
      <c r="AA215">
        <f>HYPERLINK("https://klasma.github.io/Logging_0188/tillsyn/A 64456-2023 tillsynsbegäran.docx", "A 64456-2023")</f>
        <v/>
      </c>
      <c r="AB215">
        <f>HYPERLINK("https://klasma.github.io/Logging_0188/tillsynsmail/A 64456-2023 tillsynsbegäran mail.docx", "A 64456-2023")</f>
        <v/>
      </c>
    </row>
    <row r="216" ht="15" customHeight="1">
      <c r="A216" t="inlineStr">
        <is>
          <t>A 42313-2025</t>
        </is>
      </c>
      <c r="B216" t="inlineStr">
        <is>
          <t>avverkningsanmälan</t>
        </is>
      </c>
      <c r="C216" t="inlineStr">
        <is>
          <t>Föryngringsavverkning</t>
        </is>
      </c>
      <c r="D216" s="1" t="n">
        <v>45904</v>
      </c>
      <c r="E216" s="1" t="n">
        <v>46221</v>
      </c>
      <c r="F216" t="inlineStr">
        <is>
          <t>STOCKHOLMS LÄN</t>
        </is>
      </c>
      <c r="G216" t="inlineStr">
        <is>
          <t>NORRTÄLJE</t>
        </is>
      </c>
      <c r="I216" t="n">
        <v>1.7</v>
      </c>
      <c r="J216" t="n">
        <v>1</v>
      </c>
      <c r="K216" t="n">
        <v>0</v>
      </c>
      <c r="L216" t="n">
        <v>0</v>
      </c>
      <c r="M216" t="n">
        <v>0</v>
      </c>
      <c r="N216" t="n">
        <v>0</v>
      </c>
      <c r="O216" t="n">
        <v>0</v>
      </c>
      <c r="P216" t="n">
        <v>0</v>
      </c>
      <c r="Q216" t="n">
        <v>0</v>
      </c>
      <c r="R216" t="n">
        <v>0</v>
      </c>
      <c r="S216" t="n">
        <v>1</v>
      </c>
      <c r="T216" t="n">
        <v>1</v>
      </c>
      <c r="U216" s="2" t="inlineStr">
        <is>
          <t>Vanlig padda</t>
        </is>
      </c>
      <c r="V216">
        <f>HYPERLINK("https://klasma.github.io/Logging_0188/artfynd/A 42313-2025 artfynd.xlsx", "A 42313-2025")</f>
        <v/>
      </c>
      <c r="W216">
        <f>HYPERLINK("https://klasma.github.io/Logging_0188/kartor/A 42313-2025 karta.png", "A 42313-2025")</f>
        <v/>
      </c>
      <c r="Y216">
        <f>HYPERLINK("https://klasma.github.io/Logging_0188/klagomål/A 42313-2025 FSC-klagomål.docx", "A 42313-2025")</f>
        <v/>
      </c>
      <c r="Z216">
        <f>HYPERLINK("https://klasma.github.io/Logging_0188/klagomålsmail/A 42313-2025 FSC-klagomål mail.docx", "A 42313-2025")</f>
        <v/>
      </c>
      <c r="AA216">
        <f>HYPERLINK("https://klasma.github.io/Logging_0188/tillsyn/A 42313-2025 tillsynsbegäran.docx", "A 42313-2025")</f>
        <v/>
      </c>
      <c r="AB216">
        <f>HYPERLINK("https://klasma.github.io/Logging_0188/tillsynsmail/A 42313-2025 tillsynsbegäran mail.docx", "A 42313-2025")</f>
        <v/>
      </c>
    </row>
    <row r="217" ht="15" customHeight="1">
      <c r="A217" t="inlineStr">
        <is>
          <t>A 29650-2026</t>
        </is>
      </c>
      <c r="B217" t="inlineStr">
        <is>
          <t>avverkningsanmälan</t>
        </is>
      </c>
      <c r="C217" t="inlineStr">
        <is>
          <t>Föryngringsavverkning</t>
        </is>
      </c>
      <c r="D217" s="1" t="n">
        <v>46204</v>
      </c>
      <c r="E217" s="1" t="n">
        <v>46221</v>
      </c>
      <c r="F217" t="inlineStr">
        <is>
          <t>STOCKHOLMS LÄN</t>
        </is>
      </c>
      <c r="G217" t="inlineStr">
        <is>
          <t>NORRTÄLJE</t>
        </is>
      </c>
      <c r="H217" t="inlineStr">
        <is>
          <t>Sveaskog</t>
        </is>
      </c>
      <c r="I217" t="n">
        <v>1.2</v>
      </c>
      <c r="J217" t="n">
        <v>1</v>
      </c>
      <c r="K217" t="n">
        <v>0</v>
      </c>
      <c r="L217" t="n">
        <v>0</v>
      </c>
      <c r="M217" t="n">
        <v>0</v>
      </c>
      <c r="N217" t="n">
        <v>0</v>
      </c>
      <c r="O217" t="n">
        <v>0</v>
      </c>
      <c r="P217" t="n">
        <v>0</v>
      </c>
      <c r="Q217" t="n">
        <v>0</v>
      </c>
      <c r="R217" t="n">
        <v>0</v>
      </c>
      <c r="S217" t="n">
        <v>1</v>
      </c>
      <c r="T217" t="n">
        <v>1</v>
      </c>
      <c r="U217" s="2" t="inlineStr">
        <is>
          <t>Slaguggla</t>
        </is>
      </c>
      <c r="V217">
        <f>HYPERLINK("https://klasma.github.io/Logging_0188/artfynd/A 29650-2026 artfynd.xlsx", "A 29650-2026")</f>
        <v/>
      </c>
      <c r="W217">
        <f>HYPERLINK("https://klasma.github.io/Logging_0188/kartor/A 29650-2026 karta.png", "A 29650-2026")</f>
        <v/>
      </c>
      <c r="Y217">
        <f>HYPERLINK("https://klasma.github.io/Logging_0188/klagomål/A 29650-2026 FSC-klagomål.docx", "A 29650-2026")</f>
        <v/>
      </c>
      <c r="Z217">
        <f>HYPERLINK("https://klasma.github.io/Logging_0188/klagomålsmail/A 29650-2026 FSC-klagomål mail.docx", "A 29650-2026")</f>
        <v/>
      </c>
      <c r="AA217">
        <f>HYPERLINK("https://klasma.github.io/Logging_0188/tillsyn/A 29650-2026 tillsynsbegäran.docx", "A 29650-2026")</f>
        <v/>
      </c>
      <c r="AB217">
        <f>HYPERLINK("https://klasma.github.io/Logging_0188/tillsynsmail/A 29650-2026 tillsynsbegäran mail.docx", "A 29650-2026")</f>
        <v/>
      </c>
      <c r="AC217">
        <f>HYPERLINK("https://klasma.github.io/Logging_0188/fåglar/A 29650-2026 prioriterade fågelarter.docx", "A 29650-2026")</f>
        <v/>
      </c>
    </row>
    <row r="218" ht="15" customHeight="1">
      <c r="A218" t="inlineStr">
        <is>
          <t>A 38612-2022</t>
        </is>
      </c>
      <c r="B218" t="inlineStr">
        <is>
          <t>avverkningsanmälan</t>
        </is>
      </c>
      <c r="C218" t="inlineStr">
        <is>
          <t>Föryngringsavverkning</t>
        </is>
      </c>
      <c r="D218" s="1" t="n">
        <v>44813</v>
      </c>
      <c r="E218" s="1" t="n">
        <v>46221</v>
      </c>
      <c r="F218" t="inlineStr">
        <is>
          <t>STOCKHOLMS LÄN</t>
        </is>
      </c>
      <c r="G218" t="inlineStr">
        <is>
          <t>NORRTÄLJE</t>
        </is>
      </c>
      <c r="I218" t="n">
        <v>1.7</v>
      </c>
      <c r="J218" t="n">
        <v>1</v>
      </c>
      <c r="K218" t="n">
        <v>0</v>
      </c>
      <c r="L218" t="n">
        <v>0</v>
      </c>
      <c r="M218" t="n">
        <v>1</v>
      </c>
      <c r="N218" t="n">
        <v>0</v>
      </c>
      <c r="O218" t="n">
        <v>0</v>
      </c>
      <c r="P218" t="n">
        <v>0</v>
      </c>
      <c r="Q218" t="n">
        <v>1</v>
      </c>
      <c r="R218" t="n">
        <v>1</v>
      </c>
      <c r="S218" t="n">
        <v>1</v>
      </c>
      <c r="T218" t="n">
        <v>1</v>
      </c>
      <c r="U218" s="2" t="inlineStr">
        <is>
          <t>Hällebräcka</t>
        </is>
      </c>
      <c r="V218">
        <f>HYPERLINK("https://klasma.github.io/Logging_0188/artfynd/A 38612-2022 artfynd.xlsx", "A 38612-2022")</f>
        <v/>
      </c>
      <c r="W218">
        <f>HYPERLINK("https://klasma.github.io/Logging_0188/kartor/A 38612-2022 karta.png", "A 38612-2022")</f>
        <v/>
      </c>
      <c r="Y218">
        <f>HYPERLINK("https://klasma.github.io/Logging_0188/klagomål/A 38612-2022 FSC-klagomål.docx", "A 38612-2022")</f>
        <v/>
      </c>
      <c r="Z218">
        <f>HYPERLINK("https://klasma.github.io/Logging_0188/klagomålsmail/A 38612-2022 FSC-klagomål mail.docx", "A 38612-2022")</f>
        <v/>
      </c>
      <c r="AA218">
        <f>HYPERLINK("https://klasma.github.io/Logging_0188/tillsyn/A 38612-2022 tillsynsbegäran.docx", "A 38612-2022")</f>
        <v/>
      </c>
      <c r="AB218">
        <f>HYPERLINK("https://klasma.github.io/Logging_0188/tillsynsmail/A 38612-2022 tillsynsbegäran mail.docx", "A 38612-2022")</f>
        <v/>
      </c>
    </row>
    <row r="219" ht="15" customHeight="1">
      <c r="A219" t="inlineStr">
        <is>
          <t>A 13860-2023</t>
        </is>
      </c>
      <c r="B219" t="inlineStr">
        <is>
          <t>avverkningsanmälan</t>
        </is>
      </c>
      <c r="C219" t="inlineStr">
        <is>
          <t>Föryngringsavverkning</t>
        </is>
      </c>
      <c r="D219" s="1" t="n">
        <v>45007</v>
      </c>
      <c r="E219" s="1" t="n">
        <v>46221</v>
      </c>
      <c r="F219" t="inlineStr">
        <is>
          <t>STOCKHOLMS LÄN</t>
        </is>
      </c>
      <c r="G219" t="inlineStr">
        <is>
          <t>NORRTÄLJE</t>
        </is>
      </c>
      <c r="I219" t="n">
        <v>1.6</v>
      </c>
      <c r="J219" t="n">
        <v>0</v>
      </c>
      <c r="K219" t="n">
        <v>0</v>
      </c>
      <c r="L219" t="n">
        <v>0</v>
      </c>
      <c r="M219" t="n">
        <v>0</v>
      </c>
      <c r="N219" t="n">
        <v>0</v>
      </c>
      <c r="O219" t="n">
        <v>1</v>
      </c>
      <c r="P219" t="n">
        <v>0</v>
      </c>
      <c r="Q219" t="n">
        <v>1</v>
      </c>
      <c r="R219" t="n">
        <v>1</v>
      </c>
      <c r="S219" t="n">
        <v>1</v>
      </c>
      <c r="T219" t="n">
        <v>1</v>
      </c>
      <c r="U219" s="2" t="inlineStr">
        <is>
          <t>Äkta stormhatt</t>
        </is>
      </c>
      <c r="V219">
        <f>HYPERLINK("https://klasma.github.io/Logging_0188/artfynd/A 13860-2023 artfynd.xlsx", "A 13860-2023")</f>
        <v/>
      </c>
      <c r="W219">
        <f>HYPERLINK("https://klasma.github.io/Logging_0188/kartor/A 13860-2023 karta.png", "A 13860-2023")</f>
        <v/>
      </c>
      <c r="Y219">
        <f>HYPERLINK("https://klasma.github.io/Logging_0188/klagomål/A 13860-2023 FSC-klagomål.docx", "A 13860-2023")</f>
        <v/>
      </c>
      <c r="Z219">
        <f>HYPERLINK("https://klasma.github.io/Logging_0188/klagomålsmail/A 13860-2023 FSC-klagomål mail.docx", "A 13860-2023")</f>
        <v/>
      </c>
      <c r="AA219">
        <f>HYPERLINK("https://klasma.github.io/Logging_0188/tillsyn/A 13860-2023 tillsynsbegäran.docx", "A 13860-2023")</f>
        <v/>
      </c>
      <c r="AB219">
        <f>HYPERLINK("https://klasma.github.io/Logging_0188/tillsynsmail/A 13860-2023 tillsynsbegäran mail.docx", "A 13860-2023")</f>
        <v/>
      </c>
    </row>
    <row r="220" ht="15" customHeight="1">
      <c r="A220" t="inlineStr">
        <is>
          <t>A 43150-2023</t>
        </is>
      </c>
      <c r="B220" t="inlineStr">
        <is>
          <t>avverkningsanmälan</t>
        </is>
      </c>
      <c r="C220" t="inlineStr">
        <is>
          <t>Föryngringsavverkning</t>
        </is>
      </c>
      <c r="D220" s="1" t="n">
        <v>45183</v>
      </c>
      <c r="E220" s="1" t="n">
        <v>46221</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s="2" t="inlineStr">
        <is>
          <t>Skogsalm</t>
        </is>
      </c>
      <c r="V220">
        <f>HYPERLINK("https://klasma.github.io/Logging_0188/artfynd/A 43150-2023 artfynd.xlsx", "A 43150-2023")</f>
        <v/>
      </c>
      <c r="W220">
        <f>HYPERLINK("https://klasma.github.io/Logging_0188/kartor/A 43150-2023 karta.png", "A 43150-2023")</f>
        <v/>
      </c>
      <c r="Y220">
        <f>HYPERLINK("https://klasma.github.io/Logging_0188/klagomål/A 43150-2023 FSC-klagomål.docx", "A 43150-2023")</f>
        <v/>
      </c>
      <c r="Z220">
        <f>HYPERLINK("https://klasma.github.io/Logging_0188/klagomålsmail/A 43150-2023 FSC-klagomål mail.docx", "A 43150-2023")</f>
        <v/>
      </c>
      <c r="AA220">
        <f>HYPERLINK("https://klasma.github.io/Logging_0188/tillsyn/A 43150-2023 tillsynsbegäran.docx", "A 43150-2023")</f>
        <v/>
      </c>
      <c r="AB220">
        <f>HYPERLINK("https://klasma.github.io/Logging_0188/tillsynsmail/A 43150-2023 tillsynsbegäran mail.docx", "A 43150-2023")</f>
        <v/>
      </c>
    </row>
    <row r="221" ht="15" customHeight="1">
      <c r="A221" t="inlineStr">
        <is>
          <t>A 48131-2023</t>
        </is>
      </c>
      <c r="B221" t="inlineStr">
        <is>
          <t>avverkningsanmälan</t>
        </is>
      </c>
      <c r="C221" t="inlineStr">
        <is>
          <t>Föryngringsavverkning</t>
        </is>
      </c>
      <c r="D221" s="1" t="n">
        <v>45205</v>
      </c>
      <c r="E221" s="1" t="n">
        <v>46221</v>
      </c>
      <c r="F221" t="inlineStr">
        <is>
          <t>STOCKHOLMS LÄN</t>
        </is>
      </c>
      <c r="G221" t="inlineStr">
        <is>
          <t>NORRTÄLJE</t>
        </is>
      </c>
      <c r="I221" t="n">
        <v>2.3</v>
      </c>
      <c r="J221" t="n">
        <v>0</v>
      </c>
      <c r="K221" t="n">
        <v>0</v>
      </c>
      <c r="L221" t="n">
        <v>1</v>
      </c>
      <c r="M221" t="n">
        <v>0</v>
      </c>
      <c r="N221" t="n">
        <v>0</v>
      </c>
      <c r="O221" t="n">
        <v>0</v>
      </c>
      <c r="P221" t="n">
        <v>0</v>
      </c>
      <c r="Q221" t="n">
        <v>1</v>
      </c>
      <c r="R221" t="n">
        <v>0</v>
      </c>
      <c r="S221" t="n">
        <v>1</v>
      </c>
      <c r="T221" t="n">
        <v>1</v>
      </c>
      <c r="U221" s="2" t="inlineStr">
        <is>
          <t>Slåtterfibbla</t>
        </is>
      </c>
      <c r="V221">
        <f>HYPERLINK("https://klasma.github.io/Logging_0188/artfynd/A 48131-2023 artfynd.xlsx", "A 48131-2023")</f>
        <v/>
      </c>
      <c r="W221">
        <f>HYPERLINK("https://klasma.github.io/Logging_0188/kartor/A 48131-2023 karta.png", "A 48131-2023")</f>
        <v/>
      </c>
      <c r="Y221">
        <f>HYPERLINK("https://klasma.github.io/Logging_0188/klagomål/A 48131-2023 FSC-klagomål.docx", "A 48131-2023")</f>
        <v/>
      </c>
      <c r="Z221">
        <f>HYPERLINK("https://klasma.github.io/Logging_0188/klagomålsmail/A 48131-2023 FSC-klagomål mail.docx", "A 48131-2023")</f>
        <v/>
      </c>
      <c r="AA221">
        <f>HYPERLINK("https://klasma.github.io/Logging_0188/tillsyn/A 48131-2023 tillsynsbegäran.docx", "A 48131-2023")</f>
        <v/>
      </c>
      <c r="AB221">
        <f>HYPERLINK("https://klasma.github.io/Logging_0188/tillsynsmail/A 48131-2023 tillsynsbegäran mail.docx", "A 48131-2023")</f>
        <v/>
      </c>
    </row>
    <row r="222" ht="15" customHeight="1">
      <c r="A222" t="inlineStr">
        <is>
          <t>A 25916-2026</t>
        </is>
      </c>
      <c r="B222" t="inlineStr">
        <is>
          <t>avverkningsanmälan</t>
        </is>
      </c>
      <c r="C222" t="inlineStr">
        <is>
          <t>Föryngringsavverkning</t>
        </is>
      </c>
      <c r="D222" s="1" t="n">
        <v>46178</v>
      </c>
      <c r="E222" s="1" t="n">
        <v>46221</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s="2" t="inlineStr">
        <is>
          <t>Violgubbe</t>
        </is>
      </c>
      <c r="V222">
        <f>HYPERLINK("https://klasma.github.io/Logging_0188/artfynd/A 25916-2026 artfynd.xlsx", "A 25916-2026")</f>
        <v/>
      </c>
      <c r="W222">
        <f>HYPERLINK("https://klasma.github.io/Logging_0188/kartor/A 25916-2026 karta.png", "A 25916-2026")</f>
        <v/>
      </c>
      <c r="Y222">
        <f>HYPERLINK("https://klasma.github.io/Logging_0188/klagomål/A 25916-2026 FSC-klagomål.docx", "A 25916-2026")</f>
        <v/>
      </c>
      <c r="Z222">
        <f>HYPERLINK("https://klasma.github.io/Logging_0188/klagomålsmail/A 25916-2026 FSC-klagomål mail.docx", "A 25916-2026")</f>
        <v/>
      </c>
      <c r="AA222">
        <f>HYPERLINK("https://klasma.github.io/Logging_0188/tillsyn/A 25916-2026 tillsynsbegäran.docx", "A 25916-2026")</f>
        <v/>
      </c>
      <c r="AB222">
        <f>HYPERLINK("https://klasma.github.io/Logging_0188/tillsynsmail/A 25916-2026 tillsynsbegäran mail.docx", "A 25916-2026")</f>
        <v/>
      </c>
    </row>
    <row r="223" ht="15" customHeight="1">
      <c r="A223" t="inlineStr">
        <is>
          <t>A 25917-2026</t>
        </is>
      </c>
      <c r="B223" t="inlineStr">
        <is>
          <t>avverkningsanmälan</t>
        </is>
      </c>
      <c r="C223" t="inlineStr">
        <is>
          <t>Föryngringsavverkning</t>
        </is>
      </c>
      <c r="D223" s="1" t="n">
        <v>46178</v>
      </c>
      <c r="E223" s="1" t="n">
        <v>46221</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s="2" t="inlineStr">
        <is>
          <t>Duvhök</t>
        </is>
      </c>
      <c r="V223">
        <f>HYPERLINK("https://klasma.github.io/Logging_0188/artfynd/A 25917-2026 artfynd.xlsx", "A 25917-2026")</f>
        <v/>
      </c>
      <c r="W223">
        <f>HYPERLINK("https://klasma.github.io/Logging_0188/kartor/A 25917-2026 karta.png", "A 25917-2026")</f>
        <v/>
      </c>
      <c r="Y223">
        <f>HYPERLINK("https://klasma.github.io/Logging_0188/klagomål/A 25917-2026 FSC-klagomål.docx", "A 25917-2026")</f>
        <v/>
      </c>
      <c r="Z223">
        <f>HYPERLINK("https://klasma.github.io/Logging_0188/klagomålsmail/A 25917-2026 FSC-klagomål mail.docx", "A 25917-2026")</f>
        <v/>
      </c>
      <c r="AA223">
        <f>HYPERLINK("https://klasma.github.io/Logging_0188/tillsyn/A 25917-2026 tillsynsbegäran.docx", "A 25917-2026")</f>
        <v/>
      </c>
      <c r="AB223">
        <f>HYPERLINK("https://klasma.github.io/Logging_0188/tillsynsmail/A 25917-2026 tillsynsbegäran mail.docx", "A 25917-2026")</f>
        <v/>
      </c>
      <c r="AC223">
        <f>HYPERLINK("https://klasma.github.io/Logging_0188/fåglar/A 25917-2026 prioriterade fågelarter.docx", "A 25917-2026")</f>
        <v/>
      </c>
    </row>
    <row r="224" ht="15" customHeight="1">
      <c r="A224" t="inlineStr">
        <is>
          <t>A 25911-2026</t>
        </is>
      </c>
      <c r="B224" t="inlineStr">
        <is>
          <t>avverkningsanmälan</t>
        </is>
      </c>
      <c r="C224" t="inlineStr">
        <is>
          <t>Föryngringsavverkning</t>
        </is>
      </c>
      <c r="D224" s="1" t="n">
        <v>46178</v>
      </c>
      <c r="E224" s="1" t="n">
        <v>46221</v>
      </c>
      <c r="F224" t="inlineStr">
        <is>
          <t>STOCKHOLMS LÄN</t>
        </is>
      </c>
      <c r="G224" t="inlineStr">
        <is>
          <t>NORRTÄLJE</t>
        </is>
      </c>
      <c r="I224" t="n">
        <v>11.3</v>
      </c>
      <c r="J224" t="n">
        <v>1</v>
      </c>
      <c r="K224" t="n">
        <v>0</v>
      </c>
      <c r="L224" t="n">
        <v>1</v>
      </c>
      <c r="M224" t="n">
        <v>0</v>
      </c>
      <c r="N224" t="n">
        <v>0</v>
      </c>
      <c r="O224" t="n">
        <v>0</v>
      </c>
      <c r="P224" t="n">
        <v>0</v>
      </c>
      <c r="Q224" t="n">
        <v>1</v>
      </c>
      <c r="R224" t="n">
        <v>0</v>
      </c>
      <c r="S224" t="n">
        <v>1</v>
      </c>
      <c r="T224" t="n">
        <v>1</v>
      </c>
      <c r="U224" s="2" t="inlineStr">
        <is>
          <t>Talltita</t>
        </is>
      </c>
      <c r="V224">
        <f>HYPERLINK("https://klasma.github.io/Logging_0188/artfynd/A 25911-2026 artfynd.xlsx", "A 25911-2026")</f>
        <v/>
      </c>
      <c r="W224">
        <f>HYPERLINK("https://klasma.github.io/Logging_0188/kartor/A 25911-2026 karta.png", "A 25911-2026")</f>
        <v/>
      </c>
      <c r="Y224">
        <f>HYPERLINK("https://klasma.github.io/Logging_0188/klagomål/A 25911-2026 FSC-klagomål.docx", "A 25911-2026")</f>
        <v/>
      </c>
      <c r="Z224">
        <f>HYPERLINK("https://klasma.github.io/Logging_0188/klagomålsmail/A 25911-2026 FSC-klagomål mail.docx", "A 25911-2026")</f>
        <v/>
      </c>
      <c r="AA224">
        <f>HYPERLINK("https://klasma.github.io/Logging_0188/tillsyn/A 25911-2026 tillsynsbegäran.docx", "A 25911-2026")</f>
        <v/>
      </c>
      <c r="AB224">
        <f>HYPERLINK("https://klasma.github.io/Logging_0188/tillsynsmail/A 25911-2026 tillsynsbegäran mail.docx", "A 25911-2026")</f>
        <v/>
      </c>
      <c r="AC224">
        <f>HYPERLINK("https://klasma.github.io/Logging_0188/fåglar/A 25911-2026 prioriterade fågelarter.docx", "A 25911-2026")</f>
        <v/>
      </c>
    </row>
    <row r="225" ht="15" customHeight="1">
      <c r="A225" t="inlineStr">
        <is>
          <t>A 62765-2022</t>
        </is>
      </c>
      <c r="B225" t="inlineStr">
        <is>
          <t>avverkningsanmälan</t>
        </is>
      </c>
      <c r="C225" t="inlineStr">
        <is>
          <t>Föryngringsavverkning</t>
        </is>
      </c>
      <c r="D225" s="1" t="n">
        <v>44637</v>
      </c>
      <c r="E225" s="1" t="n">
        <v>46221</v>
      </c>
      <c r="F225" t="inlineStr">
        <is>
          <t>STOCKHOLMS LÄN</t>
        </is>
      </c>
      <c r="G225" t="inlineStr">
        <is>
          <t>NORRTÄLJE</t>
        </is>
      </c>
      <c r="I225" t="n">
        <v>2.7</v>
      </c>
      <c r="J225" t="n">
        <v>1</v>
      </c>
      <c r="K225" t="n">
        <v>0</v>
      </c>
      <c r="L225" t="n">
        <v>1</v>
      </c>
      <c r="M225" t="n">
        <v>0</v>
      </c>
      <c r="N225" t="n">
        <v>0</v>
      </c>
      <c r="O225" t="n">
        <v>0</v>
      </c>
      <c r="P225" t="n">
        <v>0</v>
      </c>
      <c r="Q225" t="n">
        <v>1</v>
      </c>
      <c r="R225" t="n">
        <v>0</v>
      </c>
      <c r="S225" t="n">
        <v>1</v>
      </c>
      <c r="T225" t="n">
        <v>1</v>
      </c>
      <c r="U225" s="2" t="inlineStr">
        <is>
          <t>Adam och eva</t>
        </is>
      </c>
      <c r="V225">
        <f>HYPERLINK("https://klasma.github.io/Logging_0188/artfynd/A 62765-2022 artfynd.xlsx", "A 62765-2022")</f>
        <v/>
      </c>
      <c r="W225">
        <f>HYPERLINK("https://klasma.github.io/Logging_0188/kartor/A 62765-2022 karta.png", "A 62765-2022")</f>
        <v/>
      </c>
      <c r="Y225">
        <f>HYPERLINK("https://klasma.github.io/Logging_0188/klagomål/A 62765-2022 FSC-klagomål.docx", "A 62765-2022")</f>
        <v/>
      </c>
      <c r="Z225">
        <f>HYPERLINK("https://klasma.github.io/Logging_0188/klagomålsmail/A 62765-2022 FSC-klagomål mail.docx", "A 62765-2022")</f>
        <v/>
      </c>
      <c r="AA225">
        <f>HYPERLINK("https://klasma.github.io/Logging_0188/tillsyn/A 62765-2022 tillsynsbegäran.docx", "A 62765-2022")</f>
        <v/>
      </c>
      <c r="AB225">
        <f>HYPERLINK("https://klasma.github.io/Logging_0188/tillsynsmail/A 62765-2022 tillsynsbegäran mail.docx", "A 62765-2022")</f>
        <v/>
      </c>
    </row>
    <row r="226" ht="15" customHeight="1">
      <c r="A226" t="inlineStr">
        <is>
          <t>A 17956-2025</t>
        </is>
      </c>
      <c r="B226" t="inlineStr">
        <is>
          <t>avverkningsanmälan</t>
        </is>
      </c>
      <c r="C226" t="inlineStr">
        <is>
          <t>Föryngringsavverkning</t>
        </is>
      </c>
      <c r="D226" s="1" t="n">
        <v>45760</v>
      </c>
      <c r="E226" s="1" t="n">
        <v>46221</v>
      </c>
      <c r="F226" t="inlineStr">
        <is>
          <t>STOCKHOLMS LÄN</t>
        </is>
      </c>
      <c r="G226" t="inlineStr">
        <is>
          <t>NORRTÄLJE</t>
        </is>
      </c>
      <c r="I226" t="n">
        <v>4.3</v>
      </c>
      <c r="J226" t="n">
        <v>0</v>
      </c>
      <c r="K226" t="n">
        <v>1</v>
      </c>
      <c r="L226" t="n">
        <v>0</v>
      </c>
      <c r="M226" t="n">
        <v>0</v>
      </c>
      <c r="N226" t="n">
        <v>0</v>
      </c>
      <c r="O226" t="n">
        <v>0</v>
      </c>
      <c r="P226" t="n">
        <v>0</v>
      </c>
      <c r="Q226" t="n">
        <v>0</v>
      </c>
      <c r="R226" t="n">
        <v>0</v>
      </c>
      <c r="S226" t="n">
        <v>1</v>
      </c>
      <c r="T226" t="n">
        <v>1</v>
      </c>
      <c r="U226" s="2" t="inlineStr">
        <is>
          <t>Tibast</t>
        </is>
      </c>
      <c r="V226">
        <f>HYPERLINK("https://klasma.github.io/Logging_0188/artfynd/A 17956-2025 artfynd.xlsx", "A 17956-2025")</f>
        <v/>
      </c>
      <c r="W226">
        <f>HYPERLINK("https://klasma.github.io/Logging_0188/kartor/A 17956-2025 karta.png", "A 17956-2025")</f>
        <v/>
      </c>
      <c r="Y226">
        <f>HYPERLINK("https://klasma.github.io/Logging_0188/klagomål/A 17956-2025 FSC-klagomål.docx", "A 17956-2025")</f>
        <v/>
      </c>
      <c r="Z226">
        <f>HYPERLINK("https://klasma.github.io/Logging_0188/klagomålsmail/A 17956-2025 FSC-klagomål mail.docx", "A 17956-2025")</f>
        <v/>
      </c>
      <c r="AA226">
        <f>HYPERLINK("https://klasma.github.io/Logging_0188/tillsyn/A 17956-2025 tillsynsbegäran.docx", "A 17956-2025")</f>
        <v/>
      </c>
      <c r="AB226">
        <f>HYPERLINK("https://klasma.github.io/Logging_0188/tillsynsmail/A 17956-2025 tillsynsbegäran mail.docx", "A 17956-2025")</f>
        <v/>
      </c>
    </row>
    <row r="227" ht="15" customHeight="1">
      <c r="A227" t="inlineStr">
        <is>
          <t>A 27381-2024</t>
        </is>
      </c>
      <c r="B227" t="inlineStr">
        <is>
          <t>avverkningsanmälan</t>
        </is>
      </c>
      <c r="C227" t="inlineStr">
        <is>
          <t>Föryngringsavverkning</t>
        </is>
      </c>
      <c r="D227" s="1" t="n">
        <v>45473</v>
      </c>
      <c r="E227" s="1" t="n">
        <v>46221</v>
      </c>
      <c r="F227" t="inlineStr">
        <is>
          <t>STOCKHOLMS LÄN</t>
        </is>
      </c>
      <c r="G227" t="inlineStr">
        <is>
          <t>NORRTÄLJE</t>
        </is>
      </c>
      <c r="I227" t="n">
        <v>4.5</v>
      </c>
      <c r="J227" t="n">
        <v>1</v>
      </c>
      <c r="K227" t="n">
        <v>0</v>
      </c>
      <c r="L227" t="n">
        <v>0</v>
      </c>
      <c r="M227" t="n">
        <v>0</v>
      </c>
      <c r="N227" t="n">
        <v>0</v>
      </c>
      <c r="O227" t="n">
        <v>0</v>
      </c>
      <c r="P227" t="n">
        <v>0</v>
      </c>
      <c r="Q227" t="n">
        <v>0</v>
      </c>
      <c r="R227" t="n">
        <v>0</v>
      </c>
      <c r="S227" t="n">
        <v>1</v>
      </c>
      <c r="T227" t="n">
        <v>1</v>
      </c>
      <c r="U227" s="2" t="inlineStr">
        <is>
          <t>Trana</t>
        </is>
      </c>
      <c r="V227">
        <f>HYPERLINK("https://klasma.github.io/Logging_0188/artfynd/A 27381-2024 artfynd.xlsx", "A 27381-2024")</f>
        <v/>
      </c>
      <c r="W227">
        <f>HYPERLINK("https://klasma.github.io/Logging_0188/kartor/A 27381-2024 karta.png", "A 27381-2024")</f>
        <v/>
      </c>
      <c r="Y227">
        <f>HYPERLINK("https://klasma.github.io/Logging_0188/klagomål/A 27381-2024 FSC-klagomål.docx", "A 27381-2024")</f>
        <v/>
      </c>
      <c r="Z227">
        <f>HYPERLINK("https://klasma.github.io/Logging_0188/klagomålsmail/A 27381-2024 FSC-klagomål mail.docx", "A 27381-2024")</f>
        <v/>
      </c>
      <c r="AA227">
        <f>HYPERLINK("https://klasma.github.io/Logging_0188/tillsyn/A 27381-2024 tillsynsbegäran.docx", "A 27381-2024")</f>
        <v/>
      </c>
      <c r="AB227">
        <f>HYPERLINK("https://klasma.github.io/Logging_0188/tillsynsmail/A 27381-2024 tillsynsbegäran mail.docx", "A 27381-2024")</f>
        <v/>
      </c>
      <c r="AC227">
        <f>HYPERLINK("https://klasma.github.io/Logging_0188/fåglar/A 27381-2024 prioriterade fågelarter.docx", "A 27381-2024")</f>
        <v/>
      </c>
    </row>
    <row r="228" ht="15" customHeight="1">
      <c r="A228" t="inlineStr">
        <is>
          <t>A 9955-2022</t>
        </is>
      </c>
      <c r="B228" t="inlineStr">
        <is>
          <t>avverkningsanmälan</t>
        </is>
      </c>
      <c r="C228" t="inlineStr">
        <is>
          <t>Föryngringsavverkning</t>
        </is>
      </c>
      <c r="D228" s="1" t="n">
        <v>44620</v>
      </c>
      <c r="E228" s="1" t="n">
        <v>46221</v>
      </c>
      <c r="F228" t="inlineStr">
        <is>
          <t>STOCKHOLMS LÄN</t>
        </is>
      </c>
      <c r="G228" t="inlineStr">
        <is>
          <t>NORRTÄLJE</t>
        </is>
      </c>
      <c r="I228" t="n">
        <v>7.8</v>
      </c>
      <c r="J228" t="n">
        <v>1</v>
      </c>
      <c r="K228" t="n">
        <v>0</v>
      </c>
      <c r="L228" t="n">
        <v>0</v>
      </c>
      <c r="M228" t="n">
        <v>0</v>
      </c>
      <c r="N228" t="n">
        <v>0</v>
      </c>
      <c r="O228" t="n">
        <v>0</v>
      </c>
      <c r="P228" t="n">
        <v>0</v>
      </c>
      <c r="Q228" t="n">
        <v>0</v>
      </c>
      <c r="R228" t="n">
        <v>0</v>
      </c>
      <c r="S228" t="n">
        <v>1</v>
      </c>
      <c r="T228" t="n">
        <v>1</v>
      </c>
      <c r="U228" s="2" t="inlineStr">
        <is>
          <t>Åkergroda</t>
        </is>
      </c>
      <c r="V228">
        <f>HYPERLINK("https://klasma.github.io/Logging_0188/artfynd/A 9955-2022 artfynd.xlsx", "A 9955-2022")</f>
        <v/>
      </c>
      <c r="W228">
        <f>HYPERLINK("https://klasma.github.io/Logging_0188/kartor/A 9955-2022 karta.png", "A 9955-2022")</f>
        <v/>
      </c>
      <c r="Y228">
        <f>HYPERLINK("https://klasma.github.io/Logging_0188/klagomål/A 9955-2022 FSC-klagomål.docx", "A 9955-2022")</f>
        <v/>
      </c>
      <c r="Z228">
        <f>HYPERLINK("https://klasma.github.io/Logging_0188/klagomålsmail/A 9955-2022 FSC-klagomål mail.docx", "A 9955-2022")</f>
        <v/>
      </c>
      <c r="AA228">
        <f>HYPERLINK("https://klasma.github.io/Logging_0188/tillsyn/A 9955-2022 tillsynsbegäran.docx", "A 9955-2022")</f>
        <v/>
      </c>
      <c r="AB228">
        <f>HYPERLINK("https://klasma.github.io/Logging_0188/tillsynsmail/A 9955-2022 tillsynsbegäran mail.docx", "A 9955-2022")</f>
        <v/>
      </c>
    </row>
    <row r="229" ht="15" customHeight="1">
      <c r="A229" t="inlineStr">
        <is>
          <t>A 24563-2024</t>
        </is>
      </c>
      <c r="B229" t="inlineStr">
        <is>
          <t>avverkningsanmälan</t>
        </is>
      </c>
      <c r="C229" t="inlineStr">
        <is>
          <t>Föryngringsavverkning</t>
        </is>
      </c>
      <c r="D229" s="1" t="n">
        <v>45460</v>
      </c>
      <c r="E229" s="1" t="n">
        <v>46221</v>
      </c>
      <c r="F229" t="inlineStr">
        <is>
          <t>STOCKHOLMS LÄN</t>
        </is>
      </c>
      <c r="G229" t="inlineStr">
        <is>
          <t>NORRTÄLJE</t>
        </is>
      </c>
      <c r="I229" t="n">
        <v>1.9</v>
      </c>
      <c r="J229" t="n">
        <v>1</v>
      </c>
      <c r="K229" t="n">
        <v>0</v>
      </c>
      <c r="L229" t="n">
        <v>0</v>
      </c>
      <c r="M229" t="n">
        <v>0</v>
      </c>
      <c r="N229" t="n">
        <v>0</v>
      </c>
      <c r="O229" t="n">
        <v>0</v>
      </c>
      <c r="P229" t="n">
        <v>0</v>
      </c>
      <c r="Q229" t="n">
        <v>0</v>
      </c>
      <c r="R229" t="n">
        <v>0</v>
      </c>
      <c r="S229" t="n">
        <v>1</v>
      </c>
      <c r="T229" t="n">
        <v>1</v>
      </c>
      <c r="U229" s="2" t="inlineStr">
        <is>
          <t>Blåsippa</t>
        </is>
      </c>
      <c r="V229">
        <f>HYPERLINK("https://klasma.github.io/Logging_0188/artfynd/A 24563-2024 artfynd.xlsx", "A 24563-2024")</f>
        <v/>
      </c>
      <c r="W229">
        <f>HYPERLINK("https://klasma.github.io/Logging_0188/kartor/A 24563-2024 karta.png", "A 24563-2024")</f>
        <v/>
      </c>
      <c r="Y229">
        <f>HYPERLINK("https://klasma.github.io/Logging_0188/klagomål/A 24563-2024 FSC-klagomål.docx", "A 24563-2024")</f>
        <v/>
      </c>
      <c r="Z229">
        <f>HYPERLINK("https://klasma.github.io/Logging_0188/klagomålsmail/A 24563-2024 FSC-klagomål mail.docx", "A 24563-2024")</f>
        <v/>
      </c>
      <c r="AA229">
        <f>HYPERLINK("https://klasma.github.io/Logging_0188/tillsyn/A 24563-2024 tillsynsbegäran.docx", "A 24563-2024")</f>
        <v/>
      </c>
      <c r="AB229">
        <f>HYPERLINK("https://klasma.github.io/Logging_0188/tillsynsmail/A 24563-2024 tillsynsbegäran mail.docx", "A 24563-2024")</f>
        <v/>
      </c>
    </row>
    <row r="230" ht="15" customHeight="1">
      <c r="A230" t="inlineStr">
        <is>
          <t>A 23905-2025</t>
        </is>
      </c>
      <c r="B230" t="inlineStr">
        <is>
          <t>avverkningsanmälan</t>
        </is>
      </c>
      <c r="C230" t="inlineStr">
        <is>
          <t>Föryngringsavverkning</t>
        </is>
      </c>
      <c r="D230" s="1" t="n">
        <v>45794</v>
      </c>
      <c r="E230" s="1" t="n">
        <v>46221</v>
      </c>
      <c r="F230" t="inlineStr">
        <is>
          <t>STOCKHOLMS LÄN</t>
        </is>
      </c>
      <c r="G230" t="inlineStr">
        <is>
          <t>NORRTÄLJE</t>
        </is>
      </c>
      <c r="I230" t="n">
        <v>8.4</v>
      </c>
      <c r="J230" t="n">
        <v>1</v>
      </c>
      <c r="K230" t="n">
        <v>0</v>
      </c>
      <c r="L230" t="n">
        <v>0</v>
      </c>
      <c r="M230" t="n">
        <v>0</v>
      </c>
      <c r="N230" t="n">
        <v>0</v>
      </c>
      <c r="O230" t="n">
        <v>0</v>
      </c>
      <c r="P230" t="n">
        <v>0</v>
      </c>
      <c r="Q230" t="n">
        <v>0</v>
      </c>
      <c r="R230" t="n">
        <v>0</v>
      </c>
      <c r="S230" t="n">
        <v>1</v>
      </c>
      <c r="T230" t="n">
        <v>1</v>
      </c>
      <c r="U230" s="2" t="inlineStr">
        <is>
          <t>Blåsippa</t>
        </is>
      </c>
      <c r="V230">
        <f>HYPERLINK("https://klasma.github.io/Logging_0188/artfynd/A 23905-2025 artfynd.xlsx", "A 23905-2025")</f>
        <v/>
      </c>
      <c r="W230">
        <f>HYPERLINK("https://klasma.github.io/Logging_0188/kartor/A 23905-2025 karta.png", "A 23905-2025")</f>
        <v/>
      </c>
      <c r="Y230">
        <f>HYPERLINK("https://klasma.github.io/Logging_0188/klagomål/A 23905-2025 FSC-klagomål.docx", "A 23905-2025")</f>
        <v/>
      </c>
      <c r="Z230">
        <f>HYPERLINK("https://klasma.github.io/Logging_0188/klagomålsmail/A 23905-2025 FSC-klagomål mail.docx", "A 23905-2025")</f>
        <v/>
      </c>
      <c r="AA230">
        <f>HYPERLINK("https://klasma.github.io/Logging_0188/tillsyn/A 23905-2025 tillsynsbegäran.docx", "A 23905-2025")</f>
        <v/>
      </c>
      <c r="AB230">
        <f>HYPERLINK("https://klasma.github.io/Logging_0188/tillsynsmail/A 23905-2025 tillsynsbegäran mail.docx", "A 23905-2025")</f>
        <v/>
      </c>
    </row>
    <row r="231" ht="15" customHeight="1">
      <c r="A231" t="inlineStr">
        <is>
          <t>A 35764-2024</t>
        </is>
      </c>
      <c r="B231" t="inlineStr">
        <is>
          <t>avverkningsanmälan</t>
        </is>
      </c>
      <c r="C231" t="inlineStr">
        <is>
          <t>Föryngringsavverkning</t>
        </is>
      </c>
      <c r="D231" s="1" t="n">
        <v>45532</v>
      </c>
      <c r="E231" s="1" t="n">
        <v>46221</v>
      </c>
      <c r="F231" t="inlineStr">
        <is>
          <t>STOCKHOLMS LÄN</t>
        </is>
      </c>
      <c r="G231" t="inlineStr">
        <is>
          <t>NORRTÄLJE</t>
        </is>
      </c>
      <c r="I231" t="n">
        <v>14.2</v>
      </c>
      <c r="J231" t="n">
        <v>1</v>
      </c>
      <c r="K231" t="n">
        <v>0</v>
      </c>
      <c r="L231" t="n">
        <v>0</v>
      </c>
      <c r="M231" t="n">
        <v>1</v>
      </c>
      <c r="N231" t="n">
        <v>0</v>
      </c>
      <c r="O231" t="n">
        <v>0</v>
      </c>
      <c r="P231" t="n">
        <v>0</v>
      </c>
      <c r="Q231" t="n">
        <v>1</v>
      </c>
      <c r="R231" t="n">
        <v>1</v>
      </c>
      <c r="S231" t="n">
        <v>1</v>
      </c>
      <c r="T231" t="n">
        <v>3</v>
      </c>
      <c r="U231" s="2" t="inlineStr">
        <is>
          <t>Knärot</t>
        </is>
      </c>
      <c r="V231">
        <f>HYPERLINK("https://klasma.github.io/Logging_0188/artfynd/A 35764-2024 artfynd.xlsx", "A 35764-2024")</f>
        <v/>
      </c>
      <c r="W231">
        <f>HYPERLINK("https://klasma.github.io/Logging_0188/kartor/A 35764-2024 karta.png", "A 35764-2024")</f>
        <v/>
      </c>
      <c r="X231">
        <f>HYPERLINK("https://klasma.github.io/Logging_0188/knärot/A 35764-2024 karta knärot.png", "A 35764-2024")</f>
        <v/>
      </c>
      <c r="Y231">
        <f>HYPERLINK("https://klasma.github.io/Logging_0188/klagomål/A 35764-2024 FSC-klagomål.docx", "A 35764-2024")</f>
        <v/>
      </c>
      <c r="Z231">
        <f>HYPERLINK("https://klasma.github.io/Logging_0188/klagomålsmail/A 35764-2024 FSC-klagomål mail.docx", "A 35764-2024")</f>
        <v/>
      </c>
      <c r="AA231">
        <f>HYPERLINK("https://klasma.github.io/Logging_0188/tillsyn/A 35764-2024 tillsynsbegäran.docx", "A 35764-2024")</f>
        <v/>
      </c>
      <c r="AB231">
        <f>HYPERLINK("https://klasma.github.io/Logging_0188/tillsynsmail/A 35764-2024 tillsynsbegäran mail.docx", "A 35764-2024")</f>
        <v/>
      </c>
    </row>
    <row r="232" ht="15" customHeight="1">
      <c r="A232" t="inlineStr">
        <is>
          <t>S 1518-2022</t>
        </is>
      </c>
      <c r="B232" t="inlineStr">
        <is>
          <t>samrådsanmälan</t>
        </is>
      </c>
      <c r="C232" t="inlineStr">
        <is>
          <t>Åtgärd i nyckelbiotop</t>
        </is>
      </c>
      <c r="D232" s="1" t="n">
        <v>44639</v>
      </c>
      <c r="E232" s="1" t="n">
        <v>46221</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Y232">
        <f>HYPERLINK("https://klasma.github.io/Logging_0188/klagomål/S 1518-2022 FSC-klagomål.docx", "S 1518-2022")</f>
        <v/>
      </c>
      <c r="Z232">
        <f>HYPERLINK("https://klasma.github.io/Logging_0188/klagomålsmail/S 1518-2022 FSC-klagomål mail.docx", "S 1518-2022")</f>
        <v/>
      </c>
      <c r="AA232">
        <f>HYPERLINK("https://klasma.github.io/Logging_0188/tillsyn/S 1518-2022 tillsynsbegäran.docx", "S 1518-2022")</f>
        <v/>
      </c>
      <c r="AB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46221</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Y233">
        <f>HYPERLINK("https://klasma.github.io/Logging_0188/klagomål/S 7198-2022 FSC-klagomål.docx", "S 7198-2022")</f>
        <v/>
      </c>
      <c r="Z233">
        <f>HYPERLINK("https://klasma.github.io/Logging_0188/klagomålsmail/S 7198-2022 FSC-klagomål mail.docx", "S 7198-2022")</f>
        <v/>
      </c>
      <c r="AA233">
        <f>HYPERLINK("https://klasma.github.io/Logging_0188/tillsyn/S 7198-2022 tillsynsbegäran.docx", "S 7198-2022")</f>
        <v/>
      </c>
      <c r="AB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46221</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Y234">
        <f>HYPERLINK("https://klasma.github.io/Logging_0188/klagomål/S 9346-2021 FSC-klagomål.docx", "S 9346-2021")</f>
        <v/>
      </c>
      <c r="Z234">
        <f>HYPERLINK("https://klasma.github.io/Logging_0188/klagomålsmail/S 9346-2021 FSC-klagomål mail.docx", "S 9346-2021")</f>
        <v/>
      </c>
      <c r="AA234">
        <f>HYPERLINK("https://klasma.github.io/Logging_0188/tillsyn/S 9346-2021 tillsynsbegäran.docx", "S 9346-2021")</f>
        <v/>
      </c>
      <c r="AB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46221</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Y235">
        <f>HYPERLINK("https://klasma.github.io/Logging_0188/klagomål/S 4049-2024 FSC-klagomål.docx", "S 4049-2024")</f>
        <v/>
      </c>
      <c r="Z235">
        <f>HYPERLINK("https://klasma.github.io/Logging_0188/klagomålsmail/S 4049-2024 FSC-klagomål mail.docx", "S 4049-2024")</f>
        <v/>
      </c>
      <c r="AA235">
        <f>HYPERLINK("https://klasma.github.io/Logging_0188/tillsyn/S 4049-2024 tillsynsbegäran.docx", "S 4049-2024")</f>
        <v/>
      </c>
      <c r="AB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46221</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Y236">
        <f>HYPERLINK("https://klasma.github.io/Logging_0188/klagomål/S 3405-2025 FSC-klagomål.docx", "S 3405-2025")</f>
        <v/>
      </c>
      <c r="Z236">
        <f>HYPERLINK("https://klasma.github.io/Logging_0188/klagomålsmail/S 3405-2025 FSC-klagomål mail.docx", "S 3405-2025")</f>
        <v/>
      </c>
      <c r="AA236">
        <f>HYPERLINK("https://klasma.github.io/Logging_0188/tillsyn/S 3405-2025 tillsynsbegäran.docx", "S 3405-2025")</f>
        <v/>
      </c>
      <c r="AB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46221</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46221</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46221</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46221</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46221</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40542-2021</t>
        </is>
      </c>
      <c r="B242" t="inlineStr">
        <is>
          <t>avverkningsanmälan</t>
        </is>
      </c>
      <c r="C242" t="inlineStr">
        <is>
          <t>Avverkning för annat ändamål</t>
        </is>
      </c>
      <c r="D242" s="1" t="n">
        <v>44420</v>
      </c>
      <c r="E242" s="1" t="n">
        <v>46221</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40546-2021</t>
        </is>
      </c>
      <c r="B243" t="inlineStr">
        <is>
          <t>avverkningsanmälan</t>
        </is>
      </c>
      <c r="C243" t="inlineStr">
        <is>
          <t>Avverkning för annat ändamål</t>
        </is>
      </c>
      <c r="D243" s="1" t="n">
        <v>44420</v>
      </c>
      <c r="E243" s="1" t="n">
        <v>46221</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24977-2022</t>
        </is>
      </c>
      <c r="B244" t="inlineStr">
        <is>
          <t>avverkningsanmälan</t>
        </is>
      </c>
      <c r="C244" t="inlineStr">
        <is>
          <t>Föryngringsavverkning</t>
        </is>
      </c>
      <c r="D244" s="1" t="n">
        <v>44728</v>
      </c>
      <c r="E244" s="1" t="n">
        <v>46221</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31934-2022</t>
        </is>
      </c>
      <c r="B245" t="inlineStr">
        <is>
          <t>avverkningsanmälan</t>
        </is>
      </c>
      <c r="C245" t="inlineStr">
        <is>
          <t>Föryngringsavverkning</t>
        </is>
      </c>
      <c r="D245" s="1" t="n">
        <v>44777</v>
      </c>
      <c r="E245" s="1" t="n">
        <v>46221</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37815-2022</t>
        </is>
      </c>
      <c r="B246" t="inlineStr">
        <is>
          <t>avverkningsanmälan</t>
        </is>
      </c>
      <c r="C246" t="inlineStr">
        <is>
          <t>Föryngringsavverkning</t>
        </is>
      </c>
      <c r="D246" s="1" t="n">
        <v>44810</v>
      </c>
      <c r="E246" s="1" t="n">
        <v>46221</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73855-2021</t>
        </is>
      </c>
      <c r="B247" t="inlineStr">
        <is>
          <t>avverkningsanmälan</t>
        </is>
      </c>
      <c r="C247" t="inlineStr">
        <is>
          <t>Föryngringsavverkning</t>
        </is>
      </c>
      <c r="D247" s="1" t="n">
        <v>44552</v>
      </c>
      <c r="E247" s="1" t="n">
        <v>46221</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11821-2022</t>
        </is>
      </c>
      <c r="B248" t="inlineStr">
        <is>
          <t>avverkningsanmälan</t>
        </is>
      </c>
      <c r="C248" t="inlineStr">
        <is>
          <t>Avverkning för att bevara och utveckla /försöksver</t>
        </is>
      </c>
      <c r="D248" s="1" t="n">
        <v>44634</v>
      </c>
      <c r="E248" s="1" t="n">
        <v>46221</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2977-2022</t>
        </is>
      </c>
      <c r="B249" t="inlineStr">
        <is>
          <t>avverkningsanmälan</t>
        </is>
      </c>
      <c r="C249" t="inlineStr">
        <is>
          <t>Föryngringsavverkning</t>
        </is>
      </c>
      <c r="D249" s="1" t="n">
        <v>44581</v>
      </c>
      <c r="E249" s="1" t="n">
        <v>46221</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74468-2021</t>
        </is>
      </c>
      <c r="B250" t="inlineStr">
        <is>
          <t>avverkningsanmälan</t>
        </is>
      </c>
      <c r="C250" t="inlineStr">
        <is>
          <t>Föryngringsavverkning</t>
        </is>
      </c>
      <c r="D250" s="1" t="n">
        <v>44560</v>
      </c>
      <c r="E250" s="1" t="n">
        <v>46221</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31283-2022</t>
        </is>
      </c>
      <c r="B251" t="inlineStr">
        <is>
          <t>avverkningsanmälan</t>
        </is>
      </c>
      <c r="C251" t="inlineStr">
        <is>
          <t>Föryngringsavverkning</t>
        </is>
      </c>
      <c r="D251" s="1" t="n">
        <v>44771</v>
      </c>
      <c r="E251" s="1" t="n">
        <v>46221</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56225-2021</t>
        </is>
      </c>
      <c r="B252" t="inlineStr">
        <is>
          <t>avverkningsanmälan</t>
        </is>
      </c>
      <c r="C252" t="inlineStr">
        <is>
          <t>Föryngringsavverkning</t>
        </is>
      </c>
      <c r="D252" s="1" t="n">
        <v>44477</v>
      </c>
      <c r="E252" s="1" t="n">
        <v>46221</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46221</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1704-2022</t>
        </is>
      </c>
      <c r="B254" t="inlineStr">
        <is>
          <t>avverkningsanmälan</t>
        </is>
      </c>
      <c r="C254" t="inlineStr">
        <is>
          <t>Föryngringsavverkning</t>
        </is>
      </c>
      <c r="D254" s="1" t="n">
        <v>44574</v>
      </c>
      <c r="E254" s="1" t="n">
        <v>46221</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65737-2021</t>
        </is>
      </c>
      <c r="B255" t="inlineStr">
        <is>
          <t>avverkningsanmälan</t>
        </is>
      </c>
      <c r="C255" t="inlineStr">
        <is>
          <t>Föryngringsavverkning</t>
        </is>
      </c>
      <c r="D255" s="1" t="n">
        <v>44516</v>
      </c>
      <c r="E255" s="1" t="n">
        <v>46221</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46221</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46221</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46221</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60822-2021</t>
        </is>
      </c>
      <c r="B259" t="inlineStr">
        <is>
          <t>avverkningsanmälan</t>
        </is>
      </c>
      <c r="C259" t="inlineStr">
        <is>
          <t>Föryngringsavverkning</t>
        </is>
      </c>
      <c r="D259" s="1" t="n">
        <v>44496</v>
      </c>
      <c r="E259" s="1" t="n">
        <v>46221</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s="2" t="inlineStr"/>
    </row>
    <row r="260" ht="15" customHeight="1">
      <c r="A260" t="inlineStr">
        <is>
          <t>A 10711-2022</t>
        </is>
      </c>
      <c r="B260" t="inlineStr">
        <is>
          <t>avverkningsanmälan</t>
        </is>
      </c>
      <c r="C260" t="inlineStr">
        <is>
          <t>Föryngringsavverkning</t>
        </is>
      </c>
      <c r="D260" s="1" t="n">
        <v>44626</v>
      </c>
      <c r="E260" s="1" t="n">
        <v>46221</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18905-2022</t>
        </is>
      </c>
      <c r="B261" t="inlineStr">
        <is>
          <t>avverkningsanmälan</t>
        </is>
      </c>
      <c r="C261" t="inlineStr">
        <is>
          <t>Avverkning för annat ändamål</t>
        </is>
      </c>
      <c r="D261" s="1" t="n">
        <v>44690</v>
      </c>
      <c r="E261" s="1" t="n">
        <v>46221</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17777-2022</t>
        </is>
      </c>
      <c r="B262" t="inlineStr">
        <is>
          <t>avverkningsanmälan</t>
        </is>
      </c>
      <c r="C262" t="inlineStr">
        <is>
          <t>Föryngringsavverkning</t>
        </is>
      </c>
      <c r="D262" s="1" t="n">
        <v>44682</v>
      </c>
      <c r="E262" s="1" t="n">
        <v>46221</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46221</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12816-2022</t>
        </is>
      </c>
      <c r="B264" t="inlineStr">
        <is>
          <t>avverkningsanmälan</t>
        </is>
      </c>
      <c r="C264" t="inlineStr">
        <is>
          <t>Föryngringsavverkning</t>
        </is>
      </c>
      <c r="D264" s="1" t="n">
        <v>44642</v>
      </c>
      <c r="E264" s="1" t="n">
        <v>46221</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31807-2022</t>
        </is>
      </c>
      <c r="B265" t="inlineStr">
        <is>
          <t>avverkningsanmälan</t>
        </is>
      </c>
      <c r="C265" t="inlineStr">
        <is>
          <t>Föryngringsavverkning</t>
        </is>
      </c>
      <c r="D265" s="1" t="n">
        <v>44776</v>
      </c>
      <c r="E265" s="1" t="n">
        <v>46221</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46221</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45539-2022</t>
        </is>
      </c>
      <c r="B267" t="inlineStr">
        <is>
          <t>avverkningsanmälan</t>
        </is>
      </c>
      <c r="C267" t="inlineStr">
        <is>
          <t>Föryngringsavverkning</t>
        </is>
      </c>
      <c r="D267" s="1" t="n">
        <v>44845</v>
      </c>
      <c r="E267" s="1" t="n">
        <v>46221</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71876-2021</t>
        </is>
      </c>
      <c r="B268" t="inlineStr">
        <is>
          <t>avverkningsanmälan</t>
        </is>
      </c>
      <c r="C268" t="inlineStr">
        <is>
          <t>Föryngringsavverkning</t>
        </is>
      </c>
      <c r="D268" s="1" t="n">
        <v>44543</v>
      </c>
      <c r="E268" s="1" t="n">
        <v>46221</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71878-2021</t>
        </is>
      </c>
      <c r="B269" t="inlineStr">
        <is>
          <t>avverkningsanmälan</t>
        </is>
      </c>
      <c r="C269" t="inlineStr">
        <is>
          <t>Föryngringsavverkning</t>
        </is>
      </c>
      <c r="D269" s="1" t="n">
        <v>44543</v>
      </c>
      <c r="E269" s="1" t="n">
        <v>46221</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46221</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46221</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46221</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46221</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46221</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46221</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29868-2022</t>
        </is>
      </c>
      <c r="B276" t="inlineStr">
        <is>
          <t>avverkningsanmälan</t>
        </is>
      </c>
      <c r="C276" t="inlineStr">
        <is>
          <t>Föryngringsavverkning</t>
        </is>
      </c>
      <c r="D276" s="1" t="n">
        <v>44756</v>
      </c>
      <c r="E276" s="1" t="n">
        <v>46221</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36975-2022</t>
        </is>
      </c>
      <c r="B277" t="inlineStr">
        <is>
          <t>avverkningsanmälan</t>
        </is>
      </c>
      <c r="C277" t="inlineStr">
        <is>
          <t>Föryngringsavverkning</t>
        </is>
      </c>
      <c r="D277" s="1" t="n">
        <v>44806</v>
      </c>
      <c r="E277" s="1" t="n">
        <v>46221</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46221</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46221</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47349-2021</t>
        </is>
      </c>
      <c r="B280" t="inlineStr">
        <is>
          <t>avverkningsanmälan</t>
        </is>
      </c>
      <c r="C280" t="inlineStr">
        <is>
          <t>Föryngringsavverkning</t>
        </is>
      </c>
      <c r="D280" s="1" t="n">
        <v>44447</v>
      </c>
      <c r="E280" s="1" t="n">
        <v>46221</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44274-2021</t>
        </is>
      </c>
      <c r="B281" t="inlineStr">
        <is>
          <t>avverkningsanmälan</t>
        </is>
      </c>
      <c r="C281" t="inlineStr">
        <is>
          <t>Föryngringsavverkning</t>
        </is>
      </c>
      <c r="D281" s="1" t="n">
        <v>44435</v>
      </c>
      <c r="E281" s="1" t="n">
        <v>46221</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50970-2022</t>
        </is>
      </c>
      <c r="B282" t="inlineStr">
        <is>
          <t>avverkningsanmälan</t>
        </is>
      </c>
      <c r="C282" t="inlineStr">
        <is>
          <t>Föryngringsavverkning</t>
        </is>
      </c>
      <c r="D282" s="1" t="n">
        <v>44867</v>
      </c>
      <c r="E282" s="1" t="n">
        <v>46221</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s="2" t="inlineStr"/>
    </row>
    <row r="283" ht="15" customHeight="1">
      <c r="A283" t="inlineStr">
        <is>
          <t>A 49113-2021</t>
        </is>
      </c>
      <c r="B283" t="inlineStr">
        <is>
          <t>avverkningsanmälan</t>
        </is>
      </c>
      <c r="C283" t="inlineStr">
        <is>
          <t>Föryngringsavverkning</t>
        </is>
      </c>
      <c r="D283" s="1" t="n">
        <v>44453</v>
      </c>
      <c r="E283" s="1" t="n">
        <v>46221</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64628-2021</t>
        </is>
      </c>
      <c r="B284" t="inlineStr">
        <is>
          <t>avverkningsanmälan</t>
        </is>
      </c>
      <c r="C284" t="inlineStr">
        <is>
          <t>Föryngringsavverkning</t>
        </is>
      </c>
      <c r="D284" s="1" t="n">
        <v>44511</v>
      </c>
      <c r="E284" s="1" t="n">
        <v>46221</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17803-2022</t>
        </is>
      </c>
      <c r="B285" t="inlineStr">
        <is>
          <t>avverkningsanmälan</t>
        </is>
      </c>
      <c r="C285" t="inlineStr">
        <is>
          <t>Föryngringsavverkning</t>
        </is>
      </c>
      <c r="D285" s="1" t="n">
        <v>44683</v>
      </c>
      <c r="E285" s="1" t="n">
        <v>46221</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71325-2021</t>
        </is>
      </c>
      <c r="B286" t="inlineStr">
        <is>
          <t>avverkningsanmälan</t>
        </is>
      </c>
      <c r="C286" t="inlineStr">
        <is>
          <t>Föryngringsavverkning</t>
        </is>
      </c>
      <c r="D286" s="1" t="n">
        <v>44539</v>
      </c>
      <c r="E286" s="1" t="n">
        <v>46221</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60813-2021</t>
        </is>
      </c>
      <c r="B287" t="inlineStr">
        <is>
          <t>avverkningsanmälan</t>
        </is>
      </c>
      <c r="C287" t="inlineStr">
        <is>
          <t>Föryngringsavverkning</t>
        </is>
      </c>
      <c r="D287" s="1" t="n">
        <v>44496</v>
      </c>
      <c r="E287" s="1" t="n">
        <v>46221</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65611-2021</t>
        </is>
      </c>
      <c r="B288" t="inlineStr">
        <is>
          <t>avverkningsanmälan</t>
        </is>
      </c>
      <c r="C288" t="inlineStr">
        <is>
          <t>Föryngringsavverkning</t>
        </is>
      </c>
      <c r="D288" s="1" t="n">
        <v>44516</v>
      </c>
      <c r="E288" s="1" t="n">
        <v>46221</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s="2" t="inlineStr"/>
    </row>
    <row r="289" ht="15" customHeight="1">
      <c r="A289" t="inlineStr">
        <is>
          <t>A 39497-2021</t>
        </is>
      </c>
      <c r="B289" t="inlineStr">
        <is>
          <t>avverkningsanmälan</t>
        </is>
      </c>
      <c r="C289" t="inlineStr">
        <is>
          <t>Föryngringsavverkning</t>
        </is>
      </c>
      <c r="D289" s="1" t="n">
        <v>44414</v>
      </c>
      <c r="E289" s="1" t="n">
        <v>46221</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22316-2022</t>
        </is>
      </c>
      <c r="B290" t="inlineStr">
        <is>
          <t>avverkningsanmälan</t>
        </is>
      </c>
      <c r="C290" t="inlineStr">
        <is>
          <t>Föryngringsavverkning</t>
        </is>
      </c>
      <c r="D290" s="1" t="n">
        <v>44712</v>
      </c>
      <c r="E290" s="1" t="n">
        <v>46221</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s="2" t="inlineStr"/>
    </row>
    <row r="291" ht="15" customHeight="1">
      <c r="A291" t="inlineStr">
        <is>
          <t>A 31092-2022</t>
        </is>
      </c>
      <c r="B291" t="inlineStr">
        <is>
          <t>avverkningsanmälan</t>
        </is>
      </c>
      <c r="C291" t="inlineStr">
        <is>
          <t>Föryngringsavverkning</t>
        </is>
      </c>
      <c r="D291" s="1" t="n">
        <v>44769</v>
      </c>
      <c r="E291" s="1" t="n">
        <v>46221</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71871-2021</t>
        </is>
      </c>
      <c r="B292" t="inlineStr">
        <is>
          <t>avverkningsanmälan</t>
        </is>
      </c>
      <c r="C292" t="inlineStr">
        <is>
          <t>Föryngringsavverkning</t>
        </is>
      </c>
      <c r="D292" s="1" t="n">
        <v>44543</v>
      </c>
      <c r="E292" s="1" t="n">
        <v>46221</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71873-2021</t>
        </is>
      </c>
      <c r="B293" t="inlineStr">
        <is>
          <t>avverkningsanmälan</t>
        </is>
      </c>
      <c r="C293" t="inlineStr">
        <is>
          <t>Föryngringsavverkning</t>
        </is>
      </c>
      <c r="D293" s="1" t="n">
        <v>44543</v>
      </c>
      <c r="E293" s="1" t="n">
        <v>46221</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72355-2021</t>
        </is>
      </c>
      <c r="B294" t="inlineStr">
        <is>
          <t>avverkningsanmälan</t>
        </is>
      </c>
      <c r="C294" t="inlineStr">
        <is>
          <t>Avverkning för annat ändamål</t>
        </is>
      </c>
      <c r="D294" s="1" t="n">
        <v>44545</v>
      </c>
      <c r="E294" s="1" t="n">
        <v>46221</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72357-2021</t>
        </is>
      </c>
      <c r="B295" t="inlineStr">
        <is>
          <t>avverkningsanmälan</t>
        </is>
      </c>
      <c r="C295" t="inlineStr">
        <is>
          <t>Avverkning för annat ändamål</t>
        </is>
      </c>
      <c r="D295" s="1" t="n">
        <v>44545</v>
      </c>
      <c r="E295" s="1" t="n">
        <v>46221</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9988-2022</t>
        </is>
      </c>
      <c r="B296" t="inlineStr">
        <is>
          <t>avverkningsanmälan</t>
        </is>
      </c>
      <c r="C296" t="inlineStr">
        <is>
          <t>Föryngringsavverkning</t>
        </is>
      </c>
      <c r="D296" s="1" t="n">
        <v>44621</v>
      </c>
      <c r="E296" s="1" t="n">
        <v>46221</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60733-2021</t>
        </is>
      </c>
      <c r="B297" t="inlineStr">
        <is>
          <t>avverkningsanmälan</t>
        </is>
      </c>
      <c r="C297" t="inlineStr">
        <is>
          <t>Föryngringsavverkning</t>
        </is>
      </c>
      <c r="D297" s="1" t="n">
        <v>44496</v>
      </c>
      <c r="E297" s="1" t="n">
        <v>46221</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12357-2022</t>
        </is>
      </c>
      <c r="B298" t="inlineStr">
        <is>
          <t>avverkningsanmälan</t>
        </is>
      </c>
      <c r="C298" t="inlineStr">
        <is>
          <t>Föryngringsavverkning</t>
        </is>
      </c>
      <c r="D298" s="1" t="n">
        <v>44637</v>
      </c>
      <c r="E298" s="1" t="n">
        <v>46221</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26335-2022</t>
        </is>
      </c>
      <c r="B299" t="inlineStr">
        <is>
          <t>avverkningsanmälan</t>
        </is>
      </c>
      <c r="C299" t="inlineStr">
        <is>
          <t>Föryngringsavverkning</t>
        </is>
      </c>
      <c r="D299" s="1" t="n">
        <v>44735</v>
      </c>
      <c r="E299" s="1" t="n">
        <v>46221</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30624-2022</t>
        </is>
      </c>
      <c r="B300" t="inlineStr">
        <is>
          <t>avverkningsanmälan</t>
        </is>
      </c>
      <c r="C300" t="inlineStr">
        <is>
          <t>Föryngringsavverkning</t>
        </is>
      </c>
      <c r="D300" s="1" t="n">
        <v>44763</v>
      </c>
      <c r="E300" s="1" t="n">
        <v>46221</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26328-2022</t>
        </is>
      </c>
      <c r="B301" t="inlineStr">
        <is>
          <t>avverkningsanmälan</t>
        </is>
      </c>
      <c r="C301" t="inlineStr">
        <is>
          <t>Föryngringsavverkning</t>
        </is>
      </c>
      <c r="D301" s="1" t="n">
        <v>44735</v>
      </c>
      <c r="E301" s="1" t="n">
        <v>46221</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67598-2021</t>
        </is>
      </c>
      <c r="B302" t="inlineStr">
        <is>
          <t>avverkningsanmälan</t>
        </is>
      </c>
      <c r="C302" t="inlineStr">
        <is>
          <t>Föryngringsavverkning</t>
        </is>
      </c>
      <c r="D302" s="1" t="n">
        <v>44524</v>
      </c>
      <c r="E302" s="1" t="n">
        <v>46221</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1968-2022</t>
        </is>
      </c>
      <c r="B303" t="inlineStr">
        <is>
          <t>avverkningsanmälan</t>
        </is>
      </c>
      <c r="C303" t="inlineStr">
        <is>
          <t>Föryngringsavverkning</t>
        </is>
      </c>
      <c r="D303" s="1" t="n">
        <v>44575</v>
      </c>
      <c r="E303" s="1" t="n">
        <v>46221</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1229-2022</t>
        </is>
      </c>
      <c r="B304" t="inlineStr">
        <is>
          <t>avverkningsanmälan</t>
        </is>
      </c>
      <c r="C304" t="inlineStr">
        <is>
          <t>Föryngringsavverkning</t>
        </is>
      </c>
      <c r="D304" s="1" t="n">
        <v>44572</v>
      </c>
      <c r="E304" s="1" t="n">
        <v>46221</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s="2" t="inlineStr"/>
    </row>
    <row r="305" ht="15" customHeight="1">
      <c r="A305" t="inlineStr">
        <is>
          <t>A 14051-2022</t>
        </is>
      </c>
      <c r="B305" t="inlineStr">
        <is>
          <t>avverkningsanmälan</t>
        </is>
      </c>
      <c r="C305" t="inlineStr">
        <is>
          <t>Föryngringsavverkning</t>
        </is>
      </c>
      <c r="D305" s="1" t="n">
        <v>44650</v>
      </c>
      <c r="E305" s="1" t="n">
        <v>46221</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24167-2022</t>
        </is>
      </c>
      <c r="B306" t="inlineStr">
        <is>
          <t>avverkningsanmälan</t>
        </is>
      </c>
      <c r="C306" t="inlineStr">
        <is>
          <t>Föryngringsavverkning</t>
        </is>
      </c>
      <c r="D306" s="1" t="n">
        <v>44725</v>
      </c>
      <c r="E306" s="1" t="n">
        <v>46221</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s="2" t="inlineStr"/>
    </row>
    <row r="307" ht="15" customHeight="1">
      <c r="A307" t="inlineStr">
        <is>
          <t>A 42396-2021</t>
        </is>
      </c>
      <c r="B307" t="inlineStr">
        <is>
          <t>avverkningsanmälan</t>
        </is>
      </c>
      <c r="C307" t="inlineStr">
        <is>
          <t>Föryngringsavverkning</t>
        </is>
      </c>
      <c r="D307" s="1" t="n">
        <v>44427</v>
      </c>
      <c r="E307" s="1" t="n">
        <v>46221</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2732-2022</t>
        </is>
      </c>
      <c r="B308" t="inlineStr">
        <is>
          <t>avverkningsanmälan</t>
        </is>
      </c>
      <c r="C308" t="inlineStr">
        <is>
          <t>Föryngringsavverkning</t>
        </is>
      </c>
      <c r="D308" s="1" t="n">
        <v>44580</v>
      </c>
      <c r="E308" s="1" t="n">
        <v>46221</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31924-2022</t>
        </is>
      </c>
      <c r="B309" t="inlineStr">
        <is>
          <t>avverkningsanmälan</t>
        </is>
      </c>
      <c r="C309" t="inlineStr">
        <is>
          <t>Föryngringsavverkning</t>
        </is>
      </c>
      <c r="D309" s="1" t="n">
        <v>44777</v>
      </c>
      <c r="E309" s="1" t="n">
        <v>46221</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16119-2022</t>
        </is>
      </c>
      <c r="B310" t="inlineStr">
        <is>
          <t>avverkningsanmälan</t>
        </is>
      </c>
      <c r="C310" t="inlineStr">
        <is>
          <t>Föryngringsavverkning</t>
        </is>
      </c>
      <c r="D310" s="1" t="n">
        <v>44665</v>
      </c>
      <c r="E310" s="1" t="n">
        <v>46221</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12270-2022</t>
        </is>
      </c>
      <c r="B311" t="inlineStr">
        <is>
          <t>avverkningsanmälan</t>
        </is>
      </c>
      <c r="C311" t="inlineStr">
        <is>
          <t>Föryngringsavverkning</t>
        </is>
      </c>
      <c r="D311" s="1" t="n">
        <v>44637</v>
      </c>
      <c r="E311" s="1" t="n">
        <v>46221</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14543-2022</t>
        </is>
      </c>
      <c r="B312" t="inlineStr">
        <is>
          <t>avverkningsanmälan</t>
        </is>
      </c>
      <c r="C312" t="inlineStr">
        <is>
          <t>Föryngringsavverkning</t>
        </is>
      </c>
      <c r="D312" s="1" t="n">
        <v>44655</v>
      </c>
      <c r="E312" s="1" t="n">
        <v>46221</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5513-2022</t>
        </is>
      </c>
      <c r="B313" t="inlineStr">
        <is>
          <t>avverkningsanmälan</t>
        </is>
      </c>
      <c r="C313" t="inlineStr">
        <is>
          <t>Avverkning för annat ändamål</t>
        </is>
      </c>
      <c r="D313" s="1" t="n">
        <v>44595</v>
      </c>
      <c r="E313" s="1" t="n">
        <v>46221</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28042-2022</t>
        </is>
      </c>
      <c r="B314" t="inlineStr">
        <is>
          <t>avverkningsanmälan</t>
        </is>
      </c>
      <c r="C314" t="inlineStr">
        <is>
          <t>Avverkning för annat ändamål</t>
        </is>
      </c>
      <c r="D314" s="1" t="n">
        <v>44744</v>
      </c>
      <c r="E314" s="1" t="n">
        <v>46221</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s="2" t="inlineStr"/>
    </row>
    <row r="315" ht="15" customHeight="1">
      <c r="A315" t="inlineStr">
        <is>
          <t>A 41398-2022</t>
        </is>
      </c>
      <c r="B315" t="inlineStr">
        <is>
          <t>avverkningsanmälan</t>
        </is>
      </c>
      <c r="C315" t="inlineStr">
        <is>
          <t>Föryngringsavverkning</t>
        </is>
      </c>
      <c r="D315" s="1" t="n">
        <v>44826</v>
      </c>
      <c r="E315" s="1" t="n">
        <v>46221</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45541-2022</t>
        </is>
      </c>
      <c r="B316" t="inlineStr">
        <is>
          <t>avverkningsanmälan</t>
        </is>
      </c>
      <c r="C316" t="inlineStr">
        <is>
          <t>Föryngringsavverkning</t>
        </is>
      </c>
      <c r="D316" s="1" t="n">
        <v>44845</v>
      </c>
      <c r="E316" s="1" t="n">
        <v>46221</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68273-2021</t>
        </is>
      </c>
      <c r="B317" t="inlineStr">
        <is>
          <t>avverkningsanmälan</t>
        </is>
      </c>
      <c r="C317" t="inlineStr">
        <is>
          <t>Föryngringsavverkning</t>
        </is>
      </c>
      <c r="D317" s="1" t="n">
        <v>44526</v>
      </c>
      <c r="E317" s="1" t="n">
        <v>46221</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A 12875-2022</t>
        </is>
      </c>
      <c r="B318" t="inlineStr">
        <is>
          <t>avverkningsanmälan</t>
        </is>
      </c>
      <c r="C318" t="inlineStr">
        <is>
          <t>Föryngringsavverkning</t>
        </is>
      </c>
      <c r="D318" s="1" t="n">
        <v>44642</v>
      </c>
      <c r="E318" s="1" t="n">
        <v>46221</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s="2" t="inlineStr"/>
    </row>
    <row r="319" ht="15" customHeight="1">
      <c r="A319" t="inlineStr">
        <is>
          <t>A 41822-2021</t>
        </is>
      </c>
      <c r="B319" t="inlineStr">
        <is>
          <t>avverkningsanmälan</t>
        </is>
      </c>
      <c r="C319" t="inlineStr">
        <is>
          <t>Föryngringsavverkning</t>
        </is>
      </c>
      <c r="D319" s="1" t="n">
        <v>44425</v>
      </c>
      <c r="E319" s="1" t="n">
        <v>46221</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12355-2022</t>
        </is>
      </c>
      <c r="B320" t="inlineStr">
        <is>
          <t>avverkningsanmälan</t>
        </is>
      </c>
      <c r="C320" t="inlineStr">
        <is>
          <t>Föryngringsavverkning</t>
        </is>
      </c>
      <c r="D320" s="1" t="n">
        <v>44637</v>
      </c>
      <c r="E320" s="1" t="n">
        <v>46221</v>
      </c>
      <c r="F320" t="inlineStr">
        <is>
          <t>STOCKHOLMS LÄN</t>
        </is>
      </c>
      <c r="G320" t="inlineStr">
        <is>
          <t>NORRTÄLJE</t>
        </is>
      </c>
      <c r="I320" t="n">
        <v>10.4</v>
      </c>
      <c r="J320" t="n">
        <v>0</v>
      </c>
      <c r="K320" t="n">
        <v>0</v>
      </c>
      <c r="L320" t="n">
        <v>0</v>
      </c>
      <c r="M320" t="n">
        <v>0</v>
      </c>
      <c r="N320" t="n">
        <v>0</v>
      </c>
      <c r="O320" t="n">
        <v>0</v>
      </c>
      <c r="P320" t="n">
        <v>0</v>
      </c>
      <c r="Q320" t="n">
        <v>0</v>
      </c>
      <c r="R320" t="n">
        <v>0</v>
      </c>
      <c r="S320" t="n">
        <v>0</v>
      </c>
      <c r="T320" t="n">
        <v>0</v>
      </c>
      <c r="U320" s="2" t="inlineStr"/>
    </row>
    <row r="321" ht="15" customHeight="1">
      <c r="A321" t="inlineStr">
        <is>
          <t>A 7565-2022</t>
        </is>
      </c>
      <c r="B321" t="inlineStr">
        <is>
          <t>avverkningsanmälan</t>
        </is>
      </c>
      <c r="C321" t="inlineStr">
        <is>
          <t>Föryngringsavverkning</t>
        </is>
      </c>
      <c r="D321" s="1" t="n">
        <v>44607</v>
      </c>
      <c r="E321" s="1" t="n">
        <v>46221</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20295-2022</t>
        </is>
      </c>
      <c r="B322" t="inlineStr">
        <is>
          <t>avverkningsanmälan</t>
        </is>
      </c>
      <c r="C322" t="inlineStr">
        <is>
          <t>Föryngringsavverkning</t>
        </is>
      </c>
      <c r="D322" s="1" t="n">
        <v>44698</v>
      </c>
      <c r="E322" s="1" t="n">
        <v>46221</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37415-2021</t>
        </is>
      </c>
      <c r="B323" t="inlineStr">
        <is>
          <t>avverkningsanmälan</t>
        </is>
      </c>
      <c r="C323" t="inlineStr">
        <is>
          <t>Föryngringsavverkning</t>
        </is>
      </c>
      <c r="D323" s="1" t="n">
        <v>44397</v>
      </c>
      <c r="E323" s="1" t="n">
        <v>46221</v>
      </c>
      <c r="F323" t="inlineStr">
        <is>
          <t>STOCKHOLMS LÄN</t>
        </is>
      </c>
      <c r="G323" t="inlineStr">
        <is>
          <t>NORRTÄLJE</t>
        </is>
      </c>
      <c r="H323" t="inlineStr">
        <is>
          <t>Övriga Aktiebolag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30286-2022</t>
        </is>
      </c>
      <c r="B324" t="inlineStr">
        <is>
          <t>avverkningsanmälan</t>
        </is>
      </c>
      <c r="C324" t="inlineStr">
        <is>
          <t>Föryngringsavverkning</t>
        </is>
      </c>
      <c r="D324" s="1" t="n">
        <v>44760</v>
      </c>
      <c r="E324" s="1" t="n">
        <v>46221</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8160-2022</t>
        </is>
      </c>
      <c r="B325" t="inlineStr">
        <is>
          <t>avverkningsanmälan</t>
        </is>
      </c>
      <c r="C325" t="inlineStr">
        <is>
          <t>Föryngringsavverkning</t>
        </is>
      </c>
      <c r="D325" s="1" t="n">
        <v>44609</v>
      </c>
      <c r="E325" s="1" t="n">
        <v>46221</v>
      </c>
      <c r="F325" t="inlineStr">
        <is>
          <t>STOCKHOLMS LÄN</t>
        </is>
      </c>
      <c r="G325" t="inlineStr">
        <is>
          <t>NORRTÄLJE</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39319-2022</t>
        </is>
      </c>
      <c r="B326" t="inlineStr">
        <is>
          <t>avverkningsanmälan</t>
        </is>
      </c>
      <c r="C326" t="inlineStr">
        <is>
          <t>Föryngringsavverkning</t>
        </is>
      </c>
      <c r="D326" s="1" t="n">
        <v>44817</v>
      </c>
      <c r="E326" s="1" t="n">
        <v>46221</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56219-2021</t>
        </is>
      </c>
      <c r="B327" t="inlineStr">
        <is>
          <t>avverkningsanmälan</t>
        </is>
      </c>
      <c r="C327" t="inlineStr">
        <is>
          <t>Föryngringsavverkning</t>
        </is>
      </c>
      <c r="D327" s="1" t="n">
        <v>44477</v>
      </c>
      <c r="E327" s="1" t="n">
        <v>46221</v>
      </c>
      <c r="F327" t="inlineStr">
        <is>
          <t>STOCKHOLMS LÄN</t>
        </is>
      </c>
      <c r="G327" t="inlineStr">
        <is>
          <t>NORRTÄLJE</t>
        </is>
      </c>
      <c r="H327" t="inlineStr">
        <is>
          <t>Kommuner</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3300-2022</t>
        </is>
      </c>
      <c r="B328" t="inlineStr">
        <is>
          <t>avverkningsanmälan</t>
        </is>
      </c>
      <c r="C328" t="inlineStr">
        <is>
          <t>Föryngringsavverkning</t>
        </is>
      </c>
      <c r="D328" s="1" t="n">
        <v>44584</v>
      </c>
      <c r="E328" s="1" t="n">
        <v>46221</v>
      </c>
      <c r="F328" t="inlineStr">
        <is>
          <t>STOCKHOLMS LÄN</t>
        </is>
      </c>
      <c r="G328" t="inlineStr">
        <is>
          <t>NORRTÄLJE</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17388-2022</t>
        </is>
      </c>
      <c r="B329" t="inlineStr">
        <is>
          <t>avverkningsanmälan</t>
        </is>
      </c>
      <c r="C329" t="inlineStr">
        <is>
          <t>Föryngringsavverkning</t>
        </is>
      </c>
      <c r="D329" s="1" t="n">
        <v>44678</v>
      </c>
      <c r="E329" s="1" t="n">
        <v>46221</v>
      </c>
      <c r="F329" t="inlineStr">
        <is>
          <t>STOCKHOLMS LÄN</t>
        </is>
      </c>
      <c r="G329" t="inlineStr">
        <is>
          <t>NORRTÄLJE</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10521-2022</t>
        </is>
      </c>
      <c r="B330" t="inlineStr">
        <is>
          <t>avverkningsanmälan</t>
        </is>
      </c>
      <c r="C330" t="inlineStr">
        <is>
          <t>Föryngringsavverkning</t>
        </is>
      </c>
      <c r="D330" s="1" t="n">
        <v>44623</v>
      </c>
      <c r="E330" s="1" t="n">
        <v>46221</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17771-2022</t>
        </is>
      </c>
      <c r="B331" t="inlineStr">
        <is>
          <t>avverkningsanmälan</t>
        </is>
      </c>
      <c r="C331" t="inlineStr">
        <is>
          <t>Föryngringsavverkning</t>
        </is>
      </c>
      <c r="D331" s="1" t="n">
        <v>44682</v>
      </c>
      <c r="E331" s="1" t="n">
        <v>46221</v>
      </c>
      <c r="F331" t="inlineStr">
        <is>
          <t>STOCKHOLMS LÄN</t>
        </is>
      </c>
      <c r="G331" t="inlineStr">
        <is>
          <t>NORRTÄLJE</t>
        </is>
      </c>
      <c r="I331" t="n">
        <v>13.3</v>
      </c>
      <c r="J331" t="n">
        <v>0</v>
      </c>
      <c r="K331" t="n">
        <v>0</v>
      </c>
      <c r="L331" t="n">
        <v>0</v>
      </c>
      <c r="M331" t="n">
        <v>0</v>
      </c>
      <c r="N331" t="n">
        <v>0</v>
      </c>
      <c r="O331" t="n">
        <v>0</v>
      </c>
      <c r="P331" t="n">
        <v>0</v>
      </c>
      <c r="Q331" t="n">
        <v>0</v>
      </c>
      <c r="R331" t="n">
        <v>0</v>
      </c>
      <c r="S331" t="n">
        <v>0</v>
      </c>
      <c r="T331" t="n">
        <v>0</v>
      </c>
      <c r="U331" s="2" t="inlineStr"/>
    </row>
    <row r="332" ht="15" customHeight="1">
      <c r="A332" t="inlineStr">
        <is>
          <t>A 17773-2022</t>
        </is>
      </c>
      <c r="B332" t="inlineStr">
        <is>
          <t>avverkningsanmälan</t>
        </is>
      </c>
      <c r="C332" t="inlineStr">
        <is>
          <t>Föryngringsavverkning</t>
        </is>
      </c>
      <c r="D332" s="1" t="n">
        <v>44682</v>
      </c>
      <c r="E332" s="1" t="n">
        <v>46221</v>
      </c>
      <c r="F332" t="inlineStr">
        <is>
          <t>STOCKHOLMS LÄN</t>
        </is>
      </c>
      <c r="G332" t="inlineStr">
        <is>
          <t>NORRTÄLJE</t>
        </is>
      </c>
      <c r="I332" t="n">
        <v>10.8</v>
      </c>
      <c r="J332" t="n">
        <v>0</v>
      </c>
      <c r="K332" t="n">
        <v>0</v>
      </c>
      <c r="L332" t="n">
        <v>0</v>
      </c>
      <c r="M332" t="n">
        <v>0</v>
      </c>
      <c r="N332" t="n">
        <v>0</v>
      </c>
      <c r="O332" t="n">
        <v>0</v>
      </c>
      <c r="P332" t="n">
        <v>0</v>
      </c>
      <c r="Q332" t="n">
        <v>0</v>
      </c>
      <c r="R332" t="n">
        <v>0</v>
      </c>
      <c r="S332" t="n">
        <v>0</v>
      </c>
      <c r="T332" t="n">
        <v>0</v>
      </c>
      <c r="U332" s="2" t="inlineStr"/>
    </row>
    <row r="333" ht="15" customHeight="1">
      <c r="A333" t="inlineStr">
        <is>
          <t>A 70170-2021</t>
        </is>
      </c>
      <c r="B333" t="inlineStr">
        <is>
          <t>avverkningsanmälan</t>
        </is>
      </c>
      <c r="C333" t="inlineStr">
        <is>
          <t>Föryngringsavverkning</t>
        </is>
      </c>
      <c r="D333" s="1" t="n">
        <v>44533</v>
      </c>
      <c r="E333" s="1" t="n">
        <v>46221</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16117-2022</t>
        </is>
      </c>
      <c r="B334" t="inlineStr">
        <is>
          <t>avverkningsanmälan</t>
        </is>
      </c>
      <c r="C334" t="inlineStr">
        <is>
          <t>Föryngringsavverkning</t>
        </is>
      </c>
      <c r="D334" s="1" t="n">
        <v>44665</v>
      </c>
      <c r="E334" s="1" t="n">
        <v>46221</v>
      </c>
      <c r="F334" t="inlineStr">
        <is>
          <t>STOCKHOLMS LÄN</t>
        </is>
      </c>
      <c r="G334" t="inlineStr">
        <is>
          <t>NORRTÄLJE</t>
        </is>
      </c>
      <c r="I334" t="n">
        <v>8.1</v>
      </c>
      <c r="J334" t="n">
        <v>0</v>
      </c>
      <c r="K334" t="n">
        <v>0</v>
      </c>
      <c r="L334" t="n">
        <v>0</v>
      </c>
      <c r="M334" t="n">
        <v>0</v>
      </c>
      <c r="N334" t="n">
        <v>0</v>
      </c>
      <c r="O334" t="n">
        <v>0</v>
      </c>
      <c r="P334" t="n">
        <v>0</v>
      </c>
      <c r="Q334" t="n">
        <v>0</v>
      </c>
      <c r="R334" t="n">
        <v>0</v>
      </c>
      <c r="S334" t="n">
        <v>0</v>
      </c>
      <c r="T334" t="n">
        <v>0</v>
      </c>
      <c r="U334" s="2" t="inlineStr"/>
    </row>
    <row r="335" ht="15" customHeight="1">
      <c r="A335" t="inlineStr">
        <is>
          <t>A 16132-2022</t>
        </is>
      </c>
      <c r="B335" t="inlineStr">
        <is>
          <t>avverkningsanmälan</t>
        </is>
      </c>
      <c r="C335" t="inlineStr">
        <is>
          <t>Föryngringsavverkning</t>
        </is>
      </c>
      <c r="D335" s="1" t="n">
        <v>44665</v>
      </c>
      <c r="E335" s="1" t="n">
        <v>46221</v>
      </c>
      <c r="F335" t="inlineStr">
        <is>
          <t>STOCKHOLMS LÄN</t>
        </is>
      </c>
      <c r="G335" t="inlineStr">
        <is>
          <t>NORRTÄLJE</t>
        </is>
      </c>
      <c r="I335" t="n">
        <v>4.4</v>
      </c>
      <c r="J335" t="n">
        <v>0</v>
      </c>
      <c r="K335" t="n">
        <v>0</v>
      </c>
      <c r="L335" t="n">
        <v>0</v>
      </c>
      <c r="M335" t="n">
        <v>0</v>
      </c>
      <c r="N335" t="n">
        <v>0</v>
      </c>
      <c r="O335" t="n">
        <v>0</v>
      </c>
      <c r="P335" t="n">
        <v>0</v>
      </c>
      <c r="Q335" t="n">
        <v>0</v>
      </c>
      <c r="R335" t="n">
        <v>0</v>
      </c>
      <c r="S335" t="n">
        <v>0</v>
      </c>
      <c r="T335" t="n">
        <v>0</v>
      </c>
      <c r="U335" s="2" t="inlineStr"/>
    </row>
    <row r="336" ht="15" customHeight="1">
      <c r="A336" t="inlineStr">
        <is>
          <t>A 21102-2022</t>
        </is>
      </c>
      <c r="B336" t="inlineStr">
        <is>
          <t>avverkningsanmälan</t>
        </is>
      </c>
      <c r="C336" t="inlineStr">
        <is>
          <t>Avverkning för annat ändamål</t>
        </is>
      </c>
      <c r="D336" s="1" t="n">
        <v>44704</v>
      </c>
      <c r="E336" s="1" t="n">
        <v>46221</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s="2" t="inlineStr"/>
    </row>
    <row r="337" ht="15" customHeight="1">
      <c r="A337" t="inlineStr">
        <is>
          <t>A 17772-2022</t>
        </is>
      </c>
      <c r="B337" t="inlineStr">
        <is>
          <t>avverkningsanmälan</t>
        </is>
      </c>
      <c r="C337" t="inlineStr">
        <is>
          <t>Föryngringsavverkning</t>
        </is>
      </c>
      <c r="D337" s="1" t="n">
        <v>44682</v>
      </c>
      <c r="E337" s="1" t="n">
        <v>46221</v>
      </c>
      <c r="F337" t="inlineStr">
        <is>
          <t>STOCKHOLMS LÄN</t>
        </is>
      </c>
      <c r="G337" t="inlineStr">
        <is>
          <t>NORRTÄLJE</t>
        </is>
      </c>
      <c r="I337" t="n">
        <v>4</v>
      </c>
      <c r="J337" t="n">
        <v>0</v>
      </c>
      <c r="K337" t="n">
        <v>0</v>
      </c>
      <c r="L337" t="n">
        <v>0</v>
      </c>
      <c r="M337" t="n">
        <v>0</v>
      </c>
      <c r="N337" t="n">
        <v>0</v>
      </c>
      <c r="O337" t="n">
        <v>0</v>
      </c>
      <c r="P337" t="n">
        <v>0</v>
      </c>
      <c r="Q337" t="n">
        <v>0</v>
      </c>
      <c r="R337" t="n">
        <v>0</v>
      </c>
      <c r="S337" t="n">
        <v>0</v>
      </c>
      <c r="T337" t="n">
        <v>0</v>
      </c>
      <c r="U337" s="2" t="inlineStr"/>
    </row>
    <row r="338" ht="15" customHeight="1">
      <c r="A338" t="inlineStr">
        <is>
          <t>A 71880-2021</t>
        </is>
      </c>
      <c r="B338" t="inlineStr">
        <is>
          <t>avverkningsanmälan</t>
        </is>
      </c>
      <c r="C338" t="inlineStr">
        <is>
          <t>Föryngringsavverkning</t>
        </is>
      </c>
      <c r="D338" s="1" t="n">
        <v>44543</v>
      </c>
      <c r="E338" s="1" t="n">
        <v>46221</v>
      </c>
      <c r="F338" t="inlineStr">
        <is>
          <t>STOCKHOLMS LÄN</t>
        </is>
      </c>
      <c r="G338" t="inlineStr">
        <is>
          <t>NORRTÄLJE</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24101-2022</t>
        </is>
      </c>
      <c r="B339" t="inlineStr">
        <is>
          <t>avverkningsanmälan</t>
        </is>
      </c>
      <c r="C339" t="inlineStr">
        <is>
          <t>Föryngringsavverkning</t>
        </is>
      </c>
      <c r="D339" s="1" t="n">
        <v>44725</v>
      </c>
      <c r="E339" s="1" t="n">
        <v>46221</v>
      </c>
      <c r="F339" t="inlineStr">
        <is>
          <t>STOCKHOLMS LÄN</t>
        </is>
      </c>
      <c r="G339" t="inlineStr">
        <is>
          <t>NORRTÄLJE</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67285-2021</t>
        </is>
      </c>
      <c r="B340" t="inlineStr">
        <is>
          <t>avverkningsanmälan</t>
        </is>
      </c>
      <c r="C340" t="inlineStr">
        <is>
          <t>Föryngringsavverkning</t>
        </is>
      </c>
      <c r="D340" s="1" t="n">
        <v>44523</v>
      </c>
      <c r="E340" s="1" t="n">
        <v>46221</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5611-2022</t>
        </is>
      </c>
      <c r="B341" t="inlineStr">
        <is>
          <t>avverkningsanmälan</t>
        </is>
      </c>
      <c r="C341" t="inlineStr">
        <is>
          <t>Föryngringsavverkning</t>
        </is>
      </c>
      <c r="D341" s="1" t="n">
        <v>44595</v>
      </c>
      <c r="E341" s="1" t="n">
        <v>46221</v>
      </c>
      <c r="F341" t="inlineStr">
        <is>
          <t>STOCKHOLMS LÄN</t>
        </is>
      </c>
      <c r="G341" t="inlineStr">
        <is>
          <t>NORRTÄLJE</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38721-2022</t>
        </is>
      </c>
      <c r="B342" t="inlineStr">
        <is>
          <t>avverkningsanmälan</t>
        </is>
      </c>
      <c r="C342" t="inlineStr">
        <is>
          <t>Föryngringsavverkning</t>
        </is>
      </c>
      <c r="D342" s="1" t="n">
        <v>44815</v>
      </c>
      <c r="E342" s="1" t="n">
        <v>46221</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60184-2021</t>
        </is>
      </c>
      <c r="B343" t="inlineStr">
        <is>
          <t>avverkningsanmälan</t>
        </is>
      </c>
      <c r="C343" t="inlineStr">
        <is>
          <t>Föryngringsavverkning</t>
        </is>
      </c>
      <c r="D343" s="1" t="n">
        <v>44495</v>
      </c>
      <c r="E343" s="1" t="n">
        <v>46221</v>
      </c>
      <c r="F343" t="inlineStr">
        <is>
          <t>STOCKHOLMS LÄN</t>
        </is>
      </c>
      <c r="G343" t="inlineStr">
        <is>
          <t>NORRTÄLJE</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55012-2024</t>
        </is>
      </c>
      <c r="B344" t="inlineStr">
        <is>
          <t>avverkningsanmälan</t>
        </is>
      </c>
      <c r="C344" t="inlineStr">
        <is>
          <t>Föryngringsavverkning</t>
        </is>
      </c>
      <c r="D344" s="1" t="n">
        <v>45621</v>
      </c>
      <c r="E344" s="1" t="n">
        <v>46221</v>
      </c>
      <c r="F344" t="inlineStr">
        <is>
          <t>STOCKHOLMS LÄN</t>
        </is>
      </c>
      <c r="G344" t="inlineStr">
        <is>
          <t>NORRTÄLJE</t>
        </is>
      </c>
      <c r="H344" t="inlineStr">
        <is>
          <t>Sveaskog</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23271-2023</t>
        </is>
      </c>
      <c r="B345" t="inlineStr">
        <is>
          <t>avverkningsanmälan</t>
        </is>
      </c>
      <c r="C345" t="inlineStr">
        <is>
          <t>Föryngringsavverkning</t>
        </is>
      </c>
      <c r="D345" s="1" t="n">
        <v>45075</v>
      </c>
      <c r="E345" s="1" t="n">
        <v>46221</v>
      </c>
      <c r="F345" t="inlineStr">
        <is>
          <t>STOCKHOLMS LÄN</t>
        </is>
      </c>
      <c r="G345" t="inlineStr">
        <is>
          <t>NORRTÄLJE</t>
        </is>
      </c>
      <c r="I345" t="n">
        <v>5.1</v>
      </c>
      <c r="J345" t="n">
        <v>0</v>
      </c>
      <c r="K345" t="n">
        <v>0</v>
      </c>
      <c r="L345" t="n">
        <v>0</v>
      </c>
      <c r="M345" t="n">
        <v>0</v>
      </c>
      <c r="N345" t="n">
        <v>0</v>
      </c>
      <c r="O345" t="n">
        <v>0</v>
      </c>
      <c r="P345" t="n">
        <v>0</v>
      </c>
      <c r="Q345" t="n">
        <v>0</v>
      </c>
      <c r="R345" t="n">
        <v>0</v>
      </c>
      <c r="S345" t="n">
        <v>0</v>
      </c>
      <c r="T345" t="n">
        <v>0</v>
      </c>
      <c r="U345" s="2" t="inlineStr"/>
    </row>
    <row r="346" ht="15" customHeight="1">
      <c r="A346" t="inlineStr">
        <is>
          <t>A 23273-2023</t>
        </is>
      </c>
      <c r="B346" t="inlineStr">
        <is>
          <t>avverkningsanmälan</t>
        </is>
      </c>
      <c r="C346" t="inlineStr">
        <is>
          <t>Föryngringsavverkning</t>
        </is>
      </c>
      <c r="D346" s="1" t="n">
        <v>45075</v>
      </c>
      <c r="E346" s="1" t="n">
        <v>46221</v>
      </c>
      <c r="F346" t="inlineStr">
        <is>
          <t>STOCKHOLMS LÄN</t>
        </is>
      </c>
      <c r="G346" t="inlineStr">
        <is>
          <t>NORRTÄLJE</t>
        </is>
      </c>
      <c r="I346" t="n">
        <v>7.5</v>
      </c>
      <c r="J346" t="n">
        <v>0</v>
      </c>
      <c r="K346" t="n">
        <v>0</v>
      </c>
      <c r="L346" t="n">
        <v>0</v>
      </c>
      <c r="M346" t="n">
        <v>0</v>
      </c>
      <c r="N346" t="n">
        <v>0</v>
      </c>
      <c r="O346" t="n">
        <v>0</v>
      </c>
      <c r="P346" t="n">
        <v>0</v>
      </c>
      <c r="Q346" t="n">
        <v>0</v>
      </c>
      <c r="R346" t="n">
        <v>0</v>
      </c>
      <c r="S346" t="n">
        <v>0</v>
      </c>
      <c r="T346" t="n">
        <v>0</v>
      </c>
      <c r="U346" s="2" t="inlineStr"/>
    </row>
    <row r="347" ht="15" customHeight="1">
      <c r="A347" t="inlineStr">
        <is>
          <t>A 30802-2022</t>
        </is>
      </c>
      <c r="B347" t="inlineStr">
        <is>
          <t>avverkningsanmälan</t>
        </is>
      </c>
      <c r="C347" t="inlineStr">
        <is>
          <t>Föryngringsavverkning</t>
        </is>
      </c>
      <c r="D347" s="1" t="n">
        <v>44764</v>
      </c>
      <c r="E347" s="1" t="n">
        <v>46221</v>
      </c>
      <c r="F347" t="inlineStr">
        <is>
          <t>STOCKHOLMS LÄN</t>
        </is>
      </c>
      <c r="G347" t="inlineStr">
        <is>
          <t>NORRTÄLJE</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19706-2023</t>
        </is>
      </c>
      <c r="B348" t="inlineStr">
        <is>
          <t>avverkningsanmälan</t>
        </is>
      </c>
      <c r="C348" t="inlineStr">
        <is>
          <t>Föryngringsavverkning</t>
        </is>
      </c>
      <c r="D348" s="1" t="n">
        <v>45051</v>
      </c>
      <c r="E348" s="1" t="n">
        <v>46221</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s="2" t="inlineStr"/>
    </row>
    <row r="349" ht="15" customHeight="1">
      <c r="A349" t="inlineStr">
        <is>
          <t>A 16008-2025</t>
        </is>
      </c>
      <c r="B349" t="inlineStr">
        <is>
          <t>avverkningsanmälan</t>
        </is>
      </c>
      <c r="C349" t="inlineStr">
        <is>
          <t>Avverkning för annat ändamål</t>
        </is>
      </c>
      <c r="D349" s="1" t="n">
        <v>45749</v>
      </c>
      <c r="E349" s="1" t="n">
        <v>46221</v>
      </c>
      <c r="F349" t="inlineStr">
        <is>
          <t>STOCKHOLMS LÄN</t>
        </is>
      </c>
      <c r="G349" t="inlineStr">
        <is>
          <t>NORRTÄLJE</t>
        </is>
      </c>
      <c r="H349" t="inlineStr">
        <is>
          <t>Holmen skog AB</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9765-2024</t>
        </is>
      </c>
      <c r="B350" t="inlineStr">
        <is>
          <t>avverkningsanmälan</t>
        </is>
      </c>
      <c r="C350" t="inlineStr">
        <is>
          <t>Föryngringsavverkning</t>
        </is>
      </c>
      <c r="D350" s="1" t="n">
        <v>45362</v>
      </c>
      <c r="E350" s="1" t="n">
        <v>46221</v>
      </c>
      <c r="F350" t="inlineStr">
        <is>
          <t>STOCKHOLMS LÄN</t>
        </is>
      </c>
      <c r="G350" t="inlineStr">
        <is>
          <t>NORRTÄLJE</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63161-2023</t>
        </is>
      </c>
      <c r="B351" t="inlineStr">
        <is>
          <t>avverkningsanmälan</t>
        </is>
      </c>
      <c r="C351" t="inlineStr">
        <is>
          <t>Föryngringsavverkning</t>
        </is>
      </c>
      <c r="D351" s="1" t="n">
        <v>45273</v>
      </c>
      <c r="E351" s="1" t="n">
        <v>46221</v>
      </c>
      <c r="F351" t="inlineStr">
        <is>
          <t>STOCKHOLMS LÄN</t>
        </is>
      </c>
      <c r="G351" t="inlineStr">
        <is>
          <t>NORRTÄLJE</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27715-2022</t>
        </is>
      </c>
      <c r="B352" t="inlineStr">
        <is>
          <t>avverkningsanmälan</t>
        </is>
      </c>
      <c r="C352" t="inlineStr">
        <is>
          <t>Föryngringsavverkning</t>
        </is>
      </c>
      <c r="D352" s="1" t="n">
        <v>44743</v>
      </c>
      <c r="E352" s="1" t="n">
        <v>46221</v>
      </c>
      <c r="F352" t="inlineStr">
        <is>
          <t>STOCKHOLMS LÄN</t>
        </is>
      </c>
      <c r="G352" t="inlineStr">
        <is>
          <t>NORRTÄLJE</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40425-2021</t>
        </is>
      </c>
      <c r="B353" t="inlineStr">
        <is>
          <t>avverkningsanmälan</t>
        </is>
      </c>
      <c r="C353" t="inlineStr">
        <is>
          <t>Föryngringsavverkning</t>
        </is>
      </c>
      <c r="D353" s="1" t="n">
        <v>44419</v>
      </c>
      <c r="E353" s="1" t="n">
        <v>46221</v>
      </c>
      <c r="F353" t="inlineStr">
        <is>
          <t>STOCKHOLMS LÄN</t>
        </is>
      </c>
      <c r="G353" t="inlineStr">
        <is>
          <t>NORRTÄLJE</t>
        </is>
      </c>
      <c r="I353" t="n">
        <v>5</v>
      </c>
      <c r="J353" t="n">
        <v>0</v>
      </c>
      <c r="K353" t="n">
        <v>0</v>
      </c>
      <c r="L353" t="n">
        <v>0</v>
      </c>
      <c r="M353" t="n">
        <v>0</v>
      </c>
      <c r="N353" t="n">
        <v>0</v>
      </c>
      <c r="O353" t="n">
        <v>0</v>
      </c>
      <c r="P353" t="n">
        <v>0</v>
      </c>
      <c r="Q353" t="n">
        <v>0</v>
      </c>
      <c r="R353" t="n">
        <v>0</v>
      </c>
      <c r="S353" t="n">
        <v>0</v>
      </c>
      <c r="T353" t="n">
        <v>0</v>
      </c>
      <c r="U353" s="2" t="inlineStr"/>
    </row>
    <row r="354" ht="15" customHeight="1">
      <c r="A354" t="inlineStr">
        <is>
          <t>A 47694-2023</t>
        </is>
      </c>
      <c r="B354" t="inlineStr">
        <is>
          <t>avverkningsanmälan</t>
        </is>
      </c>
      <c r="C354" t="inlineStr">
        <is>
          <t>Föryngringsavverkning</t>
        </is>
      </c>
      <c r="D354" s="1" t="n">
        <v>45203</v>
      </c>
      <c r="E354" s="1" t="n">
        <v>46221</v>
      </c>
      <c r="F354" t="inlineStr">
        <is>
          <t>STOCKHOLMS LÄN</t>
        </is>
      </c>
      <c r="G354" t="inlineStr">
        <is>
          <t>NORRTÄLJE</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56631-2024</t>
        </is>
      </c>
      <c r="B355" t="inlineStr">
        <is>
          <t>avverkningsanmälan</t>
        </is>
      </c>
      <c r="C355" t="inlineStr">
        <is>
          <t>Föryngringsavverkning</t>
        </is>
      </c>
      <c r="D355" s="1" t="n">
        <v>45625</v>
      </c>
      <c r="E355" s="1" t="n">
        <v>46221</v>
      </c>
      <c r="F355" t="inlineStr">
        <is>
          <t>STOCKHOLMS LÄN</t>
        </is>
      </c>
      <c r="G355" t="inlineStr">
        <is>
          <t>NORRTÄLJE</t>
        </is>
      </c>
      <c r="I355" t="n">
        <v>8.199999999999999</v>
      </c>
      <c r="J355" t="n">
        <v>0</v>
      </c>
      <c r="K355" t="n">
        <v>0</v>
      </c>
      <c r="L355" t="n">
        <v>0</v>
      </c>
      <c r="M355" t="n">
        <v>0</v>
      </c>
      <c r="N355" t="n">
        <v>0</v>
      </c>
      <c r="O355" t="n">
        <v>0</v>
      </c>
      <c r="P355" t="n">
        <v>0</v>
      </c>
      <c r="Q355" t="n">
        <v>0</v>
      </c>
      <c r="R355" t="n">
        <v>0</v>
      </c>
      <c r="S355" t="n">
        <v>0</v>
      </c>
      <c r="T355" t="n">
        <v>0</v>
      </c>
      <c r="U355" s="2" t="inlineStr"/>
    </row>
    <row r="356" ht="15" customHeight="1">
      <c r="A356" t="inlineStr">
        <is>
          <t>A 48587-2023</t>
        </is>
      </c>
      <c r="B356" t="inlineStr">
        <is>
          <t>avverkningsanmälan</t>
        </is>
      </c>
      <c r="C356" t="inlineStr">
        <is>
          <t>Föryngringsavverkning</t>
        </is>
      </c>
      <c r="D356" s="1" t="n">
        <v>45208</v>
      </c>
      <c r="E356" s="1" t="n">
        <v>46221</v>
      </c>
      <c r="F356" t="inlineStr">
        <is>
          <t>STOCKHOLMS LÄN</t>
        </is>
      </c>
      <c r="G356" t="inlineStr">
        <is>
          <t>NORRTÄLJE</t>
        </is>
      </c>
      <c r="I356" t="n">
        <v>7</v>
      </c>
      <c r="J356" t="n">
        <v>0</v>
      </c>
      <c r="K356" t="n">
        <v>0</v>
      </c>
      <c r="L356" t="n">
        <v>0</v>
      </c>
      <c r="M356" t="n">
        <v>0</v>
      </c>
      <c r="N356" t="n">
        <v>0</v>
      </c>
      <c r="O356" t="n">
        <v>0</v>
      </c>
      <c r="P356" t="n">
        <v>0</v>
      </c>
      <c r="Q356" t="n">
        <v>0</v>
      </c>
      <c r="R356" t="n">
        <v>0</v>
      </c>
      <c r="S356" t="n">
        <v>0</v>
      </c>
      <c r="T356" t="n">
        <v>0</v>
      </c>
      <c r="U356" s="2" t="inlineStr"/>
    </row>
    <row r="357" ht="15" customHeight="1">
      <c r="A357" t="inlineStr">
        <is>
          <t>A 42955-2022</t>
        </is>
      </c>
      <c r="B357" t="inlineStr">
        <is>
          <t>avverkningsanmälan</t>
        </is>
      </c>
      <c r="C357" t="inlineStr">
        <is>
          <t>Föryngringsavverkning</t>
        </is>
      </c>
      <c r="D357" s="1" t="n">
        <v>44833</v>
      </c>
      <c r="E357" s="1" t="n">
        <v>46221</v>
      </c>
      <c r="F357" t="inlineStr">
        <is>
          <t>STOCKHOLMS LÄN</t>
        </is>
      </c>
      <c r="G357" t="inlineStr">
        <is>
          <t>NORRTÄLJE</t>
        </is>
      </c>
      <c r="I357" t="n">
        <v>13.1</v>
      </c>
      <c r="J357" t="n">
        <v>0</v>
      </c>
      <c r="K357" t="n">
        <v>0</v>
      </c>
      <c r="L357" t="n">
        <v>0</v>
      </c>
      <c r="M357" t="n">
        <v>0</v>
      </c>
      <c r="N357" t="n">
        <v>0</v>
      </c>
      <c r="O357" t="n">
        <v>0</v>
      </c>
      <c r="P357" t="n">
        <v>0</v>
      </c>
      <c r="Q357" t="n">
        <v>0</v>
      </c>
      <c r="R357" t="n">
        <v>0</v>
      </c>
      <c r="S357" t="n">
        <v>0</v>
      </c>
      <c r="T357" t="n">
        <v>0</v>
      </c>
      <c r="U357" s="2" t="inlineStr"/>
    </row>
    <row r="358" ht="15" customHeight="1">
      <c r="A358" t="inlineStr">
        <is>
          <t>A 40656-2022</t>
        </is>
      </c>
      <c r="B358" t="inlineStr">
        <is>
          <t>avverkningsanmälan</t>
        </is>
      </c>
      <c r="C358" t="inlineStr">
        <is>
          <t>Föryngringsavverkning</t>
        </is>
      </c>
      <c r="D358" s="1" t="n">
        <v>44824</v>
      </c>
      <c r="E358" s="1" t="n">
        <v>46221</v>
      </c>
      <c r="F358" t="inlineStr">
        <is>
          <t>STOCKHOLMS LÄN</t>
        </is>
      </c>
      <c r="G358" t="inlineStr">
        <is>
          <t>NORRTÄLJE</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53600-2022</t>
        </is>
      </c>
      <c r="B359" t="inlineStr">
        <is>
          <t>avverkningsanmälan</t>
        </is>
      </c>
      <c r="C359" t="inlineStr">
        <is>
          <t>Föryngringsavverkning</t>
        </is>
      </c>
      <c r="D359" s="1" t="n">
        <v>44879</v>
      </c>
      <c r="E359" s="1" t="n">
        <v>46221</v>
      </c>
      <c r="F359" t="inlineStr">
        <is>
          <t>STOCKHOLMS LÄN</t>
        </is>
      </c>
      <c r="G359" t="inlineStr">
        <is>
          <t>NORRTÄLJE</t>
        </is>
      </c>
      <c r="I359" t="n">
        <v>4.3</v>
      </c>
      <c r="J359" t="n">
        <v>0</v>
      </c>
      <c r="K359" t="n">
        <v>0</v>
      </c>
      <c r="L359" t="n">
        <v>0</v>
      </c>
      <c r="M359" t="n">
        <v>0</v>
      </c>
      <c r="N359" t="n">
        <v>0</v>
      </c>
      <c r="O359" t="n">
        <v>0</v>
      </c>
      <c r="P359" t="n">
        <v>0</v>
      </c>
      <c r="Q359" t="n">
        <v>0</v>
      </c>
      <c r="R359" t="n">
        <v>0</v>
      </c>
      <c r="S359" t="n">
        <v>0</v>
      </c>
      <c r="T359" t="n">
        <v>0</v>
      </c>
      <c r="U359" s="2" t="inlineStr"/>
    </row>
    <row r="360" ht="15" customHeight="1">
      <c r="A360" t="inlineStr">
        <is>
          <t>A 51046-2023</t>
        </is>
      </c>
      <c r="B360" t="inlineStr">
        <is>
          <t>avverkningsanmälan</t>
        </is>
      </c>
      <c r="C360" t="inlineStr">
        <is>
          <t>Föryngringsavverkning</t>
        </is>
      </c>
      <c r="D360" s="1" t="n">
        <v>45218</v>
      </c>
      <c r="E360" s="1" t="n">
        <v>46221</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5158-2024</t>
        </is>
      </c>
      <c r="B361" t="inlineStr">
        <is>
          <t>avverkningsanmälan</t>
        </is>
      </c>
      <c r="C361" t="inlineStr">
        <is>
          <t>Föryngringsavverkning</t>
        </is>
      </c>
      <c r="D361" s="1" t="n">
        <v>45330</v>
      </c>
      <c r="E361" s="1" t="n">
        <v>46221</v>
      </c>
      <c r="F361" t="inlineStr">
        <is>
          <t>STOCKHOLMS LÄN</t>
        </is>
      </c>
      <c r="G361" t="inlineStr">
        <is>
          <t>NORRTÄLJE</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8736-2024</t>
        </is>
      </c>
      <c r="B362" t="inlineStr">
        <is>
          <t>avverkningsanmälan</t>
        </is>
      </c>
      <c r="C362" t="inlineStr">
        <is>
          <t>Föryngringsavverkning</t>
        </is>
      </c>
      <c r="D362" s="1" t="n">
        <v>45356</v>
      </c>
      <c r="E362" s="1" t="n">
        <v>46221</v>
      </c>
      <c r="F362" t="inlineStr">
        <is>
          <t>STOCKHOLMS LÄN</t>
        </is>
      </c>
      <c r="G362" t="inlineStr">
        <is>
          <t>NORRTÄLJE</t>
        </is>
      </c>
      <c r="I362" t="n">
        <v>8.9</v>
      </c>
      <c r="J362" t="n">
        <v>0</v>
      </c>
      <c r="K362" t="n">
        <v>0</v>
      </c>
      <c r="L362" t="n">
        <v>0</v>
      </c>
      <c r="M362" t="n">
        <v>0</v>
      </c>
      <c r="N362" t="n">
        <v>0</v>
      </c>
      <c r="O362" t="n">
        <v>0</v>
      </c>
      <c r="P362" t="n">
        <v>0</v>
      </c>
      <c r="Q362" t="n">
        <v>0</v>
      </c>
      <c r="R362" t="n">
        <v>0</v>
      </c>
      <c r="S362" t="n">
        <v>0</v>
      </c>
      <c r="T362" t="n">
        <v>0</v>
      </c>
      <c r="U362" s="2" t="inlineStr"/>
    </row>
    <row r="363" ht="15" customHeight="1">
      <c r="A363" t="inlineStr">
        <is>
          <t>A 45255-2022</t>
        </is>
      </c>
      <c r="B363" t="inlineStr">
        <is>
          <t>avverkningsanmälan</t>
        </is>
      </c>
      <c r="C363" t="inlineStr">
        <is>
          <t>Föryngringsavverkning</t>
        </is>
      </c>
      <c r="D363" s="1" t="n">
        <v>44840</v>
      </c>
      <c r="E363" s="1" t="n">
        <v>46221</v>
      </c>
      <c r="F363" t="inlineStr">
        <is>
          <t>STOCKHOLMS LÄN</t>
        </is>
      </c>
      <c r="G363" t="inlineStr">
        <is>
          <t>NORRTÄLJE</t>
        </is>
      </c>
      <c r="I363" t="n">
        <v>4.1</v>
      </c>
      <c r="J363" t="n">
        <v>0</v>
      </c>
      <c r="K363" t="n">
        <v>0</v>
      </c>
      <c r="L363" t="n">
        <v>0</v>
      </c>
      <c r="M363" t="n">
        <v>0</v>
      </c>
      <c r="N363" t="n">
        <v>0</v>
      </c>
      <c r="O363" t="n">
        <v>0</v>
      </c>
      <c r="P363" t="n">
        <v>0</v>
      </c>
      <c r="Q363" t="n">
        <v>0</v>
      </c>
      <c r="R363" t="n">
        <v>0</v>
      </c>
      <c r="S363" t="n">
        <v>0</v>
      </c>
      <c r="T363" t="n">
        <v>0</v>
      </c>
      <c r="U363" s="2" t="inlineStr"/>
    </row>
    <row r="364" ht="15" customHeight="1">
      <c r="A364" t="inlineStr">
        <is>
          <t>A 19915-2024</t>
        </is>
      </c>
      <c r="B364" t="inlineStr">
        <is>
          <t>avverkningsanmälan</t>
        </is>
      </c>
      <c r="C364" t="inlineStr">
        <is>
          <t>Föryngringsavverkning</t>
        </is>
      </c>
      <c r="D364" s="1" t="n">
        <v>45433</v>
      </c>
      <c r="E364" s="1" t="n">
        <v>46221</v>
      </c>
      <c r="F364" t="inlineStr">
        <is>
          <t>STOCKHOLMS LÄN</t>
        </is>
      </c>
      <c r="G364" t="inlineStr">
        <is>
          <t>NORRTÄLJE</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20428-2024</t>
        </is>
      </c>
      <c r="B365" t="inlineStr">
        <is>
          <t>avverkningsanmälan</t>
        </is>
      </c>
      <c r="C365" t="inlineStr">
        <is>
          <t>Föryngringsavverkning</t>
        </is>
      </c>
      <c r="D365" s="1" t="n">
        <v>45435</v>
      </c>
      <c r="E365" s="1" t="n">
        <v>46221</v>
      </c>
      <c r="F365" t="inlineStr">
        <is>
          <t>STOCKHOLMS LÄN</t>
        </is>
      </c>
      <c r="G365" t="inlineStr">
        <is>
          <t>NORRTÄLJE</t>
        </is>
      </c>
      <c r="I365" t="n">
        <v>3.7</v>
      </c>
      <c r="J365" t="n">
        <v>0</v>
      </c>
      <c r="K365" t="n">
        <v>0</v>
      </c>
      <c r="L365" t="n">
        <v>0</v>
      </c>
      <c r="M365" t="n">
        <v>0</v>
      </c>
      <c r="N365" t="n">
        <v>0</v>
      </c>
      <c r="O365" t="n">
        <v>0</v>
      </c>
      <c r="P365" t="n">
        <v>0</v>
      </c>
      <c r="Q365" t="n">
        <v>0</v>
      </c>
      <c r="R365" t="n">
        <v>0</v>
      </c>
      <c r="S365" t="n">
        <v>0</v>
      </c>
      <c r="T365" t="n">
        <v>0</v>
      </c>
      <c r="U365" s="2" t="inlineStr"/>
    </row>
    <row r="366" ht="15" customHeight="1">
      <c r="A366" t="inlineStr">
        <is>
          <t>A 23149-2024</t>
        </is>
      </c>
      <c r="B366" t="inlineStr">
        <is>
          <t>avverkningsanmälan</t>
        </is>
      </c>
      <c r="C366" t="inlineStr">
        <is>
          <t>Föryngringsavverkning</t>
        </is>
      </c>
      <c r="D366" s="1" t="n">
        <v>45450</v>
      </c>
      <c r="E366" s="1" t="n">
        <v>46221</v>
      </c>
      <c r="F366" t="inlineStr">
        <is>
          <t>STOCKHOLMS LÄN</t>
        </is>
      </c>
      <c r="G366" t="inlineStr">
        <is>
          <t>NORRTÄLJE</t>
        </is>
      </c>
      <c r="H366" t="inlineStr">
        <is>
          <t>Kommuner</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23151-2024</t>
        </is>
      </c>
      <c r="B367" t="inlineStr">
        <is>
          <t>avverkningsanmälan</t>
        </is>
      </c>
      <c r="C367" t="inlineStr">
        <is>
          <t>Föryngringsavverkning</t>
        </is>
      </c>
      <c r="D367" s="1" t="n">
        <v>45450</v>
      </c>
      <c r="E367" s="1" t="n">
        <v>46221</v>
      </c>
      <c r="F367" t="inlineStr">
        <is>
          <t>STOCKHOLMS LÄN</t>
        </is>
      </c>
      <c r="G367" t="inlineStr">
        <is>
          <t>NORRTÄLJE</t>
        </is>
      </c>
      <c r="H367" t="inlineStr">
        <is>
          <t>Kommuner</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55755-2023</t>
        </is>
      </c>
      <c r="B368" t="inlineStr">
        <is>
          <t>avverkningsanmälan</t>
        </is>
      </c>
      <c r="C368" t="inlineStr">
        <is>
          <t>Föryngringsavverkning</t>
        </is>
      </c>
      <c r="D368" s="1" t="n">
        <v>45239</v>
      </c>
      <c r="E368" s="1" t="n">
        <v>46221</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57037-2022</t>
        </is>
      </c>
      <c r="B369" t="inlineStr">
        <is>
          <t>avverkningsanmälan</t>
        </is>
      </c>
      <c r="C369" t="inlineStr">
        <is>
          <t>Avverkning för annat ändamål</t>
        </is>
      </c>
      <c r="D369" s="1" t="n">
        <v>44895</v>
      </c>
      <c r="E369" s="1" t="n">
        <v>46221</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16913-2025</t>
        </is>
      </c>
      <c r="B370" t="inlineStr">
        <is>
          <t>avverkningsanmälan</t>
        </is>
      </c>
      <c r="C370" t="inlineStr">
        <is>
          <t>Föryngringsavverkning</t>
        </is>
      </c>
      <c r="D370" s="1" t="n">
        <v>45755</v>
      </c>
      <c r="E370" s="1" t="n">
        <v>46221</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45549-2022</t>
        </is>
      </c>
      <c r="B371" t="inlineStr">
        <is>
          <t>avverkningsanmälan</t>
        </is>
      </c>
      <c r="C371" t="inlineStr">
        <is>
          <t>Föryngringsavverkning</t>
        </is>
      </c>
      <c r="D371" s="1" t="n">
        <v>44845</v>
      </c>
      <c r="E371" s="1" t="n">
        <v>46221</v>
      </c>
      <c r="F371" t="inlineStr">
        <is>
          <t>STOCKHOLMS LÄN</t>
        </is>
      </c>
      <c r="G371" t="inlineStr">
        <is>
          <t>NORRTÄLJE</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40761-2024</t>
        </is>
      </c>
      <c r="B372" t="inlineStr">
        <is>
          <t>avverkningsanmälan</t>
        </is>
      </c>
      <c r="C372" t="inlineStr">
        <is>
          <t>Föryngringsavverkning</t>
        </is>
      </c>
      <c r="D372" s="1" t="n">
        <v>45558</v>
      </c>
      <c r="E372" s="1" t="n">
        <v>46221</v>
      </c>
      <c r="F372" t="inlineStr">
        <is>
          <t>STOCKHOLMS LÄN</t>
        </is>
      </c>
      <c r="G372" t="inlineStr">
        <is>
          <t>NORRTÄLJE</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23692-2024</t>
        </is>
      </c>
      <c r="B373" t="inlineStr">
        <is>
          <t>avverkningsanmälan</t>
        </is>
      </c>
      <c r="C373" t="inlineStr">
        <is>
          <t>Föryngringsavverkning</t>
        </is>
      </c>
      <c r="D373" s="1" t="n">
        <v>45454</v>
      </c>
      <c r="E373" s="1" t="n">
        <v>46221</v>
      </c>
      <c r="F373" t="inlineStr">
        <is>
          <t>STOCKHOLMS LÄN</t>
        </is>
      </c>
      <c r="G373" t="inlineStr">
        <is>
          <t>NORRTÄLJE</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47431-2023</t>
        </is>
      </c>
      <c r="B374" t="inlineStr">
        <is>
          <t>avverkningsanmälan</t>
        </is>
      </c>
      <c r="C374" t="inlineStr">
        <is>
          <t>Avverkning för annat ändamål</t>
        </is>
      </c>
      <c r="D374" s="1" t="n">
        <v>45202</v>
      </c>
      <c r="E374" s="1" t="n">
        <v>46221</v>
      </c>
      <c r="F374" t="inlineStr">
        <is>
          <t>STOCKHOLMS LÄN</t>
        </is>
      </c>
      <c r="G374" t="inlineStr">
        <is>
          <t>NORRTÄLJE</t>
        </is>
      </c>
      <c r="H374" t="inlineStr">
        <is>
          <t>Naturvårdsverket</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23262-2023</t>
        </is>
      </c>
      <c r="B375" t="inlineStr">
        <is>
          <t>avverkningsanmälan</t>
        </is>
      </c>
      <c r="C375" t="inlineStr">
        <is>
          <t>Föryngringsavverkning</t>
        </is>
      </c>
      <c r="D375" s="1" t="n">
        <v>45075</v>
      </c>
      <c r="E375" s="1" t="n">
        <v>46221</v>
      </c>
      <c r="F375" t="inlineStr">
        <is>
          <t>STOCKHOLMS LÄN</t>
        </is>
      </c>
      <c r="G375" t="inlineStr">
        <is>
          <t>NORRTÄLJE</t>
        </is>
      </c>
      <c r="H375" t="inlineStr">
        <is>
          <t>Kommuner</t>
        </is>
      </c>
      <c r="I375" t="n">
        <v>1.9</v>
      </c>
      <c r="J375" t="n">
        <v>0</v>
      </c>
      <c r="K375" t="n">
        <v>0</v>
      </c>
      <c r="L375" t="n">
        <v>0</v>
      </c>
      <c r="M375" t="n">
        <v>0</v>
      </c>
      <c r="N375" t="n">
        <v>0</v>
      </c>
      <c r="O375" t="n">
        <v>0</v>
      </c>
      <c r="P375" t="n">
        <v>0</v>
      </c>
      <c r="Q375" t="n">
        <v>0</v>
      </c>
      <c r="R375" t="n">
        <v>0</v>
      </c>
      <c r="S375" t="n">
        <v>0</v>
      </c>
      <c r="T375" t="n">
        <v>0</v>
      </c>
      <c r="U375" s="2" t="inlineStr"/>
    </row>
    <row r="376" ht="15" customHeight="1">
      <c r="A376" t="inlineStr">
        <is>
          <t>A 23268-2023</t>
        </is>
      </c>
      <c r="B376" t="inlineStr">
        <is>
          <t>avverkningsanmälan</t>
        </is>
      </c>
      <c r="C376" t="inlineStr">
        <is>
          <t>Föryngringsavverkning</t>
        </is>
      </c>
      <c r="D376" s="1" t="n">
        <v>45075</v>
      </c>
      <c r="E376" s="1" t="n">
        <v>46221</v>
      </c>
      <c r="F376" t="inlineStr">
        <is>
          <t>STOCKHOLMS LÄN</t>
        </is>
      </c>
      <c r="G376" t="inlineStr">
        <is>
          <t>NORRTÄLJE</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23270-2023</t>
        </is>
      </c>
      <c r="B377" t="inlineStr">
        <is>
          <t>avverkningsanmälan</t>
        </is>
      </c>
      <c r="C377" t="inlineStr">
        <is>
          <t>Föryngringsavverkning</t>
        </is>
      </c>
      <c r="D377" s="1" t="n">
        <v>45075</v>
      </c>
      <c r="E377" s="1" t="n">
        <v>46221</v>
      </c>
      <c r="F377" t="inlineStr">
        <is>
          <t>STOCKHOLMS LÄN</t>
        </is>
      </c>
      <c r="G377" t="inlineStr">
        <is>
          <t>NORRTÄLJE</t>
        </is>
      </c>
      <c r="I377" t="n">
        <v>12.3</v>
      </c>
      <c r="J377" t="n">
        <v>0</v>
      </c>
      <c r="K377" t="n">
        <v>0</v>
      </c>
      <c r="L377" t="n">
        <v>0</v>
      </c>
      <c r="M377" t="n">
        <v>0</v>
      </c>
      <c r="N377" t="n">
        <v>0</v>
      </c>
      <c r="O377" t="n">
        <v>0</v>
      </c>
      <c r="P377" t="n">
        <v>0</v>
      </c>
      <c r="Q377" t="n">
        <v>0</v>
      </c>
      <c r="R377" t="n">
        <v>0</v>
      </c>
      <c r="S377" t="n">
        <v>0</v>
      </c>
      <c r="T377" t="n">
        <v>0</v>
      </c>
      <c r="U377" s="2" t="inlineStr"/>
    </row>
    <row r="378" ht="15" customHeight="1">
      <c r="A378" t="inlineStr">
        <is>
          <t>A 50569-2022</t>
        </is>
      </c>
      <c r="B378" t="inlineStr">
        <is>
          <t>avverkningsanmälan</t>
        </is>
      </c>
      <c r="C378" t="inlineStr">
        <is>
          <t>Föryngringsavverkning</t>
        </is>
      </c>
      <c r="D378" s="1" t="n">
        <v>44866</v>
      </c>
      <c r="E378" s="1" t="n">
        <v>46221</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23274-2023</t>
        </is>
      </c>
      <c r="B379" t="inlineStr">
        <is>
          <t>avverkningsanmälan</t>
        </is>
      </c>
      <c r="C379" t="inlineStr">
        <is>
          <t>Föryngringsavverkning</t>
        </is>
      </c>
      <c r="D379" s="1" t="n">
        <v>45075</v>
      </c>
      <c r="E379" s="1" t="n">
        <v>46221</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37550-2022</t>
        </is>
      </c>
      <c r="B380" t="inlineStr">
        <is>
          <t>avverkningsanmälan</t>
        </is>
      </c>
      <c r="C380" t="inlineStr">
        <is>
          <t>Avverkning för annat ändamål</t>
        </is>
      </c>
      <c r="D380" s="1" t="n">
        <v>44809</v>
      </c>
      <c r="E380" s="1" t="n">
        <v>46221</v>
      </c>
      <c r="F380" t="inlineStr">
        <is>
          <t>STOCKHOLMS LÄN</t>
        </is>
      </c>
      <c r="G380" t="inlineStr">
        <is>
          <t>NORRTÄLJE</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5732-2023</t>
        </is>
      </c>
      <c r="B381" t="inlineStr">
        <is>
          <t>avverkningsanmälan</t>
        </is>
      </c>
      <c r="C381" t="inlineStr">
        <is>
          <t>Föryngringsavverkning</t>
        </is>
      </c>
      <c r="D381" s="1" t="n">
        <v>44962</v>
      </c>
      <c r="E381" s="1" t="n">
        <v>46221</v>
      </c>
      <c r="F381" t="inlineStr">
        <is>
          <t>STOCKHOLMS LÄN</t>
        </is>
      </c>
      <c r="G381" t="inlineStr">
        <is>
          <t>NORRTÄLJE</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60224-2023</t>
        </is>
      </c>
      <c r="B382" t="inlineStr">
        <is>
          <t>avverkningsanmälan</t>
        </is>
      </c>
      <c r="C382" t="inlineStr">
        <is>
          <t>Avverkning för annat ändamål</t>
        </is>
      </c>
      <c r="D382" s="1" t="n">
        <v>45257</v>
      </c>
      <c r="E382" s="1" t="n">
        <v>46221</v>
      </c>
      <c r="F382" t="inlineStr">
        <is>
          <t>STOCKHOLMS LÄN</t>
        </is>
      </c>
      <c r="G382" t="inlineStr">
        <is>
          <t>NORRTÄLJE</t>
        </is>
      </c>
      <c r="I382" t="n">
        <v>8.1</v>
      </c>
      <c r="J382" t="n">
        <v>0</v>
      </c>
      <c r="K382" t="n">
        <v>0</v>
      </c>
      <c r="L382" t="n">
        <v>0</v>
      </c>
      <c r="M382" t="n">
        <v>0</v>
      </c>
      <c r="N382" t="n">
        <v>0</v>
      </c>
      <c r="O382" t="n">
        <v>0</v>
      </c>
      <c r="P382" t="n">
        <v>0</v>
      </c>
      <c r="Q382" t="n">
        <v>0</v>
      </c>
      <c r="R382" t="n">
        <v>0</v>
      </c>
      <c r="S382" t="n">
        <v>0</v>
      </c>
      <c r="T382" t="n">
        <v>0</v>
      </c>
      <c r="U382" s="2" t="inlineStr"/>
    </row>
    <row r="383" ht="15" customHeight="1">
      <c r="A383" t="inlineStr">
        <is>
          <t>A 25609-2023</t>
        </is>
      </c>
      <c r="B383" t="inlineStr">
        <is>
          <t>avverkningsanmälan</t>
        </is>
      </c>
      <c r="C383" t="inlineStr">
        <is>
          <t>Föryngringsavverkning</t>
        </is>
      </c>
      <c r="D383" s="1" t="n">
        <v>45089</v>
      </c>
      <c r="E383" s="1" t="n">
        <v>46221</v>
      </c>
      <c r="F383" t="inlineStr">
        <is>
          <t>STOCKHOLMS LÄN</t>
        </is>
      </c>
      <c r="G383" t="inlineStr">
        <is>
          <t>NORRTÄLJE</t>
        </is>
      </c>
      <c r="I383" t="n">
        <v>2.5</v>
      </c>
      <c r="J383" t="n">
        <v>0</v>
      </c>
      <c r="K383" t="n">
        <v>0</v>
      </c>
      <c r="L383" t="n">
        <v>0</v>
      </c>
      <c r="M383" t="n">
        <v>0</v>
      </c>
      <c r="N383" t="n">
        <v>0</v>
      </c>
      <c r="O383" t="n">
        <v>0</v>
      </c>
      <c r="P383" t="n">
        <v>0</v>
      </c>
      <c r="Q383" t="n">
        <v>0</v>
      </c>
      <c r="R383" t="n">
        <v>0</v>
      </c>
      <c r="S383" t="n">
        <v>0</v>
      </c>
      <c r="T383" t="n">
        <v>0</v>
      </c>
      <c r="U383" s="2" t="inlineStr"/>
    </row>
    <row r="384" ht="15" customHeight="1">
      <c r="A384" t="inlineStr">
        <is>
          <t>A 22833-2024</t>
        </is>
      </c>
      <c r="B384" t="inlineStr">
        <is>
          <t>avverkningsanmälan</t>
        </is>
      </c>
      <c r="C384" t="inlineStr">
        <is>
          <t>Föryngringsavverkning</t>
        </is>
      </c>
      <c r="D384" s="1" t="n">
        <v>45448</v>
      </c>
      <c r="E384" s="1" t="n">
        <v>46221</v>
      </c>
      <c r="F384" t="inlineStr">
        <is>
          <t>STOCKHOLMS LÄN</t>
        </is>
      </c>
      <c r="G384" t="inlineStr">
        <is>
          <t>NORRTÄLJE</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32071-2023</t>
        </is>
      </c>
      <c r="B385" t="inlineStr">
        <is>
          <t>avverkningsanmälan</t>
        </is>
      </c>
      <c r="C385" t="inlineStr">
        <is>
          <t>Föryngringsavverkning</t>
        </is>
      </c>
      <c r="D385" s="1" t="n">
        <v>45119</v>
      </c>
      <c r="E385" s="1" t="n">
        <v>46221</v>
      </c>
      <c r="F385" t="inlineStr">
        <is>
          <t>STOCKHOLMS LÄN</t>
        </is>
      </c>
      <c r="G385" t="inlineStr">
        <is>
          <t>NORRTÄLJE</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25681-2024</t>
        </is>
      </c>
      <c r="B386" t="inlineStr">
        <is>
          <t>avverkningsanmälan</t>
        </is>
      </c>
      <c r="C386" t="inlineStr">
        <is>
          <t>Föryngringsavverkning</t>
        </is>
      </c>
      <c r="D386" s="1" t="n">
        <v>45463</v>
      </c>
      <c r="E386" s="1" t="n">
        <v>46221</v>
      </c>
      <c r="F386" t="inlineStr">
        <is>
          <t>STOCKHOLMS LÄN</t>
        </is>
      </c>
      <c r="G386" t="inlineStr">
        <is>
          <t>NORRTÄLJE</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21386-2023</t>
        </is>
      </c>
      <c r="B387" t="inlineStr">
        <is>
          <t>avverkningsanmälan</t>
        </is>
      </c>
      <c r="C387" t="inlineStr">
        <is>
          <t>Föryngringsavverkning</t>
        </is>
      </c>
      <c r="D387" s="1" t="n">
        <v>45063</v>
      </c>
      <c r="E387" s="1" t="n">
        <v>46221</v>
      </c>
      <c r="F387" t="inlineStr">
        <is>
          <t>STOCKHOLMS LÄN</t>
        </is>
      </c>
      <c r="G387" t="inlineStr">
        <is>
          <t>NORRTÄLJE</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4593-2023</t>
        </is>
      </c>
      <c r="B388" t="inlineStr">
        <is>
          <t>avverkningsanmälan</t>
        </is>
      </c>
      <c r="C388" t="inlineStr">
        <is>
          <t>Avverkning för annat ändamål</t>
        </is>
      </c>
      <c r="D388" s="1" t="n">
        <v>44956</v>
      </c>
      <c r="E388" s="1" t="n">
        <v>46221</v>
      </c>
      <c r="F388" t="inlineStr">
        <is>
          <t>STOCKHOLMS LÄN</t>
        </is>
      </c>
      <c r="G388" t="inlineStr">
        <is>
          <t>NORRTÄLJE</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54396-2021</t>
        </is>
      </c>
      <c r="B389" t="inlineStr">
        <is>
          <t>avverkningsanmälan</t>
        </is>
      </c>
      <c r="C389" t="inlineStr">
        <is>
          <t>Föryngringsavverkning</t>
        </is>
      </c>
      <c r="D389" s="1" t="n">
        <v>44472</v>
      </c>
      <c r="E389" s="1" t="n">
        <v>46221</v>
      </c>
      <c r="F389" t="inlineStr">
        <is>
          <t>STOCKHOLMS LÄN</t>
        </is>
      </c>
      <c r="G389" t="inlineStr">
        <is>
          <t>NORRTÄLJE</t>
        </is>
      </c>
      <c r="I389" t="n">
        <v>2.6</v>
      </c>
      <c r="J389" t="n">
        <v>0</v>
      </c>
      <c r="K389" t="n">
        <v>0</v>
      </c>
      <c r="L389" t="n">
        <v>0</v>
      </c>
      <c r="M389" t="n">
        <v>0</v>
      </c>
      <c r="N389" t="n">
        <v>0</v>
      </c>
      <c r="O389" t="n">
        <v>0</v>
      </c>
      <c r="P389" t="n">
        <v>0</v>
      </c>
      <c r="Q389" t="n">
        <v>0</v>
      </c>
      <c r="R389" t="n">
        <v>0</v>
      </c>
      <c r="S389" t="n">
        <v>0</v>
      </c>
      <c r="T389" t="n">
        <v>0</v>
      </c>
      <c r="U389" s="2" t="inlineStr"/>
    </row>
    <row r="390" ht="15" customHeight="1">
      <c r="A390" t="inlineStr">
        <is>
          <t>A 26115-2024</t>
        </is>
      </c>
      <c r="B390" t="inlineStr">
        <is>
          <t>avverkningsanmälan</t>
        </is>
      </c>
      <c r="C390" t="inlineStr">
        <is>
          <t>Föryngringsavverkning</t>
        </is>
      </c>
      <c r="D390" s="1" t="n">
        <v>45468</v>
      </c>
      <c r="E390" s="1" t="n">
        <v>46221</v>
      </c>
      <c r="F390" t="inlineStr">
        <is>
          <t>STOCKHOLMS LÄN</t>
        </is>
      </c>
      <c r="G390" t="inlineStr">
        <is>
          <t>NORRTÄLJE</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54273-2021</t>
        </is>
      </c>
      <c r="B391" t="inlineStr">
        <is>
          <t>avverkningsanmälan</t>
        </is>
      </c>
      <c r="C391" t="inlineStr">
        <is>
          <t>Föryngringsavverkning</t>
        </is>
      </c>
      <c r="D391" s="1" t="n">
        <v>44470</v>
      </c>
      <c r="E391" s="1" t="n">
        <v>46221</v>
      </c>
      <c r="F391" t="inlineStr">
        <is>
          <t>STOCKHOLMS LÄN</t>
        </is>
      </c>
      <c r="G391" t="inlineStr">
        <is>
          <t>NORRTÄLJE</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43212-2022</t>
        </is>
      </c>
      <c r="B392" t="inlineStr">
        <is>
          <t>avverkningsanmälan</t>
        </is>
      </c>
      <c r="C392" t="inlineStr">
        <is>
          <t>Föryngringsavverkning</t>
        </is>
      </c>
      <c r="D392" s="1" t="n">
        <v>44834</v>
      </c>
      <c r="E392" s="1" t="n">
        <v>46221</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6537-2024</t>
        </is>
      </c>
      <c r="B393" t="inlineStr">
        <is>
          <t>avverkningsanmälan</t>
        </is>
      </c>
      <c r="C393" t="inlineStr">
        <is>
          <t>Föryngringsavverkning</t>
        </is>
      </c>
      <c r="D393" s="1" t="n">
        <v>45341</v>
      </c>
      <c r="E393" s="1" t="n">
        <v>46221</v>
      </c>
      <c r="F393" t="inlineStr">
        <is>
          <t>STOCKHOLMS LÄN</t>
        </is>
      </c>
      <c r="G393" t="inlineStr">
        <is>
          <t>NORRTÄLJE</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4035-2023</t>
        </is>
      </c>
      <c r="B394" t="inlineStr">
        <is>
          <t>avverkningsanmälan</t>
        </is>
      </c>
      <c r="C394" t="inlineStr">
        <is>
          <t>Föryngringsavverkning</t>
        </is>
      </c>
      <c r="D394" s="1" t="n">
        <v>44952</v>
      </c>
      <c r="E394" s="1" t="n">
        <v>46221</v>
      </c>
      <c r="F394" t="inlineStr">
        <is>
          <t>STOCKHOLMS LÄN</t>
        </is>
      </c>
      <c r="G394" t="inlineStr">
        <is>
          <t>NORRTÄLJE</t>
        </is>
      </c>
      <c r="H394" t="inlineStr">
        <is>
          <t>Holmen skog AB</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34295-2024</t>
        </is>
      </c>
      <c r="B395" t="inlineStr">
        <is>
          <t>avverkningsanmälan</t>
        </is>
      </c>
      <c r="C395" t="inlineStr">
        <is>
          <t>Föryngringsavverkning</t>
        </is>
      </c>
      <c r="D395" s="1" t="n">
        <v>45524</v>
      </c>
      <c r="E395" s="1" t="n">
        <v>46221</v>
      </c>
      <c r="F395" t="inlineStr">
        <is>
          <t>STOCKHOLMS LÄN</t>
        </is>
      </c>
      <c r="G395" t="inlineStr">
        <is>
          <t>NORRTÄLJE</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26644-2024</t>
        </is>
      </c>
      <c r="B396" t="inlineStr">
        <is>
          <t>avverkningsanmälan</t>
        </is>
      </c>
      <c r="C396" t="inlineStr">
        <is>
          <t>Föryngringsavverkning</t>
        </is>
      </c>
      <c r="D396" s="1" t="n">
        <v>45469</v>
      </c>
      <c r="E396" s="1" t="n">
        <v>46221</v>
      </c>
      <c r="F396" t="inlineStr">
        <is>
          <t>STOCKHOLMS LÄN</t>
        </is>
      </c>
      <c r="G396" t="inlineStr">
        <is>
          <t>NORRTÄLJE</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26668-2024</t>
        </is>
      </c>
      <c r="B397" t="inlineStr">
        <is>
          <t>avverkningsanmälan</t>
        </is>
      </c>
      <c r="C397" t="inlineStr">
        <is>
          <t>Avverkning för att bevara och utveckla /försöksver</t>
        </is>
      </c>
      <c r="D397" s="1" t="n">
        <v>45469</v>
      </c>
      <c r="E397" s="1" t="n">
        <v>46221</v>
      </c>
      <c r="F397" t="inlineStr">
        <is>
          <t>STOCKHOLMS LÄN</t>
        </is>
      </c>
      <c r="G397" t="inlineStr">
        <is>
          <t>NORRTÄLJE</t>
        </is>
      </c>
      <c r="I397" t="n">
        <v>4.8</v>
      </c>
      <c r="J397" t="n">
        <v>0</v>
      </c>
      <c r="K397" t="n">
        <v>0</v>
      </c>
      <c r="L397" t="n">
        <v>0</v>
      </c>
      <c r="M397" t="n">
        <v>0</v>
      </c>
      <c r="N397" t="n">
        <v>0</v>
      </c>
      <c r="O397" t="n">
        <v>0</v>
      </c>
      <c r="P397" t="n">
        <v>0</v>
      </c>
      <c r="Q397" t="n">
        <v>0</v>
      </c>
      <c r="R397" t="n">
        <v>0</v>
      </c>
      <c r="S397" t="n">
        <v>0</v>
      </c>
      <c r="T397" t="n">
        <v>0</v>
      </c>
      <c r="U397" s="2" t="inlineStr"/>
    </row>
    <row r="398" ht="15" customHeight="1">
      <c r="A398" t="inlineStr">
        <is>
          <t>A 37085-2021</t>
        </is>
      </c>
      <c r="B398" t="inlineStr">
        <is>
          <t>avverkningsanmälan</t>
        </is>
      </c>
      <c r="C398" t="inlineStr">
        <is>
          <t>Föryngringsavverkning</t>
        </is>
      </c>
      <c r="D398" s="1" t="n">
        <v>44395</v>
      </c>
      <c r="E398" s="1" t="n">
        <v>46221</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46988-2024</t>
        </is>
      </c>
      <c r="B399" t="inlineStr">
        <is>
          <t>avverkningsanmälan</t>
        </is>
      </c>
      <c r="C399" t="inlineStr">
        <is>
          <t>Föryngringsavverkning</t>
        </is>
      </c>
      <c r="D399" s="1" t="n">
        <v>45586</v>
      </c>
      <c r="E399" s="1" t="n">
        <v>46221</v>
      </c>
      <c r="F399" t="inlineStr">
        <is>
          <t>STOCKHOLMS LÄN</t>
        </is>
      </c>
      <c r="G399" t="inlineStr">
        <is>
          <t>NORRTÄLJE</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71552-2021</t>
        </is>
      </c>
      <c r="B400" t="inlineStr">
        <is>
          <t>avverkningsanmälan</t>
        </is>
      </c>
      <c r="C400" t="inlineStr">
        <is>
          <t>Föryngringsavverkning</t>
        </is>
      </c>
      <c r="D400" s="1" t="n">
        <v>44540</v>
      </c>
      <c r="E400" s="1" t="n">
        <v>46221</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60525-2022</t>
        </is>
      </c>
      <c r="B401" t="inlineStr">
        <is>
          <t>avverkningsanmälan</t>
        </is>
      </c>
      <c r="C401" t="inlineStr">
        <is>
          <t>Föryngringsavverkning</t>
        </is>
      </c>
      <c r="D401" s="1" t="n">
        <v>44904</v>
      </c>
      <c r="E401" s="1" t="n">
        <v>46221</v>
      </c>
      <c r="F401" t="inlineStr">
        <is>
          <t>STOCKHOLMS LÄN</t>
        </is>
      </c>
      <c r="G401" t="inlineStr">
        <is>
          <t>NORRTÄLJE</t>
        </is>
      </c>
      <c r="I401" t="n">
        <v>13.4</v>
      </c>
      <c r="J401" t="n">
        <v>0</v>
      </c>
      <c r="K401" t="n">
        <v>0</v>
      </c>
      <c r="L401" t="n">
        <v>0</v>
      </c>
      <c r="M401" t="n">
        <v>0</v>
      </c>
      <c r="N401" t="n">
        <v>0</v>
      </c>
      <c r="O401" t="n">
        <v>0</v>
      </c>
      <c r="P401" t="n">
        <v>0</v>
      </c>
      <c r="Q401" t="n">
        <v>0</v>
      </c>
      <c r="R401" t="n">
        <v>0</v>
      </c>
      <c r="S401" t="n">
        <v>0</v>
      </c>
      <c r="T401" t="n">
        <v>0</v>
      </c>
      <c r="U401" s="2" t="inlineStr"/>
    </row>
    <row r="402" ht="15" customHeight="1">
      <c r="A402" t="inlineStr">
        <is>
          <t>A 17382-2024</t>
        </is>
      </c>
      <c r="B402" t="inlineStr">
        <is>
          <t>avverkningsanmälan</t>
        </is>
      </c>
      <c r="C402" t="inlineStr">
        <is>
          <t>Föryngringsavverkning</t>
        </is>
      </c>
      <c r="D402" s="1" t="n">
        <v>45414</v>
      </c>
      <c r="E402" s="1" t="n">
        <v>46221</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25557-2023</t>
        </is>
      </c>
      <c r="B403" t="inlineStr">
        <is>
          <t>avverkningsanmälan</t>
        </is>
      </c>
      <c r="C403" t="inlineStr">
        <is>
          <t>Föryngringsavverkning</t>
        </is>
      </c>
      <c r="D403" s="1" t="n">
        <v>45089</v>
      </c>
      <c r="E403" s="1" t="n">
        <v>46221</v>
      </c>
      <c r="F403" t="inlineStr">
        <is>
          <t>STOCKHOLMS LÄN</t>
        </is>
      </c>
      <c r="G403" t="inlineStr">
        <is>
          <t>NORRTÄLJE</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58302-2022</t>
        </is>
      </c>
      <c r="B404" t="inlineStr">
        <is>
          <t>avverkningsanmälan</t>
        </is>
      </c>
      <c r="C404" t="inlineStr">
        <is>
          <t>Föryngringsavverkning</t>
        </is>
      </c>
      <c r="D404" s="1" t="n">
        <v>44901</v>
      </c>
      <c r="E404" s="1" t="n">
        <v>46221</v>
      </c>
      <c r="F404" t="inlineStr">
        <is>
          <t>STOCKHOLMS LÄN</t>
        </is>
      </c>
      <c r="G404" t="inlineStr">
        <is>
          <t>NORRTÄLJE</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23269-2023</t>
        </is>
      </c>
      <c r="B405" t="inlineStr">
        <is>
          <t>avverkningsanmälan</t>
        </is>
      </c>
      <c r="C405" t="inlineStr">
        <is>
          <t>Föryngringsavverkning</t>
        </is>
      </c>
      <c r="D405" s="1" t="n">
        <v>45075</v>
      </c>
      <c r="E405" s="1" t="n">
        <v>46221</v>
      </c>
      <c r="F405" t="inlineStr">
        <is>
          <t>STOCKHOLMS LÄN</t>
        </is>
      </c>
      <c r="G405" t="inlineStr">
        <is>
          <t>NORRTÄLJE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23060-2023</t>
        </is>
      </c>
      <c r="B406" t="inlineStr">
        <is>
          <t>avverkningsanmälan</t>
        </is>
      </c>
      <c r="C406" t="inlineStr">
        <is>
          <t>Föryngringsavverkning</t>
        </is>
      </c>
      <c r="D406" s="1" t="n">
        <v>45075</v>
      </c>
      <c r="E406" s="1" t="n">
        <v>46221</v>
      </c>
      <c r="F406" t="inlineStr">
        <is>
          <t>STOCKHOLMS LÄN</t>
        </is>
      </c>
      <c r="G406" t="inlineStr">
        <is>
          <t>NORRTÄLJE</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47259-2024</t>
        </is>
      </c>
      <c r="B407" t="inlineStr">
        <is>
          <t>avverkningsanmälan</t>
        </is>
      </c>
      <c r="C407" t="inlineStr">
        <is>
          <t>Föryngringsavverkning</t>
        </is>
      </c>
      <c r="D407" s="1" t="n">
        <v>45586</v>
      </c>
      <c r="E407" s="1" t="n">
        <v>46221</v>
      </c>
      <c r="F407" t="inlineStr">
        <is>
          <t>STOCKHOLMS LÄN</t>
        </is>
      </c>
      <c r="G407" t="inlineStr">
        <is>
          <t>NORRTÄLJE</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52743-2024</t>
        </is>
      </c>
      <c r="B408" t="inlineStr">
        <is>
          <t>avverkningsanmälan</t>
        </is>
      </c>
      <c r="C408" t="inlineStr">
        <is>
          <t>Föryngringsavverkning</t>
        </is>
      </c>
      <c r="D408" s="1" t="n">
        <v>45610</v>
      </c>
      <c r="E408" s="1" t="n">
        <v>46221</v>
      </c>
      <c r="F408" t="inlineStr">
        <is>
          <t>STOCKHOLMS LÄN</t>
        </is>
      </c>
      <c r="G408" t="inlineStr">
        <is>
          <t>NORRTÄLJE</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11499-2023</t>
        </is>
      </c>
      <c r="B409" t="inlineStr">
        <is>
          <t>avverkningsanmälan</t>
        </is>
      </c>
      <c r="C409" t="inlineStr">
        <is>
          <t>Föryngringsavverkning</t>
        </is>
      </c>
      <c r="D409" s="1" t="n">
        <v>44993</v>
      </c>
      <c r="E409" s="1" t="n">
        <v>46221</v>
      </c>
      <c r="F409" t="inlineStr">
        <is>
          <t>STOCKHOLMS LÄN</t>
        </is>
      </c>
      <c r="G409" t="inlineStr">
        <is>
          <t>NORRTÄLJE</t>
        </is>
      </c>
      <c r="H409" t="inlineStr">
        <is>
          <t>Holmen skog AB</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3549-2026</t>
        </is>
      </c>
      <c r="B410" t="inlineStr">
        <is>
          <t>avverkningsanmälan</t>
        </is>
      </c>
      <c r="C410" t="inlineStr">
        <is>
          <t>Föryngringsavverkning</t>
        </is>
      </c>
      <c r="D410" s="1" t="n">
        <v>46042</v>
      </c>
      <c r="E410" s="1" t="n">
        <v>46221</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35640-2024</t>
        </is>
      </c>
      <c r="B411" t="inlineStr">
        <is>
          <t>avverkningsanmälan</t>
        </is>
      </c>
      <c r="C411" t="inlineStr">
        <is>
          <t>Föryngringsavverkning</t>
        </is>
      </c>
      <c r="D411" s="1" t="n">
        <v>45531</v>
      </c>
      <c r="E411" s="1" t="n">
        <v>46221</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67990-2021</t>
        </is>
      </c>
      <c r="B412" t="inlineStr">
        <is>
          <t>avverkningsanmälan</t>
        </is>
      </c>
      <c r="C412" t="inlineStr">
        <is>
          <t>Föryngringsavverkning</t>
        </is>
      </c>
      <c r="D412" s="1" t="n">
        <v>44525</v>
      </c>
      <c r="E412" s="1" t="n">
        <v>46221</v>
      </c>
      <c r="F412" t="inlineStr">
        <is>
          <t>STOCKHOLMS LÄN</t>
        </is>
      </c>
      <c r="G412" t="inlineStr">
        <is>
          <t>NORRTÄLJE</t>
        </is>
      </c>
      <c r="H412" t="inlineStr">
        <is>
          <t>Sveaskog</t>
        </is>
      </c>
      <c r="I412" t="n">
        <v>7.8</v>
      </c>
      <c r="J412" t="n">
        <v>0</v>
      </c>
      <c r="K412" t="n">
        <v>0</v>
      </c>
      <c r="L412" t="n">
        <v>0</v>
      </c>
      <c r="M412" t="n">
        <v>0</v>
      </c>
      <c r="N412" t="n">
        <v>0</v>
      </c>
      <c r="O412" t="n">
        <v>0</v>
      </c>
      <c r="P412" t="n">
        <v>0</v>
      </c>
      <c r="Q412" t="n">
        <v>0</v>
      </c>
      <c r="R412" t="n">
        <v>0</v>
      </c>
      <c r="S412" t="n">
        <v>0</v>
      </c>
      <c r="T412" t="n">
        <v>0</v>
      </c>
      <c r="U412" s="2" t="inlineStr"/>
    </row>
    <row r="413" ht="15" customHeight="1">
      <c r="A413" t="inlineStr">
        <is>
          <t>A 23061-2025</t>
        </is>
      </c>
      <c r="B413" t="inlineStr">
        <is>
          <t>avverkningsanmälan</t>
        </is>
      </c>
      <c r="C413" t="inlineStr">
        <is>
          <t>Föryngringsavverkning</t>
        </is>
      </c>
      <c r="D413" s="1" t="n">
        <v>45790</v>
      </c>
      <c r="E413" s="1" t="n">
        <v>46221</v>
      </c>
      <c r="F413" t="inlineStr">
        <is>
          <t>STOCKHOLMS LÄN</t>
        </is>
      </c>
      <c r="G413" t="inlineStr">
        <is>
          <t>NORRTÄLJE</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26747-2025</t>
        </is>
      </c>
      <c r="B414" t="inlineStr">
        <is>
          <t>avverkningsanmälan</t>
        </is>
      </c>
      <c r="C414" t="inlineStr">
        <is>
          <t>Föryngringsavverkning</t>
        </is>
      </c>
      <c r="D414" s="1" t="n">
        <v>45810</v>
      </c>
      <c r="E414" s="1" t="n">
        <v>46221</v>
      </c>
      <c r="F414" t="inlineStr">
        <is>
          <t>STOCKHOLMS LÄN</t>
        </is>
      </c>
      <c r="G414" t="inlineStr">
        <is>
          <t>NORRTÄLJE</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65499-2021</t>
        </is>
      </c>
      <c r="B415" t="inlineStr">
        <is>
          <t>avverkningsanmälan</t>
        </is>
      </c>
      <c r="C415" t="inlineStr">
        <is>
          <t>Föryngringsavverkning</t>
        </is>
      </c>
      <c r="D415" s="1" t="n">
        <v>44516</v>
      </c>
      <c r="E415" s="1" t="n">
        <v>46221</v>
      </c>
      <c r="F415" t="inlineStr">
        <is>
          <t>STOCKHOLMS LÄN</t>
        </is>
      </c>
      <c r="G415" t="inlineStr">
        <is>
          <t>NORRTÄLJE</t>
        </is>
      </c>
      <c r="H415" t="inlineStr">
        <is>
          <t>Kommuner</t>
        </is>
      </c>
      <c r="I415" t="n">
        <v>5.2</v>
      </c>
      <c r="J415" t="n">
        <v>0</v>
      </c>
      <c r="K415" t="n">
        <v>0</v>
      </c>
      <c r="L415" t="n">
        <v>0</v>
      </c>
      <c r="M415" t="n">
        <v>0</v>
      </c>
      <c r="N415" t="n">
        <v>0</v>
      </c>
      <c r="O415" t="n">
        <v>0</v>
      </c>
      <c r="P415" t="n">
        <v>0</v>
      </c>
      <c r="Q415" t="n">
        <v>0</v>
      </c>
      <c r="R415" t="n">
        <v>0</v>
      </c>
      <c r="S415" t="n">
        <v>0</v>
      </c>
      <c r="T415" t="n">
        <v>0</v>
      </c>
      <c r="U415" s="2" t="inlineStr"/>
    </row>
    <row r="416" ht="15" customHeight="1">
      <c r="A416" t="inlineStr">
        <is>
          <t>A 26702-2025</t>
        </is>
      </c>
      <c r="B416" t="inlineStr">
        <is>
          <t>avverkningsanmälan</t>
        </is>
      </c>
      <c r="C416" t="inlineStr">
        <is>
          <t>Föryngringsavverkning</t>
        </is>
      </c>
      <c r="D416" s="1" t="n">
        <v>45810</v>
      </c>
      <c r="E416" s="1" t="n">
        <v>46221</v>
      </c>
      <c r="F416" t="inlineStr">
        <is>
          <t>STOCKHOLMS LÄN</t>
        </is>
      </c>
      <c r="G416" t="inlineStr">
        <is>
          <t>NORRTÄLJE</t>
        </is>
      </c>
      <c r="I416" t="n">
        <v>7.3</v>
      </c>
      <c r="J416" t="n">
        <v>0</v>
      </c>
      <c r="K416" t="n">
        <v>0</v>
      </c>
      <c r="L416" t="n">
        <v>0</v>
      </c>
      <c r="M416" t="n">
        <v>0</v>
      </c>
      <c r="N416" t="n">
        <v>0</v>
      </c>
      <c r="O416" t="n">
        <v>0</v>
      </c>
      <c r="P416" t="n">
        <v>0</v>
      </c>
      <c r="Q416" t="n">
        <v>0</v>
      </c>
      <c r="R416" t="n">
        <v>0</v>
      </c>
      <c r="S416" t="n">
        <v>0</v>
      </c>
      <c r="T416" t="n">
        <v>0</v>
      </c>
      <c r="U416" s="2" t="inlineStr"/>
    </row>
    <row r="417" ht="15" customHeight="1">
      <c r="A417" t="inlineStr">
        <is>
          <t>A 21696-2024</t>
        </is>
      </c>
      <c r="B417" t="inlineStr">
        <is>
          <t>avverkningsanmälan</t>
        </is>
      </c>
      <c r="C417" t="inlineStr">
        <is>
          <t>Föryngringsavverkning</t>
        </is>
      </c>
      <c r="D417" s="1" t="n">
        <v>45442</v>
      </c>
      <c r="E417" s="1" t="n">
        <v>46221</v>
      </c>
      <c r="F417" t="inlineStr">
        <is>
          <t>STOCKHOLMS LÄN</t>
        </is>
      </c>
      <c r="G417" t="inlineStr">
        <is>
          <t>NORRTÄLJE</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37136-2023</t>
        </is>
      </c>
      <c r="B418" t="inlineStr">
        <is>
          <t>avverkningsanmälan</t>
        </is>
      </c>
      <c r="C418" t="inlineStr">
        <is>
          <t>Föryngringsavverkning</t>
        </is>
      </c>
      <c r="D418" s="1" t="n">
        <v>45155</v>
      </c>
      <c r="E418" s="1" t="n">
        <v>46221</v>
      </c>
      <c r="F418" t="inlineStr">
        <is>
          <t>STOCKHOLMS LÄN</t>
        </is>
      </c>
      <c r="G418" t="inlineStr">
        <is>
          <t>NORRTÄLJE</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26708-2025</t>
        </is>
      </c>
      <c r="B419" t="inlineStr">
        <is>
          <t>avverkningsanmälan</t>
        </is>
      </c>
      <c r="C419" t="inlineStr">
        <is>
          <t>Föryngringsavverkning</t>
        </is>
      </c>
      <c r="D419" s="1" t="n">
        <v>45810</v>
      </c>
      <c r="E419" s="1" t="n">
        <v>46221</v>
      </c>
      <c r="F419" t="inlineStr">
        <is>
          <t>STOCKHOLMS LÄN</t>
        </is>
      </c>
      <c r="G419" t="inlineStr">
        <is>
          <t>NORRTÄLJE</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1740-2023</t>
        </is>
      </c>
      <c r="B420" t="inlineStr">
        <is>
          <t>avverkningsanmälan</t>
        </is>
      </c>
      <c r="C420" t="inlineStr">
        <is>
          <t>Föryngringsavverkning</t>
        </is>
      </c>
      <c r="D420" s="1" t="n">
        <v>44938</v>
      </c>
      <c r="E420" s="1" t="n">
        <v>46221</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27040-2025</t>
        </is>
      </c>
      <c r="B421" t="inlineStr">
        <is>
          <t>avverkningsanmälan</t>
        </is>
      </c>
      <c r="C421" t="inlineStr">
        <is>
          <t>Föryngringsavverkning</t>
        </is>
      </c>
      <c r="D421" s="1" t="n">
        <v>45811</v>
      </c>
      <c r="E421" s="1" t="n">
        <v>46221</v>
      </c>
      <c r="F421" t="inlineStr">
        <is>
          <t>STOCKHOLMS LÄN</t>
        </is>
      </c>
      <c r="G421" t="inlineStr">
        <is>
          <t>NORRTÄLJE</t>
        </is>
      </c>
      <c r="I421" t="n">
        <v>4.3</v>
      </c>
      <c r="J421" t="n">
        <v>0</v>
      </c>
      <c r="K421" t="n">
        <v>0</v>
      </c>
      <c r="L421" t="n">
        <v>0</v>
      </c>
      <c r="M421" t="n">
        <v>0</v>
      </c>
      <c r="N421" t="n">
        <v>0</v>
      </c>
      <c r="O421" t="n">
        <v>0</v>
      </c>
      <c r="P421" t="n">
        <v>0</v>
      </c>
      <c r="Q421" t="n">
        <v>0</v>
      </c>
      <c r="R421" t="n">
        <v>0</v>
      </c>
      <c r="S421" t="n">
        <v>0</v>
      </c>
      <c r="T421" t="n">
        <v>0</v>
      </c>
      <c r="U421" s="2" t="inlineStr"/>
    </row>
    <row r="422" ht="15" customHeight="1">
      <c r="A422" t="inlineStr">
        <is>
          <t>A 27700-2025</t>
        </is>
      </c>
      <c r="B422" t="inlineStr">
        <is>
          <t>avverkningsanmälan</t>
        </is>
      </c>
      <c r="C422" t="inlineStr">
        <is>
          <t>Föryngringsavverkning</t>
        </is>
      </c>
      <c r="D422" s="1" t="n">
        <v>45813</v>
      </c>
      <c r="E422" s="1" t="n">
        <v>46221</v>
      </c>
      <c r="F422" t="inlineStr">
        <is>
          <t>STOCKHOLMS LÄN</t>
        </is>
      </c>
      <c r="G422" t="inlineStr">
        <is>
          <t>NORRTÄLJE</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11901-2024</t>
        </is>
      </c>
      <c r="B423" t="inlineStr">
        <is>
          <t>avverkningsanmälan</t>
        </is>
      </c>
      <c r="C423" t="inlineStr">
        <is>
          <t>Föryngringsavverkning</t>
        </is>
      </c>
      <c r="D423" s="1" t="n">
        <v>45376</v>
      </c>
      <c r="E423" s="1" t="n">
        <v>46221</v>
      </c>
      <c r="F423" t="inlineStr">
        <is>
          <t>STOCKHOLMS LÄN</t>
        </is>
      </c>
      <c r="G423" t="inlineStr">
        <is>
          <t>NORRTÄLJE</t>
        </is>
      </c>
      <c r="H423" t="inlineStr">
        <is>
          <t>Holmen skog AB</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58492-2022</t>
        </is>
      </c>
      <c r="B424" t="inlineStr">
        <is>
          <t>avverkningsanmälan</t>
        </is>
      </c>
      <c r="C424" t="inlineStr">
        <is>
          <t>Föryngringsavverkning</t>
        </is>
      </c>
      <c r="D424" s="1" t="n">
        <v>44902</v>
      </c>
      <c r="E424" s="1" t="n">
        <v>46221</v>
      </c>
      <c r="F424" t="inlineStr">
        <is>
          <t>STOCKHOLMS LÄN</t>
        </is>
      </c>
      <c r="G424" t="inlineStr">
        <is>
          <t>NORRTÄLJE</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27818-2025</t>
        </is>
      </c>
      <c r="B425" t="inlineStr">
        <is>
          <t>avverkningsanmälan</t>
        </is>
      </c>
      <c r="C425" t="inlineStr">
        <is>
          <t>Avverkning för annat ändamål</t>
        </is>
      </c>
      <c r="D425" s="1" t="n">
        <v>45817</v>
      </c>
      <c r="E425" s="1" t="n">
        <v>46221</v>
      </c>
      <c r="F425" t="inlineStr">
        <is>
          <t>STOCKHOLMS LÄN</t>
        </is>
      </c>
      <c r="G425" t="inlineStr">
        <is>
          <t>NORRTÄLJE</t>
        </is>
      </c>
      <c r="H425" t="inlineStr">
        <is>
          <t>Sveaskog</t>
        </is>
      </c>
      <c r="I425" t="n">
        <v>0.3</v>
      </c>
      <c r="J425" t="n">
        <v>0</v>
      </c>
      <c r="K425" t="n">
        <v>0</v>
      </c>
      <c r="L425" t="n">
        <v>0</v>
      </c>
      <c r="M425" t="n">
        <v>0</v>
      </c>
      <c r="N425" t="n">
        <v>0</v>
      </c>
      <c r="O425" t="n">
        <v>0</v>
      </c>
      <c r="P425" t="n">
        <v>0</v>
      </c>
      <c r="Q425" t="n">
        <v>0</v>
      </c>
      <c r="R425" t="n">
        <v>0</v>
      </c>
      <c r="S425" t="n">
        <v>0</v>
      </c>
      <c r="T425" t="n">
        <v>0</v>
      </c>
      <c r="U425" s="2" t="inlineStr"/>
    </row>
    <row r="426" ht="15" customHeight="1">
      <c r="A426" t="inlineStr">
        <is>
          <t>A 3933-2026</t>
        </is>
      </c>
      <c r="B426" t="inlineStr">
        <is>
          <t>avverkningsanmälan</t>
        </is>
      </c>
      <c r="C426" t="inlineStr">
        <is>
          <t>Föryngringsavverkning</t>
        </is>
      </c>
      <c r="D426" s="1" t="n">
        <v>46043</v>
      </c>
      <c r="E426" s="1" t="n">
        <v>46221</v>
      </c>
      <c r="F426" t="inlineStr">
        <is>
          <t>STOCKHOLMS LÄN</t>
        </is>
      </c>
      <c r="G426" t="inlineStr">
        <is>
          <t>NORRTÄLJE</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15528-2025</t>
        </is>
      </c>
      <c r="B427" t="inlineStr">
        <is>
          <t>avverkningsanmälan</t>
        </is>
      </c>
      <c r="C427" t="inlineStr">
        <is>
          <t>Föryngringsavverkning</t>
        </is>
      </c>
      <c r="D427" s="1" t="n">
        <v>45747</v>
      </c>
      <c r="E427" s="1" t="n">
        <v>46221</v>
      </c>
      <c r="F427" t="inlineStr">
        <is>
          <t>STOCKHOLMS LÄN</t>
        </is>
      </c>
      <c r="G427" t="inlineStr">
        <is>
          <t>NORRTÄLJE</t>
        </is>
      </c>
      <c r="I427" t="n">
        <v>10</v>
      </c>
      <c r="J427" t="n">
        <v>0</v>
      </c>
      <c r="K427" t="n">
        <v>0</v>
      </c>
      <c r="L427" t="n">
        <v>0</v>
      </c>
      <c r="M427" t="n">
        <v>0</v>
      </c>
      <c r="N427" t="n">
        <v>0</v>
      </c>
      <c r="O427" t="n">
        <v>0</v>
      </c>
      <c r="P427" t="n">
        <v>0</v>
      </c>
      <c r="Q427" t="n">
        <v>0</v>
      </c>
      <c r="R427" t="n">
        <v>0</v>
      </c>
      <c r="S427" t="n">
        <v>0</v>
      </c>
      <c r="T427" t="n">
        <v>0</v>
      </c>
      <c r="U427" s="2" t="inlineStr"/>
    </row>
    <row r="428" ht="15" customHeight="1">
      <c r="A428" t="inlineStr">
        <is>
          <t>A 4581-2025</t>
        </is>
      </c>
      <c r="B428" t="inlineStr">
        <is>
          <t>avverkningsanmälan</t>
        </is>
      </c>
      <c r="C428" t="inlineStr">
        <is>
          <t>Föryngringsavverkning</t>
        </is>
      </c>
      <c r="D428" s="1" t="n">
        <v>45687</v>
      </c>
      <c r="E428" s="1" t="n">
        <v>46221</v>
      </c>
      <c r="F428" t="inlineStr">
        <is>
          <t>STOCKHOLMS LÄN</t>
        </is>
      </c>
      <c r="G428" t="inlineStr">
        <is>
          <t>NORRTÄLJE</t>
        </is>
      </c>
      <c r="H428" t="inlineStr">
        <is>
          <t>Holmen skog AB</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39152-2025</t>
        </is>
      </c>
      <c r="B429" t="inlineStr">
        <is>
          <t>avverkningsanmälan</t>
        </is>
      </c>
      <c r="C429" t="inlineStr">
        <is>
          <t>Avverkning för annat ändamål</t>
        </is>
      </c>
      <c r="D429" s="1" t="n">
        <v>45888</v>
      </c>
      <c r="E429" s="1" t="n">
        <v>46221</v>
      </c>
      <c r="F429" t="inlineStr">
        <is>
          <t>STOCKHOLMS LÄN</t>
        </is>
      </c>
      <c r="G429" t="inlineStr">
        <is>
          <t>NORRTÄLJE</t>
        </is>
      </c>
      <c r="I429" t="n">
        <v>4.6</v>
      </c>
      <c r="J429" t="n">
        <v>0</v>
      </c>
      <c r="K429" t="n">
        <v>0</v>
      </c>
      <c r="L429" t="n">
        <v>0</v>
      </c>
      <c r="M429" t="n">
        <v>0</v>
      </c>
      <c r="N429" t="n">
        <v>0</v>
      </c>
      <c r="O429" t="n">
        <v>0</v>
      </c>
      <c r="P429" t="n">
        <v>0</v>
      </c>
      <c r="Q429" t="n">
        <v>0</v>
      </c>
      <c r="R429" t="n">
        <v>0</v>
      </c>
      <c r="S429" t="n">
        <v>0</v>
      </c>
      <c r="T429" t="n">
        <v>0</v>
      </c>
      <c r="U429" s="2" t="inlineStr"/>
    </row>
    <row r="430" ht="15" customHeight="1">
      <c r="A430" t="inlineStr">
        <is>
          <t>A 62398-2022</t>
        </is>
      </c>
      <c r="B430" t="inlineStr">
        <is>
          <t>avverkningsanmälan</t>
        </is>
      </c>
      <c r="C430" t="inlineStr">
        <is>
          <t>Föryngringsavverkning</t>
        </is>
      </c>
      <c r="D430" s="1" t="n">
        <v>44923</v>
      </c>
      <c r="E430" s="1" t="n">
        <v>46221</v>
      </c>
      <c r="F430" t="inlineStr">
        <is>
          <t>STOCKHOLMS LÄN</t>
        </is>
      </c>
      <c r="G430" t="inlineStr">
        <is>
          <t>NORRTÄLJE</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17039-2024</t>
        </is>
      </c>
      <c r="B431" t="inlineStr">
        <is>
          <t>avverkningsanmälan</t>
        </is>
      </c>
      <c r="C431" t="inlineStr">
        <is>
          <t>Föryngringsavverkning</t>
        </is>
      </c>
      <c r="D431" s="1" t="n">
        <v>45412</v>
      </c>
      <c r="E431" s="1" t="n">
        <v>46221</v>
      </c>
      <c r="F431" t="inlineStr">
        <is>
          <t>STOCKHOLMS LÄN</t>
        </is>
      </c>
      <c r="G431" t="inlineStr">
        <is>
          <t>NORRTÄLJE</t>
        </is>
      </c>
      <c r="I431" t="n">
        <v>5.9</v>
      </c>
      <c r="J431" t="n">
        <v>0</v>
      </c>
      <c r="K431" t="n">
        <v>0</v>
      </c>
      <c r="L431" t="n">
        <v>0</v>
      </c>
      <c r="M431" t="n">
        <v>0</v>
      </c>
      <c r="N431" t="n">
        <v>0</v>
      </c>
      <c r="O431" t="n">
        <v>0</v>
      </c>
      <c r="P431" t="n">
        <v>0</v>
      </c>
      <c r="Q431" t="n">
        <v>0</v>
      </c>
      <c r="R431" t="n">
        <v>0</v>
      </c>
      <c r="S431" t="n">
        <v>0</v>
      </c>
      <c r="T431" t="n">
        <v>0</v>
      </c>
      <c r="U431" s="2" t="inlineStr"/>
    </row>
    <row r="432" ht="15" customHeight="1">
      <c r="A432" t="inlineStr">
        <is>
          <t>A 3509-2022</t>
        </is>
      </c>
      <c r="B432" t="inlineStr">
        <is>
          <t>avverkningsanmälan</t>
        </is>
      </c>
      <c r="C432" t="inlineStr">
        <is>
          <t>Föryngringsavverkning</t>
        </is>
      </c>
      <c r="D432" s="1" t="n">
        <v>44585</v>
      </c>
      <c r="E432" s="1" t="n">
        <v>46221</v>
      </c>
      <c r="F432" t="inlineStr">
        <is>
          <t>STOCKHOLMS LÄN</t>
        </is>
      </c>
      <c r="G432" t="inlineStr">
        <is>
          <t>NORRTÄLJE</t>
        </is>
      </c>
      <c r="H432" t="inlineStr">
        <is>
          <t>Kommuner</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39692-2025</t>
        </is>
      </c>
      <c r="B433" t="inlineStr">
        <is>
          <t>avverkningsanmälan</t>
        </is>
      </c>
      <c r="C433" t="inlineStr">
        <is>
          <t>Föryngringsavverkning</t>
        </is>
      </c>
      <c r="D433" s="1" t="n">
        <v>45890</v>
      </c>
      <c r="E433" s="1" t="n">
        <v>46221</v>
      </c>
      <c r="F433" t="inlineStr">
        <is>
          <t>STOCKHOLMS LÄN</t>
        </is>
      </c>
      <c r="G433" t="inlineStr">
        <is>
          <t>NORRTÄLJE</t>
        </is>
      </c>
      <c r="I433" t="n">
        <v>10.5</v>
      </c>
      <c r="J433" t="n">
        <v>0</v>
      </c>
      <c r="K433" t="n">
        <v>0</v>
      </c>
      <c r="L433" t="n">
        <v>0</v>
      </c>
      <c r="M433" t="n">
        <v>0</v>
      </c>
      <c r="N433" t="n">
        <v>0</v>
      </c>
      <c r="O433" t="n">
        <v>0</v>
      </c>
      <c r="P433" t="n">
        <v>0</v>
      </c>
      <c r="Q433" t="n">
        <v>0</v>
      </c>
      <c r="R433" t="n">
        <v>0</v>
      </c>
      <c r="S433" t="n">
        <v>0</v>
      </c>
      <c r="T433" t="n">
        <v>0</v>
      </c>
      <c r="U433" s="2" t="inlineStr"/>
    </row>
    <row r="434" ht="15" customHeight="1">
      <c r="A434" t="inlineStr">
        <is>
          <t>A 27677-2025</t>
        </is>
      </c>
      <c r="B434" t="inlineStr">
        <is>
          <t>avverkningsanmälan</t>
        </is>
      </c>
      <c r="C434" t="inlineStr">
        <is>
          <t>Föryngringsavverkning</t>
        </is>
      </c>
      <c r="D434" s="1" t="n">
        <v>45813</v>
      </c>
      <c r="E434" s="1" t="n">
        <v>46221</v>
      </c>
      <c r="F434" t="inlineStr">
        <is>
          <t>STOCKHOLMS LÄN</t>
        </is>
      </c>
      <c r="G434" t="inlineStr">
        <is>
          <t>NORRTÄLJE</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39669-2024</t>
        </is>
      </c>
      <c r="B435" t="inlineStr">
        <is>
          <t>avverkningsanmälan</t>
        </is>
      </c>
      <c r="C435" t="inlineStr">
        <is>
          <t>Föryngringsavverkning</t>
        </is>
      </c>
      <c r="D435" s="1" t="n">
        <v>45552</v>
      </c>
      <c r="E435" s="1" t="n">
        <v>46221</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29250-2025</t>
        </is>
      </c>
      <c r="B436" t="inlineStr">
        <is>
          <t>avverkningsanmälan</t>
        </is>
      </c>
      <c r="C436" t="inlineStr">
        <is>
          <t>Föryngringsavverkning</t>
        </is>
      </c>
      <c r="D436" s="1" t="n">
        <v>45824</v>
      </c>
      <c r="E436" s="1" t="n">
        <v>46221</v>
      </c>
      <c r="F436" t="inlineStr">
        <is>
          <t>STOCKHOLMS LÄN</t>
        </is>
      </c>
      <c r="G436" t="inlineStr">
        <is>
          <t>NORRTÄLJE</t>
        </is>
      </c>
      <c r="H436" t="inlineStr">
        <is>
          <t>Sveaskog</t>
        </is>
      </c>
      <c r="I436" t="n">
        <v>6.4</v>
      </c>
      <c r="J436" t="n">
        <v>0</v>
      </c>
      <c r="K436" t="n">
        <v>0</v>
      </c>
      <c r="L436" t="n">
        <v>0</v>
      </c>
      <c r="M436" t="n">
        <v>0</v>
      </c>
      <c r="N436" t="n">
        <v>0</v>
      </c>
      <c r="O436" t="n">
        <v>0</v>
      </c>
      <c r="P436" t="n">
        <v>0</v>
      </c>
      <c r="Q436" t="n">
        <v>0</v>
      </c>
      <c r="R436" t="n">
        <v>0</v>
      </c>
      <c r="S436" t="n">
        <v>0</v>
      </c>
      <c r="T436" t="n">
        <v>0</v>
      </c>
      <c r="U436" s="2" t="inlineStr"/>
    </row>
    <row r="437" ht="15" customHeight="1">
      <c r="A437" t="inlineStr">
        <is>
          <t>A 2982-2023</t>
        </is>
      </c>
      <c r="B437" t="inlineStr">
        <is>
          <t>avverkningsanmälan</t>
        </is>
      </c>
      <c r="C437" t="inlineStr">
        <is>
          <t>Föryngringsavverkning</t>
        </is>
      </c>
      <c r="D437" s="1" t="n">
        <v>44945</v>
      </c>
      <c r="E437" s="1" t="n">
        <v>46221</v>
      </c>
      <c r="F437" t="inlineStr">
        <is>
          <t>STOCKHOLMS LÄN</t>
        </is>
      </c>
      <c r="G437" t="inlineStr">
        <is>
          <t>NORRTÄLJE</t>
        </is>
      </c>
      <c r="I437" t="n">
        <v>3.3</v>
      </c>
      <c r="J437" t="n">
        <v>0</v>
      </c>
      <c r="K437" t="n">
        <v>0</v>
      </c>
      <c r="L437" t="n">
        <v>0</v>
      </c>
      <c r="M437" t="n">
        <v>0</v>
      </c>
      <c r="N437" t="n">
        <v>0</v>
      </c>
      <c r="O437" t="n">
        <v>0</v>
      </c>
      <c r="P437" t="n">
        <v>0</v>
      </c>
      <c r="Q437" t="n">
        <v>0</v>
      </c>
      <c r="R437" t="n">
        <v>0</v>
      </c>
      <c r="S437" t="n">
        <v>0</v>
      </c>
      <c r="T437" t="n">
        <v>0</v>
      </c>
      <c r="U437" s="2" t="inlineStr"/>
    </row>
    <row r="438" ht="15" customHeight="1">
      <c r="A438" t="inlineStr">
        <is>
          <t>A 1448-2023</t>
        </is>
      </c>
      <c r="B438" t="inlineStr">
        <is>
          <t>avverkningsanmälan</t>
        </is>
      </c>
      <c r="C438" t="inlineStr">
        <is>
          <t>Avverkning för annat ändamål</t>
        </is>
      </c>
      <c r="D438" s="1" t="n">
        <v>44937</v>
      </c>
      <c r="E438" s="1" t="n">
        <v>46221</v>
      </c>
      <c r="F438" t="inlineStr">
        <is>
          <t>STOCKHOLMS LÄN</t>
        </is>
      </c>
      <c r="G438" t="inlineStr">
        <is>
          <t>NORRTÄLJE</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4549-2026</t>
        </is>
      </c>
      <c r="B439" t="inlineStr">
        <is>
          <t>avverkningsanmälan</t>
        </is>
      </c>
      <c r="C439" t="inlineStr">
        <is>
          <t>Avverkning för annat ändamål</t>
        </is>
      </c>
      <c r="D439" s="1" t="n">
        <v>46047</v>
      </c>
      <c r="E439" s="1" t="n">
        <v>46221</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40230-2025</t>
        </is>
      </c>
      <c r="B440" t="inlineStr">
        <is>
          <t>avverkningsanmälan</t>
        </is>
      </c>
      <c r="C440" t="inlineStr">
        <is>
          <t>Föryngringsavverkning</t>
        </is>
      </c>
      <c r="D440" s="1" t="n">
        <v>45894</v>
      </c>
      <c r="E440" s="1" t="n">
        <v>46221</v>
      </c>
      <c r="F440" t="inlineStr">
        <is>
          <t>STOCKHOLMS LÄN</t>
        </is>
      </c>
      <c r="G440" t="inlineStr">
        <is>
          <t>NORRTÄLJE</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35127-2023</t>
        </is>
      </c>
      <c r="B441" t="inlineStr">
        <is>
          <t>avverkningsanmälan</t>
        </is>
      </c>
      <c r="C441" t="inlineStr">
        <is>
          <t>Föryngringsavverkning</t>
        </is>
      </c>
      <c r="D441" s="1" t="n">
        <v>45145</v>
      </c>
      <c r="E441" s="1" t="n">
        <v>46221</v>
      </c>
      <c r="F441" t="inlineStr">
        <is>
          <t>STOCKHOLMS LÄN</t>
        </is>
      </c>
      <c r="G441" t="inlineStr">
        <is>
          <t>NORRTÄLJE</t>
        </is>
      </c>
      <c r="I441" t="n">
        <v>4.7</v>
      </c>
      <c r="J441" t="n">
        <v>0</v>
      </c>
      <c r="K441" t="n">
        <v>0</v>
      </c>
      <c r="L441" t="n">
        <v>0</v>
      </c>
      <c r="M441" t="n">
        <v>0</v>
      </c>
      <c r="N441" t="n">
        <v>0</v>
      </c>
      <c r="O441" t="n">
        <v>0</v>
      </c>
      <c r="P441" t="n">
        <v>0</v>
      </c>
      <c r="Q441" t="n">
        <v>0</v>
      </c>
      <c r="R441" t="n">
        <v>0</v>
      </c>
      <c r="S441" t="n">
        <v>0</v>
      </c>
      <c r="T441" t="n">
        <v>0</v>
      </c>
      <c r="U441" s="2" t="inlineStr"/>
    </row>
    <row r="442" ht="15" customHeight="1">
      <c r="A442" t="inlineStr">
        <is>
          <t>A 40228-2025</t>
        </is>
      </c>
      <c r="B442" t="inlineStr">
        <is>
          <t>avverkningsanmälan</t>
        </is>
      </c>
      <c r="C442" t="inlineStr">
        <is>
          <t>Föryngringsavverkning</t>
        </is>
      </c>
      <c r="D442" s="1" t="n">
        <v>45894</v>
      </c>
      <c r="E442" s="1" t="n">
        <v>46221</v>
      </c>
      <c r="F442" t="inlineStr">
        <is>
          <t>STOCKHOLMS LÄN</t>
        </is>
      </c>
      <c r="G442" t="inlineStr">
        <is>
          <t>NORRTÄLJE</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35636-2025</t>
        </is>
      </c>
      <c r="B443" t="inlineStr">
        <is>
          <t>avverkningsanmälan</t>
        </is>
      </c>
      <c r="C443" t="inlineStr">
        <is>
          <t>Föryngringsavverkning</t>
        </is>
      </c>
      <c r="D443" s="1" t="n">
        <v>45859</v>
      </c>
      <c r="E443" s="1" t="n">
        <v>46221</v>
      </c>
      <c r="F443" t="inlineStr">
        <is>
          <t>STOCKHOLMS LÄN</t>
        </is>
      </c>
      <c r="G443" t="inlineStr">
        <is>
          <t>NORRTÄLJE</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50136-2023</t>
        </is>
      </c>
      <c r="B444" t="inlineStr">
        <is>
          <t>avverkningsanmälan</t>
        </is>
      </c>
      <c r="C444" t="inlineStr">
        <is>
          <t>Föryngringsavverkning</t>
        </is>
      </c>
      <c r="D444" s="1" t="n">
        <v>45215</v>
      </c>
      <c r="E444" s="1" t="n">
        <v>46221</v>
      </c>
      <c r="F444" t="inlineStr">
        <is>
          <t>STOCKHOLMS LÄN</t>
        </is>
      </c>
      <c r="G444" t="inlineStr">
        <is>
          <t>NORRTÄLJE</t>
        </is>
      </c>
      <c r="I444" t="n">
        <v>5.2</v>
      </c>
      <c r="J444" t="n">
        <v>0</v>
      </c>
      <c r="K444" t="n">
        <v>0</v>
      </c>
      <c r="L444" t="n">
        <v>0</v>
      </c>
      <c r="M444" t="n">
        <v>0</v>
      </c>
      <c r="N444" t="n">
        <v>0</v>
      </c>
      <c r="O444" t="n">
        <v>0</v>
      </c>
      <c r="P444" t="n">
        <v>0</v>
      </c>
      <c r="Q444" t="n">
        <v>0</v>
      </c>
      <c r="R444" t="n">
        <v>0</v>
      </c>
      <c r="S444" t="n">
        <v>0</v>
      </c>
      <c r="T444" t="n">
        <v>0</v>
      </c>
      <c r="U444" s="2" t="inlineStr"/>
    </row>
    <row r="445" ht="15" customHeight="1">
      <c r="A445" t="inlineStr">
        <is>
          <t>A 40033-2025</t>
        </is>
      </c>
      <c r="B445" t="inlineStr">
        <is>
          <t>avverkningsanmälan</t>
        </is>
      </c>
      <c r="C445" t="inlineStr">
        <is>
          <t>Föryngringsavverkning</t>
        </is>
      </c>
      <c r="D445" s="1" t="n">
        <v>45893</v>
      </c>
      <c r="E445" s="1" t="n">
        <v>46221</v>
      </c>
      <c r="F445" t="inlineStr">
        <is>
          <t>STOCKHOLMS LÄN</t>
        </is>
      </c>
      <c r="G445" t="inlineStr">
        <is>
          <t>NORRTÄLJE</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40217-2025</t>
        </is>
      </c>
      <c r="B446" t="inlineStr">
        <is>
          <t>avverkningsanmälan</t>
        </is>
      </c>
      <c r="C446" t="inlineStr">
        <is>
          <t>Föryngringsavverkning</t>
        </is>
      </c>
      <c r="D446" s="1" t="n">
        <v>45894</v>
      </c>
      <c r="E446" s="1" t="n">
        <v>46221</v>
      </c>
      <c r="F446" t="inlineStr">
        <is>
          <t>STOCKHOLMS LÄN</t>
        </is>
      </c>
      <c r="G446" t="inlineStr">
        <is>
          <t>NORRTÄLJE</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35639-2025</t>
        </is>
      </c>
      <c r="B447" t="inlineStr">
        <is>
          <t>avverkningsanmälan</t>
        </is>
      </c>
      <c r="C447" t="inlineStr">
        <is>
          <t>Föryngringsavverkning</t>
        </is>
      </c>
      <c r="D447" s="1" t="n">
        <v>45859</v>
      </c>
      <c r="E447" s="1" t="n">
        <v>46221</v>
      </c>
      <c r="F447" t="inlineStr">
        <is>
          <t>STOCKHOLMS LÄN</t>
        </is>
      </c>
      <c r="G447" t="inlineStr">
        <is>
          <t>NORRTÄLJE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40032-2025</t>
        </is>
      </c>
      <c r="B448" t="inlineStr">
        <is>
          <t>avverkningsanmälan</t>
        </is>
      </c>
      <c r="C448" t="inlineStr">
        <is>
          <t>Föryngringsavverkning</t>
        </is>
      </c>
      <c r="D448" s="1" t="n">
        <v>45893</v>
      </c>
      <c r="E448" s="1" t="n">
        <v>46221</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40097-2025</t>
        </is>
      </c>
      <c r="B449" t="inlineStr">
        <is>
          <t>avverkningsanmälan</t>
        </is>
      </c>
      <c r="C449" t="inlineStr">
        <is>
          <t>Föryngringsavverkning</t>
        </is>
      </c>
      <c r="D449" s="1" t="n">
        <v>45894</v>
      </c>
      <c r="E449" s="1" t="n">
        <v>46221</v>
      </c>
      <c r="F449" t="inlineStr">
        <is>
          <t>STOCKHOLMS LÄN</t>
        </is>
      </c>
      <c r="G449" t="inlineStr">
        <is>
          <t>NORRTÄLJE</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9654-2022</t>
        </is>
      </c>
      <c r="B450" t="inlineStr">
        <is>
          <t>avverkningsanmälan</t>
        </is>
      </c>
      <c r="C450" t="inlineStr">
        <is>
          <t>Föryngringsavverkning</t>
        </is>
      </c>
      <c r="D450" s="1" t="n">
        <v>44617</v>
      </c>
      <c r="E450" s="1" t="n">
        <v>46221</v>
      </c>
      <c r="F450" t="inlineStr">
        <is>
          <t>STOCKHOLMS LÄN</t>
        </is>
      </c>
      <c r="G450" t="inlineStr">
        <is>
          <t>NORRTÄLJE</t>
        </is>
      </c>
      <c r="I450" t="n">
        <v>6.4</v>
      </c>
      <c r="J450" t="n">
        <v>0</v>
      </c>
      <c r="K450" t="n">
        <v>0</v>
      </c>
      <c r="L450" t="n">
        <v>0</v>
      </c>
      <c r="M450" t="n">
        <v>0</v>
      </c>
      <c r="N450" t="n">
        <v>0</v>
      </c>
      <c r="O450" t="n">
        <v>0</v>
      </c>
      <c r="P450" t="n">
        <v>0</v>
      </c>
      <c r="Q450" t="n">
        <v>0</v>
      </c>
      <c r="R450" t="n">
        <v>0</v>
      </c>
      <c r="S450" t="n">
        <v>0</v>
      </c>
      <c r="T450" t="n">
        <v>0</v>
      </c>
      <c r="U450" s="2" t="inlineStr"/>
    </row>
    <row r="451" ht="15" customHeight="1">
      <c r="A451" t="inlineStr">
        <is>
          <t>A 37147-2023</t>
        </is>
      </c>
      <c r="B451" t="inlineStr">
        <is>
          <t>avverkningsanmälan</t>
        </is>
      </c>
      <c r="C451" t="inlineStr">
        <is>
          <t>Föryngringsavverkning</t>
        </is>
      </c>
      <c r="D451" s="1" t="n">
        <v>45155</v>
      </c>
      <c r="E451" s="1" t="n">
        <v>46221</v>
      </c>
      <c r="F451" t="inlineStr">
        <is>
          <t>STOCKHOLMS LÄN</t>
        </is>
      </c>
      <c r="G451" t="inlineStr">
        <is>
          <t>NORRTÄLJE</t>
        </is>
      </c>
      <c r="I451" t="n">
        <v>8</v>
      </c>
      <c r="J451" t="n">
        <v>0</v>
      </c>
      <c r="K451" t="n">
        <v>0</v>
      </c>
      <c r="L451" t="n">
        <v>0</v>
      </c>
      <c r="M451" t="n">
        <v>0</v>
      </c>
      <c r="N451" t="n">
        <v>0</v>
      </c>
      <c r="O451" t="n">
        <v>0</v>
      </c>
      <c r="P451" t="n">
        <v>0</v>
      </c>
      <c r="Q451" t="n">
        <v>0</v>
      </c>
      <c r="R451" t="n">
        <v>0</v>
      </c>
      <c r="S451" t="n">
        <v>0</v>
      </c>
      <c r="T451" t="n">
        <v>0</v>
      </c>
      <c r="U451" s="2" t="inlineStr"/>
    </row>
    <row r="452" ht="15" customHeight="1">
      <c r="A452" t="inlineStr">
        <is>
          <t>A 40529-2025</t>
        </is>
      </c>
      <c r="B452" t="inlineStr">
        <is>
          <t>avverkningsanmälan</t>
        </is>
      </c>
      <c r="C452" t="inlineStr">
        <is>
          <t>Föryngringsavverkning</t>
        </is>
      </c>
      <c r="D452" s="1" t="n">
        <v>45896</v>
      </c>
      <c r="E452" s="1" t="n">
        <v>46221</v>
      </c>
      <c r="F452" t="inlineStr">
        <is>
          <t>STOCKHOLMS LÄN</t>
        </is>
      </c>
      <c r="G452" t="inlineStr">
        <is>
          <t>NORRTÄLJE</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59499-2023</t>
        </is>
      </c>
      <c r="B453" t="inlineStr">
        <is>
          <t>avverkningsanmälan</t>
        </is>
      </c>
      <c r="C453" t="inlineStr">
        <is>
          <t>Avverkning för annat ändamål</t>
        </is>
      </c>
      <c r="D453" s="1" t="n">
        <v>45254</v>
      </c>
      <c r="E453" s="1" t="n">
        <v>46221</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60654-2023</t>
        </is>
      </c>
      <c r="B454" t="inlineStr">
        <is>
          <t>avverkningsanmälan</t>
        </is>
      </c>
      <c r="C454" t="inlineStr">
        <is>
          <t>Föryngringsavverkning</t>
        </is>
      </c>
      <c r="D454" s="1" t="n">
        <v>45260</v>
      </c>
      <c r="E454" s="1" t="n">
        <v>46221</v>
      </c>
      <c r="F454" t="inlineStr">
        <is>
          <t>STOCKHOLMS LÄN</t>
        </is>
      </c>
      <c r="G454" t="inlineStr">
        <is>
          <t>NORRTÄLJE</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60656-2023</t>
        </is>
      </c>
      <c r="B455" t="inlineStr">
        <is>
          <t>avverkningsanmälan</t>
        </is>
      </c>
      <c r="C455" t="inlineStr">
        <is>
          <t>Föryngringsavverkning</t>
        </is>
      </c>
      <c r="D455" s="1" t="n">
        <v>45260</v>
      </c>
      <c r="E455" s="1" t="n">
        <v>46221</v>
      </c>
      <c r="F455" t="inlineStr">
        <is>
          <t>STOCKHOLMS LÄN</t>
        </is>
      </c>
      <c r="G455" t="inlineStr">
        <is>
          <t>NORRTÄLJE</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22697-2022</t>
        </is>
      </c>
      <c r="B456" t="inlineStr">
        <is>
          <t>avverkningsanmälan</t>
        </is>
      </c>
      <c r="C456" t="inlineStr">
        <is>
          <t>Föryngringsavverkning</t>
        </is>
      </c>
      <c r="D456" s="1" t="n">
        <v>44714</v>
      </c>
      <c r="E456" s="1" t="n">
        <v>46221</v>
      </c>
      <c r="F456" t="inlineStr">
        <is>
          <t>STOCKHOLMS LÄN</t>
        </is>
      </c>
      <c r="G456" t="inlineStr">
        <is>
          <t>NORRTÄLJE</t>
        </is>
      </c>
      <c r="I456" t="n">
        <v>5.6</v>
      </c>
      <c r="J456" t="n">
        <v>0</v>
      </c>
      <c r="K456" t="n">
        <v>0</v>
      </c>
      <c r="L456" t="n">
        <v>0</v>
      </c>
      <c r="M456" t="n">
        <v>0</v>
      </c>
      <c r="N456" t="n">
        <v>0</v>
      </c>
      <c r="O456" t="n">
        <v>0</v>
      </c>
      <c r="P456" t="n">
        <v>0</v>
      </c>
      <c r="Q456" t="n">
        <v>0</v>
      </c>
      <c r="R456" t="n">
        <v>0</v>
      </c>
      <c r="S456" t="n">
        <v>0</v>
      </c>
      <c r="T456" t="n">
        <v>0</v>
      </c>
      <c r="U456" s="2" t="inlineStr"/>
    </row>
    <row r="457" ht="15" customHeight="1">
      <c r="A457" t="inlineStr">
        <is>
          <t>A 40837-2025</t>
        </is>
      </c>
      <c r="B457" t="inlineStr">
        <is>
          <t>avverkningsanmälan</t>
        </is>
      </c>
      <c r="C457" t="inlineStr">
        <is>
          <t>Föryngringsavverkning</t>
        </is>
      </c>
      <c r="D457" s="1" t="n">
        <v>45897</v>
      </c>
      <c r="E457" s="1" t="n">
        <v>46221</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41174-2025</t>
        </is>
      </c>
      <c r="B458" t="inlineStr">
        <is>
          <t>avverkningsanmälan</t>
        </is>
      </c>
      <c r="C458" t="inlineStr">
        <is>
          <t>Föryngringsavverkning</t>
        </is>
      </c>
      <c r="D458" s="1" t="n">
        <v>45898</v>
      </c>
      <c r="E458" s="1" t="n">
        <v>46221</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41110-2025</t>
        </is>
      </c>
      <c r="B459" t="inlineStr">
        <is>
          <t>avverkningsanmälan</t>
        </is>
      </c>
      <c r="C459" t="inlineStr">
        <is>
          <t>Föryngringsavverkning</t>
        </is>
      </c>
      <c r="D459" s="1" t="n">
        <v>45898</v>
      </c>
      <c r="E459" s="1" t="n">
        <v>46221</v>
      </c>
      <c r="F459" t="inlineStr">
        <is>
          <t>STOCKHOLMS LÄN</t>
        </is>
      </c>
      <c r="G459" t="inlineStr">
        <is>
          <t>NORRTÄLJE</t>
        </is>
      </c>
      <c r="H459" t="inlineStr">
        <is>
          <t>Holmen skog AB</t>
        </is>
      </c>
      <c r="I459" t="n">
        <v>6.7</v>
      </c>
      <c r="J459" t="n">
        <v>0</v>
      </c>
      <c r="K459" t="n">
        <v>0</v>
      </c>
      <c r="L459" t="n">
        <v>0</v>
      </c>
      <c r="M459" t="n">
        <v>0</v>
      </c>
      <c r="N459" t="n">
        <v>0</v>
      </c>
      <c r="O459" t="n">
        <v>0</v>
      </c>
      <c r="P459" t="n">
        <v>0</v>
      </c>
      <c r="Q459" t="n">
        <v>0</v>
      </c>
      <c r="R459" t="n">
        <v>0</v>
      </c>
      <c r="S459" t="n">
        <v>0</v>
      </c>
      <c r="T459" t="n">
        <v>0</v>
      </c>
      <c r="U459" s="2" t="inlineStr"/>
    </row>
    <row r="460" ht="15" customHeight="1">
      <c r="A460" t="inlineStr">
        <is>
          <t>A 40829-2025</t>
        </is>
      </c>
      <c r="B460" t="inlineStr">
        <is>
          <t>avverkningsanmälan</t>
        </is>
      </c>
      <c r="C460" t="inlineStr">
        <is>
          <t>Föryngringsavverkning</t>
        </is>
      </c>
      <c r="D460" s="1" t="n">
        <v>45897</v>
      </c>
      <c r="E460" s="1" t="n">
        <v>46221</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40831-2025</t>
        </is>
      </c>
      <c r="B461" t="inlineStr">
        <is>
          <t>avverkningsanmälan</t>
        </is>
      </c>
      <c r="C461" t="inlineStr">
        <is>
          <t>Föryngringsavverkning</t>
        </is>
      </c>
      <c r="D461" s="1" t="n">
        <v>45897</v>
      </c>
      <c r="E461" s="1" t="n">
        <v>46221</v>
      </c>
      <c r="F461" t="inlineStr">
        <is>
          <t>STOCKHOLMS LÄN</t>
        </is>
      </c>
      <c r="G461" t="inlineStr">
        <is>
          <t>NORRTÄLJE</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30668-2025</t>
        </is>
      </c>
      <c r="B462" t="inlineStr">
        <is>
          <t>avverkningsanmälan</t>
        </is>
      </c>
      <c r="C462" t="inlineStr">
        <is>
          <t>Föryngringsavverkning</t>
        </is>
      </c>
      <c r="D462" s="1" t="n">
        <v>45831</v>
      </c>
      <c r="E462" s="1" t="n">
        <v>46221</v>
      </c>
      <c r="F462" t="inlineStr">
        <is>
          <t>STOCKHOLMS LÄN</t>
        </is>
      </c>
      <c r="G462" t="inlineStr">
        <is>
          <t>NORRTÄLJE</t>
        </is>
      </c>
      <c r="I462" t="n">
        <v>4.9</v>
      </c>
      <c r="J462" t="n">
        <v>0</v>
      </c>
      <c r="K462" t="n">
        <v>0</v>
      </c>
      <c r="L462" t="n">
        <v>0</v>
      </c>
      <c r="M462" t="n">
        <v>0</v>
      </c>
      <c r="N462" t="n">
        <v>0</v>
      </c>
      <c r="O462" t="n">
        <v>0</v>
      </c>
      <c r="P462" t="n">
        <v>0</v>
      </c>
      <c r="Q462" t="n">
        <v>0</v>
      </c>
      <c r="R462" t="n">
        <v>0</v>
      </c>
      <c r="S462" t="n">
        <v>0</v>
      </c>
      <c r="T462" t="n">
        <v>0</v>
      </c>
      <c r="U462" s="2" t="inlineStr"/>
    </row>
    <row r="463" ht="15" customHeight="1">
      <c r="A463" t="inlineStr">
        <is>
          <t>A 5241-2026</t>
        </is>
      </c>
      <c r="B463" t="inlineStr">
        <is>
          <t>avverkningsanmälan</t>
        </is>
      </c>
      <c r="C463" t="inlineStr">
        <is>
          <t>Föryngringsavverkning</t>
        </is>
      </c>
      <c r="D463" s="1" t="n">
        <v>46049</v>
      </c>
      <c r="E463" s="1" t="n">
        <v>46221</v>
      </c>
      <c r="F463" t="inlineStr">
        <is>
          <t>STOCKHOLMS LÄN</t>
        </is>
      </c>
      <c r="G463" t="inlineStr">
        <is>
          <t>NORRTÄLJE</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19058-2024</t>
        </is>
      </c>
      <c r="B464" t="inlineStr">
        <is>
          <t>avverkningsanmälan</t>
        </is>
      </c>
      <c r="C464" t="inlineStr">
        <is>
          <t>Föryngringsavverkning</t>
        </is>
      </c>
      <c r="D464" s="1" t="n">
        <v>45427</v>
      </c>
      <c r="E464" s="1" t="n">
        <v>46221</v>
      </c>
      <c r="F464" t="inlineStr">
        <is>
          <t>STOCKHOLMS LÄN</t>
        </is>
      </c>
      <c r="G464" t="inlineStr">
        <is>
          <t>NORRTÄLJE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48180-2023</t>
        </is>
      </c>
      <c r="B465" t="inlineStr">
        <is>
          <t>avverkningsanmälan</t>
        </is>
      </c>
      <c r="C465" t="inlineStr">
        <is>
          <t>Föryngringsavverkning</t>
        </is>
      </c>
      <c r="D465" s="1" t="n">
        <v>45205</v>
      </c>
      <c r="E465" s="1" t="n">
        <v>46221</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5224-2026</t>
        </is>
      </c>
      <c r="B466" t="inlineStr">
        <is>
          <t>avverkningsanmälan</t>
        </is>
      </c>
      <c r="C466" t="inlineStr">
        <is>
          <t>Föryngringsavverkning</t>
        </is>
      </c>
      <c r="D466" s="1" t="n">
        <v>46049</v>
      </c>
      <c r="E466" s="1" t="n">
        <v>46221</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5227-2026</t>
        </is>
      </c>
      <c r="B467" t="inlineStr">
        <is>
          <t>avverkningsanmälan</t>
        </is>
      </c>
      <c r="C467" t="inlineStr">
        <is>
          <t>Föryngringsavverkning</t>
        </is>
      </c>
      <c r="D467" s="1" t="n">
        <v>46049</v>
      </c>
      <c r="E467" s="1" t="n">
        <v>46221</v>
      </c>
      <c r="F467" t="inlineStr">
        <is>
          <t>STOCKHOLMS LÄN</t>
        </is>
      </c>
      <c r="G467" t="inlineStr">
        <is>
          <t>NORRTÄLJE</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5226-2026</t>
        </is>
      </c>
      <c r="B468" t="inlineStr">
        <is>
          <t>avverkningsanmälan</t>
        </is>
      </c>
      <c r="C468" t="inlineStr">
        <is>
          <t>Föryngringsavverkning</t>
        </is>
      </c>
      <c r="D468" s="1" t="n">
        <v>46049</v>
      </c>
      <c r="E468" s="1" t="n">
        <v>46221</v>
      </c>
      <c r="F468" t="inlineStr">
        <is>
          <t>STOCKHOLMS LÄN</t>
        </is>
      </c>
      <c r="G468" t="inlineStr">
        <is>
          <t>NORRTÄLJE</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10511-2025</t>
        </is>
      </c>
      <c r="B469" t="inlineStr">
        <is>
          <t>avverkningsanmälan</t>
        </is>
      </c>
      <c r="C469" t="inlineStr">
        <is>
          <t>Föryngringsavverkning</t>
        </is>
      </c>
      <c r="D469" s="1" t="n">
        <v>45721</v>
      </c>
      <c r="E469" s="1" t="n">
        <v>46221</v>
      </c>
      <c r="F469" t="inlineStr">
        <is>
          <t>STOCKHOLMS LÄN</t>
        </is>
      </c>
      <c r="G469" t="inlineStr">
        <is>
          <t>NORRTÄLJE</t>
        </is>
      </c>
      <c r="I469" t="n">
        <v>2.6</v>
      </c>
      <c r="J469" t="n">
        <v>0</v>
      </c>
      <c r="K469" t="n">
        <v>0</v>
      </c>
      <c r="L469" t="n">
        <v>0</v>
      </c>
      <c r="M469" t="n">
        <v>0</v>
      </c>
      <c r="N469" t="n">
        <v>0</v>
      </c>
      <c r="O469" t="n">
        <v>0</v>
      </c>
      <c r="P469" t="n">
        <v>0</v>
      </c>
      <c r="Q469" t="n">
        <v>0</v>
      </c>
      <c r="R469" t="n">
        <v>0</v>
      </c>
      <c r="S469" t="n">
        <v>0</v>
      </c>
      <c r="T469" t="n">
        <v>0</v>
      </c>
      <c r="U469" s="2" t="inlineStr"/>
    </row>
    <row r="470" ht="15" customHeight="1">
      <c r="A470" t="inlineStr">
        <is>
          <t>A 6919-2025</t>
        </is>
      </c>
      <c r="B470" t="inlineStr">
        <is>
          <t>avverkningsanmälan</t>
        </is>
      </c>
      <c r="C470" t="inlineStr">
        <is>
          <t>Föryngringsavverkning</t>
        </is>
      </c>
      <c r="D470" s="1" t="n">
        <v>45701</v>
      </c>
      <c r="E470" s="1" t="n">
        <v>46221</v>
      </c>
      <c r="F470" t="inlineStr">
        <is>
          <t>STOCKHOLMS LÄN</t>
        </is>
      </c>
      <c r="G470" t="inlineStr">
        <is>
          <t>NORRTÄLJE</t>
        </is>
      </c>
      <c r="I470" t="n">
        <v>3.5</v>
      </c>
      <c r="J470" t="n">
        <v>0</v>
      </c>
      <c r="K470" t="n">
        <v>0</v>
      </c>
      <c r="L470" t="n">
        <v>0</v>
      </c>
      <c r="M470" t="n">
        <v>0</v>
      </c>
      <c r="N470" t="n">
        <v>0</v>
      </c>
      <c r="O470" t="n">
        <v>0</v>
      </c>
      <c r="P470" t="n">
        <v>0</v>
      </c>
      <c r="Q470" t="n">
        <v>0</v>
      </c>
      <c r="R470" t="n">
        <v>0</v>
      </c>
      <c r="S470" t="n">
        <v>0</v>
      </c>
      <c r="T470" t="n">
        <v>0</v>
      </c>
      <c r="U470" s="2" t="inlineStr"/>
    </row>
    <row r="471" ht="15" customHeight="1">
      <c r="A471" t="inlineStr">
        <is>
          <t>A 31874-2025</t>
        </is>
      </c>
      <c r="B471" t="inlineStr">
        <is>
          <t>avverkningsanmälan</t>
        </is>
      </c>
      <c r="C471" t="inlineStr">
        <is>
          <t>Föryngringsavverkning</t>
        </is>
      </c>
      <c r="D471" s="1" t="n">
        <v>45834</v>
      </c>
      <c r="E471" s="1" t="n">
        <v>46221</v>
      </c>
      <c r="F471" t="inlineStr">
        <is>
          <t>STOCKHOLMS LÄN</t>
        </is>
      </c>
      <c r="G471" t="inlineStr">
        <is>
          <t>NORRTÄLJE</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31868-2025</t>
        </is>
      </c>
      <c r="B472" t="inlineStr">
        <is>
          <t>avverkningsanmälan</t>
        </is>
      </c>
      <c r="C472" t="inlineStr">
        <is>
          <t>Föryngringsavverkning</t>
        </is>
      </c>
      <c r="D472" s="1" t="n">
        <v>45834</v>
      </c>
      <c r="E472" s="1" t="n">
        <v>46221</v>
      </c>
      <c r="F472" t="inlineStr">
        <is>
          <t>STOCKHOLMS LÄN</t>
        </is>
      </c>
      <c r="G472" t="inlineStr">
        <is>
          <t>NORRTÄLJE</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30699-2025</t>
        </is>
      </c>
      <c r="B473" t="inlineStr">
        <is>
          <t>avverkningsanmälan</t>
        </is>
      </c>
      <c r="C473" t="inlineStr">
        <is>
          <t>Avverkning för att bevara och utveckla /försöksver</t>
        </is>
      </c>
      <c r="D473" s="1" t="n">
        <v>45831</v>
      </c>
      <c r="E473" s="1" t="n">
        <v>46221</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8433-2022</t>
        </is>
      </c>
      <c r="B474" t="inlineStr">
        <is>
          <t>avverkningsanmälan</t>
        </is>
      </c>
      <c r="C474" t="inlineStr">
        <is>
          <t>Föryngringsavverkning</t>
        </is>
      </c>
      <c r="D474" s="1" t="n">
        <v>44611</v>
      </c>
      <c r="E474" s="1" t="n">
        <v>46221</v>
      </c>
      <c r="F474" t="inlineStr">
        <is>
          <t>STOCKHOLMS LÄN</t>
        </is>
      </c>
      <c r="G474" t="inlineStr">
        <is>
          <t>NORRTÄLJE</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10215-2023</t>
        </is>
      </c>
      <c r="B475" t="inlineStr">
        <is>
          <t>avverkningsanmälan</t>
        </is>
      </c>
      <c r="C475" t="inlineStr">
        <is>
          <t>Föryngringsavverkning</t>
        </is>
      </c>
      <c r="D475" s="1" t="n">
        <v>44986</v>
      </c>
      <c r="E475" s="1" t="n">
        <v>46221</v>
      </c>
      <c r="F475" t="inlineStr">
        <is>
          <t>STOCKHOLMS LÄN</t>
        </is>
      </c>
      <c r="G475" t="inlineStr">
        <is>
          <t>NORRTÄLJE</t>
        </is>
      </c>
      <c r="I475" t="n">
        <v>6.5</v>
      </c>
      <c r="J475" t="n">
        <v>0</v>
      </c>
      <c r="K475" t="n">
        <v>0</v>
      </c>
      <c r="L475" t="n">
        <v>0</v>
      </c>
      <c r="M475" t="n">
        <v>0</v>
      </c>
      <c r="N475" t="n">
        <v>0</v>
      </c>
      <c r="O475" t="n">
        <v>0</v>
      </c>
      <c r="P475" t="n">
        <v>0</v>
      </c>
      <c r="Q475" t="n">
        <v>0</v>
      </c>
      <c r="R475" t="n">
        <v>0</v>
      </c>
      <c r="S475" t="n">
        <v>0</v>
      </c>
      <c r="T475" t="n">
        <v>0</v>
      </c>
      <c r="U475" s="2" t="inlineStr"/>
    </row>
    <row r="476" ht="15" customHeight="1">
      <c r="A476" t="inlineStr">
        <is>
          <t>A 31880-2025</t>
        </is>
      </c>
      <c r="B476" t="inlineStr">
        <is>
          <t>avverkningsanmälan</t>
        </is>
      </c>
      <c r="C476" t="inlineStr">
        <is>
          <t>Föryngringsavverkning</t>
        </is>
      </c>
      <c r="D476" s="1" t="n">
        <v>45834</v>
      </c>
      <c r="E476" s="1" t="n">
        <v>46221</v>
      </c>
      <c r="F476" t="inlineStr">
        <is>
          <t>STOCKHOLMS LÄN</t>
        </is>
      </c>
      <c r="G476" t="inlineStr">
        <is>
          <t>NORRTÄLJE</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42856-2025</t>
        </is>
      </c>
      <c r="B477" t="inlineStr">
        <is>
          <t>avverkningsanmälan</t>
        </is>
      </c>
      <c r="C477" t="inlineStr">
        <is>
          <t>Avverkning för att bevara och utveckla /försöksver</t>
        </is>
      </c>
      <c r="D477" s="1" t="n">
        <v>45908</v>
      </c>
      <c r="E477" s="1" t="n">
        <v>46221</v>
      </c>
      <c r="F477" t="inlineStr">
        <is>
          <t>STOCKHOLMS LÄN</t>
        </is>
      </c>
      <c r="G477" t="inlineStr">
        <is>
          <t>NORRTÄLJE</t>
        </is>
      </c>
      <c r="I477" t="n">
        <v>9.199999999999999</v>
      </c>
      <c r="J477" t="n">
        <v>0</v>
      </c>
      <c r="K477" t="n">
        <v>0</v>
      </c>
      <c r="L477" t="n">
        <v>0</v>
      </c>
      <c r="M477" t="n">
        <v>0</v>
      </c>
      <c r="N477" t="n">
        <v>0</v>
      </c>
      <c r="O477" t="n">
        <v>0</v>
      </c>
      <c r="P477" t="n">
        <v>0</v>
      </c>
      <c r="Q477" t="n">
        <v>0</v>
      </c>
      <c r="R477" t="n">
        <v>0</v>
      </c>
      <c r="S477" t="n">
        <v>0</v>
      </c>
      <c r="T477" t="n">
        <v>0</v>
      </c>
      <c r="U477" s="2" t="inlineStr"/>
    </row>
    <row r="478" ht="15" customHeight="1">
      <c r="A478" t="inlineStr">
        <is>
          <t>A 20011-2025</t>
        </is>
      </c>
      <c r="B478" t="inlineStr">
        <is>
          <t>avverkningsanmälan</t>
        </is>
      </c>
      <c r="C478" t="inlineStr">
        <is>
          <t>Föryngringsavverkning</t>
        </is>
      </c>
      <c r="D478" s="1" t="n">
        <v>45772</v>
      </c>
      <c r="E478" s="1" t="n">
        <v>46221</v>
      </c>
      <c r="F478" t="inlineStr">
        <is>
          <t>STOCKHOLMS LÄN</t>
        </is>
      </c>
      <c r="G478" t="inlineStr">
        <is>
          <t>NORRTÄLJE</t>
        </is>
      </c>
      <c r="I478" t="n">
        <v>3.5</v>
      </c>
      <c r="J478" t="n">
        <v>0</v>
      </c>
      <c r="K478" t="n">
        <v>0</v>
      </c>
      <c r="L478" t="n">
        <v>0</v>
      </c>
      <c r="M478" t="n">
        <v>0</v>
      </c>
      <c r="N478" t="n">
        <v>0</v>
      </c>
      <c r="O478" t="n">
        <v>0</v>
      </c>
      <c r="P478" t="n">
        <v>0</v>
      </c>
      <c r="Q478" t="n">
        <v>0</v>
      </c>
      <c r="R478" t="n">
        <v>0</v>
      </c>
      <c r="S478" t="n">
        <v>0</v>
      </c>
      <c r="T478" t="n">
        <v>0</v>
      </c>
      <c r="U478" s="2" t="inlineStr"/>
    </row>
    <row r="479" ht="15" customHeight="1">
      <c r="A479" t="inlineStr">
        <is>
          <t>A 32283-2025</t>
        </is>
      </c>
      <c r="B479" t="inlineStr">
        <is>
          <t>avverkningsanmälan</t>
        </is>
      </c>
      <c r="C479" t="inlineStr">
        <is>
          <t>Föryngringsavverkning</t>
        </is>
      </c>
      <c r="D479" s="1" t="n">
        <v>45835</v>
      </c>
      <c r="E479" s="1" t="n">
        <v>46221</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s="2" t="inlineStr"/>
    </row>
    <row r="480" ht="15" customHeight="1">
      <c r="A480" t="inlineStr">
        <is>
          <t>A 43269-2025</t>
        </is>
      </c>
      <c r="B480" t="inlineStr">
        <is>
          <t>avverkningsanmälan</t>
        </is>
      </c>
      <c r="C480" t="inlineStr">
        <is>
          <t>Föryngringsavverkning</t>
        </is>
      </c>
      <c r="D480" s="1" t="n">
        <v>45910</v>
      </c>
      <c r="E480" s="1" t="n">
        <v>46221</v>
      </c>
      <c r="F480" t="inlineStr">
        <is>
          <t>STOCKHOLMS LÄN</t>
        </is>
      </c>
      <c r="G480" t="inlineStr">
        <is>
          <t>NORRTÄLJE</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31559-2022</t>
        </is>
      </c>
      <c r="B481" t="inlineStr">
        <is>
          <t>avverkningsanmälan</t>
        </is>
      </c>
      <c r="C481" t="inlineStr">
        <is>
          <t>Föryngringsavverkning</t>
        </is>
      </c>
      <c r="D481" s="1" t="n">
        <v>44775</v>
      </c>
      <c r="E481" s="1" t="n">
        <v>46221</v>
      </c>
      <c r="F481" t="inlineStr">
        <is>
          <t>STOCKHOLMS LÄN</t>
        </is>
      </c>
      <c r="G481" t="inlineStr">
        <is>
          <t>NORRTÄLJE</t>
        </is>
      </c>
      <c r="I481" t="n">
        <v>5.6</v>
      </c>
      <c r="J481" t="n">
        <v>0</v>
      </c>
      <c r="K481" t="n">
        <v>0</v>
      </c>
      <c r="L481" t="n">
        <v>0</v>
      </c>
      <c r="M481" t="n">
        <v>0</v>
      </c>
      <c r="N481" t="n">
        <v>0</v>
      </c>
      <c r="O481" t="n">
        <v>0</v>
      </c>
      <c r="P481" t="n">
        <v>0</v>
      </c>
      <c r="Q481" t="n">
        <v>0</v>
      </c>
      <c r="R481" t="n">
        <v>0</v>
      </c>
      <c r="S481" t="n">
        <v>0</v>
      </c>
      <c r="T481" t="n">
        <v>0</v>
      </c>
      <c r="U481" s="2" t="inlineStr"/>
    </row>
    <row r="482" ht="15" customHeight="1">
      <c r="A482" t="inlineStr">
        <is>
          <t>A 52001-2023</t>
        </is>
      </c>
      <c r="B482" t="inlineStr">
        <is>
          <t>avverkningsanmälan</t>
        </is>
      </c>
      <c r="C482" t="inlineStr">
        <is>
          <t>Föryngringsavverkning</t>
        </is>
      </c>
      <c r="D482" s="1" t="n">
        <v>45223</v>
      </c>
      <c r="E482" s="1" t="n">
        <v>46221</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30719-2025</t>
        </is>
      </c>
      <c r="B483" t="inlineStr">
        <is>
          <t>avverkningsanmälan</t>
        </is>
      </c>
      <c r="C483" t="inlineStr">
        <is>
          <t>Föryngringsavverkning</t>
        </is>
      </c>
      <c r="D483" s="1" t="n">
        <v>45831</v>
      </c>
      <c r="E483" s="1" t="n">
        <v>46221</v>
      </c>
      <c r="F483" t="inlineStr">
        <is>
          <t>STOCKHOLMS LÄN</t>
        </is>
      </c>
      <c r="G483" t="inlineStr">
        <is>
          <t>NORRTÄLJE</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33211-2025</t>
        </is>
      </c>
      <c r="B484" t="inlineStr">
        <is>
          <t>avverkningsanmälan</t>
        </is>
      </c>
      <c r="C484" t="inlineStr">
        <is>
          <t>Föryngringsavverkning</t>
        </is>
      </c>
      <c r="D484" s="1" t="n">
        <v>45840</v>
      </c>
      <c r="E484" s="1" t="n">
        <v>46221</v>
      </c>
      <c r="F484" t="inlineStr">
        <is>
          <t>STOCKHOLMS LÄN</t>
        </is>
      </c>
      <c r="G484" t="inlineStr">
        <is>
          <t>NORRTÄLJE</t>
        </is>
      </c>
      <c r="I484" t="n">
        <v>5.1</v>
      </c>
      <c r="J484" t="n">
        <v>0</v>
      </c>
      <c r="K484" t="n">
        <v>0</v>
      </c>
      <c r="L484" t="n">
        <v>0</v>
      </c>
      <c r="M484" t="n">
        <v>0</v>
      </c>
      <c r="N484" t="n">
        <v>0</v>
      </c>
      <c r="O484" t="n">
        <v>0</v>
      </c>
      <c r="P484" t="n">
        <v>0</v>
      </c>
      <c r="Q484" t="n">
        <v>0</v>
      </c>
      <c r="R484" t="n">
        <v>0</v>
      </c>
      <c r="S484" t="n">
        <v>0</v>
      </c>
      <c r="T484" t="n">
        <v>0</v>
      </c>
      <c r="U484" s="2" t="inlineStr"/>
    </row>
    <row r="485" ht="15" customHeight="1">
      <c r="A485" t="inlineStr">
        <is>
          <t>A 5934-2026</t>
        </is>
      </c>
      <c r="B485" t="inlineStr">
        <is>
          <t>avverkningsanmälan</t>
        </is>
      </c>
      <c r="C485" t="inlineStr">
        <is>
          <t>Föryngringsavverkning</t>
        </is>
      </c>
      <c r="D485" s="1" t="n">
        <v>46052</v>
      </c>
      <c r="E485" s="1" t="n">
        <v>46221</v>
      </c>
      <c r="F485" t="inlineStr">
        <is>
          <t>STOCKHOLMS LÄN</t>
        </is>
      </c>
      <c r="G485" t="inlineStr">
        <is>
          <t>NORRTÄLJE</t>
        </is>
      </c>
      <c r="H485" t="inlineStr">
        <is>
          <t>Holmen skog AB</t>
        </is>
      </c>
      <c r="I485" t="n">
        <v>5.5</v>
      </c>
      <c r="J485" t="n">
        <v>0</v>
      </c>
      <c r="K485" t="n">
        <v>0</v>
      </c>
      <c r="L485" t="n">
        <v>0</v>
      </c>
      <c r="M485" t="n">
        <v>0</v>
      </c>
      <c r="N485" t="n">
        <v>0</v>
      </c>
      <c r="O485" t="n">
        <v>0</v>
      </c>
      <c r="P485" t="n">
        <v>0</v>
      </c>
      <c r="Q485" t="n">
        <v>0</v>
      </c>
      <c r="R485" t="n">
        <v>0</v>
      </c>
      <c r="S485" t="n">
        <v>0</v>
      </c>
      <c r="T485" t="n">
        <v>0</v>
      </c>
      <c r="U485" s="2" t="inlineStr"/>
    </row>
    <row r="486" ht="15" customHeight="1">
      <c r="A486" t="inlineStr">
        <is>
          <t>A 32872-2025</t>
        </is>
      </c>
      <c r="B486" t="inlineStr">
        <is>
          <t>avverkningsanmälan</t>
        </is>
      </c>
      <c r="C486" t="inlineStr">
        <is>
          <t>Föryngringsavverkning</t>
        </is>
      </c>
      <c r="D486" s="1" t="n">
        <v>45839</v>
      </c>
      <c r="E486" s="1" t="n">
        <v>46221</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33336-2025</t>
        </is>
      </c>
      <c r="B487" t="inlineStr">
        <is>
          <t>avverkningsanmälan</t>
        </is>
      </c>
      <c r="C487" t="inlineStr">
        <is>
          <t>Avverkning för att bevara och utveckla /försöksver</t>
        </is>
      </c>
      <c r="D487" s="1" t="n">
        <v>45841</v>
      </c>
      <c r="E487" s="1" t="n">
        <v>46221</v>
      </c>
      <c r="F487" t="inlineStr">
        <is>
          <t>STOCKHOLMS LÄN</t>
        </is>
      </c>
      <c r="G487" t="inlineStr">
        <is>
          <t>NORRTÄLJE</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19580-2022</t>
        </is>
      </c>
      <c r="B488" t="inlineStr">
        <is>
          <t>avverkningsanmälan</t>
        </is>
      </c>
      <c r="C488" t="inlineStr">
        <is>
          <t>Föryngringsavverkning</t>
        </is>
      </c>
      <c r="D488" s="1" t="n">
        <v>44693</v>
      </c>
      <c r="E488" s="1" t="n">
        <v>46221</v>
      </c>
      <c r="F488" t="inlineStr">
        <is>
          <t>STOCKHOLMS LÄN</t>
        </is>
      </c>
      <c r="G488" t="inlineStr">
        <is>
          <t>NORRTÄLJE</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44937-2025</t>
        </is>
      </c>
      <c r="B489" t="inlineStr">
        <is>
          <t>avverkningsanmälan</t>
        </is>
      </c>
      <c r="C489" t="inlineStr">
        <is>
          <t>Föryngringsavverkning</t>
        </is>
      </c>
      <c r="D489" s="1" t="n">
        <v>45918</v>
      </c>
      <c r="E489" s="1" t="n">
        <v>46221</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22359-2025</t>
        </is>
      </c>
      <c r="B490" t="inlineStr">
        <is>
          <t>avverkningsanmälan</t>
        </is>
      </c>
      <c r="C490" t="inlineStr">
        <is>
          <t>Avverkning för att bevara och utveckla /försöksver</t>
        </is>
      </c>
      <c r="D490" s="1" t="n">
        <v>45786</v>
      </c>
      <c r="E490" s="1" t="n">
        <v>46221</v>
      </c>
      <c r="F490" t="inlineStr">
        <is>
          <t>STOCKHOLMS LÄN</t>
        </is>
      </c>
      <c r="G490" t="inlineStr">
        <is>
          <t>NORRTÄLJE</t>
        </is>
      </c>
      <c r="I490" t="n">
        <v>5</v>
      </c>
      <c r="J490" t="n">
        <v>0</v>
      </c>
      <c r="K490" t="n">
        <v>0</v>
      </c>
      <c r="L490" t="n">
        <v>0</v>
      </c>
      <c r="M490" t="n">
        <v>0</v>
      </c>
      <c r="N490" t="n">
        <v>0</v>
      </c>
      <c r="O490" t="n">
        <v>0</v>
      </c>
      <c r="P490" t="n">
        <v>0</v>
      </c>
      <c r="Q490" t="n">
        <v>0</v>
      </c>
      <c r="R490" t="n">
        <v>0</v>
      </c>
      <c r="S490" t="n">
        <v>0</v>
      </c>
      <c r="T490" t="n">
        <v>0</v>
      </c>
      <c r="U490" s="2" t="inlineStr"/>
    </row>
    <row r="491" ht="15" customHeight="1">
      <c r="A491" t="inlineStr">
        <is>
          <t>A 46073-2024</t>
        </is>
      </c>
      <c r="B491" t="inlineStr">
        <is>
          <t>avverkningsanmälan</t>
        </is>
      </c>
      <c r="C491" t="inlineStr">
        <is>
          <t>Föryngringsavverkning</t>
        </is>
      </c>
      <c r="D491" s="1" t="n">
        <v>45581</v>
      </c>
      <c r="E491" s="1" t="n">
        <v>46221</v>
      </c>
      <c r="F491" t="inlineStr">
        <is>
          <t>STOCKHOLMS LÄN</t>
        </is>
      </c>
      <c r="G491" t="inlineStr">
        <is>
          <t>NORRTÄLJE</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39610-2025</t>
        </is>
      </c>
      <c r="B492" t="inlineStr">
        <is>
          <t>avverkningsanmälan</t>
        </is>
      </c>
      <c r="C492" t="inlineStr">
        <is>
          <t>Avverkning för att bevara och utveckla /försöksver</t>
        </is>
      </c>
      <c r="D492" s="1" t="n">
        <v>45890</v>
      </c>
      <c r="E492" s="1" t="n">
        <v>46221</v>
      </c>
      <c r="F492" t="inlineStr">
        <is>
          <t>STOCKHOLMS LÄN</t>
        </is>
      </c>
      <c r="G492" t="inlineStr">
        <is>
          <t>NORRTÄLJE</t>
        </is>
      </c>
      <c r="I492" t="n">
        <v>28.6</v>
      </c>
      <c r="J492" t="n">
        <v>0</v>
      </c>
      <c r="K492" t="n">
        <v>0</v>
      </c>
      <c r="L492" t="n">
        <v>0</v>
      </c>
      <c r="M492" t="n">
        <v>0</v>
      </c>
      <c r="N492" t="n">
        <v>0</v>
      </c>
      <c r="O492" t="n">
        <v>0</v>
      </c>
      <c r="P492" t="n">
        <v>0</v>
      </c>
      <c r="Q492" t="n">
        <v>0</v>
      </c>
      <c r="R492" t="n">
        <v>0</v>
      </c>
      <c r="S492" t="n">
        <v>0</v>
      </c>
      <c r="T492" t="n">
        <v>0</v>
      </c>
      <c r="U492" s="2" t="inlineStr"/>
    </row>
    <row r="493" ht="15" customHeight="1">
      <c r="A493" t="inlineStr">
        <is>
          <t>A 36689-2023</t>
        </is>
      </c>
      <c r="B493" t="inlineStr">
        <is>
          <t>avverkningsanmälan</t>
        </is>
      </c>
      <c r="C493" t="inlineStr">
        <is>
          <t>Föryngringsavverkning</t>
        </is>
      </c>
      <c r="D493" s="1" t="n">
        <v>45152</v>
      </c>
      <c r="E493" s="1" t="n">
        <v>46221</v>
      </c>
      <c r="F493" t="inlineStr">
        <is>
          <t>STOCKHOLMS LÄN</t>
        </is>
      </c>
      <c r="G493" t="inlineStr">
        <is>
          <t>NORRTÄLJE</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51653-2022</t>
        </is>
      </c>
      <c r="B494" t="inlineStr">
        <is>
          <t>avverkningsanmälan</t>
        </is>
      </c>
      <c r="C494" t="inlineStr">
        <is>
          <t>Föryngringsavverkning</t>
        </is>
      </c>
      <c r="D494" s="1" t="n">
        <v>44867</v>
      </c>
      <c r="E494" s="1" t="n">
        <v>46221</v>
      </c>
      <c r="F494" t="inlineStr">
        <is>
          <t>STOCKHOLMS LÄN</t>
        </is>
      </c>
      <c r="G494" t="inlineStr">
        <is>
          <t>NORRTÄLJE</t>
        </is>
      </c>
      <c r="I494" t="n">
        <v>6.6</v>
      </c>
      <c r="J494" t="n">
        <v>0</v>
      </c>
      <c r="K494" t="n">
        <v>0</v>
      </c>
      <c r="L494" t="n">
        <v>0</v>
      </c>
      <c r="M494" t="n">
        <v>0</v>
      </c>
      <c r="N494" t="n">
        <v>0</v>
      </c>
      <c r="O494" t="n">
        <v>0</v>
      </c>
      <c r="P494" t="n">
        <v>0</v>
      </c>
      <c r="Q494" t="n">
        <v>0</v>
      </c>
      <c r="R494" t="n">
        <v>0</v>
      </c>
      <c r="S494" t="n">
        <v>0</v>
      </c>
      <c r="T494" t="n">
        <v>0</v>
      </c>
      <c r="U494" s="2" t="inlineStr"/>
    </row>
    <row r="495" ht="15" customHeight="1">
      <c r="A495" t="inlineStr">
        <is>
          <t>A 45697-2025</t>
        </is>
      </c>
      <c r="B495" t="inlineStr">
        <is>
          <t>avverkningsanmälan</t>
        </is>
      </c>
      <c r="C495" t="inlineStr">
        <is>
          <t>Föryngringsavverkning</t>
        </is>
      </c>
      <c r="D495" s="1" t="n">
        <v>45923</v>
      </c>
      <c r="E495" s="1" t="n">
        <v>46221</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23070-2023</t>
        </is>
      </c>
      <c r="B496" t="inlineStr">
        <is>
          <t>avverkningsanmälan</t>
        </is>
      </c>
      <c r="C496" t="inlineStr">
        <is>
          <t>Föryngringsavverkning</t>
        </is>
      </c>
      <c r="D496" s="1" t="n">
        <v>45075</v>
      </c>
      <c r="E496" s="1" t="n">
        <v>46221</v>
      </c>
      <c r="F496" t="inlineStr">
        <is>
          <t>STOCKHOLMS LÄN</t>
        </is>
      </c>
      <c r="G496" t="inlineStr">
        <is>
          <t>NORRTÄLJE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35256-2025</t>
        </is>
      </c>
      <c r="B497" t="inlineStr">
        <is>
          <t>avverkningsanmälan</t>
        </is>
      </c>
      <c r="C497" t="inlineStr">
        <is>
          <t>Föryngringsavverkning</t>
        </is>
      </c>
      <c r="D497" s="1" t="n">
        <v>45853</v>
      </c>
      <c r="E497" s="1" t="n">
        <v>46221</v>
      </c>
      <c r="F497" t="inlineStr">
        <is>
          <t>STOCKHOLMS LÄN</t>
        </is>
      </c>
      <c r="G497" t="inlineStr">
        <is>
          <t>NORRTÄLJE</t>
        </is>
      </c>
      <c r="I497" t="n">
        <v>6.4</v>
      </c>
      <c r="J497" t="n">
        <v>0</v>
      </c>
      <c r="K497" t="n">
        <v>0</v>
      </c>
      <c r="L497" t="n">
        <v>0</v>
      </c>
      <c r="M497" t="n">
        <v>0</v>
      </c>
      <c r="N497" t="n">
        <v>0</v>
      </c>
      <c r="O497" t="n">
        <v>0</v>
      </c>
      <c r="P497" t="n">
        <v>0</v>
      </c>
      <c r="Q497" t="n">
        <v>0</v>
      </c>
      <c r="R497" t="n">
        <v>0</v>
      </c>
      <c r="S497" t="n">
        <v>0</v>
      </c>
      <c r="T497" t="n">
        <v>0</v>
      </c>
      <c r="U497" s="2" t="inlineStr"/>
    </row>
    <row r="498" ht="15" customHeight="1">
      <c r="A498" t="inlineStr">
        <is>
          <t>A 7571-2024</t>
        </is>
      </c>
      <c r="B498" t="inlineStr">
        <is>
          <t>avverkningsanmälan</t>
        </is>
      </c>
      <c r="C498" t="inlineStr">
        <is>
          <t>Föryngringsavverkning</t>
        </is>
      </c>
      <c r="D498" s="1" t="n">
        <v>45348</v>
      </c>
      <c r="E498" s="1" t="n">
        <v>46221</v>
      </c>
      <c r="F498" t="inlineStr">
        <is>
          <t>STOCKHOLMS LÄN</t>
        </is>
      </c>
      <c r="G498" t="inlineStr">
        <is>
          <t>NORRTÄLJE</t>
        </is>
      </c>
      <c r="H498" t="inlineStr">
        <is>
          <t>Holmen skog AB</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35110-2025</t>
        </is>
      </c>
      <c r="B499" t="inlineStr">
        <is>
          <t>avverkningsanmälan</t>
        </is>
      </c>
      <c r="C499" t="inlineStr">
        <is>
          <t>Föryngringsavverkning</t>
        </is>
      </c>
      <c r="D499" s="1" t="n">
        <v>45852</v>
      </c>
      <c r="E499" s="1" t="n">
        <v>46221</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36269-2022</t>
        </is>
      </c>
      <c r="B500" t="inlineStr">
        <is>
          <t>avverkningsanmälan</t>
        </is>
      </c>
      <c r="C500" t="inlineStr">
        <is>
          <t>Föryngringsavverkning</t>
        </is>
      </c>
      <c r="D500" s="1" t="n">
        <v>44803</v>
      </c>
      <c r="E500" s="1" t="n">
        <v>46221</v>
      </c>
      <c r="F500" t="inlineStr">
        <is>
          <t>STOCKHOLMS LÄN</t>
        </is>
      </c>
      <c r="G500" t="inlineStr">
        <is>
          <t>NORRTÄLJE</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5665-2025</t>
        </is>
      </c>
      <c r="B501" t="inlineStr">
        <is>
          <t>avverkningsanmälan</t>
        </is>
      </c>
      <c r="C501" t="inlineStr">
        <is>
          <t>Föryngringsavverkning</t>
        </is>
      </c>
      <c r="D501" s="1" t="n">
        <v>45693</v>
      </c>
      <c r="E501" s="1" t="n">
        <v>46221</v>
      </c>
      <c r="F501" t="inlineStr">
        <is>
          <t>STOCKHOLMS LÄN</t>
        </is>
      </c>
      <c r="G501" t="inlineStr">
        <is>
          <t>NORRTÄLJE</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26636-2023</t>
        </is>
      </c>
      <c r="B502" t="inlineStr">
        <is>
          <t>avverkningsanmälan</t>
        </is>
      </c>
      <c r="C502" t="inlineStr">
        <is>
          <t>Föryngringsavverkning</t>
        </is>
      </c>
      <c r="D502" s="1" t="n">
        <v>45092</v>
      </c>
      <c r="E502" s="1" t="n">
        <v>46221</v>
      </c>
      <c r="F502" t="inlineStr">
        <is>
          <t>STOCKHOLMS LÄN</t>
        </is>
      </c>
      <c r="G502" t="inlineStr">
        <is>
          <t>NORRTÄLJE</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35479-2025</t>
        </is>
      </c>
      <c r="B503" t="inlineStr">
        <is>
          <t>avverkningsanmälan</t>
        </is>
      </c>
      <c r="C503" t="inlineStr">
        <is>
          <t>Föryngringsavverkning</t>
        </is>
      </c>
      <c r="D503" s="1" t="n">
        <v>45855</v>
      </c>
      <c r="E503" s="1" t="n">
        <v>46221</v>
      </c>
      <c r="F503" t="inlineStr">
        <is>
          <t>STOCKHOLMS LÄN</t>
        </is>
      </c>
      <c r="G503" t="inlineStr">
        <is>
          <t>NORRTÄLJE</t>
        </is>
      </c>
      <c r="H503" t="inlineStr">
        <is>
          <t>Holmen skog AB</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26637-2023</t>
        </is>
      </c>
      <c r="B504" t="inlineStr">
        <is>
          <t>avverkningsanmälan</t>
        </is>
      </c>
      <c r="C504" t="inlineStr">
        <is>
          <t>Föryngringsavverkning</t>
        </is>
      </c>
      <c r="D504" s="1" t="n">
        <v>45092</v>
      </c>
      <c r="E504" s="1" t="n">
        <v>46221</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35478-2025</t>
        </is>
      </c>
      <c r="B505" t="inlineStr">
        <is>
          <t>avverkningsanmälan</t>
        </is>
      </c>
      <c r="C505" t="inlineStr">
        <is>
          <t>Föryngringsavverkning</t>
        </is>
      </c>
      <c r="D505" s="1" t="n">
        <v>45855</v>
      </c>
      <c r="E505" s="1" t="n">
        <v>46221</v>
      </c>
      <c r="F505" t="inlineStr">
        <is>
          <t>STOCKHOLMS LÄN</t>
        </is>
      </c>
      <c r="G505" t="inlineStr">
        <is>
          <t>NORRTÄLJE</t>
        </is>
      </c>
      <c r="H505" t="inlineStr">
        <is>
          <t>Holmen skog AB</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23266-2023</t>
        </is>
      </c>
      <c r="B506" t="inlineStr">
        <is>
          <t>avverkningsanmälan</t>
        </is>
      </c>
      <c r="C506" t="inlineStr">
        <is>
          <t>Föryngringsavverkning</t>
        </is>
      </c>
      <c r="D506" s="1" t="n">
        <v>45075</v>
      </c>
      <c r="E506" s="1" t="n">
        <v>46221</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6724-2026</t>
        </is>
      </c>
      <c r="B507" t="inlineStr">
        <is>
          <t>avverkningsanmälan</t>
        </is>
      </c>
      <c r="C507" t="inlineStr">
        <is>
          <t>Föryngringsavverkning</t>
        </is>
      </c>
      <c r="D507" s="1" t="n">
        <v>46056</v>
      </c>
      <c r="E507" s="1" t="n">
        <v>46221</v>
      </c>
      <c r="F507" t="inlineStr">
        <is>
          <t>STOCKHOLMS LÄN</t>
        </is>
      </c>
      <c r="G507" t="inlineStr">
        <is>
          <t>NORRTÄLJE</t>
        </is>
      </c>
      <c r="H507" t="inlineStr">
        <is>
          <t>Holmen skog AB</t>
        </is>
      </c>
      <c r="I507" t="n">
        <v>16.2</v>
      </c>
      <c r="J507" t="n">
        <v>0</v>
      </c>
      <c r="K507" t="n">
        <v>0</v>
      </c>
      <c r="L507" t="n">
        <v>0</v>
      </c>
      <c r="M507" t="n">
        <v>0</v>
      </c>
      <c r="N507" t="n">
        <v>0</v>
      </c>
      <c r="O507" t="n">
        <v>0</v>
      </c>
      <c r="P507" t="n">
        <v>0</v>
      </c>
      <c r="Q507" t="n">
        <v>0</v>
      </c>
      <c r="R507" t="n">
        <v>0</v>
      </c>
      <c r="S507" t="n">
        <v>0</v>
      </c>
      <c r="T507" t="n">
        <v>0</v>
      </c>
      <c r="U507" s="2" t="inlineStr"/>
    </row>
    <row r="508" ht="15" customHeight="1">
      <c r="A508" t="inlineStr">
        <is>
          <t>A 47498-2025</t>
        </is>
      </c>
      <c r="B508" t="inlineStr">
        <is>
          <t>avverkningsanmälan</t>
        </is>
      </c>
      <c r="C508" t="inlineStr">
        <is>
          <t>Föryngringsavverkning</t>
        </is>
      </c>
      <c r="D508" s="1" t="n">
        <v>45930</v>
      </c>
      <c r="E508" s="1" t="n">
        <v>46221</v>
      </c>
      <c r="F508" t="inlineStr">
        <is>
          <t>STOCKHOLMS LÄN</t>
        </is>
      </c>
      <c r="G508" t="inlineStr">
        <is>
          <t>NORRTÄLJE</t>
        </is>
      </c>
      <c r="H508" t="inlineStr">
        <is>
          <t>Holmen skog AB</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47496-2025</t>
        </is>
      </c>
      <c r="B509" t="inlineStr">
        <is>
          <t>avverkningsanmälan</t>
        </is>
      </c>
      <c r="C509" t="inlineStr">
        <is>
          <t>Föryngringsavverkning</t>
        </is>
      </c>
      <c r="D509" s="1" t="n">
        <v>45930</v>
      </c>
      <c r="E509" s="1" t="n">
        <v>46221</v>
      </c>
      <c r="F509" t="inlineStr">
        <is>
          <t>STOCKHOLMS LÄN</t>
        </is>
      </c>
      <c r="G509" t="inlineStr">
        <is>
          <t>NORRTÄLJE</t>
        </is>
      </c>
      <c r="H509" t="inlineStr">
        <is>
          <t>Holmen skog AB</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47497-2025</t>
        </is>
      </c>
      <c r="B510" t="inlineStr">
        <is>
          <t>avverkningsanmälan</t>
        </is>
      </c>
      <c r="C510" t="inlineStr">
        <is>
          <t>Föryngringsavverkning</t>
        </is>
      </c>
      <c r="D510" s="1" t="n">
        <v>45930</v>
      </c>
      <c r="E510" s="1" t="n">
        <v>46221</v>
      </c>
      <c r="F510" t="inlineStr">
        <is>
          <t>STOCKHOLMS LÄN</t>
        </is>
      </c>
      <c r="G510" t="inlineStr">
        <is>
          <t>NORRTÄLJE</t>
        </is>
      </c>
      <c r="H510" t="inlineStr">
        <is>
          <t>Holmen skog AB</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58863-2024</t>
        </is>
      </c>
      <c r="B511" t="inlineStr">
        <is>
          <t>avverkningsanmälan</t>
        </is>
      </c>
      <c r="C511" t="inlineStr">
        <is>
          <t>Föryngringsavverkning</t>
        </is>
      </c>
      <c r="D511" s="1" t="n">
        <v>45636</v>
      </c>
      <c r="E511" s="1" t="n">
        <v>46221</v>
      </c>
      <c r="F511" t="inlineStr">
        <is>
          <t>STOCKHOLMS LÄN</t>
        </is>
      </c>
      <c r="G511" t="inlineStr">
        <is>
          <t>NORRTÄLJE</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15447-2023</t>
        </is>
      </c>
      <c r="B512" t="inlineStr">
        <is>
          <t>avverkningsanmälan</t>
        </is>
      </c>
      <c r="C512" t="inlineStr">
        <is>
          <t>Föryngringsavverkning</t>
        </is>
      </c>
      <c r="D512" s="1" t="n">
        <v>45020</v>
      </c>
      <c r="E512" s="1" t="n">
        <v>46221</v>
      </c>
      <c r="F512" t="inlineStr">
        <is>
          <t>STOCKHOLMS LÄN</t>
        </is>
      </c>
      <c r="G512" t="inlineStr">
        <is>
          <t>NORRTÄLJE</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34391-2023</t>
        </is>
      </c>
      <c r="B513" t="inlineStr">
        <is>
          <t>avverkningsanmälan</t>
        </is>
      </c>
      <c r="C513" t="inlineStr">
        <is>
          <t>Föryngringsavverkning</t>
        </is>
      </c>
      <c r="D513" s="1" t="n">
        <v>45139</v>
      </c>
      <c r="E513" s="1" t="n">
        <v>46221</v>
      </c>
      <c r="F513" t="inlineStr">
        <is>
          <t>STOCKHOLMS LÄN</t>
        </is>
      </c>
      <c r="G513" t="inlineStr">
        <is>
          <t>NORRTÄLJE</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48718-2025</t>
        </is>
      </c>
      <c r="B514" t="inlineStr">
        <is>
          <t>avverkningsanmälan</t>
        </is>
      </c>
      <c r="C514" t="inlineStr">
        <is>
          <t>Föryngringsavverkning</t>
        </is>
      </c>
      <c r="D514" s="1" t="n">
        <v>45936</v>
      </c>
      <c r="E514" s="1" t="n">
        <v>46221</v>
      </c>
      <c r="F514" t="inlineStr">
        <is>
          <t>STOCKHOLMS LÄN</t>
        </is>
      </c>
      <c r="G514" t="inlineStr">
        <is>
          <t>NORRTÄLJE</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53312-2024</t>
        </is>
      </c>
      <c r="B515" t="inlineStr">
        <is>
          <t>avverkningsanmälan</t>
        </is>
      </c>
      <c r="C515" t="inlineStr">
        <is>
          <t>Föryngringsavverkning</t>
        </is>
      </c>
      <c r="D515" s="1" t="n">
        <v>45614</v>
      </c>
      <c r="E515" s="1" t="n">
        <v>46221</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48443-2025</t>
        </is>
      </c>
      <c r="B516" t="inlineStr">
        <is>
          <t>avverkningsanmälan</t>
        </is>
      </c>
      <c r="C516" t="inlineStr">
        <is>
          <t>Föryngringsavverkning</t>
        </is>
      </c>
      <c r="D516" s="1" t="n">
        <v>45935</v>
      </c>
      <c r="E516" s="1" t="n">
        <v>46221</v>
      </c>
      <c r="F516" t="inlineStr">
        <is>
          <t>STOCKHOLMS LÄN</t>
        </is>
      </c>
      <c r="G516" t="inlineStr">
        <is>
          <t>NORRTÄLJE</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21158-2022</t>
        </is>
      </c>
      <c r="B517" t="inlineStr">
        <is>
          <t>avverkningsanmälan</t>
        </is>
      </c>
      <c r="C517" t="inlineStr">
        <is>
          <t>Föryngringsavverkning</t>
        </is>
      </c>
      <c r="D517" s="1" t="n">
        <v>44704</v>
      </c>
      <c r="E517" s="1" t="n">
        <v>46221</v>
      </c>
      <c r="F517" t="inlineStr">
        <is>
          <t>STOCKHOLMS LÄN</t>
        </is>
      </c>
      <c r="G517" t="inlineStr">
        <is>
          <t>NORRTÄLJE</t>
        </is>
      </c>
      <c r="I517" t="n">
        <v>17.8</v>
      </c>
      <c r="J517" t="n">
        <v>0</v>
      </c>
      <c r="K517" t="n">
        <v>0</v>
      </c>
      <c r="L517" t="n">
        <v>0</v>
      </c>
      <c r="M517" t="n">
        <v>0</v>
      </c>
      <c r="N517" t="n">
        <v>0</v>
      </c>
      <c r="O517" t="n">
        <v>0</v>
      </c>
      <c r="P517" t="n">
        <v>0</v>
      </c>
      <c r="Q517" t="n">
        <v>0</v>
      </c>
      <c r="R517" t="n">
        <v>0</v>
      </c>
      <c r="S517" t="n">
        <v>0</v>
      </c>
      <c r="T517" t="n">
        <v>0</v>
      </c>
      <c r="U517" s="2" t="inlineStr"/>
    </row>
    <row r="518" ht="15" customHeight="1">
      <c r="A518" t="inlineStr">
        <is>
          <t>A 15915-2023</t>
        </is>
      </c>
      <c r="B518" t="inlineStr">
        <is>
          <t>avverkningsanmälan</t>
        </is>
      </c>
      <c r="C518" t="inlineStr">
        <is>
          <t>Föryngringsavverkning</t>
        </is>
      </c>
      <c r="D518" s="1" t="n">
        <v>45022</v>
      </c>
      <c r="E518" s="1" t="n">
        <v>46221</v>
      </c>
      <c r="F518" t="inlineStr">
        <is>
          <t>STOCKHOLMS LÄN</t>
        </is>
      </c>
      <c r="G518" t="inlineStr">
        <is>
          <t>NORRTÄLJE</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48364-2025</t>
        </is>
      </c>
      <c r="B519" t="inlineStr">
        <is>
          <t>avverkningsanmälan</t>
        </is>
      </c>
      <c r="C519" t="inlineStr">
        <is>
          <t>Föryngringsavverkning</t>
        </is>
      </c>
      <c r="D519" s="1" t="n">
        <v>45933</v>
      </c>
      <c r="E519" s="1" t="n">
        <v>46221</v>
      </c>
      <c r="F519" t="inlineStr">
        <is>
          <t>STOCKHOLMS LÄN</t>
        </is>
      </c>
      <c r="G519" t="inlineStr">
        <is>
          <t>NORRTÄLJE</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39905-2023</t>
        </is>
      </c>
      <c r="B520" t="inlineStr">
        <is>
          <t>avverkningsanmälan</t>
        </is>
      </c>
      <c r="C520" t="inlineStr">
        <is>
          <t>Föryngringsavverkning</t>
        </is>
      </c>
      <c r="D520" s="1" t="n">
        <v>45168</v>
      </c>
      <c r="E520" s="1" t="n">
        <v>46221</v>
      </c>
      <c r="F520" t="inlineStr">
        <is>
          <t>STOCKHOLMS LÄN</t>
        </is>
      </c>
      <c r="G520" t="inlineStr">
        <is>
          <t>NORRTÄLJE</t>
        </is>
      </c>
      <c r="H520" t="inlineStr">
        <is>
          <t>Holmen skog AB</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7308-2026</t>
        </is>
      </c>
      <c r="B521" t="inlineStr">
        <is>
          <t>avverkningsanmälan</t>
        </is>
      </c>
      <c r="C521" t="inlineStr">
        <is>
          <t>Föryngringsavverkning</t>
        </is>
      </c>
      <c r="D521" s="1" t="n">
        <v>46058</v>
      </c>
      <c r="E521" s="1" t="n">
        <v>46221</v>
      </c>
      <c r="F521" t="inlineStr">
        <is>
          <t>STOCKHOLMS LÄN</t>
        </is>
      </c>
      <c r="G521" t="inlineStr">
        <is>
          <t>NORRTÄLJE</t>
        </is>
      </c>
      <c r="H521" t="inlineStr">
        <is>
          <t>Holmen skog AB</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20698-2025</t>
        </is>
      </c>
      <c r="B522" t="inlineStr">
        <is>
          <t>avverkningsanmälan</t>
        </is>
      </c>
      <c r="C522" t="inlineStr">
        <is>
          <t>Föryngringsavverkning</t>
        </is>
      </c>
      <c r="D522" s="1" t="n">
        <v>45776</v>
      </c>
      <c r="E522" s="1" t="n">
        <v>46221</v>
      </c>
      <c r="F522" t="inlineStr">
        <is>
          <t>STOCKHOLMS LÄN</t>
        </is>
      </c>
      <c r="G522" t="inlineStr">
        <is>
          <t>NORRTÄLJE</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33793-2022</t>
        </is>
      </c>
      <c r="B523" t="inlineStr">
        <is>
          <t>avverkningsanmälan</t>
        </is>
      </c>
      <c r="C523" t="inlineStr">
        <is>
          <t>Föryngringsavverkning</t>
        </is>
      </c>
      <c r="D523" s="1" t="n">
        <v>44790</v>
      </c>
      <c r="E523" s="1" t="n">
        <v>46221</v>
      </c>
      <c r="F523" t="inlineStr">
        <is>
          <t>STOCKHOLMS LÄN</t>
        </is>
      </c>
      <c r="G523" t="inlineStr">
        <is>
          <t>NORRTÄLJE</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6838-2026</t>
        </is>
      </c>
      <c r="B524" t="inlineStr">
        <is>
          <t>avverkningsanmälan</t>
        </is>
      </c>
      <c r="C524" t="inlineStr">
        <is>
          <t>Föryngringsavverkning</t>
        </is>
      </c>
      <c r="D524" s="1" t="n">
        <v>46057</v>
      </c>
      <c r="E524" s="1" t="n">
        <v>46221</v>
      </c>
      <c r="F524" t="inlineStr">
        <is>
          <t>STOCKHOLMS LÄN</t>
        </is>
      </c>
      <c r="G524" t="inlineStr">
        <is>
          <t>NORRTÄLJE</t>
        </is>
      </c>
      <c r="H524" t="inlineStr">
        <is>
          <t>Holmen skog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17304-2024</t>
        </is>
      </c>
      <c r="B525" t="inlineStr">
        <is>
          <t>avverkningsanmälan</t>
        </is>
      </c>
      <c r="C525" t="inlineStr">
        <is>
          <t>Avverkning för annat ändamål</t>
        </is>
      </c>
      <c r="D525" s="1" t="n">
        <v>45414</v>
      </c>
      <c r="E525" s="1" t="n">
        <v>46221</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22232-2024</t>
        </is>
      </c>
      <c r="B526" t="inlineStr">
        <is>
          <t>avverkningsanmälan</t>
        </is>
      </c>
      <c r="C526" t="inlineStr">
        <is>
          <t>Föryngringsavverkning</t>
        </is>
      </c>
      <c r="D526" s="1" t="n">
        <v>45446</v>
      </c>
      <c r="E526" s="1" t="n">
        <v>46221</v>
      </c>
      <c r="F526" t="inlineStr">
        <is>
          <t>STOCKHOLMS LÄN</t>
        </is>
      </c>
      <c r="G526" t="inlineStr">
        <is>
          <t>NORRTÄLJE</t>
        </is>
      </c>
      <c r="I526" t="n">
        <v>12.8</v>
      </c>
      <c r="J526" t="n">
        <v>0</v>
      </c>
      <c r="K526" t="n">
        <v>0</v>
      </c>
      <c r="L526" t="n">
        <v>0</v>
      </c>
      <c r="M526" t="n">
        <v>0</v>
      </c>
      <c r="N526" t="n">
        <v>0</v>
      </c>
      <c r="O526" t="n">
        <v>0</v>
      </c>
      <c r="P526" t="n">
        <v>0</v>
      </c>
      <c r="Q526" t="n">
        <v>0</v>
      </c>
      <c r="R526" t="n">
        <v>0</v>
      </c>
      <c r="S526" t="n">
        <v>0</v>
      </c>
      <c r="T526" t="n">
        <v>0</v>
      </c>
      <c r="U526" s="2" t="inlineStr"/>
    </row>
    <row r="527" ht="15" customHeight="1">
      <c r="A527" t="inlineStr">
        <is>
          <t>A 34444-2024</t>
        </is>
      </c>
      <c r="B527" t="inlineStr">
        <is>
          <t>avverkningsanmälan</t>
        </is>
      </c>
      <c r="C527" t="inlineStr">
        <is>
          <t>Föryngringsavverkning</t>
        </is>
      </c>
      <c r="D527" s="1" t="n">
        <v>45525</v>
      </c>
      <c r="E527" s="1" t="n">
        <v>46221</v>
      </c>
      <c r="F527" t="inlineStr">
        <is>
          <t>STOCKHOLMS LÄN</t>
        </is>
      </c>
      <c r="G527" t="inlineStr">
        <is>
          <t>NORRTÄLJE</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16852-2024</t>
        </is>
      </c>
      <c r="B528" t="inlineStr">
        <is>
          <t>avverkningsanmälan</t>
        </is>
      </c>
      <c r="C528" t="inlineStr">
        <is>
          <t>Avverkning för annat ändamål</t>
        </is>
      </c>
      <c r="D528" s="1" t="n">
        <v>45411</v>
      </c>
      <c r="E528" s="1" t="n">
        <v>46221</v>
      </c>
      <c r="F528" t="inlineStr">
        <is>
          <t>STOCKHOLMS LÄN</t>
        </is>
      </c>
      <c r="G528" t="inlineStr">
        <is>
          <t>NORRTÄLJE</t>
        </is>
      </c>
      <c r="H528" t="inlineStr">
        <is>
          <t>Holmen skog AB</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48174-2025</t>
        </is>
      </c>
      <c r="B529" t="inlineStr">
        <is>
          <t>avverkningsanmälan</t>
        </is>
      </c>
      <c r="C529" t="inlineStr">
        <is>
          <t>Föryngringsavverkning</t>
        </is>
      </c>
      <c r="D529" s="1" t="n">
        <v>45933</v>
      </c>
      <c r="E529" s="1" t="n">
        <v>46221</v>
      </c>
      <c r="F529" t="inlineStr">
        <is>
          <t>STOCKHOLMS LÄN</t>
        </is>
      </c>
      <c r="G529" t="inlineStr">
        <is>
          <t>NORRTÄLJE</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4326-2023</t>
        </is>
      </c>
      <c r="B530" t="inlineStr">
        <is>
          <t>avverkningsanmälan</t>
        </is>
      </c>
      <c r="C530" t="inlineStr">
        <is>
          <t>Föryngringsavverkning</t>
        </is>
      </c>
      <c r="D530" s="1" t="n">
        <v>44953</v>
      </c>
      <c r="E530" s="1" t="n">
        <v>46221</v>
      </c>
      <c r="F530" t="inlineStr">
        <is>
          <t>STOCKHOLMS LÄN</t>
        </is>
      </c>
      <c r="G530" t="inlineStr">
        <is>
          <t>NORRTÄLJE</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49129-2025</t>
        </is>
      </c>
      <c r="B531" t="inlineStr">
        <is>
          <t>avverkningsanmälan</t>
        </is>
      </c>
      <c r="C531" t="inlineStr">
        <is>
          <t>Avverkning för annat ändamål</t>
        </is>
      </c>
      <c r="D531" s="1" t="n">
        <v>45937</v>
      </c>
      <c r="E531" s="1" t="n">
        <v>46221</v>
      </c>
      <c r="F531" t="inlineStr">
        <is>
          <t>STOCKHOLMS LÄN</t>
        </is>
      </c>
      <c r="G531" t="inlineStr">
        <is>
          <t>NORRTÄLJE</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33385-2024</t>
        </is>
      </c>
      <c r="B532" t="inlineStr">
        <is>
          <t>avverkningsanmälan</t>
        </is>
      </c>
      <c r="C532" t="inlineStr">
        <is>
          <t>Föryngringsavverkning</t>
        </is>
      </c>
      <c r="D532" s="1" t="n">
        <v>45519</v>
      </c>
      <c r="E532" s="1" t="n">
        <v>46221</v>
      </c>
      <c r="F532" t="inlineStr">
        <is>
          <t>STOCKHOLMS LÄN</t>
        </is>
      </c>
      <c r="G532" t="inlineStr">
        <is>
          <t>NORRTÄLJE</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29714-2023</t>
        </is>
      </c>
      <c r="B533" t="inlineStr">
        <is>
          <t>avverkningsanmälan</t>
        </is>
      </c>
      <c r="C533" t="inlineStr">
        <is>
          <t>Föryngringsavverkning</t>
        </is>
      </c>
      <c r="D533" s="1" t="n">
        <v>45107</v>
      </c>
      <c r="E533" s="1" t="n">
        <v>46221</v>
      </c>
      <c r="F533" t="inlineStr">
        <is>
          <t>STOCKHOLMS LÄN</t>
        </is>
      </c>
      <c r="G533" t="inlineStr">
        <is>
          <t>NORRTÄLJE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30508-2023</t>
        </is>
      </c>
      <c r="B534" t="inlineStr">
        <is>
          <t>avverkningsanmälan</t>
        </is>
      </c>
      <c r="C534" t="inlineStr">
        <is>
          <t>Avverkning för annat ändamål</t>
        </is>
      </c>
      <c r="D534" s="1" t="n">
        <v>45111</v>
      </c>
      <c r="E534" s="1" t="n">
        <v>46221</v>
      </c>
      <c r="F534" t="inlineStr">
        <is>
          <t>STOCKHOLMS LÄN</t>
        </is>
      </c>
      <c r="G534" t="inlineStr">
        <is>
          <t>NORRTÄLJE</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48780-2025</t>
        </is>
      </c>
      <c r="B535" t="inlineStr">
        <is>
          <t>avverkningsanmälan</t>
        </is>
      </c>
      <c r="C535" t="inlineStr">
        <is>
          <t>Föryngringsavverkning</t>
        </is>
      </c>
      <c r="D535" s="1" t="n">
        <v>45937</v>
      </c>
      <c r="E535" s="1" t="n">
        <v>46221</v>
      </c>
      <c r="F535" t="inlineStr">
        <is>
          <t>STOCKHOLMS LÄN</t>
        </is>
      </c>
      <c r="G535" t="inlineStr">
        <is>
          <t>NORRTÄLJE</t>
        </is>
      </c>
      <c r="I535" t="n">
        <v>7.7</v>
      </c>
      <c r="J535" t="n">
        <v>0</v>
      </c>
      <c r="K535" t="n">
        <v>0</v>
      </c>
      <c r="L535" t="n">
        <v>0</v>
      </c>
      <c r="M535" t="n">
        <v>0</v>
      </c>
      <c r="N535" t="n">
        <v>0</v>
      </c>
      <c r="O535" t="n">
        <v>0</v>
      </c>
      <c r="P535" t="n">
        <v>0</v>
      </c>
      <c r="Q535" t="n">
        <v>0</v>
      </c>
      <c r="R535" t="n">
        <v>0</v>
      </c>
      <c r="S535" t="n">
        <v>0</v>
      </c>
      <c r="T535" t="n">
        <v>0</v>
      </c>
      <c r="U535" s="2" t="inlineStr"/>
    </row>
    <row r="536" ht="15" customHeight="1">
      <c r="A536" t="inlineStr">
        <is>
          <t>A 6874-2026</t>
        </is>
      </c>
      <c r="B536" t="inlineStr">
        <is>
          <t>avverkningsanmälan</t>
        </is>
      </c>
      <c r="C536" t="inlineStr">
        <is>
          <t>Föryngringsavverkning</t>
        </is>
      </c>
      <c r="D536" s="1" t="n">
        <v>46057</v>
      </c>
      <c r="E536" s="1" t="n">
        <v>46221</v>
      </c>
      <c r="F536" t="inlineStr">
        <is>
          <t>STOCKHOLMS LÄN</t>
        </is>
      </c>
      <c r="G536" t="inlineStr">
        <is>
          <t>NORRTÄLJE</t>
        </is>
      </c>
      <c r="H536" t="inlineStr">
        <is>
          <t>Holmen skog AB</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8296-2023</t>
        </is>
      </c>
      <c r="B537" t="inlineStr">
        <is>
          <t>avverkningsanmälan</t>
        </is>
      </c>
      <c r="C537" t="inlineStr">
        <is>
          <t>Föryngringsavverkning</t>
        </is>
      </c>
      <c r="D537" s="1" t="n">
        <v>44974</v>
      </c>
      <c r="E537" s="1" t="n">
        <v>46221</v>
      </c>
      <c r="F537" t="inlineStr">
        <is>
          <t>STOCKHOLMS LÄN</t>
        </is>
      </c>
      <c r="G537" t="inlineStr">
        <is>
          <t>NORRTÄLJE</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31236-2022</t>
        </is>
      </c>
      <c r="B538" t="inlineStr">
        <is>
          <t>avverkningsanmälan</t>
        </is>
      </c>
      <c r="C538" t="inlineStr">
        <is>
          <t>Föryngringsavverkning</t>
        </is>
      </c>
      <c r="D538" s="1" t="n">
        <v>44771</v>
      </c>
      <c r="E538" s="1" t="n">
        <v>46221</v>
      </c>
      <c r="F538" t="inlineStr">
        <is>
          <t>STOCKHOLMS LÄN</t>
        </is>
      </c>
      <c r="G538" t="inlineStr">
        <is>
          <t>NORRTÄLJE</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20692-2025</t>
        </is>
      </c>
      <c r="B539" t="inlineStr">
        <is>
          <t>avverkningsanmälan</t>
        </is>
      </c>
      <c r="C539" t="inlineStr">
        <is>
          <t>Föryngringsavverkning</t>
        </is>
      </c>
      <c r="D539" s="1" t="n">
        <v>45776</v>
      </c>
      <c r="E539" s="1" t="n">
        <v>46221</v>
      </c>
      <c r="F539" t="inlineStr">
        <is>
          <t>STOCKHOLMS LÄN</t>
        </is>
      </c>
      <c r="G539" t="inlineStr">
        <is>
          <t>NORRTÄLJE</t>
        </is>
      </c>
      <c r="I539" t="n">
        <v>2.1</v>
      </c>
      <c r="J539" t="n">
        <v>0</v>
      </c>
      <c r="K539" t="n">
        <v>0</v>
      </c>
      <c r="L539" t="n">
        <v>0</v>
      </c>
      <c r="M539" t="n">
        <v>0</v>
      </c>
      <c r="N539" t="n">
        <v>0</v>
      </c>
      <c r="O539" t="n">
        <v>0</v>
      </c>
      <c r="P539" t="n">
        <v>0</v>
      </c>
      <c r="Q539" t="n">
        <v>0</v>
      </c>
      <c r="R539" t="n">
        <v>0</v>
      </c>
      <c r="S539" t="n">
        <v>0</v>
      </c>
      <c r="T539" t="n">
        <v>0</v>
      </c>
      <c r="U539" s="2" t="inlineStr"/>
    </row>
    <row r="540" ht="15" customHeight="1">
      <c r="A540" t="inlineStr">
        <is>
          <t>A 46071-2024</t>
        </is>
      </c>
      <c r="B540" t="inlineStr">
        <is>
          <t>avverkningsanmälan</t>
        </is>
      </c>
      <c r="C540" t="inlineStr">
        <is>
          <t>Föryngringsavverkning</t>
        </is>
      </c>
      <c r="D540" s="1" t="n">
        <v>45581</v>
      </c>
      <c r="E540" s="1" t="n">
        <v>46221</v>
      </c>
      <c r="F540" t="inlineStr">
        <is>
          <t>STOCKHOLMS LÄN</t>
        </is>
      </c>
      <c r="G540" t="inlineStr">
        <is>
          <t>NORRTÄLJE</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6828-2026</t>
        </is>
      </c>
      <c r="B541" t="inlineStr">
        <is>
          <t>avverkningsanmälan</t>
        </is>
      </c>
      <c r="C541" t="inlineStr">
        <is>
          <t>Föryngringsavverkning</t>
        </is>
      </c>
      <c r="D541" s="1" t="n">
        <v>46057</v>
      </c>
      <c r="E541" s="1" t="n">
        <v>46221</v>
      </c>
      <c r="F541" t="inlineStr">
        <is>
          <t>STOCKHOLMS LÄN</t>
        </is>
      </c>
      <c r="G541" t="inlineStr">
        <is>
          <t>NORRTÄLJE</t>
        </is>
      </c>
      <c r="H541" t="inlineStr">
        <is>
          <t>Holmen skog AB</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50327-2025</t>
        </is>
      </c>
      <c r="B542" t="inlineStr">
        <is>
          <t>avverkningsanmälan</t>
        </is>
      </c>
      <c r="C542" t="inlineStr">
        <is>
          <t>Föryngringsavverkning</t>
        </is>
      </c>
      <c r="D542" s="1" t="n">
        <v>45944</v>
      </c>
      <c r="E542" s="1" t="n">
        <v>46221</v>
      </c>
      <c r="F542" t="inlineStr">
        <is>
          <t>STOCKHOLMS LÄN</t>
        </is>
      </c>
      <c r="G542" t="inlineStr">
        <is>
          <t>NORRTÄLJE</t>
        </is>
      </c>
      <c r="I542" t="n">
        <v>0.3</v>
      </c>
      <c r="J542" t="n">
        <v>0</v>
      </c>
      <c r="K542" t="n">
        <v>0</v>
      </c>
      <c r="L542" t="n">
        <v>0</v>
      </c>
      <c r="M542" t="n">
        <v>0</v>
      </c>
      <c r="N542" t="n">
        <v>0</v>
      </c>
      <c r="O542" t="n">
        <v>0</v>
      </c>
      <c r="P542" t="n">
        <v>0</v>
      </c>
      <c r="Q542" t="n">
        <v>0</v>
      </c>
      <c r="R542" t="n">
        <v>0</v>
      </c>
      <c r="S542" t="n">
        <v>0</v>
      </c>
      <c r="T542" t="n">
        <v>0</v>
      </c>
      <c r="U542" s="2" t="inlineStr"/>
    </row>
    <row r="543" ht="15" customHeight="1">
      <c r="A543" t="inlineStr">
        <is>
          <t>A 37632-2025</t>
        </is>
      </c>
      <c r="B543" t="inlineStr">
        <is>
          <t>avverkningsanmälan</t>
        </is>
      </c>
      <c r="C543" t="inlineStr">
        <is>
          <t>Föryngringsavverkning</t>
        </is>
      </c>
      <c r="D543" s="1" t="n">
        <v>45880</v>
      </c>
      <c r="E543" s="1" t="n">
        <v>46221</v>
      </c>
      <c r="F543" t="inlineStr">
        <is>
          <t>STOCKHOLMS LÄN</t>
        </is>
      </c>
      <c r="G543" t="inlineStr">
        <is>
          <t>NORRTÄLJE</t>
        </is>
      </c>
      <c r="H543" t="inlineStr">
        <is>
          <t>Sveaskog</t>
        </is>
      </c>
      <c r="I543" t="n">
        <v>6.4</v>
      </c>
      <c r="J543" t="n">
        <v>0</v>
      </c>
      <c r="K543" t="n">
        <v>0</v>
      </c>
      <c r="L543" t="n">
        <v>0</v>
      </c>
      <c r="M543" t="n">
        <v>0</v>
      </c>
      <c r="N543" t="n">
        <v>0</v>
      </c>
      <c r="O543" t="n">
        <v>0</v>
      </c>
      <c r="P543" t="n">
        <v>0</v>
      </c>
      <c r="Q543" t="n">
        <v>0</v>
      </c>
      <c r="R543" t="n">
        <v>0</v>
      </c>
      <c r="S543" t="n">
        <v>0</v>
      </c>
      <c r="T543" t="n">
        <v>0</v>
      </c>
      <c r="U543" s="2" t="inlineStr"/>
    </row>
    <row r="544" ht="15" customHeight="1">
      <c r="A544" t="inlineStr">
        <is>
          <t>A 52617-2024</t>
        </is>
      </c>
      <c r="B544" t="inlineStr">
        <is>
          <t>avverkningsanmälan</t>
        </is>
      </c>
      <c r="C544" t="inlineStr">
        <is>
          <t>Föryngringsavverkning</t>
        </is>
      </c>
      <c r="D544" s="1" t="n">
        <v>45609</v>
      </c>
      <c r="E544" s="1" t="n">
        <v>46221</v>
      </c>
      <c r="F544" t="inlineStr">
        <is>
          <t>STOCKHOLMS LÄN</t>
        </is>
      </c>
      <c r="G544" t="inlineStr">
        <is>
          <t>NORRTÄLJE</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27824-2022</t>
        </is>
      </c>
      <c r="B545" t="inlineStr">
        <is>
          <t>avverkningsanmälan</t>
        </is>
      </c>
      <c r="C545" t="inlineStr">
        <is>
          <t>Föryngringsavverkning</t>
        </is>
      </c>
      <c r="D545" s="1" t="n">
        <v>44743</v>
      </c>
      <c r="E545" s="1" t="n">
        <v>46221</v>
      </c>
      <c r="F545" t="inlineStr">
        <is>
          <t>STOCKHOLMS LÄN</t>
        </is>
      </c>
      <c r="G545" t="inlineStr">
        <is>
          <t>NORRTÄLJE</t>
        </is>
      </c>
      <c r="H545" t="inlineStr">
        <is>
          <t>Kommuner</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7532-2026</t>
        </is>
      </c>
      <c r="B546" t="inlineStr">
        <is>
          <t>avverkningsanmälan</t>
        </is>
      </c>
      <c r="C546" t="inlineStr">
        <is>
          <t>Föryngringsavverkning</t>
        </is>
      </c>
      <c r="D546" s="1" t="n">
        <v>46059</v>
      </c>
      <c r="E546" s="1" t="n">
        <v>46221</v>
      </c>
      <c r="F546" t="inlineStr">
        <is>
          <t>STOCKHOLMS LÄN</t>
        </is>
      </c>
      <c r="G546" t="inlineStr">
        <is>
          <t>NORRTÄLJE</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13137-2024</t>
        </is>
      </c>
      <c r="B547" t="inlineStr">
        <is>
          <t>avverkningsanmälan</t>
        </is>
      </c>
      <c r="C547" t="inlineStr">
        <is>
          <t>Föryngringsavverkning</t>
        </is>
      </c>
      <c r="D547" s="1" t="n">
        <v>45386</v>
      </c>
      <c r="E547" s="1" t="n">
        <v>46221</v>
      </c>
      <c r="F547" t="inlineStr">
        <is>
          <t>STOCKHOLMS LÄN</t>
        </is>
      </c>
      <c r="G547" t="inlineStr">
        <is>
          <t>NORRTÄLJE</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38153-2025</t>
        </is>
      </c>
      <c r="B548" t="inlineStr">
        <is>
          <t>avverkningsanmälan</t>
        </is>
      </c>
      <c r="C548" t="inlineStr">
        <is>
          <t>Föryngringsavverkning</t>
        </is>
      </c>
      <c r="D548" s="1" t="n">
        <v>45882</v>
      </c>
      <c r="E548" s="1" t="n">
        <v>46221</v>
      </c>
      <c r="F548" t="inlineStr">
        <is>
          <t>STOCKHOLMS LÄN</t>
        </is>
      </c>
      <c r="G548" t="inlineStr">
        <is>
          <t>NORRTÄLJE</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51240-2025</t>
        </is>
      </c>
      <c r="B549" t="inlineStr">
        <is>
          <t>avverkningsanmälan</t>
        </is>
      </c>
      <c r="C549" t="inlineStr">
        <is>
          <t>Föryngringsavverkning</t>
        </is>
      </c>
      <c r="D549" s="1" t="n">
        <v>45947</v>
      </c>
      <c r="E549" s="1" t="n">
        <v>46221</v>
      </c>
      <c r="F549" t="inlineStr">
        <is>
          <t>STOCKHOLMS LÄN</t>
        </is>
      </c>
      <c r="G549" t="inlineStr">
        <is>
          <t>NORRTÄLJE</t>
        </is>
      </c>
      <c r="H549" t="inlineStr">
        <is>
          <t>Naturvårdsverket</t>
        </is>
      </c>
      <c r="I549" t="n">
        <v>3</v>
      </c>
      <c r="J549" t="n">
        <v>0</v>
      </c>
      <c r="K549" t="n">
        <v>0</v>
      </c>
      <c r="L549" t="n">
        <v>0</v>
      </c>
      <c r="M549" t="n">
        <v>0</v>
      </c>
      <c r="N549" t="n">
        <v>0</v>
      </c>
      <c r="O549" t="n">
        <v>0</v>
      </c>
      <c r="P549" t="n">
        <v>0</v>
      </c>
      <c r="Q549" t="n">
        <v>0</v>
      </c>
      <c r="R549" t="n">
        <v>0</v>
      </c>
      <c r="S549" t="n">
        <v>0</v>
      </c>
      <c r="T549" t="n">
        <v>0</v>
      </c>
      <c r="U549" s="2" t="inlineStr"/>
    </row>
    <row r="550" ht="15" customHeight="1">
      <c r="A550" t="inlineStr">
        <is>
          <t>A 50534-2024</t>
        </is>
      </c>
      <c r="B550" t="inlineStr">
        <is>
          <t>avverkningsanmälan</t>
        </is>
      </c>
      <c r="C550" t="inlineStr">
        <is>
          <t>Föryngringsavverkning</t>
        </is>
      </c>
      <c r="D550" s="1" t="n">
        <v>45601</v>
      </c>
      <c r="E550" s="1" t="n">
        <v>46221</v>
      </c>
      <c r="F550" t="inlineStr">
        <is>
          <t>STOCKHOLMS LÄN</t>
        </is>
      </c>
      <c r="G550" t="inlineStr">
        <is>
          <t>NORRTÄLJE</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42094-2023</t>
        </is>
      </c>
      <c r="B551" t="inlineStr">
        <is>
          <t>avverkningsanmälan</t>
        </is>
      </c>
      <c r="C551" t="inlineStr">
        <is>
          <t>Föryngringsavverkning</t>
        </is>
      </c>
      <c r="D551" s="1" t="n">
        <v>45177</v>
      </c>
      <c r="E551" s="1" t="n">
        <v>46221</v>
      </c>
      <c r="F551" t="inlineStr">
        <is>
          <t>STOCKHOLMS LÄN</t>
        </is>
      </c>
      <c r="G551" t="inlineStr">
        <is>
          <t>NORRTÄLJE</t>
        </is>
      </c>
      <c r="I551" t="n">
        <v>0.3</v>
      </c>
      <c r="J551" t="n">
        <v>0</v>
      </c>
      <c r="K551" t="n">
        <v>0</v>
      </c>
      <c r="L551" t="n">
        <v>0</v>
      </c>
      <c r="M551" t="n">
        <v>0</v>
      </c>
      <c r="N551" t="n">
        <v>0</v>
      </c>
      <c r="O551" t="n">
        <v>0</v>
      </c>
      <c r="P551" t="n">
        <v>0</v>
      </c>
      <c r="Q551" t="n">
        <v>0</v>
      </c>
      <c r="R551" t="n">
        <v>0</v>
      </c>
      <c r="S551" t="n">
        <v>0</v>
      </c>
      <c r="T551" t="n">
        <v>0</v>
      </c>
      <c r="U551" s="2" t="inlineStr"/>
    </row>
    <row r="552" ht="15" customHeight="1">
      <c r="A552" t="inlineStr">
        <is>
          <t>A 30620-2022</t>
        </is>
      </c>
      <c r="B552" t="inlineStr">
        <is>
          <t>avverkningsanmälan</t>
        </is>
      </c>
      <c r="C552" t="inlineStr">
        <is>
          <t>Föryngringsavverkning</t>
        </is>
      </c>
      <c r="D552" s="1" t="n">
        <v>44763</v>
      </c>
      <c r="E552" s="1" t="n">
        <v>46221</v>
      </c>
      <c r="F552" t="inlineStr">
        <is>
          <t>STOCKHOLMS LÄN</t>
        </is>
      </c>
      <c r="G552" t="inlineStr">
        <is>
          <t>NORRTÄLJE</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7582-2026</t>
        </is>
      </c>
      <c r="B553" t="inlineStr">
        <is>
          <t>avverkningsanmälan</t>
        </is>
      </c>
      <c r="C553" t="inlineStr">
        <is>
          <t>Föryngringsavverkning</t>
        </is>
      </c>
      <c r="D553" s="1" t="n">
        <v>46061</v>
      </c>
      <c r="E553" s="1" t="n">
        <v>46221</v>
      </c>
      <c r="F553" t="inlineStr">
        <is>
          <t>STOCKHOLMS LÄN</t>
        </is>
      </c>
      <c r="G553" t="inlineStr">
        <is>
          <t>NORRTÄLJE</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51532-2025</t>
        </is>
      </c>
      <c r="B554" t="inlineStr">
        <is>
          <t>avverkningsanmälan</t>
        </is>
      </c>
      <c r="C554" t="inlineStr">
        <is>
          <t>Föryngringsavverkning</t>
        </is>
      </c>
      <c r="D554" s="1" t="n">
        <v>45950</v>
      </c>
      <c r="E554" s="1" t="n">
        <v>46221</v>
      </c>
      <c r="F554" t="inlineStr">
        <is>
          <t>STOCKHOLMS LÄN</t>
        </is>
      </c>
      <c r="G554" t="inlineStr">
        <is>
          <t>NORRTÄLJE</t>
        </is>
      </c>
      <c r="H554" t="inlineStr">
        <is>
          <t>Naturvårdsverket</t>
        </is>
      </c>
      <c r="I554" t="n">
        <v>17.3</v>
      </c>
      <c r="J554" t="n">
        <v>0</v>
      </c>
      <c r="K554" t="n">
        <v>0</v>
      </c>
      <c r="L554" t="n">
        <v>0</v>
      </c>
      <c r="M554" t="n">
        <v>0</v>
      </c>
      <c r="N554" t="n">
        <v>0</v>
      </c>
      <c r="O554" t="n">
        <v>0</v>
      </c>
      <c r="P554" t="n">
        <v>0</v>
      </c>
      <c r="Q554" t="n">
        <v>0</v>
      </c>
      <c r="R554" t="n">
        <v>0</v>
      </c>
      <c r="S554" t="n">
        <v>0</v>
      </c>
      <c r="T554" t="n">
        <v>0</v>
      </c>
      <c r="U554" s="2" t="inlineStr"/>
    </row>
    <row r="555" ht="15" customHeight="1">
      <c r="A555" t="inlineStr">
        <is>
          <t>A 7793-2026</t>
        </is>
      </c>
      <c r="B555" t="inlineStr">
        <is>
          <t>avverkningsanmälan</t>
        </is>
      </c>
      <c r="C555" t="inlineStr">
        <is>
          <t>Föryngringsavverkning</t>
        </is>
      </c>
      <c r="D555" s="1" t="n">
        <v>46062</v>
      </c>
      <c r="E555" s="1" t="n">
        <v>46221</v>
      </c>
      <c r="F555" t="inlineStr">
        <is>
          <t>STOCKHOLMS LÄN</t>
        </is>
      </c>
      <c r="G555" t="inlineStr">
        <is>
          <t>NORRTÄLJE</t>
        </is>
      </c>
      <c r="H555" t="inlineStr">
        <is>
          <t>Holmen skog AB</t>
        </is>
      </c>
      <c r="I555" t="n">
        <v>3.8</v>
      </c>
      <c r="J555" t="n">
        <v>0</v>
      </c>
      <c r="K555" t="n">
        <v>0</v>
      </c>
      <c r="L555" t="n">
        <v>0</v>
      </c>
      <c r="M555" t="n">
        <v>0</v>
      </c>
      <c r="N555" t="n">
        <v>0</v>
      </c>
      <c r="O555" t="n">
        <v>0</v>
      </c>
      <c r="P555" t="n">
        <v>0</v>
      </c>
      <c r="Q555" t="n">
        <v>0</v>
      </c>
      <c r="R555" t="n">
        <v>0</v>
      </c>
      <c r="S555" t="n">
        <v>0</v>
      </c>
      <c r="T555" t="n">
        <v>0</v>
      </c>
      <c r="U555" s="2" t="inlineStr"/>
    </row>
    <row r="556" ht="15" customHeight="1">
      <c r="A556" t="inlineStr">
        <is>
          <t>A 51233-2025</t>
        </is>
      </c>
      <c r="B556" t="inlineStr">
        <is>
          <t>avverkningsanmälan</t>
        </is>
      </c>
      <c r="C556" t="inlineStr">
        <is>
          <t>Föryngringsavverkning</t>
        </is>
      </c>
      <c r="D556" s="1" t="n">
        <v>45947</v>
      </c>
      <c r="E556" s="1" t="n">
        <v>46221</v>
      </c>
      <c r="F556" t="inlineStr">
        <is>
          <t>STOCKHOLMS LÄN</t>
        </is>
      </c>
      <c r="G556" t="inlineStr">
        <is>
          <t>NORRTÄLJE</t>
        </is>
      </c>
      <c r="H556" t="inlineStr">
        <is>
          <t>Naturvårdsverket</t>
        </is>
      </c>
      <c r="I556" t="n">
        <v>8.1</v>
      </c>
      <c r="J556" t="n">
        <v>0</v>
      </c>
      <c r="K556" t="n">
        <v>0</v>
      </c>
      <c r="L556" t="n">
        <v>0</v>
      </c>
      <c r="M556" t="n">
        <v>0</v>
      </c>
      <c r="N556" t="n">
        <v>0</v>
      </c>
      <c r="O556" t="n">
        <v>0</v>
      </c>
      <c r="P556" t="n">
        <v>0</v>
      </c>
      <c r="Q556" t="n">
        <v>0</v>
      </c>
      <c r="R556" t="n">
        <v>0</v>
      </c>
      <c r="S556" t="n">
        <v>0</v>
      </c>
      <c r="T556" t="n">
        <v>0</v>
      </c>
      <c r="U556" s="2" t="inlineStr"/>
    </row>
    <row r="557" ht="15" customHeight="1">
      <c r="A557" t="inlineStr">
        <is>
          <t>A 51236-2025</t>
        </is>
      </c>
      <c r="B557" t="inlineStr">
        <is>
          <t>avverkningsanmälan</t>
        </is>
      </c>
      <c r="C557" t="inlineStr">
        <is>
          <t>Föryngringsavverkning</t>
        </is>
      </c>
      <c r="D557" s="1" t="n">
        <v>45947</v>
      </c>
      <c r="E557" s="1" t="n">
        <v>46221</v>
      </c>
      <c r="F557" t="inlineStr">
        <is>
          <t>STOCKHOLMS LÄN</t>
        </is>
      </c>
      <c r="G557" t="inlineStr">
        <is>
          <t>NORRTÄLJE</t>
        </is>
      </c>
      <c r="H557" t="inlineStr">
        <is>
          <t>Naturvårdsverket</t>
        </is>
      </c>
      <c r="I557" t="n">
        <v>6.3</v>
      </c>
      <c r="J557" t="n">
        <v>0</v>
      </c>
      <c r="K557" t="n">
        <v>0</v>
      </c>
      <c r="L557" t="n">
        <v>0</v>
      </c>
      <c r="M557" t="n">
        <v>0</v>
      </c>
      <c r="N557" t="n">
        <v>0</v>
      </c>
      <c r="O557" t="n">
        <v>0</v>
      </c>
      <c r="P557" t="n">
        <v>0</v>
      </c>
      <c r="Q557" t="n">
        <v>0</v>
      </c>
      <c r="R557" t="n">
        <v>0</v>
      </c>
      <c r="S557" t="n">
        <v>0</v>
      </c>
      <c r="T557" t="n">
        <v>0</v>
      </c>
      <c r="U557" s="2" t="inlineStr"/>
    </row>
    <row r="558" ht="15" customHeight="1">
      <c r="A558" t="inlineStr">
        <is>
          <t>A 51241-2025</t>
        </is>
      </c>
      <c r="B558" t="inlineStr">
        <is>
          <t>avverkningsanmälan</t>
        </is>
      </c>
      <c r="C558" t="inlineStr">
        <is>
          <t>Föryngringsavverkning</t>
        </is>
      </c>
      <c r="D558" s="1" t="n">
        <v>45947</v>
      </c>
      <c r="E558" s="1" t="n">
        <v>46221</v>
      </c>
      <c r="F558" t="inlineStr">
        <is>
          <t>STOCKHOLMS LÄN</t>
        </is>
      </c>
      <c r="G558" t="inlineStr">
        <is>
          <t>NORRTÄLJE</t>
        </is>
      </c>
      <c r="H558" t="inlineStr">
        <is>
          <t>Naturvårdsverket</t>
        </is>
      </c>
      <c r="I558" t="n">
        <v>6.4</v>
      </c>
      <c r="J558" t="n">
        <v>0</v>
      </c>
      <c r="K558" t="n">
        <v>0</v>
      </c>
      <c r="L558" t="n">
        <v>0</v>
      </c>
      <c r="M558" t="n">
        <v>0</v>
      </c>
      <c r="N558" t="n">
        <v>0</v>
      </c>
      <c r="O558" t="n">
        <v>0</v>
      </c>
      <c r="P558" t="n">
        <v>0</v>
      </c>
      <c r="Q558" t="n">
        <v>0</v>
      </c>
      <c r="R558" t="n">
        <v>0</v>
      </c>
      <c r="S558" t="n">
        <v>0</v>
      </c>
      <c r="T558" t="n">
        <v>0</v>
      </c>
      <c r="U558" s="2" t="inlineStr"/>
    </row>
    <row r="559" ht="15" customHeight="1">
      <c r="A559" t="inlineStr">
        <is>
          <t>A 67921-2021</t>
        </is>
      </c>
      <c r="B559" t="inlineStr">
        <is>
          <t>avverkningsanmälan</t>
        </is>
      </c>
      <c r="C559" t="inlineStr">
        <is>
          <t>Föryngringsavverkning</t>
        </is>
      </c>
      <c r="D559" s="1" t="n">
        <v>44525</v>
      </c>
      <c r="E559" s="1" t="n">
        <v>46221</v>
      </c>
      <c r="F559" t="inlineStr">
        <is>
          <t>STOCKHOLMS LÄN</t>
        </is>
      </c>
      <c r="G559" t="inlineStr">
        <is>
          <t>NORRTÄLJE</t>
        </is>
      </c>
      <c r="I559" t="n">
        <v>6.3</v>
      </c>
      <c r="J559" t="n">
        <v>0</v>
      </c>
      <c r="K559" t="n">
        <v>0</v>
      </c>
      <c r="L559" t="n">
        <v>0</v>
      </c>
      <c r="M559" t="n">
        <v>0</v>
      </c>
      <c r="N559" t="n">
        <v>0</v>
      </c>
      <c r="O559" t="n">
        <v>0</v>
      </c>
      <c r="P559" t="n">
        <v>0</v>
      </c>
      <c r="Q559" t="n">
        <v>0</v>
      </c>
      <c r="R559" t="n">
        <v>0</v>
      </c>
      <c r="S559" t="n">
        <v>0</v>
      </c>
      <c r="T559" t="n">
        <v>0</v>
      </c>
      <c r="U559" s="2" t="inlineStr"/>
    </row>
    <row r="560" ht="15" customHeight="1">
      <c r="A560" t="inlineStr">
        <is>
          <t>A 51945-2025</t>
        </is>
      </c>
      <c r="B560" t="inlineStr">
        <is>
          <t>avverkningsanmälan</t>
        </is>
      </c>
      <c r="C560" t="inlineStr">
        <is>
          <t>Föryngringsavverkning</t>
        </is>
      </c>
      <c r="D560" s="1" t="n">
        <v>45952</v>
      </c>
      <c r="E560" s="1" t="n">
        <v>46221</v>
      </c>
      <c r="F560" t="inlineStr">
        <is>
          <t>STOCKHOLMS LÄN</t>
        </is>
      </c>
      <c r="G560" t="inlineStr">
        <is>
          <t>NORRTÄLJE</t>
        </is>
      </c>
      <c r="I560" t="n">
        <v>7</v>
      </c>
      <c r="J560" t="n">
        <v>0</v>
      </c>
      <c r="K560" t="n">
        <v>0</v>
      </c>
      <c r="L560" t="n">
        <v>0</v>
      </c>
      <c r="M560" t="n">
        <v>0</v>
      </c>
      <c r="N560" t="n">
        <v>0</v>
      </c>
      <c r="O560" t="n">
        <v>0</v>
      </c>
      <c r="P560" t="n">
        <v>0</v>
      </c>
      <c r="Q560" t="n">
        <v>0</v>
      </c>
      <c r="R560" t="n">
        <v>0</v>
      </c>
      <c r="S560" t="n">
        <v>0</v>
      </c>
      <c r="T560" t="n">
        <v>0</v>
      </c>
      <c r="U560" s="2" t="inlineStr"/>
    </row>
    <row r="561" ht="15" customHeight="1">
      <c r="A561" t="inlineStr">
        <is>
          <t>A 60217-2021</t>
        </is>
      </c>
      <c r="B561" t="inlineStr">
        <is>
          <t>avverkningsanmälan</t>
        </is>
      </c>
      <c r="C561" t="inlineStr">
        <is>
          <t>Föryngringsavverkning</t>
        </is>
      </c>
      <c r="D561" s="1" t="n">
        <v>44495</v>
      </c>
      <c r="E561" s="1" t="n">
        <v>46221</v>
      </c>
      <c r="F561" t="inlineStr">
        <is>
          <t>STOCKHOLMS LÄN</t>
        </is>
      </c>
      <c r="G561" t="inlineStr">
        <is>
          <t>NORRTÄLJE</t>
        </is>
      </c>
      <c r="I561" t="n">
        <v>4.3</v>
      </c>
      <c r="J561" t="n">
        <v>0</v>
      </c>
      <c r="K561" t="n">
        <v>0</v>
      </c>
      <c r="L561" t="n">
        <v>0</v>
      </c>
      <c r="M561" t="n">
        <v>0</v>
      </c>
      <c r="N561" t="n">
        <v>0</v>
      </c>
      <c r="O561" t="n">
        <v>0</v>
      </c>
      <c r="P561" t="n">
        <v>0</v>
      </c>
      <c r="Q561" t="n">
        <v>0</v>
      </c>
      <c r="R561" t="n">
        <v>0</v>
      </c>
      <c r="S561" t="n">
        <v>0</v>
      </c>
      <c r="T561" t="n">
        <v>0</v>
      </c>
      <c r="U561" s="2" t="inlineStr"/>
    </row>
    <row r="562" ht="15" customHeight="1">
      <c r="A562" t="inlineStr">
        <is>
          <t>A 52061-2025</t>
        </is>
      </c>
      <c r="B562" t="inlineStr">
        <is>
          <t>avverkningsanmälan</t>
        </is>
      </c>
      <c r="C562" t="inlineStr">
        <is>
          <t>Föryngringsavverkning</t>
        </is>
      </c>
      <c r="D562" s="1" t="n">
        <v>45952</v>
      </c>
      <c r="E562" s="1" t="n">
        <v>46221</v>
      </c>
      <c r="F562" t="inlineStr">
        <is>
          <t>STOCKHOLMS LÄN</t>
        </is>
      </c>
      <c r="G562" t="inlineStr">
        <is>
          <t>NORRTÄLJE</t>
        </is>
      </c>
      <c r="I562" t="n">
        <v>9.5</v>
      </c>
      <c r="J562" t="n">
        <v>0</v>
      </c>
      <c r="K562" t="n">
        <v>0</v>
      </c>
      <c r="L562" t="n">
        <v>0</v>
      </c>
      <c r="M562" t="n">
        <v>0</v>
      </c>
      <c r="N562" t="n">
        <v>0</v>
      </c>
      <c r="O562" t="n">
        <v>0</v>
      </c>
      <c r="P562" t="n">
        <v>0</v>
      </c>
      <c r="Q562" t="n">
        <v>0</v>
      </c>
      <c r="R562" t="n">
        <v>0</v>
      </c>
      <c r="S562" t="n">
        <v>0</v>
      </c>
      <c r="T562" t="n">
        <v>0</v>
      </c>
      <c r="U562" s="2" t="inlineStr"/>
    </row>
    <row r="563" ht="15" customHeight="1">
      <c r="A563" t="inlineStr">
        <is>
          <t>A 51960-2025</t>
        </is>
      </c>
      <c r="B563" t="inlineStr">
        <is>
          <t>avverkningsanmälan</t>
        </is>
      </c>
      <c r="C563" t="inlineStr">
        <is>
          <t>Föryngringsavverkning</t>
        </is>
      </c>
      <c r="D563" s="1" t="n">
        <v>45952</v>
      </c>
      <c r="E563" s="1" t="n">
        <v>46221</v>
      </c>
      <c r="F563" t="inlineStr">
        <is>
          <t>STOCKHOLMS LÄN</t>
        </is>
      </c>
      <c r="G563" t="inlineStr">
        <is>
          <t>NORRTÄLJE</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51789-2025</t>
        </is>
      </c>
      <c r="B564" t="inlineStr">
        <is>
          <t>avverkningsanmälan</t>
        </is>
      </c>
      <c r="C564" t="inlineStr">
        <is>
          <t>Föryngringsavverkning</t>
        </is>
      </c>
      <c r="D564" s="1" t="n">
        <v>45951</v>
      </c>
      <c r="E564" s="1" t="n">
        <v>46221</v>
      </c>
      <c r="F564" t="inlineStr">
        <is>
          <t>STOCKHOLMS LÄN</t>
        </is>
      </c>
      <c r="G564" t="inlineStr">
        <is>
          <t>NORRTÄLJE</t>
        </is>
      </c>
      <c r="H564" t="inlineStr">
        <is>
          <t>Naturvårdsverket</t>
        </is>
      </c>
      <c r="I564" t="n">
        <v>8.9</v>
      </c>
      <c r="J564" t="n">
        <v>0</v>
      </c>
      <c r="K564" t="n">
        <v>0</v>
      </c>
      <c r="L564" t="n">
        <v>0</v>
      </c>
      <c r="M564" t="n">
        <v>0</v>
      </c>
      <c r="N564" t="n">
        <v>0</v>
      </c>
      <c r="O564" t="n">
        <v>0</v>
      </c>
      <c r="P564" t="n">
        <v>0</v>
      </c>
      <c r="Q564" t="n">
        <v>0</v>
      </c>
      <c r="R564" t="n">
        <v>0</v>
      </c>
      <c r="S564" t="n">
        <v>0</v>
      </c>
      <c r="T564" t="n">
        <v>0</v>
      </c>
      <c r="U564" s="2" t="inlineStr"/>
    </row>
    <row r="565" ht="15" customHeight="1">
      <c r="A565" t="inlineStr">
        <is>
          <t>A 8091-2026</t>
        </is>
      </c>
      <c r="B565" t="inlineStr">
        <is>
          <t>avverkningsanmälan</t>
        </is>
      </c>
      <c r="C565" t="inlineStr">
        <is>
          <t>Föryngringsavverkning</t>
        </is>
      </c>
      <c r="D565" s="1" t="n">
        <v>46063</v>
      </c>
      <c r="E565" s="1" t="n">
        <v>46221</v>
      </c>
      <c r="F565" t="inlineStr">
        <is>
          <t>STOCKHOLMS LÄN</t>
        </is>
      </c>
      <c r="G565" t="inlineStr">
        <is>
          <t>NORRTÄLJE</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8096-2026</t>
        </is>
      </c>
      <c r="B566" t="inlineStr">
        <is>
          <t>avverkningsanmälan</t>
        </is>
      </c>
      <c r="C566" t="inlineStr">
        <is>
          <t>Föryngringsavverkning</t>
        </is>
      </c>
      <c r="D566" s="1" t="n">
        <v>46063</v>
      </c>
      <c r="E566" s="1" t="n">
        <v>46221</v>
      </c>
      <c r="F566" t="inlineStr">
        <is>
          <t>STOCKHOLMS LÄN</t>
        </is>
      </c>
      <c r="G566" t="inlineStr">
        <is>
          <t>NORRTÄLJE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28900-2022</t>
        </is>
      </c>
      <c r="B567" t="inlineStr">
        <is>
          <t>avverkningsanmälan</t>
        </is>
      </c>
      <c r="C567" t="inlineStr">
        <is>
          <t>Föryngringsavverkning</t>
        </is>
      </c>
      <c r="D567" s="1" t="n">
        <v>44749</v>
      </c>
      <c r="E567" s="1" t="n">
        <v>46221</v>
      </c>
      <c r="F567" t="inlineStr">
        <is>
          <t>STOCKHOLMS LÄN</t>
        </is>
      </c>
      <c r="G567" t="inlineStr">
        <is>
          <t>NORRTÄLJE</t>
        </is>
      </c>
      <c r="I567" t="n">
        <v>8.699999999999999</v>
      </c>
      <c r="J567" t="n">
        <v>0</v>
      </c>
      <c r="K567" t="n">
        <v>0</v>
      </c>
      <c r="L567" t="n">
        <v>0</v>
      </c>
      <c r="M567" t="n">
        <v>0</v>
      </c>
      <c r="N567" t="n">
        <v>0</v>
      </c>
      <c r="O567" t="n">
        <v>0</v>
      </c>
      <c r="P567" t="n">
        <v>0</v>
      </c>
      <c r="Q567" t="n">
        <v>0</v>
      </c>
      <c r="R567" t="n">
        <v>0</v>
      </c>
      <c r="S567" t="n">
        <v>0</v>
      </c>
      <c r="T567" t="n">
        <v>0</v>
      </c>
      <c r="U567" s="2" t="inlineStr"/>
    </row>
    <row r="568" ht="15" customHeight="1">
      <c r="A568" t="inlineStr">
        <is>
          <t>A 32514-2022</t>
        </is>
      </c>
      <c r="B568" t="inlineStr">
        <is>
          <t>avverkningsanmälan</t>
        </is>
      </c>
      <c r="C568" t="inlineStr">
        <is>
          <t>Föryngringsavverkning</t>
        </is>
      </c>
      <c r="D568" s="1" t="n">
        <v>44782</v>
      </c>
      <c r="E568" s="1" t="n">
        <v>46221</v>
      </c>
      <c r="F568" t="inlineStr">
        <is>
          <t>STOCKHOLMS LÄN</t>
        </is>
      </c>
      <c r="G568" t="inlineStr">
        <is>
          <t>NORRTÄLJE</t>
        </is>
      </c>
      <c r="I568" t="n">
        <v>5.1</v>
      </c>
      <c r="J568" t="n">
        <v>0</v>
      </c>
      <c r="K568" t="n">
        <v>0</v>
      </c>
      <c r="L568" t="n">
        <v>0</v>
      </c>
      <c r="M568" t="n">
        <v>0</v>
      </c>
      <c r="N568" t="n">
        <v>0</v>
      </c>
      <c r="O568" t="n">
        <v>0</v>
      </c>
      <c r="P568" t="n">
        <v>0</v>
      </c>
      <c r="Q568" t="n">
        <v>0</v>
      </c>
      <c r="R568" t="n">
        <v>0</v>
      </c>
      <c r="S568" t="n">
        <v>0</v>
      </c>
      <c r="T568" t="n">
        <v>0</v>
      </c>
      <c r="U568" s="2" t="inlineStr"/>
    </row>
    <row r="569" ht="15" customHeight="1">
      <c r="A569" t="inlineStr">
        <is>
          <t>A 8055-2026</t>
        </is>
      </c>
      <c r="B569" t="inlineStr">
        <is>
          <t>avverkningsanmälan</t>
        </is>
      </c>
      <c r="C569" t="inlineStr">
        <is>
          <t>Föryngringsavverkning</t>
        </is>
      </c>
      <c r="D569" s="1" t="n">
        <v>46063</v>
      </c>
      <c r="E569" s="1" t="n">
        <v>46221</v>
      </c>
      <c r="F569" t="inlineStr">
        <is>
          <t>STOCKHOLMS LÄN</t>
        </is>
      </c>
      <c r="G569" t="inlineStr">
        <is>
          <t>NORRTÄLJE</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8454-2026</t>
        </is>
      </c>
      <c r="B570" t="inlineStr">
        <is>
          <t>avverkningsanmälan</t>
        </is>
      </c>
      <c r="C570" t="inlineStr">
        <is>
          <t>Föryngringsavverkning</t>
        </is>
      </c>
      <c r="D570" s="1" t="n">
        <v>46065</v>
      </c>
      <c r="E570" s="1" t="n">
        <v>46221</v>
      </c>
      <c r="F570" t="inlineStr">
        <is>
          <t>STOCKHOLMS LÄN</t>
        </is>
      </c>
      <c r="G570" t="inlineStr">
        <is>
          <t>NORRTÄLJE</t>
        </is>
      </c>
      <c r="I570" t="n">
        <v>3.2</v>
      </c>
      <c r="J570" t="n">
        <v>0</v>
      </c>
      <c r="K570" t="n">
        <v>0</v>
      </c>
      <c r="L570" t="n">
        <v>0</v>
      </c>
      <c r="M570" t="n">
        <v>0</v>
      </c>
      <c r="N570" t="n">
        <v>0</v>
      </c>
      <c r="O570" t="n">
        <v>0</v>
      </c>
      <c r="P570" t="n">
        <v>0</v>
      </c>
      <c r="Q570" t="n">
        <v>0</v>
      </c>
      <c r="R570" t="n">
        <v>0</v>
      </c>
      <c r="S570" t="n">
        <v>0</v>
      </c>
      <c r="T570" t="n">
        <v>0</v>
      </c>
      <c r="U570" s="2" t="inlineStr"/>
    </row>
    <row r="571" ht="15" customHeight="1">
      <c r="A571" t="inlineStr">
        <is>
          <t>A 52729-2025</t>
        </is>
      </c>
      <c r="B571" t="inlineStr">
        <is>
          <t>avverkningsanmälan</t>
        </is>
      </c>
      <c r="C571" t="inlineStr">
        <is>
          <t>Föryngringsavverkning</t>
        </is>
      </c>
      <c r="D571" s="1" t="n">
        <v>45957</v>
      </c>
      <c r="E571" s="1" t="n">
        <v>46221</v>
      </c>
      <c r="F571" t="inlineStr">
        <is>
          <t>STOCKHOLMS LÄN</t>
        </is>
      </c>
      <c r="G571" t="inlineStr">
        <is>
          <t>NORRTÄLJE</t>
        </is>
      </c>
      <c r="H571" t="inlineStr">
        <is>
          <t>Sveaskog</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52777-2025</t>
        </is>
      </c>
      <c r="B572" t="inlineStr">
        <is>
          <t>avverkningsanmälan</t>
        </is>
      </c>
      <c r="C572" t="inlineStr">
        <is>
          <t>Föryngringsavverkning</t>
        </is>
      </c>
      <c r="D572" s="1" t="n">
        <v>45957</v>
      </c>
      <c r="E572" s="1" t="n">
        <v>46221</v>
      </c>
      <c r="F572" t="inlineStr">
        <is>
          <t>STOCKHOLMS LÄN</t>
        </is>
      </c>
      <c r="G572" t="inlineStr">
        <is>
          <t>NORRTÄLJE</t>
        </is>
      </c>
      <c r="H572" t="inlineStr">
        <is>
          <t>Sveaskog</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52553-2025</t>
        </is>
      </c>
      <c r="B573" t="inlineStr">
        <is>
          <t>avverkningsanmälan</t>
        </is>
      </c>
      <c r="C573" t="inlineStr">
        <is>
          <t>Föryngringsavverkning</t>
        </is>
      </c>
      <c r="D573" s="1" t="n">
        <v>45954</v>
      </c>
      <c r="E573" s="1" t="n">
        <v>46221</v>
      </c>
      <c r="F573" t="inlineStr">
        <is>
          <t>STOCKHOLMS LÄN</t>
        </is>
      </c>
      <c r="G573" t="inlineStr">
        <is>
          <t>NORRTÄLJE</t>
        </is>
      </c>
      <c r="I573" t="n">
        <v>4.4</v>
      </c>
      <c r="J573" t="n">
        <v>0</v>
      </c>
      <c r="K573" t="n">
        <v>0</v>
      </c>
      <c r="L573" t="n">
        <v>0</v>
      </c>
      <c r="M573" t="n">
        <v>0</v>
      </c>
      <c r="N573" t="n">
        <v>0</v>
      </c>
      <c r="O573" t="n">
        <v>0</v>
      </c>
      <c r="P573" t="n">
        <v>0</v>
      </c>
      <c r="Q573" t="n">
        <v>0</v>
      </c>
      <c r="R573" t="n">
        <v>0</v>
      </c>
      <c r="S573" t="n">
        <v>0</v>
      </c>
      <c r="T573" t="n">
        <v>0</v>
      </c>
      <c r="U573" s="2" t="inlineStr"/>
    </row>
    <row r="574" ht="15" customHeight="1">
      <c r="A574" t="inlineStr">
        <is>
          <t>A 23125-2022</t>
        </is>
      </c>
      <c r="B574" t="inlineStr">
        <is>
          <t>avverkningsanmälan</t>
        </is>
      </c>
      <c r="C574" t="inlineStr">
        <is>
          <t>Föryngringsavverkning</t>
        </is>
      </c>
      <c r="D574" s="1" t="n">
        <v>44719</v>
      </c>
      <c r="E574" s="1" t="n">
        <v>46221</v>
      </c>
      <c r="F574" t="inlineStr">
        <is>
          <t>STOCKHOLMS LÄN</t>
        </is>
      </c>
      <c r="G574" t="inlineStr">
        <is>
          <t>NORRTÄLJE</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52704-2025</t>
        </is>
      </c>
      <c r="B575" t="inlineStr">
        <is>
          <t>avverkningsanmälan</t>
        </is>
      </c>
      <c r="C575" t="inlineStr">
        <is>
          <t>Föryngringsavverkning</t>
        </is>
      </c>
      <c r="D575" s="1" t="n">
        <v>45956</v>
      </c>
      <c r="E575" s="1" t="n">
        <v>46221</v>
      </c>
      <c r="F575" t="inlineStr">
        <is>
          <t>STOCKHOLMS LÄN</t>
        </is>
      </c>
      <c r="G575" t="inlineStr">
        <is>
          <t>NORRTÄLJE</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52734-2025</t>
        </is>
      </c>
      <c r="B576" t="inlineStr">
        <is>
          <t>avverkningsanmälan</t>
        </is>
      </c>
      <c r="C576" t="inlineStr">
        <is>
          <t>Föryngringsavverkning</t>
        </is>
      </c>
      <c r="D576" s="1" t="n">
        <v>45957</v>
      </c>
      <c r="E576" s="1" t="n">
        <v>46221</v>
      </c>
      <c r="F576" t="inlineStr">
        <is>
          <t>STOCKHOLMS LÄN</t>
        </is>
      </c>
      <c r="G576" t="inlineStr">
        <is>
          <t>NORRTÄLJE</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9329-2023</t>
        </is>
      </c>
      <c r="B577" t="inlineStr">
        <is>
          <t>avverkningsanmälan</t>
        </is>
      </c>
      <c r="C577" t="inlineStr">
        <is>
          <t>Föryngringsavverkning</t>
        </is>
      </c>
      <c r="D577" s="1" t="n">
        <v>44980</v>
      </c>
      <c r="E577" s="1" t="n">
        <v>46221</v>
      </c>
      <c r="F577" t="inlineStr">
        <is>
          <t>STOCKHOLMS LÄN</t>
        </is>
      </c>
      <c r="G577" t="inlineStr">
        <is>
          <t>NORRTÄLJE</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8465-2026</t>
        </is>
      </c>
      <c r="B578" t="inlineStr">
        <is>
          <t>avverkningsanmälan</t>
        </is>
      </c>
      <c r="C578" t="inlineStr">
        <is>
          <t>Föryngringsavverkning</t>
        </is>
      </c>
      <c r="D578" s="1" t="n">
        <v>46065</v>
      </c>
      <c r="E578" s="1" t="n">
        <v>46221</v>
      </c>
      <c r="F578" t="inlineStr">
        <is>
          <t>STOCKHOLMS LÄN</t>
        </is>
      </c>
      <c r="G578" t="inlineStr">
        <is>
          <t>NORRTÄLJE</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6855-2025</t>
        </is>
      </c>
      <c r="B579" t="inlineStr">
        <is>
          <t>avverkningsanmälan</t>
        </is>
      </c>
      <c r="C579" t="inlineStr">
        <is>
          <t>Föryngringsavverkning</t>
        </is>
      </c>
      <c r="D579" s="1" t="n">
        <v>45700</v>
      </c>
      <c r="E579" s="1" t="n">
        <v>46221</v>
      </c>
      <c r="F579" t="inlineStr">
        <is>
          <t>STOCKHOLMS LÄN</t>
        </is>
      </c>
      <c r="G579" t="inlineStr">
        <is>
          <t>NORRTÄLJE</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52773-2025</t>
        </is>
      </c>
      <c r="B580" t="inlineStr">
        <is>
          <t>avverkningsanmälan</t>
        </is>
      </c>
      <c r="C580" t="inlineStr">
        <is>
          <t>Föryngringsavverkning</t>
        </is>
      </c>
      <c r="D580" s="1" t="n">
        <v>45957</v>
      </c>
      <c r="E580" s="1" t="n">
        <v>46221</v>
      </c>
      <c r="F580" t="inlineStr">
        <is>
          <t>STOCKHOLMS LÄN</t>
        </is>
      </c>
      <c r="G580" t="inlineStr">
        <is>
          <t>NORRTÄLJE</t>
        </is>
      </c>
      <c r="H580" t="inlineStr">
        <is>
          <t>Sveaskog</t>
        </is>
      </c>
      <c r="I580" t="n">
        <v>10.5</v>
      </c>
      <c r="J580" t="n">
        <v>0</v>
      </c>
      <c r="K580" t="n">
        <v>0</v>
      </c>
      <c r="L580" t="n">
        <v>0</v>
      </c>
      <c r="M580" t="n">
        <v>0</v>
      </c>
      <c r="N580" t="n">
        <v>0</v>
      </c>
      <c r="O580" t="n">
        <v>0</v>
      </c>
      <c r="P580" t="n">
        <v>0</v>
      </c>
      <c r="Q580" t="n">
        <v>0</v>
      </c>
      <c r="R580" t="n">
        <v>0</v>
      </c>
      <c r="S580" t="n">
        <v>0</v>
      </c>
      <c r="T580" t="n">
        <v>0</v>
      </c>
      <c r="U580" s="2" t="inlineStr"/>
    </row>
    <row r="581" ht="15" customHeight="1">
      <c r="A581" t="inlineStr">
        <is>
          <t>A 8489-2026</t>
        </is>
      </c>
      <c r="B581" t="inlineStr">
        <is>
          <t>avverkningsanmälan</t>
        </is>
      </c>
      <c r="C581" t="inlineStr">
        <is>
          <t>Föryngringsavverkning</t>
        </is>
      </c>
      <c r="D581" s="1" t="n">
        <v>46065</v>
      </c>
      <c r="E581" s="1" t="n">
        <v>46221</v>
      </c>
      <c r="F581" t="inlineStr">
        <is>
          <t>STOCKHOLMS LÄN</t>
        </is>
      </c>
      <c r="G581" t="inlineStr">
        <is>
          <t>NORRTÄLJE</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8985-2026</t>
        </is>
      </c>
      <c r="B582" t="inlineStr">
        <is>
          <t>avverkningsanmälan</t>
        </is>
      </c>
      <c r="C582" t="inlineStr">
        <is>
          <t>Föryngringsavverkning</t>
        </is>
      </c>
      <c r="D582" s="1" t="n">
        <v>46069</v>
      </c>
      <c r="E582" s="1" t="n">
        <v>46221</v>
      </c>
      <c r="F582" t="inlineStr">
        <is>
          <t>STOCKHOLMS LÄN</t>
        </is>
      </c>
      <c r="G582" t="inlineStr">
        <is>
          <t>NORRTÄLJE</t>
        </is>
      </c>
      <c r="H582" t="inlineStr">
        <is>
          <t>Holmen skog AB</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8135-2025</t>
        </is>
      </c>
      <c r="B583" t="inlineStr">
        <is>
          <t>avverkningsanmälan</t>
        </is>
      </c>
      <c r="C583" t="inlineStr">
        <is>
          <t>Föryngringsavverkning</t>
        </is>
      </c>
      <c r="D583" s="1" t="n">
        <v>45707</v>
      </c>
      <c r="E583" s="1" t="n">
        <v>46221</v>
      </c>
      <c r="F583" t="inlineStr">
        <is>
          <t>STOCKHOLMS LÄN</t>
        </is>
      </c>
      <c r="G583" t="inlineStr">
        <is>
          <t>NORRTÄLJE</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31936-2022</t>
        </is>
      </c>
      <c r="B584" t="inlineStr">
        <is>
          <t>avverkningsanmälan</t>
        </is>
      </c>
      <c r="C584" t="inlineStr">
        <is>
          <t>Föryngringsavverkning</t>
        </is>
      </c>
      <c r="D584" s="1" t="n">
        <v>44777</v>
      </c>
      <c r="E584" s="1" t="n">
        <v>46221</v>
      </c>
      <c r="F584" t="inlineStr">
        <is>
          <t>STOCKHOLMS LÄN</t>
        </is>
      </c>
      <c r="G584" t="inlineStr">
        <is>
          <t>NORRTÄLJE</t>
        </is>
      </c>
      <c r="I584" t="n">
        <v>5.2</v>
      </c>
      <c r="J584" t="n">
        <v>0</v>
      </c>
      <c r="K584" t="n">
        <v>0</v>
      </c>
      <c r="L584" t="n">
        <v>0</v>
      </c>
      <c r="M584" t="n">
        <v>0</v>
      </c>
      <c r="N584" t="n">
        <v>0</v>
      </c>
      <c r="O584" t="n">
        <v>0</v>
      </c>
      <c r="P584" t="n">
        <v>0</v>
      </c>
      <c r="Q584" t="n">
        <v>0</v>
      </c>
      <c r="R584" t="n">
        <v>0</v>
      </c>
      <c r="S584" t="n">
        <v>0</v>
      </c>
      <c r="T584" t="n">
        <v>0</v>
      </c>
      <c r="U584" s="2" t="inlineStr"/>
    </row>
    <row r="585" ht="15" customHeight="1">
      <c r="A585" t="inlineStr">
        <is>
          <t>A 24887-2023</t>
        </is>
      </c>
      <c r="B585" t="inlineStr">
        <is>
          <t>avverkningsanmälan</t>
        </is>
      </c>
      <c r="C585" t="inlineStr">
        <is>
          <t>Föryngringsavverkning</t>
        </is>
      </c>
      <c r="D585" s="1" t="n">
        <v>45085</v>
      </c>
      <c r="E585" s="1" t="n">
        <v>46221</v>
      </c>
      <c r="F585" t="inlineStr">
        <is>
          <t>STOCKHOLMS LÄN</t>
        </is>
      </c>
      <c r="G585" t="inlineStr">
        <is>
          <t>NORRTÄLJE</t>
        </is>
      </c>
      <c r="I585" t="n">
        <v>13.9</v>
      </c>
      <c r="J585" t="n">
        <v>0</v>
      </c>
      <c r="K585" t="n">
        <v>0</v>
      </c>
      <c r="L585" t="n">
        <v>0</v>
      </c>
      <c r="M585" t="n">
        <v>0</v>
      </c>
      <c r="N585" t="n">
        <v>0</v>
      </c>
      <c r="O585" t="n">
        <v>0</v>
      </c>
      <c r="P585" t="n">
        <v>0</v>
      </c>
      <c r="Q585" t="n">
        <v>0</v>
      </c>
      <c r="R585" t="n">
        <v>0</v>
      </c>
      <c r="S585" t="n">
        <v>0</v>
      </c>
      <c r="T585" t="n">
        <v>0</v>
      </c>
      <c r="U585" s="2" t="inlineStr"/>
    </row>
    <row r="586" ht="15" customHeight="1">
      <c r="A586" t="inlineStr">
        <is>
          <t>A 8989-2026</t>
        </is>
      </c>
      <c r="B586" t="inlineStr">
        <is>
          <t>avverkningsanmälan</t>
        </is>
      </c>
      <c r="C586" t="inlineStr">
        <is>
          <t>Föryngringsavverkning</t>
        </is>
      </c>
      <c r="D586" s="1" t="n">
        <v>46069</v>
      </c>
      <c r="E586" s="1" t="n">
        <v>46221</v>
      </c>
      <c r="F586" t="inlineStr">
        <is>
          <t>STOCKHOLMS LÄN</t>
        </is>
      </c>
      <c r="G586" t="inlineStr">
        <is>
          <t>NORRTÄLJE</t>
        </is>
      </c>
      <c r="H586" t="inlineStr">
        <is>
          <t>Holmen skog AB</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56428-2023</t>
        </is>
      </c>
      <c r="B587" t="inlineStr">
        <is>
          <t>avverkningsanmälan</t>
        </is>
      </c>
      <c r="C587" t="inlineStr">
        <is>
          <t>Föryngringsavverkning</t>
        </is>
      </c>
      <c r="D587" s="1" t="n">
        <v>45243</v>
      </c>
      <c r="E587" s="1" t="n">
        <v>46221</v>
      </c>
      <c r="F587" t="inlineStr">
        <is>
          <t>STOCKHOLMS LÄN</t>
        </is>
      </c>
      <c r="G587" t="inlineStr">
        <is>
          <t>NORRTÄLJE</t>
        </is>
      </c>
      <c r="H587" t="inlineStr">
        <is>
          <t>Kyrkan</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30338-2022</t>
        </is>
      </c>
      <c r="B588" t="inlineStr">
        <is>
          <t>avverkningsanmälan</t>
        </is>
      </c>
      <c r="C588" t="inlineStr">
        <is>
          <t>Avverkning för annat ändamål</t>
        </is>
      </c>
      <c r="D588" s="1" t="n">
        <v>44760</v>
      </c>
      <c r="E588" s="1" t="n">
        <v>46221</v>
      </c>
      <c r="F588" t="inlineStr">
        <is>
          <t>STOCKHOLMS LÄN</t>
        </is>
      </c>
      <c r="G588" t="inlineStr">
        <is>
          <t>NORRTÄLJE</t>
        </is>
      </c>
      <c r="I588" t="n">
        <v>0.3</v>
      </c>
      <c r="J588" t="n">
        <v>0</v>
      </c>
      <c r="K588" t="n">
        <v>0</v>
      </c>
      <c r="L588" t="n">
        <v>0</v>
      </c>
      <c r="M588" t="n">
        <v>0</v>
      </c>
      <c r="N588" t="n">
        <v>0</v>
      </c>
      <c r="O588" t="n">
        <v>0</v>
      </c>
      <c r="P588" t="n">
        <v>0</v>
      </c>
      <c r="Q588" t="n">
        <v>0</v>
      </c>
      <c r="R588" t="n">
        <v>0</v>
      </c>
      <c r="S588" t="n">
        <v>0</v>
      </c>
      <c r="T588" t="n">
        <v>0</v>
      </c>
      <c r="U588" s="2" t="inlineStr"/>
    </row>
    <row r="589" ht="15" customHeight="1">
      <c r="A589" t="inlineStr">
        <is>
          <t>A 53747-2025</t>
        </is>
      </c>
      <c r="B589" t="inlineStr">
        <is>
          <t>avverkningsanmälan</t>
        </is>
      </c>
      <c r="C589" t="inlineStr">
        <is>
          <t>Föryngringsavverkning</t>
        </is>
      </c>
      <c r="D589" s="1" t="n">
        <v>45960</v>
      </c>
      <c r="E589" s="1" t="n">
        <v>46221</v>
      </c>
      <c r="F589" t="inlineStr">
        <is>
          <t>STOCKHOLMS LÄN</t>
        </is>
      </c>
      <c r="G589" t="inlineStr">
        <is>
          <t>NORRTÄLJE</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8962-2026</t>
        </is>
      </c>
      <c r="B590" t="inlineStr">
        <is>
          <t>avverkningsanmälan</t>
        </is>
      </c>
      <c r="C590" t="inlineStr">
        <is>
          <t>Föryngringsavverkning</t>
        </is>
      </c>
      <c r="D590" s="1" t="n">
        <v>46069</v>
      </c>
      <c r="E590" s="1" t="n">
        <v>46221</v>
      </c>
      <c r="F590" t="inlineStr">
        <is>
          <t>STOCKHOLMS LÄN</t>
        </is>
      </c>
      <c r="G590" t="inlineStr">
        <is>
          <t>NORRTÄLJE</t>
        </is>
      </c>
      <c r="H590" t="inlineStr">
        <is>
          <t>Holmen skog AB</t>
        </is>
      </c>
      <c r="I590" t="n">
        <v>4.1</v>
      </c>
      <c r="J590" t="n">
        <v>0</v>
      </c>
      <c r="K590" t="n">
        <v>0</v>
      </c>
      <c r="L590" t="n">
        <v>0</v>
      </c>
      <c r="M590" t="n">
        <v>0</v>
      </c>
      <c r="N590" t="n">
        <v>0</v>
      </c>
      <c r="O590" t="n">
        <v>0</v>
      </c>
      <c r="P590" t="n">
        <v>0</v>
      </c>
      <c r="Q590" t="n">
        <v>0</v>
      </c>
      <c r="R590" t="n">
        <v>0</v>
      </c>
      <c r="S590" t="n">
        <v>0</v>
      </c>
      <c r="T590" t="n">
        <v>0</v>
      </c>
      <c r="U590" s="2" t="inlineStr"/>
    </row>
    <row r="591" ht="15" customHeight="1">
      <c r="A591" t="inlineStr">
        <is>
          <t>A 18541-2023</t>
        </is>
      </c>
      <c r="B591" t="inlineStr">
        <is>
          <t>avverkningsanmälan</t>
        </is>
      </c>
      <c r="C591" t="inlineStr">
        <is>
          <t>Föryngringsavverkning</t>
        </is>
      </c>
      <c r="D591" s="1" t="n">
        <v>45042</v>
      </c>
      <c r="E591" s="1" t="n">
        <v>46221</v>
      </c>
      <c r="F591" t="inlineStr">
        <is>
          <t>STOCKHOLMS LÄN</t>
        </is>
      </c>
      <c r="G591" t="inlineStr">
        <is>
          <t>NORRTÄLJE</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51325-2023</t>
        </is>
      </c>
      <c r="B592" t="inlineStr">
        <is>
          <t>avverkningsanmälan</t>
        </is>
      </c>
      <c r="C592" t="inlineStr">
        <is>
          <t>Föryngringsavverkning</t>
        </is>
      </c>
      <c r="D592" s="1" t="n">
        <v>45219</v>
      </c>
      <c r="E592" s="1" t="n">
        <v>46221</v>
      </c>
      <c r="F592" t="inlineStr">
        <is>
          <t>STOCKHOLMS LÄN</t>
        </is>
      </c>
      <c r="G592" t="inlineStr">
        <is>
          <t>NORRTÄLJE</t>
        </is>
      </c>
      <c r="I592" t="n">
        <v>2.2</v>
      </c>
      <c r="J592" t="n">
        <v>0</v>
      </c>
      <c r="K592" t="n">
        <v>0</v>
      </c>
      <c r="L592" t="n">
        <v>0</v>
      </c>
      <c r="M592" t="n">
        <v>0</v>
      </c>
      <c r="N592" t="n">
        <v>0</v>
      </c>
      <c r="O592" t="n">
        <v>0</v>
      </c>
      <c r="P592" t="n">
        <v>0</v>
      </c>
      <c r="Q592" t="n">
        <v>0</v>
      </c>
      <c r="R592" t="n">
        <v>0</v>
      </c>
      <c r="S592" t="n">
        <v>0</v>
      </c>
      <c r="T592" t="n">
        <v>0</v>
      </c>
      <c r="U592" s="2" t="inlineStr"/>
    </row>
    <row r="593" ht="15" customHeight="1">
      <c r="A593" t="inlineStr">
        <is>
          <t>A 21729-2024</t>
        </is>
      </c>
      <c r="B593" t="inlineStr">
        <is>
          <t>avverkningsanmälan</t>
        </is>
      </c>
      <c r="C593" t="inlineStr">
        <is>
          <t>Föryngringsavverkning</t>
        </is>
      </c>
      <c r="D593" s="1" t="n">
        <v>45442</v>
      </c>
      <c r="E593" s="1" t="n">
        <v>46221</v>
      </c>
      <c r="F593" t="inlineStr">
        <is>
          <t>STOCKHOLMS LÄN</t>
        </is>
      </c>
      <c r="G593" t="inlineStr">
        <is>
          <t>NORRTÄLJE</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21894-2023</t>
        </is>
      </c>
      <c r="B594" t="inlineStr">
        <is>
          <t>avverkningsanmälan</t>
        </is>
      </c>
      <c r="C594" t="inlineStr">
        <is>
          <t>Föryngringsavverkning</t>
        </is>
      </c>
      <c r="D594" s="1" t="n">
        <v>45068</v>
      </c>
      <c r="E594" s="1" t="n">
        <v>46221</v>
      </c>
      <c r="F594" t="inlineStr">
        <is>
          <t>STOCKHOLMS LÄN</t>
        </is>
      </c>
      <c r="G594" t="inlineStr">
        <is>
          <t>NORRTÄLJE</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21732-2023</t>
        </is>
      </c>
      <c r="B595" t="inlineStr">
        <is>
          <t>avverkningsanmälan</t>
        </is>
      </c>
      <c r="C595" t="inlineStr">
        <is>
          <t>Föryngringsavverkning</t>
        </is>
      </c>
      <c r="D595" s="1" t="n">
        <v>45063</v>
      </c>
      <c r="E595" s="1" t="n">
        <v>46221</v>
      </c>
      <c r="F595" t="inlineStr">
        <is>
          <t>STOCKHOLMS LÄN</t>
        </is>
      </c>
      <c r="G595" t="inlineStr">
        <is>
          <t>NORRTÄLJE</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9720-2026</t>
        </is>
      </c>
      <c r="B596" t="inlineStr">
        <is>
          <t>avverkningsanmälan</t>
        </is>
      </c>
      <c r="C596" t="inlineStr">
        <is>
          <t>Föryngringsavverkning</t>
        </is>
      </c>
      <c r="D596" s="1" t="n">
        <v>46072</v>
      </c>
      <c r="E596" s="1" t="n">
        <v>46221</v>
      </c>
      <c r="F596" t="inlineStr">
        <is>
          <t>STOCKHOLMS LÄN</t>
        </is>
      </c>
      <c r="G596" t="inlineStr">
        <is>
          <t>NORRTÄLJE</t>
        </is>
      </c>
      <c r="I596" t="n">
        <v>3.6</v>
      </c>
      <c r="J596" t="n">
        <v>0</v>
      </c>
      <c r="K596" t="n">
        <v>0</v>
      </c>
      <c r="L596" t="n">
        <v>0</v>
      </c>
      <c r="M596" t="n">
        <v>0</v>
      </c>
      <c r="N596" t="n">
        <v>0</v>
      </c>
      <c r="O596" t="n">
        <v>0</v>
      </c>
      <c r="P596" t="n">
        <v>0</v>
      </c>
      <c r="Q596" t="n">
        <v>0</v>
      </c>
      <c r="R596" t="n">
        <v>0</v>
      </c>
      <c r="S596" t="n">
        <v>0</v>
      </c>
      <c r="T596" t="n">
        <v>0</v>
      </c>
      <c r="U596" s="2" t="inlineStr"/>
    </row>
    <row r="597" ht="15" customHeight="1">
      <c r="A597" t="inlineStr">
        <is>
          <t>A 10399-2026</t>
        </is>
      </c>
      <c r="B597" t="inlineStr">
        <is>
          <t>avverkningsanmälan</t>
        </is>
      </c>
      <c r="C597" t="inlineStr">
        <is>
          <t>Avverkning för annat ändamål</t>
        </is>
      </c>
      <c r="D597" s="1" t="n">
        <v>46077</v>
      </c>
      <c r="E597" s="1" t="n">
        <v>46221</v>
      </c>
      <c r="F597" t="inlineStr">
        <is>
          <t>STOCKHOLMS LÄN</t>
        </is>
      </c>
      <c r="G597" t="inlineStr">
        <is>
          <t>NORRTÄLJE</t>
        </is>
      </c>
      <c r="H597" t="inlineStr">
        <is>
          <t>Övriga Aktiebolag</t>
        </is>
      </c>
      <c r="I597" t="n">
        <v>0.2</v>
      </c>
      <c r="J597" t="n">
        <v>0</v>
      </c>
      <c r="K597" t="n">
        <v>0</v>
      </c>
      <c r="L597" t="n">
        <v>0</v>
      </c>
      <c r="M597" t="n">
        <v>0</v>
      </c>
      <c r="N597" t="n">
        <v>0</v>
      </c>
      <c r="O597" t="n">
        <v>0</v>
      </c>
      <c r="P597" t="n">
        <v>0</v>
      </c>
      <c r="Q597" t="n">
        <v>0</v>
      </c>
      <c r="R597" t="n">
        <v>0</v>
      </c>
      <c r="S597" t="n">
        <v>0</v>
      </c>
      <c r="T597" t="n">
        <v>0</v>
      </c>
      <c r="U597" s="2" t="inlineStr"/>
    </row>
    <row r="598" ht="15" customHeight="1">
      <c r="A598" t="inlineStr">
        <is>
          <t>A 10429-2026</t>
        </is>
      </c>
      <c r="B598" t="inlineStr">
        <is>
          <t>avverkningsanmälan</t>
        </is>
      </c>
      <c r="C598" t="inlineStr">
        <is>
          <t>Föryngringsavverkning</t>
        </is>
      </c>
      <c r="D598" s="1" t="n">
        <v>46077</v>
      </c>
      <c r="E598" s="1" t="n">
        <v>46221</v>
      </c>
      <c r="F598" t="inlineStr">
        <is>
          <t>STOCKHOLMS LÄN</t>
        </is>
      </c>
      <c r="G598" t="inlineStr">
        <is>
          <t>NORRTÄLJE</t>
        </is>
      </c>
      <c r="H598" t="inlineStr">
        <is>
          <t>Holmen skog AB</t>
        </is>
      </c>
      <c r="I598" t="n">
        <v>1.9</v>
      </c>
      <c r="J598" t="n">
        <v>0</v>
      </c>
      <c r="K598" t="n">
        <v>0</v>
      </c>
      <c r="L598" t="n">
        <v>0</v>
      </c>
      <c r="M598" t="n">
        <v>0</v>
      </c>
      <c r="N598" t="n">
        <v>0</v>
      </c>
      <c r="O598" t="n">
        <v>0</v>
      </c>
      <c r="P598" t="n">
        <v>0</v>
      </c>
      <c r="Q598" t="n">
        <v>0</v>
      </c>
      <c r="R598" t="n">
        <v>0</v>
      </c>
      <c r="S598" t="n">
        <v>0</v>
      </c>
      <c r="T598" t="n">
        <v>0</v>
      </c>
      <c r="U598" s="2" t="inlineStr"/>
    </row>
    <row r="599" ht="15" customHeight="1">
      <c r="A599" t="inlineStr">
        <is>
          <t>A 10586-2026</t>
        </is>
      </c>
      <c r="B599" t="inlineStr">
        <is>
          <t>avverkningsanmälan</t>
        </is>
      </c>
      <c r="C599" t="inlineStr">
        <is>
          <t>Föryngringsavverkning</t>
        </is>
      </c>
      <c r="D599" s="1" t="n">
        <v>46077</v>
      </c>
      <c r="E599" s="1" t="n">
        <v>46221</v>
      </c>
      <c r="F599" t="inlineStr">
        <is>
          <t>STOCKHOLMS LÄN</t>
        </is>
      </c>
      <c r="G599" t="inlineStr">
        <is>
          <t>NORRTÄLJE</t>
        </is>
      </c>
      <c r="H599" t="inlineStr">
        <is>
          <t>Holmen skog AB</t>
        </is>
      </c>
      <c r="I599" t="n">
        <v>3.3</v>
      </c>
      <c r="J599" t="n">
        <v>0</v>
      </c>
      <c r="K599" t="n">
        <v>0</v>
      </c>
      <c r="L599" t="n">
        <v>0</v>
      </c>
      <c r="M599" t="n">
        <v>0</v>
      </c>
      <c r="N599" t="n">
        <v>0</v>
      </c>
      <c r="O599" t="n">
        <v>0</v>
      </c>
      <c r="P599" t="n">
        <v>0</v>
      </c>
      <c r="Q599" t="n">
        <v>0</v>
      </c>
      <c r="R599" t="n">
        <v>0</v>
      </c>
      <c r="S599" t="n">
        <v>0</v>
      </c>
      <c r="T599" t="n">
        <v>0</v>
      </c>
      <c r="U599" s="2" t="inlineStr"/>
    </row>
    <row r="600" ht="15" customHeight="1">
      <c r="A600" t="inlineStr">
        <is>
          <t>A 10444-2026</t>
        </is>
      </c>
      <c r="B600" t="inlineStr">
        <is>
          <t>avverkningsanmälan</t>
        </is>
      </c>
      <c r="C600" t="inlineStr">
        <is>
          <t>Föryngringsavverkning</t>
        </is>
      </c>
      <c r="D600" s="1" t="n">
        <v>46077</v>
      </c>
      <c r="E600" s="1" t="n">
        <v>46221</v>
      </c>
      <c r="F600" t="inlineStr">
        <is>
          <t>STOCKHOLMS LÄN</t>
        </is>
      </c>
      <c r="G600" t="inlineStr">
        <is>
          <t>NORRTÄLJE</t>
        </is>
      </c>
      <c r="H600" t="inlineStr">
        <is>
          <t>Holmen skog AB</t>
        </is>
      </c>
      <c r="I600" t="n">
        <v>4.9</v>
      </c>
      <c r="J600" t="n">
        <v>0</v>
      </c>
      <c r="K600" t="n">
        <v>0</v>
      </c>
      <c r="L600" t="n">
        <v>0</v>
      </c>
      <c r="M600" t="n">
        <v>0</v>
      </c>
      <c r="N600" t="n">
        <v>0</v>
      </c>
      <c r="O600" t="n">
        <v>0</v>
      </c>
      <c r="P600" t="n">
        <v>0</v>
      </c>
      <c r="Q600" t="n">
        <v>0</v>
      </c>
      <c r="R600" t="n">
        <v>0</v>
      </c>
      <c r="S600" t="n">
        <v>0</v>
      </c>
      <c r="T600" t="n">
        <v>0</v>
      </c>
      <c r="U600" s="2" t="inlineStr"/>
    </row>
    <row r="601" ht="15" customHeight="1">
      <c r="A601" t="inlineStr">
        <is>
          <t>A 37444-2021</t>
        </is>
      </c>
      <c r="B601" t="inlineStr">
        <is>
          <t>avverkningsanmälan</t>
        </is>
      </c>
      <c r="C601" t="inlineStr">
        <is>
          <t>Föryngringsavverkning</t>
        </is>
      </c>
      <c r="D601" s="1" t="n">
        <v>44398</v>
      </c>
      <c r="E601" s="1" t="n">
        <v>46221</v>
      </c>
      <c r="F601" t="inlineStr">
        <is>
          <t>STOCKHOLMS LÄN</t>
        </is>
      </c>
      <c r="G601" t="inlineStr">
        <is>
          <t>NORRTÄLJE</t>
        </is>
      </c>
      <c r="H601" t="inlineStr">
        <is>
          <t>Holmen skog AB</t>
        </is>
      </c>
      <c r="I601" t="n">
        <v>3.2</v>
      </c>
      <c r="J601" t="n">
        <v>0</v>
      </c>
      <c r="K601" t="n">
        <v>0</v>
      </c>
      <c r="L601" t="n">
        <v>0</v>
      </c>
      <c r="M601" t="n">
        <v>0</v>
      </c>
      <c r="N601" t="n">
        <v>0</v>
      </c>
      <c r="O601" t="n">
        <v>0</v>
      </c>
      <c r="P601" t="n">
        <v>0</v>
      </c>
      <c r="Q601" t="n">
        <v>0</v>
      </c>
      <c r="R601" t="n">
        <v>0</v>
      </c>
      <c r="S601" t="n">
        <v>0</v>
      </c>
      <c r="T601" t="n">
        <v>0</v>
      </c>
      <c r="U601" s="2" t="inlineStr"/>
    </row>
    <row r="602" ht="15" customHeight="1">
      <c r="A602" t="inlineStr">
        <is>
          <t>A 10553-2026</t>
        </is>
      </c>
      <c r="B602" t="inlineStr">
        <is>
          <t>avverkningsanmälan</t>
        </is>
      </c>
      <c r="C602" t="inlineStr">
        <is>
          <t>Föryngringsavverkning</t>
        </is>
      </c>
      <c r="D602" s="1" t="n">
        <v>46077</v>
      </c>
      <c r="E602" s="1" t="n">
        <v>46221</v>
      </c>
      <c r="F602" t="inlineStr">
        <is>
          <t>STOCKHOLMS LÄN</t>
        </is>
      </c>
      <c r="G602" t="inlineStr">
        <is>
          <t>NORRTÄLJE</t>
        </is>
      </c>
      <c r="I602" t="n">
        <v>4.9</v>
      </c>
      <c r="J602" t="n">
        <v>0</v>
      </c>
      <c r="K602" t="n">
        <v>0</v>
      </c>
      <c r="L602" t="n">
        <v>0</v>
      </c>
      <c r="M602" t="n">
        <v>0</v>
      </c>
      <c r="N602" t="n">
        <v>0</v>
      </c>
      <c r="O602" t="n">
        <v>0</v>
      </c>
      <c r="P602" t="n">
        <v>0</v>
      </c>
      <c r="Q602" t="n">
        <v>0</v>
      </c>
      <c r="R602" t="n">
        <v>0</v>
      </c>
      <c r="S602" t="n">
        <v>0</v>
      </c>
      <c r="T602" t="n">
        <v>0</v>
      </c>
      <c r="U602" s="2" t="inlineStr"/>
    </row>
    <row r="603" ht="15" customHeight="1">
      <c r="A603" t="inlineStr">
        <is>
          <t>A 45173-2023</t>
        </is>
      </c>
      <c r="B603" t="inlineStr">
        <is>
          <t>avverkningsanmälan</t>
        </is>
      </c>
      <c r="C603" t="inlineStr">
        <is>
          <t>Föryngringsavverkning</t>
        </is>
      </c>
      <c r="D603" s="1" t="n">
        <v>45191</v>
      </c>
      <c r="E603" s="1" t="n">
        <v>46221</v>
      </c>
      <c r="F603" t="inlineStr">
        <is>
          <t>STOCKHOLMS LÄN</t>
        </is>
      </c>
      <c r="G603" t="inlineStr">
        <is>
          <t>NORRTÄLJE</t>
        </is>
      </c>
      <c r="H603" t="inlineStr">
        <is>
          <t>Sveaskog</t>
        </is>
      </c>
      <c r="I603" t="n">
        <v>3.6</v>
      </c>
      <c r="J603" t="n">
        <v>0</v>
      </c>
      <c r="K603" t="n">
        <v>0</v>
      </c>
      <c r="L603" t="n">
        <v>0</v>
      </c>
      <c r="M603" t="n">
        <v>0</v>
      </c>
      <c r="N603" t="n">
        <v>0</v>
      </c>
      <c r="O603" t="n">
        <v>0</v>
      </c>
      <c r="P603" t="n">
        <v>0</v>
      </c>
      <c r="Q603" t="n">
        <v>0</v>
      </c>
      <c r="R603" t="n">
        <v>0</v>
      </c>
      <c r="S603" t="n">
        <v>0</v>
      </c>
      <c r="T603" t="n">
        <v>0</v>
      </c>
      <c r="U603" s="2" t="inlineStr"/>
    </row>
    <row r="604" ht="15" customHeight="1">
      <c r="A604" t="inlineStr">
        <is>
          <t>A 54907-2025</t>
        </is>
      </c>
      <c r="B604" t="inlineStr">
        <is>
          <t>avverkningsanmälan</t>
        </is>
      </c>
      <c r="C604" t="inlineStr">
        <is>
          <t>Föryngringsavverkning</t>
        </is>
      </c>
      <c r="D604" s="1" t="n">
        <v>45967</v>
      </c>
      <c r="E604" s="1" t="n">
        <v>46221</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64137-2021</t>
        </is>
      </c>
      <c r="B605" t="inlineStr">
        <is>
          <t>avverkningsanmälan</t>
        </is>
      </c>
      <c r="C605" t="inlineStr">
        <is>
          <t>Föryngringsavverkning</t>
        </is>
      </c>
      <c r="D605" s="1" t="n">
        <v>44510</v>
      </c>
      <c r="E605" s="1" t="n">
        <v>46221</v>
      </c>
      <c r="F605" t="inlineStr">
        <is>
          <t>STOCKHOLMS LÄN</t>
        </is>
      </c>
      <c r="G605" t="inlineStr">
        <is>
          <t>NORRTÄLJE</t>
        </is>
      </c>
      <c r="H605" t="inlineStr">
        <is>
          <t>Holmen skog AB</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38720-2022</t>
        </is>
      </c>
      <c r="B606" t="inlineStr">
        <is>
          <t>avverkningsanmälan</t>
        </is>
      </c>
      <c r="C606" t="inlineStr">
        <is>
          <t>Föryngringsavverkning</t>
        </is>
      </c>
      <c r="D606" s="1" t="n">
        <v>44815</v>
      </c>
      <c r="E606" s="1" t="n">
        <v>46221</v>
      </c>
      <c r="F606" t="inlineStr">
        <is>
          <t>STOCKHOLMS LÄN</t>
        </is>
      </c>
      <c r="G606" t="inlineStr">
        <is>
          <t>NORRTÄLJE</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19911-2025</t>
        </is>
      </c>
      <c r="B607" t="inlineStr">
        <is>
          <t>avverkningsanmälan</t>
        </is>
      </c>
      <c r="C607" t="inlineStr">
        <is>
          <t>Avverkning för annat ändamål</t>
        </is>
      </c>
      <c r="D607" s="1" t="n">
        <v>45771</v>
      </c>
      <c r="E607" s="1" t="n">
        <v>46221</v>
      </c>
      <c r="F607" t="inlineStr">
        <is>
          <t>STOCKHOLMS LÄN</t>
        </is>
      </c>
      <c r="G607" t="inlineStr">
        <is>
          <t>NORRTÄLJE</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55599-2025</t>
        </is>
      </c>
      <c r="B608" t="inlineStr">
        <is>
          <t>avverkningsanmälan</t>
        </is>
      </c>
      <c r="C608" t="inlineStr">
        <is>
          <t>Föryngringsavverkning</t>
        </is>
      </c>
      <c r="D608" s="1" t="n">
        <v>45971</v>
      </c>
      <c r="E608" s="1" t="n">
        <v>46221</v>
      </c>
      <c r="F608" t="inlineStr">
        <is>
          <t>STOCKHOLMS LÄN</t>
        </is>
      </c>
      <c r="G608" t="inlineStr">
        <is>
          <t>NORRTÄLJE</t>
        </is>
      </c>
      <c r="H608" t="inlineStr">
        <is>
          <t>Holmen skog AB</t>
        </is>
      </c>
      <c r="I608" t="n">
        <v>6.4</v>
      </c>
      <c r="J608" t="n">
        <v>0</v>
      </c>
      <c r="K608" t="n">
        <v>0</v>
      </c>
      <c r="L608" t="n">
        <v>0</v>
      </c>
      <c r="M608" t="n">
        <v>0</v>
      </c>
      <c r="N608" t="n">
        <v>0</v>
      </c>
      <c r="O608" t="n">
        <v>0</v>
      </c>
      <c r="P608" t="n">
        <v>0</v>
      </c>
      <c r="Q608" t="n">
        <v>0</v>
      </c>
      <c r="R608" t="n">
        <v>0</v>
      </c>
      <c r="S608" t="n">
        <v>0</v>
      </c>
      <c r="T608" t="n">
        <v>0</v>
      </c>
      <c r="U608" s="2" t="inlineStr"/>
    </row>
    <row r="609" ht="15" customHeight="1">
      <c r="A609" t="inlineStr">
        <is>
          <t>A 12532-2025</t>
        </is>
      </c>
      <c r="B609" t="inlineStr">
        <is>
          <t>avverkningsanmälan</t>
        </is>
      </c>
      <c r="C609" t="inlineStr">
        <is>
          <t>Föryngringsavverkning</t>
        </is>
      </c>
      <c r="D609" s="1" t="n">
        <v>45730</v>
      </c>
      <c r="E609" s="1" t="n">
        <v>46221</v>
      </c>
      <c r="F609" t="inlineStr">
        <is>
          <t>STOCKHOLMS LÄN</t>
        </is>
      </c>
      <c r="G609" t="inlineStr">
        <is>
          <t>NORRTÄLJE</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40175-2024</t>
        </is>
      </c>
      <c r="B610" t="inlineStr">
        <is>
          <t>avverkningsanmälan</t>
        </is>
      </c>
      <c r="C610" t="inlineStr">
        <is>
          <t>Föryngringsavverkning</t>
        </is>
      </c>
      <c r="D610" s="1" t="n">
        <v>45554</v>
      </c>
      <c r="E610" s="1" t="n">
        <v>46221</v>
      </c>
      <c r="F610" t="inlineStr">
        <is>
          <t>STOCKHOLMS LÄN</t>
        </is>
      </c>
      <c r="G610" t="inlineStr">
        <is>
          <t>NORRTÄLJE</t>
        </is>
      </c>
      <c r="I610" t="n">
        <v>7.7</v>
      </c>
      <c r="J610" t="n">
        <v>0</v>
      </c>
      <c r="K610" t="n">
        <v>0</v>
      </c>
      <c r="L610" t="n">
        <v>0</v>
      </c>
      <c r="M610" t="n">
        <v>0</v>
      </c>
      <c r="N610" t="n">
        <v>0</v>
      </c>
      <c r="O610" t="n">
        <v>0</v>
      </c>
      <c r="P610" t="n">
        <v>0</v>
      </c>
      <c r="Q610" t="n">
        <v>0</v>
      </c>
      <c r="R610" t="n">
        <v>0</v>
      </c>
      <c r="S610" t="n">
        <v>0</v>
      </c>
      <c r="T610" t="n">
        <v>0</v>
      </c>
      <c r="U610" s="2" t="inlineStr"/>
    </row>
    <row r="611" ht="15" customHeight="1">
      <c r="A611" t="inlineStr">
        <is>
          <t>A 16229-2022</t>
        </is>
      </c>
      <c r="B611" t="inlineStr">
        <is>
          <t>avverkningsanmälan</t>
        </is>
      </c>
      <c r="C611" t="inlineStr">
        <is>
          <t>Föryngringsavverkning</t>
        </is>
      </c>
      <c r="D611" s="1" t="n">
        <v>44670</v>
      </c>
      <c r="E611" s="1" t="n">
        <v>46221</v>
      </c>
      <c r="F611" t="inlineStr">
        <is>
          <t>STOCKHOLMS LÄN</t>
        </is>
      </c>
      <c r="G611" t="inlineStr">
        <is>
          <t>NORRTÄLJE</t>
        </is>
      </c>
      <c r="I611" t="n">
        <v>7.4</v>
      </c>
      <c r="J611" t="n">
        <v>0</v>
      </c>
      <c r="K611" t="n">
        <v>0</v>
      </c>
      <c r="L611" t="n">
        <v>0</v>
      </c>
      <c r="M611" t="n">
        <v>0</v>
      </c>
      <c r="N611" t="n">
        <v>0</v>
      </c>
      <c r="O611" t="n">
        <v>0</v>
      </c>
      <c r="P611" t="n">
        <v>0</v>
      </c>
      <c r="Q611" t="n">
        <v>0</v>
      </c>
      <c r="R611" t="n">
        <v>0</v>
      </c>
      <c r="S611" t="n">
        <v>0</v>
      </c>
      <c r="T611" t="n">
        <v>0</v>
      </c>
      <c r="U611" s="2" t="inlineStr"/>
    </row>
    <row r="612" ht="15" customHeight="1">
      <c r="A612" t="inlineStr">
        <is>
          <t>A 46914-2022</t>
        </is>
      </c>
      <c r="B612" t="inlineStr">
        <is>
          <t>avverkningsanmälan</t>
        </is>
      </c>
      <c r="C612" t="inlineStr">
        <is>
          <t>Föryngringsavverkning</t>
        </is>
      </c>
      <c r="D612" s="1" t="n">
        <v>44851</v>
      </c>
      <c r="E612" s="1" t="n">
        <v>46221</v>
      </c>
      <c r="F612" t="inlineStr">
        <is>
          <t>STOCKHOLMS LÄN</t>
        </is>
      </c>
      <c r="G612" t="inlineStr">
        <is>
          <t>NORRTÄLJE</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56114-2025</t>
        </is>
      </c>
      <c r="B613" t="inlineStr">
        <is>
          <t>avverkningsanmälan</t>
        </is>
      </c>
      <c r="C613" t="inlineStr">
        <is>
          <t>Föryngringsavverkning</t>
        </is>
      </c>
      <c r="D613" s="1" t="n">
        <v>45973</v>
      </c>
      <c r="E613" s="1" t="n">
        <v>46221</v>
      </c>
      <c r="F613" t="inlineStr">
        <is>
          <t>STOCKHOLMS LÄN</t>
        </is>
      </c>
      <c r="G613" t="inlineStr">
        <is>
          <t>NORRTÄLJE</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20015-2023</t>
        </is>
      </c>
      <c r="B614" t="inlineStr">
        <is>
          <t>avverkningsanmälan</t>
        </is>
      </c>
      <c r="C614" t="inlineStr">
        <is>
          <t>Föryngringsavverkning</t>
        </is>
      </c>
      <c r="D614" s="1" t="n">
        <v>45054</v>
      </c>
      <c r="E614" s="1" t="n">
        <v>46221</v>
      </c>
      <c r="F614" t="inlineStr">
        <is>
          <t>STOCKHOLMS LÄN</t>
        </is>
      </c>
      <c r="G614" t="inlineStr">
        <is>
          <t>NORRTÄLJE</t>
        </is>
      </c>
      <c r="I614" t="n">
        <v>8.300000000000001</v>
      </c>
      <c r="J614" t="n">
        <v>0</v>
      </c>
      <c r="K614" t="n">
        <v>0</v>
      </c>
      <c r="L614" t="n">
        <v>0</v>
      </c>
      <c r="M614" t="n">
        <v>0</v>
      </c>
      <c r="N614" t="n">
        <v>0</v>
      </c>
      <c r="O614" t="n">
        <v>0</v>
      </c>
      <c r="P614" t="n">
        <v>0</v>
      </c>
      <c r="Q614" t="n">
        <v>0</v>
      </c>
      <c r="R614" t="n">
        <v>0</v>
      </c>
      <c r="S614" t="n">
        <v>0</v>
      </c>
      <c r="T614" t="n">
        <v>0</v>
      </c>
      <c r="U614" s="2" t="inlineStr"/>
    </row>
    <row r="615" ht="15" customHeight="1">
      <c r="A615" t="inlineStr">
        <is>
          <t>A 11648-2026</t>
        </is>
      </c>
      <c r="B615" t="inlineStr">
        <is>
          <t>avverkningsanmälan</t>
        </is>
      </c>
      <c r="C615" t="inlineStr">
        <is>
          <t>Föryngringsavverkning</t>
        </is>
      </c>
      <c r="D615" s="1" t="n">
        <v>46084</v>
      </c>
      <c r="E615" s="1" t="n">
        <v>46221</v>
      </c>
      <c r="F615" t="inlineStr">
        <is>
          <t>STOCKHOLMS LÄN</t>
        </is>
      </c>
      <c r="G615" t="inlineStr">
        <is>
          <t>NORRTÄLJE</t>
        </is>
      </c>
      <c r="I615" t="n">
        <v>4.1</v>
      </c>
      <c r="J615" t="n">
        <v>0</v>
      </c>
      <c r="K615" t="n">
        <v>0</v>
      </c>
      <c r="L615" t="n">
        <v>0</v>
      </c>
      <c r="M615" t="n">
        <v>0</v>
      </c>
      <c r="N615" t="n">
        <v>0</v>
      </c>
      <c r="O615" t="n">
        <v>0</v>
      </c>
      <c r="P615" t="n">
        <v>0</v>
      </c>
      <c r="Q615" t="n">
        <v>0</v>
      </c>
      <c r="R615" t="n">
        <v>0</v>
      </c>
      <c r="S615" t="n">
        <v>0</v>
      </c>
      <c r="T615" t="n">
        <v>0</v>
      </c>
      <c r="U615" s="2" t="inlineStr"/>
    </row>
    <row r="616" ht="15" customHeight="1">
      <c r="A616" t="inlineStr">
        <is>
          <t>A 57953-2025</t>
        </is>
      </c>
      <c r="B616" t="inlineStr">
        <is>
          <t>avverkningsanmälan</t>
        </is>
      </c>
      <c r="C616" t="inlineStr">
        <is>
          <t>Föryngringsavverkning</t>
        </is>
      </c>
      <c r="D616" s="1" t="n">
        <v>45982</v>
      </c>
      <c r="E616" s="1" t="n">
        <v>46221</v>
      </c>
      <c r="F616" t="inlineStr">
        <is>
          <t>STOCKHOLMS LÄN</t>
        </is>
      </c>
      <c r="G616" t="inlineStr">
        <is>
          <t>NORRTÄLJE</t>
        </is>
      </c>
      <c r="H616" t="inlineStr">
        <is>
          <t>Sveaskog</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12234-2026</t>
        </is>
      </c>
      <c r="B617" t="inlineStr">
        <is>
          <t>avverkningsanmälan</t>
        </is>
      </c>
      <c r="C617" t="inlineStr">
        <is>
          <t>Föryngringsavverkning</t>
        </is>
      </c>
      <c r="D617" s="1" t="n">
        <v>46087</v>
      </c>
      <c r="E617" s="1" t="n">
        <v>46221</v>
      </c>
      <c r="F617" t="inlineStr">
        <is>
          <t>STOCKHOLMS LÄN</t>
        </is>
      </c>
      <c r="G617" t="inlineStr">
        <is>
          <t>NORRTÄLJE</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54776-2023</t>
        </is>
      </c>
      <c r="B618" t="inlineStr">
        <is>
          <t>avverkningsanmälan</t>
        </is>
      </c>
      <c r="C618" t="inlineStr">
        <is>
          <t>Föryngringsavverkning</t>
        </is>
      </c>
      <c r="D618" s="1" t="n">
        <v>45236</v>
      </c>
      <c r="E618" s="1" t="n">
        <v>46221</v>
      </c>
      <c r="F618" t="inlineStr">
        <is>
          <t>STOCKHOLMS LÄN</t>
        </is>
      </c>
      <c r="G618" t="inlineStr">
        <is>
          <t>NORRTÄLJE</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20144-2023</t>
        </is>
      </c>
      <c r="B619" t="inlineStr">
        <is>
          <t>avverkningsanmälan</t>
        </is>
      </c>
      <c r="C619" t="inlineStr">
        <is>
          <t>Föryngringsavverkning</t>
        </is>
      </c>
      <c r="D619" s="1" t="n">
        <v>45055</v>
      </c>
      <c r="E619" s="1" t="n">
        <v>46221</v>
      </c>
      <c r="F619" t="inlineStr">
        <is>
          <t>STOCKHOLMS LÄN</t>
        </is>
      </c>
      <c r="G619" t="inlineStr">
        <is>
          <t>NORRTÄLJE</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58403-2025</t>
        </is>
      </c>
      <c r="B620" t="inlineStr">
        <is>
          <t>avverkningsanmälan</t>
        </is>
      </c>
      <c r="C620" t="inlineStr">
        <is>
          <t>Föryngringsavverkning</t>
        </is>
      </c>
      <c r="D620" s="1" t="n">
        <v>45985</v>
      </c>
      <c r="E620" s="1" t="n">
        <v>46221</v>
      </c>
      <c r="F620" t="inlineStr">
        <is>
          <t>STOCKHOLMS LÄN</t>
        </is>
      </c>
      <c r="G620" t="inlineStr">
        <is>
          <t>NORRTÄLJE</t>
        </is>
      </c>
      <c r="H620" t="inlineStr">
        <is>
          <t>Naturvårdsverket</t>
        </is>
      </c>
      <c r="I620" t="n">
        <v>13.5</v>
      </c>
      <c r="J620" t="n">
        <v>0</v>
      </c>
      <c r="K620" t="n">
        <v>0</v>
      </c>
      <c r="L620" t="n">
        <v>0</v>
      </c>
      <c r="M620" t="n">
        <v>0</v>
      </c>
      <c r="N620" t="n">
        <v>0</v>
      </c>
      <c r="O620" t="n">
        <v>0</v>
      </c>
      <c r="P620" t="n">
        <v>0</v>
      </c>
      <c r="Q620" t="n">
        <v>0</v>
      </c>
      <c r="R620" t="n">
        <v>0</v>
      </c>
      <c r="S620" t="n">
        <v>0</v>
      </c>
      <c r="T620" t="n">
        <v>0</v>
      </c>
      <c r="U620" s="2" t="inlineStr"/>
    </row>
    <row r="621" ht="15" customHeight="1">
      <c r="A621" t="inlineStr">
        <is>
          <t>A 23056-2023</t>
        </is>
      </c>
      <c r="B621" t="inlineStr">
        <is>
          <t>avverkningsanmälan</t>
        </is>
      </c>
      <c r="C621" t="inlineStr">
        <is>
          <t>Föryngringsavverkning</t>
        </is>
      </c>
      <c r="D621" s="1" t="n">
        <v>45075</v>
      </c>
      <c r="E621" s="1" t="n">
        <v>46221</v>
      </c>
      <c r="F621" t="inlineStr">
        <is>
          <t>STOCKHOLMS LÄN</t>
        </is>
      </c>
      <c r="G621" t="inlineStr">
        <is>
          <t>NORRTÄLJE</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59672-2025</t>
        </is>
      </c>
      <c r="B622" t="inlineStr">
        <is>
          <t>avverkningsanmälan</t>
        </is>
      </c>
      <c r="C622" t="inlineStr">
        <is>
          <t>Föryngringsavverkning</t>
        </is>
      </c>
      <c r="D622" s="1" t="n">
        <v>45992</v>
      </c>
      <c r="E622" s="1" t="n">
        <v>46221</v>
      </c>
      <c r="F622" t="inlineStr">
        <is>
          <t>STOCKHOLMS LÄN</t>
        </is>
      </c>
      <c r="G622" t="inlineStr">
        <is>
          <t>NORRTÄLJE</t>
        </is>
      </c>
      <c r="I622" t="n">
        <v>4</v>
      </c>
      <c r="J622" t="n">
        <v>0</v>
      </c>
      <c r="K622" t="n">
        <v>0</v>
      </c>
      <c r="L622" t="n">
        <v>0</v>
      </c>
      <c r="M622" t="n">
        <v>0</v>
      </c>
      <c r="N622" t="n">
        <v>0</v>
      </c>
      <c r="O622" t="n">
        <v>0</v>
      </c>
      <c r="P622" t="n">
        <v>0</v>
      </c>
      <c r="Q622" t="n">
        <v>0</v>
      </c>
      <c r="R622" t="n">
        <v>0</v>
      </c>
      <c r="S622" t="n">
        <v>0</v>
      </c>
      <c r="T622" t="n">
        <v>0</v>
      </c>
      <c r="U622" s="2" t="inlineStr"/>
    </row>
    <row r="623" ht="15" customHeight="1">
      <c r="A623" t="inlineStr">
        <is>
          <t>A 5867-2022</t>
        </is>
      </c>
      <c r="B623" t="inlineStr">
        <is>
          <t>avverkningsanmälan</t>
        </is>
      </c>
      <c r="C623" t="inlineStr">
        <is>
          <t>Föryngringsavverkning</t>
        </is>
      </c>
      <c r="D623" s="1" t="n">
        <v>44596</v>
      </c>
      <c r="E623" s="1" t="n">
        <v>46221</v>
      </c>
      <c r="F623" t="inlineStr">
        <is>
          <t>STOCKHOLMS LÄN</t>
        </is>
      </c>
      <c r="G623" t="inlineStr">
        <is>
          <t>NORRTÄLJE</t>
        </is>
      </c>
      <c r="H623" t="inlineStr">
        <is>
          <t>Naturvårdsverket</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73307-2021</t>
        </is>
      </c>
      <c r="B624" t="inlineStr">
        <is>
          <t>avverkningsanmälan</t>
        </is>
      </c>
      <c r="C624" t="inlineStr">
        <is>
          <t>Föryngringsavverkning</t>
        </is>
      </c>
      <c r="D624" s="1" t="n">
        <v>44549</v>
      </c>
      <c r="E624" s="1" t="n">
        <v>46221</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60223-2025</t>
        </is>
      </c>
      <c r="B625" t="inlineStr">
        <is>
          <t>avverkningsanmälan</t>
        </is>
      </c>
      <c r="C625" t="inlineStr">
        <is>
          <t>Föryngringsavverkning</t>
        </is>
      </c>
      <c r="D625" s="1" t="n">
        <v>45994</v>
      </c>
      <c r="E625" s="1" t="n">
        <v>46221</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59914-2025</t>
        </is>
      </c>
      <c r="B626" t="inlineStr">
        <is>
          <t>avverkningsanmälan</t>
        </is>
      </c>
      <c r="C626" t="inlineStr">
        <is>
          <t>Föryngringsavverkning</t>
        </is>
      </c>
      <c r="D626" s="1" t="n">
        <v>45993</v>
      </c>
      <c r="E626" s="1" t="n">
        <v>46221</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21731-2023</t>
        </is>
      </c>
      <c r="B627" t="inlineStr">
        <is>
          <t>avverkningsanmälan</t>
        </is>
      </c>
      <c r="C627" t="inlineStr">
        <is>
          <t>Föryngringsavverkning</t>
        </is>
      </c>
      <c r="D627" s="1" t="n">
        <v>45063</v>
      </c>
      <c r="E627" s="1" t="n">
        <v>46221</v>
      </c>
      <c r="F627" t="inlineStr">
        <is>
          <t>STOCKHOLMS LÄN</t>
        </is>
      </c>
      <c r="G627" t="inlineStr">
        <is>
          <t>NORRTÄLJE</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21745-2023</t>
        </is>
      </c>
      <c r="B628" t="inlineStr">
        <is>
          <t>avverkningsanmälan</t>
        </is>
      </c>
      <c r="C628" t="inlineStr">
        <is>
          <t>Föryngringsavverkning</t>
        </is>
      </c>
      <c r="D628" s="1" t="n">
        <v>45065</v>
      </c>
      <c r="E628" s="1" t="n">
        <v>46221</v>
      </c>
      <c r="F628" t="inlineStr">
        <is>
          <t>STOCKHOLMS LÄN</t>
        </is>
      </c>
      <c r="G628" t="inlineStr">
        <is>
          <t>NORRTÄLJE</t>
        </is>
      </c>
      <c r="H628" t="inlineStr">
        <is>
          <t>Holmen skog AB</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13204-2026</t>
        </is>
      </c>
      <c r="B629" t="inlineStr">
        <is>
          <t>avverkningsanmälan</t>
        </is>
      </c>
      <c r="C629" t="inlineStr">
        <is>
          <t>Föryngringsavverkning</t>
        </is>
      </c>
      <c r="D629" s="1" t="n">
        <v>46093</v>
      </c>
      <c r="E629" s="1" t="n">
        <v>46221</v>
      </c>
      <c r="F629" t="inlineStr">
        <is>
          <t>STOCKHOLMS LÄN</t>
        </is>
      </c>
      <c r="G629" t="inlineStr">
        <is>
          <t>NORRTÄLJE</t>
        </is>
      </c>
      <c r="I629" t="n">
        <v>3.5</v>
      </c>
      <c r="J629" t="n">
        <v>0</v>
      </c>
      <c r="K629" t="n">
        <v>0</v>
      </c>
      <c r="L629" t="n">
        <v>0</v>
      </c>
      <c r="M629" t="n">
        <v>0</v>
      </c>
      <c r="N629" t="n">
        <v>0</v>
      </c>
      <c r="O629" t="n">
        <v>0</v>
      </c>
      <c r="P629" t="n">
        <v>0</v>
      </c>
      <c r="Q629" t="n">
        <v>0</v>
      </c>
      <c r="R629" t="n">
        <v>0</v>
      </c>
      <c r="S629" t="n">
        <v>0</v>
      </c>
      <c r="T629" t="n">
        <v>0</v>
      </c>
      <c r="U629" s="2" t="inlineStr"/>
    </row>
    <row r="630" ht="15" customHeight="1">
      <c r="A630" t="inlineStr">
        <is>
          <t>A 60214-2025</t>
        </is>
      </c>
      <c r="B630" t="inlineStr">
        <is>
          <t>avverkningsanmälan</t>
        </is>
      </c>
      <c r="C630" t="inlineStr">
        <is>
          <t>Föryngringsavverkning</t>
        </is>
      </c>
      <c r="D630" s="1" t="n">
        <v>45994</v>
      </c>
      <c r="E630" s="1" t="n">
        <v>46221</v>
      </c>
      <c r="F630" t="inlineStr">
        <is>
          <t>STOCKHOLMS LÄN</t>
        </is>
      </c>
      <c r="G630" t="inlineStr">
        <is>
          <t>NORRTÄLJE</t>
        </is>
      </c>
      <c r="I630" t="n">
        <v>9.199999999999999</v>
      </c>
      <c r="J630" t="n">
        <v>0</v>
      </c>
      <c r="K630" t="n">
        <v>0</v>
      </c>
      <c r="L630" t="n">
        <v>0</v>
      </c>
      <c r="M630" t="n">
        <v>0</v>
      </c>
      <c r="N630" t="n">
        <v>0</v>
      </c>
      <c r="O630" t="n">
        <v>0</v>
      </c>
      <c r="P630" t="n">
        <v>0</v>
      </c>
      <c r="Q630" t="n">
        <v>0</v>
      </c>
      <c r="R630" t="n">
        <v>0</v>
      </c>
      <c r="S630" t="n">
        <v>0</v>
      </c>
      <c r="T630" t="n">
        <v>0</v>
      </c>
      <c r="U630" s="2" t="inlineStr"/>
    </row>
    <row r="631" ht="15" customHeight="1">
      <c r="A631" t="inlineStr">
        <is>
          <t>A 60253-2025</t>
        </is>
      </c>
      <c r="B631" t="inlineStr">
        <is>
          <t>avverkningsanmälan</t>
        </is>
      </c>
      <c r="C631" t="inlineStr">
        <is>
          <t>Föryngringsavverkning</t>
        </is>
      </c>
      <c r="D631" s="1" t="n">
        <v>45994</v>
      </c>
      <c r="E631" s="1" t="n">
        <v>46221</v>
      </c>
      <c r="F631" t="inlineStr">
        <is>
          <t>STOCKHOLMS LÄN</t>
        </is>
      </c>
      <c r="G631" t="inlineStr">
        <is>
          <t>NORRTÄLJE</t>
        </is>
      </c>
      <c r="H631" t="inlineStr">
        <is>
          <t>Holmen skog AB</t>
        </is>
      </c>
      <c r="I631" t="n">
        <v>3.6</v>
      </c>
      <c r="J631" t="n">
        <v>0</v>
      </c>
      <c r="K631" t="n">
        <v>0</v>
      </c>
      <c r="L631" t="n">
        <v>0</v>
      </c>
      <c r="M631" t="n">
        <v>0</v>
      </c>
      <c r="N631" t="n">
        <v>0</v>
      </c>
      <c r="O631" t="n">
        <v>0</v>
      </c>
      <c r="P631" t="n">
        <v>0</v>
      </c>
      <c r="Q631" t="n">
        <v>0</v>
      </c>
      <c r="R631" t="n">
        <v>0</v>
      </c>
      <c r="S631" t="n">
        <v>0</v>
      </c>
      <c r="T631" t="n">
        <v>0</v>
      </c>
      <c r="U631" s="2" t="inlineStr"/>
    </row>
    <row r="632" ht="15" customHeight="1">
      <c r="A632" t="inlineStr">
        <is>
          <t>A 13544-2026</t>
        </is>
      </c>
      <c r="B632" t="inlineStr">
        <is>
          <t>avverkningsanmälan</t>
        </is>
      </c>
      <c r="C632" t="inlineStr">
        <is>
          <t>Föryngringsavverkning</t>
        </is>
      </c>
      <c r="D632" s="1" t="n">
        <v>46094</v>
      </c>
      <c r="E632" s="1" t="n">
        <v>46221</v>
      </c>
      <c r="F632" t="inlineStr">
        <is>
          <t>STOCKHOLMS LÄN</t>
        </is>
      </c>
      <c r="G632" t="inlineStr">
        <is>
          <t>NORRTÄLJE</t>
        </is>
      </c>
      <c r="H632" t="inlineStr">
        <is>
          <t>Holmen skog AB</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59907-2025</t>
        </is>
      </c>
      <c r="B633" t="inlineStr">
        <is>
          <t>avverkningsanmälan</t>
        </is>
      </c>
      <c r="C633" t="inlineStr">
        <is>
          <t>Föryngringsavverkning</t>
        </is>
      </c>
      <c r="D633" s="1" t="n">
        <v>45993</v>
      </c>
      <c r="E633" s="1" t="n">
        <v>46221</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13545-2026</t>
        </is>
      </c>
      <c r="B634" t="inlineStr">
        <is>
          <t>avverkningsanmälan</t>
        </is>
      </c>
      <c r="C634" t="inlineStr">
        <is>
          <t>Föryngringsavverkning</t>
        </is>
      </c>
      <c r="D634" s="1" t="n">
        <v>46094</v>
      </c>
      <c r="E634" s="1" t="n">
        <v>46221</v>
      </c>
      <c r="F634" t="inlineStr">
        <is>
          <t>STOCKHOLMS LÄN</t>
        </is>
      </c>
      <c r="G634" t="inlineStr">
        <is>
          <t>NORRTÄLJE</t>
        </is>
      </c>
      <c r="H634" t="inlineStr">
        <is>
          <t>Holmen skog AB</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59924-2025</t>
        </is>
      </c>
      <c r="B635" t="inlineStr">
        <is>
          <t>avverkningsanmälan</t>
        </is>
      </c>
      <c r="C635" t="inlineStr">
        <is>
          <t>Föryngringsavverkning</t>
        </is>
      </c>
      <c r="D635" s="1" t="n">
        <v>45993</v>
      </c>
      <c r="E635" s="1" t="n">
        <v>46221</v>
      </c>
      <c r="F635" t="inlineStr">
        <is>
          <t>STOCKHOLMS LÄN</t>
        </is>
      </c>
      <c r="G635" t="inlineStr">
        <is>
          <t>NORRTÄLJE</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A 13546-2026</t>
        </is>
      </c>
      <c r="B636" t="inlineStr">
        <is>
          <t>avverkningsanmälan</t>
        </is>
      </c>
      <c r="C636" t="inlineStr">
        <is>
          <t>Föryngringsavverkning</t>
        </is>
      </c>
      <c r="D636" s="1" t="n">
        <v>46094</v>
      </c>
      <c r="E636" s="1" t="n">
        <v>46221</v>
      </c>
      <c r="F636" t="inlineStr">
        <is>
          <t>STOCKHOLMS LÄN</t>
        </is>
      </c>
      <c r="G636" t="inlineStr">
        <is>
          <t>NORRTÄLJE</t>
        </is>
      </c>
      <c r="H636" t="inlineStr">
        <is>
          <t>Holmen skog AB</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26365-2024</t>
        </is>
      </c>
      <c r="B637" t="inlineStr">
        <is>
          <t>avverkningsanmälan</t>
        </is>
      </c>
      <c r="C637" t="inlineStr">
        <is>
          <t>Föryngringsavverkning</t>
        </is>
      </c>
      <c r="D637" s="1" t="n">
        <v>45469</v>
      </c>
      <c r="E637" s="1" t="n">
        <v>46221</v>
      </c>
      <c r="F637" t="inlineStr">
        <is>
          <t>STOCKHOLMS LÄN</t>
        </is>
      </c>
      <c r="G637" t="inlineStr">
        <is>
          <t>NORRTÄLJE</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60649-2025</t>
        </is>
      </c>
      <c r="B638" t="inlineStr">
        <is>
          <t>avverkningsanmälan</t>
        </is>
      </c>
      <c r="C638" t="inlineStr">
        <is>
          <t>Föryngringsavverkning</t>
        </is>
      </c>
      <c r="D638" s="1" t="n">
        <v>45996</v>
      </c>
      <c r="E638" s="1" t="n">
        <v>46221</v>
      </c>
      <c r="F638" t="inlineStr">
        <is>
          <t>STOCKHOLMS LÄN</t>
        </is>
      </c>
      <c r="G638" t="inlineStr">
        <is>
          <t>NORRTÄLJE</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50602-2021</t>
        </is>
      </c>
      <c r="B639" t="inlineStr">
        <is>
          <t>avverkningsanmälan</t>
        </is>
      </c>
      <c r="C639" t="inlineStr">
        <is>
          <t>Föryngringsavverkning</t>
        </is>
      </c>
      <c r="D639" s="1" t="n">
        <v>44459</v>
      </c>
      <c r="E639" s="1" t="n">
        <v>46221</v>
      </c>
      <c r="F639" t="inlineStr">
        <is>
          <t>STOCKHOLMS LÄN</t>
        </is>
      </c>
      <c r="G639" t="inlineStr">
        <is>
          <t>NORRTÄLJE</t>
        </is>
      </c>
      <c r="H639" t="inlineStr">
        <is>
          <t>Holmen skog AB</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48798-2021</t>
        </is>
      </c>
      <c r="B640" t="inlineStr">
        <is>
          <t>avverkningsanmälan</t>
        </is>
      </c>
      <c r="C640" t="inlineStr">
        <is>
          <t>Föryngringsavverkning</t>
        </is>
      </c>
      <c r="D640" s="1" t="n">
        <v>44452</v>
      </c>
      <c r="E640" s="1" t="n">
        <v>46221</v>
      </c>
      <c r="F640" t="inlineStr">
        <is>
          <t>STOCKHOLMS LÄN</t>
        </is>
      </c>
      <c r="G640" t="inlineStr">
        <is>
          <t>NORRTÄLJE</t>
        </is>
      </c>
      <c r="I640" t="n">
        <v>2</v>
      </c>
      <c r="J640" t="n">
        <v>0</v>
      </c>
      <c r="K640" t="n">
        <v>0</v>
      </c>
      <c r="L640" t="n">
        <v>0</v>
      </c>
      <c r="M640" t="n">
        <v>0</v>
      </c>
      <c r="N640" t="n">
        <v>0</v>
      </c>
      <c r="O640" t="n">
        <v>0</v>
      </c>
      <c r="P640" t="n">
        <v>0</v>
      </c>
      <c r="Q640" t="n">
        <v>0</v>
      </c>
      <c r="R640" t="n">
        <v>0</v>
      </c>
      <c r="S640" t="n">
        <v>0</v>
      </c>
      <c r="T640" t="n">
        <v>0</v>
      </c>
      <c r="U640" s="2" t="inlineStr"/>
    </row>
    <row r="641" ht="15" customHeight="1">
      <c r="A641" t="inlineStr">
        <is>
          <t>A 60948-2025</t>
        </is>
      </c>
      <c r="B641" t="inlineStr">
        <is>
          <t>avverkningsanmälan</t>
        </is>
      </c>
      <c r="C641" t="inlineStr">
        <is>
          <t>Föryngringsavverkning</t>
        </is>
      </c>
      <c r="D641" s="1" t="n">
        <v>45999</v>
      </c>
      <c r="E641" s="1" t="n">
        <v>46221</v>
      </c>
      <c r="F641" t="inlineStr">
        <is>
          <t>STOCKHOLMS LÄN</t>
        </is>
      </c>
      <c r="G641" t="inlineStr">
        <is>
          <t>NORRTÄLJE</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61160-2025</t>
        </is>
      </c>
      <c r="B642" t="inlineStr">
        <is>
          <t>avverkningsanmälan</t>
        </is>
      </c>
      <c r="C642" t="inlineStr">
        <is>
          <t>Föryngringsavverkning</t>
        </is>
      </c>
      <c r="D642" s="1" t="n">
        <v>46000</v>
      </c>
      <c r="E642" s="1" t="n">
        <v>46221</v>
      </c>
      <c r="F642" t="inlineStr">
        <is>
          <t>STOCKHOLMS LÄN</t>
        </is>
      </c>
      <c r="G642" t="inlineStr">
        <is>
          <t>NORRTÄLJE</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30283-2022</t>
        </is>
      </c>
      <c r="B643" t="inlineStr">
        <is>
          <t>avverkningsanmälan</t>
        </is>
      </c>
      <c r="C643" t="inlineStr">
        <is>
          <t>Föryngringsavverkning</t>
        </is>
      </c>
      <c r="D643" s="1" t="n">
        <v>44760</v>
      </c>
      <c r="E643" s="1" t="n">
        <v>46221</v>
      </c>
      <c r="F643" t="inlineStr">
        <is>
          <t>STOCKHOLMS LÄN</t>
        </is>
      </c>
      <c r="G643" t="inlineStr">
        <is>
          <t>NORRTÄLJE</t>
        </is>
      </c>
      <c r="I643" t="n">
        <v>6.2</v>
      </c>
      <c r="J643" t="n">
        <v>0</v>
      </c>
      <c r="K643" t="n">
        <v>0</v>
      </c>
      <c r="L643" t="n">
        <v>0</v>
      </c>
      <c r="M643" t="n">
        <v>0</v>
      </c>
      <c r="N643" t="n">
        <v>0</v>
      </c>
      <c r="O643" t="n">
        <v>0</v>
      </c>
      <c r="P643" t="n">
        <v>0</v>
      </c>
      <c r="Q643" t="n">
        <v>0</v>
      </c>
      <c r="R643" t="n">
        <v>0</v>
      </c>
      <c r="S643" t="n">
        <v>0</v>
      </c>
      <c r="T643" t="n">
        <v>0</v>
      </c>
      <c r="U643" s="2" t="inlineStr"/>
    </row>
    <row r="644" ht="15" customHeight="1">
      <c r="A644" t="inlineStr">
        <is>
          <t>A 38985-2022</t>
        </is>
      </c>
      <c r="B644" t="inlineStr">
        <is>
          <t>avverkningsanmälan</t>
        </is>
      </c>
      <c r="C644" t="inlineStr">
        <is>
          <t>Föryngringsavverkning</t>
        </is>
      </c>
      <c r="D644" s="1" t="n">
        <v>44816</v>
      </c>
      <c r="E644" s="1" t="n">
        <v>46221</v>
      </c>
      <c r="F644" t="inlineStr">
        <is>
          <t>STOCKHOLMS LÄN</t>
        </is>
      </c>
      <c r="G644" t="inlineStr">
        <is>
          <t>NORRTÄLJE</t>
        </is>
      </c>
      <c r="I644" t="n">
        <v>10.1</v>
      </c>
      <c r="J644" t="n">
        <v>0</v>
      </c>
      <c r="K644" t="n">
        <v>0</v>
      </c>
      <c r="L644" t="n">
        <v>0</v>
      </c>
      <c r="M644" t="n">
        <v>0</v>
      </c>
      <c r="N644" t="n">
        <v>0</v>
      </c>
      <c r="O644" t="n">
        <v>0</v>
      </c>
      <c r="P644" t="n">
        <v>0</v>
      </c>
      <c r="Q644" t="n">
        <v>0</v>
      </c>
      <c r="R644" t="n">
        <v>0</v>
      </c>
      <c r="S644" t="n">
        <v>0</v>
      </c>
      <c r="T644" t="n">
        <v>0</v>
      </c>
      <c r="U644" s="2" t="inlineStr"/>
    </row>
    <row r="645" ht="15" customHeight="1">
      <c r="A645" t="inlineStr">
        <is>
          <t>A 61769-2025</t>
        </is>
      </c>
      <c r="B645" t="inlineStr">
        <is>
          <t>avverkningsanmälan</t>
        </is>
      </c>
      <c r="C645" t="inlineStr">
        <is>
          <t>Föryngringsavverkning</t>
        </is>
      </c>
      <c r="D645" s="1" t="n">
        <v>46002</v>
      </c>
      <c r="E645" s="1" t="n">
        <v>46221</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s="2" t="inlineStr"/>
    </row>
    <row r="646" ht="15" customHeight="1">
      <c r="A646" t="inlineStr">
        <is>
          <t>A 25625-2023</t>
        </is>
      </c>
      <c r="B646" t="inlineStr">
        <is>
          <t>avverkningsanmälan</t>
        </is>
      </c>
      <c r="C646" t="inlineStr">
        <is>
          <t>Föryngringsavverkning</t>
        </is>
      </c>
      <c r="D646" s="1" t="n">
        <v>45089</v>
      </c>
      <c r="E646" s="1" t="n">
        <v>46221</v>
      </c>
      <c r="F646" t="inlineStr">
        <is>
          <t>STOCKHOLMS LÄN</t>
        </is>
      </c>
      <c r="G646" t="inlineStr">
        <is>
          <t>NORRTÄLJE</t>
        </is>
      </c>
      <c r="I646" t="n">
        <v>5.5</v>
      </c>
      <c r="J646" t="n">
        <v>0</v>
      </c>
      <c r="K646" t="n">
        <v>0</v>
      </c>
      <c r="L646" t="n">
        <v>0</v>
      </c>
      <c r="M646" t="n">
        <v>0</v>
      </c>
      <c r="N646" t="n">
        <v>0</v>
      </c>
      <c r="O646" t="n">
        <v>0</v>
      </c>
      <c r="P646" t="n">
        <v>0</v>
      </c>
      <c r="Q646" t="n">
        <v>0</v>
      </c>
      <c r="R646" t="n">
        <v>0</v>
      </c>
      <c r="S646" t="n">
        <v>0</v>
      </c>
      <c r="T646" t="n">
        <v>0</v>
      </c>
      <c r="U646" s="2" t="inlineStr"/>
    </row>
    <row r="647" ht="15" customHeight="1">
      <c r="A647" t="inlineStr">
        <is>
          <t>A 61764-2025</t>
        </is>
      </c>
      <c r="B647" t="inlineStr">
        <is>
          <t>avverkningsanmälan</t>
        </is>
      </c>
      <c r="C647" t="inlineStr">
        <is>
          <t>Föryngringsavverkning</t>
        </is>
      </c>
      <c r="D647" s="1" t="n">
        <v>46002</v>
      </c>
      <c r="E647" s="1" t="n">
        <v>46221</v>
      </c>
      <c r="F647" t="inlineStr">
        <is>
          <t>STOCKHOLMS LÄN</t>
        </is>
      </c>
      <c r="G647" t="inlineStr">
        <is>
          <t>NORRTÄLJE</t>
        </is>
      </c>
      <c r="I647" t="n">
        <v>2.3</v>
      </c>
      <c r="J647" t="n">
        <v>0</v>
      </c>
      <c r="K647" t="n">
        <v>0</v>
      </c>
      <c r="L647" t="n">
        <v>0</v>
      </c>
      <c r="M647" t="n">
        <v>0</v>
      </c>
      <c r="N647" t="n">
        <v>0</v>
      </c>
      <c r="O647" t="n">
        <v>0</v>
      </c>
      <c r="P647" t="n">
        <v>0</v>
      </c>
      <c r="Q647" t="n">
        <v>0</v>
      </c>
      <c r="R647" t="n">
        <v>0</v>
      </c>
      <c r="S647" t="n">
        <v>0</v>
      </c>
      <c r="T647" t="n">
        <v>0</v>
      </c>
      <c r="U647" s="2" t="inlineStr"/>
    </row>
    <row r="648" ht="15" customHeight="1">
      <c r="A648" t="inlineStr">
        <is>
          <t>A 61289-2025</t>
        </is>
      </c>
      <c r="B648" t="inlineStr">
        <is>
          <t>avverkningsanmälan</t>
        </is>
      </c>
      <c r="C648" t="inlineStr">
        <is>
          <t>Föryngringsavverkning</t>
        </is>
      </c>
      <c r="D648" s="1" t="n">
        <v>46000</v>
      </c>
      <c r="E648" s="1" t="n">
        <v>46221</v>
      </c>
      <c r="F648" t="inlineStr">
        <is>
          <t>STOCKHOLMS LÄN</t>
        </is>
      </c>
      <c r="G648" t="inlineStr">
        <is>
          <t>NORRTÄLJE</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61430-2025</t>
        </is>
      </c>
      <c r="B649" t="inlineStr">
        <is>
          <t>avverkningsanmälan</t>
        </is>
      </c>
      <c r="C649" t="inlineStr">
        <is>
          <t>Föryngringsavverkning</t>
        </is>
      </c>
      <c r="D649" s="1" t="n">
        <v>46001</v>
      </c>
      <c r="E649" s="1" t="n">
        <v>46221</v>
      </c>
      <c r="F649" t="inlineStr">
        <is>
          <t>STOCKHOLMS LÄN</t>
        </is>
      </c>
      <c r="G649" t="inlineStr">
        <is>
          <t>NORRTÄLJE</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14348-2026</t>
        </is>
      </c>
      <c r="B650" t="inlineStr">
        <is>
          <t>avverkningsanmälan</t>
        </is>
      </c>
      <c r="C650" t="inlineStr">
        <is>
          <t>Föryngringsavverkning</t>
        </is>
      </c>
      <c r="D650" s="1" t="n">
        <v>46100</v>
      </c>
      <c r="E650" s="1" t="n">
        <v>46221</v>
      </c>
      <c r="F650" t="inlineStr">
        <is>
          <t>STOCKHOLMS LÄN</t>
        </is>
      </c>
      <c r="G650" t="inlineStr">
        <is>
          <t>NORRTÄLJE</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14132-2025</t>
        </is>
      </c>
      <c r="B651" t="inlineStr">
        <is>
          <t>avverkningsanmälan</t>
        </is>
      </c>
      <c r="C651" t="inlineStr">
        <is>
          <t>Föryngringsavverkning</t>
        </is>
      </c>
      <c r="D651" s="1" t="n">
        <v>45740</v>
      </c>
      <c r="E651" s="1" t="n">
        <v>46221</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14133-2025</t>
        </is>
      </c>
      <c r="B652" t="inlineStr">
        <is>
          <t>avverkningsanmälan</t>
        </is>
      </c>
      <c r="C652" t="inlineStr">
        <is>
          <t>Föryngringsavverkning</t>
        </is>
      </c>
      <c r="D652" s="1" t="n">
        <v>45740</v>
      </c>
      <c r="E652" s="1" t="n">
        <v>46221</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s="2" t="inlineStr"/>
    </row>
    <row r="653" ht="15" customHeight="1">
      <c r="A653" t="inlineStr">
        <is>
          <t>A 7186-2024</t>
        </is>
      </c>
      <c r="B653" t="inlineStr">
        <is>
          <t>avverkningsanmälan</t>
        </is>
      </c>
      <c r="C653" t="inlineStr">
        <is>
          <t>Föryngringsavverkning</t>
        </is>
      </c>
      <c r="D653" s="1" t="n">
        <v>45344</v>
      </c>
      <c r="E653" s="1" t="n">
        <v>46221</v>
      </c>
      <c r="F653" t="inlineStr">
        <is>
          <t>STOCKHOLMS LÄN</t>
        </is>
      </c>
      <c r="G653" t="inlineStr">
        <is>
          <t>NORRTÄLJE</t>
        </is>
      </c>
      <c r="I653" t="n">
        <v>4.9</v>
      </c>
      <c r="J653" t="n">
        <v>0</v>
      </c>
      <c r="K653" t="n">
        <v>0</v>
      </c>
      <c r="L653" t="n">
        <v>0</v>
      </c>
      <c r="M653" t="n">
        <v>0</v>
      </c>
      <c r="N653" t="n">
        <v>0</v>
      </c>
      <c r="O653" t="n">
        <v>0</v>
      </c>
      <c r="P653" t="n">
        <v>0</v>
      </c>
      <c r="Q653" t="n">
        <v>0</v>
      </c>
      <c r="R653" t="n">
        <v>0</v>
      </c>
      <c r="S653" t="n">
        <v>0</v>
      </c>
      <c r="T653" t="n">
        <v>0</v>
      </c>
      <c r="U653" s="2" t="inlineStr"/>
    </row>
    <row r="654" ht="15" customHeight="1">
      <c r="A654" t="inlineStr">
        <is>
          <t>A 14475-2026</t>
        </is>
      </c>
      <c r="B654" t="inlineStr">
        <is>
          <t>avverkningsanmälan</t>
        </is>
      </c>
      <c r="C654" t="inlineStr">
        <is>
          <t>Föryngringsavverkning</t>
        </is>
      </c>
      <c r="D654" s="1" t="n">
        <v>46100</v>
      </c>
      <c r="E654" s="1" t="n">
        <v>46221</v>
      </c>
      <c r="F654" t="inlineStr">
        <is>
          <t>STOCKHOLMS LÄN</t>
        </is>
      </c>
      <c r="G654" t="inlineStr">
        <is>
          <t>NORRTÄLJE</t>
        </is>
      </c>
      <c r="I654" t="n">
        <v>12.3</v>
      </c>
      <c r="J654" t="n">
        <v>0</v>
      </c>
      <c r="K654" t="n">
        <v>0</v>
      </c>
      <c r="L654" t="n">
        <v>0</v>
      </c>
      <c r="M654" t="n">
        <v>0</v>
      </c>
      <c r="N654" t="n">
        <v>0</v>
      </c>
      <c r="O654" t="n">
        <v>0</v>
      </c>
      <c r="P654" t="n">
        <v>0</v>
      </c>
      <c r="Q654" t="n">
        <v>0</v>
      </c>
      <c r="R654" t="n">
        <v>0</v>
      </c>
      <c r="S654" t="n">
        <v>0</v>
      </c>
      <c r="T654" t="n">
        <v>0</v>
      </c>
      <c r="U654" s="2" t="inlineStr"/>
    </row>
    <row r="655" ht="15" customHeight="1">
      <c r="A655" t="inlineStr">
        <is>
          <t>A 62689-2025</t>
        </is>
      </c>
      <c r="B655" t="inlineStr">
        <is>
          <t>avverkningsanmälan</t>
        </is>
      </c>
      <c r="C655" t="inlineStr">
        <is>
          <t>Föryngringsavverkning</t>
        </is>
      </c>
      <c r="D655" s="1" t="n">
        <v>46008</v>
      </c>
      <c r="E655" s="1" t="n">
        <v>46221</v>
      </c>
      <c r="F655" t="inlineStr">
        <is>
          <t>STOCKHOLMS LÄN</t>
        </is>
      </c>
      <c r="G655" t="inlineStr">
        <is>
          <t>NORRTÄLJE</t>
        </is>
      </c>
      <c r="H655" t="inlineStr">
        <is>
          <t>Kyrkan</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62681-2025</t>
        </is>
      </c>
      <c r="B656" t="inlineStr">
        <is>
          <t>avverkningsanmälan</t>
        </is>
      </c>
      <c r="C656" t="inlineStr">
        <is>
          <t>Föryngringsavverkning</t>
        </is>
      </c>
      <c r="D656" s="1" t="n">
        <v>46008</v>
      </c>
      <c r="E656" s="1" t="n">
        <v>46221</v>
      </c>
      <c r="F656" t="inlineStr">
        <is>
          <t>STOCKHOLMS LÄN</t>
        </is>
      </c>
      <c r="G656" t="inlineStr">
        <is>
          <t>NORRTÄLJE</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34478-2025</t>
        </is>
      </c>
      <c r="B657" t="inlineStr">
        <is>
          <t>avverkningsanmälan</t>
        </is>
      </c>
      <c r="C657" t="inlineStr">
        <is>
          <t>Föryngringsavverkning</t>
        </is>
      </c>
      <c r="D657" s="1" t="n">
        <v>45847</v>
      </c>
      <c r="E657" s="1" t="n">
        <v>46221</v>
      </c>
      <c r="F657" t="inlineStr">
        <is>
          <t>STOCKHOLMS LÄN</t>
        </is>
      </c>
      <c r="G657" t="inlineStr">
        <is>
          <t>NORRTÄLJE</t>
        </is>
      </c>
      <c r="H657" t="inlineStr">
        <is>
          <t>Övriga Aktiebolag</t>
        </is>
      </c>
      <c r="I657" t="n">
        <v>10.8</v>
      </c>
      <c r="J657" t="n">
        <v>0</v>
      </c>
      <c r="K657" t="n">
        <v>0</v>
      </c>
      <c r="L657" t="n">
        <v>0</v>
      </c>
      <c r="M657" t="n">
        <v>0</v>
      </c>
      <c r="N657" t="n">
        <v>0</v>
      </c>
      <c r="O657" t="n">
        <v>0</v>
      </c>
      <c r="P657" t="n">
        <v>0</v>
      </c>
      <c r="Q657" t="n">
        <v>0</v>
      </c>
      <c r="R657" t="n">
        <v>0</v>
      </c>
      <c r="S657" t="n">
        <v>0</v>
      </c>
      <c r="T657" t="n">
        <v>0</v>
      </c>
      <c r="U657" s="2" t="inlineStr"/>
    </row>
    <row r="658" ht="15" customHeight="1">
      <c r="A658" t="inlineStr">
        <is>
          <t>A 53792-2023</t>
        </is>
      </c>
      <c r="B658" t="inlineStr">
        <is>
          <t>avverkningsanmälan</t>
        </is>
      </c>
      <c r="C658" t="inlineStr">
        <is>
          <t>Föryngringsavverkning</t>
        </is>
      </c>
      <c r="D658" s="1" t="n">
        <v>45231</v>
      </c>
      <c r="E658" s="1" t="n">
        <v>46221</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11280-2023</t>
        </is>
      </c>
      <c r="B659" t="inlineStr">
        <is>
          <t>avverkningsanmälan</t>
        </is>
      </c>
      <c r="C659" t="inlineStr">
        <is>
          <t>Föryngringsavverkning</t>
        </is>
      </c>
      <c r="D659" s="1" t="n">
        <v>44992</v>
      </c>
      <c r="E659" s="1" t="n">
        <v>46221</v>
      </c>
      <c r="F659" t="inlineStr">
        <is>
          <t>STOCKHOLMS LÄN</t>
        </is>
      </c>
      <c r="G659" t="inlineStr">
        <is>
          <t>NORRTÄLJE</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62922-2025</t>
        </is>
      </c>
      <c r="B660" t="inlineStr">
        <is>
          <t>avverkningsanmälan</t>
        </is>
      </c>
      <c r="C660" t="inlineStr">
        <is>
          <t>Föryngringsavverkning</t>
        </is>
      </c>
      <c r="D660" s="1" t="n">
        <v>46009</v>
      </c>
      <c r="E660" s="1" t="n">
        <v>46221</v>
      </c>
      <c r="F660" t="inlineStr">
        <is>
          <t>STOCKHOLMS LÄN</t>
        </is>
      </c>
      <c r="G660" t="inlineStr">
        <is>
          <t>NORRTÄLJE</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19952-2023</t>
        </is>
      </c>
      <c r="B661" t="inlineStr">
        <is>
          <t>avverkningsanmälan</t>
        </is>
      </c>
      <c r="C661" t="inlineStr">
        <is>
          <t>Föryngringsavverkning</t>
        </is>
      </c>
      <c r="D661" s="1" t="n">
        <v>45054</v>
      </c>
      <c r="E661" s="1" t="n">
        <v>46221</v>
      </c>
      <c r="F661" t="inlineStr">
        <is>
          <t>STOCKHOLMS LÄN</t>
        </is>
      </c>
      <c r="G661" t="inlineStr">
        <is>
          <t>NORRTÄLJE</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19994-2023</t>
        </is>
      </c>
      <c r="B662" t="inlineStr">
        <is>
          <t>avverkningsanmälan</t>
        </is>
      </c>
      <c r="C662" t="inlineStr">
        <is>
          <t>Föryngringsavverkning</t>
        </is>
      </c>
      <c r="D662" s="1" t="n">
        <v>45054</v>
      </c>
      <c r="E662" s="1" t="n">
        <v>46221</v>
      </c>
      <c r="F662" t="inlineStr">
        <is>
          <t>STOCKHOLMS LÄN</t>
        </is>
      </c>
      <c r="G662" t="inlineStr">
        <is>
          <t>NORRTÄLJE</t>
        </is>
      </c>
      <c r="I662" t="n">
        <v>4.3</v>
      </c>
      <c r="J662" t="n">
        <v>0</v>
      </c>
      <c r="K662" t="n">
        <v>0</v>
      </c>
      <c r="L662" t="n">
        <v>0</v>
      </c>
      <c r="M662" t="n">
        <v>0</v>
      </c>
      <c r="N662" t="n">
        <v>0</v>
      </c>
      <c r="O662" t="n">
        <v>0</v>
      </c>
      <c r="P662" t="n">
        <v>0</v>
      </c>
      <c r="Q662" t="n">
        <v>0</v>
      </c>
      <c r="R662" t="n">
        <v>0</v>
      </c>
      <c r="S662" t="n">
        <v>0</v>
      </c>
      <c r="T662" t="n">
        <v>0</v>
      </c>
      <c r="U662" s="2" t="inlineStr"/>
    </row>
    <row r="663" ht="15" customHeight="1">
      <c r="A663" t="inlineStr">
        <is>
          <t>A 29003-2023</t>
        </is>
      </c>
      <c r="B663" t="inlineStr">
        <is>
          <t>avverkningsanmälan</t>
        </is>
      </c>
      <c r="C663" t="inlineStr">
        <is>
          <t>Föryngringsavverkning</t>
        </is>
      </c>
      <c r="D663" s="1" t="n">
        <v>45104</v>
      </c>
      <c r="E663" s="1" t="n">
        <v>46221</v>
      </c>
      <c r="F663" t="inlineStr">
        <is>
          <t>STOCKHOLMS LÄN</t>
        </is>
      </c>
      <c r="G663" t="inlineStr">
        <is>
          <t>NORRTÄLJE</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15956-2023</t>
        </is>
      </c>
      <c r="B664" t="inlineStr">
        <is>
          <t>avverkningsanmälan</t>
        </is>
      </c>
      <c r="C664" t="inlineStr">
        <is>
          <t>Föryngringsavverkning</t>
        </is>
      </c>
      <c r="D664" s="1" t="n">
        <v>45022</v>
      </c>
      <c r="E664" s="1" t="n">
        <v>46221</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s="2" t="inlineStr"/>
    </row>
    <row r="665" ht="15" customHeight="1">
      <c r="A665" t="inlineStr">
        <is>
          <t>A 13053-2022</t>
        </is>
      </c>
      <c r="B665" t="inlineStr">
        <is>
          <t>avverkningsanmälan</t>
        </is>
      </c>
      <c r="C665" t="inlineStr">
        <is>
          <t>Föryngringsavverkning</t>
        </is>
      </c>
      <c r="D665" s="1" t="n">
        <v>44643</v>
      </c>
      <c r="E665" s="1" t="n">
        <v>46221</v>
      </c>
      <c r="F665" t="inlineStr">
        <is>
          <t>STOCKHOLMS LÄN</t>
        </is>
      </c>
      <c r="G665" t="inlineStr">
        <is>
          <t>NORRTÄLJE</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3383-2023</t>
        </is>
      </c>
      <c r="B666" t="inlineStr">
        <is>
          <t>avverkningsanmälan</t>
        </is>
      </c>
      <c r="C666" t="inlineStr">
        <is>
          <t>Avverkning för att bevara och utveckla /försöksver</t>
        </is>
      </c>
      <c r="D666" s="1" t="n">
        <v>44949</v>
      </c>
      <c r="E666" s="1" t="n">
        <v>46221</v>
      </c>
      <c r="F666" t="inlineStr">
        <is>
          <t>STOCKHOLMS LÄN</t>
        </is>
      </c>
      <c r="G666" t="inlineStr">
        <is>
          <t>NORRTÄLJE</t>
        </is>
      </c>
      <c r="I666" t="n">
        <v>14.6</v>
      </c>
      <c r="J666" t="n">
        <v>0</v>
      </c>
      <c r="K666" t="n">
        <v>0</v>
      </c>
      <c r="L666" t="n">
        <v>0</v>
      </c>
      <c r="M666" t="n">
        <v>0</v>
      </c>
      <c r="N666" t="n">
        <v>0</v>
      </c>
      <c r="O666" t="n">
        <v>0</v>
      </c>
      <c r="P666" t="n">
        <v>0</v>
      </c>
      <c r="Q666" t="n">
        <v>0</v>
      </c>
      <c r="R666" t="n">
        <v>0</v>
      </c>
      <c r="S666" t="n">
        <v>0</v>
      </c>
      <c r="T666" t="n">
        <v>0</v>
      </c>
      <c r="U666" s="2" t="inlineStr"/>
    </row>
    <row r="667" ht="15" customHeight="1">
      <c r="A667" t="inlineStr">
        <is>
          <t>A 4316-2023</t>
        </is>
      </c>
      <c r="B667" t="inlineStr">
        <is>
          <t>avverkningsanmälan</t>
        </is>
      </c>
      <c r="C667" t="inlineStr">
        <is>
          <t>Föryngringsavverkning</t>
        </is>
      </c>
      <c r="D667" s="1" t="n">
        <v>44953</v>
      </c>
      <c r="E667" s="1" t="n">
        <v>46221</v>
      </c>
      <c r="F667" t="inlineStr">
        <is>
          <t>STOCKHOLMS LÄN</t>
        </is>
      </c>
      <c r="G667" t="inlineStr">
        <is>
          <t>NORRTÄLJE</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5839-2023</t>
        </is>
      </c>
      <c r="B668" t="inlineStr">
        <is>
          <t>avverkningsanmälan</t>
        </is>
      </c>
      <c r="C668" t="inlineStr">
        <is>
          <t>Föryngringsavverkning</t>
        </is>
      </c>
      <c r="D668" s="1" t="n">
        <v>44963</v>
      </c>
      <c r="E668" s="1" t="n">
        <v>46221</v>
      </c>
      <c r="F668" t="inlineStr">
        <is>
          <t>STOCKHOLMS LÄN</t>
        </is>
      </c>
      <c r="G668" t="inlineStr">
        <is>
          <t>NORRTÄLJE</t>
        </is>
      </c>
      <c r="I668" t="n">
        <v>3.6</v>
      </c>
      <c r="J668" t="n">
        <v>0</v>
      </c>
      <c r="K668" t="n">
        <v>0</v>
      </c>
      <c r="L668" t="n">
        <v>0</v>
      </c>
      <c r="M668" t="n">
        <v>0</v>
      </c>
      <c r="N668" t="n">
        <v>0</v>
      </c>
      <c r="O668" t="n">
        <v>0</v>
      </c>
      <c r="P668" t="n">
        <v>0</v>
      </c>
      <c r="Q668" t="n">
        <v>0</v>
      </c>
      <c r="R668" t="n">
        <v>0</v>
      </c>
      <c r="S668" t="n">
        <v>0</v>
      </c>
      <c r="T668" t="n">
        <v>0</v>
      </c>
      <c r="U668" s="2" t="inlineStr"/>
    </row>
    <row r="669" ht="15" customHeight="1">
      <c r="A669" t="inlineStr">
        <is>
          <t>A 718-2026</t>
        </is>
      </c>
      <c r="B669" t="inlineStr">
        <is>
          <t>avverkningsanmälan</t>
        </is>
      </c>
      <c r="C669" t="inlineStr">
        <is>
          <t>Föryngringsavverkning</t>
        </is>
      </c>
      <c r="D669" s="1" t="n">
        <v>46029</v>
      </c>
      <c r="E669" s="1" t="n">
        <v>46221</v>
      </c>
      <c r="F669" t="inlineStr">
        <is>
          <t>STOCKHOLMS LÄN</t>
        </is>
      </c>
      <c r="G669" t="inlineStr">
        <is>
          <t>NORRTÄLJE</t>
        </is>
      </c>
      <c r="I669" t="n">
        <v>2.4</v>
      </c>
      <c r="J669" t="n">
        <v>0</v>
      </c>
      <c r="K669" t="n">
        <v>0</v>
      </c>
      <c r="L669" t="n">
        <v>0</v>
      </c>
      <c r="M669" t="n">
        <v>0</v>
      </c>
      <c r="N669" t="n">
        <v>0</v>
      </c>
      <c r="O669" t="n">
        <v>0</v>
      </c>
      <c r="P669" t="n">
        <v>0</v>
      </c>
      <c r="Q669" t="n">
        <v>0</v>
      </c>
      <c r="R669" t="n">
        <v>0</v>
      </c>
      <c r="S669" t="n">
        <v>0</v>
      </c>
      <c r="T669" t="n">
        <v>0</v>
      </c>
      <c r="U669" s="2" t="inlineStr"/>
    </row>
    <row r="670" ht="15" customHeight="1">
      <c r="A670" t="inlineStr">
        <is>
          <t>A 694-2026</t>
        </is>
      </c>
      <c r="B670" t="inlineStr">
        <is>
          <t>avverkningsanmälan</t>
        </is>
      </c>
      <c r="C670" t="inlineStr">
        <is>
          <t>Föryngringsavverkning</t>
        </is>
      </c>
      <c r="D670" s="1" t="n">
        <v>46029</v>
      </c>
      <c r="E670" s="1" t="n">
        <v>46221</v>
      </c>
      <c r="F670" t="inlineStr">
        <is>
          <t>STOCKHOLMS LÄN</t>
        </is>
      </c>
      <c r="G670" t="inlineStr">
        <is>
          <t>NORRTÄLJE</t>
        </is>
      </c>
      <c r="I670" t="n">
        <v>9.6</v>
      </c>
      <c r="J670" t="n">
        <v>0</v>
      </c>
      <c r="K670" t="n">
        <v>0</v>
      </c>
      <c r="L670" t="n">
        <v>0</v>
      </c>
      <c r="M670" t="n">
        <v>0</v>
      </c>
      <c r="N670" t="n">
        <v>0</v>
      </c>
      <c r="O670" t="n">
        <v>0</v>
      </c>
      <c r="P670" t="n">
        <v>0</v>
      </c>
      <c r="Q670" t="n">
        <v>0</v>
      </c>
      <c r="R670" t="n">
        <v>0</v>
      </c>
      <c r="S670" t="n">
        <v>0</v>
      </c>
      <c r="T670" t="n">
        <v>0</v>
      </c>
      <c r="U670" s="2" t="inlineStr"/>
    </row>
    <row r="671" ht="15" customHeight="1">
      <c r="A671" t="inlineStr">
        <is>
          <t>A 24705-2023</t>
        </is>
      </c>
      <c r="B671" t="inlineStr">
        <is>
          <t>avverkningsanmälan</t>
        </is>
      </c>
      <c r="C671" t="inlineStr">
        <is>
          <t>Föryngringsavverkning</t>
        </is>
      </c>
      <c r="D671" s="1" t="n">
        <v>45084</v>
      </c>
      <c r="E671" s="1" t="n">
        <v>46221</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54358-2022</t>
        </is>
      </c>
      <c r="B672" t="inlineStr">
        <is>
          <t>avverkningsanmälan</t>
        </is>
      </c>
      <c r="C672" t="inlineStr">
        <is>
          <t>Föryngringsavverkning</t>
        </is>
      </c>
      <c r="D672" s="1" t="n">
        <v>44882</v>
      </c>
      <c r="E672" s="1" t="n">
        <v>46221</v>
      </c>
      <c r="F672" t="inlineStr">
        <is>
          <t>STOCKHOLMS LÄN</t>
        </is>
      </c>
      <c r="G672" t="inlineStr">
        <is>
          <t>NORRTÄLJE</t>
        </is>
      </c>
      <c r="I672" t="n">
        <v>3.3</v>
      </c>
      <c r="J672" t="n">
        <v>0</v>
      </c>
      <c r="K672" t="n">
        <v>0</v>
      </c>
      <c r="L672" t="n">
        <v>0</v>
      </c>
      <c r="M672" t="n">
        <v>0</v>
      </c>
      <c r="N672" t="n">
        <v>0</v>
      </c>
      <c r="O672" t="n">
        <v>0</v>
      </c>
      <c r="P672" t="n">
        <v>0</v>
      </c>
      <c r="Q672" t="n">
        <v>0</v>
      </c>
      <c r="R672" t="n">
        <v>0</v>
      </c>
      <c r="S672" t="n">
        <v>0</v>
      </c>
      <c r="T672" t="n">
        <v>0</v>
      </c>
      <c r="U672" s="2" t="inlineStr"/>
    </row>
    <row r="673" ht="15" customHeight="1">
      <c r="A673" t="inlineStr">
        <is>
          <t>A 693-2026</t>
        </is>
      </c>
      <c r="B673" t="inlineStr">
        <is>
          <t>avverkningsanmälan</t>
        </is>
      </c>
      <c r="C673" t="inlineStr">
        <is>
          <t>Föryngringsavverkning</t>
        </is>
      </c>
      <c r="D673" s="1" t="n">
        <v>46029</v>
      </c>
      <c r="E673" s="1" t="n">
        <v>46221</v>
      </c>
      <c r="F673" t="inlineStr">
        <is>
          <t>STOCKHOLMS LÄN</t>
        </is>
      </c>
      <c r="G673" t="inlineStr">
        <is>
          <t>NORRTÄLJE</t>
        </is>
      </c>
      <c r="I673" t="n">
        <v>9.6</v>
      </c>
      <c r="J673" t="n">
        <v>0</v>
      </c>
      <c r="K673" t="n">
        <v>0</v>
      </c>
      <c r="L673" t="n">
        <v>0</v>
      </c>
      <c r="M673" t="n">
        <v>0</v>
      </c>
      <c r="N673" t="n">
        <v>0</v>
      </c>
      <c r="O673" t="n">
        <v>0</v>
      </c>
      <c r="P673" t="n">
        <v>0</v>
      </c>
      <c r="Q673" t="n">
        <v>0</v>
      </c>
      <c r="R673" t="n">
        <v>0</v>
      </c>
      <c r="S673" t="n">
        <v>0</v>
      </c>
      <c r="T673" t="n">
        <v>0</v>
      </c>
      <c r="U673" s="2" t="inlineStr"/>
    </row>
    <row r="674" ht="15" customHeight="1">
      <c r="A674" t="inlineStr">
        <is>
          <t>A 812-2026</t>
        </is>
      </c>
      <c r="B674" t="inlineStr">
        <is>
          <t>avverkningsanmälan</t>
        </is>
      </c>
      <c r="C674" t="inlineStr">
        <is>
          <t>Föryngringsavverkning</t>
        </is>
      </c>
      <c r="D674" s="1" t="n">
        <v>46030</v>
      </c>
      <c r="E674" s="1" t="n">
        <v>46221</v>
      </c>
      <c r="F674" t="inlineStr">
        <is>
          <t>STOCKHOLMS LÄN</t>
        </is>
      </c>
      <c r="G674" t="inlineStr">
        <is>
          <t>NORRTÄLJE</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717-2026</t>
        </is>
      </c>
      <c r="B675" t="inlineStr">
        <is>
          <t>avverkningsanmälan</t>
        </is>
      </c>
      <c r="C675" t="inlineStr">
        <is>
          <t>Föryngringsavverkning</t>
        </is>
      </c>
      <c r="D675" s="1" t="n">
        <v>46029</v>
      </c>
      <c r="E675" s="1" t="n">
        <v>46221</v>
      </c>
      <c r="F675" t="inlineStr">
        <is>
          <t>STOCKHOLMS LÄN</t>
        </is>
      </c>
      <c r="G675" t="inlineStr">
        <is>
          <t>NORRTÄLJE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475-2026</t>
        </is>
      </c>
      <c r="B676" t="inlineStr">
        <is>
          <t>avverkningsanmälan</t>
        </is>
      </c>
      <c r="C676" t="inlineStr">
        <is>
          <t>Föryngringsavverkning</t>
        </is>
      </c>
      <c r="D676" s="1" t="n">
        <v>46029</v>
      </c>
      <c r="E676" s="1" t="n">
        <v>46221</v>
      </c>
      <c r="F676" t="inlineStr">
        <is>
          <t>STOCKHOLMS LÄN</t>
        </is>
      </c>
      <c r="G676" t="inlineStr">
        <is>
          <t>NORRTÄLJE</t>
        </is>
      </c>
      <c r="I676" t="n">
        <v>4.6</v>
      </c>
      <c r="J676" t="n">
        <v>0</v>
      </c>
      <c r="K676" t="n">
        <v>0</v>
      </c>
      <c r="L676" t="n">
        <v>0</v>
      </c>
      <c r="M676" t="n">
        <v>0</v>
      </c>
      <c r="N676" t="n">
        <v>0</v>
      </c>
      <c r="O676" t="n">
        <v>0</v>
      </c>
      <c r="P676" t="n">
        <v>0</v>
      </c>
      <c r="Q676" t="n">
        <v>0</v>
      </c>
      <c r="R676" t="n">
        <v>0</v>
      </c>
      <c r="S676" t="n">
        <v>0</v>
      </c>
      <c r="T676" t="n">
        <v>0</v>
      </c>
      <c r="U676" s="2" t="inlineStr"/>
    </row>
    <row r="677" ht="15" customHeight="1">
      <c r="A677" t="inlineStr">
        <is>
          <t>A 23749-2024</t>
        </is>
      </c>
      <c r="B677" t="inlineStr">
        <is>
          <t>avverkningsanmälan</t>
        </is>
      </c>
      <c r="C677" t="inlineStr">
        <is>
          <t>Föryngringsavverkning</t>
        </is>
      </c>
      <c r="D677" s="1" t="n">
        <v>45455</v>
      </c>
      <c r="E677" s="1" t="n">
        <v>46221</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35698-2023</t>
        </is>
      </c>
      <c r="B678" t="inlineStr">
        <is>
          <t>avverkningsanmälan</t>
        </is>
      </c>
      <c r="C678" t="inlineStr">
        <is>
          <t>Föryngringsavverkning</t>
        </is>
      </c>
      <c r="D678" s="1" t="n">
        <v>45147</v>
      </c>
      <c r="E678" s="1" t="n">
        <v>46221</v>
      </c>
      <c r="F678" t="inlineStr">
        <is>
          <t>STOCKHOLMS LÄN</t>
        </is>
      </c>
      <c r="G678" t="inlineStr">
        <is>
          <t>NORRTÄLJE</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73992-2021</t>
        </is>
      </c>
      <c r="B679" t="inlineStr">
        <is>
          <t>avverkningsanmälan</t>
        </is>
      </c>
      <c r="C679" t="inlineStr">
        <is>
          <t>Föryngringsavverkning</t>
        </is>
      </c>
      <c r="D679" s="1" t="n">
        <v>44556</v>
      </c>
      <c r="E679" s="1" t="n">
        <v>46221</v>
      </c>
      <c r="F679" t="inlineStr">
        <is>
          <t>STOCKHOLMS LÄN</t>
        </is>
      </c>
      <c r="G679" t="inlineStr">
        <is>
          <t>NORRTÄLJE</t>
        </is>
      </c>
      <c r="I679" t="n">
        <v>12.5</v>
      </c>
      <c r="J679" t="n">
        <v>0</v>
      </c>
      <c r="K679" t="n">
        <v>0</v>
      </c>
      <c r="L679" t="n">
        <v>0</v>
      </c>
      <c r="M679" t="n">
        <v>0</v>
      </c>
      <c r="N679" t="n">
        <v>0</v>
      </c>
      <c r="O679" t="n">
        <v>0</v>
      </c>
      <c r="P679" t="n">
        <v>0</v>
      </c>
      <c r="Q679" t="n">
        <v>0</v>
      </c>
      <c r="R679" t="n">
        <v>0</v>
      </c>
      <c r="S679" t="n">
        <v>0</v>
      </c>
      <c r="T679" t="n">
        <v>0</v>
      </c>
      <c r="U679" s="2" t="inlineStr"/>
    </row>
    <row r="680" ht="15" customHeight="1">
      <c r="A680" t="inlineStr">
        <is>
          <t>A 1789-2026</t>
        </is>
      </c>
      <c r="B680" t="inlineStr">
        <is>
          <t>avverkningsanmälan</t>
        </is>
      </c>
      <c r="C680" t="inlineStr">
        <is>
          <t>Avverkning för annat ändamål</t>
        </is>
      </c>
      <c r="D680" s="1" t="n">
        <v>46034</v>
      </c>
      <c r="E680" s="1" t="n">
        <v>46221</v>
      </c>
      <c r="F680" t="inlineStr">
        <is>
          <t>STOCKHOLMS LÄN</t>
        </is>
      </c>
      <c r="G680" t="inlineStr">
        <is>
          <t>NORRTÄLJE</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1755-2026</t>
        </is>
      </c>
      <c r="B681" t="inlineStr">
        <is>
          <t>avverkningsanmälan</t>
        </is>
      </c>
      <c r="C681" t="inlineStr">
        <is>
          <t>Föryngringsavverkning</t>
        </is>
      </c>
      <c r="D681" s="1" t="n">
        <v>46034</v>
      </c>
      <c r="E681" s="1" t="n">
        <v>46221</v>
      </c>
      <c r="F681" t="inlineStr">
        <is>
          <t>STOCKHOLMS LÄN</t>
        </is>
      </c>
      <c r="G681" t="inlineStr">
        <is>
          <t>NORRTÄLJE</t>
        </is>
      </c>
      <c r="H681" t="inlineStr">
        <is>
          <t>Holmen skog AB</t>
        </is>
      </c>
      <c r="I681" t="n">
        <v>3.5</v>
      </c>
      <c r="J681" t="n">
        <v>0</v>
      </c>
      <c r="K681" t="n">
        <v>0</v>
      </c>
      <c r="L681" t="n">
        <v>0</v>
      </c>
      <c r="M681" t="n">
        <v>0</v>
      </c>
      <c r="N681" t="n">
        <v>0</v>
      </c>
      <c r="O681" t="n">
        <v>0</v>
      </c>
      <c r="P681" t="n">
        <v>0</v>
      </c>
      <c r="Q681" t="n">
        <v>0</v>
      </c>
      <c r="R681" t="n">
        <v>0</v>
      </c>
      <c r="S681" t="n">
        <v>0</v>
      </c>
      <c r="T681" t="n">
        <v>0</v>
      </c>
      <c r="U681" s="2" t="inlineStr"/>
    </row>
    <row r="682" ht="15" customHeight="1">
      <c r="A682" t="inlineStr">
        <is>
          <t>A 54276-2021</t>
        </is>
      </c>
      <c r="B682" t="inlineStr">
        <is>
          <t>avverkningsanmälan</t>
        </is>
      </c>
      <c r="C682" t="inlineStr">
        <is>
          <t>Föryngringsavverkning</t>
        </is>
      </c>
      <c r="D682" s="1" t="n">
        <v>44470</v>
      </c>
      <c r="E682" s="1" t="n">
        <v>46221</v>
      </c>
      <c r="F682" t="inlineStr">
        <is>
          <t>STOCKHOLMS LÄN</t>
        </is>
      </c>
      <c r="G682" t="inlineStr">
        <is>
          <t>NORRTÄLJE</t>
        </is>
      </c>
      <c r="I682" t="n">
        <v>7.3</v>
      </c>
      <c r="J682" t="n">
        <v>0</v>
      </c>
      <c r="K682" t="n">
        <v>0</v>
      </c>
      <c r="L682" t="n">
        <v>0</v>
      </c>
      <c r="M682" t="n">
        <v>0</v>
      </c>
      <c r="N682" t="n">
        <v>0</v>
      </c>
      <c r="O682" t="n">
        <v>0</v>
      </c>
      <c r="P682" t="n">
        <v>0</v>
      </c>
      <c r="Q682" t="n">
        <v>0</v>
      </c>
      <c r="R682" t="n">
        <v>0</v>
      </c>
      <c r="S682" t="n">
        <v>0</v>
      </c>
      <c r="T682" t="n">
        <v>0</v>
      </c>
      <c r="U682" s="2" t="inlineStr"/>
    </row>
    <row r="683" ht="15" customHeight="1">
      <c r="A683" t="inlineStr">
        <is>
          <t>A 10090-2022</t>
        </is>
      </c>
      <c r="B683" t="inlineStr">
        <is>
          <t>avverkningsanmälan</t>
        </is>
      </c>
      <c r="C683" t="inlineStr">
        <is>
          <t>Avverkning för annat ändamål</t>
        </is>
      </c>
      <c r="D683" s="1" t="n">
        <v>44621</v>
      </c>
      <c r="E683" s="1" t="n">
        <v>46221</v>
      </c>
      <c r="F683" t="inlineStr">
        <is>
          <t>STOCKHOLMS LÄN</t>
        </is>
      </c>
      <c r="G683" t="inlineStr">
        <is>
          <t>NORRTÄLJE</t>
        </is>
      </c>
      <c r="I683" t="n">
        <v>5.2</v>
      </c>
      <c r="J683" t="n">
        <v>0</v>
      </c>
      <c r="K683" t="n">
        <v>0</v>
      </c>
      <c r="L683" t="n">
        <v>0</v>
      </c>
      <c r="M683" t="n">
        <v>0</v>
      </c>
      <c r="N683" t="n">
        <v>0</v>
      </c>
      <c r="O683" t="n">
        <v>0</v>
      </c>
      <c r="P683" t="n">
        <v>0</v>
      </c>
      <c r="Q683" t="n">
        <v>0</v>
      </c>
      <c r="R683" t="n">
        <v>0</v>
      </c>
      <c r="S683" t="n">
        <v>0</v>
      </c>
      <c r="T683" t="n">
        <v>0</v>
      </c>
      <c r="U683" s="2" t="inlineStr"/>
    </row>
    <row r="684" ht="15" customHeight="1">
      <c r="A684" t="inlineStr">
        <is>
          <t>A 2088-2026</t>
        </is>
      </c>
      <c r="B684" t="inlineStr">
        <is>
          <t>avverkningsanmälan</t>
        </is>
      </c>
      <c r="C684" t="inlineStr">
        <is>
          <t>Föryngringsavverkning</t>
        </is>
      </c>
      <c r="D684" s="1" t="n">
        <v>46036</v>
      </c>
      <c r="E684" s="1" t="n">
        <v>46221</v>
      </c>
      <c r="F684" t="inlineStr">
        <is>
          <t>STOCKHOLMS LÄN</t>
        </is>
      </c>
      <c r="G684" t="inlineStr">
        <is>
          <t>NORRTÄLJE</t>
        </is>
      </c>
      <c r="I684" t="n">
        <v>7</v>
      </c>
      <c r="J684" t="n">
        <v>0</v>
      </c>
      <c r="K684" t="n">
        <v>0</v>
      </c>
      <c r="L684" t="n">
        <v>0</v>
      </c>
      <c r="M684" t="n">
        <v>0</v>
      </c>
      <c r="N684" t="n">
        <v>0</v>
      </c>
      <c r="O684" t="n">
        <v>0</v>
      </c>
      <c r="P684" t="n">
        <v>0</v>
      </c>
      <c r="Q684" t="n">
        <v>0</v>
      </c>
      <c r="R684" t="n">
        <v>0</v>
      </c>
      <c r="S684" t="n">
        <v>0</v>
      </c>
      <c r="T684" t="n">
        <v>0</v>
      </c>
      <c r="U684" s="2" t="inlineStr"/>
    </row>
    <row r="685" ht="15" customHeight="1">
      <c r="A685" t="inlineStr">
        <is>
          <t>A 2116-2026</t>
        </is>
      </c>
      <c r="B685" t="inlineStr">
        <is>
          <t>avverkningsanmälan</t>
        </is>
      </c>
      <c r="C685" t="inlineStr">
        <is>
          <t>Föryngringsavverkning</t>
        </is>
      </c>
      <c r="D685" s="1" t="n">
        <v>46036</v>
      </c>
      <c r="E685" s="1" t="n">
        <v>46221</v>
      </c>
      <c r="F685" t="inlineStr">
        <is>
          <t>STOCKHOLMS LÄN</t>
        </is>
      </c>
      <c r="G685" t="inlineStr">
        <is>
          <t>NORRTÄLJE</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51116-2022</t>
        </is>
      </c>
      <c r="B686" t="inlineStr">
        <is>
          <t>avverkningsanmälan</t>
        </is>
      </c>
      <c r="C686" t="inlineStr">
        <is>
          <t>Föryngringsavverkning</t>
        </is>
      </c>
      <c r="D686" s="1" t="n">
        <v>44868</v>
      </c>
      <c r="E686" s="1" t="n">
        <v>46221</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28809-2023</t>
        </is>
      </c>
      <c r="B687" t="inlineStr">
        <is>
          <t>avverkningsanmälan</t>
        </is>
      </c>
      <c r="C687" t="inlineStr">
        <is>
          <t>Föryngringsavverkning</t>
        </is>
      </c>
      <c r="D687" s="1" t="n">
        <v>45104</v>
      </c>
      <c r="E687" s="1" t="n">
        <v>46221</v>
      </c>
      <c r="F687" t="inlineStr">
        <is>
          <t>STOCKHOLMS LÄN</t>
        </is>
      </c>
      <c r="G687" t="inlineStr">
        <is>
          <t>NORRTÄLJE</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28813-2023</t>
        </is>
      </c>
      <c r="B688" t="inlineStr">
        <is>
          <t>avverkningsanmälan</t>
        </is>
      </c>
      <c r="C688" t="inlineStr">
        <is>
          <t>Föryngringsavverkning</t>
        </is>
      </c>
      <c r="D688" s="1" t="n">
        <v>45104</v>
      </c>
      <c r="E688" s="1" t="n">
        <v>46221</v>
      </c>
      <c r="F688" t="inlineStr">
        <is>
          <t>STOCKHOLMS LÄN</t>
        </is>
      </c>
      <c r="G688" t="inlineStr">
        <is>
          <t>NORRTÄLJE</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11929-2024</t>
        </is>
      </c>
      <c r="B689" t="inlineStr">
        <is>
          <t>avverkningsanmälan</t>
        </is>
      </c>
      <c r="C689" t="inlineStr">
        <is>
          <t>Föryngringsavverkning</t>
        </is>
      </c>
      <c r="D689" s="1" t="n">
        <v>45376</v>
      </c>
      <c r="E689" s="1" t="n">
        <v>46221</v>
      </c>
      <c r="F689" t="inlineStr">
        <is>
          <t>STOCKHOLMS LÄN</t>
        </is>
      </c>
      <c r="G689" t="inlineStr">
        <is>
          <t>NORRTÄLJE</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64145-2021</t>
        </is>
      </c>
      <c r="B690" t="inlineStr">
        <is>
          <t>avverkningsanmälan</t>
        </is>
      </c>
      <c r="C690" t="inlineStr">
        <is>
          <t>Föryngringsavverkning</t>
        </is>
      </c>
      <c r="D690" s="1" t="n">
        <v>44510</v>
      </c>
      <c r="E690" s="1" t="n">
        <v>46221</v>
      </c>
      <c r="F690" t="inlineStr">
        <is>
          <t>STOCKHOLMS LÄN</t>
        </is>
      </c>
      <c r="G690" t="inlineStr">
        <is>
          <t>NORRTÄLJE</t>
        </is>
      </c>
      <c r="H690" t="inlineStr">
        <is>
          <t>Holmen skog AB</t>
        </is>
      </c>
      <c r="I690" t="n">
        <v>1.5</v>
      </c>
      <c r="J690" t="n">
        <v>0</v>
      </c>
      <c r="K690" t="n">
        <v>0</v>
      </c>
      <c r="L690" t="n">
        <v>0</v>
      </c>
      <c r="M690" t="n">
        <v>0</v>
      </c>
      <c r="N690" t="n">
        <v>0</v>
      </c>
      <c r="O690" t="n">
        <v>0</v>
      </c>
      <c r="P690" t="n">
        <v>0</v>
      </c>
      <c r="Q690" t="n">
        <v>0</v>
      </c>
      <c r="R690" t="n">
        <v>0</v>
      </c>
      <c r="S690" t="n">
        <v>0</v>
      </c>
      <c r="T690" t="n">
        <v>0</v>
      </c>
      <c r="U690" s="2" t="inlineStr"/>
    </row>
    <row r="691" ht="15" customHeight="1">
      <c r="A691" t="inlineStr">
        <is>
          <t>A 45451-2024</t>
        </is>
      </c>
      <c r="B691" t="inlineStr">
        <is>
          <t>avverkningsanmälan</t>
        </is>
      </c>
      <c r="C691" t="inlineStr">
        <is>
          <t>Föryngringsavverkning</t>
        </is>
      </c>
      <c r="D691" s="1" t="n">
        <v>45576</v>
      </c>
      <c r="E691" s="1" t="n">
        <v>46221</v>
      </c>
      <c r="F691" t="inlineStr">
        <is>
          <t>STOCKHOLMS LÄN</t>
        </is>
      </c>
      <c r="G691" t="inlineStr">
        <is>
          <t>NORRTÄLJE</t>
        </is>
      </c>
      <c r="I691" t="n">
        <v>1.3</v>
      </c>
      <c r="J691" t="n">
        <v>0</v>
      </c>
      <c r="K691" t="n">
        <v>0</v>
      </c>
      <c r="L691" t="n">
        <v>0</v>
      </c>
      <c r="M691" t="n">
        <v>0</v>
      </c>
      <c r="N691" t="n">
        <v>0</v>
      </c>
      <c r="O691" t="n">
        <v>0</v>
      </c>
      <c r="P691" t="n">
        <v>0</v>
      </c>
      <c r="Q691" t="n">
        <v>0</v>
      </c>
      <c r="R691" t="n">
        <v>0</v>
      </c>
      <c r="S691" t="n">
        <v>0</v>
      </c>
      <c r="T691" t="n">
        <v>0</v>
      </c>
      <c r="U691" s="2" t="inlineStr"/>
    </row>
    <row r="692" ht="15" customHeight="1">
      <c r="A692" t="inlineStr">
        <is>
          <t>A 17025-2026</t>
        </is>
      </c>
      <c r="B692" t="inlineStr">
        <is>
          <t>avverkningsanmälan</t>
        </is>
      </c>
      <c r="C692" t="inlineStr">
        <is>
          <t>Föryngringsavverkning</t>
        </is>
      </c>
      <c r="D692" s="1" t="n">
        <v>46113</v>
      </c>
      <c r="E692" s="1" t="n">
        <v>46221</v>
      </c>
      <c r="F692" t="inlineStr">
        <is>
          <t>STOCKHOLMS LÄN</t>
        </is>
      </c>
      <c r="G692" t="inlineStr">
        <is>
          <t>NORRTÄLJE</t>
        </is>
      </c>
      <c r="I692" t="n">
        <v>5.4</v>
      </c>
      <c r="J692" t="n">
        <v>0</v>
      </c>
      <c r="K692" t="n">
        <v>0</v>
      </c>
      <c r="L692" t="n">
        <v>0</v>
      </c>
      <c r="M692" t="n">
        <v>0</v>
      </c>
      <c r="N692" t="n">
        <v>0</v>
      </c>
      <c r="O692" t="n">
        <v>0</v>
      </c>
      <c r="P692" t="n">
        <v>0</v>
      </c>
      <c r="Q692" t="n">
        <v>0</v>
      </c>
      <c r="R692" t="n">
        <v>0</v>
      </c>
      <c r="S692" t="n">
        <v>0</v>
      </c>
      <c r="T692" t="n">
        <v>0</v>
      </c>
      <c r="U692" s="2" t="inlineStr"/>
    </row>
    <row r="693" ht="15" customHeight="1">
      <c r="A693" t="inlineStr">
        <is>
          <t>A 12890-2024</t>
        </is>
      </c>
      <c r="B693" t="inlineStr">
        <is>
          <t>avverkningsanmälan</t>
        </is>
      </c>
      <c r="C693" t="inlineStr">
        <is>
          <t>Föryngringsavverkning</t>
        </is>
      </c>
      <c r="D693" s="1" t="n">
        <v>45385</v>
      </c>
      <c r="E693" s="1" t="n">
        <v>46221</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17345-2026</t>
        </is>
      </c>
      <c r="B694" t="inlineStr">
        <is>
          <t>avverkningsanmälan</t>
        </is>
      </c>
      <c r="C694" t="inlineStr">
        <is>
          <t>Föryngringsavverkning</t>
        </is>
      </c>
      <c r="D694" s="1" t="n">
        <v>46119</v>
      </c>
      <c r="E694" s="1" t="n">
        <v>46221</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36430-2024</t>
        </is>
      </c>
      <c r="B695" t="inlineStr">
        <is>
          <t>avverkningsanmälan</t>
        </is>
      </c>
      <c r="C695" t="inlineStr">
        <is>
          <t>Föryngringsavverkning</t>
        </is>
      </c>
      <c r="D695" s="1" t="n">
        <v>45536</v>
      </c>
      <c r="E695" s="1" t="n">
        <v>46221</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17207-2026</t>
        </is>
      </c>
      <c r="B696" t="inlineStr">
        <is>
          <t>avverkningsanmälan</t>
        </is>
      </c>
      <c r="C696" t="inlineStr">
        <is>
          <t>Föryngringsavverkning</t>
        </is>
      </c>
      <c r="D696" s="1" t="n">
        <v>46119</v>
      </c>
      <c r="E696" s="1" t="n">
        <v>46221</v>
      </c>
      <c r="F696" t="inlineStr">
        <is>
          <t>STOCKHOLMS LÄN</t>
        </is>
      </c>
      <c r="G696" t="inlineStr">
        <is>
          <t>NORRTÄLJE</t>
        </is>
      </c>
      <c r="H696" t="inlineStr">
        <is>
          <t>Holmen skog AB</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17215-2026</t>
        </is>
      </c>
      <c r="B697" t="inlineStr">
        <is>
          <t>avverkningsanmälan</t>
        </is>
      </c>
      <c r="C697" t="inlineStr">
        <is>
          <t>Föryngringsavverkning</t>
        </is>
      </c>
      <c r="D697" s="1" t="n">
        <v>46119</v>
      </c>
      <c r="E697" s="1" t="n">
        <v>46221</v>
      </c>
      <c r="F697" t="inlineStr">
        <is>
          <t>STOCKHOLMS LÄN</t>
        </is>
      </c>
      <c r="G697" t="inlineStr">
        <is>
          <t>NORRTÄLJE</t>
        </is>
      </c>
      <c r="H697" t="inlineStr">
        <is>
          <t>Holmen skog AB</t>
        </is>
      </c>
      <c r="I697" t="n">
        <v>3.8</v>
      </c>
      <c r="J697" t="n">
        <v>0</v>
      </c>
      <c r="K697" t="n">
        <v>0</v>
      </c>
      <c r="L697" t="n">
        <v>0</v>
      </c>
      <c r="M697" t="n">
        <v>0</v>
      </c>
      <c r="N697" t="n">
        <v>0</v>
      </c>
      <c r="O697" t="n">
        <v>0</v>
      </c>
      <c r="P697" t="n">
        <v>0</v>
      </c>
      <c r="Q697" t="n">
        <v>0</v>
      </c>
      <c r="R697" t="n">
        <v>0</v>
      </c>
      <c r="S697" t="n">
        <v>0</v>
      </c>
      <c r="T697" t="n">
        <v>0</v>
      </c>
      <c r="U697" s="2" t="inlineStr"/>
    </row>
    <row r="698" ht="15" customHeight="1">
      <c r="A698" t="inlineStr">
        <is>
          <t>A 17347-2026</t>
        </is>
      </c>
      <c r="B698" t="inlineStr">
        <is>
          <t>avverkningsanmälan</t>
        </is>
      </c>
      <c r="C698" t="inlineStr">
        <is>
          <t>Föryngringsavverkning</t>
        </is>
      </c>
      <c r="D698" s="1" t="n">
        <v>46119</v>
      </c>
      <c r="E698" s="1" t="n">
        <v>46221</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41172-2023</t>
        </is>
      </c>
      <c r="B699" t="inlineStr">
        <is>
          <t>avverkningsanmälan</t>
        </is>
      </c>
      <c r="C699" t="inlineStr">
        <is>
          <t>Föryngringsavverkning</t>
        </is>
      </c>
      <c r="D699" s="1" t="n">
        <v>45170</v>
      </c>
      <c r="E699" s="1" t="n">
        <v>46221</v>
      </c>
      <c r="F699" t="inlineStr">
        <is>
          <t>STOCKHOLMS LÄN</t>
        </is>
      </c>
      <c r="G699" t="inlineStr">
        <is>
          <t>NORRTÄLJE</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67921-2021</t>
        </is>
      </c>
      <c r="B700" t="inlineStr">
        <is>
          <t>avverkningsanmälan</t>
        </is>
      </c>
      <c r="C700" t="inlineStr">
        <is>
          <t>Föryngringsavverkning</t>
        </is>
      </c>
      <c r="D700" s="1" t="n">
        <v>44525</v>
      </c>
      <c r="E700" s="1" t="n">
        <v>46221</v>
      </c>
      <c r="F700" t="inlineStr">
        <is>
          <t>STOCKHOLMS LÄN</t>
        </is>
      </c>
      <c r="G700" t="inlineStr">
        <is>
          <t>NORRTÄLJE</t>
        </is>
      </c>
      <c r="I700" t="n">
        <v>6.3</v>
      </c>
      <c r="J700" t="n">
        <v>0</v>
      </c>
      <c r="K700" t="n">
        <v>0</v>
      </c>
      <c r="L700" t="n">
        <v>0</v>
      </c>
      <c r="M700" t="n">
        <v>0</v>
      </c>
      <c r="N700" t="n">
        <v>0</v>
      </c>
      <c r="O700" t="n">
        <v>0</v>
      </c>
      <c r="P700" t="n">
        <v>0</v>
      </c>
      <c r="Q700" t="n">
        <v>0</v>
      </c>
      <c r="R700" t="n">
        <v>0</v>
      </c>
      <c r="S700" t="n">
        <v>0</v>
      </c>
      <c r="T700" t="n">
        <v>0</v>
      </c>
      <c r="U700" s="2" t="inlineStr"/>
    </row>
    <row r="701" ht="15" customHeight="1">
      <c r="A701" t="inlineStr">
        <is>
          <t>A 72704-2021</t>
        </is>
      </c>
      <c r="B701" t="inlineStr">
        <is>
          <t>avverkningsanmälan</t>
        </is>
      </c>
      <c r="C701" t="inlineStr">
        <is>
          <t>Föryngringsavverkning</t>
        </is>
      </c>
      <c r="D701" s="1" t="n">
        <v>44546</v>
      </c>
      <c r="E701" s="1" t="n">
        <v>46221</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65499-2021</t>
        </is>
      </c>
      <c r="B702" t="inlineStr">
        <is>
          <t>avverkningsanmälan</t>
        </is>
      </c>
      <c r="C702" t="inlineStr">
        <is>
          <t>Föryngringsavverkning</t>
        </is>
      </c>
      <c r="D702" s="1" t="n">
        <v>44516</v>
      </c>
      <c r="E702" s="1" t="n">
        <v>46221</v>
      </c>
      <c r="F702" t="inlineStr">
        <is>
          <t>STOCKHOLMS LÄN</t>
        </is>
      </c>
      <c r="G702" t="inlineStr">
        <is>
          <t>NORRTÄLJE</t>
        </is>
      </c>
      <c r="H702" t="inlineStr">
        <is>
          <t>Kommuner</t>
        </is>
      </c>
      <c r="I702" t="n">
        <v>5.2</v>
      </c>
      <c r="J702" t="n">
        <v>0</v>
      </c>
      <c r="K702" t="n">
        <v>0</v>
      </c>
      <c r="L702" t="n">
        <v>0</v>
      </c>
      <c r="M702" t="n">
        <v>0</v>
      </c>
      <c r="N702" t="n">
        <v>0</v>
      </c>
      <c r="O702" t="n">
        <v>0</v>
      </c>
      <c r="P702" t="n">
        <v>0</v>
      </c>
      <c r="Q702" t="n">
        <v>0</v>
      </c>
      <c r="R702" t="n">
        <v>0</v>
      </c>
      <c r="S702" t="n">
        <v>0</v>
      </c>
      <c r="T702" t="n">
        <v>0</v>
      </c>
      <c r="U702" s="2" t="inlineStr"/>
    </row>
    <row r="703" ht="15" customHeight="1">
      <c r="A703" t="inlineStr">
        <is>
          <t>A 65511-2021</t>
        </is>
      </c>
      <c r="B703" t="inlineStr">
        <is>
          <t>avverkningsanmälan</t>
        </is>
      </c>
      <c r="C703" t="inlineStr">
        <is>
          <t>Föryngringsavverkning</t>
        </is>
      </c>
      <c r="D703" s="1" t="n">
        <v>44516</v>
      </c>
      <c r="E703" s="1" t="n">
        <v>46221</v>
      </c>
      <c r="F703" t="inlineStr">
        <is>
          <t>STOCKHOLMS LÄN</t>
        </is>
      </c>
      <c r="G703" t="inlineStr">
        <is>
          <t>NORRTÄLJE</t>
        </is>
      </c>
      <c r="H703" t="inlineStr">
        <is>
          <t>Kommuner</t>
        </is>
      </c>
      <c r="I703" t="n">
        <v>2.8</v>
      </c>
      <c r="J703" t="n">
        <v>0</v>
      </c>
      <c r="K703" t="n">
        <v>0</v>
      </c>
      <c r="L703" t="n">
        <v>0</v>
      </c>
      <c r="M703" t="n">
        <v>0</v>
      </c>
      <c r="N703" t="n">
        <v>0</v>
      </c>
      <c r="O703" t="n">
        <v>0</v>
      </c>
      <c r="P703" t="n">
        <v>0</v>
      </c>
      <c r="Q703" t="n">
        <v>0</v>
      </c>
      <c r="R703" t="n">
        <v>0</v>
      </c>
      <c r="S703" t="n">
        <v>0</v>
      </c>
      <c r="T703" t="n">
        <v>0</v>
      </c>
      <c r="U703" s="2" t="inlineStr"/>
    </row>
    <row r="704" ht="15" customHeight="1">
      <c r="A704" t="inlineStr">
        <is>
          <t>A 26113-2024</t>
        </is>
      </c>
      <c r="B704" t="inlineStr">
        <is>
          <t>avverkningsanmälan</t>
        </is>
      </c>
      <c r="C704" t="inlineStr">
        <is>
          <t>Föryngringsavverkning</t>
        </is>
      </c>
      <c r="D704" s="1" t="n">
        <v>45468</v>
      </c>
      <c r="E704" s="1" t="n">
        <v>46221</v>
      </c>
      <c r="F704" t="inlineStr">
        <is>
          <t>STOCKHOLMS LÄN</t>
        </is>
      </c>
      <c r="G704" t="inlineStr">
        <is>
          <t>NORRTÄLJE</t>
        </is>
      </c>
      <c r="I704" t="n">
        <v>0.4</v>
      </c>
      <c r="J704" t="n">
        <v>0</v>
      </c>
      <c r="K704" t="n">
        <v>0</v>
      </c>
      <c r="L704" t="n">
        <v>0</v>
      </c>
      <c r="M704" t="n">
        <v>0</v>
      </c>
      <c r="N704" t="n">
        <v>0</v>
      </c>
      <c r="O704" t="n">
        <v>0</v>
      </c>
      <c r="P704" t="n">
        <v>0</v>
      </c>
      <c r="Q704" t="n">
        <v>0</v>
      </c>
      <c r="R704" t="n">
        <v>0</v>
      </c>
      <c r="S704" t="n">
        <v>0</v>
      </c>
      <c r="T704" t="n">
        <v>0</v>
      </c>
      <c r="U704" s="2" t="inlineStr"/>
    </row>
    <row r="705" ht="15" customHeight="1">
      <c r="A705" t="inlineStr">
        <is>
          <t>A 26116-2024</t>
        </is>
      </c>
      <c r="B705" t="inlineStr">
        <is>
          <t>avverkningsanmälan</t>
        </is>
      </c>
      <c r="C705" t="inlineStr">
        <is>
          <t>Föryngringsavverkning</t>
        </is>
      </c>
      <c r="D705" s="1" t="n">
        <v>45468</v>
      </c>
      <c r="E705" s="1" t="n">
        <v>46221</v>
      </c>
      <c r="F705" t="inlineStr">
        <is>
          <t>STOCKHOLMS LÄN</t>
        </is>
      </c>
      <c r="G705" t="inlineStr">
        <is>
          <t>NORRTÄLJE</t>
        </is>
      </c>
      <c r="I705" t="n">
        <v>1.8</v>
      </c>
      <c r="J705" t="n">
        <v>0</v>
      </c>
      <c r="K705" t="n">
        <v>0</v>
      </c>
      <c r="L705" t="n">
        <v>0</v>
      </c>
      <c r="M705" t="n">
        <v>0</v>
      </c>
      <c r="N705" t="n">
        <v>0</v>
      </c>
      <c r="O705" t="n">
        <v>0</v>
      </c>
      <c r="P705" t="n">
        <v>0</v>
      </c>
      <c r="Q705" t="n">
        <v>0</v>
      </c>
      <c r="R705" t="n">
        <v>0</v>
      </c>
      <c r="S705" t="n">
        <v>0</v>
      </c>
      <c r="T705" t="n">
        <v>0</v>
      </c>
      <c r="U705" s="2" t="inlineStr"/>
    </row>
    <row r="706" ht="15" customHeight="1">
      <c r="A706" t="inlineStr">
        <is>
          <t>A 31105-2022</t>
        </is>
      </c>
      <c r="B706" t="inlineStr">
        <is>
          <t>avverkningsanmälan</t>
        </is>
      </c>
      <c r="C706" t="inlineStr">
        <is>
          <t>Föryngringsavverkning</t>
        </is>
      </c>
      <c r="D706" s="1" t="n">
        <v>44769</v>
      </c>
      <c r="E706" s="1" t="n">
        <v>46221</v>
      </c>
      <c r="F706" t="inlineStr">
        <is>
          <t>STOCKHOLMS LÄN</t>
        </is>
      </c>
      <c r="G706" t="inlineStr">
        <is>
          <t>NORRTÄLJE</t>
        </is>
      </c>
      <c r="I706" t="n">
        <v>8.699999999999999</v>
      </c>
      <c r="J706" t="n">
        <v>0</v>
      </c>
      <c r="K706" t="n">
        <v>0</v>
      </c>
      <c r="L706" t="n">
        <v>0</v>
      </c>
      <c r="M706" t="n">
        <v>0</v>
      </c>
      <c r="N706" t="n">
        <v>0</v>
      </c>
      <c r="O706" t="n">
        <v>0</v>
      </c>
      <c r="P706" t="n">
        <v>0</v>
      </c>
      <c r="Q706" t="n">
        <v>0</v>
      </c>
      <c r="R706" t="n">
        <v>0</v>
      </c>
      <c r="S706" t="n">
        <v>0</v>
      </c>
      <c r="T706" t="n">
        <v>0</v>
      </c>
      <c r="U706" s="2" t="inlineStr"/>
    </row>
    <row r="707" ht="15" customHeight="1">
      <c r="A707" t="inlineStr">
        <is>
          <t>A 62644-2023</t>
        </is>
      </c>
      <c r="B707" t="inlineStr">
        <is>
          <t>avverkningsanmälan</t>
        </is>
      </c>
      <c r="C707" t="inlineStr">
        <is>
          <t>Föryngringsavverkning</t>
        </is>
      </c>
      <c r="D707" s="1" t="n">
        <v>45271</v>
      </c>
      <c r="E707" s="1" t="n">
        <v>46221</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s="2" t="inlineStr"/>
    </row>
    <row r="708" ht="15" customHeight="1">
      <c r="A708" t="inlineStr">
        <is>
          <t>A 60185-2024</t>
        </is>
      </c>
      <c r="B708" t="inlineStr">
        <is>
          <t>avverkningsanmälan</t>
        </is>
      </c>
      <c r="C708" t="inlineStr">
        <is>
          <t>Föryngringsavverkning</t>
        </is>
      </c>
      <c r="D708" s="1" t="n">
        <v>45642</v>
      </c>
      <c r="E708" s="1" t="n">
        <v>46221</v>
      </c>
      <c r="F708" t="inlineStr">
        <is>
          <t>STOCKHOLMS LÄN</t>
        </is>
      </c>
      <c r="G708" t="inlineStr">
        <is>
          <t>NORRTÄLJE</t>
        </is>
      </c>
      <c r="I708" t="n">
        <v>0.3</v>
      </c>
      <c r="J708" t="n">
        <v>0</v>
      </c>
      <c r="K708" t="n">
        <v>0</v>
      </c>
      <c r="L708" t="n">
        <v>0</v>
      </c>
      <c r="M708" t="n">
        <v>0</v>
      </c>
      <c r="N708" t="n">
        <v>0</v>
      </c>
      <c r="O708" t="n">
        <v>0</v>
      </c>
      <c r="P708" t="n">
        <v>0</v>
      </c>
      <c r="Q708" t="n">
        <v>0</v>
      </c>
      <c r="R708" t="n">
        <v>0</v>
      </c>
      <c r="S708" t="n">
        <v>0</v>
      </c>
      <c r="T708" t="n">
        <v>0</v>
      </c>
      <c r="U708" s="2" t="inlineStr"/>
    </row>
    <row r="709" ht="15" customHeight="1">
      <c r="A709" t="inlineStr">
        <is>
          <t>A 12268-2022</t>
        </is>
      </c>
      <c r="B709" t="inlineStr">
        <is>
          <t>avverkningsanmälan</t>
        </is>
      </c>
      <c r="C709" t="inlineStr">
        <is>
          <t>Föryngringsavverkning</t>
        </is>
      </c>
      <c r="D709" s="1" t="n">
        <v>44637</v>
      </c>
      <c r="E709" s="1" t="n">
        <v>46221</v>
      </c>
      <c r="F709" t="inlineStr">
        <is>
          <t>STOCKHOLMS LÄN</t>
        </is>
      </c>
      <c r="G709" t="inlineStr">
        <is>
          <t>NORRTÄLJE</t>
        </is>
      </c>
      <c r="H709" t="inlineStr">
        <is>
          <t>Sveaskog</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14937-2026</t>
        </is>
      </c>
      <c r="B710" t="inlineStr">
        <is>
          <t>avverkningsanmälan</t>
        </is>
      </c>
      <c r="C710" t="inlineStr">
        <is>
          <t>Föryngringsavverkning</t>
        </is>
      </c>
      <c r="D710" s="1" t="n">
        <v>46104</v>
      </c>
      <c r="E710" s="1" t="n">
        <v>46221</v>
      </c>
      <c r="F710" t="inlineStr">
        <is>
          <t>STOCKHOLMS LÄN</t>
        </is>
      </c>
      <c r="G710" t="inlineStr">
        <is>
          <t>NORRTÄLJE</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22008-2024</t>
        </is>
      </c>
      <c r="B711" t="inlineStr">
        <is>
          <t>avverkningsanmälan</t>
        </is>
      </c>
      <c r="C711" t="inlineStr">
        <is>
          <t>Föryngringsavverkning</t>
        </is>
      </c>
      <c r="D711" s="1" t="n">
        <v>45443</v>
      </c>
      <c r="E711" s="1" t="n">
        <v>46221</v>
      </c>
      <c r="F711" t="inlineStr">
        <is>
          <t>STOCKHOLMS LÄN</t>
        </is>
      </c>
      <c r="G711" t="inlineStr">
        <is>
          <t>NORRTÄLJE</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58277-2023</t>
        </is>
      </c>
      <c r="B712" t="inlineStr">
        <is>
          <t>avverkningsanmälan</t>
        </is>
      </c>
      <c r="C712" t="inlineStr">
        <is>
          <t>Föryngringsavverkning</t>
        </is>
      </c>
      <c r="D712" s="1" t="n">
        <v>45245</v>
      </c>
      <c r="E712" s="1" t="n">
        <v>46221</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15836-2026</t>
        </is>
      </c>
      <c r="B713" t="inlineStr">
        <is>
          <t>avverkningsanmälan</t>
        </is>
      </c>
      <c r="C713" t="inlineStr">
        <is>
          <t>Föryngringsavverkning</t>
        </is>
      </c>
      <c r="D713" s="1" t="n">
        <v>46107</v>
      </c>
      <c r="E713" s="1" t="n">
        <v>46221</v>
      </c>
      <c r="F713" t="inlineStr">
        <is>
          <t>STOCKHOLMS LÄN</t>
        </is>
      </c>
      <c r="G713" t="inlineStr">
        <is>
          <t>NORRTÄLJE</t>
        </is>
      </c>
      <c r="I713" t="n">
        <v>9.300000000000001</v>
      </c>
      <c r="J713" t="n">
        <v>0</v>
      </c>
      <c r="K713" t="n">
        <v>0</v>
      </c>
      <c r="L713" t="n">
        <v>0</v>
      </c>
      <c r="M713" t="n">
        <v>0</v>
      </c>
      <c r="N713" t="n">
        <v>0</v>
      </c>
      <c r="O713" t="n">
        <v>0</v>
      </c>
      <c r="P713" t="n">
        <v>0</v>
      </c>
      <c r="Q713" t="n">
        <v>0</v>
      </c>
      <c r="R713" t="n">
        <v>0</v>
      </c>
      <c r="S713" t="n">
        <v>0</v>
      </c>
      <c r="T713" t="n">
        <v>0</v>
      </c>
      <c r="U713" s="2" t="inlineStr"/>
    </row>
    <row r="714" ht="15" customHeight="1">
      <c r="A714" t="inlineStr">
        <is>
          <t>A 19170-2026</t>
        </is>
      </c>
      <c r="B714" t="inlineStr">
        <is>
          <t>avverkningsanmälan</t>
        </is>
      </c>
      <c r="C714" t="inlineStr">
        <is>
          <t>Föryngringsavverkning</t>
        </is>
      </c>
      <c r="D714" s="1" t="n">
        <v>46132</v>
      </c>
      <c r="E714" s="1" t="n">
        <v>46221</v>
      </c>
      <c r="F714" t="inlineStr">
        <is>
          <t>STOCKHOLMS LÄN</t>
        </is>
      </c>
      <c r="G714" t="inlineStr">
        <is>
          <t>NORRTÄLJE</t>
        </is>
      </c>
      <c r="I714" t="n">
        <v>8.300000000000001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4322-2023</t>
        </is>
      </c>
      <c r="B715" t="inlineStr">
        <is>
          <t>avverkningsanmälan</t>
        </is>
      </c>
      <c r="C715" t="inlineStr">
        <is>
          <t>Föryngringsavverkning</t>
        </is>
      </c>
      <c r="D715" s="1" t="n">
        <v>44953</v>
      </c>
      <c r="E715" s="1" t="n">
        <v>46221</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35916-2024</t>
        </is>
      </c>
      <c r="B716" t="inlineStr">
        <is>
          <t>avverkningsanmälan</t>
        </is>
      </c>
      <c r="C716" t="inlineStr">
        <is>
          <t>Föryngringsavverkning</t>
        </is>
      </c>
      <c r="D716" s="1" t="n">
        <v>45533</v>
      </c>
      <c r="E716" s="1" t="n">
        <v>46221</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38889-2024</t>
        </is>
      </c>
      <c r="B717" t="inlineStr">
        <is>
          <t>avverkningsanmälan</t>
        </is>
      </c>
      <c r="C717" t="inlineStr">
        <is>
          <t>Föryngringsavverkning</t>
        </is>
      </c>
      <c r="D717" s="1" t="n">
        <v>45547</v>
      </c>
      <c r="E717" s="1" t="n">
        <v>46221</v>
      </c>
      <c r="F717" t="inlineStr">
        <is>
          <t>STOCKHOLMS LÄN</t>
        </is>
      </c>
      <c r="G717" t="inlineStr">
        <is>
          <t>NORRTÄLJE</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19688-2026</t>
        </is>
      </c>
      <c r="B718" t="inlineStr">
        <is>
          <t>avverkningsanmälan</t>
        </is>
      </c>
      <c r="C718" t="inlineStr">
        <is>
          <t>Föryngringsavverkning</t>
        </is>
      </c>
      <c r="D718" s="1" t="n">
        <v>46134</v>
      </c>
      <c r="E718" s="1" t="n">
        <v>46221</v>
      </c>
      <c r="F718" t="inlineStr">
        <is>
          <t>STOCKHOLMS LÄN</t>
        </is>
      </c>
      <c r="G718" t="inlineStr">
        <is>
          <t>NORRTÄLJE</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19352-2026</t>
        </is>
      </c>
      <c r="B719" t="inlineStr">
        <is>
          <t>avverkningsanmälan</t>
        </is>
      </c>
      <c r="C719" t="inlineStr">
        <is>
          <t>Föryngringsavverkning</t>
        </is>
      </c>
      <c r="D719" s="1" t="n">
        <v>46133</v>
      </c>
      <c r="E719" s="1" t="n">
        <v>46221</v>
      </c>
      <c r="F719" t="inlineStr">
        <is>
          <t>STOCKHOLMS LÄN</t>
        </is>
      </c>
      <c r="G719" t="inlineStr">
        <is>
          <t>NORRTÄLJE</t>
        </is>
      </c>
      <c r="I719" t="n">
        <v>5.5</v>
      </c>
      <c r="J719" t="n">
        <v>0</v>
      </c>
      <c r="K719" t="n">
        <v>0</v>
      </c>
      <c r="L719" t="n">
        <v>0</v>
      </c>
      <c r="M719" t="n">
        <v>0</v>
      </c>
      <c r="N719" t="n">
        <v>0</v>
      </c>
      <c r="O719" t="n">
        <v>0</v>
      </c>
      <c r="P719" t="n">
        <v>0</v>
      </c>
      <c r="Q719" t="n">
        <v>0</v>
      </c>
      <c r="R719" t="n">
        <v>0</v>
      </c>
      <c r="S719" t="n">
        <v>0</v>
      </c>
      <c r="T719" t="n">
        <v>0</v>
      </c>
      <c r="U719" s="2" t="inlineStr"/>
    </row>
    <row r="720" ht="15" customHeight="1">
      <c r="A720" t="inlineStr">
        <is>
          <t>A 3299-2022</t>
        </is>
      </c>
      <c r="B720" t="inlineStr">
        <is>
          <t>avverkningsanmälan</t>
        </is>
      </c>
      <c r="C720" t="inlineStr">
        <is>
          <t>Föryngringsavverkning</t>
        </is>
      </c>
      <c r="D720" s="1" t="n">
        <v>44584</v>
      </c>
      <c r="E720" s="1" t="n">
        <v>46221</v>
      </c>
      <c r="F720" t="inlineStr">
        <is>
          <t>STOCKHOLMS LÄN</t>
        </is>
      </c>
      <c r="G720" t="inlineStr">
        <is>
          <t>NORRTÄLJE</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10676-2025</t>
        </is>
      </c>
      <c r="B721" t="inlineStr">
        <is>
          <t>avverkningsanmälan</t>
        </is>
      </c>
      <c r="C721" t="inlineStr">
        <is>
          <t>Föryngringsavverkning</t>
        </is>
      </c>
      <c r="D721" s="1" t="n">
        <v>45721</v>
      </c>
      <c r="E721" s="1" t="n">
        <v>46221</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19358-2026</t>
        </is>
      </c>
      <c r="B722" t="inlineStr">
        <is>
          <t>avverkningsanmälan</t>
        </is>
      </c>
      <c r="C722" t="inlineStr">
        <is>
          <t>Föryngringsavverkning</t>
        </is>
      </c>
      <c r="D722" s="1" t="n">
        <v>46133</v>
      </c>
      <c r="E722" s="1" t="n">
        <v>46221</v>
      </c>
      <c r="F722" t="inlineStr">
        <is>
          <t>STOCKHOLMS LÄN</t>
        </is>
      </c>
      <c r="G722" t="inlineStr">
        <is>
          <t>NORRTÄLJE</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34773-2022</t>
        </is>
      </c>
      <c r="B723" t="inlineStr">
        <is>
          <t>avverkningsanmälan</t>
        </is>
      </c>
      <c r="C723" t="inlineStr">
        <is>
          <t>Föryngringsavverkning</t>
        </is>
      </c>
      <c r="D723" s="1" t="n">
        <v>44795</v>
      </c>
      <c r="E723" s="1" t="n">
        <v>46221</v>
      </c>
      <c r="F723" t="inlineStr">
        <is>
          <t>STOCKHOLMS LÄN</t>
        </is>
      </c>
      <c r="G723" t="inlineStr">
        <is>
          <t>NORRTÄLJE</t>
        </is>
      </c>
      <c r="I723" t="n">
        <v>3.9</v>
      </c>
      <c r="J723" t="n">
        <v>0</v>
      </c>
      <c r="K723" t="n">
        <v>0</v>
      </c>
      <c r="L723" t="n">
        <v>0</v>
      </c>
      <c r="M723" t="n">
        <v>0</v>
      </c>
      <c r="N723" t="n">
        <v>0</v>
      </c>
      <c r="O723" t="n">
        <v>0</v>
      </c>
      <c r="P723" t="n">
        <v>0</v>
      </c>
      <c r="Q723" t="n">
        <v>0</v>
      </c>
      <c r="R723" t="n">
        <v>0</v>
      </c>
      <c r="S723" t="n">
        <v>0</v>
      </c>
      <c r="T723" t="n">
        <v>0</v>
      </c>
      <c r="U723" s="2" t="inlineStr"/>
    </row>
    <row r="724" ht="15" customHeight="1">
      <c r="A724" t="inlineStr">
        <is>
          <t>A 23263-2023</t>
        </is>
      </c>
      <c r="B724" t="inlineStr">
        <is>
          <t>avverkningsanmälan</t>
        </is>
      </c>
      <c r="C724" t="inlineStr">
        <is>
          <t>Föryngringsavverkning</t>
        </is>
      </c>
      <c r="D724" s="1" t="n">
        <v>45075</v>
      </c>
      <c r="E724" s="1" t="n">
        <v>46221</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23264-2023</t>
        </is>
      </c>
      <c r="B725" t="inlineStr">
        <is>
          <t>avverkningsanmälan</t>
        </is>
      </c>
      <c r="C725" t="inlineStr">
        <is>
          <t>Föryngringsavverkning</t>
        </is>
      </c>
      <c r="D725" s="1" t="n">
        <v>45075</v>
      </c>
      <c r="E725" s="1" t="n">
        <v>46221</v>
      </c>
      <c r="F725" t="inlineStr">
        <is>
          <t>STOCKHOLMS LÄN</t>
        </is>
      </c>
      <c r="G725" t="inlineStr">
        <is>
          <t>NORRTÄLJE</t>
        </is>
      </c>
      <c r="I725" t="n">
        <v>2.9</v>
      </c>
      <c r="J725" t="n">
        <v>0</v>
      </c>
      <c r="K725" t="n">
        <v>0</v>
      </c>
      <c r="L725" t="n">
        <v>0</v>
      </c>
      <c r="M725" t="n">
        <v>0</v>
      </c>
      <c r="N725" t="n">
        <v>0</v>
      </c>
      <c r="O725" t="n">
        <v>0</v>
      </c>
      <c r="P725" t="n">
        <v>0</v>
      </c>
      <c r="Q725" t="n">
        <v>0</v>
      </c>
      <c r="R725" t="n">
        <v>0</v>
      </c>
      <c r="S725" t="n">
        <v>0</v>
      </c>
      <c r="T725" t="n">
        <v>0</v>
      </c>
      <c r="U725" s="2" t="inlineStr"/>
    </row>
    <row r="726" ht="15" customHeight="1">
      <c r="A726" t="inlineStr">
        <is>
          <t>A 23267-2023</t>
        </is>
      </c>
      <c r="B726" t="inlineStr">
        <is>
          <t>avverkningsanmälan</t>
        </is>
      </c>
      <c r="C726" t="inlineStr">
        <is>
          <t>Föryngringsavverkning</t>
        </is>
      </c>
      <c r="D726" s="1" t="n">
        <v>45075</v>
      </c>
      <c r="E726" s="1" t="n">
        <v>46221</v>
      </c>
      <c r="F726" t="inlineStr">
        <is>
          <t>STOCKHOLMS LÄN</t>
        </is>
      </c>
      <c r="G726" t="inlineStr">
        <is>
          <t>NORRTÄLJE</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59534-2024</t>
        </is>
      </c>
      <c r="B727" t="inlineStr">
        <is>
          <t>avverkningsanmälan</t>
        </is>
      </c>
      <c r="C727" t="inlineStr">
        <is>
          <t>Föryngringsavverkning</t>
        </is>
      </c>
      <c r="D727" s="1" t="n">
        <v>45638</v>
      </c>
      <c r="E727" s="1" t="n">
        <v>46221</v>
      </c>
      <c r="F727" t="inlineStr">
        <is>
          <t>STOCKHOLMS LÄN</t>
        </is>
      </c>
      <c r="G727" t="inlineStr">
        <is>
          <t>NORRTÄLJE</t>
        </is>
      </c>
      <c r="H727" t="inlineStr">
        <is>
          <t>Holmen skog AB</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25654-2023</t>
        </is>
      </c>
      <c r="B728" t="inlineStr">
        <is>
          <t>avverkningsanmälan</t>
        </is>
      </c>
      <c r="C728" t="inlineStr">
        <is>
          <t>Föryngringsavverkning</t>
        </is>
      </c>
      <c r="D728" s="1" t="n">
        <v>45089</v>
      </c>
      <c r="E728" s="1" t="n">
        <v>46221</v>
      </c>
      <c r="F728" t="inlineStr">
        <is>
          <t>STOCKHOLMS LÄN</t>
        </is>
      </c>
      <c r="G728" t="inlineStr">
        <is>
          <t>NORRTÄLJE</t>
        </is>
      </c>
      <c r="I728" t="n">
        <v>2.1</v>
      </c>
      <c r="J728" t="n">
        <v>0</v>
      </c>
      <c r="K728" t="n">
        <v>0</v>
      </c>
      <c r="L728" t="n">
        <v>0</v>
      </c>
      <c r="M728" t="n">
        <v>0</v>
      </c>
      <c r="N728" t="n">
        <v>0</v>
      </c>
      <c r="O728" t="n">
        <v>0</v>
      </c>
      <c r="P728" t="n">
        <v>0</v>
      </c>
      <c r="Q728" t="n">
        <v>0</v>
      </c>
      <c r="R728" t="n">
        <v>0</v>
      </c>
      <c r="S728" t="n">
        <v>0</v>
      </c>
      <c r="T728" t="n">
        <v>0</v>
      </c>
      <c r="U728" s="2" t="inlineStr"/>
    </row>
    <row r="729" ht="15" customHeight="1">
      <c r="A729" t="inlineStr">
        <is>
          <t>A 47758-2023</t>
        </is>
      </c>
      <c r="B729" t="inlineStr">
        <is>
          <t>avverkningsanmälan</t>
        </is>
      </c>
      <c r="C729" t="inlineStr">
        <is>
          <t>Föryngringsavverkning</t>
        </is>
      </c>
      <c r="D729" s="1" t="n">
        <v>45203</v>
      </c>
      <c r="E729" s="1" t="n">
        <v>46221</v>
      </c>
      <c r="F729" t="inlineStr">
        <is>
          <t>STOCKHOLMS LÄN</t>
        </is>
      </c>
      <c r="G729" t="inlineStr">
        <is>
          <t>NORRTÄLJE</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8792-2025</t>
        </is>
      </c>
      <c r="B730" t="inlineStr">
        <is>
          <t>avverkningsanmälan</t>
        </is>
      </c>
      <c r="C730" t="inlineStr">
        <is>
          <t>Föryngringsavverkning</t>
        </is>
      </c>
      <c r="D730" s="1" t="n">
        <v>45712</v>
      </c>
      <c r="E730" s="1" t="n">
        <v>46221</v>
      </c>
      <c r="F730" t="inlineStr">
        <is>
          <t>STOCKHOLMS LÄN</t>
        </is>
      </c>
      <c r="G730" t="inlineStr">
        <is>
          <t>NORRTÄLJE</t>
        </is>
      </c>
      <c r="H730" t="inlineStr">
        <is>
          <t>Övriga Aktiebolag</t>
        </is>
      </c>
      <c r="I730" t="n">
        <v>6.6</v>
      </c>
      <c r="J730" t="n">
        <v>0</v>
      </c>
      <c r="K730" t="n">
        <v>0</v>
      </c>
      <c r="L730" t="n">
        <v>0</v>
      </c>
      <c r="M730" t="n">
        <v>0</v>
      </c>
      <c r="N730" t="n">
        <v>0</v>
      </c>
      <c r="O730" t="n">
        <v>0</v>
      </c>
      <c r="P730" t="n">
        <v>0</v>
      </c>
      <c r="Q730" t="n">
        <v>0</v>
      </c>
      <c r="R730" t="n">
        <v>0</v>
      </c>
      <c r="S730" t="n">
        <v>0</v>
      </c>
      <c r="T730" t="n">
        <v>0</v>
      </c>
      <c r="U730" s="2" t="inlineStr"/>
    </row>
    <row r="731" ht="15" customHeight="1">
      <c r="A731" t="inlineStr">
        <is>
          <t>A 41301-2025</t>
        </is>
      </c>
      <c r="B731" t="inlineStr">
        <is>
          <t>avverkningsanmälan</t>
        </is>
      </c>
      <c r="C731" t="inlineStr">
        <is>
          <t>Föryngringsavverkning</t>
        </is>
      </c>
      <c r="D731" s="1" t="n">
        <v>45898</v>
      </c>
      <c r="E731" s="1" t="n">
        <v>46221</v>
      </c>
      <c r="F731" t="inlineStr">
        <is>
          <t>STOCKHOLMS LÄN</t>
        </is>
      </c>
      <c r="G731" t="inlineStr">
        <is>
          <t>NORRTÄLJE</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6678-2025</t>
        </is>
      </c>
      <c r="B732" t="inlineStr">
        <is>
          <t>avverkningsanmälan</t>
        </is>
      </c>
      <c r="C732" t="inlineStr">
        <is>
          <t>Föryngringsavverkning</t>
        </is>
      </c>
      <c r="D732" s="1" t="n">
        <v>45700</v>
      </c>
      <c r="E732" s="1" t="n">
        <v>46221</v>
      </c>
      <c r="F732" t="inlineStr">
        <is>
          <t>STOCKHOLMS LÄN</t>
        </is>
      </c>
      <c r="G732" t="inlineStr">
        <is>
          <t>NORRTÄLJE</t>
        </is>
      </c>
      <c r="H732" t="inlineStr">
        <is>
          <t>Övriga Aktiebolag</t>
        </is>
      </c>
      <c r="I732" t="n">
        <v>6.6</v>
      </c>
      <c r="J732" t="n">
        <v>0</v>
      </c>
      <c r="K732" t="n">
        <v>0</v>
      </c>
      <c r="L732" t="n">
        <v>0</v>
      </c>
      <c r="M732" t="n">
        <v>0</v>
      </c>
      <c r="N732" t="n">
        <v>0</v>
      </c>
      <c r="O732" t="n">
        <v>0</v>
      </c>
      <c r="P732" t="n">
        <v>0</v>
      </c>
      <c r="Q732" t="n">
        <v>0</v>
      </c>
      <c r="R732" t="n">
        <v>0</v>
      </c>
      <c r="S732" t="n">
        <v>0</v>
      </c>
      <c r="T732" t="n">
        <v>0</v>
      </c>
      <c r="U732" s="2" t="inlineStr"/>
    </row>
    <row r="733" ht="15" customHeight="1">
      <c r="A733" t="inlineStr">
        <is>
          <t>A 17209-2026</t>
        </is>
      </c>
      <c r="B733" t="inlineStr">
        <is>
          <t>avverkningsanmälan</t>
        </is>
      </c>
      <c r="C733" t="inlineStr">
        <is>
          <t>Föryngringsavverkning</t>
        </is>
      </c>
      <c r="D733" s="1" t="n">
        <v>46119</v>
      </c>
      <c r="E733" s="1" t="n">
        <v>46221</v>
      </c>
      <c r="F733" t="inlineStr">
        <is>
          <t>STOCKHOLMS LÄN</t>
        </is>
      </c>
      <c r="G733" t="inlineStr">
        <is>
          <t>NORRTÄLJE</t>
        </is>
      </c>
      <c r="H733" t="inlineStr">
        <is>
          <t>Holmen skog AB</t>
        </is>
      </c>
      <c r="I733" t="n">
        <v>2.7</v>
      </c>
      <c r="J733" t="n">
        <v>0</v>
      </c>
      <c r="K733" t="n">
        <v>0</v>
      </c>
      <c r="L733" t="n">
        <v>0</v>
      </c>
      <c r="M733" t="n">
        <v>0</v>
      </c>
      <c r="N733" t="n">
        <v>0</v>
      </c>
      <c r="O733" t="n">
        <v>0</v>
      </c>
      <c r="P733" t="n">
        <v>0</v>
      </c>
      <c r="Q733" t="n">
        <v>0</v>
      </c>
      <c r="R733" t="n">
        <v>0</v>
      </c>
      <c r="S733" t="n">
        <v>0</v>
      </c>
      <c r="T733" t="n">
        <v>0</v>
      </c>
      <c r="U733" s="2" t="inlineStr"/>
    </row>
    <row r="734" ht="15" customHeight="1">
      <c r="A734" t="inlineStr">
        <is>
          <t>A 5831-2022</t>
        </is>
      </c>
      <c r="B734" t="inlineStr">
        <is>
          <t>avverkningsanmälan</t>
        </is>
      </c>
      <c r="C734" t="inlineStr">
        <is>
          <t>Föryngringsavverkning</t>
        </is>
      </c>
      <c r="D734" s="1" t="n">
        <v>44596</v>
      </c>
      <c r="E734" s="1" t="n">
        <v>46221</v>
      </c>
      <c r="F734" t="inlineStr">
        <is>
          <t>STOCKHOLMS LÄN</t>
        </is>
      </c>
      <c r="G734" t="inlineStr">
        <is>
          <t>NORRTÄLJE</t>
        </is>
      </c>
      <c r="I734" t="n">
        <v>4.8</v>
      </c>
      <c r="J734" t="n">
        <v>0</v>
      </c>
      <c r="K734" t="n">
        <v>0</v>
      </c>
      <c r="L734" t="n">
        <v>0</v>
      </c>
      <c r="M734" t="n">
        <v>0</v>
      </c>
      <c r="N734" t="n">
        <v>0</v>
      </c>
      <c r="O734" t="n">
        <v>0</v>
      </c>
      <c r="P734" t="n">
        <v>0</v>
      </c>
      <c r="Q734" t="n">
        <v>0</v>
      </c>
      <c r="R734" t="n">
        <v>0</v>
      </c>
      <c r="S734" t="n">
        <v>0</v>
      </c>
      <c r="T734" t="n">
        <v>0</v>
      </c>
      <c r="U734" s="2" t="inlineStr"/>
    </row>
    <row r="735" ht="15" customHeight="1">
      <c r="A735" t="inlineStr">
        <is>
          <t>A 13314-2025</t>
        </is>
      </c>
      <c r="B735" t="inlineStr">
        <is>
          <t>avverkningsanmälan</t>
        </is>
      </c>
      <c r="C735" t="inlineStr">
        <is>
          <t>Föryngringsavverkning</t>
        </is>
      </c>
      <c r="D735" s="1" t="n">
        <v>45735</v>
      </c>
      <c r="E735" s="1" t="n">
        <v>46221</v>
      </c>
      <c r="F735" t="inlineStr">
        <is>
          <t>STOCKHOLMS LÄN</t>
        </is>
      </c>
      <c r="G735" t="inlineStr">
        <is>
          <t>NORRTÄLJE</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58853-2024</t>
        </is>
      </c>
      <c r="B736" t="inlineStr">
        <is>
          <t>avverkningsanmälan</t>
        </is>
      </c>
      <c r="C736" t="inlineStr">
        <is>
          <t>Föryngringsavverkning</t>
        </is>
      </c>
      <c r="D736" s="1" t="n">
        <v>45636</v>
      </c>
      <c r="E736" s="1" t="n">
        <v>46221</v>
      </c>
      <c r="F736" t="inlineStr">
        <is>
          <t>STOCKHOLMS LÄN</t>
        </is>
      </c>
      <c r="G736" t="inlineStr">
        <is>
          <t>NORRTÄLJE</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19759-2026</t>
        </is>
      </c>
      <c r="B737" t="inlineStr">
        <is>
          <t>avverkningsanmälan</t>
        </is>
      </c>
      <c r="C737" t="inlineStr">
        <is>
          <t>Föryngringsavverkning</t>
        </is>
      </c>
      <c r="D737" s="1" t="n">
        <v>46135</v>
      </c>
      <c r="E737" s="1" t="n">
        <v>46221</v>
      </c>
      <c r="F737" t="inlineStr">
        <is>
          <t>STOCKHOLMS LÄN</t>
        </is>
      </c>
      <c r="G737" t="inlineStr">
        <is>
          <t>NORRTÄLJE</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32122-2025</t>
        </is>
      </c>
      <c r="B738" t="inlineStr">
        <is>
          <t>avverkningsanmälan</t>
        </is>
      </c>
      <c r="C738" t="inlineStr">
        <is>
          <t>Föryngringsavverkning</t>
        </is>
      </c>
      <c r="D738" s="1" t="n">
        <v>45835</v>
      </c>
      <c r="E738" s="1" t="n">
        <v>46221</v>
      </c>
      <c r="F738" t="inlineStr">
        <is>
          <t>STOCKHOLMS LÄN</t>
        </is>
      </c>
      <c r="G738" t="inlineStr">
        <is>
          <t>NORRTÄLJE</t>
        </is>
      </c>
      <c r="H738" t="inlineStr">
        <is>
          <t>Holmen skog AB</t>
        </is>
      </c>
      <c r="I738" t="n">
        <v>1.9</v>
      </c>
      <c r="J738" t="n">
        <v>0</v>
      </c>
      <c r="K738" t="n">
        <v>0</v>
      </c>
      <c r="L738" t="n">
        <v>0</v>
      </c>
      <c r="M738" t="n">
        <v>0</v>
      </c>
      <c r="N738" t="n">
        <v>0</v>
      </c>
      <c r="O738" t="n">
        <v>0</v>
      </c>
      <c r="P738" t="n">
        <v>0</v>
      </c>
      <c r="Q738" t="n">
        <v>0</v>
      </c>
      <c r="R738" t="n">
        <v>0</v>
      </c>
      <c r="S738" t="n">
        <v>0</v>
      </c>
      <c r="T738" t="n">
        <v>0</v>
      </c>
      <c r="U738" s="2" t="inlineStr"/>
    </row>
    <row r="739" ht="15" customHeight="1">
      <c r="A739" t="inlineStr">
        <is>
          <t>A 8315-2025</t>
        </is>
      </c>
      <c r="B739" t="inlineStr">
        <is>
          <t>avverkningsanmälan</t>
        </is>
      </c>
      <c r="C739" t="inlineStr">
        <is>
          <t>Föryngringsavverkning</t>
        </is>
      </c>
      <c r="D739" s="1" t="n">
        <v>45708</v>
      </c>
      <c r="E739" s="1" t="n">
        <v>46221</v>
      </c>
      <c r="F739" t="inlineStr">
        <is>
          <t>STOCKHOLMS LÄN</t>
        </is>
      </c>
      <c r="G739" t="inlineStr">
        <is>
          <t>NORRTÄLJE</t>
        </is>
      </c>
      <c r="I739" t="n">
        <v>3.9</v>
      </c>
      <c r="J739" t="n">
        <v>0</v>
      </c>
      <c r="K739" t="n">
        <v>0</v>
      </c>
      <c r="L739" t="n">
        <v>0</v>
      </c>
      <c r="M739" t="n">
        <v>0</v>
      </c>
      <c r="N739" t="n">
        <v>0</v>
      </c>
      <c r="O739" t="n">
        <v>0</v>
      </c>
      <c r="P739" t="n">
        <v>0</v>
      </c>
      <c r="Q739" t="n">
        <v>0</v>
      </c>
      <c r="R739" t="n">
        <v>0</v>
      </c>
      <c r="S739" t="n">
        <v>0</v>
      </c>
      <c r="T739" t="n">
        <v>0</v>
      </c>
      <c r="U739" s="2" t="inlineStr"/>
    </row>
    <row r="740" ht="15" customHeight="1">
      <c r="A740" t="inlineStr">
        <is>
          <t>A 59712-2024</t>
        </is>
      </c>
      <c r="B740" t="inlineStr">
        <is>
          <t>avverkningsanmälan</t>
        </is>
      </c>
      <c r="C740" t="inlineStr">
        <is>
          <t>Föryngringsavverkning</t>
        </is>
      </c>
      <c r="D740" s="1" t="n">
        <v>45639</v>
      </c>
      <c r="E740" s="1" t="n">
        <v>46221</v>
      </c>
      <c r="F740" t="inlineStr">
        <is>
          <t>STOCKHOLMS LÄN</t>
        </is>
      </c>
      <c r="G740" t="inlineStr">
        <is>
          <t>NORRTÄLJE</t>
        </is>
      </c>
      <c r="I740" t="n">
        <v>4.4</v>
      </c>
      <c r="J740" t="n">
        <v>0</v>
      </c>
      <c r="K740" t="n">
        <v>0</v>
      </c>
      <c r="L740" t="n">
        <v>0</v>
      </c>
      <c r="M740" t="n">
        <v>0</v>
      </c>
      <c r="N740" t="n">
        <v>0</v>
      </c>
      <c r="O740" t="n">
        <v>0</v>
      </c>
      <c r="P740" t="n">
        <v>0</v>
      </c>
      <c r="Q740" t="n">
        <v>0</v>
      </c>
      <c r="R740" t="n">
        <v>0</v>
      </c>
      <c r="S740" t="n">
        <v>0</v>
      </c>
      <c r="T740" t="n">
        <v>0</v>
      </c>
      <c r="U740" s="2" t="inlineStr"/>
    </row>
    <row r="741" ht="15" customHeight="1">
      <c r="A741" t="inlineStr">
        <is>
          <t>A 20336-2024</t>
        </is>
      </c>
      <c r="B741" t="inlineStr">
        <is>
          <t>avverkningsanmälan</t>
        </is>
      </c>
      <c r="C741" t="inlineStr">
        <is>
          <t>Föryngringsavverkning</t>
        </is>
      </c>
      <c r="D741" s="1" t="n">
        <v>45435</v>
      </c>
      <c r="E741" s="1" t="n">
        <v>46221</v>
      </c>
      <c r="F741" t="inlineStr">
        <is>
          <t>STOCKHOLMS LÄN</t>
        </is>
      </c>
      <c r="G741" t="inlineStr">
        <is>
          <t>NORRTÄLJE</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60884-2024</t>
        </is>
      </c>
      <c r="B742" t="inlineStr">
        <is>
          <t>avverkningsanmälan</t>
        </is>
      </c>
      <c r="C742" t="inlineStr">
        <is>
          <t>Föryngringsavverkning</t>
        </is>
      </c>
      <c r="D742" s="1" t="n">
        <v>45644</v>
      </c>
      <c r="E742" s="1" t="n">
        <v>46221</v>
      </c>
      <c r="F742" t="inlineStr">
        <is>
          <t>STOCKHOLMS LÄN</t>
        </is>
      </c>
      <c r="G742" t="inlineStr">
        <is>
          <t>NORRTÄLJE</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23150-2024</t>
        </is>
      </c>
      <c r="B743" t="inlineStr">
        <is>
          <t>avverkningsanmälan</t>
        </is>
      </c>
      <c r="C743" t="inlineStr">
        <is>
          <t>Föryngringsavverkning</t>
        </is>
      </c>
      <c r="D743" s="1" t="n">
        <v>45450</v>
      </c>
      <c r="E743" s="1" t="n">
        <v>46221</v>
      </c>
      <c r="F743" t="inlineStr">
        <is>
          <t>STOCKHOLMS LÄN</t>
        </is>
      </c>
      <c r="G743" t="inlineStr">
        <is>
          <t>NORRTÄLJE</t>
        </is>
      </c>
      <c r="H743" t="inlineStr">
        <is>
          <t>Kommuner</t>
        </is>
      </c>
      <c r="I743" t="n">
        <v>2.7</v>
      </c>
      <c r="J743" t="n">
        <v>0</v>
      </c>
      <c r="K743" t="n">
        <v>0</v>
      </c>
      <c r="L743" t="n">
        <v>0</v>
      </c>
      <c r="M743" t="n">
        <v>0</v>
      </c>
      <c r="N743" t="n">
        <v>0</v>
      </c>
      <c r="O743" t="n">
        <v>0</v>
      </c>
      <c r="P743" t="n">
        <v>0</v>
      </c>
      <c r="Q743" t="n">
        <v>0</v>
      </c>
      <c r="R743" t="n">
        <v>0</v>
      </c>
      <c r="S743" t="n">
        <v>0</v>
      </c>
      <c r="T743" t="n">
        <v>0</v>
      </c>
      <c r="U743" s="2" t="inlineStr"/>
    </row>
    <row r="744" ht="15" customHeight="1">
      <c r="A744" t="inlineStr">
        <is>
          <t>A 2549-2022</t>
        </is>
      </c>
      <c r="B744" t="inlineStr">
        <is>
          <t>avverkningsanmälan</t>
        </is>
      </c>
      <c r="C744" t="inlineStr">
        <is>
          <t>Avverkning för annat ändamål</t>
        </is>
      </c>
      <c r="D744" s="1" t="n">
        <v>44580</v>
      </c>
      <c r="E744" s="1" t="n">
        <v>46221</v>
      </c>
      <c r="F744" t="inlineStr">
        <is>
          <t>STOCKHOLMS LÄN</t>
        </is>
      </c>
      <c r="G744" t="inlineStr">
        <is>
          <t>NORRTÄLJE</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31149-2023</t>
        </is>
      </c>
      <c r="B745" t="inlineStr">
        <is>
          <t>avverkningsanmälan</t>
        </is>
      </c>
      <c r="C745" t="inlineStr">
        <is>
          <t>Föryngringsavverkning</t>
        </is>
      </c>
      <c r="D745" s="1" t="n">
        <v>45113</v>
      </c>
      <c r="E745" s="1" t="n">
        <v>46221</v>
      </c>
      <c r="F745" t="inlineStr">
        <is>
          <t>STOCKHOLMS LÄN</t>
        </is>
      </c>
      <c r="G745" t="inlineStr">
        <is>
          <t>NORRTÄLJE</t>
        </is>
      </c>
      <c r="I745" t="n">
        <v>7.1</v>
      </c>
      <c r="J745" t="n">
        <v>0</v>
      </c>
      <c r="K745" t="n">
        <v>0</v>
      </c>
      <c r="L745" t="n">
        <v>0</v>
      </c>
      <c r="M745" t="n">
        <v>0</v>
      </c>
      <c r="N745" t="n">
        <v>0</v>
      </c>
      <c r="O745" t="n">
        <v>0</v>
      </c>
      <c r="P745" t="n">
        <v>0</v>
      </c>
      <c r="Q745" t="n">
        <v>0</v>
      </c>
      <c r="R745" t="n">
        <v>0</v>
      </c>
      <c r="S745" t="n">
        <v>0</v>
      </c>
      <c r="T745" t="n">
        <v>0</v>
      </c>
      <c r="U745" s="2" t="inlineStr"/>
    </row>
    <row r="746" ht="15" customHeight="1">
      <c r="A746" t="inlineStr">
        <is>
          <t>A 16835-2022</t>
        </is>
      </c>
      <c r="B746" t="inlineStr">
        <is>
          <t>avverkningsanmälan</t>
        </is>
      </c>
      <c r="C746" t="inlineStr">
        <is>
          <t>Föryngringsavverkning</t>
        </is>
      </c>
      <c r="D746" s="1" t="n">
        <v>44673</v>
      </c>
      <c r="E746" s="1" t="n">
        <v>46221</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41966-2025</t>
        </is>
      </c>
      <c r="B747" t="inlineStr">
        <is>
          <t>avverkningsanmälan</t>
        </is>
      </c>
      <c r="C747" t="inlineStr">
        <is>
          <t>Föryngringsavverkning</t>
        </is>
      </c>
      <c r="D747" s="1" t="n">
        <v>45903</v>
      </c>
      <c r="E747" s="1" t="n">
        <v>46221</v>
      </c>
      <c r="F747" t="inlineStr">
        <is>
          <t>STOCKHOLMS LÄN</t>
        </is>
      </c>
      <c r="G747" t="inlineStr">
        <is>
          <t>NORRTÄLJE</t>
        </is>
      </c>
      <c r="H747" t="inlineStr">
        <is>
          <t>Sveaskog</t>
        </is>
      </c>
      <c r="I747" t="n">
        <v>3.7</v>
      </c>
      <c r="J747" t="n">
        <v>0</v>
      </c>
      <c r="K747" t="n">
        <v>0</v>
      </c>
      <c r="L747" t="n">
        <v>0</v>
      </c>
      <c r="M747" t="n">
        <v>0</v>
      </c>
      <c r="N747" t="n">
        <v>0</v>
      </c>
      <c r="O747" t="n">
        <v>0</v>
      </c>
      <c r="P747" t="n">
        <v>0</v>
      </c>
      <c r="Q747" t="n">
        <v>0</v>
      </c>
      <c r="R747" t="n">
        <v>0</v>
      </c>
      <c r="S747" t="n">
        <v>0</v>
      </c>
      <c r="T747" t="n">
        <v>0</v>
      </c>
      <c r="U747" s="2" t="inlineStr"/>
    </row>
    <row r="748" ht="15" customHeight="1">
      <c r="A748" t="inlineStr">
        <is>
          <t>A 13701-2022</t>
        </is>
      </c>
      <c r="B748" t="inlineStr">
        <is>
          <t>avverkningsanmälan</t>
        </is>
      </c>
      <c r="C748" t="inlineStr">
        <is>
          <t>Föryngringsavverkning</t>
        </is>
      </c>
      <c r="D748" s="1" t="n">
        <v>44648</v>
      </c>
      <c r="E748" s="1" t="n">
        <v>46221</v>
      </c>
      <c r="F748" t="inlineStr">
        <is>
          <t>STOCKHOLMS LÄN</t>
        </is>
      </c>
      <c r="G748" t="inlineStr">
        <is>
          <t>NORRTÄLJE</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13089-2022</t>
        </is>
      </c>
      <c r="B749" t="inlineStr">
        <is>
          <t>avverkningsanmälan</t>
        </is>
      </c>
      <c r="C749" t="inlineStr">
        <is>
          <t>Föryngringsavverkning</t>
        </is>
      </c>
      <c r="D749" s="1" t="n">
        <v>44643</v>
      </c>
      <c r="E749" s="1" t="n">
        <v>46221</v>
      </c>
      <c r="F749" t="inlineStr">
        <is>
          <t>STOCKHOLMS LÄN</t>
        </is>
      </c>
      <c r="G749" t="inlineStr">
        <is>
          <t>NORRTÄLJE</t>
        </is>
      </c>
      <c r="I749" t="n">
        <v>4.5</v>
      </c>
      <c r="J749" t="n">
        <v>0</v>
      </c>
      <c r="K749" t="n">
        <v>0</v>
      </c>
      <c r="L749" t="n">
        <v>0</v>
      </c>
      <c r="M749" t="n">
        <v>0</v>
      </c>
      <c r="N749" t="n">
        <v>0</v>
      </c>
      <c r="O749" t="n">
        <v>0</v>
      </c>
      <c r="P749" t="n">
        <v>0</v>
      </c>
      <c r="Q749" t="n">
        <v>0</v>
      </c>
      <c r="R749" t="n">
        <v>0</v>
      </c>
      <c r="S749" t="n">
        <v>0</v>
      </c>
      <c r="T749" t="n">
        <v>0</v>
      </c>
      <c r="U749" s="2" t="inlineStr"/>
    </row>
    <row r="750" ht="15" customHeight="1">
      <c r="A750" t="inlineStr">
        <is>
          <t>A 30221-2024</t>
        </is>
      </c>
      <c r="B750" t="inlineStr">
        <is>
          <t>avverkningsanmälan</t>
        </is>
      </c>
      <c r="C750" t="inlineStr">
        <is>
          <t>Föryngringsavverkning</t>
        </is>
      </c>
      <c r="D750" s="1" t="n">
        <v>45490</v>
      </c>
      <c r="E750" s="1" t="n">
        <v>46221</v>
      </c>
      <c r="F750" t="inlineStr">
        <is>
          <t>STOCKHOLMS LÄN</t>
        </is>
      </c>
      <c r="G750" t="inlineStr">
        <is>
          <t>NORRTÄLJE</t>
        </is>
      </c>
      <c r="H750" t="inlineStr">
        <is>
          <t>Holmen skog AB</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38759-2022</t>
        </is>
      </c>
      <c r="B751" t="inlineStr">
        <is>
          <t>avverkningsanmälan</t>
        </is>
      </c>
      <c r="C751" t="inlineStr">
        <is>
          <t>Föryngringsavverkning</t>
        </is>
      </c>
      <c r="D751" s="1" t="n">
        <v>44816</v>
      </c>
      <c r="E751" s="1" t="n">
        <v>46221</v>
      </c>
      <c r="F751" t="inlineStr">
        <is>
          <t>STOCKHOLMS LÄN</t>
        </is>
      </c>
      <c r="G751" t="inlineStr">
        <is>
          <t>NORRTÄLJE</t>
        </is>
      </c>
      <c r="I751" t="n">
        <v>2.8</v>
      </c>
      <c r="J751" t="n">
        <v>0</v>
      </c>
      <c r="K751" t="n">
        <v>0</v>
      </c>
      <c r="L751" t="n">
        <v>0</v>
      </c>
      <c r="M751" t="n">
        <v>0</v>
      </c>
      <c r="N751" t="n">
        <v>0</v>
      </c>
      <c r="O751" t="n">
        <v>0</v>
      </c>
      <c r="P751" t="n">
        <v>0</v>
      </c>
      <c r="Q751" t="n">
        <v>0</v>
      </c>
      <c r="R751" t="n">
        <v>0</v>
      </c>
      <c r="S751" t="n">
        <v>0</v>
      </c>
      <c r="T751" t="n">
        <v>0</v>
      </c>
      <c r="U751" s="2" t="inlineStr"/>
    </row>
    <row r="752" ht="15" customHeight="1">
      <c r="A752" t="inlineStr">
        <is>
          <t>A 23998-2024</t>
        </is>
      </c>
      <c r="B752" t="inlineStr">
        <is>
          <t>avverkningsanmälan</t>
        </is>
      </c>
      <c r="C752" t="inlineStr">
        <is>
          <t>Föryngringsavverkning</t>
        </is>
      </c>
      <c r="D752" s="1" t="n">
        <v>45456</v>
      </c>
      <c r="E752" s="1" t="n">
        <v>46221</v>
      </c>
      <c r="F752" t="inlineStr">
        <is>
          <t>STOCKHOLMS LÄN</t>
        </is>
      </c>
      <c r="G752" t="inlineStr">
        <is>
          <t>NORRTÄLJE</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54504-2024</t>
        </is>
      </c>
      <c r="B753" t="inlineStr">
        <is>
          <t>avverkningsanmälan</t>
        </is>
      </c>
      <c r="C753" t="inlineStr">
        <is>
          <t>Föryngringsavverkning</t>
        </is>
      </c>
      <c r="D753" s="1" t="n">
        <v>45617</v>
      </c>
      <c r="E753" s="1" t="n">
        <v>46221</v>
      </c>
      <c r="F753" t="inlineStr">
        <is>
          <t>STOCKHOLMS LÄN</t>
        </is>
      </c>
      <c r="G753" t="inlineStr">
        <is>
          <t>NORRTÄLJE</t>
        </is>
      </c>
      <c r="I753" t="n">
        <v>3.4</v>
      </c>
      <c r="J753" t="n">
        <v>0</v>
      </c>
      <c r="K753" t="n">
        <v>0</v>
      </c>
      <c r="L753" t="n">
        <v>0</v>
      </c>
      <c r="M753" t="n">
        <v>0</v>
      </c>
      <c r="N753" t="n">
        <v>0</v>
      </c>
      <c r="O753" t="n">
        <v>0</v>
      </c>
      <c r="P753" t="n">
        <v>0</v>
      </c>
      <c r="Q753" t="n">
        <v>0</v>
      </c>
      <c r="R753" t="n">
        <v>0</v>
      </c>
      <c r="S753" t="n">
        <v>0</v>
      </c>
      <c r="T753" t="n">
        <v>0</v>
      </c>
      <c r="U753" s="2" t="inlineStr"/>
    </row>
    <row r="754" ht="15" customHeight="1">
      <c r="A754" t="inlineStr">
        <is>
          <t>A 1283-2025</t>
        </is>
      </c>
      <c r="B754" t="inlineStr">
        <is>
          <t>avverkningsanmälan</t>
        </is>
      </c>
      <c r="C754" t="inlineStr">
        <is>
          <t>Föryngringsavverkning</t>
        </is>
      </c>
      <c r="D754" s="1" t="n">
        <v>45667</v>
      </c>
      <c r="E754" s="1" t="n">
        <v>46221</v>
      </c>
      <c r="F754" t="inlineStr">
        <is>
          <t>STOCKHOLMS LÄN</t>
        </is>
      </c>
      <c r="G754" t="inlineStr">
        <is>
          <t>NORRTÄLJE</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35254-2025</t>
        </is>
      </c>
      <c r="B755" t="inlineStr">
        <is>
          <t>avverkningsanmälan</t>
        </is>
      </c>
      <c r="C755" t="inlineStr">
        <is>
          <t>Föryngringsavverkning</t>
        </is>
      </c>
      <c r="D755" s="1" t="n">
        <v>45853</v>
      </c>
      <c r="E755" s="1" t="n">
        <v>46221</v>
      </c>
      <c r="F755" t="inlineStr">
        <is>
          <t>STOCKHOLMS LÄN</t>
        </is>
      </c>
      <c r="G755" t="inlineStr">
        <is>
          <t>NORRTÄLJE</t>
        </is>
      </c>
      <c r="I755" t="n">
        <v>6.5</v>
      </c>
      <c r="J755" t="n">
        <v>0</v>
      </c>
      <c r="K755" t="n">
        <v>0</v>
      </c>
      <c r="L755" t="n">
        <v>0</v>
      </c>
      <c r="M755" t="n">
        <v>0</v>
      </c>
      <c r="N755" t="n">
        <v>0</v>
      </c>
      <c r="O755" t="n">
        <v>0</v>
      </c>
      <c r="P755" t="n">
        <v>0</v>
      </c>
      <c r="Q755" t="n">
        <v>0</v>
      </c>
      <c r="R755" t="n">
        <v>0</v>
      </c>
      <c r="S755" t="n">
        <v>0</v>
      </c>
      <c r="T755" t="n">
        <v>0</v>
      </c>
      <c r="U755" s="2" t="inlineStr"/>
    </row>
    <row r="756" ht="15" customHeight="1">
      <c r="A756" t="inlineStr">
        <is>
          <t>A 32595-2023</t>
        </is>
      </c>
      <c r="B756" t="inlineStr">
        <is>
          <t>avverkningsanmälan</t>
        </is>
      </c>
      <c r="C756" t="inlineStr">
        <is>
          <t>Föryngringsavverkning</t>
        </is>
      </c>
      <c r="D756" s="1" t="n">
        <v>45121</v>
      </c>
      <c r="E756" s="1" t="n">
        <v>46221</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s="2" t="inlineStr"/>
    </row>
    <row r="757" ht="15" customHeight="1">
      <c r="A757" t="inlineStr">
        <is>
          <t>A 52254-2025</t>
        </is>
      </c>
      <c r="B757" t="inlineStr">
        <is>
          <t>avverkningsanmälan</t>
        </is>
      </c>
      <c r="C757" t="inlineStr">
        <is>
          <t>Föryngringsavverkning</t>
        </is>
      </c>
      <c r="D757" s="1" t="n">
        <v>45953</v>
      </c>
      <c r="E757" s="1" t="n">
        <v>46221</v>
      </c>
      <c r="F757" t="inlineStr">
        <is>
          <t>STOCKHOLMS LÄN</t>
        </is>
      </c>
      <c r="G757" t="inlineStr">
        <is>
          <t>NORRTÄLJE</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27806-2025</t>
        </is>
      </c>
      <c r="B758" t="inlineStr">
        <is>
          <t>avverkningsanmälan</t>
        </is>
      </c>
      <c r="C758" t="inlineStr">
        <is>
          <t>Föryngringsavverkning</t>
        </is>
      </c>
      <c r="D758" s="1" t="n">
        <v>45817</v>
      </c>
      <c r="E758" s="1" t="n">
        <v>46221</v>
      </c>
      <c r="F758" t="inlineStr">
        <is>
          <t>STOCKHOLMS LÄN</t>
        </is>
      </c>
      <c r="G758" t="inlineStr">
        <is>
          <t>NORRTÄLJE</t>
        </is>
      </c>
      <c r="I758" t="n">
        <v>3</v>
      </c>
      <c r="J758" t="n">
        <v>0</v>
      </c>
      <c r="K758" t="n">
        <v>0</v>
      </c>
      <c r="L758" t="n">
        <v>0</v>
      </c>
      <c r="M758" t="n">
        <v>0</v>
      </c>
      <c r="N758" t="n">
        <v>0</v>
      </c>
      <c r="O758" t="n">
        <v>0</v>
      </c>
      <c r="P758" t="n">
        <v>0</v>
      </c>
      <c r="Q758" t="n">
        <v>0</v>
      </c>
      <c r="R758" t="n">
        <v>0</v>
      </c>
      <c r="S758" t="n">
        <v>0</v>
      </c>
      <c r="T758" t="n">
        <v>0</v>
      </c>
      <c r="U758" s="2" t="inlineStr"/>
    </row>
    <row r="759" ht="15" customHeight="1">
      <c r="A759" t="inlineStr">
        <is>
          <t>A 24351-2025</t>
        </is>
      </c>
      <c r="B759" t="inlineStr">
        <is>
          <t>avverkningsanmälan</t>
        </is>
      </c>
      <c r="C759" t="inlineStr">
        <is>
          <t>Föryngringsavverkning</t>
        </is>
      </c>
      <c r="D759" s="1" t="n">
        <v>45797</v>
      </c>
      <c r="E759" s="1" t="n">
        <v>46221</v>
      </c>
      <c r="F759" t="inlineStr">
        <is>
          <t>STOCKHOLMS LÄN</t>
        </is>
      </c>
      <c r="G759" t="inlineStr">
        <is>
          <t>NORRTÄLJE</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54259-2023</t>
        </is>
      </c>
      <c r="B760" t="inlineStr">
        <is>
          <t>avverkningsanmälan</t>
        </is>
      </c>
      <c r="C760" t="inlineStr">
        <is>
          <t>Föryngringsavverkning</t>
        </is>
      </c>
      <c r="D760" s="1" t="n">
        <v>45232</v>
      </c>
      <c r="E760" s="1" t="n">
        <v>46221</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52251-2025</t>
        </is>
      </c>
      <c r="B761" t="inlineStr">
        <is>
          <t>avverkningsanmälan</t>
        </is>
      </c>
      <c r="C761" t="inlineStr">
        <is>
          <t>Föryngringsavverkning</t>
        </is>
      </c>
      <c r="D761" s="1" t="n">
        <v>45953</v>
      </c>
      <c r="E761" s="1" t="n">
        <v>46221</v>
      </c>
      <c r="F761" t="inlineStr">
        <is>
          <t>STOCKHOLMS LÄN</t>
        </is>
      </c>
      <c r="G761" t="inlineStr">
        <is>
          <t>NORRTÄLJE</t>
        </is>
      </c>
      <c r="I761" t="n">
        <v>6.2</v>
      </c>
      <c r="J761" t="n">
        <v>0</v>
      </c>
      <c r="K761" t="n">
        <v>0</v>
      </c>
      <c r="L761" t="n">
        <v>0</v>
      </c>
      <c r="M761" t="n">
        <v>0</v>
      </c>
      <c r="N761" t="n">
        <v>0</v>
      </c>
      <c r="O761" t="n">
        <v>0</v>
      </c>
      <c r="P761" t="n">
        <v>0</v>
      </c>
      <c r="Q761" t="n">
        <v>0</v>
      </c>
      <c r="R761" t="n">
        <v>0</v>
      </c>
      <c r="S761" t="n">
        <v>0</v>
      </c>
      <c r="T761" t="n">
        <v>0</v>
      </c>
      <c r="U761" s="2" t="inlineStr"/>
    </row>
    <row r="762" ht="15" customHeight="1">
      <c r="A762" t="inlineStr">
        <is>
          <t>A 11900-2024</t>
        </is>
      </c>
      <c r="B762" t="inlineStr">
        <is>
          <t>avverkningsanmälan</t>
        </is>
      </c>
      <c r="C762" t="inlineStr">
        <is>
          <t>Föryngringsavverkning</t>
        </is>
      </c>
      <c r="D762" s="1" t="n">
        <v>45376</v>
      </c>
      <c r="E762" s="1" t="n">
        <v>46221</v>
      </c>
      <c r="F762" t="inlineStr">
        <is>
          <t>STOCKHOLMS LÄN</t>
        </is>
      </c>
      <c r="G762" t="inlineStr">
        <is>
          <t>NORRTÄLJE</t>
        </is>
      </c>
      <c r="I762" t="n">
        <v>4.2</v>
      </c>
      <c r="J762" t="n">
        <v>0</v>
      </c>
      <c r="K762" t="n">
        <v>0</v>
      </c>
      <c r="L762" t="n">
        <v>0</v>
      </c>
      <c r="M762" t="n">
        <v>0</v>
      </c>
      <c r="N762" t="n">
        <v>0</v>
      </c>
      <c r="O762" t="n">
        <v>0</v>
      </c>
      <c r="P762" t="n">
        <v>0</v>
      </c>
      <c r="Q762" t="n">
        <v>0</v>
      </c>
      <c r="R762" t="n">
        <v>0</v>
      </c>
      <c r="S762" t="n">
        <v>0</v>
      </c>
      <c r="T762" t="n">
        <v>0</v>
      </c>
      <c r="U762" s="2" t="inlineStr"/>
    </row>
    <row r="763" ht="15" customHeight="1">
      <c r="A763" t="inlineStr">
        <is>
          <t>A 32094-2025</t>
        </is>
      </c>
      <c r="B763" t="inlineStr">
        <is>
          <t>avverkningsanmälan</t>
        </is>
      </c>
      <c r="C763" t="inlineStr">
        <is>
          <t>Föryngringsavverkning</t>
        </is>
      </c>
      <c r="D763" s="1" t="n">
        <v>45835</v>
      </c>
      <c r="E763" s="1" t="n">
        <v>46221</v>
      </c>
      <c r="F763" t="inlineStr">
        <is>
          <t>STOCKHOLMS LÄN</t>
        </is>
      </c>
      <c r="G763" t="inlineStr">
        <is>
          <t>NORRTÄLJE</t>
        </is>
      </c>
      <c r="H763" t="inlineStr">
        <is>
          <t>Holmen skog AB</t>
        </is>
      </c>
      <c r="I763" t="n">
        <v>2.9</v>
      </c>
      <c r="J763" t="n">
        <v>0</v>
      </c>
      <c r="K763" t="n">
        <v>0</v>
      </c>
      <c r="L763" t="n">
        <v>0</v>
      </c>
      <c r="M763" t="n">
        <v>0</v>
      </c>
      <c r="N763" t="n">
        <v>0</v>
      </c>
      <c r="O763" t="n">
        <v>0</v>
      </c>
      <c r="P763" t="n">
        <v>0</v>
      </c>
      <c r="Q763" t="n">
        <v>0</v>
      </c>
      <c r="R763" t="n">
        <v>0</v>
      </c>
      <c r="S763" t="n">
        <v>0</v>
      </c>
      <c r="T763" t="n">
        <v>0</v>
      </c>
      <c r="U763" s="2" t="inlineStr"/>
    </row>
    <row r="764" ht="15" customHeight="1">
      <c r="A764" t="inlineStr">
        <is>
          <t>A 43300-2023</t>
        </is>
      </c>
      <c r="B764" t="inlineStr">
        <is>
          <t>avverkningsanmälan</t>
        </is>
      </c>
      <c r="C764" t="inlineStr">
        <is>
          <t>Föryngringsavverkning</t>
        </is>
      </c>
      <c r="D764" s="1" t="n">
        <v>45183</v>
      </c>
      <c r="E764" s="1" t="n">
        <v>46221</v>
      </c>
      <c r="F764" t="inlineStr">
        <is>
          <t>STOCKHOLMS LÄN</t>
        </is>
      </c>
      <c r="G764" t="inlineStr">
        <is>
          <t>NORRTÄLJE</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13276-2022</t>
        </is>
      </c>
      <c r="B765" t="inlineStr">
        <is>
          <t>avverkningsanmälan</t>
        </is>
      </c>
      <c r="C765" t="inlineStr">
        <is>
          <t>Föryngringsavverkning</t>
        </is>
      </c>
      <c r="D765" s="1" t="n">
        <v>44644</v>
      </c>
      <c r="E765" s="1" t="n">
        <v>46221</v>
      </c>
      <c r="F765" t="inlineStr">
        <is>
          <t>STOCKHOLMS LÄN</t>
        </is>
      </c>
      <c r="G765" t="inlineStr">
        <is>
          <t>NORRTÄLJE</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11900-2022</t>
        </is>
      </c>
      <c r="B766" t="inlineStr">
        <is>
          <t>avverkningsanmälan</t>
        </is>
      </c>
      <c r="C766" t="inlineStr">
        <is>
          <t>Föryngringsavverkning</t>
        </is>
      </c>
      <c r="D766" s="1" t="n">
        <v>44635</v>
      </c>
      <c r="E766" s="1" t="n">
        <v>46221</v>
      </c>
      <c r="F766" t="inlineStr">
        <is>
          <t>STOCKHOLMS LÄN</t>
        </is>
      </c>
      <c r="G766" t="inlineStr">
        <is>
          <t>NORRTÄLJE</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16202-2022</t>
        </is>
      </c>
      <c r="B767" t="inlineStr">
        <is>
          <t>avverkningsanmälan</t>
        </is>
      </c>
      <c r="C767" t="inlineStr">
        <is>
          <t>Föryngringsavverkning</t>
        </is>
      </c>
      <c r="D767" s="1" t="n">
        <v>44670</v>
      </c>
      <c r="E767" s="1" t="n">
        <v>46221</v>
      </c>
      <c r="F767" t="inlineStr">
        <is>
          <t>STOCKHOLMS LÄN</t>
        </is>
      </c>
      <c r="G767" t="inlineStr">
        <is>
          <t>NORRTÄLJE</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6003-2025</t>
        </is>
      </c>
      <c r="B768" t="inlineStr">
        <is>
          <t>avverkningsanmälan</t>
        </is>
      </c>
      <c r="C768" t="inlineStr">
        <is>
          <t>Föryngringsavverkning</t>
        </is>
      </c>
      <c r="D768" s="1" t="n">
        <v>45695</v>
      </c>
      <c r="E768" s="1" t="n">
        <v>46221</v>
      </c>
      <c r="F768" t="inlineStr">
        <is>
          <t>STOCKHOLMS LÄN</t>
        </is>
      </c>
      <c r="G768" t="inlineStr">
        <is>
          <t>NORRTÄLJE</t>
        </is>
      </c>
      <c r="H768" t="inlineStr">
        <is>
          <t>Holmen skog AB</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37628-2025</t>
        </is>
      </c>
      <c r="B769" t="inlineStr">
        <is>
          <t>avverkningsanmälan</t>
        </is>
      </c>
      <c r="C769" t="inlineStr">
        <is>
          <t>Föryngringsavverkning</t>
        </is>
      </c>
      <c r="D769" s="1" t="n">
        <v>45880</v>
      </c>
      <c r="E769" s="1" t="n">
        <v>46221</v>
      </c>
      <c r="F769" t="inlineStr">
        <is>
          <t>STOCKHOLMS LÄN</t>
        </is>
      </c>
      <c r="G769" t="inlineStr">
        <is>
          <t>NORRTÄLJE</t>
        </is>
      </c>
      <c r="H769" t="inlineStr">
        <is>
          <t>Sveaskog</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48633-2023</t>
        </is>
      </c>
      <c r="B770" t="inlineStr">
        <is>
          <t>avverkningsanmälan</t>
        </is>
      </c>
      <c r="C770" t="inlineStr">
        <is>
          <t>Föryngringsavverkning</t>
        </is>
      </c>
      <c r="D770" s="1" t="n">
        <v>45208</v>
      </c>
      <c r="E770" s="1" t="n">
        <v>46221</v>
      </c>
      <c r="F770" t="inlineStr">
        <is>
          <t>STOCKHOLMS LÄN</t>
        </is>
      </c>
      <c r="G770" t="inlineStr">
        <is>
          <t>NORRTÄLJE</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26210-2026</t>
        </is>
      </c>
      <c r="B771" t="inlineStr">
        <is>
          <t>avverkningsanmälan</t>
        </is>
      </c>
      <c r="C771" t="inlineStr">
        <is>
          <t>Föryngringsavverkning</t>
        </is>
      </c>
      <c r="D771" s="1" t="n">
        <v>46182</v>
      </c>
      <c r="E771" s="1" t="n">
        <v>46221</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47419-2023</t>
        </is>
      </c>
      <c r="B772" t="inlineStr">
        <is>
          <t>avverkningsanmälan</t>
        </is>
      </c>
      <c r="C772" t="inlineStr">
        <is>
          <t>Föryngringsavverkning</t>
        </is>
      </c>
      <c r="D772" s="1" t="n">
        <v>45202</v>
      </c>
      <c r="E772" s="1" t="n">
        <v>46221</v>
      </c>
      <c r="F772" t="inlineStr">
        <is>
          <t>STOCKHOLMS LÄN</t>
        </is>
      </c>
      <c r="G772" t="inlineStr">
        <is>
          <t>NORRTÄLJE</t>
        </is>
      </c>
      <c r="I772" t="n">
        <v>11.4</v>
      </c>
      <c r="J772" t="n">
        <v>0</v>
      </c>
      <c r="K772" t="n">
        <v>0</v>
      </c>
      <c r="L772" t="n">
        <v>0</v>
      </c>
      <c r="M772" t="n">
        <v>0</v>
      </c>
      <c r="N772" t="n">
        <v>0</v>
      </c>
      <c r="O772" t="n">
        <v>0</v>
      </c>
      <c r="P772" t="n">
        <v>0</v>
      </c>
      <c r="Q772" t="n">
        <v>0</v>
      </c>
      <c r="R772" t="n">
        <v>0</v>
      </c>
      <c r="S772" t="n">
        <v>0</v>
      </c>
      <c r="T772" t="n">
        <v>0</v>
      </c>
      <c r="U772" s="2" t="inlineStr"/>
    </row>
    <row r="773" ht="15" customHeight="1">
      <c r="A773" t="inlineStr">
        <is>
          <t>A 13785-2024</t>
        </is>
      </c>
      <c r="B773" t="inlineStr">
        <is>
          <t>avverkningsanmälan</t>
        </is>
      </c>
      <c r="C773" t="inlineStr">
        <is>
          <t>Föryngringsavverkning</t>
        </is>
      </c>
      <c r="D773" s="1" t="n">
        <v>45391</v>
      </c>
      <c r="E773" s="1" t="n">
        <v>46221</v>
      </c>
      <c r="F773" t="inlineStr">
        <is>
          <t>STOCKHOLMS LÄN</t>
        </is>
      </c>
      <c r="G773" t="inlineStr">
        <is>
          <t>NORRTÄLJE</t>
        </is>
      </c>
      <c r="I773" t="n">
        <v>5</v>
      </c>
      <c r="J773" t="n">
        <v>0</v>
      </c>
      <c r="K773" t="n">
        <v>0</v>
      </c>
      <c r="L773" t="n">
        <v>0</v>
      </c>
      <c r="M773" t="n">
        <v>0</v>
      </c>
      <c r="N773" t="n">
        <v>0</v>
      </c>
      <c r="O773" t="n">
        <v>0</v>
      </c>
      <c r="P773" t="n">
        <v>0</v>
      </c>
      <c r="Q773" t="n">
        <v>0</v>
      </c>
      <c r="R773" t="n">
        <v>0</v>
      </c>
      <c r="S773" t="n">
        <v>0</v>
      </c>
      <c r="T773" t="n">
        <v>0</v>
      </c>
      <c r="U773" s="2" t="inlineStr"/>
    </row>
    <row r="774" ht="15" customHeight="1">
      <c r="A774" t="inlineStr">
        <is>
          <t>A 1654-2025</t>
        </is>
      </c>
      <c r="B774" t="inlineStr">
        <is>
          <t>avverkningsanmälan</t>
        </is>
      </c>
      <c r="C774" t="inlineStr">
        <is>
          <t>Föryngringsavverkning</t>
        </is>
      </c>
      <c r="D774" s="1" t="n">
        <v>45670</v>
      </c>
      <c r="E774" s="1" t="n">
        <v>46221</v>
      </c>
      <c r="F774" t="inlineStr">
        <is>
          <t>STOCKHOLMS LÄN</t>
        </is>
      </c>
      <c r="G774" t="inlineStr">
        <is>
          <t>NORRTÄLJE</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10653-2022</t>
        </is>
      </c>
      <c r="B775" t="inlineStr">
        <is>
          <t>avverkningsanmälan</t>
        </is>
      </c>
      <c r="C775" t="inlineStr">
        <is>
          <t>Föryngringsavverkning</t>
        </is>
      </c>
      <c r="D775" s="1" t="n">
        <v>44624</v>
      </c>
      <c r="E775" s="1" t="n">
        <v>46221</v>
      </c>
      <c r="F775" t="inlineStr">
        <is>
          <t>STOCKHOLMS LÄN</t>
        </is>
      </c>
      <c r="G775" t="inlineStr">
        <is>
          <t>NORRTÄLJE</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35695-2023</t>
        </is>
      </c>
      <c r="B776" t="inlineStr">
        <is>
          <t>avverkningsanmälan</t>
        </is>
      </c>
      <c r="C776" t="inlineStr">
        <is>
          <t>Föryngringsavverkning</t>
        </is>
      </c>
      <c r="D776" s="1" t="n">
        <v>45147</v>
      </c>
      <c r="E776" s="1" t="n">
        <v>46221</v>
      </c>
      <c r="F776" t="inlineStr">
        <is>
          <t>STOCKHOLMS LÄN</t>
        </is>
      </c>
      <c r="G776" t="inlineStr">
        <is>
          <t>NORRTÄLJE</t>
        </is>
      </c>
      <c r="I776" t="n">
        <v>1.1</v>
      </c>
      <c r="J776" t="n">
        <v>0</v>
      </c>
      <c r="K776" t="n">
        <v>0</v>
      </c>
      <c r="L776" t="n">
        <v>0</v>
      </c>
      <c r="M776" t="n">
        <v>0</v>
      </c>
      <c r="N776" t="n">
        <v>0</v>
      </c>
      <c r="O776" t="n">
        <v>0</v>
      </c>
      <c r="P776" t="n">
        <v>0</v>
      </c>
      <c r="Q776" t="n">
        <v>0</v>
      </c>
      <c r="R776" t="n">
        <v>0</v>
      </c>
      <c r="S776" t="n">
        <v>0</v>
      </c>
      <c r="T776" t="n">
        <v>0</v>
      </c>
      <c r="U776" s="2" t="inlineStr"/>
    </row>
    <row r="777" ht="15" customHeight="1">
      <c r="A777" t="inlineStr">
        <is>
          <t>A 18665-2022</t>
        </is>
      </c>
      <c r="B777" t="inlineStr">
        <is>
          <t>avverkningsanmälan</t>
        </is>
      </c>
      <c r="C777" t="inlineStr">
        <is>
          <t>Föryngringsavverkning</t>
        </is>
      </c>
      <c r="D777" s="1" t="n">
        <v>44687</v>
      </c>
      <c r="E777" s="1" t="n">
        <v>46221</v>
      </c>
      <c r="F777" t="inlineStr">
        <is>
          <t>STOCKHOLMS LÄN</t>
        </is>
      </c>
      <c r="G777" t="inlineStr">
        <is>
          <t>NORRTÄLJE</t>
        </is>
      </c>
      <c r="H777" t="inlineStr">
        <is>
          <t>Kyrkan</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20370-2025</t>
        </is>
      </c>
      <c r="B778" t="inlineStr">
        <is>
          <t>avverkningsanmälan</t>
        </is>
      </c>
      <c r="C778" t="inlineStr">
        <is>
          <t>Föryngringsavverkning</t>
        </is>
      </c>
      <c r="D778" s="1" t="n">
        <v>45775</v>
      </c>
      <c r="E778" s="1" t="n">
        <v>46221</v>
      </c>
      <c r="F778" t="inlineStr">
        <is>
          <t>STOCKHOLMS LÄN</t>
        </is>
      </c>
      <c r="G778" t="inlineStr">
        <is>
          <t>NORRTÄLJE</t>
        </is>
      </c>
      <c r="I778" t="n">
        <v>2.9</v>
      </c>
      <c r="J778" t="n">
        <v>0</v>
      </c>
      <c r="K778" t="n">
        <v>0</v>
      </c>
      <c r="L778" t="n">
        <v>0</v>
      </c>
      <c r="M778" t="n">
        <v>0</v>
      </c>
      <c r="N778" t="n">
        <v>0</v>
      </c>
      <c r="O778" t="n">
        <v>0</v>
      </c>
      <c r="P778" t="n">
        <v>0</v>
      </c>
      <c r="Q778" t="n">
        <v>0</v>
      </c>
      <c r="R778" t="n">
        <v>0</v>
      </c>
      <c r="S778" t="n">
        <v>0</v>
      </c>
      <c r="T778" t="n">
        <v>0</v>
      </c>
      <c r="U778" s="2" t="inlineStr"/>
    </row>
    <row r="779" ht="15" customHeight="1">
      <c r="A779" t="inlineStr">
        <is>
          <t>A 19982-2022</t>
        </is>
      </c>
      <c r="B779" t="inlineStr">
        <is>
          <t>avverkningsanmälan</t>
        </is>
      </c>
      <c r="C779" t="inlineStr">
        <is>
          <t>Föryngringsavverkning</t>
        </is>
      </c>
      <c r="D779" s="1" t="n">
        <v>44697</v>
      </c>
      <c r="E779" s="1" t="n">
        <v>46221</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25968-2026</t>
        </is>
      </c>
      <c r="B780" t="inlineStr">
        <is>
          <t>avverkningsanmälan</t>
        </is>
      </c>
      <c r="C780" t="inlineStr">
        <is>
          <t>Föryngringsavverkning</t>
        </is>
      </c>
      <c r="D780" s="1" t="n">
        <v>46181</v>
      </c>
      <c r="E780" s="1" t="n">
        <v>46221</v>
      </c>
      <c r="F780" t="inlineStr">
        <is>
          <t>STOCKHOLMS LÄN</t>
        </is>
      </c>
      <c r="G780" t="inlineStr">
        <is>
          <t>NORRTÄLJE</t>
        </is>
      </c>
      <c r="H780" t="inlineStr">
        <is>
          <t>Kyrkan</t>
        </is>
      </c>
      <c r="I780" t="n">
        <v>3.6</v>
      </c>
      <c r="J780" t="n">
        <v>0</v>
      </c>
      <c r="K780" t="n">
        <v>0</v>
      </c>
      <c r="L780" t="n">
        <v>0</v>
      </c>
      <c r="M780" t="n">
        <v>0</v>
      </c>
      <c r="N780" t="n">
        <v>0</v>
      </c>
      <c r="O780" t="n">
        <v>0</v>
      </c>
      <c r="P780" t="n">
        <v>0</v>
      </c>
      <c r="Q780" t="n">
        <v>0</v>
      </c>
      <c r="R780" t="n">
        <v>0</v>
      </c>
      <c r="S780" t="n">
        <v>0</v>
      </c>
      <c r="T780" t="n">
        <v>0</v>
      </c>
      <c r="U780" s="2" t="inlineStr"/>
    </row>
    <row r="781" ht="15" customHeight="1">
      <c r="A781" t="inlineStr">
        <is>
          <t>A 47521-2024</t>
        </is>
      </c>
      <c r="B781" t="inlineStr">
        <is>
          <t>avverkningsanmälan</t>
        </is>
      </c>
      <c r="C781" t="inlineStr">
        <is>
          <t>Föryngringsavverkning</t>
        </is>
      </c>
      <c r="D781" s="1" t="n">
        <v>45587</v>
      </c>
      <c r="E781" s="1" t="n">
        <v>46221</v>
      </c>
      <c r="F781" t="inlineStr">
        <is>
          <t>STOCKHOLMS LÄN</t>
        </is>
      </c>
      <c r="G781" t="inlineStr">
        <is>
          <t>NORRTÄLJE</t>
        </is>
      </c>
      <c r="I781" t="n">
        <v>4.7</v>
      </c>
      <c r="J781" t="n">
        <v>0</v>
      </c>
      <c r="K781" t="n">
        <v>0</v>
      </c>
      <c r="L781" t="n">
        <v>0</v>
      </c>
      <c r="M781" t="n">
        <v>0</v>
      </c>
      <c r="N781" t="n">
        <v>0</v>
      </c>
      <c r="O781" t="n">
        <v>0</v>
      </c>
      <c r="P781" t="n">
        <v>0</v>
      </c>
      <c r="Q781" t="n">
        <v>0</v>
      </c>
      <c r="R781" t="n">
        <v>0</v>
      </c>
      <c r="S781" t="n">
        <v>0</v>
      </c>
      <c r="T781" t="n">
        <v>0</v>
      </c>
      <c r="U781" s="2" t="inlineStr"/>
    </row>
    <row r="782" ht="15" customHeight="1">
      <c r="A782" t="inlineStr">
        <is>
          <t>A 35438-2023</t>
        </is>
      </c>
      <c r="B782" t="inlineStr">
        <is>
          <t>avverkningsanmälan</t>
        </is>
      </c>
      <c r="C782" t="inlineStr">
        <is>
          <t>Föryngringsavverkning</t>
        </is>
      </c>
      <c r="D782" s="1" t="n">
        <v>45146</v>
      </c>
      <c r="E782" s="1" t="n">
        <v>46221</v>
      </c>
      <c r="F782" t="inlineStr">
        <is>
          <t>STOCKHOLMS LÄN</t>
        </is>
      </c>
      <c r="G782" t="inlineStr">
        <is>
          <t>NORRTÄLJE</t>
        </is>
      </c>
      <c r="H782" t="inlineStr">
        <is>
          <t>Kommuner</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33878-2024</t>
        </is>
      </c>
      <c r="B783" t="inlineStr">
        <is>
          <t>avverkningsanmälan</t>
        </is>
      </c>
      <c r="C783" t="inlineStr">
        <is>
          <t>Föryngringsavverkning</t>
        </is>
      </c>
      <c r="D783" s="1" t="n">
        <v>45522</v>
      </c>
      <c r="E783" s="1" t="n">
        <v>46221</v>
      </c>
      <c r="F783" t="inlineStr">
        <is>
          <t>STOCKHOLMS LÄN</t>
        </is>
      </c>
      <c r="G783" t="inlineStr">
        <is>
          <t>NORRTÄLJE</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7806-2025</t>
        </is>
      </c>
      <c r="B784" t="inlineStr">
        <is>
          <t>avverkningsanmälan</t>
        </is>
      </c>
      <c r="C784" t="inlineStr">
        <is>
          <t>Föryngringsavverkning</t>
        </is>
      </c>
      <c r="D784" s="1" t="n">
        <v>45706</v>
      </c>
      <c r="E784" s="1" t="n">
        <v>46221</v>
      </c>
      <c r="F784" t="inlineStr">
        <is>
          <t>STOCKHOLMS LÄN</t>
        </is>
      </c>
      <c r="G784" t="inlineStr">
        <is>
          <t>NORRTÄLJE</t>
        </is>
      </c>
      <c r="H784" t="inlineStr">
        <is>
          <t>Holmen skog AB</t>
        </is>
      </c>
      <c r="I784" t="n">
        <v>3.5</v>
      </c>
      <c r="J784" t="n">
        <v>0</v>
      </c>
      <c r="K784" t="n">
        <v>0</v>
      </c>
      <c r="L784" t="n">
        <v>0</v>
      </c>
      <c r="M784" t="n">
        <v>0</v>
      </c>
      <c r="N784" t="n">
        <v>0</v>
      </c>
      <c r="O784" t="n">
        <v>0</v>
      </c>
      <c r="P784" t="n">
        <v>0</v>
      </c>
      <c r="Q784" t="n">
        <v>0</v>
      </c>
      <c r="R784" t="n">
        <v>0</v>
      </c>
      <c r="S784" t="n">
        <v>0</v>
      </c>
      <c r="T784" t="n">
        <v>0</v>
      </c>
      <c r="U784" s="2" t="inlineStr"/>
    </row>
    <row r="785" ht="15" customHeight="1">
      <c r="A785" t="inlineStr">
        <is>
          <t>A 4183-2025</t>
        </is>
      </c>
      <c r="B785" t="inlineStr">
        <is>
          <t>avverkningsanmälan</t>
        </is>
      </c>
      <c r="C785" t="inlineStr">
        <is>
          <t>Föryngringsavverkning</t>
        </is>
      </c>
      <c r="D785" s="1" t="n">
        <v>45685</v>
      </c>
      <c r="E785" s="1" t="n">
        <v>46221</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17556-2025</t>
        </is>
      </c>
      <c r="B786" t="inlineStr">
        <is>
          <t>avverkningsanmälan</t>
        </is>
      </c>
      <c r="C786" t="inlineStr">
        <is>
          <t>Föryngringsavverkning</t>
        </is>
      </c>
      <c r="D786" s="1" t="n">
        <v>45757</v>
      </c>
      <c r="E786" s="1" t="n">
        <v>46221</v>
      </c>
      <c r="F786" t="inlineStr">
        <is>
          <t>STOCKHOLMS LÄN</t>
        </is>
      </c>
      <c r="G786" t="inlineStr">
        <is>
          <t>NORRTÄLJE</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11041-2025</t>
        </is>
      </c>
      <c r="B787" t="inlineStr">
        <is>
          <t>avverkningsanmälan</t>
        </is>
      </c>
      <c r="C787" t="inlineStr">
        <is>
          <t>Föryngringsavverkning</t>
        </is>
      </c>
      <c r="D787" s="1" t="n">
        <v>45723</v>
      </c>
      <c r="E787" s="1" t="n">
        <v>46221</v>
      </c>
      <c r="F787" t="inlineStr">
        <is>
          <t>STOCKHOLMS LÄN</t>
        </is>
      </c>
      <c r="G787" t="inlineStr">
        <is>
          <t>NORRTÄLJE</t>
        </is>
      </c>
      <c r="H787" t="inlineStr">
        <is>
          <t>Övriga Aktiebolag</t>
        </is>
      </c>
      <c r="I787" t="n">
        <v>1.8</v>
      </c>
      <c r="J787" t="n">
        <v>0</v>
      </c>
      <c r="K787" t="n">
        <v>0</v>
      </c>
      <c r="L787" t="n">
        <v>0</v>
      </c>
      <c r="M787" t="n">
        <v>0</v>
      </c>
      <c r="N787" t="n">
        <v>0</v>
      </c>
      <c r="O787" t="n">
        <v>0</v>
      </c>
      <c r="P787" t="n">
        <v>0</v>
      </c>
      <c r="Q787" t="n">
        <v>0</v>
      </c>
      <c r="R787" t="n">
        <v>0</v>
      </c>
      <c r="S787" t="n">
        <v>0</v>
      </c>
      <c r="T787" t="n">
        <v>0</v>
      </c>
      <c r="U787" s="2" t="inlineStr"/>
    </row>
    <row r="788" ht="15" customHeight="1">
      <c r="A788" t="inlineStr">
        <is>
          <t>A 41335-2023</t>
        </is>
      </c>
      <c r="B788" t="inlineStr">
        <is>
          <t>avverkningsanmälan</t>
        </is>
      </c>
      <c r="C788" t="inlineStr">
        <is>
          <t>Föryngringsavverkning</t>
        </is>
      </c>
      <c r="D788" s="1" t="n">
        <v>45174</v>
      </c>
      <c r="E788" s="1" t="n">
        <v>46221</v>
      </c>
      <c r="F788" t="inlineStr">
        <is>
          <t>STOCKHOLMS LÄN</t>
        </is>
      </c>
      <c r="G788" t="inlineStr">
        <is>
          <t>NORRTÄLJE</t>
        </is>
      </c>
      <c r="H788" t="inlineStr">
        <is>
          <t>Holmen skog AB</t>
        </is>
      </c>
      <c r="I788" t="n">
        <v>4.4</v>
      </c>
      <c r="J788" t="n">
        <v>0</v>
      </c>
      <c r="K788" t="n">
        <v>0</v>
      </c>
      <c r="L788" t="n">
        <v>0</v>
      </c>
      <c r="M788" t="n">
        <v>0</v>
      </c>
      <c r="N788" t="n">
        <v>0</v>
      </c>
      <c r="O788" t="n">
        <v>0</v>
      </c>
      <c r="P788" t="n">
        <v>0</v>
      </c>
      <c r="Q788" t="n">
        <v>0</v>
      </c>
      <c r="R788" t="n">
        <v>0</v>
      </c>
      <c r="S788" t="n">
        <v>0</v>
      </c>
      <c r="T788" t="n">
        <v>0</v>
      </c>
      <c r="U788" s="2" t="inlineStr"/>
    </row>
    <row r="789" ht="15" customHeight="1">
      <c r="A789" t="inlineStr">
        <is>
          <t>A 4484-2025</t>
        </is>
      </c>
      <c r="B789" t="inlineStr">
        <is>
          <t>avverkningsanmälan</t>
        </is>
      </c>
      <c r="C789" t="inlineStr">
        <is>
          <t>Föryngringsavverkning</t>
        </is>
      </c>
      <c r="D789" s="1" t="n">
        <v>45686</v>
      </c>
      <c r="E789" s="1" t="n">
        <v>46221</v>
      </c>
      <c r="F789" t="inlineStr">
        <is>
          <t>STOCKHOLMS LÄN</t>
        </is>
      </c>
      <c r="G789" t="inlineStr">
        <is>
          <t>NORRTÄLJE</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21480-2022</t>
        </is>
      </c>
      <c r="B790" t="inlineStr">
        <is>
          <t>avverkningsanmälan</t>
        </is>
      </c>
      <c r="C790" t="inlineStr">
        <is>
          <t>Föryngringsavverkning</t>
        </is>
      </c>
      <c r="D790" s="1" t="n">
        <v>44704</v>
      </c>
      <c r="E790" s="1" t="n">
        <v>46221</v>
      </c>
      <c r="F790" t="inlineStr">
        <is>
          <t>STOCKHOLMS LÄN</t>
        </is>
      </c>
      <c r="G790" t="inlineStr">
        <is>
          <t>NORRTÄLJE</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26083-2026</t>
        </is>
      </c>
      <c r="B791" t="inlineStr">
        <is>
          <t>avverkningsanmälan</t>
        </is>
      </c>
      <c r="C791" t="inlineStr">
        <is>
          <t>Föryngringsavverkning</t>
        </is>
      </c>
      <c r="D791" s="1" t="n">
        <v>46181</v>
      </c>
      <c r="E791" s="1" t="n">
        <v>46221</v>
      </c>
      <c r="F791" t="inlineStr">
        <is>
          <t>STOCKHOLMS LÄN</t>
        </is>
      </c>
      <c r="G791" t="inlineStr">
        <is>
          <t>NORRTÄLJE</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55503-2025</t>
        </is>
      </c>
      <c r="B792" t="inlineStr">
        <is>
          <t>avverkningsanmälan</t>
        </is>
      </c>
      <c r="C792" t="inlineStr">
        <is>
          <t>Föryngringsavverkning</t>
        </is>
      </c>
      <c r="D792" s="1" t="n">
        <v>45971</v>
      </c>
      <c r="E792" s="1" t="n">
        <v>46221</v>
      </c>
      <c r="F792" t="inlineStr">
        <is>
          <t>STOCKHOLMS LÄN</t>
        </is>
      </c>
      <c r="G792" t="inlineStr">
        <is>
          <t>NORRTÄLJE</t>
        </is>
      </c>
      <c r="I792" t="n">
        <v>3</v>
      </c>
      <c r="J792" t="n">
        <v>0</v>
      </c>
      <c r="K792" t="n">
        <v>0</v>
      </c>
      <c r="L792" t="n">
        <v>0</v>
      </c>
      <c r="M792" t="n">
        <v>0</v>
      </c>
      <c r="N792" t="n">
        <v>0</v>
      </c>
      <c r="O792" t="n">
        <v>0</v>
      </c>
      <c r="P792" t="n">
        <v>0</v>
      </c>
      <c r="Q792" t="n">
        <v>0</v>
      </c>
      <c r="R792" t="n">
        <v>0</v>
      </c>
      <c r="S792" t="n">
        <v>0</v>
      </c>
      <c r="T792" t="n">
        <v>0</v>
      </c>
      <c r="U792" s="2" t="inlineStr"/>
    </row>
    <row r="793" ht="15" customHeight="1">
      <c r="A793" t="inlineStr">
        <is>
          <t>A 48686-2023</t>
        </is>
      </c>
      <c r="B793" t="inlineStr">
        <is>
          <t>avverkningsanmälan</t>
        </is>
      </c>
      <c r="C793" t="inlineStr">
        <is>
          <t>Föryngringsavverkning</t>
        </is>
      </c>
      <c r="D793" s="1" t="n">
        <v>45208</v>
      </c>
      <c r="E793" s="1" t="n">
        <v>46221</v>
      </c>
      <c r="F793" t="inlineStr">
        <is>
          <t>STOCKHOLMS LÄN</t>
        </is>
      </c>
      <c r="G793" t="inlineStr">
        <is>
          <t>NORRTÄLJE</t>
        </is>
      </c>
      <c r="I793" t="n">
        <v>6</v>
      </c>
      <c r="J793" t="n">
        <v>0</v>
      </c>
      <c r="K793" t="n">
        <v>0</v>
      </c>
      <c r="L793" t="n">
        <v>0</v>
      </c>
      <c r="M793" t="n">
        <v>0</v>
      </c>
      <c r="N793" t="n">
        <v>0</v>
      </c>
      <c r="O793" t="n">
        <v>0</v>
      </c>
      <c r="P793" t="n">
        <v>0</v>
      </c>
      <c r="Q793" t="n">
        <v>0</v>
      </c>
      <c r="R793" t="n">
        <v>0</v>
      </c>
      <c r="S793" t="n">
        <v>0</v>
      </c>
      <c r="T793" t="n">
        <v>0</v>
      </c>
      <c r="U793" s="2" t="inlineStr"/>
    </row>
    <row r="794" ht="15" customHeight="1">
      <c r="A794" t="inlineStr">
        <is>
          <t>A 48691-2023</t>
        </is>
      </c>
      <c r="B794" t="inlineStr">
        <is>
          <t>avverkningsanmälan</t>
        </is>
      </c>
      <c r="C794" t="inlineStr">
        <is>
          <t>Föryngringsavverkning</t>
        </is>
      </c>
      <c r="D794" s="1" t="n">
        <v>45208</v>
      </c>
      <c r="E794" s="1" t="n">
        <v>46221</v>
      </c>
      <c r="F794" t="inlineStr">
        <is>
          <t>STOCKHOLMS LÄN</t>
        </is>
      </c>
      <c r="G794" t="inlineStr">
        <is>
          <t>NORRTÄLJE</t>
        </is>
      </c>
      <c r="I794" t="n">
        <v>5.8</v>
      </c>
      <c r="J794" t="n">
        <v>0</v>
      </c>
      <c r="K794" t="n">
        <v>0</v>
      </c>
      <c r="L794" t="n">
        <v>0</v>
      </c>
      <c r="M794" t="n">
        <v>0</v>
      </c>
      <c r="N794" t="n">
        <v>0</v>
      </c>
      <c r="O794" t="n">
        <v>0</v>
      </c>
      <c r="P794" t="n">
        <v>0</v>
      </c>
      <c r="Q794" t="n">
        <v>0</v>
      </c>
      <c r="R794" t="n">
        <v>0</v>
      </c>
      <c r="S794" t="n">
        <v>0</v>
      </c>
      <c r="T794" t="n">
        <v>0</v>
      </c>
      <c r="U794" s="2" t="inlineStr"/>
    </row>
    <row r="795" ht="15" customHeight="1">
      <c r="A795" t="inlineStr">
        <is>
          <t>A 55243-2023</t>
        </is>
      </c>
      <c r="B795" t="inlineStr">
        <is>
          <t>avverkningsanmälan</t>
        </is>
      </c>
      <c r="C795" t="inlineStr">
        <is>
          <t>Föryngringsavverkning</t>
        </is>
      </c>
      <c r="D795" s="1" t="n">
        <v>45237</v>
      </c>
      <c r="E795" s="1" t="n">
        <v>46221</v>
      </c>
      <c r="F795" t="inlineStr">
        <is>
          <t>STOCKHOLMS LÄN</t>
        </is>
      </c>
      <c r="G795" t="inlineStr">
        <is>
          <t>NORRTÄLJE</t>
        </is>
      </c>
      <c r="I795" t="n">
        <v>6.5</v>
      </c>
      <c r="J795" t="n">
        <v>0</v>
      </c>
      <c r="K795" t="n">
        <v>0</v>
      </c>
      <c r="L795" t="n">
        <v>0</v>
      </c>
      <c r="M795" t="n">
        <v>0</v>
      </c>
      <c r="N795" t="n">
        <v>0</v>
      </c>
      <c r="O795" t="n">
        <v>0</v>
      </c>
      <c r="P795" t="n">
        <v>0</v>
      </c>
      <c r="Q795" t="n">
        <v>0</v>
      </c>
      <c r="R795" t="n">
        <v>0</v>
      </c>
      <c r="S795" t="n">
        <v>0</v>
      </c>
      <c r="T795" t="n">
        <v>0</v>
      </c>
      <c r="U795" s="2" t="inlineStr"/>
    </row>
    <row r="796" ht="15" customHeight="1">
      <c r="A796" t="inlineStr">
        <is>
          <t>A 35210-2023</t>
        </is>
      </c>
      <c r="B796" t="inlineStr">
        <is>
          <t>avverkningsanmälan</t>
        </is>
      </c>
      <c r="C796" t="inlineStr">
        <is>
          <t>Föryngringsavverkning</t>
        </is>
      </c>
      <c r="D796" s="1" t="n">
        <v>45145</v>
      </c>
      <c r="E796" s="1" t="n">
        <v>46221</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25919-2026</t>
        </is>
      </c>
      <c r="B797" t="inlineStr">
        <is>
          <t>avverkningsanmälan</t>
        </is>
      </c>
      <c r="C797" t="inlineStr">
        <is>
          <t>Föryngringsavverkning</t>
        </is>
      </c>
      <c r="D797" s="1" t="n">
        <v>46178</v>
      </c>
      <c r="E797" s="1" t="n">
        <v>46221</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58297-2023</t>
        </is>
      </c>
      <c r="B798" t="inlineStr">
        <is>
          <t>avverkningsanmälan</t>
        </is>
      </c>
      <c r="C798" t="inlineStr">
        <is>
          <t>Föryngringsavverkning</t>
        </is>
      </c>
      <c r="D798" s="1" t="n">
        <v>45245</v>
      </c>
      <c r="E798" s="1" t="n">
        <v>46221</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A 21726-2022</t>
        </is>
      </c>
      <c r="B799" t="inlineStr">
        <is>
          <t>avverkningsanmälan</t>
        </is>
      </c>
      <c r="C799" t="inlineStr">
        <is>
          <t>Föryngringsavverkning</t>
        </is>
      </c>
      <c r="D799" s="1" t="n">
        <v>44708</v>
      </c>
      <c r="E799" s="1" t="n">
        <v>46221</v>
      </c>
      <c r="F799" t="inlineStr">
        <is>
          <t>STOCKHOLMS LÄN</t>
        </is>
      </c>
      <c r="G799" t="inlineStr">
        <is>
          <t>NORRTÄLJE</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21739-2022</t>
        </is>
      </c>
      <c r="B800" t="inlineStr">
        <is>
          <t>avverkningsanmälan</t>
        </is>
      </c>
      <c r="C800" t="inlineStr">
        <is>
          <t>Föryngringsavverkning</t>
        </is>
      </c>
      <c r="D800" s="1" t="n">
        <v>44708</v>
      </c>
      <c r="E800" s="1" t="n">
        <v>46221</v>
      </c>
      <c r="F800" t="inlineStr">
        <is>
          <t>STOCKHOLMS LÄN</t>
        </is>
      </c>
      <c r="G800" t="inlineStr">
        <is>
          <t>NORRTÄLJE</t>
        </is>
      </c>
      <c r="H800" t="inlineStr">
        <is>
          <t>Holmen skog AB</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28182-2022</t>
        </is>
      </c>
      <c r="B801" t="inlineStr">
        <is>
          <t>avverkningsanmälan</t>
        </is>
      </c>
      <c r="C801" t="inlineStr">
        <is>
          <t>Föryngringsavverkning</t>
        </is>
      </c>
      <c r="D801" s="1" t="n">
        <v>44746</v>
      </c>
      <c r="E801" s="1" t="n">
        <v>46221</v>
      </c>
      <c r="F801" t="inlineStr">
        <is>
          <t>STOCKHOLMS LÄN</t>
        </is>
      </c>
      <c r="G801" t="inlineStr">
        <is>
          <t>NORRTÄLJE</t>
        </is>
      </c>
      <c r="I801" t="n">
        <v>8.300000000000001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18092-2022</t>
        </is>
      </c>
      <c r="B802" t="inlineStr">
        <is>
          <t>avverkningsanmälan</t>
        </is>
      </c>
      <c r="C802" t="inlineStr">
        <is>
          <t>Föryngringsavverkning</t>
        </is>
      </c>
      <c r="D802" s="1" t="n">
        <v>44684</v>
      </c>
      <c r="E802" s="1" t="n">
        <v>46221</v>
      </c>
      <c r="F802" t="inlineStr">
        <is>
          <t>STOCKHOLMS LÄN</t>
        </is>
      </c>
      <c r="G802" t="inlineStr">
        <is>
          <t>NORRTÄLJE</t>
        </is>
      </c>
      <c r="I802" t="n">
        <v>9.199999999999999</v>
      </c>
      <c r="J802" t="n">
        <v>0</v>
      </c>
      <c r="K802" t="n">
        <v>0</v>
      </c>
      <c r="L802" t="n">
        <v>0</v>
      </c>
      <c r="M802" t="n">
        <v>0</v>
      </c>
      <c r="N802" t="n">
        <v>0</v>
      </c>
      <c r="O802" t="n">
        <v>0</v>
      </c>
      <c r="P802" t="n">
        <v>0</v>
      </c>
      <c r="Q802" t="n">
        <v>0</v>
      </c>
      <c r="R802" t="n">
        <v>0</v>
      </c>
      <c r="S802" t="n">
        <v>0</v>
      </c>
      <c r="T802" t="n">
        <v>0</v>
      </c>
      <c r="U802" s="2" t="inlineStr"/>
    </row>
    <row r="803" ht="15" customHeight="1">
      <c r="A803" t="inlineStr">
        <is>
          <t>A 33295-2023</t>
        </is>
      </c>
      <c r="B803" t="inlineStr">
        <is>
          <t>avverkningsanmälan</t>
        </is>
      </c>
      <c r="C803" t="inlineStr">
        <is>
          <t>Föryngringsavverkning</t>
        </is>
      </c>
      <c r="D803" s="1" t="n">
        <v>45127</v>
      </c>
      <c r="E803" s="1" t="n">
        <v>46221</v>
      </c>
      <c r="F803" t="inlineStr">
        <is>
          <t>STOCKHOLMS LÄN</t>
        </is>
      </c>
      <c r="G803" t="inlineStr">
        <is>
          <t>NORRTÄLJE</t>
        </is>
      </c>
      <c r="H803" t="inlineStr">
        <is>
          <t>Holmen skog AB</t>
        </is>
      </c>
      <c r="I803" t="n">
        <v>2</v>
      </c>
      <c r="J803" t="n">
        <v>0</v>
      </c>
      <c r="K803" t="n">
        <v>0</v>
      </c>
      <c r="L803" t="n">
        <v>0</v>
      </c>
      <c r="M803" t="n">
        <v>0</v>
      </c>
      <c r="N803" t="n">
        <v>0</v>
      </c>
      <c r="O803" t="n">
        <v>0</v>
      </c>
      <c r="P803" t="n">
        <v>0</v>
      </c>
      <c r="Q803" t="n">
        <v>0</v>
      </c>
      <c r="R803" t="n">
        <v>0</v>
      </c>
      <c r="S803" t="n">
        <v>0</v>
      </c>
      <c r="T803" t="n">
        <v>0</v>
      </c>
      <c r="U803" s="2" t="inlineStr"/>
    </row>
    <row r="804" ht="15" customHeight="1">
      <c r="A804" t="inlineStr">
        <is>
          <t>A 58404-2023</t>
        </is>
      </c>
      <c r="B804" t="inlineStr">
        <is>
          <t>avverkningsanmälan</t>
        </is>
      </c>
      <c r="C804" t="inlineStr">
        <is>
          <t>Avverkning för annat ändamål</t>
        </is>
      </c>
      <c r="D804" s="1" t="n">
        <v>45245</v>
      </c>
      <c r="E804" s="1" t="n">
        <v>46221</v>
      </c>
      <c r="F804" t="inlineStr">
        <is>
          <t>STOCKHOLMS LÄN</t>
        </is>
      </c>
      <c r="G804" t="inlineStr">
        <is>
          <t>NORRTÄLJE</t>
        </is>
      </c>
      <c r="I804" t="n">
        <v>53.5</v>
      </c>
      <c r="J804" t="n">
        <v>0</v>
      </c>
      <c r="K804" t="n">
        <v>0</v>
      </c>
      <c r="L804" t="n">
        <v>0</v>
      </c>
      <c r="M804" t="n">
        <v>0</v>
      </c>
      <c r="N804" t="n">
        <v>0</v>
      </c>
      <c r="O804" t="n">
        <v>0</v>
      </c>
      <c r="P804" t="n">
        <v>0</v>
      </c>
      <c r="Q804" t="n">
        <v>0</v>
      </c>
      <c r="R804" t="n">
        <v>0</v>
      </c>
      <c r="S804" t="n">
        <v>0</v>
      </c>
      <c r="T804" t="n">
        <v>0</v>
      </c>
      <c r="U804" s="2" t="inlineStr"/>
    </row>
    <row r="805" ht="15" customHeight="1">
      <c r="A805" t="inlineStr">
        <is>
          <t>A 27885-2022</t>
        </is>
      </c>
      <c r="B805" t="inlineStr">
        <is>
          <t>avverkningsanmälan</t>
        </is>
      </c>
      <c r="C805" t="inlineStr">
        <is>
          <t>Föryngringsavverkning</t>
        </is>
      </c>
      <c r="D805" s="1" t="n">
        <v>44743</v>
      </c>
      <c r="E805" s="1" t="n">
        <v>46221</v>
      </c>
      <c r="F805" t="inlineStr">
        <is>
          <t>STOCKHOLMS LÄN</t>
        </is>
      </c>
      <c r="G805" t="inlineStr">
        <is>
          <t>NORRTÄLJE</t>
        </is>
      </c>
      <c r="H805" t="inlineStr">
        <is>
          <t>Holmen skog AB</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26416-2026</t>
        </is>
      </c>
      <c r="B806" t="inlineStr">
        <is>
          <t>avverkningsanmälan</t>
        </is>
      </c>
      <c r="C806" t="inlineStr">
        <is>
          <t>Föryngringsavverkning</t>
        </is>
      </c>
      <c r="D806" s="1" t="n">
        <v>46183</v>
      </c>
      <c r="E806" s="1" t="n">
        <v>46221</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s="2" t="inlineStr"/>
    </row>
    <row r="807" ht="15" customHeight="1">
      <c r="A807" t="inlineStr">
        <is>
          <t>A 25733-2025</t>
        </is>
      </c>
      <c r="B807" t="inlineStr">
        <is>
          <t>avverkningsanmälan</t>
        </is>
      </c>
      <c r="C807" t="inlineStr">
        <is>
          <t>Föryngringsavverkning</t>
        </is>
      </c>
      <c r="D807" s="1" t="n">
        <v>45800</v>
      </c>
      <c r="E807" s="1" t="n">
        <v>46221</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25525-2022</t>
        </is>
      </c>
      <c r="B808" t="inlineStr">
        <is>
          <t>avverkningsanmälan</t>
        </is>
      </c>
      <c r="C808" t="inlineStr">
        <is>
          <t>Föryngringsavverkning</t>
        </is>
      </c>
      <c r="D808" s="1" t="n">
        <v>44732</v>
      </c>
      <c r="E808" s="1" t="n">
        <v>46221</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48722-2023</t>
        </is>
      </c>
      <c r="B809" t="inlineStr">
        <is>
          <t>avverkningsanmälan</t>
        </is>
      </c>
      <c r="C809" t="inlineStr">
        <is>
          <t>Föryngringsavverkning</t>
        </is>
      </c>
      <c r="D809" s="1" t="n">
        <v>45208</v>
      </c>
      <c r="E809" s="1" t="n">
        <v>46221</v>
      </c>
      <c r="F809" t="inlineStr">
        <is>
          <t>STOCKHOLMS LÄN</t>
        </is>
      </c>
      <c r="G809" t="inlineStr">
        <is>
          <t>NORRTÄLJE</t>
        </is>
      </c>
      <c r="I809" t="n">
        <v>0.3</v>
      </c>
      <c r="J809" t="n">
        <v>0</v>
      </c>
      <c r="K809" t="n">
        <v>0</v>
      </c>
      <c r="L809" t="n">
        <v>0</v>
      </c>
      <c r="M809" t="n">
        <v>0</v>
      </c>
      <c r="N809" t="n">
        <v>0</v>
      </c>
      <c r="O809" t="n">
        <v>0</v>
      </c>
      <c r="P809" t="n">
        <v>0</v>
      </c>
      <c r="Q809" t="n">
        <v>0</v>
      </c>
      <c r="R809" t="n">
        <v>0</v>
      </c>
      <c r="S809" t="n">
        <v>0</v>
      </c>
      <c r="T809" t="n">
        <v>0</v>
      </c>
      <c r="U809" s="2" t="inlineStr"/>
    </row>
    <row r="810" ht="15" customHeight="1">
      <c r="A810" t="inlineStr">
        <is>
          <t>A 27554-2025</t>
        </is>
      </c>
      <c r="B810" t="inlineStr">
        <is>
          <t>avverkningsanmälan</t>
        </is>
      </c>
      <c r="C810" t="inlineStr">
        <is>
          <t>Föryngringsavverkning</t>
        </is>
      </c>
      <c r="D810" s="1" t="n">
        <v>45813</v>
      </c>
      <c r="E810" s="1" t="n">
        <v>46221</v>
      </c>
      <c r="F810" t="inlineStr">
        <is>
          <t>STOCKHOLMS LÄN</t>
        </is>
      </c>
      <c r="G810" t="inlineStr">
        <is>
          <t>NORRTÄLJE</t>
        </is>
      </c>
      <c r="H810" t="inlineStr">
        <is>
          <t>Övriga Aktiebolag</t>
        </is>
      </c>
      <c r="I810" t="n">
        <v>2.5</v>
      </c>
      <c r="J810" t="n">
        <v>0</v>
      </c>
      <c r="K810" t="n">
        <v>0</v>
      </c>
      <c r="L810" t="n">
        <v>0</v>
      </c>
      <c r="M810" t="n">
        <v>0</v>
      </c>
      <c r="N810" t="n">
        <v>0</v>
      </c>
      <c r="O810" t="n">
        <v>0</v>
      </c>
      <c r="P810" t="n">
        <v>0</v>
      </c>
      <c r="Q810" t="n">
        <v>0</v>
      </c>
      <c r="R810" t="n">
        <v>0</v>
      </c>
      <c r="S810" t="n">
        <v>0</v>
      </c>
      <c r="T810" t="n">
        <v>0</v>
      </c>
      <c r="U810" s="2" t="inlineStr"/>
    </row>
    <row r="811" ht="15" customHeight="1">
      <c r="A811" t="inlineStr">
        <is>
          <t>A 26406-2026</t>
        </is>
      </c>
      <c r="B811" t="inlineStr">
        <is>
          <t>avverkningsanmälan</t>
        </is>
      </c>
      <c r="C811" t="inlineStr">
        <is>
          <t>Föryngringsavverkning</t>
        </is>
      </c>
      <c r="D811" s="1" t="n">
        <v>46183</v>
      </c>
      <c r="E811" s="1" t="n">
        <v>46221</v>
      </c>
      <c r="F811" t="inlineStr">
        <is>
          <t>STOCKHOLMS LÄN</t>
        </is>
      </c>
      <c r="G811" t="inlineStr">
        <is>
          <t>NORRTÄLJE</t>
        </is>
      </c>
      <c r="I811" t="n">
        <v>9.300000000000001</v>
      </c>
      <c r="J811" t="n">
        <v>0</v>
      </c>
      <c r="K811" t="n">
        <v>0</v>
      </c>
      <c r="L811" t="n">
        <v>0</v>
      </c>
      <c r="M811" t="n">
        <v>0</v>
      </c>
      <c r="N811" t="n">
        <v>0</v>
      </c>
      <c r="O811" t="n">
        <v>0</v>
      </c>
      <c r="P811" t="n">
        <v>0</v>
      </c>
      <c r="Q811" t="n">
        <v>0</v>
      </c>
      <c r="R811" t="n">
        <v>0</v>
      </c>
      <c r="S811" t="n">
        <v>0</v>
      </c>
      <c r="T811" t="n">
        <v>0</v>
      </c>
      <c r="U811" s="2" t="inlineStr"/>
    </row>
    <row r="812" ht="15" customHeight="1">
      <c r="A812" t="inlineStr">
        <is>
          <t>A 26408-2026</t>
        </is>
      </c>
      <c r="B812" t="inlineStr">
        <is>
          <t>avverkningsanmälan</t>
        </is>
      </c>
      <c r="C812" t="inlineStr">
        <is>
          <t>Föryngringsavverkning</t>
        </is>
      </c>
      <c r="D812" s="1" t="n">
        <v>46183</v>
      </c>
      <c r="E812" s="1" t="n">
        <v>46221</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26557-2026</t>
        </is>
      </c>
      <c r="B813" t="inlineStr">
        <is>
          <t>avverkningsanmälan</t>
        </is>
      </c>
      <c r="C813" t="inlineStr">
        <is>
          <t>Föryngringsavverkning</t>
        </is>
      </c>
      <c r="D813" s="1" t="n">
        <v>46183</v>
      </c>
      <c r="E813" s="1" t="n">
        <v>46221</v>
      </c>
      <c r="F813" t="inlineStr">
        <is>
          <t>STOCKHOLMS LÄN</t>
        </is>
      </c>
      <c r="G813" t="inlineStr">
        <is>
          <t>NORRTÄLJE</t>
        </is>
      </c>
      <c r="H813" t="inlineStr">
        <is>
          <t>Holmen skog AB</t>
        </is>
      </c>
      <c r="I813" t="n">
        <v>1.4</v>
      </c>
      <c r="J813" t="n">
        <v>0</v>
      </c>
      <c r="K813" t="n">
        <v>0</v>
      </c>
      <c r="L813" t="n">
        <v>0</v>
      </c>
      <c r="M813" t="n">
        <v>0</v>
      </c>
      <c r="N813" t="n">
        <v>0</v>
      </c>
      <c r="O813" t="n">
        <v>0</v>
      </c>
      <c r="P813" t="n">
        <v>0</v>
      </c>
      <c r="Q813" t="n">
        <v>0</v>
      </c>
      <c r="R813" t="n">
        <v>0</v>
      </c>
      <c r="S813" t="n">
        <v>0</v>
      </c>
      <c r="T813" t="n">
        <v>0</v>
      </c>
      <c r="U813" s="2" t="inlineStr"/>
    </row>
    <row r="814" ht="15" customHeight="1">
      <c r="A814" t="inlineStr">
        <is>
          <t>A 33353-2023</t>
        </is>
      </c>
      <c r="B814" t="inlineStr">
        <is>
          <t>avverkningsanmälan</t>
        </is>
      </c>
      <c r="C814" t="inlineStr">
        <is>
          <t>Avverkning för annat ändamål</t>
        </is>
      </c>
      <c r="D814" s="1" t="n">
        <v>45128</v>
      </c>
      <c r="E814" s="1" t="n">
        <v>46221</v>
      </c>
      <c r="F814" t="inlineStr">
        <is>
          <t>STOCKHOLMS LÄN</t>
        </is>
      </c>
      <c r="G814" t="inlineStr">
        <is>
          <t>NORRTÄLJE</t>
        </is>
      </c>
      <c r="I814" t="n">
        <v>0.8</v>
      </c>
      <c r="J814" t="n">
        <v>0</v>
      </c>
      <c r="K814" t="n">
        <v>0</v>
      </c>
      <c r="L814" t="n">
        <v>0</v>
      </c>
      <c r="M814" t="n">
        <v>0</v>
      </c>
      <c r="N814" t="n">
        <v>0</v>
      </c>
      <c r="O814" t="n">
        <v>0</v>
      </c>
      <c r="P814" t="n">
        <v>0</v>
      </c>
      <c r="Q814" t="n">
        <v>0</v>
      </c>
      <c r="R814" t="n">
        <v>0</v>
      </c>
      <c r="S814" t="n">
        <v>0</v>
      </c>
      <c r="T814" t="n">
        <v>0</v>
      </c>
      <c r="U814" s="2" t="inlineStr"/>
    </row>
    <row r="815" ht="15" customHeight="1">
      <c r="A815" t="inlineStr">
        <is>
          <t>A 35708-2022</t>
        </is>
      </c>
      <c r="B815" t="inlineStr">
        <is>
          <t>avverkningsanmälan</t>
        </is>
      </c>
      <c r="C815" t="inlineStr">
        <is>
          <t>Föryngringsavverkning</t>
        </is>
      </c>
      <c r="D815" s="1" t="n">
        <v>44799</v>
      </c>
      <c r="E815" s="1" t="n">
        <v>46221</v>
      </c>
      <c r="F815" t="inlineStr">
        <is>
          <t>STOCKHOLMS LÄN</t>
        </is>
      </c>
      <c r="G815" t="inlineStr">
        <is>
          <t>NORRTÄLJE</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27179-2026</t>
        </is>
      </c>
      <c r="B816" t="inlineStr">
        <is>
          <t>avverkningsanmälan</t>
        </is>
      </c>
      <c r="C816" t="inlineStr">
        <is>
          <t>Föryngringsavverkning</t>
        </is>
      </c>
      <c r="D816" s="1" t="n">
        <v>46188</v>
      </c>
      <c r="E816" s="1" t="n">
        <v>46221</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27181-2026</t>
        </is>
      </c>
      <c r="B817" t="inlineStr">
        <is>
          <t>avverkningsanmälan</t>
        </is>
      </c>
      <c r="C817" t="inlineStr">
        <is>
          <t>Föryngringsavverkning</t>
        </is>
      </c>
      <c r="D817" s="1" t="n">
        <v>46188</v>
      </c>
      <c r="E817" s="1" t="n">
        <v>46221</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27187-2026</t>
        </is>
      </c>
      <c r="B818" t="inlineStr">
        <is>
          <t>avverkningsanmälan</t>
        </is>
      </c>
      <c r="C818" t="inlineStr">
        <is>
          <t>Föryngringsavverkning</t>
        </is>
      </c>
      <c r="D818" s="1" t="n">
        <v>46188</v>
      </c>
      <c r="E818" s="1" t="n">
        <v>46221</v>
      </c>
      <c r="F818" t="inlineStr">
        <is>
          <t>STOCKHOLMS LÄN</t>
        </is>
      </c>
      <c r="G818" t="inlineStr">
        <is>
          <t>NORRTÄLJE</t>
        </is>
      </c>
      <c r="I818" t="n">
        <v>0.8</v>
      </c>
      <c r="J818" t="n">
        <v>0</v>
      </c>
      <c r="K818" t="n">
        <v>0</v>
      </c>
      <c r="L818" t="n">
        <v>0</v>
      </c>
      <c r="M818" t="n">
        <v>0</v>
      </c>
      <c r="N818" t="n">
        <v>0</v>
      </c>
      <c r="O818" t="n">
        <v>0</v>
      </c>
      <c r="P818" t="n">
        <v>0</v>
      </c>
      <c r="Q818" t="n">
        <v>0</v>
      </c>
      <c r="R818" t="n">
        <v>0</v>
      </c>
      <c r="S818" t="n">
        <v>0</v>
      </c>
      <c r="T818" t="n">
        <v>0</v>
      </c>
      <c r="U818" s="2" t="inlineStr"/>
    </row>
    <row r="819" ht="15" customHeight="1">
      <c r="A819" t="inlineStr">
        <is>
          <t>A 9-2024</t>
        </is>
      </c>
      <c r="B819" t="inlineStr">
        <is>
          <t>avverkningsanmälan</t>
        </is>
      </c>
      <c r="C819" t="inlineStr">
        <is>
          <t>Avverkning för annat ändamål</t>
        </is>
      </c>
      <c r="D819" s="1" t="n">
        <v>45293</v>
      </c>
      <c r="E819" s="1" t="n">
        <v>46221</v>
      </c>
      <c r="F819" t="inlineStr">
        <is>
          <t>STOCKHOLMS LÄN</t>
        </is>
      </c>
      <c r="G819" t="inlineStr">
        <is>
          <t>NORRTÄLJE</t>
        </is>
      </c>
      <c r="H819" t="inlineStr">
        <is>
          <t>Sveaskog</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11849-2025</t>
        </is>
      </c>
      <c r="B820" t="inlineStr">
        <is>
          <t>avverkningsanmälan</t>
        </is>
      </c>
      <c r="C820" t="inlineStr">
        <is>
          <t>Föryngringsavverkning</t>
        </is>
      </c>
      <c r="D820" s="1" t="n">
        <v>45728</v>
      </c>
      <c r="E820" s="1" t="n">
        <v>46221</v>
      </c>
      <c r="F820" t="inlineStr">
        <is>
          <t>STOCKHOLMS LÄN</t>
        </is>
      </c>
      <c r="G820" t="inlineStr">
        <is>
          <t>NORRTÄLJE</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59468-2023</t>
        </is>
      </c>
      <c r="B821" t="inlineStr">
        <is>
          <t>avverkningsanmälan</t>
        </is>
      </c>
      <c r="C821" t="inlineStr">
        <is>
          <t>Föryngringsavverkning</t>
        </is>
      </c>
      <c r="D821" s="1" t="n">
        <v>45254</v>
      </c>
      <c r="E821" s="1" t="n">
        <v>46221</v>
      </c>
      <c r="F821" t="inlineStr">
        <is>
          <t>STOCKHOLMS LÄN</t>
        </is>
      </c>
      <c r="G821" t="inlineStr">
        <is>
          <t>NORRTÄLJE</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27422-2026</t>
        </is>
      </c>
      <c r="B822" t="inlineStr">
        <is>
          <t>avverkningsanmälan</t>
        </is>
      </c>
      <c r="C822" t="inlineStr">
        <is>
          <t>Föryngringsavverkning</t>
        </is>
      </c>
      <c r="D822" s="1" t="n">
        <v>46189</v>
      </c>
      <c r="E822" s="1" t="n">
        <v>46221</v>
      </c>
      <c r="F822" t="inlineStr">
        <is>
          <t>STOCKHOLMS LÄN</t>
        </is>
      </c>
      <c r="G822" t="inlineStr">
        <is>
          <t>NORRTÄLJE</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574-2023</t>
        </is>
      </c>
      <c r="B823" t="inlineStr">
        <is>
          <t>avverkningsanmälan</t>
        </is>
      </c>
      <c r="C823" t="inlineStr">
        <is>
          <t>Föryngringsavverkning</t>
        </is>
      </c>
      <c r="D823" s="1" t="n">
        <v>44925</v>
      </c>
      <c r="E823" s="1" t="n">
        <v>46221</v>
      </c>
      <c r="F823" t="inlineStr">
        <is>
          <t>STOCKHOLMS LÄN</t>
        </is>
      </c>
      <c r="G823" t="inlineStr">
        <is>
          <t>NORRTÄLJE</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21818-2026</t>
        </is>
      </c>
      <c r="B824" t="inlineStr">
        <is>
          <t>avverkningsanmälan</t>
        </is>
      </c>
      <c r="C824" t="inlineStr">
        <is>
          <t>Föryngringsavverkning</t>
        </is>
      </c>
      <c r="D824" s="1" t="n">
        <v>46150</v>
      </c>
      <c r="E824" s="1" t="n">
        <v>46221</v>
      </c>
      <c r="F824" t="inlineStr">
        <is>
          <t>STOCKHOLMS LÄN</t>
        </is>
      </c>
      <c r="G824" t="inlineStr">
        <is>
          <t>NORRTÄLJE</t>
        </is>
      </c>
      <c r="I824" t="n">
        <v>2</v>
      </c>
      <c r="J824" t="n">
        <v>0</v>
      </c>
      <c r="K824" t="n">
        <v>0</v>
      </c>
      <c r="L824" t="n">
        <v>0</v>
      </c>
      <c r="M824" t="n">
        <v>0</v>
      </c>
      <c r="N824" t="n">
        <v>0</v>
      </c>
      <c r="O824" t="n">
        <v>0</v>
      </c>
      <c r="P824" t="n">
        <v>0</v>
      </c>
      <c r="Q824" t="n">
        <v>0</v>
      </c>
      <c r="R824" t="n">
        <v>0</v>
      </c>
      <c r="S824" t="n">
        <v>0</v>
      </c>
      <c r="T824" t="n">
        <v>0</v>
      </c>
      <c r="U824" s="2" t="inlineStr"/>
    </row>
    <row r="825" ht="15" customHeight="1">
      <c r="A825" t="inlineStr">
        <is>
          <t>A 21780-2026</t>
        </is>
      </c>
      <c r="B825" t="inlineStr">
        <is>
          <t>avverkningsanmälan</t>
        </is>
      </c>
      <c r="C825" t="inlineStr">
        <is>
          <t>Föryngringsavverkning</t>
        </is>
      </c>
      <c r="D825" s="1" t="n">
        <v>46150</v>
      </c>
      <c r="E825" s="1" t="n">
        <v>46221</v>
      </c>
      <c r="F825" t="inlineStr">
        <is>
          <t>STOCKHOLMS LÄN</t>
        </is>
      </c>
      <c r="G825" t="inlineStr">
        <is>
          <t>NORRTÄLJE</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21815-2026</t>
        </is>
      </c>
      <c r="B826" t="inlineStr">
        <is>
          <t>avverkningsanmälan</t>
        </is>
      </c>
      <c r="C826" t="inlineStr">
        <is>
          <t>Föryngringsavverkning</t>
        </is>
      </c>
      <c r="D826" s="1" t="n">
        <v>46150</v>
      </c>
      <c r="E826" s="1" t="n">
        <v>46221</v>
      </c>
      <c r="F826" t="inlineStr">
        <is>
          <t>STOCKHOLMS LÄN</t>
        </is>
      </c>
      <c r="G826" t="inlineStr">
        <is>
          <t>NORRTÄLJE</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37010-2022</t>
        </is>
      </c>
      <c r="B827" t="inlineStr">
        <is>
          <t>avverkningsanmälan</t>
        </is>
      </c>
      <c r="C827" t="inlineStr">
        <is>
          <t>Föryngringsavverkning</t>
        </is>
      </c>
      <c r="D827" s="1" t="n">
        <v>44806</v>
      </c>
      <c r="E827" s="1" t="n">
        <v>46221</v>
      </c>
      <c r="F827" t="inlineStr">
        <is>
          <t>STOCKHOLMS LÄN</t>
        </is>
      </c>
      <c r="G827" t="inlineStr">
        <is>
          <t>NORRTÄLJE</t>
        </is>
      </c>
      <c r="I827" t="n">
        <v>2.7</v>
      </c>
      <c r="J827" t="n">
        <v>0</v>
      </c>
      <c r="K827" t="n">
        <v>0</v>
      </c>
      <c r="L827" t="n">
        <v>0</v>
      </c>
      <c r="M827" t="n">
        <v>0</v>
      </c>
      <c r="N827" t="n">
        <v>0</v>
      </c>
      <c r="O827" t="n">
        <v>0</v>
      </c>
      <c r="P827" t="n">
        <v>0</v>
      </c>
      <c r="Q827" t="n">
        <v>0</v>
      </c>
      <c r="R827" t="n">
        <v>0</v>
      </c>
      <c r="S827" t="n">
        <v>0</v>
      </c>
      <c r="T827" t="n">
        <v>0</v>
      </c>
      <c r="U827" s="2" t="inlineStr"/>
    </row>
    <row r="828" ht="15" customHeight="1">
      <c r="A828" t="inlineStr">
        <is>
          <t>A 32705-2022</t>
        </is>
      </c>
      <c r="B828" t="inlineStr">
        <is>
          <t>avverkningsanmälan</t>
        </is>
      </c>
      <c r="C828" t="inlineStr">
        <is>
          <t>Föryngringsavverkning</t>
        </is>
      </c>
      <c r="D828" s="1" t="n">
        <v>44783</v>
      </c>
      <c r="E828" s="1" t="n">
        <v>46221</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33149-2022</t>
        </is>
      </c>
      <c r="B829" t="inlineStr">
        <is>
          <t>avverkningsanmälan</t>
        </is>
      </c>
      <c r="C829" t="inlineStr">
        <is>
          <t>Föryngringsavverkning</t>
        </is>
      </c>
      <c r="D829" s="1" t="n">
        <v>44785</v>
      </c>
      <c r="E829" s="1" t="n">
        <v>46221</v>
      </c>
      <c r="F829" t="inlineStr">
        <is>
          <t>STOCKHOLMS LÄN</t>
        </is>
      </c>
      <c r="G829" t="inlineStr">
        <is>
          <t>NORRTÄLJE</t>
        </is>
      </c>
      <c r="H829" t="inlineStr">
        <is>
          <t>Holmen skog AB</t>
        </is>
      </c>
      <c r="I829" t="n">
        <v>4.4</v>
      </c>
      <c r="J829" t="n">
        <v>0</v>
      </c>
      <c r="K829" t="n">
        <v>0</v>
      </c>
      <c r="L829" t="n">
        <v>0</v>
      </c>
      <c r="M829" t="n">
        <v>0</v>
      </c>
      <c r="N829" t="n">
        <v>0</v>
      </c>
      <c r="O829" t="n">
        <v>0</v>
      </c>
      <c r="P829" t="n">
        <v>0</v>
      </c>
      <c r="Q829" t="n">
        <v>0</v>
      </c>
      <c r="R829" t="n">
        <v>0</v>
      </c>
      <c r="S829" t="n">
        <v>0</v>
      </c>
      <c r="T829" t="n">
        <v>0</v>
      </c>
      <c r="U829" s="2" t="inlineStr"/>
    </row>
    <row r="830" ht="15" customHeight="1">
      <c r="A830" t="inlineStr">
        <is>
          <t>A 14559-2024</t>
        </is>
      </c>
      <c r="B830" t="inlineStr">
        <is>
          <t>avverkningsanmälan</t>
        </is>
      </c>
      <c r="C830" t="inlineStr">
        <is>
          <t>Föryngringsavverkning</t>
        </is>
      </c>
      <c r="D830" s="1" t="n">
        <v>45394</v>
      </c>
      <c r="E830" s="1" t="n">
        <v>46221</v>
      </c>
      <c r="F830" t="inlineStr">
        <is>
          <t>STOCKHOLMS LÄN</t>
        </is>
      </c>
      <c r="G830" t="inlineStr">
        <is>
          <t>NORRTÄLJE</t>
        </is>
      </c>
      <c r="I830" t="n">
        <v>4.2</v>
      </c>
      <c r="J830" t="n">
        <v>0</v>
      </c>
      <c r="K830" t="n">
        <v>0</v>
      </c>
      <c r="L830" t="n">
        <v>0</v>
      </c>
      <c r="M830" t="n">
        <v>0</v>
      </c>
      <c r="N830" t="n">
        <v>0</v>
      </c>
      <c r="O830" t="n">
        <v>0</v>
      </c>
      <c r="P830" t="n">
        <v>0</v>
      </c>
      <c r="Q830" t="n">
        <v>0</v>
      </c>
      <c r="R830" t="n">
        <v>0</v>
      </c>
      <c r="S830" t="n">
        <v>0</v>
      </c>
      <c r="T830" t="n">
        <v>0</v>
      </c>
      <c r="U830" s="2" t="inlineStr"/>
    </row>
    <row r="831" ht="15" customHeight="1">
      <c r="A831" t="inlineStr">
        <is>
          <t>A 27760-2026</t>
        </is>
      </c>
      <c r="B831" t="inlineStr">
        <is>
          <t>avverkningsanmälan</t>
        </is>
      </c>
      <c r="C831" t="inlineStr">
        <is>
          <t>Föryngringsavverkning</t>
        </is>
      </c>
      <c r="D831" s="1" t="n">
        <v>46191</v>
      </c>
      <c r="E831" s="1" t="n">
        <v>46221</v>
      </c>
      <c r="F831" t="inlineStr">
        <is>
          <t>STOCKHOLMS LÄN</t>
        </is>
      </c>
      <c r="G831" t="inlineStr">
        <is>
          <t>NORRTÄLJE</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27764-2026</t>
        </is>
      </c>
      <c r="B832" t="inlineStr">
        <is>
          <t>avverkningsanmälan</t>
        </is>
      </c>
      <c r="C832" t="inlineStr">
        <is>
          <t>Föryngringsavverkning</t>
        </is>
      </c>
      <c r="D832" s="1" t="n">
        <v>46191</v>
      </c>
      <c r="E832" s="1" t="n">
        <v>46221</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27767-2026</t>
        </is>
      </c>
      <c r="B833" t="inlineStr">
        <is>
          <t>avverkningsanmälan</t>
        </is>
      </c>
      <c r="C833" t="inlineStr">
        <is>
          <t>Föryngringsavverkning</t>
        </is>
      </c>
      <c r="D833" s="1" t="n">
        <v>46191</v>
      </c>
      <c r="E833" s="1" t="n">
        <v>46221</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15256-2023</t>
        </is>
      </c>
      <c r="B834" t="inlineStr">
        <is>
          <t>avverkningsanmälan</t>
        </is>
      </c>
      <c r="C834" t="inlineStr">
        <is>
          <t>Föryngringsavverkning</t>
        </is>
      </c>
      <c r="D834" s="1" t="n">
        <v>45019</v>
      </c>
      <c r="E834" s="1" t="n">
        <v>46221</v>
      </c>
      <c r="F834" t="inlineStr">
        <is>
          <t>STOCKHOLMS LÄN</t>
        </is>
      </c>
      <c r="G834" t="inlineStr">
        <is>
          <t>NORRTÄLJE</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21786-2026</t>
        </is>
      </c>
      <c r="B835" t="inlineStr">
        <is>
          <t>avverkningsanmälan</t>
        </is>
      </c>
      <c r="C835" t="inlineStr">
        <is>
          <t>Föryngringsavverkning</t>
        </is>
      </c>
      <c r="D835" s="1" t="n">
        <v>46150</v>
      </c>
      <c r="E835" s="1" t="n">
        <v>46221</v>
      </c>
      <c r="F835" t="inlineStr">
        <is>
          <t>STOCKHOLMS LÄN</t>
        </is>
      </c>
      <c r="G835" t="inlineStr">
        <is>
          <t>NORRTÄLJE</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21820-2026</t>
        </is>
      </c>
      <c r="B836" t="inlineStr">
        <is>
          <t>avverkningsanmälan</t>
        </is>
      </c>
      <c r="C836" t="inlineStr">
        <is>
          <t>Föryngringsavverkning</t>
        </is>
      </c>
      <c r="D836" s="1" t="n">
        <v>46150</v>
      </c>
      <c r="E836" s="1" t="n">
        <v>46221</v>
      </c>
      <c r="F836" t="inlineStr">
        <is>
          <t>STOCKHOLMS LÄN</t>
        </is>
      </c>
      <c r="G836" t="inlineStr">
        <is>
          <t>NORRTÄLJE</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58041-2024</t>
        </is>
      </c>
      <c r="B837" t="inlineStr">
        <is>
          <t>avverkningsanmälan</t>
        </is>
      </c>
      <c r="C837" t="inlineStr">
        <is>
          <t>Föryngringsavverkning</t>
        </is>
      </c>
      <c r="D837" s="1" t="n">
        <v>45631</v>
      </c>
      <c r="E837" s="1" t="n">
        <v>46221</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31057-2022</t>
        </is>
      </c>
      <c r="B838" t="inlineStr">
        <is>
          <t>avverkningsanmälan</t>
        </is>
      </c>
      <c r="C838" t="inlineStr">
        <is>
          <t>Föryngringsavverkning</t>
        </is>
      </c>
      <c r="D838" s="1" t="n">
        <v>44769</v>
      </c>
      <c r="E838" s="1" t="n">
        <v>46221</v>
      </c>
      <c r="F838" t="inlineStr">
        <is>
          <t>STOCKHOLMS LÄN</t>
        </is>
      </c>
      <c r="G838" t="inlineStr">
        <is>
          <t>NORRTÄLJE</t>
        </is>
      </c>
      <c r="I838" t="n">
        <v>6.5</v>
      </c>
      <c r="J838" t="n">
        <v>0</v>
      </c>
      <c r="K838" t="n">
        <v>0</v>
      </c>
      <c r="L838" t="n">
        <v>0</v>
      </c>
      <c r="M838" t="n">
        <v>0</v>
      </c>
      <c r="N838" t="n">
        <v>0</v>
      </c>
      <c r="O838" t="n">
        <v>0</v>
      </c>
      <c r="P838" t="n">
        <v>0</v>
      </c>
      <c r="Q838" t="n">
        <v>0</v>
      </c>
      <c r="R838" t="n">
        <v>0</v>
      </c>
      <c r="S838" t="n">
        <v>0</v>
      </c>
      <c r="T838" t="n">
        <v>0</v>
      </c>
      <c r="U838" s="2" t="inlineStr"/>
    </row>
    <row r="839" ht="15" customHeight="1">
      <c r="A839" t="inlineStr">
        <is>
          <t>A 28097-2026</t>
        </is>
      </c>
      <c r="B839" t="inlineStr">
        <is>
          <t>avverkningsanmälan</t>
        </is>
      </c>
      <c r="C839" t="inlineStr">
        <is>
          <t>Föryngringsavverkning</t>
        </is>
      </c>
      <c r="D839" s="1" t="n">
        <v>46195</v>
      </c>
      <c r="E839" s="1" t="n">
        <v>46221</v>
      </c>
      <c r="F839" t="inlineStr">
        <is>
          <t>STOCKHOLMS LÄN</t>
        </is>
      </c>
      <c r="G839" t="inlineStr">
        <is>
          <t>NORRTÄLJE</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25619-2022</t>
        </is>
      </c>
      <c r="B840" t="inlineStr">
        <is>
          <t>avverkningsanmälan</t>
        </is>
      </c>
      <c r="C840" t="inlineStr">
        <is>
          <t>Föryngringsavverkning</t>
        </is>
      </c>
      <c r="D840" s="1" t="n">
        <v>44732</v>
      </c>
      <c r="E840" s="1" t="n">
        <v>46221</v>
      </c>
      <c r="F840" t="inlineStr">
        <is>
          <t>STOCKHOLMS LÄN</t>
        </is>
      </c>
      <c r="G840" t="inlineStr">
        <is>
          <t>NORRTÄLJE</t>
        </is>
      </c>
      <c r="I840" t="n">
        <v>3.9</v>
      </c>
      <c r="J840" t="n">
        <v>0</v>
      </c>
      <c r="K840" t="n">
        <v>0</v>
      </c>
      <c r="L840" t="n">
        <v>0</v>
      </c>
      <c r="M840" t="n">
        <v>0</v>
      </c>
      <c r="N840" t="n">
        <v>0</v>
      </c>
      <c r="O840" t="n">
        <v>0</v>
      </c>
      <c r="P840" t="n">
        <v>0</v>
      </c>
      <c r="Q840" t="n">
        <v>0</v>
      </c>
      <c r="R840" t="n">
        <v>0</v>
      </c>
      <c r="S840" t="n">
        <v>0</v>
      </c>
      <c r="T840" t="n">
        <v>0</v>
      </c>
      <c r="U840" s="2" t="inlineStr"/>
    </row>
    <row r="841" ht="15" customHeight="1">
      <c r="A841" t="inlineStr">
        <is>
          <t>A 15422-2024</t>
        </is>
      </c>
      <c r="B841" t="inlineStr">
        <is>
          <t>avverkningsanmälan</t>
        </is>
      </c>
      <c r="C841" t="inlineStr">
        <is>
          <t>Föryngringsavverkning</t>
        </is>
      </c>
      <c r="D841" s="1" t="n">
        <v>45401</v>
      </c>
      <c r="E841" s="1" t="n">
        <v>46221</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48716-2023</t>
        </is>
      </c>
      <c r="B842" t="inlineStr">
        <is>
          <t>avverkningsanmälan</t>
        </is>
      </c>
      <c r="C842" t="inlineStr">
        <is>
          <t>Föryngringsavverkning</t>
        </is>
      </c>
      <c r="D842" s="1" t="n">
        <v>45208</v>
      </c>
      <c r="E842" s="1" t="n">
        <v>46221</v>
      </c>
      <c r="F842" t="inlineStr">
        <is>
          <t>STOCKHOLMS LÄN</t>
        </is>
      </c>
      <c r="G842" t="inlineStr">
        <is>
          <t>NORRTÄLJE</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55369-2023</t>
        </is>
      </c>
      <c r="B843" t="inlineStr">
        <is>
          <t>avverkningsanmälan</t>
        </is>
      </c>
      <c r="C843" t="inlineStr">
        <is>
          <t>Föryngringsavverkning</t>
        </is>
      </c>
      <c r="D843" s="1" t="n">
        <v>45238</v>
      </c>
      <c r="E843" s="1" t="n">
        <v>46221</v>
      </c>
      <c r="F843" t="inlineStr">
        <is>
          <t>STOCKHOLMS LÄN</t>
        </is>
      </c>
      <c r="G843" t="inlineStr">
        <is>
          <t>NORRTÄLJE</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20121-2022</t>
        </is>
      </c>
      <c r="B844" t="inlineStr">
        <is>
          <t>avverkningsanmälan</t>
        </is>
      </c>
      <c r="C844" t="inlineStr">
        <is>
          <t>Föryngringsavverkning</t>
        </is>
      </c>
      <c r="D844" s="1" t="n">
        <v>44698</v>
      </c>
      <c r="E844" s="1" t="n">
        <v>46221</v>
      </c>
      <c r="F844" t="inlineStr">
        <is>
          <t>STOCKHOLMS LÄN</t>
        </is>
      </c>
      <c r="G844" t="inlineStr">
        <is>
          <t>NORRTÄLJE</t>
        </is>
      </c>
      <c r="I844" t="n">
        <v>4.2</v>
      </c>
      <c r="J844" t="n">
        <v>0</v>
      </c>
      <c r="K844" t="n">
        <v>0</v>
      </c>
      <c r="L844" t="n">
        <v>0</v>
      </c>
      <c r="M844" t="n">
        <v>0</v>
      </c>
      <c r="N844" t="n">
        <v>0</v>
      </c>
      <c r="O844" t="n">
        <v>0</v>
      </c>
      <c r="P844" t="n">
        <v>0</v>
      </c>
      <c r="Q844" t="n">
        <v>0</v>
      </c>
      <c r="R844" t="n">
        <v>0</v>
      </c>
      <c r="S844" t="n">
        <v>0</v>
      </c>
      <c r="T844" t="n">
        <v>0</v>
      </c>
      <c r="U844" s="2" t="inlineStr"/>
    </row>
    <row r="845" ht="15" customHeight="1">
      <c r="A845" t="inlineStr">
        <is>
          <t>A 26407-2024</t>
        </is>
      </c>
      <c r="B845" t="inlineStr">
        <is>
          <t>avverkningsanmälan</t>
        </is>
      </c>
      <c r="C845" t="inlineStr">
        <is>
          <t>Föryngringsavverkning</t>
        </is>
      </c>
      <c r="D845" s="1" t="n">
        <v>45469</v>
      </c>
      <c r="E845" s="1" t="n">
        <v>46221</v>
      </c>
      <c r="F845" t="inlineStr">
        <is>
          <t>STOCKHOLMS LÄN</t>
        </is>
      </c>
      <c r="G845" t="inlineStr">
        <is>
          <t>NORRTÄLJE</t>
        </is>
      </c>
      <c r="I845" t="n">
        <v>3.5</v>
      </c>
      <c r="J845" t="n">
        <v>0</v>
      </c>
      <c r="K845" t="n">
        <v>0</v>
      </c>
      <c r="L845" t="n">
        <v>0</v>
      </c>
      <c r="M845" t="n">
        <v>0</v>
      </c>
      <c r="N845" t="n">
        <v>0</v>
      </c>
      <c r="O845" t="n">
        <v>0</v>
      </c>
      <c r="P845" t="n">
        <v>0</v>
      </c>
      <c r="Q845" t="n">
        <v>0</v>
      </c>
      <c r="R845" t="n">
        <v>0</v>
      </c>
      <c r="S845" t="n">
        <v>0</v>
      </c>
      <c r="T845" t="n">
        <v>0</v>
      </c>
      <c r="U845" s="2" t="inlineStr"/>
    </row>
    <row r="846" ht="15" customHeight="1">
      <c r="A846" t="inlineStr">
        <is>
          <t>A 10098-2022</t>
        </is>
      </c>
      <c r="B846" t="inlineStr">
        <is>
          <t>avverkningsanmälan</t>
        </is>
      </c>
      <c r="C846" t="inlineStr">
        <is>
          <t>Föryngringsavverkning</t>
        </is>
      </c>
      <c r="D846" s="1" t="n">
        <v>44621</v>
      </c>
      <c r="E846" s="1" t="n">
        <v>46221</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21753-2026</t>
        </is>
      </c>
      <c r="B847" t="inlineStr">
        <is>
          <t>avverkningsanmälan</t>
        </is>
      </c>
      <c r="C847" t="inlineStr">
        <is>
          <t>Föryngringsavverkning</t>
        </is>
      </c>
      <c r="D847" s="1" t="n">
        <v>46149</v>
      </c>
      <c r="E847" s="1" t="n">
        <v>46221</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49700-2023</t>
        </is>
      </c>
      <c r="B848" t="inlineStr">
        <is>
          <t>avverkningsanmälan</t>
        </is>
      </c>
      <c r="C848" t="inlineStr">
        <is>
          <t>Föryngringsavverkning</t>
        </is>
      </c>
      <c r="D848" s="1" t="n">
        <v>45212</v>
      </c>
      <c r="E848" s="1" t="n">
        <v>46221</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59875-2024</t>
        </is>
      </c>
      <c r="B849" t="inlineStr">
        <is>
          <t>avverkningsanmälan</t>
        </is>
      </c>
      <c r="C849" t="inlineStr">
        <is>
          <t>Föryngringsavverkning</t>
        </is>
      </c>
      <c r="D849" s="1" t="n">
        <v>45640</v>
      </c>
      <c r="E849" s="1" t="n">
        <v>46221</v>
      </c>
      <c r="F849" t="inlineStr">
        <is>
          <t>STOCKHOLMS LÄN</t>
        </is>
      </c>
      <c r="G849" t="inlineStr">
        <is>
          <t>NORRTÄLJE</t>
        </is>
      </c>
      <c r="I849" t="n">
        <v>0.3</v>
      </c>
      <c r="J849" t="n">
        <v>0</v>
      </c>
      <c r="K849" t="n">
        <v>0</v>
      </c>
      <c r="L849" t="n">
        <v>0</v>
      </c>
      <c r="M849" t="n">
        <v>0</v>
      </c>
      <c r="N849" t="n">
        <v>0</v>
      </c>
      <c r="O849" t="n">
        <v>0</v>
      </c>
      <c r="P849" t="n">
        <v>0</v>
      </c>
      <c r="Q849" t="n">
        <v>0</v>
      </c>
      <c r="R849" t="n">
        <v>0</v>
      </c>
      <c r="S849" t="n">
        <v>0</v>
      </c>
      <c r="T849" t="n">
        <v>0</v>
      </c>
      <c r="U849" s="2" t="inlineStr"/>
    </row>
    <row r="850" ht="15" customHeight="1">
      <c r="A850" t="inlineStr">
        <is>
          <t>A 4658-2024</t>
        </is>
      </c>
      <c r="B850" t="inlineStr">
        <is>
          <t>avverkningsanmälan</t>
        </is>
      </c>
      <c r="C850" t="inlineStr">
        <is>
          <t>Föryngringsavverkning</t>
        </is>
      </c>
      <c r="D850" s="1" t="n">
        <v>45328</v>
      </c>
      <c r="E850" s="1" t="n">
        <v>46221</v>
      </c>
      <c r="F850" t="inlineStr">
        <is>
          <t>STOCKHOLMS LÄN</t>
        </is>
      </c>
      <c r="G850" t="inlineStr">
        <is>
          <t>NORRTÄLJE</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10642-2025</t>
        </is>
      </c>
      <c r="B851" t="inlineStr">
        <is>
          <t>avverkningsanmälan</t>
        </is>
      </c>
      <c r="C851" t="inlineStr">
        <is>
          <t>Föryngringsavverkning</t>
        </is>
      </c>
      <c r="D851" s="1" t="n">
        <v>45721</v>
      </c>
      <c r="E851" s="1" t="n">
        <v>46221</v>
      </c>
      <c r="F851" t="inlineStr">
        <is>
          <t>STOCKHOLMS LÄN</t>
        </is>
      </c>
      <c r="G851" t="inlineStr">
        <is>
          <t>NORRTÄLJE</t>
        </is>
      </c>
      <c r="I851" t="n">
        <v>2.6</v>
      </c>
      <c r="J851" t="n">
        <v>0</v>
      </c>
      <c r="K851" t="n">
        <v>0</v>
      </c>
      <c r="L851" t="n">
        <v>0</v>
      </c>
      <c r="M851" t="n">
        <v>0</v>
      </c>
      <c r="N851" t="n">
        <v>0</v>
      </c>
      <c r="O851" t="n">
        <v>0</v>
      </c>
      <c r="P851" t="n">
        <v>0</v>
      </c>
      <c r="Q851" t="n">
        <v>0</v>
      </c>
      <c r="R851" t="n">
        <v>0</v>
      </c>
      <c r="S851" t="n">
        <v>0</v>
      </c>
      <c r="T851" t="n">
        <v>0</v>
      </c>
      <c r="U851" s="2" t="inlineStr"/>
    </row>
    <row r="852" ht="15" customHeight="1">
      <c r="A852" t="inlineStr">
        <is>
          <t>A 24024-2024</t>
        </is>
      </c>
      <c r="B852" t="inlineStr">
        <is>
          <t>avverkningsanmälan</t>
        </is>
      </c>
      <c r="C852" t="inlineStr">
        <is>
          <t>Föryngringsavverkning</t>
        </is>
      </c>
      <c r="D852" s="1" t="n">
        <v>45456</v>
      </c>
      <c r="E852" s="1" t="n">
        <v>46221</v>
      </c>
      <c r="F852" t="inlineStr">
        <is>
          <t>STOCKHOLMS LÄN</t>
        </is>
      </c>
      <c r="G852" t="inlineStr">
        <is>
          <t>NORRTÄLJE</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28404-2026</t>
        </is>
      </c>
      <c r="B853" t="inlineStr">
        <is>
          <t>avverkningsanmälan</t>
        </is>
      </c>
      <c r="C853" t="inlineStr">
        <is>
          <t>Föryngringsavverkning</t>
        </is>
      </c>
      <c r="D853" s="1" t="n">
        <v>46197</v>
      </c>
      <c r="E853" s="1" t="n">
        <v>46221</v>
      </c>
      <c r="F853" t="inlineStr">
        <is>
          <t>STOCKHOLMS LÄN</t>
        </is>
      </c>
      <c r="G853" t="inlineStr">
        <is>
          <t>NORRTÄLJE</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35532-2024</t>
        </is>
      </c>
      <c r="B854" t="inlineStr">
        <is>
          <t>avverkningsanmälan</t>
        </is>
      </c>
      <c r="C854" t="inlineStr">
        <is>
          <t>Föryngringsavverkning</t>
        </is>
      </c>
      <c r="D854" s="1" t="n">
        <v>45531</v>
      </c>
      <c r="E854" s="1" t="n">
        <v>46221</v>
      </c>
      <c r="F854" t="inlineStr">
        <is>
          <t>STOCKHOLMS LÄN</t>
        </is>
      </c>
      <c r="G854" t="inlineStr">
        <is>
          <t>NORRTÄLJE</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22618-2026</t>
        </is>
      </c>
      <c r="B855" t="inlineStr">
        <is>
          <t>avverkningsanmälan</t>
        </is>
      </c>
      <c r="C855" t="inlineStr">
        <is>
          <t>Föryngringsavverkning</t>
        </is>
      </c>
      <c r="D855" s="1" t="n">
        <v>46155</v>
      </c>
      <c r="E855" s="1" t="n">
        <v>46221</v>
      </c>
      <c r="F855" t="inlineStr">
        <is>
          <t>STOCKHOLMS LÄN</t>
        </is>
      </c>
      <c r="G855" t="inlineStr">
        <is>
          <t>NORRTÄLJE</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19118-2022</t>
        </is>
      </c>
      <c r="B856" t="inlineStr">
        <is>
          <t>avverkningsanmälan</t>
        </is>
      </c>
      <c r="C856" t="inlineStr">
        <is>
          <t>Föryngringsavverkning</t>
        </is>
      </c>
      <c r="D856" s="1" t="n">
        <v>44691</v>
      </c>
      <c r="E856" s="1" t="n">
        <v>46221</v>
      </c>
      <c r="F856" t="inlineStr">
        <is>
          <t>STOCKHOLMS LÄN</t>
        </is>
      </c>
      <c r="G856" t="inlineStr">
        <is>
          <t>NORRTÄLJE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28733-2026</t>
        </is>
      </c>
      <c r="B857" t="inlineStr">
        <is>
          <t>avverkningsanmälan</t>
        </is>
      </c>
      <c r="C857" t="inlineStr">
        <is>
          <t>Föryngringsavverkning</t>
        </is>
      </c>
      <c r="D857" s="1" t="n">
        <v>46198</v>
      </c>
      <c r="E857" s="1" t="n">
        <v>46221</v>
      </c>
      <c r="F857" t="inlineStr">
        <is>
          <t>STOCKHOLMS LÄN</t>
        </is>
      </c>
      <c r="G857" t="inlineStr">
        <is>
          <t>NORRTÄLJE</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59893-2022</t>
        </is>
      </c>
      <c r="B858" t="inlineStr">
        <is>
          <t>avverkningsanmälan</t>
        </is>
      </c>
      <c r="C858" t="inlineStr">
        <is>
          <t>Avverkning för att bevara och utveckla /försöksver</t>
        </is>
      </c>
      <c r="D858" s="1" t="n">
        <v>44908</v>
      </c>
      <c r="E858" s="1" t="n">
        <v>46221</v>
      </c>
      <c r="F858" t="inlineStr">
        <is>
          <t>STOCKHOLMS LÄN</t>
        </is>
      </c>
      <c r="G858" t="inlineStr">
        <is>
          <t>NORRTÄLJE</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33226-2024</t>
        </is>
      </c>
      <c r="B859" t="inlineStr">
        <is>
          <t>avverkningsanmälan</t>
        </is>
      </c>
      <c r="C859" t="inlineStr">
        <is>
          <t>Föryngringsavverkning</t>
        </is>
      </c>
      <c r="D859" s="1" t="n">
        <v>45518</v>
      </c>
      <c r="E859" s="1" t="n">
        <v>46221</v>
      </c>
      <c r="F859" t="inlineStr">
        <is>
          <t>STOCKHOLMS LÄN</t>
        </is>
      </c>
      <c r="G859" t="inlineStr">
        <is>
          <t>NORRTÄLJE</t>
        </is>
      </c>
      <c r="I859" t="n">
        <v>13.8</v>
      </c>
      <c r="J859" t="n">
        <v>0</v>
      </c>
      <c r="K859" t="n">
        <v>0</v>
      </c>
      <c r="L859" t="n">
        <v>0</v>
      </c>
      <c r="M859" t="n">
        <v>0</v>
      </c>
      <c r="N859" t="n">
        <v>0</v>
      </c>
      <c r="O859" t="n">
        <v>0</v>
      </c>
      <c r="P859" t="n">
        <v>0</v>
      </c>
      <c r="Q859" t="n">
        <v>0</v>
      </c>
      <c r="R859" t="n">
        <v>0</v>
      </c>
      <c r="S859" t="n">
        <v>0</v>
      </c>
      <c r="T859" t="n">
        <v>0</v>
      </c>
      <c r="U859" s="2" t="inlineStr"/>
    </row>
    <row r="860" ht="15" customHeight="1">
      <c r="A860" t="inlineStr">
        <is>
          <t>A 28465-2026</t>
        </is>
      </c>
      <c r="B860" t="inlineStr">
        <is>
          <t>avverkningsanmälan</t>
        </is>
      </c>
      <c r="C860" t="inlineStr">
        <is>
          <t>Föryngringsavverkning</t>
        </is>
      </c>
      <c r="D860" s="1" t="n">
        <v>46197</v>
      </c>
      <c r="E860" s="1" t="n">
        <v>46221</v>
      </c>
      <c r="F860" t="inlineStr">
        <is>
          <t>STOCKHOLMS LÄN</t>
        </is>
      </c>
      <c r="G860" t="inlineStr">
        <is>
          <t>NORRTÄLJE</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16980-2023</t>
        </is>
      </c>
      <c r="B861" t="inlineStr">
        <is>
          <t>avverkningsanmälan</t>
        </is>
      </c>
      <c r="C861" t="inlineStr">
        <is>
          <t>Föryngringsavverkning</t>
        </is>
      </c>
      <c r="D861" s="1" t="n">
        <v>45033</v>
      </c>
      <c r="E861" s="1" t="n">
        <v>46221</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27813-2025</t>
        </is>
      </c>
      <c r="B862" t="inlineStr">
        <is>
          <t>avverkningsanmälan</t>
        </is>
      </c>
      <c r="C862" t="inlineStr">
        <is>
          <t>Föryngringsavverkning</t>
        </is>
      </c>
      <c r="D862" s="1" t="n">
        <v>45817</v>
      </c>
      <c r="E862" s="1" t="n">
        <v>46221</v>
      </c>
      <c r="F862" t="inlineStr">
        <is>
          <t>STOCKHOLMS LÄN</t>
        </is>
      </c>
      <c r="G862" t="inlineStr">
        <is>
          <t>NORRTÄLJE</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31107-2022</t>
        </is>
      </c>
      <c r="B863" t="inlineStr">
        <is>
          <t>avverkningsanmälan</t>
        </is>
      </c>
      <c r="C863" t="inlineStr">
        <is>
          <t>Föryngringsavverkning</t>
        </is>
      </c>
      <c r="D863" s="1" t="n">
        <v>44769</v>
      </c>
      <c r="E863" s="1" t="n">
        <v>46221</v>
      </c>
      <c r="F863" t="inlineStr">
        <is>
          <t>STOCKHOLMS LÄN</t>
        </is>
      </c>
      <c r="G863" t="inlineStr">
        <is>
          <t>NORRTÄLJE</t>
        </is>
      </c>
      <c r="I863" t="n">
        <v>3.8</v>
      </c>
      <c r="J863" t="n">
        <v>0</v>
      </c>
      <c r="K863" t="n">
        <v>0</v>
      </c>
      <c r="L863" t="n">
        <v>0</v>
      </c>
      <c r="M863" t="n">
        <v>0</v>
      </c>
      <c r="N863" t="n">
        <v>0</v>
      </c>
      <c r="O863" t="n">
        <v>0</v>
      </c>
      <c r="P863" t="n">
        <v>0</v>
      </c>
      <c r="Q863" t="n">
        <v>0</v>
      </c>
      <c r="R863" t="n">
        <v>0</v>
      </c>
      <c r="S863" t="n">
        <v>0</v>
      </c>
      <c r="T863" t="n">
        <v>0</v>
      </c>
      <c r="U863" s="2" t="inlineStr"/>
    </row>
    <row r="864" ht="15" customHeight="1">
      <c r="A864" t="inlineStr">
        <is>
          <t>A 43170-2023</t>
        </is>
      </c>
      <c r="B864" t="inlineStr">
        <is>
          <t>avverkningsanmälan</t>
        </is>
      </c>
      <c r="C864" t="inlineStr">
        <is>
          <t>Föryngringsavverkning</t>
        </is>
      </c>
      <c r="D864" s="1" t="n">
        <v>45183</v>
      </c>
      <c r="E864" s="1" t="n">
        <v>46221</v>
      </c>
      <c r="F864" t="inlineStr">
        <is>
          <t>STOCKHOLMS LÄN</t>
        </is>
      </c>
      <c r="G864" t="inlineStr">
        <is>
          <t>NORRTÄLJE</t>
        </is>
      </c>
      <c r="I864" t="n">
        <v>1.3</v>
      </c>
      <c r="J864" t="n">
        <v>0</v>
      </c>
      <c r="K864" t="n">
        <v>0</v>
      </c>
      <c r="L864" t="n">
        <v>0</v>
      </c>
      <c r="M864" t="n">
        <v>0</v>
      </c>
      <c r="N864" t="n">
        <v>0</v>
      </c>
      <c r="O864" t="n">
        <v>0</v>
      </c>
      <c r="P864" t="n">
        <v>0</v>
      </c>
      <c r="Q864" t="n">
        <v>0</v>
      </c>
      <c r="R864" t="n">
        <v>0</v>
      </c>
      <c r="S864" t="n">
        <v>0</v>
      </c>
      <c r="T864" t="n">
        <v>0</v>
      </c>
      <c r="U864" s="2" t="inlineStr"/>
    </row>
    <row r="865" ht="15" customHeight="1">
      <c r="A865" t="inlineStr">
        <is>
          <t>A 28403-2026</t>
        </is>
      </c>
      <c r="B865" t="inlineStr">
        <is>
          <t>avverkningsanmälan</t>
        </is>
      </c>
      <c r="C865" t="inlineStr">
        <is>
          <t>Föryngringsavverkning</t>
        </is>
      </c>
      <c r="D865" s="1" t="n">
        <v>46197</v>
      </c>
      <c r="E865" s="1" t="n">
        <v>46221</v>
      </c>
      <c r="F865" t="inlineStr">
        <is>
          <t>STOCKHOLMS LÄN</t>
        </is>
      </c>
      <c r="G865" t="inlineStr">
        <is>
          <t>NORRTÄLJE</t>
        </is>
      </c>
      <c r="I865" t="n">
        <v>3.6</v>
      </c>
      <c r="J865" t="n">
        <v>0</v>
      </c>
      <c r="K865" t="n">
        <v>0</v>
      </c>
      <c r="L865" t="n">
        <v>0</v>
      </c>
      <c r="M865" t="n">
        <v>0</v>
      </c>
      <c r="N865" t="n">
        <v>0</v>
      </c>
      <c r="O865" t="n">
        <v>0</v>
      </c>
      <c r="P865" t="n">
        <v>0</v>
      </c>
      <c r="Q865" t="n">
        <v>0</v>
      </c>
      <c r="R865" t="n">
        <v>0</v>
      </c>
      <c r="S865" t="n">
        <v>0</v>
      </c>
      <c r="T865" t="n">
        <v>0</v>
      </c>
      <c r="U865" s="2" t="inlineStr"/>
    </row>
    <row r="866" ht="15" customHeight="1">
      <c r="A866" t="inlineStr">
        <is>
          <t>A 47626-2022</t>
        </is>
      </c>
      <c r="B866" t="inlineStr">
        <is>
          <t>avverkningsanmälan</t>
        </is>
      </c>
      <c r="C866" t="inlineStr">
        <is>
          <t>Föryngringsavverkning</t>
        </is>
      </c>
      <c r="D866" s="1" t="n">
        <v>44854</v>
      </c>
      <c r="E866" s="1" t="n">
        <v>46221</v>
      </c>
      <c r="F866" t="inlineStr">
        <is>
          <t>STOCKHOLMS LÄN</t>
        </is>
      </c>
      <c r="G866" t="inlineStr">
        <is>
          <t>NORRTÄLJE</t>
        </is>
      </c>
      <c r="I866" t="n">
        <v>2</v>
      </c>
      <c r="J866" t="n">
        <v>0</v>
      </c>
      <c r="K866" t="n">
        <v>0</v>
      </c>
      <c r="L866" t="n">
        <v>0</v>
      </c>
      <c r="M866" t="n">
        <v>0</v>
      </c>
      <c r="N866" t="n">
        <v>0</v>
      </c>
      <c r="O866" t="n">
        <v>0</v>
      </c>
      <c r="P866" t="n">
        <v>0</v>
      </c>
      <c r="Q866" t="n">
        <v>0</v>
      </c>
      <c r="R866" t="n">
        <v>0</v>
      </c>
      <c r="S866" t="n">
        <v>0</v>
      </c>
      <c r="T866" t="n">
        <v>0</v>
      </c>
      <c r="U866" s="2" t="inlineStr"/>
    </row>
    <row r="867" ht="15" customHeight="1">
      <c r="A867" t="inlineStr">
        <is>
          <t>A 32101-2022</t>
        </is>
      </c>
      <c r="B867" t="inlineStr">
        <is>
          <t>avverkningsanmälan</t>
        </is>
      </c>
      <c r="C867" t="inlineStr">
        <is>
          <t>Föryngringsavverkning</t>
        </is>
      </c>
      <c r="D867" s="1" t="n">
        <v>44778</v>
      </c>
      <c r="E867" s="1" t="n">
        <v>46221</v>
      </c>
      <c r="F867" t="inlineStr">
        <is>
          <t>STOCKHOLMS LÄN</t>
        </is>
      </c>
      <c r="G867" t="inlineStr">
        <is>
          <t>NORRTÄLJE</t>
        </is>
      </c>
      <c r="I867" t="n">
        <v>4.4</v>
      </c>
      <c r="J867" t="n">
        <v>0</v>
      </c>
      <c r="K867" t="n">
        <v>0</v>
      </c>
      <c r="L867" t="n">
        <v>0</v>
      </c>
      <c r="M867" t="n">
        <v>0</v>
      </c>
      <c r="N867" t="n">
        <v>0</v>
      </c>
      <c r="O867" t="n">
        <v>0</v>
      </c>
      <c r="P867" t="n">
        <v>0</v>
      </c>
      <c r="Q867" t="n">
        <v>0</v>
      </c>
      <c r="R867" t="n">
        <v>0</v>
      </c>
      <c r="S867" t="n">
        <v>0</v>
      </c>
      <c r="T867" t="n">
        <v>0</v>
      </c>
      <c r="U867" s="2" t="inlineStr"/>
    </row>
    <row r="868" ht="15" customHeight="1">
      <c r="A868" t="inlineStr">
        <is>
          <t>A 42867-2022</t>
        </is>
      </c>
      <c r="B868" t="inlineStr">
        <is>
          <t>avverkningsanmälan</t>
        </is>
      </c>
      <c r="C868" t="inlineStr">
        <is>
          <t>Föryngringsavverkning</t>
        </is>
      </c>
      <c r="D868" s="1" t="n">
        <v>44832</v>
      </c>
      <c r="E868" s="1" t="n">
        <v>46221</v>
      </c>
      <c r="F868" t="inlineStr">
        <is>
          <t>STOCKHOLMS LÄN</t>
        </is>
      </c>
      <c r="G868" t="inlineStr">
        <is>
          <t>NORRTÄLJE</t>
        </is>
      </c>
      <c r="I868" t="n">
        <v>6.4</v>
      </c>
      <c r="J868" t="n">
        <v>0</v>
      </c>
      <c r="K868" t="n">
        <v>0</v>
      </c>
      <c r="L868" t="n">
        <v>0</v>
      </c>
      <c r="M868" t="n">
        <v>0</v>
      </c>
      <c r="N868" t="n">
        <v>0</v>
      </c>
      <c r="O868" t="n">
        <v>0</v>
      </c>
      <c r="P868" t="n">
        <v>0</v>
      </c>
      <c r="Q868" t="n">
        <v>0</v>
      </c>
      <c r="R868" t="n">
        <v>0</v>
      </c>
      <c r="S868" t="n">
        <v>0</v>
      </c>
      <c r="T868" t="n">
        <v>0</v>
      </c>
      <c r="U868" s="2" t="inlineStr"/>
    </row>
    <row r="869" ht="15" customHeight="1">
      <c r="A869" t="inlineStr">
        <is>
          <t>A 51121-2025</t>
        </is>
      </c>
      <c r="B869" t="inlineStr">
        <is>
          <t>avverkningsanmälan</t>
        </is>
      </c>
      <c r="C869" t="inlineStr">
        <is>
          <t>Föryngringsavverkning</t>
        </is>
      </c>
      <c r="D869" s="1" t="n">
        <v>45947</v>
      </c>
      <c r="E869" s="1" t="n">
        <v>46221</v>
      </c>
      <c r="F869" t="inlineStr">
        <is>
          <t>STOCKHOLMS LÄN</t>
        </is>
      </c>
      <c r="G869" t="inlineStr">
        <is>
          <t>NORRTÄLJE</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17775-2022</t>
        </is>
      </c>
      <c r="B870" t="inlineStr">
        <is>
          <t>avverkningsanmälan</t>
        </is>
      </c>
      <c r="C870" t="inlineStr">
        <is>
          <t>Föryngringsavverkning</t>
        </is>
      </c>
      <c r="D870" s="1" t="n">
        <v>44682</v>
      </c>
      <c r="E870" s="1" t="n">
        <v>46221</v>
      </c>
      <c r="F870" t="inlineStr">
        <is>
          <t>STOCKHOLMS LÄN</t>
        </is>
      </c>
      <c r="G870" t="inlineStr">
        <is>
          <t>NORRTÄLJE</t>
        </is>
      </c>
      <c r="I870" t="n">
        <v>4.7</v>
      </c>
      <c r="J870" t="n">
        <v>0</v>
      </c>
      <c r="K870" t="n">
        <v>0</v>
      </c>
      <c r="L870" t="n">
        <v>0</v>
      </c>
      <c r="M870" t="n">
        <v>0</v>
      </c>
      <c r="N870" t="n">
        <v>0</v>
      </c>
      <c r="O870" t="n">
        <v>0</v>
      </c>
      <c r="P870" t="n">
        <v>0</v>
      </c>
      <c r="Q870" t="n">
        <v>0</v>
      </c>
      <c r="R870" t="n">
        <v>0</v>
      </c>
      <c r="S870" t="n">
        <v>0</v>
      </c>
      <c r="T870" t="n">
        <v>0</v>
      </c>
      <c r="U870" s="2" t="inlineStr"/>
    </row>
    <row r="871" ht="15" customHeight="1">
      <c r="A871" t="inlineStr">
        <is>
          <t>A 47481-2024</t>
        </is>
      </c>
      <c r="B871" t="inlineStr">
        <is>
          <t>avverkningsanmälan</t>
        </is>
      </c>
      <c r="C871" t="inlineStr">
        <is>
          <t>Avverkning för annat ändamål</t>
        </is>
      </c>
      <c r="D871" s="1" t="n">
        <v>45587</v>
      </c>
      <c r="E871" s="1" t="n">
        <v>46221</v>
      </c>
      <c r="F871" t="inlineStr">
        <is>
          <t>STOCKHOLMS LÄN</t>
        </is>
      </c>
      <c r="G871" t="inlineStr">
        <is>
          <t>NORRTÄLJE</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24933-2023</t>
        </is>
      </c>
      <c r="B872" t="inlineStr">
        <is>
          <t>avverkningsanmälan</t>
        </is>
      </c>
      <c r="C872" t="inlineStr">
        <is>
          <t>Föryngringsavverkning</t>
        </is>
      </c>
      <c r="D872" s="1" t="n">
        <v>45085</v>
      </c>
      <c r="E872" s="1" t="n">
        <v>46221</v>
      </c>
      <c r="F872" t="inlineStr">
        <is>
          <t>STOCKHOLMS LÄN</t>
        </is>
      </c>
      <c r="G872" t="inlineStr">
        <is>
          <t>NORRTÄLJE</t>
        </is>
      </c>
      <c r="H872" t="inlineStr">
        <is>
          <t>Holmen skog AB</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576-2023</t>
        </is>
      </c>
      <c r="B873" t="inlineStr">
        <is>
          <t>avverkningsanmälan</t>
        </is>
      </c>
      <c r="C873" t="inlineStr">
        <is>
          <t>Föryngringsavverkning</t>
        </is>
      </c>
      <c r="D873" s="1" t="n">
        <v>44925</v>
      </c>
      <c r="E873" s="1" t="n">
        <v>46221</v>
      </c>
      <c r="F873" t="inlineStr">
        <is>
          <t>STOCKHOLMS LÄN</t>
        </is>
      </c>
      <c r="G873" t="inlineStr">
        <is>
          <t>NORRTÄLJE</t>
        </is>
      </c>
      <c r="I873" t="n">
        <v>7.2</v>
      </c>
      <c r="J873" t="n">
        <v>0</v>
      </c>
      <c r="K873" t="n">
        <v>0</v>
      </c>
      <c r="L873" t="n">
        <v>0</v>
      </c>
      <c r="M873" t="n">
        <v>0</v>
      </c>
      <c r="N873" t="n">
        <v>0</v>
      </c>
      <c r="O873" t="n">
        <v>0</v>
      </c>
      <c r="P873" t="n">
        <v>0</v>
      </c>
      <c r="Q873" t="n">
        <v>0</v>
      </c>
      <c r="R873" t="n">
        <v>0</v>
      </c>
      <c r="S873" t="n">
        <v>0</v>
      </c>
      <c r="T873" t="n">
        <v>0</v>
      </c>
      <c r="U873" s="2" t="inlineStr"/>
    </row>
    <row r="874" ht="15" customHeight="1">
      <c r="A874" t="inlineStr">
        <is>
          <t>A 50469-2022</t>
        </is>
      </c>
      <c r="B874" t="inlineStr">
        <is>
          <t>avverkningsanmälan</t>
        </is>
      </c>
      <c r="C874" t="inlineStr">
        <is>
          <t>Föryngringsavverkning</t>
        </is>
      </c>
      <c r="D874" s="1" t="n">
        <v>44866</v>
      </c>
      <c r="E874" s="1" t="n">
        <v>46221</v>
      </c>
      <c r="F874" t="inlineStr">
        <is>
          <t>STOCKHOLMS LÄN</t>
        </is>
      </c>
      <c r="G874" t="inlineStr">
        <is>
          <t>NORRTÄLJE</t>
        </is>
      </c>
      <c r="I874" t="n">
        <v>8.199999999999999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41976-2024</t>
        </is>
      </c>
      <c r="B875" t="inlineStr">
        <is>
          <t>avverkningsanmälan</t>
        </is>
      </c>
      <c r="C875" t="inlineStr">
        <is>
          <t>Avverkning för att bevara och utveckla /försöksver</t>
        </is>
      </c>
      <c r="D875" s="1" t="n">
        <v>45561</v>
      </c>
      <c r="E875" s="1" t="n">
        <v>46221</v>
      </c>
      <c r="F875" t="inlineStr">
        <is>
          <t>STOCKHOLMS LÄN</t>
        </is>
      </c>
      <c r="G875" t="inlineStr">
        <is>
          <t>NORRTÄLJE</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29557-2026</t>
        </is>
      </c>
      <c r="B876" t="inlineStr">
        <is>
          <t>avverkningsanmälan</t>
        </is>
      </c>
      <c r="C876" t="inlineStr">
        <is>
          <t>Föryngringsavverkning</t>
        </is>
      </c>
      <c r="D876" s="1" t="n">
        <v>46204</v>
      </c>
      <c r="E876" s="1" t="n">
        <v>46221</v>
      </c>
      <c r="F876" t="inlineStr">
        <is>
          <t>STOCKHOLMS LÄN</t>
        </is>
      </c>
      <c r="G876" t="inlineStr">
        <is>
          <t>NORRTÄLJE</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62206-2022</t>
        </is>
      </c>
      <c r="B877" t="inlineStr">
        <is>
          <t>avverkningsanmälan</t>
        </is>
      </c>
      <c r="C877" t="inlineStr">
        <is>
          <t>Avverkning för annat ändamål</t>
        </is>
      </c>
      <c r="D877" s="1" t="n">
        <v>44922</v>
      </c>
      <c r="E877" s="1" t="n">
        <v>46221</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s="2" t="inlineStr"/>
    </row>
    <row r="878" ht="15" customHeight="1">
      <c r="A878" t="inlineStr">
        <is>
          <t>A 16243-2026</t>
        </is>
      </c>
      <c r="B878" t="inlineStr">
        <is>
          <t>avverkningsanmälan</t>
        </is>
      </c>
      <c r="C878" t="inlineStr">
        <is>
          <t>Föryngringsavverkning</t>
        </is>
      </c>
      <c r="D878" s="1" t="n">
        <v>46111</v>
      </c>
      <c r="E878" s="1" t="n">
        <v>46221</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30886-2022</t>
        </is>
      </c>
      <c r="B879" t="inlineStr">
        <is>
          <t>avverkningsanmälan</t>
        </is>
      </c>
      <c r="C879" t="inlineStr">
        <is>
          <t>Föryngringsavverkning</t>
        </is>
      </c>
      <c r="D879" s="1" t="n">
        <v>44767</v>
      </c>
      <c r="E879" s="1" t="n">
        <v>46221</v>
      </c>
      <c r="F879" t="inlineStr">
        <is>
          <t>STOCKHOLMS LÄN</t>
        </is>
      </c>
      <c r="G879" t="inlineStr">
        <is>
          <t>NORRTÄLJE</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58989-2021</t>
        </is>
      </c>
      <c r="B880" t="inlineStr">
        <is>
          <t>avverkningsanmälan</t>
        </is>
      </c>
      <c r="C880" t="inlineStr">
        <is>
          <t>Föryngringsavverkning</t>
        </is>
      </c>
      <c r="D880" s="1" t="n">
        <v>44490</v>
      </c>
      <c r="E880" s="1" t="n">
        <v>46221</v>
      </c>
      <c r="F880" t="inlineStr">
        <is>
          <t>STOCKHOLMS LÄN</t>
        </is>
      </c>
      <c r="G880" t="inlineStr">
        <is>
          <t>NORRTÄLJE</t>
        </is>
      </c>
      <c r="I880" t="n">
        <v>0.3</v>
      </c>
      <c r="J880" t="n">
        <v>0</v>
      </c>
      <c r="K880" t="n">
        <v>0</v>
      </c>
      <c r="L880" t="n">
        <v>0</v>
      </c>
      <c r="M880" t="n">
        <v>0</v>
      </c>
      <c r="N880" t="n">
        <v>0</v>
      </c>
      <c r="O880" t="n">
        <v>0</v>
      </c>
      <c r="P880" t="n">
        <v>0</v>
      </c>
      <c r="Q880" t="n">
        <v>0</v>
      </c>
      <c r="R880" t="n">
        <v>0</v>
      </c>
      <c r="S880" t="n">
        <v>0</v>
      </c>
      <c r="T880" t="n">
        <v>0</v>
      </c>
      <c r="U880" s="2" t="inlineStr"/>
    </row>
    <row r="881" ht="15" customHeight="1">
      <c r="A881" t="inlineStr">
        <is>
          <t>A 58990-2021</t>
        </is>
      </c>
      <c r="B881" t="inlineStr">
        <is>
          <t>avverkningsanmälan</t>
        </is>
      </c>
      <c r="C881" t="inlineStr">
        <is>
          <t>Föryngringsavverkning</t>
        </is>
      </c>
      <c r="D881" s="1" t="n">
        <v>44490</v>
      </c>
      <c r="E881" s="1" t="n">
        <v>46221</v>
      </c>
      <c r="F881" t="inlineStr">
        <is>
          <t>STOCKHOLMS LÄN</t>
        </is>
      </c>
      <c r="G881" t="inlineStr">
        <is>
          <t>NORRTÄLJE</t>
        </is>
      </c>
      <c r="I881" t="n">
        <v>4.2</v>
      </c>
      <c r="J881" t="n">
        <v>0</v>
      </c>
      <c r="K881" t="n">
        <v>0</v>
      </c>
      <c r="L881" t="n">
        <v>0</v>
      </c>
      <c r="M881" t="n">
        <v>0</v>
      </c>
      <c r="N881" t="n">
        <v>0</v>
      </c>
      <c r="O881" t="n">
        <v>0</v>
      </c>
      <c r="P881" t="n">
        <v>0</v>
      </c>
      <c r="Q881" t="n">
        <v>0</v>
      </c>
      <c r="R881" t="n">
        <v>0</v>
      </c>
      <c r="S881" t="n">
        <v>0</v>
      </c>
      <c r="T881" t="n">
        <v>0</v>
      </c>
      <c r="U881" s="2" t="inlineStr"/>
    </row>
    <row r="882" ht="15" customHeight="1">
      <c r="A882" t="inlineStr">
        <is>
          <t>A 11940-2023</t>
        </is>
      </c>
      <c r="B882" t="inlineStr">
        <is>
          <t>avverkningsanmälan</t>
        </is>
      </c>
      <c r="C882" t="inlineStr">
        <is>
          <t>Avverkning för annat ändamål</t>
        </is>
      </c>
      <c r="D882" s="1" t="n">
        <v>44995</v>
      </c>
      <c r="E882" s="1" t="n">
        <v>46221</v>
      </c>
      <c r="F882" t="inlineStr">
        <is>
          <t>STOCKHOLMS LÄN</t>
        </is>
      </c>
      <c r="G882" t="inlineStr">
        <is>
          <t>NORRTÄLJE</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29266-2022</t>
        </is>
      </c>
      <c r="B883" t="inlineStr">
        <is>
          <t>avverkningsanmälan</t>
        </is>
      </c>
      <c r="C883" t="inlineStr">
        <is>
          <t>Föryngringsavverkning</t>
        </is>
      </c>
      <c r="D883" s="1" t="n">
        <v>44750</v>
      </c>
      <c r="E883" s="1" t="n">
        <v>46221</v>
      </c>
      <c r="F883" t="inlineStr">
        <is>
          <t>STOCKHOLMS LÄN</t>
        </is>
      </c>
      <c r="G883" t="inlineStr">
        <is>
          <t>NORRTÄLJE</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29278-2022</t>
        </is>
      </c>
      <c r="B884" t="inlineStr">
        <is>
          <t>avverkningsanmälan</t>
        </is>
      </c>
      <c r="C884" t="inlineStr">
        <is>
          <t>Avverkning för annat ändamål</t>
        </is>
      </c>
      <c r="D884" s="1" t="n">
        <v>44750</v>
      </c>
      <c r="E884" s="1" t="n">
        <v>46221</v>
      </c>
      <c r="F884" t="inlineStr">
        <is>
          <t>STOCKHOLMS LÄN</t>
        </is>
      </c>
      <c r="G884" t="inlineStr">
        <is>
          <t>NORRTÄLJE</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6401-2024</t>
        </is>
      </c>
      <c r="B885" t="inlineStr">
        <is>
          <t>avverkningsanmälan</t>
        </is>
      </c>
      <c r="C885" t="inlineStr">
        <is>
          <t>Föryngringsavverkning</t>
        </is>
      </c>
      <c r="D885" s="1" t="n">
        <v>45338</v>
      </c>
      <c r="E885" s="1" t="n">
        <v>46221</v>
      </c>
      <c r="F885" t="inlineStr">
        <is>
          <t>STOCKHOLMS LÄN</t>
        </is>
      </c>
      <c r="G885" t="inlineStr">
        <is>
          <t>NORRTÄLJE</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38720-2025</t>
        </is>
      </c>
      <c r="B886" t="inlineStr">
        <is>
          <t>avverkningsanmälan</t>
        </is>
      </c>
      <c r="C886" t="inlineStr">
        <is>
          <t>Föryngringsavverkning</t>
        </is>
      </c>
      <c r="D886" s="1" t="n">
        <v>45886</v>
      </c>
      <c r="E886" s="1" t="n">
        <v>46221</v>
      </c>
      <c r="F886" t="inlineStr">
        <is>
          <t>STOCKHOLMS LÄN</t>
        </is>
      </c>
      <c r="G886" t="inlineStr">
        <is>
          <t>NORRTÄLJE</t>
        </is>
      </c>
      <c r="I886" t="n">
        <v>1.6</v>
      </c>
      <c r="J886" t="n">
        <v>0</v>
      </c>
      <c r="K886" t="n">
        <v>0</v>
      </c>
      <c r="L886" t="n">
        <v>0</v>
      </c>
      <c r="M886" t="n">
        <v>0</v>
      </c>
      <c r="N886" t="n">
        <v>0</v>
      </c>
      <c r="O886" t="n">
        <v>0</v>
      </c>
      <c r="P886" t="n">
        <v>0</v>
      </c>
      <c r="Q886" t="n">
        <v>0</v>
      </c>
      <c r="R886" t="n">
        <v>0</v>
      </c>
      <c r="S886" t="n">
        <v>0</v>
      </c>
      <c r="T886" t="n">
        <v>0</v>
      </c>
      <c r="U886" s="2" t="inlineStr"/>
    </row>
    <row r="887" ht="15" customHeight="1">
      <c r="A887" t="inlineStr">
        <is>
          <t>A 29381-2026</t>
        </is>
      </c>
      <c r="B887" t="inlineStr">
        <is>
          <t>avverkningsanmälan</t>
        </is>
      </c>
      <c r="C887" t="inlineStr">
        <is>
          <t>Föryngringsavverkning</t>
        </is>
      </c>
      <c r="D887" s="1" t="n">
        <v>46203</v>
      </c>
      <c r="E887" s="1" t="n">
        <v>46221</v>
      </c>
      <c r="F887" t="inlineStr">
        <is>
          <t>STOCKHOLMS LÄN</t>
        </is>
      </c>
      <c r="G887" t="inlineStr">
        <is>
          <t>NORRTÄLJE</t>
        </is>
      </c>
      <c r="I887" t="n">
        <v>5.3</v>
      </c>
      <c r="J887" t="n">
        <v>0</v>
      </c>
      <c r="K887" t="n">
        <v>0</v>
      </c>
      <c r="L887" t="n">
        <v>0</v>
      </c>
      <c r="M887" t="n">
        <v>0</v>
      </c>
      <c r="N887" t="n">
        <v>0</v>
      </c>
      <c r="O887" t="n">
        <v>0</v>
      </c>
      <c r="P887" t="n">
        <v>0</v>
      </c>
      <c r="Q887" t="n">
        <v>0</v>
      </c>
      <c r="R887" t="n">
        <v>0</v>
      </c>
      <c r="S887" t="n">
        <v>0</v>
      </c>
      <c r="T887" t="n">
        <v>0</v>
      </c>
      <c r="U887" s="2" t="inlineStr"/>
    </row>
    <row r="888" ht="15" customHeight="1">
      <c r="A888" t="inlineStr">
        <is>
          <t>A 24501-2023</t>
        </is>
      </c>
      <c r="B888" t="inlineStr">
        <is>
          <t>avverkningsanmälan</t>
        </is>
      </c>
      <c r="C888" t="inlineStr">
        <is>
          <t>Föryngringsavverkning</t>
        </is>
      </c>
      <c r="D888" s="1" t="n">
        <v>45082</v>
      </c>
      <c r="E888" s="1" t="n">
        <v>46221</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24520-2023</t>
        </is>
      </c>
      <c r="B889" t="inlineStr">
        <is>
          <t>avverkningsanmälan</t>
        </is>
      </c>
      <c r="C889" t="inlineStr">
        <is>
          <t>Föryngringsavverkning</t>
        </is>
      </c>
      <c r="D889" s="1" t="n">
        <v>45082</v>
      </c>
      <c r="E889" s="1" t="n">
        <v>46221</v>
      </c>
      <c r="F889" t="inlineStr">
        <is>
          <t>STOCKHOLMS LÄN</t>
        </is>
      </c>
      <c r="G889" t="inlineStr">
        <is>
          <t>NORRTÄLJE</t>
        </is>
      </c>
      <c r="I889" t="n">
        <v>4.3</v>
      </c>
      <c r="J889" t="n">
        <v>0</v>
      </c>
      <c r="K889" t="n">
        <v>0</v>
      </c>
      <c r="L889" t="n">
        <v>0</v>
      </c>
      <c r="M889" t="n">
        <v>0</v>
      </c>
      <c r="N889" t="n">
        <v>0</v>
      </c>
      <c r="O889" t="n">
        <v>0</v>
      </c>
      <c r="P889" t="n">
        <v>0</v>
      </c>
      <c r="Q889" t="n">
        <v>0</v>
      </c>
      <c r="R889" t="n">
        <v>0</v>
      </c>
      <c r="S889" t="n">
        <v>0</v>
      </c>
      <c r="T889" t="n">
        <v>0</v>
      </c>
      <c r="U889" s="2" t="inlineStr"/>
    </row>
    <row r="890" ht="15" customHeight="1">
      <c r="A890" t="inlineStr">
        <is>
          <t>A 44311-2025</t>
        </is>
      </c>
      <c r="B890" t="inlineStr">
        <is>
          <t>avverkningsanmälan</t>
        </is>
      </c>
      <c r="C890" t="inlineStr">
        <is>
          <t>Avverkning för att bevara och utveckla /försöksver</t>
        </is>
      </c>
      <c r="D890" s="1" t="n">
        <v>45916</v>
      </c>
      <c r="E890" s="1" t="n">
        <v>46221</v>
      </c>
      <c r="F890" t="inlineStr">
        <is>
          <t>STOCKHOLMS LÄN</t>
        </is>
      </c>
      <c r="G890" t="inlineStr">
        <is>
          <t>NORRTÄLJE</t>
        </is>
      </c>
      <c r="I890" t="n">
        <v>8.199999999999999</v>
      </c>
      <c r="J890" t="n">
        <v>0</v>
      </c>
      <c r="K890" t="n">
        <v>0</v>
      </c>
      <c r="L890" t="n">
        <v>0</v>
      </c>
      <c r="M890" t="n">
        <v>0</v>
      </c>
      <c r="N890" t="n">
        <v>0</v>
      </c>
      <c r="O890" t="n">
        <v>0</v>
      </c>
      <c r="P890" t="n">
        <v>0</v>
      </c>
      <c r="Q890" t="n">
        <v>0</v>
      </c>
      <c r="R890" t="n">
        <v>0</v>
      </c>
      <c r="S890" t="n">
        <v>0</v>
      </c>
      <c r="T890" t="n">
        <v>0</v>
      </c>
      <c r="U890" s="2" t="inlineStr"/>
    </row>
    <row r="891" ht="15" customHeight="1">
      <c r="A891" t="inlineStr">
        <is>
          <t>A 29396-2026</t>
        </is>
      </c>
      <c r="B891" t="inlineStr">
        <is>
          <t>avverkningsanmälan</t>
        </is>
      </c>
      <c r="C891" t="inlineStr">
        <is>
          <t>Föryngringsavverkning</t>
        </is>
      </c>
      <c r="D891" s="1" t="n">
        <v>46203</v>
      </c>
      <c r="E891" s="1" t="n">
        <v>46221</v>
      </c>
      <c r="F891" t="inlineStr">
        <is>
          <t>STOCKHOLMS LÄN</t>
        </is>
      </c>
      <c r="G891" t="inlineStr">
        <is>
          <t>NORRTÄLJE</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26117-2024</t>
        </is>
      </c>
      <c r="B892" t="inlineStr">
        <is>
          <t>avverkningsanmälan</t>
        </is>
      </c>
      <c r="C892" t="inlineStr">
        <is>
          <t>Föryngringsavverkning</t>
        </is>
      </c>
      <c r="D892" s="1" t="n">
        <v>45468</v>
      </c>
      <c r="E892" s="1" t="n">
        <v>46221</v>
      </c>
      <c r="F892" t="inlineStr">
        <is>
          <t>STOCKHOLMS LÄN</t>
        </is>
      </c>
      <c r="G892" t="inlineStr">
        <is>
          <t>NORRTÄLJE</t>
        </is>
      </c>
      <c r="I892" t="n">
        <v>2.4</v>
      </c>
      <c r="J892" t="n">
        <v>0</v>
      </c>
      <c r="K892" t="n">
        <v>0</v>
      </c>
      <c r="L892" t="n">
        <v>0</v>
      </c>
      <c r="M892" t="n">
        <v>0</v>
      </c>
      <c r="N892" t="n">
        <v>0</v>
      </c>
      <c r="O892" t="n">
        <v>0</v>
      </c>
      <c r="P892" t="n">
        <v>0</v>
      </c>
      <c r="Q892" t="n">
        <v>0</v>
      </c>
      <c r="R892" t="n">
        <v>0</v>
      </c>
      <c r="S892" t="n">
        <v>0</v>
      </c>
      <c r="T892" t="n">
        <v>0</v>
      </c>
      <c r="U892" s="2" t="inlineStr"/>
    </row>
    <row r="893" ht="15" customHeight="1">
      <c r="A893" t="inlineStr">
        <is>
          <t>A 61113-2023</t>
        </is>
      </c>
      <c r="B893" t="inlineStr">
        <is>
          <t>avverkningsanmälan</t>
        </is>
      </c>
      <c r="C893" t="inlineStr">
        <is>
          <t>Föryngringsavverkning</t>
        </is>
      </c>
      <c r="D893" s="1" t="n">
        <v>45261</v>
      </c>
      <c r="E893" s="1" t="n">
        <v>46221</v>
      </c>
      <c r="F893" t="inlineStr">
        <is>
          <t>STOCKHOLMS LÄN</t>
        </is>
      </c>
      <c r="G893" t="inlineStr">
        <is>
          <t>NORRTÄLJE</t>
        </is>
      </c>
      <c r="I893" t="n">
        <v>1.1</v>
      </c>
      <c r="J893" t="n">
        <v>0</v>
      </c>
      <c r="K893" t="n">
        <v>0</v>
      </c>
      <c r="L893" t="n">
        <v>0</v>
      </c>
      <c r="M893" t="n">
        <v>0</v>
      </c>
      <c r="N893" t="n">
        <v>0</v>
      </c>
      <c r="O893" t="n">
        <v>0</v>
      </c>
      <c r="P893" t="n">
        <v>0</v>
      </c>
      <c r="Q893" t="n">
        <v>0</v>
      </c>
      <c r="R893" t="n">
        <v>0</v>
      </c>
      <c r="S893" t="n">
        <v>0</v>
      </c>
      <c r="T893" t="n">
        <v>0</v>
      </c>
      <c r="U893" s="2" t="inlineStr"/>
    </row>
    <row r="894" ht="15" customHeight="1">
      <c r="A894" t="inlineStr">
        <is>
          <t>A 29738-2026</t>
        </is>
      </c>
      <c r="B894" t="inlineStr">
        <is>
          <t>avverkningsanmälan</t>
        </is>
      </c>
      <c r="C894" t="inlineStr">
        <is>
          <t>Föryngringsavverkning</t>
        </is>
      </c>
      <c r="D894" s="1" t="n">
        <v>46204</v>
      </c>
      <c r="E894" s="1" t="n">
        <v>46221</v>
      </c>
      <c r="F894" t="inlineStr">
        <is>
          <t>STOCKHOLMS LÄN</t>
        </is>
      </c>
      <c r="G894" t="inlineStr">
        <is>
          <t>NORRTÄLJE</t>
        </is>
      </c>
      <c r="I894" t="n">
        <v>3.3</v>
      </c>
      <c r="J894" t="n">
        <v>0</v>
      </c>
      <c r="K894" t="n">
        <v>0</v>
      </c>
      <c r="L894" t="n">
        <v>0</v>
      </c>
      <c r="M894" t="n">
        <v>0</v>
      </c>
      <c r="N894" t="n">
        <v>0</v>
      </c>
      <c r="O894" t="n">
        <v>0</v>
      </c>
      <c r="P894" t="n">
        <v>0</v>
      </c>
      <c r="Q894" t="n">
        <v>0</v>
      </c>
      <c r="R894" t="n">
        <v>0</v>
      </c>
      <c r="S894" t="n">
        <v>0</v>
      </c>
      <c r="T894" t="n">
        <v>0</v>
      </c>
      <c r="U894" s="2" t="inlineStr"/>
    </row>
    <row r="895" ht="15" customHeight="1">
      <c r="A895" t="inlineStr">
        <is>
          <t>A 29330-2026</t>
        </is>
      </c>
      <c r="B895" t="inlineStr">
        <is>
          <t>avverkningsanmälan</t>
        </is>
      </c>
      <c r="C895" t="inlineStr">
        <is>
          <t>Föryngringsavverkning</t>
        </is>
      </c>
      <c r="D895" s="1" t="n">
        <v>46202</v>
      </c>
      <c r="E895" s="1" t="n">
        <v>46221</v>
      </c>
      <c r="F895" t="inlineStr">
        <is>
          <t>STOCKHOLMS LÄN</t>
        </is>
      </c>
      <c r="G895" t="inlineStr">
        <is>
          <t>NORRTÄLJE</t>
        </is>
      </c>
      <c r="I895" t="n">
        <v>1.1</v>
      </c>
      <c r="J895" t="n">
        <v>0</v>
      </c>
      <c r="K895" t="n">
        <v>0</v>
      </c>
      <c r="L895" t="n">
        <v>0</v>
      </c>
      <c r="M895" t="n">
        <v>0</v>
      </c>
      <c r="N895" t="n">
        <v>0</v>
      </c>
      <c r="O895" t="n">
        <v>0</v>
      </c>
      <c r="P895" t="n">
        <v>0</v>
      </c>
      <c r="Q895" t="n">
        <v>0</v>
      </c>
      <c r="R895" t="n">
        <v>0</v>
      </c>
      <c r="S895" t="n">
        <v>0</v>
      </c>
      <c r="T895" t="n">
        <v>0</v>
      </c>
      <c r="U895" s="2" t="inlineStr"/>
    </row>
    <row r="896" ht="15" customHeight="1">
      <c r="A896" t="inlineStr">
        <is>
          <t>A 59310-2023</t>
        </is>
      </c>
      <c r="B896" t="inlineStr">
        <is>
          <t>avverkningsanmälan</t>
        </is>
      </c>
      <c r="C896" t="inlineStr">
        <is>
          <t>Föryngringsavverkning</t>
        </is>
      </c>
      <c r="D896" s="1" t="n">
        <v>45253</v>
      </c>
      <c r="E896" s="1" t="n">
        <v>46221</v>
      </c>
      <c r="F896" t="inlineStr">
        <is>
          <t>STOCKHOLMS LÄN</t>
        </is>
      </c>
      <c r="G896" t="inlineStr">
        <is>
          <t>NORRTÄLJE</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27821-2025</t>
        </is>
      </c>
      <c r="B897" t="inlineStr">
        <is>
          <t>avverkningsanmälan</t>
        </is>
      </c>
      <c r="C897" t="inlineStr">
        <is>
          <t>Föryngringsavverkning</t>
        </is>
      </c>
      <c r="D897" s="1" t="n">
        <v>45817</v>
      </c>
      <c r="E897" s="1" t="n">
        <v>46221</v>
      </c>
      <c r="F897" t="inlineStr">
        <is>
          <t>STOCKHOLMS LÄN</t>
        </is>
      </c>
      <c r="G897" t="inlineStr">
        <is>
          <t>NORRTÄLJE</t>
        </is>
      </c>
      <c r="I897" t="n">
        <v>3.2</v>
      </c>
      <c r="J897" t="n">
        <v>0</v>
      </c>
      <c r="K897" t="n">
        <v>0</v>
      </c>
      <c r="L897" t="n">
        <v>0</v>
      </c>
      <c r="M897" t="n">
        <v>0</v>
      </c>
      <c r="N897" t="n">
        <v>0</v>
      </c>
      <c r="O897" t="n">
        <v>0</v>
      </c>
      <c r="P897" t="n">
        <v>0</v>
      </c>
      <c r="Q897" t="n">
        <v>0</v>
      </c>
      <c r="R897" t="n">
        <v>0</v>
      </c>
      <c r="S897" t="n">
        <v>0</v>
      </c>
      <c r="T897" t="n">
        <v>0</v>
      </c>
      <c r="U897" s="2" t="inlineStr"/>
    </row>
    <row r="898" ht="15" customHeight="1">
      <c r="A898" t="inlineStr">
        <is>
          <t>A 55010-2024</t>
        </is>
      </c>
      <c r="B898" t="inlineStr">
        <is>
          <t>avverkningsanmälan</t>
        </is>
      </c>
      <c r="C898" t="inlineStr">
        <is>
          <t>Föryngringsavverkning</t>
        </is>
      </c>
      <c r="D898" s="1" t="n">
        <v>45621</v>
      </c>
      <c r="E898" s="1" t="n">
        <v>46221</v>
      </c>
      <c r="F898" t="inlineStr">
        <is>
          <t>STOCKHOLMS LÄN</t>
        </is>
      </c>
      <c r="G898" t="inlineStr">
        <is>
          <t>NORRTÄLJE</t>
        </is>
      </c>
      <c r="H898" t="inlineStr">
        <is>
          <t>Sveaskog</t>
        </is>
      </c>
      <c r="I898" t="n">
        <v>5.7</v>
      </c>
      <c r="J898" t="n">
        <v>0</v>
      </c>
      <c r="K898" t="n">
        <v>0</v>
      </c>
      <c r="L898" t="n">
        <v>0</v>
      </c>
      <c r="M898" t="n">
        <v>0</v>
      </c>
      <c r="N898" t="n">
        <v>0</v>
      </c>
      <c r="O898" t="n">
        <v>0</v>
      </c>
      <c r="P898" t="n">
        <v>0</v>
      </c>
      <c r="Q898" t="n">
        <v>0</v>
      </c>
      <c r="R898" t="n">
        <v>0</v>
      </c>
      <c r="S898" t="n">
        <v>0</v>
      </c>
      <c r="T898" t="n">
        <v>0</v>
      </c>
      <c r="U898" s="2" t="inlineStr"/>
    </row>
    <row r="899" ht="15" customHeight="1">
      <c r="A899" t="inlineStr">
        <is>
          <t>A 55018-2024</t>
        </is>
      </c>
      <c r="B899" t="inlineStr">
        <is>
          <t>avverkningsanmälan</t>
        </is>
      </c>
      <c r="C899" t="inlineStr">
        <is>
          <t>Föryngringsavverkning</t>
        </is>
      </c>
      <c r="D899" s="1" t="n">
        <v>45621</v>
      </c>
      <c r="E899" s="1" t="n">
        <v>46221</v>
      </c>
      <c r="F899" t="inlineStr">
        <is>
          <t>STOCKHOLMS LÄN</t>
        </is>
      </c>
      <c r="G899" t="inlineStr">
        <is>
          <t>NORRTÄLJE</t>
        </is>
      </c>
      <c r="H899" t="inlineStr">
        <is>
          <t>Sveaskog</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1847-2023</t>
        </is>
      </c>
      <c r="B900" t="inlineStr">
        <is>
          <t>avverkningsanmälan</t>
        </is>
      </c>
      <c r="C900" t="inlineStr">
        <is>
          <t>Föryngringsavverkning</t>
        </is>
      </c>
      <c r="D900" s="1" t="n">
        <v>44938</v>
      </c>
      <c r="E900" s="1" t="n">
        <v>46221</v>
      </c>
      <c r="F900" t="inlineStr">
        <is>
          <t>STOCKHOLMS LÄN</t>
        </is>
      </c>
      <c r="G900" t="inlineStr">
        <is>
          <t>NORRTÄLJE</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29362-2022</t>
        </is>
      </c>
      <c r="B901" t="inlineStr">
        <is>
          <t>avverkningsanmälan</t>
        </is>
      </c>
      <c r="C901" t="inlineStr">
        <is>
          <t>Föryngringsavverkning</t>
        </is>
      </c>
      <c r="D901" s="1" t="n">
        <v>44753</v>
      </c>
      <c r="E901" s="1" t="n">
        <v>46221</v>
      </c>
      <c r="F901" t="inlineStr">
        <is>
          <t>STOCKHOLMS LÄN</t>
        </is>
      </c>
      <c r="G901" t="inlineStr">
        <is>
          <t>NORRTÄLJE</t>
        </is>
      </c>
      <c r="I901" t="n">
        <v>3.8</v>
      </c>
      <c r="J901" t="n">
        <v>0</v>
      </c>
      <c r="K901" t="n">
        <v>0</v>
      </c>
      <c r="L901" t="n">
        <v>0</v>
      </c>
      <c r="M901" t="n">
        <v>0</v>
      </c>
      <c r="N901" t="n">
        <v>0</v>
      </c>
      <c r="O901" t="n">
        <v>0</v>
      </c>
      <c r="P901" t="n">
        <v>0</v>
      </c>
      <c r="Q901" t="n">
        <v>0</v>
      </c>
      <c r="R901" t="n">
        <v>0</v>
      </c>
      <c r="S901" t="n">
        <v>0</v>
      </c>
      <c r="T901" t="n">
        <v>0</v>
      </c>
      <c r="U901" s="2" t="inlineStr"/>
    </row>
    <row r="902" ht="15" customHeight="1">
      <c r="A902" t="inlineStr">
        <is>
          <t>A 20291-2022</t>
        </is>
      </c>
      <c r="B902" t="inlineStr">
        <is>
          <t>avverkningsanmälan</t>
        </is>
      </c>
      <c r="C902" t="inlineStr">
        <is>
          <t>Föryngringsavverkning</t>
        </is>
      </c>
      <c r="D902" s="1" t="n">
        <v>44698</v>
      </c>
      <c r="E902" s="1" t="n">
        <v>46221</v>
      </c>
      <c r="F902" t="inlineStr">
        <is>
          <t>STOCKHOLMS LÄN</t>
        </is>
      </c>
      <c r="G902" t="inlineStr">
        <is>
          <t>NORRTÄLJE</t>
        </is>
      </c>
      <c r="H902" t="inlineStr">
        <is>
          <t>Naturvårdsverket</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31926-2022</t>
        </is>
      </c>
      <c r="B903" t="inlineStr">
        <is>
          <t>avverkningsanmälan</t>
        </is>
      </c>
      <c r="C903" t="inlineStr">
        <is>
          <t>Föryngringsavverkning</t>
        </is>
      </c>
      <c r="D903" s="1" t="n">
        <v>44777</v>
      </c>
      <c r="E903" s="1" t="n">
        <v>46221</v>
      </c>
      <c r="F903" t="inlineStr">
        <is>
          <t>STOCKHOLMS LÄN</t>
        </is>
      </c>
      <c r="G903" t="inlineStr">
        <is>
          <t>NORRTÄLJE</t>
        </is>
      </c>
      <c r="I903" t="n">
        <v>5.2</v>
      </c>
      <c r="J903" t="n">
        <v>0</v>
      </c>
      <c r="K903" t="n">
        <v>0</v>
      </c>
      <c r="L903" t="n">
        <v>0</v>
      </c>
      <c r="M903" t="n">
        <v>0</v>
      </c>
      <c r="N903" t="n">
        <v>0</v>
      </c>
      <c r="O903" t="n">
        <v>0</v>
      </c>
      <c r="P903" t="n">
        <v>0</v>
      </c>
      <c r="Q903" t="n">
        <v>0</v>
      </c>
      <c r="R903" t="n">
        <v>0</v>
      </c>
      <c r="S903" t="n">
        <v>0</v>
      </c>
      <c r="T903" t="n">
        <v>0</v>
      </c>
      <c r="U903" s="2" t="inlineStr"/>
    </row>
    <row r="904" ht="15" customHeight="1">
      <c r="A904" t="inlineStr">
        <is>
          <t>A 1425-2025</t>
        </is>
      </c>
      <c r="B904" t="inlineStr">
        <is>
          <t>avverkningsanmälan</t>
        </is>
      </c>
      <c r="C904" t="inlineStr">
        <is>
          <t>Föryngringsavverkning</t>
        </is>
      </c>
      <c r="D904" s="1" t="n">
        <v>45668</v>
      </c>
      <c r="E904" s="1" t="n">
        <v>46221</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1453-2025</t>
        </is>
      </c>
      <c r="B905" t="inlineStr">
        <is>
          <t>avverkningsanmälan</t>
        </is>
      </c>
      <c r="C905" t="inlineStr">
        <is>
          <t>Avverkning för att bevara och utveckla /försöksver</t>
        </is>
      </c>
      <c r="D905" s="1" t="n">
        <v>45670</v>
      </c>
      <c r="E905" s="1" t="n">
        <v>46221</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s="2" t="inlineStr"/>
    </row>
    <row r="906" ht="15" customHeight="1">
      <c r="A906" t="inlineStr">
        <is>
          <t>A 6070-2022</t>
        </is>
      </c>
      <c r="B906" t="inlineStr">
        <is>
          <t>avverkningsanmälan</t>
        </is>
      </c>
      <c r="C906" t="inlineStr">
        <is>
          <t>Föryngringsavverkning</t>
        </is>
      </c>
      <c r="D906" s="1" t="n">
        <v>44599</v>
      </c>
      <c r="E906" s="1" t="n">
        <v>46221</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30107-2026</t>
        </is>
      </c>
      <c r="B907" t="inlineStr">
        <is>
          <t>avverkningsanmälan</t>
        </is>
      </c>
      <c r="C907" t="inlineStr">
        <is>
          <t>Föryngringsavverkning</t>
        </is>
      </c>
      <c r="D907" s="1" t="n">
        <v>46206</v>
      </c>
      <c r="E907" s="1" t="n">
        <v>46221</v>
      </c>
      <c r="F907" t="inlineStr">
        <is>
          <t>STOCKHOLMS LÄN</t>
        </is>
      </c>
      <c r="G907" t="inlineStr">
        <is>
          <t>NORRTÄLJE</t>
        </is>
      </c>
      <c r="I907" t="n">
        <v>6.8</v>
      </c>
      <c r="J907" t="n">
        <v>0</v>
      </c>
      <c r="K907" t="n">
        <v>0</v>
      </c>
      <c r="L907" t="n">
        <v>0</v>
      </c>
      <c r="M907" t="n">
        <v>0</v>
      </c>
      <c r="N907" t="n">
        <v>0</v>
      </c>
      <c r="O907" t="n">
        <v>0</v>
      </c>
      <c r="P907" t="n">
        <v>0</v>
      </c>
      <c r="Q907" t="n">
        <v>0</v>
      </c>
      <c r="R907" t="n">
        <v>0</v>
      </c>
      <c r="S907" t="n">
        <v>0</v>
      </c>
      <c r="T907" t="n">
        <v>0</v>
      </c>
      <c r="U907" s="2" t="inlineStr"/>
    </row>
    <row r="908" ht="15" customHeight="1">
      <c r="A908" t="inlineStr">
        <is>
          <t>A 27828-2022</t>
        </is>
      </c>
      <c r="B908" t="inlineStr">
        <is>
          <t>avverkningsanmälan</t>
        </is>
      </c>
      <c r="C908" t="inlineStr">
        <is>
          <t>Föryngringsavverkning</t>
        </is>
      </c>
      <c r="D908" s="1" t="n">
        <v>44743</v>
      </c>
      <c r="E908" s="1" t="n">
        <v>46221</v>
      </c>
      <c r="F908" t="inlineStr">
        <is>
          <t>STOCKHOLMS LÄN</t>
        </is>
      </c>
      <c r="G908" t="inlineStr">
        <is>
          <t>NORRTÄLJE</t>
        </is>
      </c>
      <c r="H908" t="inlineStr">
        <is>
          <t>Kommuner</t>
        </is>
      </c>
      <c r="I908" t="n">
        <v>1.6</v>
      </c>
      <c r="J908" t="n">
        <v>0</v>
      </c>
      <c r="K908" t="n">
        <v>0</v>
      </c>
      <c r="L908" t="n">
        <v>0</v>
      </c>
      <c r="M908" t="n">
        <v>0</v>
      </c>
      <c r="N908" t="n">
        <v>0</v>
      </c>
      <c r="O908" t="n">
        <v>0</v>
      </c>
      <c r="P908" t="n">
        <v>0</v>
      </c>
      <c r="Q908" t="n">
        <v>0</v>
      </c>
      <c r="R908" t="n">
        <v>0</v>
      </c>
      <c r="S908" t="n">
        <v>0</v>
      </c>
      <c r="T908" t="n">
        <v>0</v>
      </c>
      <c r="U908" s="2" t="inlineStr"/>
    </row>
    <row r="909" ht="15" customHeight="1">
      <c r="A909" t="inlineStr">
        <is>
          <t>A 59873-2024</t>
        </is>
      </c>
      <c r="B909" t="inlineStr">
        <is>
          <t>avverkningsanmälan</t>
        </is>
      </c>
      <c r="C909" t="inlineStr">
        <is>
          <t>Föryngringsavverkning</t>
        </is>
      </c>
      <c r="D909" s="1" t="n">
        <v>45640</v>
      </c>
      <c r="E909" s="1" t="n">
        <v>46221</v>
      </c>
      <c r="F909" t="inlineStr">
        <is>
          <t>STOCKHOLMS LÄN</t>
        </is>
      </c>
      <c r="G909" t="inlineStr">
        <is>
          <t>NORRTÄLJE</t>
        </is>
      </c>
      <c r="I909" t="n">
        <v>3.3</v>
      </c>
      <c r="J909" t="n">
        <v>0</v>
      </c>
      <c r="K909" t="n">
        <v>0</v>
      </c>
      <c r="L909" t="n">
        <v>0</v>
      </c>
      <c r="M909" t="n">
        <v>0</v>
      </c>
      <c r="N909" t="n">
        <v>0</v>
      </c>
      <c r="O909" t="n">
        <v>0</v>
      </c>
      <c r="P909" t="n">
        <v>0</v>
      </c>
      <c r="Q909" t="n">
        <v>0</v>
      </c>
      <c r="R909" t="n">
        <v>0</v>
      </c>
      <c r="S909" t="n">
        <v>0</v>
      </c>
      <c r="T909" t="n">
        <v>0</v>
      </c>
      <c r="U909" s="2" t="inlineStr"/>
    </row>
    <row r="910" ht="15" customHeight="1">
      <c r="A910" t="inlineStr">
        <is>
          <t>A 48161-2022</t>
        </is>
      </c>
      <c r="B910" t="inlineStr">
        <is>
          <t>avverkningsanmälan</t>
        </is>
      </c>
      <c r="C910" t="inlineStr">
        <is>
          <t>Föryngringsavverkning</t>
        </is>
      </c>
      <c r="D910" s="1" t="n">
        <v>44858</v>
      </c>
      <c r="E910" s="1" t="n">
        <v>46221</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23307-2024</t>
        </is>
      </c>
      <c r="B911" t="inlineStr">
        <is>
          <t>avverkningsanmälan</t>
        </is>
      </c>
      <c r="C911" t="inlineStr">
        <is>
          <t>Föryngringsavverkning</t>
        </is>
      </c>
      <c r="D911" s="1" t="n">
        <v>45453</v>
      </c>
      <c r="E911" s="1" t="n">
        <v>46221</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2281-2024</t>
        </is>
      </c>
      <c r="B912" t="inlineStr">
        <is>
          <t>avverkningsanmälan</t>
        </is>
      </c>
      <c r="C912" t="inlineStr">
        <is>
          <t>Föryngringsavverkning</t>
        </is>
      </c>
      <c r="D912" s="1" t="n">
        <v>45310</v>
      </c>
      <c r="E912" s="1" t="n">
        <v>46221</v>
      </c>
      <c r="F912" t="inlineStr">
        <is>
          <t>STOCKHOLMS LÄN</t>
        </is>
      </c>
      <c r="G912" t="inlineStr">
        <is>
          <t>NORRTÄLJE</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2287-2024</t>
        </is>
      </c>
      <c r="B913" t="inlineStr">
        <is>
          <t>avverkningsanmälan</t>
        </is>
      </c>
      <c r="C913" t="inlineStr">
        <is>
          <t>Föryngringsavverkning</t>
        </is>
      </c>
      <c r="D913" s="1" t="n">
        <v>45310</v>
      </c>
      <c r="E913" s="1" t="n">
        <v>46221</v>
      </c>
      <c r="F913" t="inlineStr">
        <is>
          <t>STOCKHOLMS LÄN</t>
        </is>
      </c>
      <c r="G913" t="inlineStr">
        <is>
          <t>NORRTÄLJE</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30410-2026</t>
        </is>
      </c>
      <c r="B914" t="inlineStr">
        <is>
          <t>avverkningsanmälan</t>
        </is>
      </c>
      <c r="C914" t="inlineStr">
        <is>
          <t>Föryngringsavverkning</t>
        </is>
      </c>
      <c r="D914" s="1" t="n">
        <v>46209</v>
      </c>
      <c r="E914" s="1" t="n">
        <v>46221</v>
      </c>
      <c r="F914" t="inlineStr">
        <is>
          <t>STOCKHOLMS LÄN</t>
        </is>
      </c>
      <c r="G914" t="inlineStr">
        <is>
          <t>NORRTÄLJE</t>
        </is>
      </c>
      <c r="I914" t="n">
        <v>4</v>
      </c>
      <c r="J914" t="n">
        <v>0</v>
      </c>
      <c r="K914" t="n">
        <v>0</v>
      </c>
      <c r="L914" t="n">
        <v>0</v>
      </c>
      <c r="M914" t="n">
        <v>0</v>
      </c>
      <c r="N914" t="n">
        <v>0</v>
      </c>
      <c r="O914" t="n">
        <v>0</v>
      </c>
      <c r="P914" t="n">
        <v>0</v>
      </c>
      <c r="Q914" t="n">
        <v>0</v>
      </c>
      <c r="R914" t="n">
        <v>0</v>
      </c>
      <c r="S914" t="n">
        <v>0</v>
      </c>
      <c r="T914" t="n">
        <v>0</v>
      </c>
      <c r="U914" s="2" t="inlineStr"/>
    </row>
    <row r="915" ht="15" customHeight="1">
      <c r="A915" t="inlineStr">
        <is>
          <t>A 30323-2026</t>
        </is>
      </c>
      <c r="B915" t="inlineStr">
        <is>
          <t>avverkningsanmälan</t>
        </is>
      </c>
      <c r="C915" t="inlineStr">
        <is>
          <t>Föryngringsavverkning</t>
        </is>
      </c>
      <c r="D915" s="1" t="n">
        <v>46207</v>
      </c>
      <c r="E915" s="1" t="n">
        <v>46221</v>
      </c>
      <c r="F915" t="inlineStr">
        <is>
          <t>STOCKHOLMS LÄN</t>
        </is>
      </c>
      <c r="G915" t="inlineStr">
        <is>
          <t>NORRTÄLJE</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30325-2026</t>
        </is>
      </c>
      <c r="B916" t="inlineStr">
        <is>
          <t>avverkningsanmälan</t>
        </is>
      </c>
      <c r="C916" t="inlineStr">
        <is>
          <t>Föryngringsavverkning</t>
        </is>
      </c>
      <c r="D916" s="1" t="n">
        <v>46207</v>
      </c>
      <c r="E916" s="1" t="n">
        <v>46221</v>
      </c>
      <c r="F916" t="inlineStr">
        <is>
          <t>STOCKHOLMS LÄN</t>
        </is>
      </c>
      <c r="G916" t="inlineStr">
        <is>
          <t>NORRTÄLJE</t>
        </is>
      </c>
      <c r="I916" t="n">
        <v>3.9</v>
      </c>
      <c r="J916" t="n">
        <v>0</v>
      </c>
      <c r="K916" t="n">
        <v>0</v>
      </c>
      <c r="L916" t="n">
        <v>0</v>
      </c>
      <c r="M916" t="n">
        <v>0</v>
      </c>
      <c r="N916" t="n">
        <v>0</v>
      </c>
      <c r="O916" t="n">
        <v>0</v>
      </c>
      <c r="P916" t="n">
        <v>0</v>
      </c>
      <c r="Q916" t="n">
        <v>0</v>
      </c>
      <c r="R916" t="n">
        <v>0</v>
      </c>
      <c r="S916" t="n">
        <v>0</v>
      </c>
      <c r="T916" t="n">
        <v>0</v>
      </c>
      <c r="U916" s="2" t="inlineStr"/>
    </row>
    <row r="917" ht="15" customHeight="1">
      <c r="A917" t="inlineStr">
        <is>
          <t>A 20618-2022</t>
        </is>
      </c>
      <c r="B917" t="inlineStr">
        <is>
          <t>avverkningsanmälan</t>
        </is>
      </c>
      <c r="C917" t="inlineStr">
        <is>
          <t>Föryngringsavverkning</t>
        </is>
      </c>
      <c r="D917" s="1" t="n">
        <v>44700</v>
      </c>
      <c r="E917" s="1" t="n">
        <v>46221</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59504-2023</t>
        </is>
      </c>
      <c r="B918" t="inlineStr">
        <is>
          <t>avverkningsanmälan</t>
        </is>
      </c>
      <c r="C918" t="inlineStr">
        <is>
          <t>Avverkning för annat ändamål</t>
        </is>
      </c>
      <c r="D918" s="1" t="n">
        <v>45254</v>
      </c>
      <c r="E918" s="1" t="n">
        <v>46221</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25656-2023</t>
        </is>
      </c>
      <c r="B919" t="inlineStr">
        <is>
          <t>avverkningsanmälan</t>
        </is>
      </c>
      <c r="C919" t="inlineStr">
        <is>
          <t>Föryngringsavverkning</t>
        </is>
      </c>
      <c r="D919" s="1" t="n">
        <v>45089</v>
      </c>
      <c r="E919" s="1" t="n">
        <v>46221</v>
      </c>
      <c r="F919" t="inlineStr">
        <is>
          <t>STOCKHOLMS LÄN</t>
        </is>
      </c>
      <c r="G919" t="inlineStr">
        <is>
          <t>NORRTÄLJE</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38049-2023</t>
        </is>
      </c>
      <c r="B920" t="inlineStr">
        <is>
          <t>avverkningsanmälan</t>
        </is>
      </c>
      <c r="C920" t="inlineStr">
        <is>
          <t>Föryngringsavverkning</t>
        </is>
      </c>
      <c r="D920" s="1" t="n">
        <v>45159</v>
      </c>
      <c r="E920" s="1" t="n">
        <v>46221</v>
      </c>
      <c r="F920" t="inlineStr">
        <is>
          <t>STOCKHOLMS LÄN</t>
        </is>
      </c>
      <c r="G920" t="inlineStr">
        <is>
          <t>NORRTÄLJE</t>
        </is>
      </c>
      <c r="I920" t="n">
        <v>3.6</v>
      </c>
      <c r="J920" t="n">
        <v>0</v>
      </c>
      <c r="K920" t="n">
        <v>0</v>
      </c>
      <c r="L920" t="n">
        <v>0</v>
      </c>
      <c r="M920" t="n">
        <v>0</v>
      </c>
      <c r="N920" t="n">
        <v>0</v>
      </c>
      <c r="O920" t="n">
        <v>0</v>
      </c>
      <c r="P920" t="n">
        <v>0</v>
      </c>
      <c r="Q920" t="n">
        <v>0</v>
      </c>
      <c r="R920" t="n">
        <v>0</v>
      </c>
      <c r="S920" t="n">
        <v>0</v>
      </c>
      <c r="T920" t="n">
        <v>0</v>
      </c>
      <c r="U920" s="2" t="inlineStr"/>
    </row>
    <row r="921" ht="15" customHeight="1">
      <c r="A921" t="inlineStr">
        <is>
          <t>A 3966-2024</t>
        </is>
      </c>
      <c r="B921" t="inlineStr">
        <is>
          <t>avverkningsanmälan</t>
        </is>
      </c>
      <c r="C921" t="inlineStr">
        <is>
          <t>Föryngringsavverkning</t>
        </is>
      </c>
      <c r="D921" s="1" t="n">
        <v>45322</v>
      </c>
      <c r="E921" s="1" t="n">
        <v>46221</v>
      </c>
      <c r="F921" t="inlineStr">
        <is>
          <t>STOCKHOLMS LÄN</t>
        </is>
      </c>
      <c r="G921" t="inlineStr">
        <is>
          <t>NORRTÄLJE</t>
        </is>
      </c>
      <c r="I921" t="n">
        <v>5.3</v>
      </c>
      <c r="J921" t="n">
        <v>0</v>
      </c>
      <c r="K921" t="n">
        <v>0</v>
      </c>
      <c r="L921" t="n">
        <v>0</v>
      </c>
      <c r="M921" t="n">
        <v>0</v>
      </c>
      <c r="N921" t="n">
        <v>0</v>
      </c>
      <c r="O921" t="n">
        <v>0</v>
      </c>
      <c r="P921" t="n">
        <v>0</v>
      </c>
      <c r="Q921" t="n">
        <v>0</v>
      </c>
      <c r="R921" t="n">
        <v>0</v>
      </c>
      <c r="S921" t="n">
        <v>0</v>
      </c>
      <c r="T921" t="n">
        <v>0</v>
      </c>
      <c r="U921" s="2" t="inlineStr"/>
    </row>
    <row r="922" ht="15" customHeight="1">
      <c r="A922" t="inlineStr">
        <is>
          <t>A 17348-2024</t>
        </is>
      </c>
      <c r="B922" t="inlineStr">
        <is>
          <t>avverkningsanmälan</t>
        </is>
      </c>
      <c r="C922" t="inlineStr">
        <is>
          <t>Föryngringsavverkning</t>
        </is>
      </c>
      <c r="D922" s="1" t="n">
        <v>45414</v>
      </c>
      <c r="E922" s="1" t="n">
        <v>46221</v>
      </c>
      <c r="F922" t="inlineStr">
        <is>
          <t>STOCKHOLMS LÄN</t>
        </is>
      </c>
      <c r="G922" t="inlineStr">
        <is>
          <t>NORRTÄLJE</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23855-2026</t>
        </is>
      </c>
      <c r="B923" t="inlineStr">
        <is>
          <t>avverkningsanmälan</t>
        </is>
      </c>
      <c r="C923" t="inlineStr">
        <is>
          <t>Föryngringsavverkning</t>
        </is>
      </c>
      <c r="D923" s="1" t="n">
        <v>46167</v>
      </c>
      <c r="E923" s="1" t="n">
        <v>46221</v>
      </c>
      <c r="F923" t="inlineStr">
        <is>
          <t>STOCKHOLMS LÄN</t>
        </is>
      </c>
      <c r="G923" t="inlineStr">
        <is>
          <t>NORRTÄLJE</t>
        </is>
      </c>
      <c r="I923" t="n">
        <v>1.6</v>
      </c>
      <c r="J923" t="n">
        <v>0</v>
      </c>
      <c r="K923" t="n">
        <v>0</v>
      </c>
      <c r="L923" t="n">
        <v>0</v>
      </c>
      <c r="M923" t="n">
        <v>0</v>
      </c>
      <c r="N923" t="n">
        <v>0</v>
      </c>
      <c r="O923" t="n">
        <v>0</v>
      </c>
      <c r="P923" t="n">
        <v>0</v>
      </c>
      <c r="Q923" t="n">
        <v>0</v>
      </c>
      <c r="R923" t="n">
        <v>0</v>
      </c>
      <c r="S923" t="n">
        <v>0</v>
      </c>
      <c r="T923" t="n">
        <v>0</v>
      </c>
      <c r="U923" s="2" t="inlineStr"/>
    </row>
    <row r="924" ht="15" customHeight="1">
      <c r="A924" t="inlineStr">
        <is>
          <t>A 52508-2023</t>
        </is>
      </c>
      <c r="B924" t="inlineStr">
        <is>
          <t>avverkningsanmälan</t>
        </is>
      </c>
      <c r="C924" t="inlineStr">
        <is>
          <t>Avverkning för att bevara och utveckla /försöksver</t>
        </is>
      </c>
      <c r="D924" s="1" t="n">
        <v>45225</v>
      </c>
      <c r="E924" s="1" t="n">
        <v>46221</v>
      </c>
      <c r="F924" t="inlineStr">
        <is>
          <t>STOCKHOLMS LÄN</t>
        </is>
      </c>
      <c r="G924" t="inlineStr">
        <is>
          <t>NORRTÄLJE</t>
        </is>
      </c>
      <c r="I924" t="n">
        <v>19.7</v>
      </c>
      <c r="J924" t="n">
        <v>0</v>
      </c>
      <c r="K924" t="n">
        <v>0</v>
      </c>
      <c r="L924" t="n">
        <v>0</v>
      </c>
      <c r="M924" t="n">
        <v>0</v>
      </c>
      <c r="N924" t="n">
        <v>0</v>
      </c>
      <c r="O924" t="n">
        <v>0</v>
      </c>
      <c r="P924" t="n">
        <v>0</v>
      </c>
      <c r="Q924" t="n">
        <v>0</v>
      </c>
      <c r="R924" t="n">
        <v>0</v>
      </c>
      <c r="S924" t="n">
        <v>0</v>
      </c>
      <c r="T924" t="n">
        <v>0</v>
      </c>
      <c r="U924" s="2" t="inlineStr"/>
    </row>
    <row r="925" ht="15" customHeight="1">
      <c r="A925" t="inlineStr">
        <is>
          <t>A 34461-2023</t>
        </is>
      </c>
      <c r="B925" t="inlineStr">
        <is>
          <t>avverkningsanmälan</t>
        </is>
      </c>
      <c r="C925" t="inlineStr">
        <is>
          <t>Föryngringsavverkning</t>
        </is>
      </c>
      <c r="D925" s="1" t="n">
        <v>45139</v>
      </c>
      <c r="E925" s="1" t="n">
        <v>46221</v>
      </c>
      <c r="F925" t="inlineStr">
        <is>
          <t>STOCKHOLMS LÄN</t>
        </is>
      </c>
      <c r="G925" t="inlineStr">
        <is>
          <t>NORRTÄLJE</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24522-2023</t>
        </is>
      </c>
      <c r="B926" t="inlineStr">
        <is>
          <t>avverkningsanmälan</t>
        </is>
      </c>
      <c r="C926" t="inlineStr">
        <is>
          <t>Föryngringsavverkning</t>
        </is>
      </c>
      <c r="D926" s="1" t="n">
        <v>45082</v>
      </c>
      <c r="E926" s="1" t="n">
        <v>46221</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29176-2024</t>
        </is>
      </c>
      <c r="B927" t="inlineStr">
        <is>
          <t>avverkningsanmälan</t>
        </is>
      </c>
      <c r="C927" t="inlineStr">
        <is>
          <t>Föryngringsavverkning</t>
        </is>
      </c>
      <c r="D927" s="1" t="n">
        <v>45482</v>
      </c>
      <c r="E927" s="1" t="n">
        <v>46221</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4596-2023</t>
        </is>
      </c>
      <c r="B928" t="inlineStr">
        <is>
          <t>avverkningsanmälan</t>
        </is>
      </c>
      <c r="C928" t="inlineStr">
        <is>
          <t>Avverkning för annat ändamål</t>
        </is>
      </c>
      <c r="D928" s="1" t="n">
        <v>44956</v>
      </c>
      <c r="E928" s="1" t="n">
        <v>46221</v>
      </c>
      <c r="F928" t="inlineStr">
        <is>
          <t>STOCKHOLMS LÄN</t>
        </is>
      </c>
      <c r="G928" t="inlineStr">
        <is>
          <t>NORRTÄLJE</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53000-2025</t>
        </is>
      </c>
      <c r="B929" t="inlineStr">
        <is>
          <t>avverkningsanmälan</t>
        </is>
      </c>
      <c r="C929" t="inlineStr">
        <is>
          <t>Föryngringsavverkning</t>
        </is>
      </c>
      <c r="D929" s="1" t="n">
        <v>45957</v>
      </c>
      <c r="E929" s="1" t="n">
        <v>46221</v>
      </c>
      <c r="F929" t="inlineStr">
        <is>
          <t>STOCKHOLMS LÄN</t>
        </is>
      </c>
      <c r="G929" t="inlineStr">
        <is>
          <t>NORRTÄLJE</t>
        </is>
      </c>
      <c r="I929" t="n">
        <v>2.1</v>
      </c>
      <c r="J929" t="n">
        <v>0</v>
      </c>
      <c r="K929" t="n">
        <v>0</v>
      </c>
      <c r="L929" t="n">
        <v>0</v>
      </c>
      <c r="M929" t="n">
        <v>0</v>
      </c>
      <c r="N929" t="n">
        <v>0</v>
      </c>
      <c r="O929" t="n">
        <v>0</v>
      </c>
      <c r="P929" t="n">
        <v>0</v>
      </c>
      <c r="Q929" t="n">
        <v>0</v>
      </c>
      <c r="R929" t="n">
        <v>0</v>
      </c>
      <c r="S929" t="n">
        <v>0</v>
      </c>
      <c r="T929" t="n">
        <v>0</v>
      </c>
      <c r="U929" s="2" t="inlineStr"/>
    </row>
    <row r="930" ht="15" customHeight="1">
      <c r="A930" t="inlineStr">
        <is>
          <t>A 52703-2025</t>
        </is>
      </c>
      <c r="B930" t="inlineStr">
        <is>
          <t>avverkningsanmälan</t>
        </is>
      </c>
      <c r="C930" t="inlineStr">
        <is>
          <t>Föryngringsavverkning</t>
        </is>
      </c>
      <c r="D930" s="1" t="n">
        <v>45956</v>
      </c>
      <c r="E930" s="1" t="n">
        <v>46221</v>
      </c>
      <c r="F930" t="inlineStr">
        <is>
          <t>STOCKHOLMS LÄN</t>
        </is>
      </c>
      <c r="G930" t="inlineStr">
        <is>
          <t>NORRTÄLJE</t>
        </is>
      </c>
      <c r="I930" t="n">
        <v>4.7</v>
      </c>
      <c r="J930" t="n">
        <v>0</v>
      </c>
      <c r="K930" t="n">
        <v>0</v>
      </c>
      <c r="L930" t="n">
        <v>0</v>
      </c>
      <c r="M930" t="n">
        <v>0</v>
      </c>
      <c r="N930" t="n">
        <v>0</v>
      </c>
      <c r="O930" t="n">
        <v>0</v>
      </c>
      <c r="P930" t="n">
        <v>0</v>
      </c>
      <c r="Q930" t="n">
        <v>0</v>
      </c>
      <c r="R930" t="n">
        <v>0</v>
      </c>
      <c r="S930" t="n">
        <v>0</v>
      </c>
      <c r="T930" t="n">
        <v>0</v>
      </c>
      <c r="U930" s="2" t="inlineStr"/>
    </row>
    <row r="931" ht="15" customHeight="1">
      <c r="A931" t="inlineStr">
        <is>
          <t>A 24727-2023</t>
        </is>
      </c>
      <c r="B931" t="inlineStr">
        <is>
          <t>avverkningsanmälan</t>
        </is>
      </c>
      <c r="C931" t="inlineStr">
        <is>
          <t>Föryngringsavverkning</t>
        </is>
      </c>
      <c r="D931" s="1" t="n">
        <v>45084</v>
      </c>
      <c r="E931" s="1" t="n">
        <v>46221</v>
      </c>
      <c r="F931" t="inlineStr">
        <is>
          <t>STOCKHOLMS LÄN</t>
        </is>
      </c>
      <c r="G931" t="inlineStr">
        <is>
          <t>NORRTÄLJE</t>
        </is>
      </c>
      <c r="H931" t="inlineStr">
        <is>
          <t>Holmen skog AB</t>
        </is>
      </c>
      <c r="I931" t="n">
        <v>2.2</v>
      </c>
      <c r="J931" t="n">
        <v>0</v>
      </c>
      <c r="K931" t="n">
        <v>0</v>
      </c>
      <c r="L931" t="n">
        <v>0</v>
      </c>
      <c r="M931" t="n">
        <v>0</v>
      </c>
      <c r="N931" t="n">
        <v>0</v>
      </c>
      <c r="O931" t="n">
        <v>0</v>
      </c>
      <c r="P931" t="n">
        <v>0</v>
      </c>
      <c r="Q931" t="n">
        <v>0</v>
      </c>
      <c r="R931" t="n">
        <v>0</v>
      </c>
      <c r="S931" t="n">
        <v>0</v>
      </c>
      <c r="T931" t="n">
        <v>0</v>
      </c>
      <c r="U931" s="2" t="inlineStr"/>
    </row>
    <row r="932" ht="15" customHeight="1">
      <c r="A932" t="inlineStr">
        <is>
          <t>A 59904-2023</t>
        </is>
      </c>
      <c r="B932" t="inlineStr">
        <is>
          <t>avverkningsanmälan</t>
        </is>
      </c>
      <c r="C932" t="inlineStr">
        <is>
          <t>Föryngringsavverkning</t>
        </is>
      </c>
      <c r="D932" s="1" t="n">
        <v>45257</v>
      </c>
      <c r="E932" s="1" t="n">
        <v>46221</v>
      </c>
      <c r="F932" t="inlineStr">
        <is>
          <t>STOCKHOLMS LÄN</t>
        </is>
      </c>
      <c r="G932" t="inlineStr">
        <is>
          <t>NORRTÄLJE</t>
        </is>
      </c>
      <c r="I932" t="n">
        <v>17.4</v>
      </c>
      <c r="J932" t="n">
        <v>0</v>
      </c>
      <c r="K932" t="n">
        <v>0</v>
      </c>
      <c r="L932" t="n">
        <v>0</v>
      </c>
      <c r="M932" t="n">
        <v>0</v>
      </c>
      <c r="N932" t="n">
        <v>0</v>
      </c>
      <c r="O932" t="n">
        <v>0</v>
      </c>
      <c r="P932" t="n">
        <v>0</v>
      </c>
      <c r="Q932" t="n">
        <v>0</v>
      </c>
      <c r="R932" t="n">
        <v>0</v>
      </c>
      <c r="S932" t="n">
        <v>0</v>
      </c>
      <c r="T932" t="n">
        <v>0</v>
      </c>
      <c r="U932" s="2" t="inlineStr"/>
    </row>
    <row r="933" ht="15" customHeight="1">
      <c r="A933" t="inlineStr">
        <is>
          <t>A 36308-2022</t>
        </is>
      </c>
      <c r="B933" t="inlineStr">
        <is>
          <t>avverkningsanmälan</t>
        </is>
      </c>
      <c r="C933" t="inlineStr">
        <is>
          <t>Föryngringsavverkning</t>
        </is>
      </c>
      <c r="D933" s="1" t="n">
        <v>44803</v>
      </c>
      <c r="E933" s="1" t="n">
        <v>46221</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24835-2025</t>
        </is>
      </c>
      <c r="B934" t="inlineStr">
        <is>
          <t>avverkningsanmälan</t>
        </is>
      </c>
      <c r="C934" t="inlineStr">
        <is>
          <t>Avverkning för annat ändamål</t>
        </is>
      </c>
      <c r="D934" s="1" t="n">
        <v>45799</v>
      </c>
      <c r="E934" s="1" t="n">
        <v>46221</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18787-2022</t>
        </is>
      </c>
      <c r="B935" t="inlineStr">
        <is>
          <t>avverkningsanmälan</t>
        </is>
      </c>
      <c r="C935" t="inlineStr">
        <is>
          <t>Avverkning för att bevara och utveckla /försöksver</t>
        </is>
      </c>
      <c r="D935" s="1" t="n">
        <v>44687</v>
      </c>
      <c r="E935" s="1" t="n">
        <v>46221</v>
      </c>
      <c r="F935" t="inlineStr">
        <is>
          <t>STOCKHOLMS LÄN</t>
        </is>
      </c>
      <c r="G935" t="inlineStr">
        <is>
          <t>NORRTÄLJE</t>
        </is>
      </c>
      <c r="I935" t="n">
        <v>2</v>
      </c>
      <c r="J935" t="n">
        <v>0</v>
      </c>
      <c r="K935" t="n">
        <v>0</v>
      </c>
      <c r="L935" t="n">
        <v>0</v>
      </c>
      <c r="M935" t="n">
        <v>0</v>
      </c>
      <c r="N935" t="n">
        <v>0</v>
      </c>
      <c r="O935" t="n">
        <v>0</v>
      </c>
      <c r="P935" t="n">
        <v>0</v>
      </c>
      <c r="Q935" t="n">
        <v>0</v>
      </c>
      <c r="R935" t="n">
        <v>0</v>
      </c>
      <c r="S935" t="n">
        <v>0</v>
      </c>
      <c r="T935" t="n">
        <v>0</v>
      </c>
      <c r="U935" s="2" t="inlineStr"/>
    </row>
    <row r="936" ht="15" customHeight="1">
      <c r="A936" t="inlineStr">
        <is>
          <t>A 31085-2026</t>
        </is>
      </c>
      <c r="B936" t="inlineStr">
        <is>
          <t>avverkningsanmälan</t>
        </is>
      </c>
      <c r="C936" t="inlineStr">
        <is>
          <t>Föryngringsavverkning</t>
        </is>
      </c>
      <c r="D936" s="1" t="n">
        <v>46216</v>
      </c>
      <c r="E936" s="1" t="n">
        <v>46221</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s="2" t="inlineStr"/>
    </row>
    <row r="937" ht="15" customHeight="1">
      <c r="A937" t="inlineStr">
        <is>
          <t>A 50108-2021</t>
        </is>
      </c>
      <c r="B937" t="inlineStr">
        <is>
          <t>avverkningsanmälan</t>
        </is>
      </c>
      <c r="C937" t="inlineStr">
        <is>
          <t>Avverkning för annat ändamål</t>
        </is>
      </c>
      <c r="D937" s="1" t="n">
        <v>44456</v>
      </c>
      <c r="E937" s="1" t="n">
        <v>46221</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31272-2026</t>
        </is>
      </c>
      <c r="B938" t="inlineStr">
        <is>
          <t>avverkningsanmälan</t>
        </is>
      </c>
      <c r="C938" t="inlineStr">
        <is>
          <t>Föryngringsavverkning</t>
        </is>
      </c>
      <c r="D938" s="1" t="n">
        <v>46218</v>
      </c>
      <c r="E938" s="1" t="n">
        <v>46221</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20304-2023</t>
        </is>
      </c>
      <c r="B939" t="inlineStr">
        <is>
          <t>avverkningsanmälan</t>
        </is>
      </c>
      <c r="C939" t="inlineStr">
        <is>
          <t>Föryngringsavverkning</t>
        </is>
      </c>
      <c r="D939" s="1" t="n">
        <v>45056</v>
      </c>
      <c r="E939" s="1" t="n">
        <v>46221</v>
      </c>
      <c r="F939" t="inlineStr">
        <is>
          <t>STOCKHOLMS LÄN</t>
        </is>
      </c>
      <c r="G939" t="inlineStr">
        <is>
          <t>NORRTÄLJE</t>
        </is>
      </c>
      <c r="I939" t="n">
        <v>1.5</v>
      </c>
      <c r="J939" t="n">
        <v>0</v>
      </c>
      <c r="K939" t="n">
        <v>0</v>
      </c>
      <c r="L939" t="n">
        <v>0</v>
      </c>
      <c r="M939" t="n">
        <v>0</v>
      </c>
      <c r="N939" t="n">
        <v>0</v>
      </c>
      <c r="O939" t="n">
        <v>0</v>
      </c>
      <c r="P939" t="n">
        <v>0</v>
      </c>
      <c r="Q939" t="n">
        <v>0</v>
      </c>
      <c r="R939" t="n">
        <v>0</v>
      </c>
      <c r="S939" t="n">
        <v>0</v>
      </c>
      <c r="T939" t="n">
        <v>0</v>
      </c>
      <c r="U939" s="2" t="inlineStr"/>
    </row>
    <row r="940" ht="15" customHeight="1">
      <c r="A940" t="inlineStr">
        <is>
          <t>A 35235-2024</t>
        </is>
      </c>
      <c r="B940" t="inlineStr">
        <is>
          <t>avverkningsanmälan</t>
        </is>
      </c>
      <c r="C940" t="inlineStr">
        <is>
          <t>Föryngringsavverkning</t>
        </is>
      </c>
      <c r="D940" s="1" t="n">
        <v>45530</v>
      </c>
      <c r="E940" s="1" t="n">
        <v>46221</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24891-2026</t>
        </is>
      </c>
      <c r="B941" t="inlineStr">
        <is>
          <t>avverkningsanmälan</t>
        </is>
      </c>
      <c r="C941" t="inlineStr">
        <is>
          <t>Föryngringsavverkning</t>
        </is>
      </c>
      <c r="D941" s="1" t="n">
        <v>46174</v>
      </c>
      <c r="E941" s="1" t="n">
        <v>46221</v>
      </c>
      <c r="F941" t="inlineStr">
        <is>
          <t>STOCKHOLMS LÄN</t>
        </is>
      </c>
      <c r="G941" t="inlineStr">
        <is>
          <t>NORRTÄLJE</t>
        </is>
      </c>
      <c r="I941" t="n">
        <v>4</v>
      </c>
      <c r="J941" t="n">
        <v>0</v>
      </c>
      <c r="K941" t="n">
        <v>0</v>
      </c>
      <c r="L941" t="n">
        <v>0</v>
      </c>
      <c r="M941" t="n">
        <v>0</v>
      </c>
      <c r="N941" t="n">
        <v>0</v>
      </c>
      <c r="O941" t="n">
        <v>0</v>
      </c>
      <c r="P941" t="n">
        <v>0</v>
      </c>
      <c r="Q941" t="n">
        <v>0</v>
      </c>
      <c r="R941" t="n">
        <v>0</v>
      </c>
      <c r="S941" t="n">
        <v>0</v>
      </c>
      <c r="T941" t="n">
        <v>0</v>
      </c>
      <c r="U941" s="2" t="inlineStr"/>
    </row>
    <row r="942" ht="15" customHeight="1">
      <c r="A942" t="inlineStr">
        <is>
          <t>A 34139-2025</t>
        </is>
      </c>
      <c r="B942" t="inlineStr">
        <is>
          <t>avverkningsanmälan</t>
        </is>
      </c>
      <c r="C942" t="inlineStr">
        <is>
          <t>Föryngringsavverkning</t>
        </is>
      </c>
      <c r="D942" s="1" t="n">
        <v>45845</v>
      </c>
      <c r="E942" s="1" t="n">
        <v>46221</v>
      </c>
      <c r="F942" t="inlineStr">
        <is>
          <t>STOCKHOLMS LÄN</t>
        </is>
      </c>
      <c r="G942" t="inlineStr">
        <is>
          <t>NORRTÄLJE</t>
        </is>
      </c>
      <c r="I942" t="n">
        <v>5.5</v>
      </c>
      <c r="J942" t="n">
        <v>0</v>
      </c>
      <c r="K942" t="n">
        <v>0</v>
      </c>
      <c r="L942" t="n">
        <v>0</v>
      </c>
      <c r="M942" t="n">
        <v>0</v>
      </c>
      <c r="N942" t="n">
        <v>0</v>
      </c>
      <c r="O942" t="n">
        <v>0</v>
      </c>
      <c r="P942" t="n">
        <v>0</v>
      </c>
      <c r="Q942" t="n">
        <v>0</v>
      </c>
      <c r="R942" t="n">
        <v>0</v>
      </c>
      <c r="S942" t="n">
        <v>0</v>
      </c>
      <c r="T942" t="n">
        <v>0</v>
      </c>
      <c r="U942" s="2" t="inlineStr"/>
    </row>
    <row r="943" ht="15" customHeight="1">
      <c r="A943" t="inlineStr">
        <is>
          <t>A 51061-2023</t>
        </is>
      </c>
      <c r="B943" t="inlineStr">
        <is>
          <t>avverkningsanmälan</t>
        </is>
      </c>
      <c r="C943" t="inlineStr">
        <is>
          <t>Föryngringsavverkning</t>
        </is>
      </c>
      <c r="D943" s="1" t="n">
        <v>45218</v>
      </c>
      <c r="E943" s="1" t="n">
        <v>46221</v>
      </c>
      <c r="F943" t="inlineStr">
        <is>
          <t>STOCKHOLMS LÄN</t>
        </is>
      </c>
      <c r="G943" t="inlineStr">
        <is>
          <t>NORRTÄLJE</t>
        </is>
      </c>
      <c r="I943" t="n">
        <v>8.699999999999999</v>
      </c>
      <c r="J943" t="n">
        <v>0</v>
      </c>
      <c r="K943" t="n">
        <v>0</v>
      </c>
      <c r="L943" t="n">
        <v>0</v>
      </c>
      <c r="M943" t="n">
        <v>0</v>
      </c>
      <c r="N943" t="n">
        <v>0</v>
      </c>
      <c r="O943" t="n">
        <v>0</v>
      </c>
      <c r="P943" t="n">
        <v>0</v>
      </c>
      <c r="Q943" t="n">
        <v>0</v>
      </c>
      <c r="R943" t="n">
        <v>0</v>
      </c>
      <c r="S943" t="n">
        <v>0</v>
      </c>
      <c r="T943" t="n">
        <v>0</v>
      </c>
      <c r="U943" s="2" t="inlineStr"/>
    </row>
    <row r="944" ht="15" customHeight="1">
      <c r="A944" t="inlineStr">
        <is>
          <t>A 39213-2022</t>
        </is>
      </c>
      <c r="B944" t="inlineStr">
        <is>
          <t>avverkningsanmälan</t>
        </is>
      </c>
      <c r="C944" t="inlineStr">
        <is>
          <t>Föryngringsavverkning</t>
        </is>
      </c>
      <c r="D944" s="1" t="n">
        <v>44817</v>
      </c>
      <c r="E944" s="1" t="n">
        <v>46221</v>
      </c>
      <c r="F944" t="inlineStr">
        <is>
          <t>STOCKHOLMS LÄN</t>
        </is>
      </c>
      <c r="G944" t="inlineStr">
        <is>
          <t>NORRTÄLJE</t>
        </is>
      </c>
      <c r="I944" t="n">
        <v>3.4</v>
      </c>
      <c r="J944" t="n">
        <v>0</v>
      </c>
      <c r="K944" t="n">
        <v>0</v>
      </c>
      <c r="L944" t="n">
        <v>0</v>
      </c>
      <c r="M944" t="n">
        <v>0</v>
      </c>
      <c r="N944" t="n">
        <v>0</v>
      </c>
      <c r="O944" t="n">
        <v>0</v>
      </c>
      <c r="P944" t="n">
        <v>0</v>
      </c>
      <c r="Q944" t="n">
        <v>0</v>
      </c>
      <c r="R944" t="n">
        <v>0</v>
      </c>
      <c r="S944" t="n">
        <v>0</v>
      </c>
      <c r="T944" t="n">
        <v>0</v>
      </c>
      <c r="U944" s="2" t="inlineStr"/>
    </row>
    <row r="945" ht="15" customHeight="1">
      <c r="A945" t="inlineStr">
        <is>
          <t>A 15905-2023</t>
        </is>
      </c>
      <c r="B945" t="inlineStr">
        <is>
          <t>avverkningsanmälan</t>
        </is>
      </c>
      <c r="C945" t="inlineStr">
        <is>
          <t>Föryngringsavverkning</t>
        </is>
      </c>
      <c r="D945" s="1" t="n">
        <v>45022</v>
      </c>
      <c r="E945" s="1" t="n">
        <v>46221</v>
      </c>
      <c r="F945" t="inlineStr">
        <is>
          <t>STOCKHOLMS LÄN</t>
        </is>
      </c>
      <c r="G945" t="inlineStr">
        <is>
          <t>NORRTÄLJE</t>
        </is>
      </c>
      <c r="I945" t="n">
        <v>3.2</v>
      </c>
      <c r="J945" t="n">
        <v>0</v>
      </c>
      <c r="K945" t="n">
        <v>0</v>
      </c>
      <c r="L945" t="n">
        <v>0</v>
      </c>
      <c r="M945" t="n">
        <v>0</v>
      </c>
      <c r="N945" t="n">
        <v>0</v>
      </c>
      <c r="O945" t="n">
        <v>0</v>
      </c>
      <c r="P945" t="n">
        <v>0</v>
      </c>
      <c r="Q945" t="n">
        <v>0</v>
      </c>
      <c r="R945" t="n">
        <v>0</v>
      </c>
      <c r="S945" t="n">
        <v>0</v>
      </c>
      <c r="T945" t="n">
        <v>0</v>
      </c>
      <c r="U945" s="2" t="inlineStr"/>
    </row>
    <row r="946" ht="15" customHeight="1">
      <c r="A946" t="inlineStr">
        <is>
          <t>A 25529-2026</t>
        </is>
      </c>
      <c r="B946" t="inlineStr">
        <is>
          <t>avverkningsanmälan</t>
        </is>
      </c>
      <c r="C946" t="inlineStr">
        <is>
          <t>Föryngringsavverkning</t>
        </is>
      </c>
      <c r="D946" s="1" t="n">
        <v>46177</v>
      </c>
      <c r="E946" s="1" t="n">
        <v>46221</v>
      </c>
      <c r="F946" t="inlineStr">
        <is>
          <t>STOCKHOLMS LÄN</t>
        </is>
      </c>
      <c r="G946" t="inlineStr">
        <is>
          <t>NORRTÄLJE</t>
        </is>
      </c>
      <c r="I946" t="n">
        <v>6.3</v>
      </c>
      <c r="J946" t="n">
        <v>0</v>
      </c>
      <c r="K946" t="n">
        <v>0</v>
      </c>
      <c r="L946" t="n">
        <v>0</v>
      </c>
      <c r="M946" t="n">
        <v>0</v>
      </c>
      <c r="N946" t="n">
        <v>0</v>
      </c>
      <c r="O946" t="n">
        <v>0</v>
      </c>
      <c r="P946" t="n">
        <v>0</v>
      </c>
      <c r="Q946" t="n">
        <v>0</v>
      </c>
      <c r="R946" t="n">
        <v>0</v>
      </c>
      <c r="S946" t="n">
        <v>0</v>
      </c>
      <c r="T946" t="n">
        <v>0</v>
      </c>
      <c r="U946" s="2" t="inlineStr"/>
    </row>
    <row r="947" ht="15" customHeight="1">
      <c r="A947" t="inlineStr">
        <is>
          <t>A 44917-2022</t>
        </is>
      </c>
      <c r="B947" t="inlineStr">
        <is>
          <t>avverkningsanmälan</t>
        </is>
      </c>
      <c r="C947" t="inlineStr">
        <is>
          <t>Föryngringsavverkning</t>
        </is>
      </c>
      <c r="D947" s="1" t="n">
        <v>44841</v>
      </c>
      <c r="E947" s="1" t="n">
        <v>46221</v>
      </c>
      <c r="F947" t="inlineStr">
        <is>
          <t>STOCKHOLMS LÄN</t>
        </is>
      </c>
      <c r="G947" t="inlineStr">
        <is>
          <t>NORRTÄLJE</t>
        </is>
      </c>
      <c r="H947" t="inlineStr">
        <is>
          <t>Holmen skog AB</t>
        </is>
      </c>
      <c r="I947" t="n">
        <v>3.3</v>
      </c>
      <c r="J947" t="n">
        <v>0</v>
      </c>
      <c r="K947" t="n">
        <v>0</v>
      </c>
      <c r="L947" t="n">
        <v>0</v>
      </c>
      <c r="M947" t="n">
        <v>0</v>
      </c>
      <c r="N947" t="n">
        <v>0</v>
      </c>
      <c r="O947" t="n">
        <v>0</v>
      </c>
      <c r="P947" t="n">
        <v>0</v>
      </c>
      <c r="Q947" t="n">
        <v>0</v>
      </c>
      <c r="R947" t="n">
        <v>0</v>
      </c>
      <c r="S947" t="n">
        <v>0</v>
      </c>
      <c r="T947" t="n">
        <v>0</v>
      </c>
      <c r="U947" s="2" t="inlineStr"/>
    </row>
    <row r="948" ht="15" customHeight="1">
      <c r="A948" t="inlineStr">
        <is>
          <t>A 33173-2024</t>
        </is>
      </c>
      <c r="B948" t="inlineStr">
        <is>
          <t>avverkningsanmälan</t>
        </is>
      </c>
      <c r="C948" t="inlineStr">
        <is>
          <t>Föryngringsavverkning</t>
        </is>
      </c>
      <c r="D948" s="1" t="n">
        <v>45518</v>
      </c>
      <c r="E948" s="1" t="n">
        <v>46221</v>
      </c>
      <c r="F948" t="inlineStr">
        <is>
          <t>STOCKHOLMS LÄN</t>
        </is>
      </c>
      <c r="G948" t="inlineStr">
        <is>
          <t>NORRTÄLJE</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17551-2025</t>
        </is>
      </c>
      <c r="B949" t="inlineStr">
        <is>
          <t>avverkningsanmälan</t>
        </is>
      </c>
      <c r="C949" t="inlineStr">
        <is>
          <t>Föryngringsavverkning</t>
        </is>
      </c>
      <c r="D949" s="1" t="n">
        <v>45757</v>
      </c>
      <c r="E949" s="1" t="n">
        <v>46221</v>
      </c>
      <c r="F949" t="inlineStr">
        <is>
          <t>STOCKHOLMS LÄN</t>
        </is>
      </c>
      <c r="G949" t="inlineStr">
        <is>
          <t>NORRTÄLJE</t>
        </is>
      </c>
      <c r="I949" t="n">
        <v>2.8</v>
      </c>
      <c r="J949" t="n">
        <v>0</v>
      </c>
      <c r="K949" t="n">
        <v>0</v>
      </c>
      <c r="L949" t="n">
        <v>0</v>
      </c>
      <c r="M949" t="n">
        <v>0</v>
      </c>
      <c r="N949" t="n">
        <v>0</v>
      </c>
      <c r="O949" t="n">
        <v>0</v>
      </c>
      <c r="P949" t="n">
        <v>0</v>
      </c>
      <c r="Q949" t="n">
        <v>0</v>
      </c>
      <c r="R949" t="n">
        <v>0</v>
      </c>
      <c r="S949" t="n">
        <v>0</v>
      </c>
      <c r="T949" t="n">
        <v>0</v>
      </c>
      <c r="U949" s="2" t="inlineStr"/>
    </row>
    <row r="950" ht="15" customHeight="1">
      <c r="A950" t="inlineStr">
        <is>
          <t>A 10678-2025</t>
        </is>
      </c>
      <c r="B950" t="inlineStr">
        <is>
          <t>avverkningsanmälan</t>
        </is>
      </c>
      <c r="C950" t="inlineStr">
        <is>
          <t>Föryngringsavverkning</t>
        </is>
      </c>
      <c r="D950" s="1" t="n">
        <v>45721</v>
      </c>
      <c r="E950" s="1" t="n">
        <v>46221</v>
      </c>
      <c r="F950" t="inlineStr">
        <is>
          <t>STOCKHOLMS LÄN</t>
        </is>
      </c>
      <c r="G950" t="inlineStr">
        <is>
          <t>NORRTÄLJE</t>
        </is>
      </c>
      <c r="I950" t="n">
        <v>2.6</v>
      </c>
      <c r="J950" t="n">
        <v>0</v>
      </c>
      <c r="K950" t="n">
        <v>0</v>
      </c>
      <c r="L950" t="n">
        <v>0</v>
      </c>
      <c r="M950" t="n">
        <v>0</v>
      </c>
      <c r="N950" t="n">
        <v>0</v>
      </c>
      <c r="O950" t="n">
        <v>0</v>
      </c>
      <c r="P950" t="n">
        <v>0</v>
      </c>
      <c r="Q950" t="n">
        <v>0</v>
      </c>
      <c r="R950" t="n">
        <v>0</v>
      </c>
      <c r="S950" t="n">
        <v>0</v>
      </c>
      <c r="T950" t="n">
        <v>0</v>
      </c>
      <c r="U950" s="2" t="inlineStr"/>
    </row>
    <row r="951" ht="15" customHeight="1">
      <c r="A951" t="inlineStr">
        <is>
          <t>A 25696-2026</t>
        </is>
      </c>
      <c r="B951" t="inlineStr">
        <is>
          <t>avverkningsanmälan</t>
        </is>
      </c>
      <c r="C951" t="inlineStr">
        <is>
          <t>Föryngringsavverkning</t>
        </is>
      </c>
      <c r="D951" s="1" t="n">
        <v>46178</v>
      </c>
      <c r="E951" s="1" t="n">
        <v>46221</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8370-2025</t>
        </is>
      </c>
      <c r="B952" t="inlineStr">
        <is>
          <t>avverkningsanmälan</t>
        </is>
      </c>
      <c r="C952" t="inlineStr">
        <is>
          <t>Föryngringsavverkning</t>
        </is>
      </c>
      <c r="D952" s="1" t="n">
        <v>45708</v>
      </c>
      <c r="E952" s="1" t="n">
        <v>46221</v>
      </c>
      <c r="F952" t="inlineStr">
        <is>
          <t>STOCKHOLMS LÄN</t>
        </is>
      </c>
      <c r="G952" t="inlineStr">
        <is>
          <t>NORRTÄLJE</t>
        </is>
      </c>
      <c r="H952" t="inlineStr">
        <is>
          <t>Övriga Aktiebolag</t>
        </is>
      </c>
      <c r="I952" t="n">
        <v>5.6</v>
      </c>
      <c r="J952" t="n">
        <v>0</v>
      </c>
      <c r="K952" t="n">
        <v>0</v>
      </c>
      <c r="L952" t="n">
        <v>0</v>
      </c>
      <c r="M952" t="n">
        <v>0</v>
      </c>
      <c r="N952" t="n">
        <v>0</v>
      </c>
      <c r="O952" t="n">
        <v>0</v>
      </c>
      <c r="P952" t="n">
        <v>0</v>
      </c>
      <c r="Q952" t="n">
        <v>0</v>
      </c>
      <c r="R952" t="n">
        <v>0</v>
      </c>
      <c r="S952" t="n">
        <v>0</v>
      </c>
      <c r="T952" t="n">
        <v>0</v>
      </c>
      <c r="U952" s="2" t="inlineStr"/>
    </row>
    <row r="953" ht="15" customHeight="1">
      <c r="A953" t="inlineStr">
        <is>
          <t>A 951-2023</t>
        </is>
      </c>
      <c r="B953" t="inlineStr">
        <is>
          <t>avverkningsanmälan</t>
        </is>
      </c>
      <c r="C953" t="inlineStr">
        <is>
          <t>Föryngringsavverkning</t>
        </is>
      </c>
      <c r="D953" s="1" t="n">
        <v>44934</v>
      </c>
      <c r="E953" s="1" t="n">
        <v>46221</v>
      </c>
      <c r="F953" t="inlineStr">
        <is>
          <t>STOCKHOLMS LÄN</t>
        </is>
      </c>
      <c r="G953" t="inlineStr">
        <is>
          <t>NORRTÄLJE</t>
        </is>
      </c>
      <c r="I953" t="n">
        <v>3.7</v>
      </c>
      <c r="J953" t="n">
        <v>0</v>
      </c>
      <c r="K953" t="n">
        <v>0</v>
      </c>
      <c r="L953" t="n">
        <v>0</v>
      </c>
      <c r="M953" t="n">
        <v>0</v>
      </c>
      <c r="N953" t="n">
        <v>0</v>
      </c>
      <c r="O953" t="n">
        <v>0</v>
      </c>
      <c r="P953" t="n">
        <v>0</v>
      </c>
      <c r="Q953" t="n">
        <v>0</v>
      </c>
      <c r="R953" t="n">
        <v>0</v>
      </c>
      <c r="S953" t="n">
        <v>0</v>
      </c>
      <c r="T953" t="n">
        <v>0</v>
      </c>
      <c r="U953" s="2" t="inlineStr"/>
    </row>
    <row r="954" ht="15" customHeight="1">
      <c r="A954" t="inlineStr">
        <is>
          <t>A 32100-2022</t>
        </is>
      </c>
      <c r="B954" t="inlineStr">
        <is>
          <t>avverkningsanmälan</t>
        </is>
      </c>
      <c r="C954" t="inlineStr">
        <is>
          <t>Föryngringsavverkning</t>
        </is>
      </c>
      <c r="D954" s="1" t="n">
        <v>44778</v>
      </c>
      <c r="E954" s="1" t="n">
        <v>46221</v>
      </c>
      <c r="F954" t="inlineStr">
        <is>
          <t>STOCKHOLMS LÄN</t>
        </is>
      </c>
      <c r="G954" t="inlineStr">
        <is>
          <t>NORRTÄLJE</t>
        </is>
      </c>
      <c r="I954" t="n">
        <v>3.3</v>
      </c>
      <c r="J954" t="n">
        <v>0</v>
      </c>
      <c r="K954" t="n">
        <v>0</v>
      </c>
      <c r="L954" t="n">
        <v>0</v>
      </c>
      <c r="M954" t="n">
        <v>0</v>
      </c>
      <c r="N954" t="n">
        <v>0</v>
      </c>
      <c r="O954" t="n">
        <v>0</v>
      </c>
      <c r="P954" t="n">
        <v>0</v>
      </c>
      <c r="Q954" t="n">
        <v>0</v>
      </c>
      <c r="R954" t="n">
        <v>0</v>
      </c>
      <c r="S954" t="n">
        <v>0</v>
      </c>
      <c r="T954" t="n">
        <v>0</v>
      </c>
      <c r="U954" s="2" t="inlineStr"/>
    </row>
    <row r="955" ht="15" customHeight="1">
      <c r="A955" t="inlineStr">
        <is>
          <t>A 2888-2022</t>
        </is>
      </c>
      <c r="B955" t="inlineStr">
        <is>
          <t>avverkningsanmälan</t>
        </is>
      </c>
      <c r="C955" t="inlineStr">
        <is>
          <t>Föryngringsavverkning</t>
        </is>
      </c>
      <c r="D955" s="1" t="n">
        <v>44581</v>
      </c>
      <c r="E955" s="1" t="n">
        <v>46221</v>
      </c>
      <c r="F955" t="inlineStr">
        <is>
          <t>STOCKHOLMS LÄN</t>
        </is>
      </c>
      <c r="G955" t="inlineStr">
        <is>
          <t>NORRTÄLJE</t>
        </is>
      </c>
      <c r="I955" t="n">
        <v>2.4</v>
      </c>
      <c r="J955" t="n">
        <v>0</v>
      </c>
      <c r="K955" t="n">
        <v>0</v>
      </c>
      <c r="L955" t="n">
        <v>0</v>
      </c>
      <c r="M955" t="n">
        <v>0</v>
      </c>
      <c r="N955" t="n">
        <v>0</v>
      </c>
      <c r="O955" t="n">
        <v>0</v>
      </c>
      <c r="P955" t="n">
        <v>0</v>
      </c>
      <c r="Q955" t="n">
        <v>0</v>
      </c>
      <c r="R955" t="n">
        <v>0</v>
      </c>
      <c r="S955" t="n">
        <v>0</v>
      </c>
      <c r="T955" t="n">
        <v>0</v>
      </c>
      <c r="U955" s="2" t="inlineStr"/>
    </row>
    <row r="956" ht="15" customHeight="1">
      <c r="A956" t="inlineStr">
        <is>
          <t>A 11902-2024</t>
        </is>
      </c>
      <c r="B956" t="inlineStr">
        <is>
          <t>avverkningsanmälan</t>
        </is>
      </c>
      <c r="C956" t="inlineStr">
        <is>
          <t>Föryngringsavverkning</t>
        </is>
      </c>
      <c r="D956" s="1" t="n">
        <v>45376</v>
      </c>
      <c r="E956" s="1" t="n">
        <v>46221</v>
      </c>
      <c r="F956" t="inlineStr">
        <is>
          <t>STOCKHOLMS LÄN</t>
        </is>
      </c>
      <c r="G956" t="inlineStr">
        <is>
          <t>NORRTÄLJE</t>
        </is>
      </c>
      <c r="I956" t="n">
        <v>2.5</v>
      </c>
      <c r="J956" t="n">
        <v>0</v>
      </c>
      <c r="K956" t="n">
        <v>0</v>
      </c>
      <c r="L956" t="n">
        <v>0</v>
      </c>
      <c r="M956" t="n">
        <v>0</v>
      </c>
      <c r="N956" t="n">
        <v>0</v>
      </c>
      <c r="O956" t="n">
        <v>0</v>
      </c>
      <c r="P956" t="n">
        <v>0</v>
      </c>
      <c r="Q956" t="n">
        <v>0</v>
      </c>
      <c r="R956" t="n">
        <v>0</v>
      </c>
      <c r="S956" t="n">
        <v>0</v>
      </c>
      <c r="T956" t="n">
        <v>0</v>
      </c>
      <c r="U956" s="2" t="inlineStr"/>
    </row>
    <row r="957" ht="15" customHeight="1">
      <c r="A957" t="inlineStr">
        <is>
          <t>A 31428-2026</t>
        </is>
      </c>
      <c r="B957" t="inlineStr">
        <is>
          <t>avverkningsanmälan</t>
        </is>
      </c>
      <c r="C957" t="inlineStr">
        <is>
          <t>Föryngringsavverkning</t>
        </is>
      </c>
      <c r="D957" s="1" t="n">
        <v>46220</v>
      </c>
      <c r="E957" s="1" t="n">
        <v>46221</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13-2024</t>
        </is>
      </c>
      <c r="B958" t="inlineStr">
        <is>
          <t>avverkningsanmälan</t>
        </is>
      </c>
      <c r="C958" t="inlineStr">
        <is>
          <t>Föryngringsavverkning</t>
        </is>
      </c>
      <c r="D958" s="1" t="n">
        <v>45293</v>
      </c>
      <c r="E958" s="1" t="n">
        <v>46221</v>
      </c>
      <c r="F958" t="inlineStr">
        <is>
          <t>STOCKHOLMS LÄN</t>
        </is>
      </c>
      <c r="G958" t="inlineStr">
        <is>
          <t>NORRTÄLJE</t>
        </is>
      </c>
      <c r="I958" t="n">
        <v>1.6</v>
      </c>
      <c r="J958" t="n">
        <v>0</v>
      </c>
      <c r="K958" t="n">
        <v>0</v>
      </c>
      <c r="L958" t="n">
        <v>0</v>
      </c>
      <c r="M958" t="n">
        <v>0</v>
      </c>
      <c r="N958" t="n">
        <v>0</v>
      </c>
      <c r="O958" t="n">
        <v>0</v>
      </c>
      <c r="P958" t="n">
        <v>0</v>
      </c>
      <c r="Q958" t="n">
        <v>0</v>
      </c>
      <c r="R958" t="n">
        <v>0</v>
      </c>
      <c r="S958" t="n">
        <v>0</v>
      </c>
      <c r="T958" t="n">
        <v>0</v>
      </c>
      <c r="U958" s="2" t="inlineStr"/>
    </row>
    <row r="959" ht="15" customHeight="1">
      <c r="A959" t="inlineStr">
        <is>
          <t>A 58260-2023</t>
        </is>
      </c>
      <c r="B959" t="inlineStr">
        <is>
          <t>avverkningsanmälan</t>
        </is>
      </c>
      <c r="C959" t="inlineStr">
        <is>
          <t>Föryngringsavverkning</t>
        </is>
      </c>
      <c r="D959" s="1" t="n">
        <v>45245</v>
      </c>
      <c r="E959" s="1" t="n">
        <v>46221</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58261-2023</t>
        </is>
      </c>
      <c r="B960" t="inlineStr">
        <is>
          <t>avverkningsanmälan</t>
        </is>
      </c>
      <c r="C960" t="inlineStr">
        <is>
          <t>Avverkning för annat ändamål</t>
        </is>
      </c>
      <c r="D960" s="1" t="n">
        <v>45245</v>
      </c>
      <c r="E960" s="1" t="n">
        <v>46221</v>
      </c>
      <c r="F960" t="inlineStr">
        <is>
          <t>STOCKHOLMS LÄN</t>
        </is>
      </c>
      <c r="G960" t="inlineStr">
        <is>
          <t>NORRTÄLJE</t>
        </is>
      </c>
      <c r="I960" t="n">
        <v>53.5</v>
      </c>
      <c r="J960" t="n">
        <v>0</v>
      </c>
      <c r="K960" t="n">
        <v>0</v>
      </c>
      <c r="L960" t="n">
        <v>0</v>
      </c>
      <c r="M960" t="n">
        <v>0</v>
      </c>
      <c r="N960" t="n">
        <v>0</v>
      </c>
      <c r="O960" t="n">
        <v>0</v>
      </c>
      <c r="P960" t="n">
        <v>0</v>
      </c>
      <c r="Q960" t="n">
        <v>0</v>
      </c>
      <c r="R960" t="n">
        <v>0</v>
      </c>
      <c r="S960" t="n">
        <v>0</v>
      </c>
      <c r="T960" t="n">
        <v>0</v>
      </c>
      <c r="U960" s="2" t="inlineStr"/>
    </row>
    <row r="961" ht="15" customHeight="1">
      <c r="A961" t="inlineStr">
        <is>
          <t>A 4553-2023</t>
        </is>
      </c>
      <c r="B961" t="inlineStr">
        <is>
          <t>avverkningsanmälan</t>
        </is>
      </c>
      <c r="C961" t="inlineStr">
        <is>
          <t>Föryngringsavverkning</t>
        </is>
      </c>
      <c r="D961" s="1" t="n">
        <v>44956</v>
      </c>
      <c r="E961" s="1" t="n">
        <v>46221</v>
      </c>
      <c r="F961" t="inlineStr">
        <is>
          <t>STOCKHOLMS LÄN</t>
        </is>
      </c>
      <c r="G961" t="inlineStr">
        <is>
          <t>NORRTÄLJE</t>
        </is>
      </c>
      <c r="I961" t="n">
        <v>7.5</v>
      </c>
      <c r="J961" t="n">
        <v>0</v>
      </c>
      <c r="K961" t="n">
        <v>0</v>
      </c>
      <c r="L961" t="n">
        <v>0</v>
      </c>
      <c r="M961" t="n">
        <v>0</v>
      </c>
      <c r="N961" t="n">
        <v>0</v>
      </c>
      <c r="O961" t="n">
        <v>0</v>
      </c>
      <c r="P961" t="n">
        <v>0</v>
      </c>
      <c r="Q961" t="n">
        <v>0</v>
      </c>
      <c r="R961" t="n">
        <v>0</v>
      </c>
      <c r="S961" t="n">
        <v>0</v>
      </c>
      <c r="T961" t="n">
        <v>0</v>
      </c>
      <c r="U961" s="2" t="inlineStr"/>
    </row>
    <row r="962" ht="15" customHeight="1">
      <c r="A962" t="inlineStr">
        <is>
          <t>A 875-2023</t>
        </is>
      </c>
      <c r="B962" t="inlineStr">
        <is>
          <t>avverkningsanmälan</t>
        </is>
      </c>
      <c r="C962" t="inlineStr">
        <is>
          <t>Föryngringsavverkning</t>
        </is>
      </c>
      <c r="D962" s="1" t="n">
        <v>44931</v>
      </c>
      <c r="E962" s="1" t="n">
        <v>46221</v>
      </c>
      <c r="F962" t="inlineStr">
        <is>
          <t>STOCKHOLMS LÄN</t>
        </is>
      </c>
      <c r="G962" t="inlineStr">
        <is>
          <t>NORRTÄLJE</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24575-2024</t>
        </is>
      </c>
      <c r="B963" t="inlineStr">
        <is>
          <t>avverkningsanmälan</t>
        </is>
      </c>
      <c r="C963" t="inlineStr">
        <is>
          <t>Föryngringsavverkning</t>
        </is>
      </c>
      <c r="D963" s="1" t="n">
        <v>45460</v>
      </c>
      <c r="E963" s="1" t="n">
        <v>46221</v>
      </c>
      <c r="F963" t="inlineStr">
        <is>
          <t>STOCKHOLMS LÄN</t>
        </is>
      </c>
      <c r="G963" t="inlineStr">
        <is>
          <t>NORRTÄLJE</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19-2024</t>
        </is>
      </c>
      <c r="B964" t="inlineStr">
        <is>
          <t>avverkningsanmälan</t>
        </is>
      </c>
      <c r="C964" t="inlineStr">
        <is>
          <t>Föryngringsavverkning</t>
        </is>
      </c>
      <c r="D964" s="1" t="n">
        <v>45293</v>
      </c>
      <c r="E964" s="1" t="n">
        <v>46221</v>
      </c>
      <c r="F964" t="inlineStr">
        <is>
          <t>STOCKHOLMS LÄN</t>
        </is>
      </c>
      <c r="G964" t="inlineStr">
        <is>
          <t>NORRTÄLJE</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25507-2026</t>
        </is>
      </c>
      <c r="B965" t="inlineStr">
        <is>
          <t>avverkningsanmälan</t>
        </is>
      </c>
      <c r="C965" t="inlineStr">
        <is>
          <t>Föryngringsavverkning</t>
        </is>
      </c>
      <c r="D965" s="1" t="n">
        <v>46177</v>
      </c>
      <c r="E965" s="1" t="n">
        <v>46221</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s="2" t="inlineStr"/>
    </row>
    <row r="966" ht="15" customHeight="1">
      <c r="A966" t="inlineStr">
        <is>
          <t>A 25697-2026</t>
        </is>
      </c>
      <c r="B966" t="inlineStr">
        <is>
          <t>avverkningsanmälan</t>
        </is>
      </c>
      <c r="C966" t="inlineStr">
        <is>
          <t>Föryngringsavverkning</t>
        </is>
      </c>
      <c r="D966" s="1" t="n">
        <v>46178</v>
      </c>
      <c r="E966" s="1" t="n">
        <v>46221</v>
      </c>
      <c r="F966" t="inlineStr">
        <is>
          <t>STOCKHOLMS LÄN</t>
        </is>
      </c>
      <c r="G966" t="inlineStr">
        <is>
          <t>NORRTÄLJE</t>
        </is>
      </c>
      <c r="I966" t="n">
        <v>4.6</v>
      </c>
      <c r="J966" t="n">
        <v>0</v>
      </c>
      <c r="K966" t="n">
        <v>0</v>
      </c>
      <c r="L966" t="n">
        <v>0</v>
      </c>
      <c r="M966" t="n">
        <v>0</v>
      </c>
      <c r="N966" t="n">
        <v>0</v>
      </c>
      <c r="O966" t="n">
        <v>0</v>
      </c>
      <c r="P966" t="n">
        <v>0</v>
      </c>
      <c r="Q966" t="n">
        <v>0</v>
      </c>
      <c r="R966" t="n">
        <v>0</v>
      </c>
      <c r="S966" t="n">
        <v>0</v>
      </c>
      <c r="T966" t="n">
        <v>0</v>
      </c>
      <c r="U966" s="2" t="inlineStr"/>
    </row>
    <row r="967" ht="15" customHeight="1">
      <c r="A967" t="inlineStr">
        <is>
          <t>A 54496-2024</t>
        </is>
      </c>
      <c r="B967" t="inlineStr">
        <is>
          <t>avverkningsanmälan</t>
        </is>
      </c>
      <c r="C967" t="inlineStr">
        <is>
          <t>Föryngringsavverkning</t>
        </is>
      </c>
      <c r="D967" s="1" t="n">
        <v>45617</v>
      </c>
      <c r="E967" s="1" t="n">
        <v>46221</v>
      </c>
      <c r="F967" t="inlineStr">
        <is>
          <t>STOCKHOLMS LÄN</t>
        </is>
      </c>
      <c r="G967" t="inlineStr">
        <is>
          <t>NORRTÄLJE</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59767-2022</t>
        </is>
      </c>
      <c r="B968" t="inlineStr">
        <is>
          <t>avverkningsanmälan</t>
        </is>
      </c>
      <c r="C968" t="inlineStr">
        <is>
          <t>Föryngringsavverkning</t>
        </is>
      </c>
      <c r="D968" s="1" t="n">
        <v>44900</v>
      </c>
      <c r="E968" s="1" t="n">
        <v>46221</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s="2" t="inlineStr"/>
    </row>
    <row r="969" ht="15" customHeight="1">
      <c r="A969" t="inlineStr">
        <is>
          <t>A 22756-2022</t>
        </is>
      </c>
      <c r="B969" t="inlineStr">
        <is>
          <t>avverkningsanmälan</t>
        </is>
      </c>
      <c r="C969" t="inlineStr">
        <is>
          <t>Föryngringsavverkning</t>
        </is>
      </c>
      <c r="D969" s="1" t="n">
        <v>44714</v>
      </c>
      <c r="E969" s="1" t="n">
        <v>46221</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s="2" t="inlineStr"/>
    </row>
    <row r="970" ht="15" customHeight="1">
      <c r="A970" t="inlineStr">
        <is>
          <t>A 58311-2023</t>
        </is>
      </c>
      <c r="B970" t="inlineStr">
        <is>
          <t>avverkningsanmälan</t>
        </is>
      </c>
      <c r="C970" t="inlineStr">
        <is>
          <t>Föryngringsavverkning</t>
        </is>
      </c>
      <c r="D970" s="1" t="n">
        <v>45245</v>
      </c>
      <c r="E970" s="1" t="n">
        <v>46221</v>
      </c>
      <c r="F970" t="inlineStr">
        <is>
          <t>STOCKHOLMS LÄN</t>
        </is>
      </c>
      <c r="G970" t="inlineStr">
        <is>
          <t>NORRTÄLJE</t>
        </is>
      </c>
      <c r="I970" t="n">
        <v>2.3</v>
      </c>
      <c r="J970" t="n">
        <v>0</v>
      </c>
      <c r="K970" t="n">
        <v>0</v>
      </c>
      <c r="L970" t="n">
        <v>0</v>
      </c>
      <c r="M970" t="n">
        <v>0</v>
      </c>
      <c r="N970" t="n">
        <v>0</v>
      </c>
      <c r="O970" t="n">
        <v>0</v>
      </c>
      <c r="P970" t="n">
        <v>0</v>
      </c>
      <c r="Q970" t="n">
        <v>0</v>
      </c>
      <c r="R970" t="n">
        <v>0</v>
      </c>
      <c r="S970" t="n">
        <v>0</v>
      </c>
      <c r="T970" t="n">
        <v>0</v>
      </c>
      <c r="U970" s="2" t="inlineStr"/>
    </row>
    <row r="971" ht="15" customHeight="1">
      <c r="A971" t="inlineStr">
        <is>
          <t>A 8739-2024</t>
        </is>
      </c>
      <c r="B971" t="inlineStr">
        <is>
          <t>avverkningsanmälan</t>
        </is>
      </c>
      <c r="C971" t="inlineStr">
        <is>
          <t>Föryngringsavverkning</t>
        </is>
      </c>
      <c r="D971" s="1" t="n">
        <v>45356</v>
      </c>
      <c r="E971" s="1" t="n">
        <v>46221</v>
      </c>
      <c r="F971" t="inlineStr">
        <is>
          <t>STOCKHOLMS LÄN</t>
        </is>
      </c>
      <c r="G971" t="inlineStr">
        <is>
          <t>NORRTÄLJE</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26640-2023</t>
        </is>
      </c>
      <c r="B972" t="inlineStr">
        <is>
          <t>avverkningsanmälan</t>
        </is>
      </c>
      <c r="C972" t="inlineStr">
        <is>
          <t>Föryngringsavverkning</t>
        </is>
      </c>
      <c r="D972" s="1" t="n">
        <v>45092</v>
      </c>
      <c r="E972" s="1" t="n">
        <v>46221</v>
      </c>
      <c r="F972" t="inlineStr">
        <is>
          <t>STOCKHOLMS LÄN</t>
        </is>
      </c>
      <c r="G972" t="inlineStr">
        <is>
          <t>NORRTÄLJE</t>
        </is>
      </c>
      <c r="I972" t="n">
        <v>5.7</v>
      </c>
      <c r="J972" t="n">
        <v>0</v>
      </c>
      <c r="K972" t="n">
        <v>0</v>
      </c>
      <c r="L972" t="n">
        <v>0</v>
      </c>
      <c r="M972" t="n">
        <v>0</v>
      </c>
      <c r="N972" t="n">
        <v>0</v>
      </c>
      <c r="O972" t="n">
        <v>0</v>
      </c>
      <c r="P972" t="n">
        <v>0</v>
      </c>
      <c r="Q972" t="n">
        <v>0</v>
      </c>
      <c r="R972" t="n">
        <v>0</v>
      </c>
      <c r="S972" t="n">
        <v>0</v>
      </c>
      <c r="T972" t="n">
        <v>0</v>
      </c>
      <c r="U972" s="2" t="inlineStr"/>
    </row>
    <row r="973" ht="15" customHeight="1">
      <c r="A973" t="inlineStr">
        <is>
          <t>A 38990-2022</t>
        </is>
      </c>
      <c r="B973" t="inlineStr">
        <is>
          <t>avverkningsanmälan</t>
        </is>
      </c>
      <c r="C973" t="inlineStr">
        <is>
          <t>Föryngringsavverkning</t>
        </is>
      </c>
      <c r="D973" s="1" t="n">
        <v>44816</v>
      </c>
      <c r="E973" s="1" t="n">
        <v>46221</v>
      </c>
      <c r="F973" t="inlineStr">
        <is>
          <t>STOCKHOLMS LÄN</t>
        </is>
      </c>
      <c r="G973" t="inlineStr">
        <is>
          <t>NORRTÄLJE</t>
        </is>
      </c>
      <c r="I973" t="n">
        <v>5.7</v>
      </c>
      <c r="J973" t="n">
        <v>0</v>
      </c>
      <c r="K973" t="n">
        <v>0</v>
      </c>
      <c r="L973" t="n">
        <v>0</v>
      </c>
      <c r="M973" t="n">
        <v>0</v>
      </c>
      <c r="N973" t="n">
        <v>0</v>
      </c>
      <c r="O973" t="n">
        <v>0</v>
      </c>
      <c r="P973" t="n">
        <v>0</v>
      </c>
      <c r="Q973" t="n">
        <v>0</v>
      </c>
      <c r="R973" t="n">
        <v>0</v>
      </c>
      <c r="S973" t="n">
        <v>0</v>
      </c>
      <c r="T973" t="n">
        <v>0</v>
      </c>
      <c r="U973" s="2" t="inlineStr"/>
    </row>
    <row r="974" ht="15" customHeight="1">
      <c r="A974" t="inlineStr">
        <is>
          <t>A 23265-2023</t>
        </is>
      </c>
      <c r="B974" t="inlineStr">
        <is>
          <t>avverkningsanmälan</t>
        </is>
      </c>
      <c r="C974" t="inlineStr">
        <is>
          <t>Föryngringsavverkning</t>
        </is>
      </c>
      <c r="D974" s="1" t="n">
        <v>45075</v>
      </c>
      <c r="E974" s="1" t="n">
        <v>46221</v>
      </c>
      <c r="F974" t="inlineStr">
        <is>
          <t>STOCKHOLMS LÄN</t>
        </is>
      </c>
      <c r="G974" t="inlineStr">
        <is>
          <t>NORRTÄLJE</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30268-2024</t>
        </is>
      </c>
      <c r="B975" t="inlineStr">
        <is>
          <t>avverkningsanmälan</t>
        </is>
      </c>
      <c r="C975" t="inlineStr">
        <is>
          <t>Föryngringsavverkning</t>
        </is>
      </c>
      <c r="D975" s="1" t="n">
        <v>45490</v>
      </c>
      <c r="E975" s="1" t="n">
        <v>46221</v>
      </c>
      <c r="F975" t="inlineStr">
        <is>
          <t>STOCKHOLMS LÄN</t>
        </is>
      </c>
      <c r="G975" t="inlineStr">
        <is>
          <t>NORRTÄLJE</t>
        </is>
      </c>
      <c r="I975" t="n">
        <v>5.6</v>
      </c>
      <c r="J975" t="n">
        <v>0</v>
      </c>
      <c r="K975" t="n">
        <v>0</v>
      </c>
      <c r="L975" t="n">
        <v>0</v>
      </c>
      <c r="M975" t="n">
        <v>0</v>
      </c>
      <c r="N975" t="n">
        <v>0</v>
      </c>
      <c r="O975" t="n">
        <v>0</v>
      </c>
      <c r="P975" t="n">
        <v>0</v>
      </c>
      <c r="Q975" t="n">
        <v>0</v>
      </c>
      <c r="R975" t="n">
        <v>0</v>
      </c>
      <c r="S975" t="n">
        <v>0</v>
      </c>
      <c r="T975" t="n">
        <v>0</v>
      </c>
      <c r="U975" s="2" t="inlineStr"/>
    </row>
    <row r="976" ht="15" customHeight="1">
      <c r="A976" t="inlineStr">
        <is>
          <t>A 9246-2024</t>
        </is>
      </c>
      <c r="B976" t="inlineStr">
        <is>
          <t>avverkningsanmälan</t>
        </is>
      </c>
      <c r="C976" t="inlineStr">
        <is>
          <t>Avverkning för annat ändamål</t>
        </is>
      </c>
      <c r="D976" s="1" t="n">
        <v>45357</v>
      </c>
      <c r="E976" s="1" t="n">
        <v>46221</v>
      </c>
      <c r="F976" t="inlineStr">
        <is>
          <t>STOCKHOLMS LÄN</t>
        </is>
      </c>
      <c r="G976" t="inlineStr">
        <is>
          <t>NORRTÄLJE</t>
        </is>
      </c>
      <c r="I976" t="n">
        <v>1.3</v>
      </c>
      <c r="J976" t="n">
        <v>0</v>
      </c>
      <c r="K976" t="n">
        <v>0</v>
      </c>
      <c r="L976" t="n">
        <v>0</v>
      </c>
      <c r="M976" t="n">
        <v>0</v>
      </c>
      <c r="N976" t="n">
        <v>0</v>
      </c>
      <c r="O976" t="n">
        <v>0</v>
      </c>
      <c r="P976" t="n">
        <v>0</v>
      </c>
      <c r="Q976" t="n">
        <v>0</v>
      </c>
      <c r="R976" t="n">
        <v>0</v>
      </c>
      <c r="S976" t="n">
        <v>0</v>
      </c>
      <c r="T976" t="n">
        <v>0</v>
      </c>
      <c r="U976" s="2" t="inlineStr"/>
    </row>
    <row r="977" ht="15" customHeight="1">
      <c r="A977" t="inlineStr">
        <is>
          <t>A 50355-2024</t>
        </is>
      </c>
      <c r="B977" t="inlineStr">
        <is>
          <t>avverkningsanmälan</t>
        </is>
      </c>
      <c r="C977" t="inlineStr">
        <is>
          <t>Föryngringsavverkning</t>
        </is>
      </c>
      <c r="D977" s="1" t="n">
        <v>45600</v>
      </c>
      <c r="E977" s="1" t="n">
        <v>46221</v>
      </c>
      <c r="F977" t="inlineStr">
        <is>
          <t>STOCKHOLMS LÄN</t>
        </is>
      </c>
      <c r="G977" t="inlineStr">
        <is>
          <t>NORRTÄLJE</t>
        </is>
      </c>
      <c r="H977" t="inlineStr">
        <is>
          <t>Kommuner</t>
        </is>
      </c>
      <c r="I977" t="n">
        <v>1</v>
      </c>
      <c r="J977" t="n">
        <v>0</v>
      </c>
      <c r="K977" t="n">
        <v>0</v>
      </c>
      <c r="L977" t="n">
        <v>0</v>
      </c>
      <c r="M977" t="n">
        <v>0</v>
      </c>
      <c r="N977" t="n">
        <v>0</v>
      </c>
      <c r="O977" t="n">
        <v>0</v>
      </c>
      <c r="P977" t="n">
        <v>0</v>
      </c>
      <c r="Q977" t="n">
        <v>0</v>
      </c>
      <c r="R977" t="n">
        <v>0</v>
      </c>
      <c r="S977" t="n">
        <v>0</v>
      </c>
      <c r="T977" t="n">
        <v>0</v>
      </c>
      <c r="U977" s="2" t="inlineStr"/>
    </row>
    <row r="978" ht="15" customHeight="1">
      <c r="A978" t="inlineStr">
        <is>
          <t>A 60694-2024</t>
        </is>
      </c>
      <c r="B978" t="inlineStr">
        <is>
          <t>avverkningsanmälan</t>
        </is>
      </c>
      <c r="C978" t="inlineStr">
        <is>
          <t>Föryngringsavverkning</t>
        </is>
      </c>
      <c r="D978" s="1" t="n">
        <v>45644</v>
      </c>
      <c r="E978" s="1" t="n">
        <v>46221</v>
      </c>
      <c r="F978" t="inlineStr">
        <is>
          <t>STOCKHOLMS LÄN</t>
        </is>
      </c>
      <c r="G978" t="inlineStr">
        <is>
          <t>NORRTÄLJE</t>
        </is>
      </c>
      <c r="I978" t="n">
        <v>1.1</v>
      </c>
      <c r="J978" t="n">
        <v>0</v>
      </c>
      <c r="K978" t="n">
        <v>0</v>
      </c>
      <c r="L978" t="n">
        <v>0</v>
      </c>
      <c r="M978" t="n">
        <v>0</v>
      </c>
      <c r="N978" t="n">
        <v>0</v>
      </c>
      <c r="O978" t="n">
        <v>0</v>
      </c>
      <c r="P978" t="n">
        <v>0</v>
      </c>
      <c r="Q978" t="n">
        <v>0</v>
      </c>
      <c r="R978" t="n">
        <v>0</v>
      </c>
      <c r="S978" t="n">
        <v>0</v>
      </c>
      <c r="T978" t="n">
        <v>0</v>
      </c>
      <c r="U978" s="2" t="inlineStr"/>
    </row>
    <row r="979" ht="15" customHeight="1">
      <c r="A979" t="inlineStr">
        <is>
          <t>A 25094-2023</t>
        </is>
      </c>
      <c r="B979" t="inlineStr">
        <is>
          <t>avverkningsanmälan</t>
        </is>
      </c>
      <c r="C979" t="inlineStr">
        <is>
          <t>Föryngringsavverkning</t>
        </is>
      </c>
      <c r="D979" s="1" t="n">
        <v>45086</v>
      </c>
      <c r="E979" s="1" t="n">
        <v>46221</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59276-2023</t>
        </is>
      </c>
      <c r="B980" t="inlineStr">
        <is>
          <t>avverkningsanmälan</t>
        </is>
      </c>
      <c r="C980" t="inlineStr">
        <is>
          <t>Föryngringsavverkning</t>
        </is>
      </c>
      <c r="D980" s="1" t="n">
        <v>45253</v>
      </c>
      <c r="E980" s="1" t="n">
        <v>46221</v>
      </c>
      <c r="F980" t="inlineStr">
        <is>
          <t>STOCKHOLMS LÄN</t>
        </is>
      </c>
      <c r="G980" t="inlineStr">
        <is>
          <t>NORRTÄLJE</t>
        </is>
      </c>
      <c r="I980" t="n">
        <v>1.5</v>
      </c>
      <c r="J980" t="n">
        <v>0</v>
      </c>
      <c r="K980" t="n">
        <v>0</v>
      </c>
      <c r="L980" t="n">
        <v>0</v>
      </c>
      <c r="M980" t="n">
        <v>0</v>
      </c>
      <c r="N980" t="n">
        <v>0</v>
      </c>
      <c r="O980" t="n">
        <v>0</v>
      </c>
      <c r="P980" t="n">
        <v>0</v>
      </c>
      <c r="Q980" t="n">
        <v>0</v>
      </c>
      <c r="R980" t="n">
        <v>0</v>
      </c>
      <c r="S980" t="n">
        <v>0</v>
      </c>
      <c r="T980" t="n">
        <v>0</v>
      </c>
      <c r="U980" s="2" t="inlineStr"/>
    </row>
    <row r="981" ht="15" customHeight="1">
      <c r="A981" t="inlineStr">
        <is>
          <t>A 13767-2025</t>
        </is>
      </c>
      <c r="B981" t="inlineStr">
        <is>
          <t>avverkningsanmälan</t>
        </is>
      </c>
      <c r="C981" t="inlineStr">
        <is>
          <t>Föryngringsavverkning</t>
        </is>
      </c>
      <c r="D981" s="1" t="n">
        <v>45737</v>
      </c>
      <c r="E981" s="1" t="n">
        <v>46221</v>
      </c>
      <c r="F981" t="inlineStr">
        <is>
          <t>STOCKHOLMS LÄN</t>
        </is>
      </c>
      <c r="G981" t="inlineStr">
        <is>
          <t>NORRTÄLJE</t>
        </is>
      </c>
      <c r="H981" t="inlineStr">
        <is>
          <t>Holmen skog AB</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41587-2023</t>
        </is>
      </c>
      <c r="B982" t="inlineStr">
        <is>
          <t>avverkningsanmälan</t>
        </is>
      </c>
      <c r="C982" t="inlineStr">
        <is>
          <t>Avverkning för annat ändamål</t>
        </is>
      </c>
      <c r="D982" s="1" t="n">
        <v>45175</v>
      </c>
      <c r="E982" s="1" t="n">
        <v>46221</v>
      </c>
      <c r="F982" t="inlineStr">
        <is>
          <t>STOCKHOLMS LÄN</t>
        </is>
      </c>
      <c r="G982" t="inlineStr">
        <is>
          <t>NORRTÄLJE</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60529-2023</t>
        </is>
      </c>
      <c r="B983" t="inlineStr">
        <is>
          <t>avverkningsanmälan</t>
        </is>
      </c>
      <c r="C983" t="inlineStr">
        <is>
          <t>Föryngringsavverkning</t>
        </is>
      </c>
      <c r="D983" s="1" t="n">
        <v>45259</v>
      </c>
      <c r="E983" s="1" t="n">
        <v>46221</v>
      </c>
      <c r="F983" t="inlineStr">
        <is>
          <t>STOCKHOLMS LÄN</t>
        </is>
      </c>
      <c r="G983" t="inlineStr">
        <is>
          <t>NORRTÄLJE</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59326-2023</t>
        </is>
      </c>
      <c r="B984" t="inlineStr">
        <is>
          <t>avverkningsanmälan</t>
        </is>
      </c>
      <c r="C984" t="inlineStr">
        <is>
          <t>Föryngringsavverkning</t>
        </is>
      </c>
      <c r="D984" s="1" t="n">
        <v>45253</v>
      </c>
      <c r="E984" s="1" t="n">
        <v>46221</v>
      </c>
      <c r="F984" t="inlineStr">
        <is>
          <t>STOCKHOLMS LÄN</t>
        </is>
      </c>
      <c r="G984" t="inlineStr">
        <is>
          <t>NORRTÄLJE</t>
        </is>
      </c>
      <c r="I984" t="n">
        <v>1.3</v>
      </c>
      <c r="J984" t="n">
        <v>0</v>
      </c>
      <c r="K984" t="n">
        <v>0</v>
      </c>
      <c r="L984" t="n">
        <v>0</v>
      </c>
      <c r="M984" t="n">
        <v>0</v>
      </c>
      <c r="N984" t="n">
        <v>0</v>
      </c>
      <c r="O984" t="n">
        <v>0</v>
      </c>
      <c r="P984" t="n">
        <v>0</v>
      </c>
      <c r="Q984" t="n">
        <v>0</v>
      </c>
      <c r="R984" t="n">
        <v>0</v>
      </c>
      <c r="S984" t="n">
        <v>0</v>
      </c>
      <c r="T984" t="n">
        <v>0</v>
      </c>
      <c r="U984" s="2" t="inlineStr"/>
    </row>
    <row r="985" ht="15" customHeight="1">
      <c r="A985" t="inlineStr">
        <is>
          <t>A 3152-2024</t>
        </is>
      </c>
      <c r="B985" t="inlineStr">
        <is>
          <t>avverkningsanmälan</t>
        </is>
      </c>
      <c r="C985" t="inlineStr">
        <is>
          <t>Föryngringsavverkning</t>
        </is>
      </c>
      <c r="D985" s="1" t="n">
        <v>45316</v>
      </c>
      <c r="E985" s="1" t="n">
        <v>46221</v>
      </c>
      <c r="F985" t="inlineStr">
        <is>
          <t>STOCKHOLMS LÄN</t>
        </is>
      </c>
      <c r="G985" t="inlineStr">
        <is>
          <t>NORRTÄLJE</t>
        </is>
      </c>
      <c r="I985" t="n">
        <v>7.9</v>
      </c>
      <c r="J985" t="n">
        <v>0</v>
      </c>
      <c r="K985" t="n">
        <v>0</v>
      </c>
      <c r="L985" t="n">
        <v>0</v>
      </c>
      <c r="M985" t="n">
        <v>0</v>
      </c>
      <c r="N985" t="n">
        <v>0</v>
      </c>
      <c r="O985" t="n">
        <v>0</v>
      </c>
      <c r="P985" t="n">
        <v>0</v>
      </c>
      <c r="Q985" t="n">
        <v>0</v>
      </c>
      <c r="R985" t="n">
        <v>0</v>
      </c>
      <c r="S985" t="n">
        <v>0</v>
      </c>
      <c r="T985" t="n">
        <v>0</v>
      </c>
      <c r="U985" s="2" t="inlineStr"/>
    </row>
    <row r="986" ht="15" customHeight="1">
      <c r="A986" t="inlineStr">
        <is>
          <t>A 44836-2023</t>
        </is>
      </c>
      <c r="B986" t="inlineStr">
        <is>
          <t>avverkningsanmälan</t>
        </is>
      </c>
      <c r="C986" t="inlineStr">
        <is>
          <t>Föryngringsavverkning</t>
        </is>
      </c>
      <c r="D986" s="1" t="n">
        <v>45190</v>
      </c>
      <c r="E986" s="1" t="n">
        <v>46221</v>
      </c>
      <c r="F986" t="inlineStr">
        <is>
          <t>STOCKHOLMS LÄN</t>
        </is>
      </c>
      <c r="G986" t="inlineStr">
        <is>
          <t>NORRTÄLJE</t>
        </is>
      </c>
      <c r="I986" t="n">
        <v>2.3</v>
      </c>
      <c r="J986" t="n">
        <v>0</v>
      </c>
      <c r="K986" t="n">
        <v>0</v>
      </c>
      <c r="L986" t="n">
        <v>0</v>
      </c>
      <c r="M986" t="n">
        <v>0</v>
      </c>
      <c r="N986" t="n">
        <v>0</v>
      </c>
      <c r="O986" t="n">
        <v>0</v>
      </c>
      <c r="P986" t="n">
        <v>0</v>
      </c>
      <c r="Q986" t="n">
        <v>0</v>
      </c>
      <c r="R986" t="n">
        <v>0</v>
      </c>
      <c r="S986" t="n">
        <v>0</v>
      </c>
      <c r="T986" t="n">
        <v>0</v>
      </c>
      <c r="U986" s="2" t="inlineStr"/>
    </row>
    <row r="987" ht="15" customHeight="1">
      <c r="A987" t="inlineStr">
        <is>
          <t>A 21771-2025</t>
        </is>
      </c>
      <c r="B987" t="inlineStr">
        <is>
          <t>avverkningsanmälan</t>
        </is>
      </c>
      <c r="C987" t="inlineStr">
        <is>
          <t>Avverkning för annat ändamål</t>
        </is>
      </c>
      <c r="D987" s="1" t="n">
        <v>45783</v>
      </c>
      <c r="E987" s="1" t="n">
        <v>46221</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21778-2025</t>
        </is>
      </c>
      <c r="B988" t="inlineStr">
        <is>
          <t>avverkningsanmälan</t>
        </is>
      </c>
      <c r="C988" t="inlineStr">
        <is>
          <t>Föryngringsavverkning</t>
        </is>
      </c>
      <c r="D988" s="1" t="n">
        <v>45783</v>
      </c>
      <c r="E988" s="1" t="n">
        <v>46221</v>
      </c>
      <c r="F988" t="inlineStr">
        <is>
          <t>STOCKHOLMS LÄN</t>
        </is>
      </c>
      <c r="G988" t="inlineStr">
        <is>
          <t>NORRTÄLJE</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12902-2024</t>
        </is>
      </c>
      <c r="B989" t="inlineStr">
        <is>
          <t>avverkningsanmälan</t>
        </is>
      </c>
      <c r="C989" t="inlineStr">
        <is>
          <t>Föryngringsavverkning</t>
        </is>
      </c>
      <c r="D989" s="1" t="n">
        <v>45385</v>
      </c>
      <c r="E989" s="1" t="n">
        <v>46221</v>
      </c>
      <c r="F989" t="inlineStr">
        <is>
          <t>STOCKHOLMS LÄN</t>
        </is>
      </c>
      <c r="G989" t="inlineStr">
        <is>
          <t>NORRTÄLJE</t>
        </is>
      </c>
      <c r="I989" t="n">
        <v>3.7</v>
      </c>
      <c r="J989" t="n">
        <v>0</v>
      </c>
      <c r="K989" t="n">
        <v>0</v>
      </c>
      <c r="L989" t="n">
        <v>0</v>
      </c>
      <c r="M989" t="n">
        <v>0</v>
      </c>
      <c r="N989" t="n">
        <v>0</v>
      </c>
      <c r="O989" t="n">
        <v>0</v>
      </c>
      <c r="P989" t="n">
        <v>0</v>
      </c>
      <c r="Q989" t="n">
        <v>0</v>
      </c>
      <c r="R989" t="n">
        <v>0</v>
      </c>
      <c r="S989" t="n">
        <v>0</v>
      </c>
      <c r="T989" t="n">
        <v>0</v>
      </c>
      <c r="U989" s="2" t="inlineStr"/>
    </row>
    <row r="990" ht="15" customHeight="1">
      <c r="A990" t="inlineStr">
        <is>
          <t>A 39237-2024</t>
        </is>
      </c>
      <c r="B990" t="inlineStr">
        <is>
          <t>avverkningsanmälan</t>
        </is>
      </c>
      <c r="C990" t="inlineStr">
        <is>
          <t>Föryngringsavverkning</t>
        </is>
      </c>
      <c r="D990" s="1" t="n">
        <v>45549</v>
      </c>
      <c r="E990" s="1" t="n">
        <v>46221</v>
      </c>
      <c r="F990" t="inlineStr">
        <is>
          <t>STOCKHOLMS LÄN</t>
        </is>
      </c>
      <c r="G990" t="inlineStr">
        <is>
          <t>NORRTÄLJE</t>
        </is>
      </c>
      <c r="I990" t="n">
        <v>13.3</v>
      </c>
      <c r="J990" t="n">
        <v>0</v>
      </c>
      <c r="K990" t="n">
        <v>0</v>
      </c>
      <c r="L990" t="n">
        <v>0</v>
      </c>
      <c r="M990" t="n">
        <v>0</v>
      </c>
      <c r="N990" t="n">
        <v>0</v>
      </c>
      <c r="O990" t="n">
        <v>0</v>
      </c>
      <c r="P990" t="n">
        <v>0</v>
      </c>
      <c r="Q990" t="n">
        <v>0</v>
      </c>
      <c r="R990" t="n">
        <v>0</v>
      </c>
      <c r="S990" t="n">
        <v>0</v>
      </c>
      <c r="T990" t="n">
        <v>0</v>
      </c>
      <c r="U990" s="2" t="inlineStr"/>
    </row>
    <row r="991" ht="15" customHeight="1">
      <c r="A991" t="inlineStr">
        <is>
          <t>A 44891-2023</t>
        </is>
      </c>
      <c r="B991" t="inlineStr">
        <is>
          <t>avverkningsanmälan</t>
        </is>
      </c>
      <c r="C991" t="inlineStr">
        <is>
          <t>Föryngringsavverkning</t>
        </is>
      </c>
      <c r="D991" s="1" t="n">
        <v>45187</v>
      </c>
      <c r="E991" s="1" t="n">
        <v>46221</v>
      </c>
      <c r="F991" t="inlineStr">
        <is>
          <t>STOCKHOLMS LÄN</t>
        </is>
      </c>
      <c r="G991" t="inlineStr">
        <is>
          <t>NORRTÄLJE</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13268-2025</t>
        </is>
      </c>
      <c r="B992" t="inlineStr">
        <is>
          <t>avverkningsanmälan</t>
        </is>
      </c>
      <c r="C992" t="inlineStr">
        <is>
          <t>Föryngringsavverkning</t>
        </is>
      </c>
      <c r="D992" s="1" t="n">
        <v>45735</v>
      </c>
      <c r="E992" s="1" t="n">
        <v>46221</v>
      </c>
      <c r="F992" t="inlineStr">
        <is>
          <t>STOCKHOLMS LÄN</t>
        </is>
      </c>
      <c r="G992" t="inlineStr">
        <is>
          <t>NORRTÄLJE</t>
        </is>
      </c>
      <c r="I992" t="n">
        <v>11.4</v>
      </c>
      <c r="J992" t="n">
        <v>0</v>
      </c>
      <c r="K992" t="n">
        <v>0</v>
      </c>
      <c r="L992" t="n">
        <v>0</v>
      </c>
      <c r="M992" t="n">
        <v>0</v>
      </c>
      <c r="N992" t="n">
        <v>0</v>
      </c>
      <c r="O992" t="n">
        <v>0</v>
      </c>
      <c r="P992" t="n">
        <v>0</v>
      </c>
      <c r="Q992" t="n">
        <v>0</v>
      </c>
      <c r="R992" t="n">
        <v>0</v>
      </c>
      <c r="S992" t="n">
        <v>0</v>
      </c>
      <c r="T992" t="n">
        <v>0</v>
      </c>
      <c r="U992" s="2" t="inlineStr"/>
    </row>
    <row r="993" ht="15" customHeight="1">
      <c r="A993" t="inlineStr">
        <is>
          <t>A 8414-2025</t>
        </is>
      </c>
      <c r="B993" t="inlineStr">
        <is>
          <t>avverkningsanmälan</t>
        </is>
      </c>
      <c r="C993" t="inlineStr">
        <is>
          <t>Föryngringsavverkning</t>
        </is>
      </c>
      <c r="D993" s="1" t="n">
        <v>45709</v>
      </c>
      <c r="E993" s="1" t="n">
        <v>46221</v>
      </c>
      <c r="F993" t="inlineStr">
        <is>
          <t>STOCKHOLMS LÄN</t>
        </is>
      </c>
      <c r="G993" t="inlineStr">
        <is>
          <t>NORRTÄLJE</t>
        </is>
      </c>
      <c r="H993" t="inlineStr">
        <is>
          <t>Holmen skog AB</t>
        </is>
      </c>
      <c r="I993" t="n">
        <v>1.2</v>
      </c>
      <c r="J993" t="n">
        <v>0</v>
      </c>
      <c r="K993" t="n">
        <v>0</v>
      </c>
      <c r="L993" t="n">
        <v>0</v>
      </c>
      <c r="M993" t="n">
        <v>0</v>
      </c>
      <c r="N993" t="n">
        <v>0</v>
      </c>
      <c r="O993" t="n">
        <v>0</v>
      </c>
      <c r="P993" t="n">
        <v>0</v>
      </c>
      <c r="Q993" t="n">
        <v>0</v>
      </c>
      <c r="R993" t="n">
        <v>0</v>
      </c>
      <c r="S993" t="n">
        <v>0</v>
      </c>
      <c r="T993" t="n">
        <v>0</v>
      </c>
      <c r="U993" s="2" t="inlineStr"/>
    </row>
    <row r="994" ht="15" customHeight="1">
      <c r="A994" t="inlineStr">
        <is>
          <t>A 44032-2024</t>
        </is>
      </c>
      <c r="B994" t="inlineStr">
        <is>
          <t>avverkningsanmälan</t>
        </is>
      </c>
      <c r="C994" t="inlineStr">
        <is>
          <t>Föryngringsavverkning</t>
        </is>
      </c>
      <c r="D994" s="1" t="n">
        <v>45572</v>
      </c>
      <c r="E994" s="1" t="n">
        <v>46221</v>
      </c>
      <c r="F994" t="inlineStr">
        <is>
          <t>STOCKHOLMS LÄN</t>
        </is>
      </c>
      <c r="G994" t="inlineStr">
        <is>
          <t>NORRTÄLJE</t>
        </is>
      </c>
      <c r="I994" t="n">
        <v>8.6</v>
      </c>
      <c r="J994" t="n">
        <v>0</v>
      </c>
      <c r="K994" t="n">
        <v>0</v>
      </c>
      <c r="L994" t="n">
        <v>0</v>
      </c>
      <c r="M994" t="n">
        <v>0</v>
      </c>
      <c r="N994" t="n">
        <v>0</v>
      </c>
      <c r="O994" t="n">
        <v>0</v>
      </c>
      <c r="P994" t="n">
        <v>0</v>
      </c>
      <c r="Q994" t="n">
        <v>0</v>
      </c>
      <c r="R994" t="n">
        <v>0</v>
      </c>
      <c r="S994" t="n">
        <v>0</v>
      </c>
      <c r="T994" t="n">
        <v>0</v>
      </c>
      <c r="U994" s="2" t="inlineStr"/>
    </row>
    <row r="995" ht="15" customHeight="1">
      <c r="A995" t="inlineStr">
        <is>
          <t>A 36625-2024</t>
        </is>
      </c>
      <c r="B995" t="inlineStr">
        <is>
          <t>avverkningsanmälan</t>
        </is>
      </c>
      <c r="C995" t="inlineStr">
        <is>
          <t>Föryngringsavverkning</t>
        </is>
      </c>
      <c r="D995" s="1" t="n">
        <v>45537</v>
      </c>
      <c r="E995" s="1" t="n">
        <v>46221</v>
      </c>
      <c r="F995" t="inlineStr">
        <is>
          <t>STOCKHOLMS LÄN</t>
        </is>
      </c>
      <c r="G995" t="inlineStr">
        <is>
          <t>NORRTÄLJE</t>
        </is>
      </c>
      <c r="I995" t="n">
        <v>3.8</v>
      </c>
      <c r="J995" t="n">
        <v>0</v>
      </c>
      <c r="K995" t="n">
        <v>0</v>
      </c>
      <c r="L995" t="n">
        <v>0</v>
      </c>
      <c r="M995" t="n">
        <v>0</v>
      </c>
      <c r="N995" t="n">
        <v>0</v>
      </c>
      <c r="O995" t="n">
        <v>0</v>
      </c>
      <c r="P995" t="n">
        <v>0</v>
      </c>
      <c r="Q995" t="n">
        <v>0</v>
      </c>
      <c r="R995" t="n">
        <v>0</v>
      </c>
      <c r="S995" t="n">
        <v>0</v>
      </c>
      <c r="T995" t="n">
        <v>0</v>
      </c>
      <c r="U995" s="2" t="inlineStr"/>
    </row>
    <row r="996" ht="15" customHeight="1">
      <c r="A996" t="inlineStr">
        <is>
          <t>A 45746-2024</t>
        </is>
      </c>
      <c r="B996" t="inlineStr">
        <is>
          <t>avverkningsanmälan</t>
        </is>
      </c>
      <c r="C996" t="inlineStr">
        <is>
          <t>Föryngringsavverkning</t>
        </is>
      </c>
      <c r="D996" s="1" t="n">
        <v>45579</v>
      </c>
      <c r="E996" s="1" t="n">
        <v>46221</v>
      </c>
      <c r="F996" t="inlineStr">
        <is>
          <t>STOCKHOLMS LÄN</t>
        </is>
      </c>
      <c r="G996" t="inlineStr">
        <is>
          <t>NORRTÄLJE</t>
        </is>
      </c>
      <c r="I996" t="n">
        <v>3.3</v>
      </c>
      <c r="J996" t="n">
        <v>0</v>
      </c>
      <c r="K996" t="n">
        <v>0</v>
      </c>
      <c r="L996" t="n">
        <v>0</v>
      </c>
      <c r="M996" t="n">
        <v>0</v>
      </c>
      <c r="N996" t="n">
        <v>0</v>
      </c>
      <c r="O996" t="n">
        <v>0</v>
      </c>
      <c r="P996" t="n">
        <v>0</v>
      </c>
      <c r="Q996" t="n">
        <v>0</v>
      </c>
      <c r="R996" t="n">
        <v>0</v>
      </c>
      <c r="S996" t="n">
        <v>0</v>
      </c>
      <c r="T996" t="n">
        <v>0</v>
      </c>
      <c r="U996" s="2" t="inlineStr"/>
    </row>
    <row r="997" ht="15" customHeight="1">
      <c r="A997" t="inlineStr">
        <is>
          <t>A 8400-2024</t>
        </is>
      </c>
      <c r="B997" t="inlineStr">
        <is>
          <t>avverkningsanmälan</t>
        </is>
      </c>
      <c r="C997" t="inlineStr">
        <is>
          <t>Föryngringsavverkning</t>
        </is>
      </c>
      <c r="D997" s="1" t="n">
        <v>45352</v>
      </c>
      <c r="E997" s="1" t="n">
        <v>46221</v>
      </c>
      <c r="F997" t="inlineStr">
        <is>
          <t>STOCKHOLMS LÄN</t>
        </is>
      </c>
      <c r="G997" t="inlineStr">
        <is>
          <t>NORRTÄLJE</t>
        </is>
      </c>
      <c r="I997" t="n">
        <v>4.7</v>
      </c>
      <c r="J997" t="n">
        <v>0</v>
      </c>
      <c r="K997" t="n">
        <v>0</v>
      </c>
      <c r="L997" t="n">
        <v>0</v>
      </c>
      <c r="M997" t="n">
        <v>0</v>
      </c>
      <c r="N997" t="n">
        <v>0</v>
      </c>
      <c r="O997" t="n">
        <v>0</v>
      </c>
      <c r="P997" t="n">
        <v>0</v>
      </c>
      <c r="Q997" t="n">
        <v>0</v>
      </c>
      <c r="R997" t="n">
        <v>0</v>
      </c>
      <c r="S997" t="n">
        <v>0</v>
      </c>
      <c r="T997" t="n">
        <v>0</v>
      </c>
      <c r="U997" s="2" t="inlineStr"/>
    </row>
    <row r="998" ht="15" customHeight="1">
      <c r="A998" t="inlineStr">
        <is>
          <t>A 2182-2022</t>
        </is>
      </c>
      <c r="B998" t="inlineStr">
        <is>
          <t>avverkningsanmälan</t>
        </is>
      </c>
      <c r="C998" t="inlineStr">
        <is>
          <t>Föryngringsavverkning</t>
        </is>
      </c>
      <c r="D998" s="1" t="n">
        <v>44578</v>
      </c>
      <c r="E998" s="1" t="n">
        <v>46221</v>
      </c>
      <c r="F998" t="inlineStr">
        <is>
          <t>STOCKHOLMS LÄN</t>
        </is>
      </c>
      <c r="G998" t="inlineStr">
        <is>
          <t>NORRTÄLJE</t>
        </is>
      </c>
      <c r="I998" t="n">
        <v>7.2</v>
      </c>
      <c r="J998" t="n">
        <v>0</v>
      </c>
      <c r="K998" t="n">
        <v>0</v>
      </c>
      <c r="L998" t="n">
        <v>0</v>
      </c>
      <c r="M998" t="n">
        <v>0</v>
      </c>
      <c r="N998" t="n">
        <v>0</v>
      </c>
      <c r="O998" t="n">
        <v>0</v>
      </c>
      <c r="P998" t="n">
        <v>0</v>
      </c>
      <c r="Q998" t="n">
        <v>0</v>
      </c>
      <c r="R998" t="n">
        <v>0</v>
      </c>
      <c r="S998" t="n">
        <v>0</v>
      </c>
      <c r="T998" t="n">
        <v>0</v>
      </c>
      <c r="U998" s="2" t="inlineStr"/>
    </row>
    <row r="999" ht="15" customHeight="1">
      <c r="A999" t="inlineStr">
        <is>
          <t>A 16620-2024</t>
        </is>
      </c>
      <c r="B999" t="inlineStr">
        <is>
          <t>avverkningsanmälan</t>
        </is>
      </c>
      <c r="C999" t="inlineStr">
        <is>
          <t>Föryngringsavverkning</t>
        </is>
      </c>
      <c r="D999" s="1" t="n">
        <v>45408</v>
      </c>
      <c r="E999" s="1" t="n">
        <v>46221</v>
      </c>
      <c r="F999" t="inlineStr">
        <is>
          <t>STOCKHOLMS LÄN</t>
        </is>
      </c>
      <c r="G999" t="inlineStr">
        <is>
          <t>NORRTÄLJE</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58785-2024</t>
        </is>
      </c>
      <c r="B1000" t="inlineStr">
        <is>
          <t>avverkningsanmälan</t>
        </is>
      </c>
      <c r="C1000" t="inlineStr">
        <is>
          <t>Föryngringsavverkning</t>
        </is>
      </c>
      <c r="D1000" s="1" t="n">
        <v>45635</v>
      </c>
      <c r="E1000" s="1" t="n">
        <v>46221</v>
      </c>
      <c r="F1000" t="inlineStr">
        <is>
          <t>STOCKHOLMS LÄN</t>
        </is>
      </c>
      <c r="G1000" t="inlineStr">
        <is>
          <t>NORRTÄLJE</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62998-2023</t>
        </is>
      </c>
      <c r="B1001" t="inlineStr">
        <is>
          <t>avverkningsanmälan</t>
        </is>
      </c>
      <c r="C1001" t="inlineStr">
        <is>
          <t>Föryngringsavverkning</t>
        </is>
      </c>
      <c r="D1001" s="1" t="n">
        <v>45272</v>
      </c>
      <c r="E1001" s="1" t="n">
        <v>46221</v>
      </c>
      <c r="F1001" t="inlineStr">
        <is>
          <t>STOCKHOLMS LÄN</t>
        </is>
      </c>
      <c r="G1001" t="inlineStr">
        <is>
          <t>NORRTÄLJE</t>
        </is>
      </c>
      <c r="I1001" t="n">
        <v>16.3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63015-2023</t>
        </is>
      </c>
      <c r="B1002" t="inlineStr">
        <is>
          <t>avverkningsanmälan</t>
        </is>
      </c>
      <c r="C1002" t="inlineStr">
        <is>
          <t>Föryngringsavverkning</t>
        </is>
      </c>
      <c r="D1002" s="1" t="n">
        <v>45272</v>
      </c>
      <c r="E1002" s="1" t="n">
        <v>46221</v>
      </c>
      <c r="F1002" t="inlineStr">
        <is>
          <t>STOCKHOLMS LÄN</t>
        </is>
      </c>
      <c r="G1002" t="inlineStr">
        <is>
          <t>NORRTÄLJE</t>
        </is>
      </c>
      <c r="I1002" t="n">
        <v>13.1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12901-2024</t>
        </is>
      </c>
      <c r="B1003" t="inlineStr">
        <is>
          <t>avverkningsanmälan</t>
        </is>
      </c>
      <c r="C1003" t="inlineStr">
        <is>
          <t>Föryngringsavverkning</t>
        </is>
      </c>
      <c r="D1003" s="1" t="n">
        <v>45385</v>
      </c>
      <c r="E1003" s="1" t="n">
        <v>46221</v>
      </c>
      <c r="F1003" t="inlineStr">
        <is>
          <t>STOCKHOLMS LÄN</t>
        </is>
      </c>
      <c r="G1003" t="inlineStr">
        <is>
          <t>NORRTÄLJE</t>
        </is>
      </c>
      <c r="I1003" t="n">
        <v>2.7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12301-2025</t>
        </is>
      </c>
      <c r="B1004" t="inlineStr">
        <is>
          <t>avverkningsanmälan</t>
        </is>
      </c>
      <c r="C1004" t="inlineStr">
        <is>
          <t>Avverkning för att bevara och utveckla /försöksver</t>
        </is>
      </c>
      <c r="D1004" s="1" t="n">
        <v>45729</v>
      </c>
      <c r="E1004" s="1" t="n">
        <v>46221</v>
      </c>
      <c r="F1004" t="inlineStr">
        <is>
          <t>STOCKHOLMS LÄN</t>
        </is>
      </c>
      <c r="G1004" t="inlineStr">
        <is>
          <t>NORRTÄLJE</t>
        </is>
      </c>
      <c r="I1004" t="n">
        <v>3.2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8950-2025</t>
        </is>
      </c>
      <c r="B1005" t="inlineStr">
        <is>
          <t>avverkningsanmälan</t>
        </is>
      </c>
      <c r="C1005" t="inlineStr">
        <is>
          <t>Föryngringsavverkning</t>
        </is>
      </c>
      <c r="D1005" s="1" t="n">
        <v>45713</v>
      </c>
      <c r="E1005" s="1" t="n">
        <v>46221</v>
      </c>
      <c r="F1005" t="inlineStr">
        <is>
          <t>STOCKHOLMS LÄN</t>
        </is>
      </c>
      <c r="G1005" t="inlineStr">
        <is>
          <t>NORRTÄLJE</t>
        </is>
      </c>
      <c r="H1005" t="inlineStr">
        <is>
          <t>Övriga Aktiebolag</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20730-2024</t>
        </is>
      </c>
      <c r="B1006" t="inlineStr">
        <is>
          <t>avverkningsanmälan</t>
        </is>
      </c>
      <c r="C1006" t="inlineStr">
        <is>
          <t>Föryngringsavverkning</t>
        </is>
      </c>
      <c r="D1006" s="1" t="n">
        <v>45436</v>
      </c>
      <c r="E1006" s="1" t="n">
        <v>46221</v>
      </c>
      <c r="F1006" t="inlineStr">
        <is>
          <t>STOCKHOLMS LÄN</t>
        </is>
      </c>
      <c r="G1006" t="inlineStr">
        <is>
          <t>NORRTÄLJE</t>
        </is>
      </c>
      <c r="I1006" t="n">
        <v>7.3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33175-2024</t>
        </is>
      </c>
      <c r="B1007" t="inlineStr">
        <is>
          <t>avverkningsanmälan</t>
        </is>
      </c>
      <c r="C1007" t="inlineStr">
        <is>
          <t>Föryngringsavverkning</t>
        </is>
      </c>
      <c r="D1007" s="1" t="n">
        <v>45518</v>
      </c>
      <c r="E1007" s="1" t="n">
        <v>46221</v>
      </c>
      <c r="F1007" t="inlineStr">
        <is>
          <t>STOCKHOLMS LÄN</t>
        </is>
      </c>
      <c r="G1007" t="inlineStr">
        <is>
          <t>NORRTÄLJE</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27831-2024</t>
        </is>
      </c>
      <c r="B1008" t="inlineStr">
        <is>
          <t>avverkningsanmälan</t>
        </is>
      </c>
      <c r="C1008" t="inlineStr">
        <is>
          <t>Föryngringsavverkning</t>
        </is>
      </c>
      <c r="D1008" s="1" t="n">
        <v>45475</v>
      </c>
      <c r="E1008" s="1" t="n">
        <v>46221</v>
      </c>
      <c r="F1008" t="inlineStr">
        <is>
          <t>STOCKHOLMS LÄN</t>
        </is>
      </c>
      <c r="G1008" t="inlineStr">
        <is>
          <t>NORRTÄLJE</t>
        </is>
      </c>
      <c r="I1008" t="n">
        <v>3.8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21803-2022</t>
        </is>
      </c>
      <c r="B1009" t="inlineStr">
        <is>
          <t>avverkningsanmälan</t>
        </is>
      </c>
      <c r="C1009" t="inlineStr">
        <is>
          <t>Föryngringsavverkning</t>
        </is>
      </c>
      <c r="D1009" s="1" t="n">
        <v>44708</v>
      </c>
      <c r="E1009" s="1" t="n">
        <v>46221</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24687-2025</t>
        </is>
      </c>
      <c r="B1010" t="inlineStr">
        <is>
          <t>avverkningsanmälan</t>
        </is>
      </c>
      <c r="C1010" t="inlineStr">
        <is>
          <t>Föryngringsavverkning</t>
        </is>
      </c>
      <c r="D1010" s="1" t="n">
        <v>45798</v>
      </c>
      <c r="E1010" s="1" t="n">
        <v>46221</v>
      </c>
      <c r="F1010" t="inlineStr">
        <is>
          <t>STOCKHOLMS LÄN</t>
        </is>
      </c>
      <c r="G1010" t="inlineStr">
        <is>
          <t>NORRTÄLJE</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24690-2025</t>
        </is>
      </c>
      <c r="B1011" t="inlineStr">
        <is>
          <t>avverkningsanmälan</t>
        </is>
      </c>
      <c r="C1011" t="inlineStr">
        <is>
          <t>Föryngringsavverkning</t>
        </is>
      </c>
      <c r="D1011" s="1" t="n">
        <v>45798</v>
      </c>
      <c r="E1011" s="1" t="n">
        <v>46221</v>
      </c>
      <c r="F1011" t="inlineStr">
        <is>
          <t>STOCKHOLMS LÄN</t>
        </is>
      </c>
      <c r="G1011" t="inlineStr">
        <is>
          <t>NORRTÄLJE</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24638-2025</t>
        </is>
      </c>
      <c r="B1012" t="inlineStr">
        <is>
          <t>avverkningsanmälan</t>
        </is>
      </c>
      <c r="C1012" t="inlineStr">
        <is>
          <t>Avverkning för annat ändamål</t>
        </is>
      </c>
      <c r="D1012" s="1" t="n">
        <v>45798</v>
      </c>
      <c r="E1012" s="1" t="n">
        <v>46221</v>
      </c>
      <c r="F1012" t="inlineStr">
        <is>
          <t>STOCKHOLMS LÄN</t>
        </is>
      </c>
      <c r="G1012" t="inlineStr">
        <is>
          <t>NORRTÄLJE</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25721-2025</t>
        </is>
      </c>
      <c r="B1013" t="inlineStr">
        <is>
          <t>avverkningsanmälan</t>
        </is>
      </c>
      <c r="C1013" t="inlineStr">
        <is>
          <t>Föryngringsavverkning</t>
        </is>
      </c>
      <c r="D1013" s="1" t="n">
        <v>45800</v>
      </c>
      <c r="E1013" s="1" t="n">
        <v>46221</v>
      </c>
      <c r="F1013" t="inlineStr">
        <is>
          <t>STOCKHOLMS LÄN</t>
        </is>
      </c>
      <c r="G1013" t="inlineStr">
        <is>
          <t>NORRTÄLJE</t>
        </is>
      </c>
      <c r="I1013" t="n">
        <v>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25571-2025</t>
        </is>
      </c>
      <c r="B1014" t="inlineStr">
        <is>
          <t>avverkningsanmälan</t>
        </is>
      </c>
      <c r="C1014" t="inlineStr">
        <is>
          <t>Föryngringsavverkning</t>
        </is>
      </c>
      <c r="D1014" s="1" t="n">
        <v>45803</v>
      </c>
      <c r="E1014" s="1" t="n">
        <v>46221</v>
      </c>
      <c r="F1014" t="inlineStr">
        <is>
          <t>STOCKHOLMS LÄN</t>
        </is>
      </c>
      <c r="G1014" t="inlineStr">
        <is>
          <t>NORRTÄLJE</t>
        </is>
      </c>
      <c r="I1014" t="n">
        <v>5.4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53561-2023</t>
        </is>
      </c>
      <c r="B1015" t="inlineStr">
        <is>
          <t>avverkningsanmälan</t>
        </is>
      </c>
      <c r="C1015" t="inlineStr">
        <is>
          <t>Föryngringsavverkning</t>
        </is>
      </c>
      <c r="D1015" s="1" t="n">
        <v>45224</v>
      </c>
      <c r="E1015" s="1" t="n">
        <v>46221</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39238-2024</t>
        </is>
      </c>
      <c r="B1016" t="inlineStr">
        <is>
          <t>avverkningsanmälan</t>
        </is>
      </c>
      <c r="C1016" t="inlineStr">
        <is>
          <t>Föryngringsavverkning</t>
        </is>
      </c>
      <c r="D1016" s="1" t="n">
        <v>45549</v>
      </c>
      <c r="E1016" s="1" t="n">
        <v>46221</v>
      </c>
      <c r="F1016" t="inlineStr">
        <is>
          <t>STOCKHOLMS LÄN</t>
        </is>
      </c>
      <c r="G1016" t="inlineStr">
        <is>
          <t>NORRTÄLJE</t>
        </is>
      </c>
      <c r="I1016" t="n">
        <v>3.6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38449-2022</t>
        </is>
      </c>
      <c r="B1017" t="inlineStr">
        <is>
          <t>avverkningsanmälan</t>
        </is>
      </c>
      <c r="C1017" t="inlineStr">
        <is>
          <t>Föryngringsavverkning</t>
        </is>
      </c>
      <c r="D1017" s="1" t="n">
        <v>44813</v>
      </c>
      <c r="E1017" s="1" t="n">
        <v>46221</v>
      </c>
      <c r="F1017" t="inlineStr">
        <is>
          <t>STOCKHOLMS LÄN</t>
        </is>
      </c>
      <c r="G1017" t="inlineStr">
        <is>
          <t>NORRTÄLJE</t>
        </is>
      </c>
      <c r="I1017" t="n">
        <v>4.2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2054-2020</t>
        </is>
      </c>
      <c r="B1018" t="inlineStr">
        <is>
          <t>samrådsanmälan</t>
        </is>
      </c>
      <c r="C1018" t="inlineStr">
        <is>
          <t>Åtgärd i nyckelbiotop</t>
        </is>
      </c>
      <c r="D1018" s="1" t="n">
        <v>44099</v>
      </c>
      <c r="E1018" s="1" t="n">
        <v>46221</v>
      </c>
      <c r="F1018" t="inlineStr">
        <is>
          <t>STOCKHOLMS LÄN</t>
        </is>
      </c>
      <c r="G1018" t="inlineStr">
        <is>
          <t>NORRTÄLJE</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1151-2020</t>
        </is>
      </c>
      <c r="B1019" t="inlineStr">
        <is>
          <t>samrådsanmälan</t>
        </is>
      </c>
      <c r="C1019" t="inlineStr">
        <is>
          <t>Åtgärd i nyckelbiotop</t>
        </is>
      </c>
      <c r="D1019" s="1" t="n">
        <v>43969</v>
      </c>
      <c r="E1019" s="1" t="n">
        <v>46221</v>
      </c>
      <c r="F1019" t="inlineStr">
        <is>
          <t>STOCKHOLMS LÄN</t>
        </is>
      </c>
      <c r="G1019" t="inlineStr">
        <is>
          <t>NORRTÄLJE</t>
        </is>
      </c>
      <c r="I1019" t="n">
        <v>4.9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404-2023</t>
        </is>
      </c>
      <c r="B1020" t="inlineStr">
        <is>
          <t>samrådsanmälan</t>
        </is>
      </c>
      <c r="C1020" t="inlineStr">
        <is>
          <t>Annan skogsbruksåtgärd</t>
        </is>
      </c>
      <c r="D1020" s="1" t="n">
        <v>44959</v>
      </c>
      <c r="E1020" s="1" t="n">
        <v>46221</v>
      </c>
      <c r="F1020" t="inlineStr">
        <is>
          <t>STOCKHOLMS LÄN</t>
        </is>
      </c>
      <c r="G1020" t="inlineStr">
        <is>
          <t>NORRTÄLJE</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919-2020</t>
        </is>
      </c>
      <c r="B1021" t="inlineStr">
        <is>
          <t>samrådsanmälan</t>
        </is>
      </c>
      <c r="C1021" t="inlineStr">
        <is>
          <t>Åtgärd i nyckelbiotop</t>
        </is>
      </c>
      <c r="D1021" s="1" t="n">
        <v>43943</v>
      </c>
      <c r="E1021" s="1" t="n">
        <v>46221</v>
      </c>
      <c r="F1021" t="inlineStr">
        <is>
          <t>STOCKHOLMS LÄN</t>
        </is>
      </c>
      <c r="G1021" t="inlineStr">
        <is>
          <t>NORRTÄLJE</t>
        </is>
      </c>
      <c r="I1021" t="n">
        <v>9.699999999999999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821-2022</t>
        </is>
      </c>
      <c r="B1022" t="inlineStr">
        <is>
          <t>samrådsanmälan</t>
        </is>
      </c>
      <c r="C1022" t="inlineStr">
        <is>
          <t>Åtgärd i nyckelbiotop</t>
        </is>
      </c>
      <c r="D1022" s="1" t="n">
        <v>44599</v>
      </c>
      <c r="E1022" s="1" t="n">
        <v>46221</v>
      </c>
      <c r="F1022" t="inlineStr">
        <is>
          <t>STOCKHOLMS LÄN</t>
        </is>
      </c>
      <c r="G1022" t="inlineStr">
        <is>
          <t>NORRTÄLJE</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1511-2022</t>
        </is>
      </c>
      <c r="B1023" t="inlineStr">
        <is>
          <t>samrådsanmälan</t>
        </is>
      </c>
      <c r="C1023" t="inlineStr">
        <is>
          <t>Annan skogsbruksåtgärd</t>
        </is>
      </c>
      <c r="D1023" s="1" t="n">
        <v>44638</v>
      </c>
      <c r="E1023" s="1" t="n">
        <v>46221</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1733-2022</t>
        </is>
      </c>
      <c r="B1024" t="inlineStr">
        <is>
          <t>samrådsanmälan</t>
        </is>
      </c>
      <c r="C1024" t="inlineStr">
        <is>
          <t>Åtgärd i nyckelbiotop</t>
        </is>
      </c>
      <c r="D1024" s="1" t="n">
        <v>44652</v>
      </c>
      <c r="E1024" s="1" t="n">
        <v>46221</v>
      </c>
      <c r="F1024" t="inlineStr">
        <is>
          <t>STOCKHOLMS LÄN</t>
        </is>
      </c>
      <c r="G1024" t="inlineStr">
        <is>
          <t>NORRTÄLJE</t>
        </is>
      </c>
      <c r="I1024" t="n">
        <v>4.5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1291-2022</t>
        </is>
      </c>
      <c r="B1025" t="inlineStr">
        <is>
          <t>samrådsanmälan</t>
        </is>
      </c>
      <c r="C1025" t="inlineStr">
        <is>
          <t>Åtgärd i nyckelbiotop</t>
        </is>
      </c>
      <c r="D1025" s="1" t="n">
        <v>44627</v>
      </c>
      <c r="E1025" s="1" t="n">
        <v>46221</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10462-2021</t>
        </is>
      </c>
      <c r="B1026" t="inlineStr">
        <is>
          <t>samrådsanmälan</t>
        </is>
      </c>
      <c r="C1026" t="inlineStr">
        <is>
          <t>Åtgärd i nyckelbiotop</t>
        </is>
      </c>
      <c r="D1026" s="1" t="n">
        <v>44558</v>
      </c>
      <c r="E1026" s="1" t="n">
        <v>46221</v>
      </c>
      <c r="F1026" t="inlineStr">
        <is>
          <t>STOCKHOLMS LÄN</t>
        </is>
      </c>
      <c r="G1026" t="inlineStr">
        <is>
          <t>NORRTÄLJE</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1093-2022</t>
        </is>
      </c>
      <c r="B1027" t="inlineStr">
        <is>
          <t>samrådsanmälan</t>
        </is>
      </c>
      <c r="C1027" t="inlineStr">
        <is>
          <t>Annan skogsbruksåtgärd</t>
        </is>
      </c>
      <c r="D1027" s="1" t="n">
        <v>44614</v>
      </c>
      <c r="E1027" s="1" t="n">
        <v>46221</v>
      </c>
      <c r="F1027" t="inlineStr">
        <is>
          <t>STOCKHOLMS LÄN</t>
        </is>
      </c>
      <c r="G1027" t="inlineStr">
        <is>
          <t>NORRTÄLJE</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230-2022</t>
        </is>
      </c>
      <c r="B1028" t="inlineStr">
        <is>
          <t>samrådsanmälan</t>
        </is>
      </c>
      <c r="C1028" t="inlineStr">
        <is>
          <t>Annan skogsbruksåtgärd</t>
        </is>
      </c>
      <c r="D1028" s="1" t="n">
        <v>44574</v>
      </c>
      <c r="E1028" s="1" t="n">
        <v>46221</v>
      </c>
      <c r="F1028" t="inlineStr">
        <is>
          <t>STOCKHOLMS LÄN</t>
        </is>
      </c>
      <c r="G1028" t="inlineStr">
        <is>
          <t>NORRTÄLJE</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2402-2022</t>
        </is>
      </c>
      <c r="B1029" t="inlineStr">
        <is>
          <t>samrådsanmälan</t>
        </is>
      </c>
      <c r="C1029" t="inlineStr">
        <is>
          <t>Åtgärd i nyckelbiotop</t>
        </is>
      </c>
      <c r="D1029" s="1" t="n">
        <v>44690</v>
      </c>
      <c r="E1029" s="1" t="n">
        <v>46221</v>
      </c>
      <c r="F1029" t="inlineStr">
        <is>
          <t>STOCKHOLMS LÄN</t>
        </is>
      </c>
      <c r="G1029" t="inlineStr">
        <is>
          <t>NORRTÄLJE</t>
        </is>
      </c>
      <c r="I1029" t="n">
        <v>7.5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5923-2022</t>
        </is>
      </c>
      <c r="B1030" t="inlineStr">
        <is>
          <t>samrådsanmälan</t>
        </is>
      </c>
      <c r="C1030" t="inlineStr">
        <is>
          <t>Annan skogsbruksåtgärd</t>
        </is>
      </c>
      <c r="D1030" s="1" t="n">
        <v>44854</v>
      </c>
      <c r="E1030" s="1" t="n">
        <v>46221</v>
      </c>
      <c r="F1030" t="inlineStr">
        <is>
          <t>STOCKHOLMS LÄN</t>
        </is>
      </c>
      <c r="G1030" t="inlineStr">
        <is>
          <t>NORRTÄLJE</t>
        </is>
      </c>
      <c r="I1030" t="n">
        <v>9.800000000000001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4310-2023</t>
        </is>
      </c>
      <c r="B1031" t="inlineStr">
        <is>
          <t>samrådsanmälan</t>
        </is>
      </c>
      <c r="C1031" t="inlineStr">
        <is>
          <t>Annan skogsbruksåtgärd</t>
        </is>
      </c>
      <c r="D1031" s="1" t="n">
        <v>45260</v>
      </c>
      <c r="E1031" s="1" t="n">
        <v>46221</v>
      </c>
      <c r="F1031" t="inlineStr">
        <is>
          <t>STOCKHOLMS LÄN</t>
        </is>
      </c>
      <c r="G1031" t="inlineStr">
        <is>
          <t>NORRTÄLJE</t>
        </is>
      </c>
      <c r="I1031" t="n">
        <v>0</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769-2024</t>
        </is>
      </c>
      <c r="B1032" t="inlineStr">
        <is>
          <t>samrådsanmälan</t>
        </is>
      </c>
      <c r="C1032" t="inlineStr">
        <is>
          <t>Annan skogsbruksåtgärd</t>
        </is>
      </c>
      <c r="D1032" s="1" t="n">
        <v>45366</v>
      </c>
      <c r="E1032" s="1" t="n">
        <v>46221</v>
      </c>
      <c r="F1032" t="inlineStr">
        <is>
          <t>STOCKHOLMS LÄN</t>
        </is>
      </c>
      <c r="G1032" t="inlineStr">
        <is>
          <t>NORRTÄLJE</t>
        </is>
      </c>
      <c r="I1032" t="n">
        <v>2.4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3425-2024</t>
        </is>
      </c>
      <c r="B1033" t="inlineStr">
        <is>
          <t>samrådsanmälan</t>
        </is>
      </c>
      <c r="C1033" t="inlineStr">
        <is>
          <t>Annan skogsbruksåtgärd</t>
        </is>
      </c>
      <c r="D1033" s="1" t="n">
        <v>45537</v>
      </c>
      <c r="E1033" s="1" t="n">
        <v>46221</v>
      </c>
      <c r="F1033" t="inlineStr">
        <is>
          <t>STOCKHOLMS LÄN</t>
        </is>
      </c>
      <c r="G1033" t="inlineStr">
        <is>
          <t>NORRTÄLJE</t>
        </is>
      </c>
      <c r="I1033" t="n">
        <v>3.9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8563-2021</t>
        </is>
      </c>
      <c r="B1034" t="inlineStr">
        <is>
          <t>samrådsanmälan</t>
        </is>
      </c>
      <c r="C1034" t="inlineStr">
        <is>
          <t>Åtgärd i nyckelbiotop</t>
        </is>
      </c>
      <c r="D1034" s="1" t="n">
        <v>44497</v>
      </c>
      <c r="E1034" s="1" t="n">
        <v>46221</v>
      </c>
      <c r="F1034" t="inlineStr">
        <is>
          <t>STOCKHOLMS LÄN</t>
        </is>
      </c>
      <c r="G1034" t="inlineStr">
        <is>
          <t>NORRTÄLJE</t>
        </is>
      </c>
      <c r="I1034" t="n">
        <v>6.3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8559-2021</t>
        </is>
      </c>
      <c r="B1035" t="inlineStr">
        <is>
          <t>samrådsanmälan</t>
        </is>
      </c>
      <c r="C1035" t="inlineStr">
        <is>
          <t>Åtgärd i nyckelbiotop</t>
        </is>
      </c>
      <c r="D1035" s="1" t="n">
        <v>44497</v>
      </c>
      <c r="E1035" s="1" t="n">
        <v>46221</v>
      </c>
      <c r="F1035" t="inlineStr">
        <is>
          <t>STOCKHOLMS LÄN</t>
        </is>
      </c>
      <c r="G1035" t="inlineStr">
        <is>
          <t>NORRTÄLJE</t>
        </is>
      </c>
      <c r="I1035" t="n">
        <v>6.6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599-2023</t>
        </is>
      </c>
      <c r="B1036" t="inlineStr">
        <is>
          <t>samrådsanmälan</t>
        </is>
      </c>
      <c r="C1036" t="inlineStr">
        <is>
          <t>Annan skogsbruksåtgärd</t>
        </is>
      </c>
      <c r="D1036" s="1" t="n">
        <v>44971</v>
      </c>
      <c r="E1036" s="1" t="n">
        <v>46221</v>
      </c>
      <c r="F1036" t="inlineStr">
        <is>
          <t>STOCKHOLMS LÄN</t>
        </is>
      </c>
      <c r="G1036" t="inlineStr">
        <is>
          <t>NORRTÄLJE</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4005-2024</t>
        </is>
      </c>
      <c r="B1037" t="inlineStr">
        <is>
          <t>samrådsanmälan</t>
        </is>
      </c>
      <c r="C1037" t="inlineStr">
        <is>
          <t>Annan skogsbruksåtgärd</t>
        </is>
      </c>
      <c r="D1037" s="1" t="n">
        <v>45569</v>
      </c>
      <c r="E1037" s="1" t="n">
        <v>46221</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3205-2023</t>
        </is>
      </c>
      <c r="B1038" t="inlineStr">
        <is>
          <t>samrådsanmälan</t>
        </is>
      </c>
      <c r="C1038" t="inlineStr">
        <is>
          <t>Annan skogsbruksåtgärd</t>
        </is>
      </c>
      <c r="D1038" s="1" t="n">
        <v>45188</v>
      </c>
      <c r="E1038" s="1" t="n">
        <v>46221</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543-2023</t>
        </is>
      </c>
      <c r="B1039" t="inlineStr">
        <is>
          <t>samrådsanmälan</t>
        </is>
      </c>
      <c r="C1039" t="inlineStr">
        <is>
          <t>Annan skogsbruksåtgärd</t>
        </is>
      </c>
      <c r="D1039" s="1" t="n">
        <v>44973</v>
      </c>
      <c r="E1039" s="1" t="n">
        <v>46221</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3068-2023</t>
        </is>
      </c>
      <c r="B1040" t="inlineStr">
        <is>
          <t>samrådsanmälan</t>
        </is>
      </c>
      <c r="C1040" t="inlineStr">
        <is>
          <t>Annan skogsbruksåtgärd</t>
        </is>
      </c>
      <c r="D1040" s="1" t="n">
        <v>45183</v>
      </c>
      <c r="E1040" s="1" t="n">
        <v>46221</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644-2023</t>
        </is>
      </c>
      <c r="B1041" t="inlineStr">
        <is>
          <t>samrådsanmälan</t>
        </is>
      </c>
      <c r="C1041" t="inlineStr">
        <is>
          <t>Annan skogsbruksåtgärd</t>
        </is>
      </c>
      <c r="D1041" s="1" t="n">
        <v>44973</v>
      </c>
      <c r="E1041" s="1" t="n">
        <v>46221</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1807-2025</t>
        </is>
      </c>
      <c r="B1042" t="inlineStr">
        <is>
          <t>samrådsanmälan</t>
        </is>
      </c>
      <c r="C1042" t="inlineStr">
        <is>
          <t>Annan skogsbruksåtgärd</t>
        </is>
      </c>
      <c r="D1042" s="1" t="n">
        <v>45817</v>
      </c>
      <c r="E1042" s="1" t="n">
        <v>46221</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1726-2025</t>
        </is>
      </c>
      <c r="B1043" t="inlineStr">
        <is>
          <t>samrådsanmälan</t>
        </is>
      </c>
      <c r="C1043" t="inlineStr">
        <is>
          <t>Annan skogsbruksåtgärd</t>
        </is>
      </c>
      <c r="D1043" s="1" t="n">
        <v>45807</v>
      </c>
      <c r="E1043" s="1" t="n">
        <v>46221</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347-2026</t>
        </is>
      </c>
      <c r="B1044" t="inlineStr">
        <is>
          <t>samrådsanmälan</t>
        </is>
      </c>
      <c r="C1044" t="inlineStr">
        <is>
          <t>Annan skogsbruksåtgärd</t>
        </is>
      </c>
      <c r="D1044" s="1" t="n">
        <v>46062</v>
      </c>
      <c r="E1044" s="1" t="n">
        <v>46221</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371-2026</t>
        </is>
      </c>
      <c r="B1045" t="inlineStr">
        <is>
          <t>samrådsanmälan</t>
        </is>
      </c>
      <c r="C1045" t="inlineStr">
        <is>
          <t>Annan skogsbruksåtgärd</t>
        </is>
      </c>
      <c r="D1045" s="1" t="n">
        <v>46062</v>
      </c>
      <c r="E1045" s="1" t="n">
        <v>46221</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s="2" t="inlineStr"/>
    </row>
    <row r="1046">
      <c r="A1046" t="inlineStr">
        <is>
          <t>S 1733-2026</t>
        </is>
      </c>
      <c r="B1046" t="inlineStr">
        <is>
          <t>samrådsanmälan</t>
        </is>
      </c>
      <c r="C1046" t="inlineStr">
        <is>
          <t>Annan skogsbruksåtgärd</t>
        </is>
      </c>
      <c r="D1046" s="1" t="n">
        <v>46188</v>
      </c>
      <c r="E1046" s="1" t="n">
        <v>46221</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2026-07-18T01:22:42Z</dcterms:created>
  <dcterms:modified xmlns:dcterms="http://purl.org/dc/terms/" xmlns:xsi="http://www.w3.org/2001/XMLSchema-instance" xsi:type="dcterms:W3CDTF">2026-07-18T01:22:43Z</dcterms:modified>
</cp:coreProperties>
</file>