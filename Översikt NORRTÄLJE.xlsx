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45729</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45729</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45729</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Honungsvaxskivling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28411-2019</t>
        </is>
      </c>
      <c r="B18" s="1" t="n">
        <v>43626</v>
      </c>
      <c r="C18" s="1" t="n">
        <v>45729</v>
      </c>
      <c r="D18" t="inlineStr">
        <is>
          <t>STOCKHOLMS LÄN</t>
        </is>
      </c>
      <c r="E18" t="inlineStr">
        <is>
          <t>NORRTÄLJE</t>
        </is>
      </c>
      <c r="G18" t="n">
        <v>3.1</v>
      </c>
      <c r="H18" t="n">
        <v>3</v>
      </c>
      <c r="I18" t="n">
        <v>11</v>
      </c>
      <c r="J18" t="n">
        <v>2</v>
      </c>
      <c r="K18" t="n">
        <v>0</v>
      </c>
      <c r="L18" t="n">
        <v>0</v>
      </c>
      <c r="M18" t="n">
        <v>0</v>
      </c>
      <c r="N18" t="n">
        <v>0</v>
      </c>
      <c r="O18" t="n">
        <v>2</v>
      </c>
      <c r="P18" t="n">
        <v>0</v>
      </c>
      <c r="Q18" t="n">
        <v>14</v>
      </c>
      <c r="R18" s="2" t="inlineStr">
        <is>
          <t>Granticka
Spillkråka
Bronshjon
Granbarkgnagare
Grönpyrola
Jättesvampmal
Kattfotslav
Källpraktmossa
Mörk husmossa
Nästrot
Svavelriska
Thomsons trägnagare
Tibast
Blåsippa</t>
        </is>
      </c>
      <c r="S18">
        <f>HYPERLINK("https://klasma.github.io/Logging_0188/artfynd/A 28411-2019 artfynd.xlsx", "A 28411-2019")</f>
        <v/>
      </c>
      <c r="T18">
        <f>HYPERLINK("https://klasma.github.io/Logging_0188/kartor/A 28411-2019 karta.png", "A 28411-2019")</f>
        <v/>
      </c>
      <c r="V18">
        <f>HYPERLINK("https://klasma.github.io/Logging_0188/klagomål/A 28411-2019 FSC-klagomål.docx", "A 28411-2019")</f>
        <v/>
      </c>
      <c r="W18">
        <f>HYPERLINK("https://klasma.github.io/Logging_0188/klagomålsmail/A 28411-2019 FSC-klagomål mail.docx", "A 28411-2019")</f>
        <v/>
      </c>
      <c r="X18">
        <f>HYPERLINK("https://klasma.github.io/Logging_0188/tillsyn/A 28411-2019 tillsynsbegäran.docx", "A 28411-2019")</f>
        <v/>
      </c>
      <c r="Y18">
        <f>HYPERLINK("https://klasma.github.io/Logging_0188/tillsynsmail/A 28411-2019 tillsynsbegäran mail.docx", "A 28411-2019")</f>
        <v/>
      </c>
      <c r="Z18">
        <f>HYPERLINK("https://klasma.github.io/Logging_0188/fåglar/A 28411-2019 prioriterade fågelarter.docx", "A 28411-2019")</f>
        <v/>
      </c>
    </row>
    <row r="19" ht="15" customHeight="1">
      <c r="A19" t="inlineStr">
        <is>
          <t>A 51334-2022</t>
        </is>
      </c>
      <c r="B19" s="1" t="n">
        <v>44869</v>
      </c>
      <c r="C19" s="1" t="n">
        <v>45729</v>
      </c>
      <c r="D19" t="inlineStr">
        <is>
          <t>STOCKHOLMS LÄN</t>
        </is>
      </c>
      <c r="E19" t="inlineStr">
        <is>
          <t>NORRTÄLJE</t>
        </is>
      </c>
      <c r="F19" t="inlineStr">
        <is>
          <t>Holmen skog AB</t>
        </is>
      </c>
      <c r="G19" t="n">
        <v>8.699999999999999</v>
      </c>
      <c r="H19" t="n">
        <v>1</v>
      </c>
      <c r="I19" t="n">
        <v>7</v>
      </c>
      <c r="J19" t="n">
        <v>6</v>
      </c>
      <c r="K19" t="n">
        <v>1</v>
      </c>
      <c r="L19" t="n">
        <v>0</v>
      </c>
      <c r="M19" t="n">
        <v>0</v>
      </c>
      <c r="N19" t="n">
        <v>0</v>
      </c>
      <c r="O19" t="n">
        <v>7</v>
      </c>
      <c r="P19" t="n">
        <v>1</v>
      </c>
      <c r="Q19" t="n">
        <v>14</v>
      </c>
      <c r="R19" s="2" t="inlineStr">
        <is>
          <t>Västlig njurlav
Gränsticka
Kortskaftad ärgspik
Rödbrun blekspik
Större flatbagge
Ullticka
Vedtrappmossa
Brandticka
Bronshjon
Grön sköldmossa
Myskmadra
Skogshakmossa
Stubbspretmossa
Vedticka</t>
        </is>
      </c>
      <c r="S19">
        <f>HYPERLINK("https://klasma.github.io/Logging_0188/artfynd/A 51334-2022 artfynd.xlsx", "A 51334-2022")</f>
        <v/>
      </c>
      <c r="T19">
        <f>HYPERLINK("https://klasma.github.io/Logging_0188/kartor/A 51334-2022 karta.png", "A 51334-2022")</f>
        <v/>
      </c>
      <c r="V19">
        <f>HYPERLINK("https://klasma.github.io/Logging_0188/klagomål/A 51334-2022 FSC-klagomål.docx", "A 51334-2022")</f>
        <v/>
      </c>
      <c r="W19">
        <f>HYPERLINK("https://klasma.github.io/Logging_0188/klagomålsmail/A 51334-2022 FSC-klagomål mail.docx", "A 51334-2022")</f>
        <v/>
      </c>
      <c r="X19">
        <f>HYPERLINK("https://klasma.github.io/Logging_0188/tillsyn/A 51334-2022 tillsynsbegäran.docx", "A 51334-2022")</f>
        <v/>
      </c>
      <c r="Y19">
        <f>HYPERLINK("https://klasma.github.io/Logging_0188/tillsynsmail/A 51334-2022 tillsynsbegäran mail.docx", "A 51334-2022")</f>
        <v/>
      </c>
    </row>
    <row r="20" ht="15" customHeight="1">
      <c r="A20" t="inlineStr">
        <is>
          <t>A 26273-2019</t>
        </is>
      </c>
      <c r="B20" s="1" t="n">
        <v>43611</v>
      </c>
      <c r="C20" s="1" t="n">
        <v>45729</v>
      </c>
      <c r="D20" t="inlineStr">
        <is>
          <t>STOCKHOLMS LÄN</t>
        </is>
      </c>
      <c r="E20" t="inlineStr">
        <is>
          <t>NORRTÄLJE</t>
        </is>
      </c>
      <c r="G20" t="n">
        <v>2.6</v>
      </c>
      <c r="H20" t="n">
        <v>2</v>
      </c>
      <c r="I20" t="n">
        <v>8</v>
      </c>
      <c r="J20" t="n">
        <v>3</v>
      </c>
      <c r="K20" t="n">
        <v>1</v>
      </c>
      <c r="L20" t="n">
        <v>0</v>
      </c>
      <c r="M20" t="n">
        <v>0</v>
      </c>
      <c r="N20" t="n">
        <v>0</v>
      </c>
      <c r="O20" t="n">
        <v>4</v>
      </c>
      <c r="P20" t="n">
        <v>1</v>
      </c>
      <c r="Q20" t="n">
        <v>13</v>
      </c>
      <c r="R20" s="2" t="inlineStr">
        <is>
          <t>Knärot
Granticka
Kandelabersvamp
Ullticka
Bronshjon
Kattfotslav
Rostfläck
Skinnlav
Stor aspticka
Svavelriska
Vedticka
Vågbandad barkbock
Blåsippa</t>
        </is>
      </c>
      <c r="S20">
        <f>HYPERLINK("https://klasma.github.io/Logging_0188/artfynd/A 26273-2019 artfynd.xlsx", "A 26273-2019")</f>
        <v/>
      </c>
      <c r="T20">
        <f>HYPERLINK("https://klasma.github.io/Logging_0188/kartor/A 26273-2019 karta.png", "A 26273-2019")</f>
        <v/>
      </c>
      <c r="U20">
        <f>HYPERLINK("https://klasma.github.io/Logging_0188/knärot/A 26273-2019 karta knärot.png", "A 26273-2019")</f>
        <v/>
      </c>
      <c r="V20">
        <f>HYPERLINK("https://klasma.github.io/Logging_0188/klagomål/A 26273-2019 FSC-klagomål.docx", "A 26273-2019")</f>
        <v/>
      </c>
      <c r="W20">
        <f>HYPERLINK("https://klasma.github.io/Logging_0188/klagomålsmail/A 26273-2019 FSC-klagomål mail.docx", "A 26273-2019")</f>
        <v/>
      </c>
      <c r="X20">
        <f>HYPERLINK("https://klasma.github.io/Logging_0188/tillsyn/A 26273-2019 tillsynsbegäran.docx", "A 26273-2019")</f>
        <v/>
      </c>
      <c r="Y20">
        <f>HYPERLINK("https://klasma.github.io/Logging_0188/tillsynsmail/A 26273-2019 tillsynsbegäran mail.docx", "A 26273-2019")</f>
        <v/>
      </c>
    </row>
    <row r="21" ht="15" customHeight="1">
      <c r="A21" t="inlineStr">
        <is>
          <t>A 5736-2020</t>
        </is>
      </c>
      <c r="B21" s="1" t="n">
        <v>43863</v>
      </c>
      <c r="C21" s="1" t="n">
        <v>45729</v>
      </c>
      <c r="D21" t="inlineStr">
        <is>
          <t>STOCKHOLMS LÄN</t>
        </is>
      </c>
      <c r="E21" t="inlineStr">
        <is>
          <t>NORRTÄLJE</t>
        </is>
      </c>
      <c r="G21" t="n">
        <v>2.1</v>
      </c>
      <c r="H21" t="n">
        <v>0</v>
      </c>
      <c r="I21" t="n">
        <v>6</v>
      </c>
      <c r="J21" t="n">
        <v>4</v>
      </c>
      <c r="K21" t="n">
        <v>2</v>
      </c>
      <c r="L21" t="n">
        <v>1</v>
      </c>
      <c r="M21" t="n">
        <v>0</v>
      </c>
      <c r="N21" t="n">
        <v>0</v>
      </c>
      <c r="O21" t="n">
        <v>7</v>
      </c>
      <c r="P21" t="n">
        <v>3</v>
      </c>
      <c r="Q21" t="n">
        <v>13</v>
      </c>
      <c r="R21" s="2" t="inlineStr">
        <is>
          <t>Raggtaggsvamp
Fläckfingersvamp
Koppartaggsvamp
Dofttaggsvamp
Druvfingersvamp
Orange taggsvamp
Ullticka
Dropptaggsvamp
Fjällig taggsvamp s.str.
Grönpyrola
Olivspindling
Skarp dropptaggsvamp
Zontaggsvamp</t>
        </is>
      </c>
      <c r="S21">
        <f>HYPERLINK("https://klasma.github.io/Logging_0188/artfynd/A 5736-2020 artfynd.xlsx", "A 5736-2020")</f>
        <v/>
      </c>
      <c r="T21">
        <f>HYPERLINK("https://klasma.github.io/Logging_0188/kartor/A 5736-2020 karta.png", "A 5736-2020")</f>
        <v/>
      </c>
      <c r="V21">
        <f>HYPERLINK("https://klasma.github.io/Logging_0188/klagomål/A 5736-2020 FSC-klagomål.docx", "A 5736-2020")</f>
        <v/>
      </c>
      <c r="W21">
        <f>HYPERLINK("https://klasma.github.io/Logging_0188/klagomålsmail/A 5736-2020 FSC-klagomål mail.docx", "A 5736-2020")</f>
        <v/>
      </c>
      <c r="X21">
        <f>HYPERLINK("https://klasma.github.io/Logging_0188/tillsyn/A 5736-2020 tillsynsbegäran.docx", "A 5736-2020")</f>
        <v/>
      </c>
      <c r="Y21">
        <f>HYPERLINK("https://klasma.github.io/Logging_0188/tillsynsmail/A 5736-2020 tillsynsbegäran mail.docx", "A 5736-2020")</f>
        <v/>
      </c>
    </row>
    <row r="22" ht="15" customHeight="1">
      <c r="A22" t="inlineStr">
        <is>
          <t>A 20632-2019</t>
        </is>
      </c>
      <c r="B22" s="1" t="n">
        <v>43572</v>
      </c>
      <c r="C22" s="1" t="n">
        <v>45729</v>
      </c>
      <c r="D22" t="inlineStr">
        <is>
          <t>STOCKHOLMS LÄN</t>
        </is>
      </c>
      <c r="E22" t="inlineStr">
        <is>
          <t>NORRTÄLJE</t>
        </is>
      </c>
      <c r="G22" t="n">
        <v>6.2</v>
      </c>
      <c r="H22" t="n">
        <v>4</v>
      </c>
      <c r="I22" t="n">
        <v>6</v>
      </c>
      <c r="J22" t="n">
        <v>1</v>
      </c>
      <c r="K22" t="n">
        <v>0</v>
      </c>
      <c r="L22" t="n">
        <v>2</v>
      </c>
      <c r="M22" t="n">
        <v>0</v>
      </c>
      <c r="N22" t="n">
        <v>0</v>
      </c>
      <c r="O22" t="n">
        <v>3</v>
      </c>
      <c r="P22" t="n">
        <v>2</v>
      </c>
      <c r="Q22" t="n">
        <v>12</v>
      </c>
      <c r="R22" s="2" t="inlineStr">
        <is>
          <t>Ask
Fältgentiana
Slåtterfibbla
Svart trolldruva
Tibast
Tvåblad
Underviol
Vätteros
Vårärt
Nattviol
Blåsippa
Gullviva</t>
        </is>
      </c>
      <c r="S22">
        <f>HYPERLINK("https://klasma.github.io/Logging_0188/artfynd/A 20632-2019 artfynd.xlsx", "A 20632-2019")</f>
        <v/>
      </c>
      <c r="T22">
        <f>HYPERLINK("https://klasma.github.io/Logging_0188/kartor/A 20632-2019 karta.png", "A 20632-2019")</f>
        <v/>
      </c>
      <c r="V22">
        <f>HYPERLINK("https://klasma.github.io/Logging_0188/klagomål/A 20632-2019 FSC-klagomål.docx", "A 20632-2019")</f>
        <v/>
      </c>
      <c r="W22">
        <f>HYPERLINK("https://klasma.github.io/Logging_0188/klagomålsmail/A 20632-2019 FSC-klagomål mail.docx", "A 20632-2019")</f>
        <v/>
      </c>
      <c r="X22">
        <f>HYPERLINK("https://klasma.github.io/Logging_0188/tillsyn/A 20632-2019 tillsynsbegäran.docx", "A 20632-2019")</f>
        <v/>
      </c>
      <c r="Y22">
        <f>HYPERLINK("https://klasma.github.io/Logging_0188/tillsynsmail/A 20632-2019 tillsynsbegäran mail.docx", "A 20632-2019")</f>
        <v/>
      </c>
    </row>
    <row r="23" ht="15" customHeight="1">
      <c r="A23" t="inlineStr">
        <is>
          <t>A 60543-2022</t>
        </is>
      </c>
      <c r="B23" s="1" t="n">
        <v>44911</v>
      </c>
      <c r="C23" s="1" t="n">
        <v>45729</v>
      </c>
      <c r="D23" t="inlineStr">
        <is>
          <t>STOCKHOLMS LÄN</t>
        </is>
      </c>
      <c r="E23" t="inlineStr">
        <is>
          <t>NORRTÄLJE</t>
        </is>
      </c>
      <c r="G23" t="n">
        <v>4.3</v>
      </c>
      <c r="H23" t="n">
        <v>2</v>
      </c>
      <c r="I23" t="n">
        <v>5</v>
      </c>
      <c r="J23" t="n">
        <v>5</v>
      </c>
      <c r="K23" t="n">
        <v>1</v>
      </c>
      <c r="L23" t="n">
        <v>0</v>
      </c>
      <c r="M23" t="n">
        <v>0</v>
      </c>
      <c r="N23" t="n">
        <v>0</v>
      </c>
      <c r="O23" t="n">
        <v>6</v>
      </c>
      <c r="P23" t="n">
        <v>1</v>
      </c>
      <c r="Q23" t="n">
        <v>12</v>
      </c>
      <c r="R23" s="2" t="inlineStr">
        <is>
          <t>Läderlappslav
Granticka
Grönhjon
Rosenticka
Tretåig hackspett
Ullticka
Bronshjon
Grönpyrola
Gulnål
Kornig nållav
Vågbandad barkbock
Blåsippa</t>
        </is>
      </c>
      <c r="S23">
        <f>HYPERLINK("https://klasma.github.io/Logging_0188/artfynd/A 60543-2022 artfynd.xlsx", "A 60543-2022")</f>
        <v/>
      </c>
      <c r="T23">
        <f>HYPERLINK("https://klasma.github.io/Logging_0188/kartor/A 60543-2022 karta.png", "A 60543-2022")</f>
        <v/>
      </c>
      <c r="V23">
        <f>HYPERLINK("https://klasma.github.io/Logging_0188/klagomål/A 60543-2022 FSC-klagomål.docx", "A 60543-2022")</f>
        <v/>
      </c>
      <c r="W23">
        <f>HYPERLINK("https://klasma.github.io/Logging_0188/klagomålsmail/A 60543-2022 FSC-klagomål mail.docx", "A 60543-2022")</f>
        <v/>
      </c>
      <c r="X23">
        <f>HYPERLINK("https://klasma.github.io/Logging_0188/tillsyn/A 60543-2022 tillsynsbegäran.docx", "A 60543-2022")</f>
        <v/>
      </c>
      <c r="Y23">
        <f>HYPERLINK("https://klasma.github.io/Logging_0188/tillsynsmail/A 60543-2022 tillsynsbegäran mail.docx", "A 60543-2022")</f>
        <v/>
      </c>
      <c r="Z23">
        <f>HYPERLINK("https://klasma.github.io/Logging_0188/fåglar/A 60543-2022 prioriterade fågelarter.docx", "A 60543-2022")</f>
        <v/>
      </c>
    </row>
    <row r="24" ht="15" customHeight="1">
      <c r="A24" t="inlineStr">
        <is>
          <t>A 31418-2023</t>
        </is>
      </c>
      <c r="B24" s="1" t="n">
        <v>45114</v>
      </c>
      <c r="C24" s="1" t="n">
        <v>45729</v>
      </c>
      <c r="D24" t="inlineStr">
        <is>
          <t>STOCKHOLMS LÄN</t>
        </is>
      </c>
      <c r="E24" t="inlineStr">
        <is>
          <t>NORRTÄLJE</t>
        </is>
      </c>
      <c r="G24" t="n">
        <v>4.1</v>
      </c>
      <c r="H24" t="n">
        <v>0</v>
      </c>
      <c r="I24" t="n">
        <v>7</v>
      </c>
      <c r="J24" t="n">
        <v>2</v>
      </c>
      <c r="K24" t="n">
        <v>3</v>
      </c>
      <c r="L24" t="n">
        <v>0</v>
      </c>
      <c r="M24" t="n">
        <v>0</v>
      </c>
      <c r="N24" t="n">
        <v>0</v>
      </c>
      <c r="O24" t="n">
        <v>5</v>
      </c>
      <c r="P24" t="n">
        <v>3</v>
      </c>
      <c r="Q24" t="n">
        <v>12</v>
      </c>
      <c r="R24" s="2" t="inlineStr">
        <is>
          <t>Duvspindling
Koppartaggsvamp
Läderdoftande fingersvamp
Odörspindling
Orange taggsvamp
Anisspindling
Dropptaggsvamp
Grönpyrola
Mörk husmossa
Skarp dropptaggsvamp
Skogshakmossa
Tjockfotad fingersvamp</t>
        </is>
      </c>
      <c r="S24">
        <f>HYPERLINK("https://klasma.github.io/Logging_0188/artfynd/A 31418-2023 artfynd.xlsx", "A 31418-2023")</f>
        <v/>
      </c>
      <c r="T24">
        <f>HYPERLINK("https://klasma.github.io/Logging_0188/kartor/A 31418-2023 karta.png", "A 31418-2023")</f>
        <v/>
      </c>
      <c r="U24">
        <f>HYPERLINK("https://klasma.github.io/Logging_0188/knärot/A 31418-2023 karta knärot.png", "A 31418-2023")</f>
        <v/>
      </c>
      <c r="V24">
        <f>HYPERLINK("https://klasma.github.io/Logging_0188/klagomål/A 31418-2023 FSC-klagomål.docx", "A 31418-2023")</f>
        <v/>
      </c>
      <c r="W24">
        <f>HYPERLINK("https://klasma.github.io/Logging_0188/klagomålsmail/A 31418-2023 FSC-klagomål mail.docx", "A 31418-2023")</f>
        <v/>
      </c>
      <c r="X24">
        <f>HYPERLINK("https://klasma.github.io/Logging_0188/tillsyn/A 31418-2023 tillsynsbegäran.docx", "A 31418-2023")</f>
        <v/>
      </c>
      <c r="Y24">
        <f>HYPERLINK("https://klasma.github.io/Logging_0188/tillsynsmail/A 31418-2023 tillsynsbegäran mail.docx", "A 31418-2023")</f>
        <v/>
      </c>
    </row>
    <row r="25" ht="15" customHeight="1">
      <c r="A25" t="inlineStr">
        <is>
          <t>A 44237-2024</t>
        </is>
      </c>
      <c r="B25" s="1" t="n">
        <v>45573</v>
      </c>
      <c r="C25" s="1" t="n">
        <v>45729</v>
      </c>
      <c r="D25" t="inlineStr">
        <is>
          <t>STOCKHOLMS LÄN</t>
        </is>
      </c>
      <c r="E25" t="inlineStr">
        <is>
          <t>NORRTÄLJE</t>
        </is>
      </c>
      <c r="G25" t="n">
        <v>7.7</v>
      </c>
      <c r="H25" t="n">
        <v>3</v>
      </c>
      <c r="I25" t="n">
        <v>5</v>
      </c>
      <c r="J25" t="n">
        <v>5</v>
      </c>
      <c r="K25" t="n">
        <v>1</v>
      </c>
      <c r="L25" t="n">
        <v>0</v>
      </c>
      <c r="M25" t="n">
        <v>0</v>
      </c>
      <c r="N25" t="n">
        <v>0</v>
      </c>
      <c r="O25" t="n">
        <v>6</v>
      </c>
      <c r="P25" t="n">
        <v>1</v>
      </c>
      <c r="Q25" t="n">
        <v>12</v>
      </c>
      <c r="R25" s="2" t="inlineStr">
        <is>
          <t>Knärot
Motaggsvamp
Tallticka
Tretåig hackspett
Vedskivlav
Vedtrappmossa
Dropptaggsvamp
Grönpyrola
Kattfotslav
Nästlav
Sårläka
Blåsippa</t>
        </is>
      </c>
      <c r="S25">
        <f>HYPERLINK("https://klasma.github.io/Logging_0188/artfynd/A 44237-2024 artfynd.xlsx", "A 44237-2024")</f>
        <v/>
      </c>
      <c r="T25">
        <f>HYPERLINK("https://klasma.github.io/Logging_0188/kartor/A 44237-2024 karta.png", "A 44237-2024")</f>
        <v/>
      </c>
      <c r="U25">
        <f>HYPERLINK("https://klasma.github.io/Logging_0188/knärot/A 44237-2024 karta knärot.png", "A 44237-2024")</f>
        <v/>
      </c>
      <c r="V25">
        <f>HYPERLINK("https://klasma.github.io/Logging_0188/klagomål/A 44237-2024 FSC-klagomål.docx", "A 44237-2024")</f>
        <v/>
      </c>
      <c r="W25">
        <f>HYPERLINK("https://klasma.github.io/Logging_0188/klagomålsmail/A 44237-2024 FSC-klagomål mail.docx", "A 44237-2024")</f>
        <v/>
      </c>
      <c r="X25">
        <f>HYPERLINK("https://klasma.github.io/Logging_0188/tillsyn/A 44237-2024 tillsynsbegäran.docx", "A 44237-2024")</f>
        <v/>
      </c>
      <c r="Y25">
        <f>HYPERLINK("https://klasma.github.io/Logging_0188/tillsynsmail/A 44237-2024 tillsynsbegäran mail.docx", "A 44237-2024")</f>
        <v/>
      </c>
      <c r="Z25">
        <f>HYPERLINK("https://klasma.github.io/Logging_0188/fåglar/A 44237-2024 prioriterade fågelarter.docx", "A 44237-2024")</f>
        <v/>
      </c>
    </row>
    <row r="26" ht="15" customHeight="1">
      <c r="A26" t="inlineStr">
        <is>
          <t>A 56743-2024</t>
        </is>
      </c>
      <c r="B26" s="1" t="n">
        <v>45628</v>
      </c>
      <c r="C26" s="1" t="n">
        <v>45729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56742-2024</t>
        </is>
      </c>
      <c r="B27" s="1" t="n">
        <v>45628</v>
      </c>
      <c r="C27" s="1" t="n">
        <v>45729</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56742-2024 artfynd.xlsx", "A 56742-2024")</f>
        <v/>
      </c>
      <c r="T27">
        <f>HYPERLINK("https://klasma.github.io/Logging_0188/kartor/A 56742-2024 karta.png", "A 56742-2024")</f>
        <v/>
      </c>
      <c r="V27">
        <f>HYPERLINK("https://klasma.github.io/Logging_0188/klagomål/A 56742-2024 FSC-klagomål.docx", "A 56742-2024")</f>
        <v/>
      </c>
      <c r="W27">
        <f>HYPERLINK("https://klasma.github.io/Logging_0188/klagomålsmail/A 56742-2024 FSC-klagomål mail.docx", "A 56742-2024")</f>
        <v/>
      </c>
      <c r="X27">
        <f>HYPERLINK("https://klasma.github.io/Logging_0188/tillsyn/A 56742-2024 tillsynsbegäran.docx", "A 56742-2024")</f>
        <v/>
      </c>
      <c r="Y27">
        <f>HYPERLINK("https://klasma.github.io/Logging_0188/tillsynsmail/A 56742-2024 tillsynsbegäran mail.docx", "A 56742-2024")</f>
        <v/>
      </c>
      <c r="Z27">
        <f>HYPERLINK("https://klasma.github.io/Logging_0188/fåglar/A 56742-2024 prioriterade fågelarter.docx", "A 56742-2024")</f>
        <v/>
      </c>
    </row>
    <row r="28" ht="15" customHeight="1">
      <c r="A28" t="inlineStr">
        <is>
          <t>A 3472-2023</t>
        </is>
      </c>
      <c r="B28" s="1" t="n">
        <v>44949</v>
      </c>
      <c r="C28" s="1" t="n">
        <v>45729</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45729</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45729</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45729</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35652-2024</t>
        </is>
      </c>
      <c r="B32" s="1" t="n">
        <v>45532</v>
      </c>
      <c r="C32" s="1" t="n">
        <v>45729</v>
      </c>
      <c r="D32" t="inlineStr">
        <is>
          <t>STOCKHOLMS LÄN</t>
        </is>
      </c>
      <c r="E32" t="inlineStr">
        <is>
          <t>NORRTÄLJE</t>
        </is>
      </c>
      <c r="G32" t="n">
        <v>23.7</v>
      </c>
      <c r="H32" t="n">
        <v>0</v>
      </c>
      <c r="I32" t="n">
        <v>6</v>
      </c>
      <c r="J32" t="n">
        <v>2</v>
      </c>
      <c r="K32" t="n">
        <v>3</v>
      </c>
      <c r="L32" t="n">
        <v>0</v>
      </c>
      <c r="M32" t="n">
        <v>0</v>
      </c>
      <c r="N32" t="n">
        <v>0</v>
      </c>
      <c r="O32" t="n">
        <v>5</v>
      </c>
      <c r="P32" t="n">
        <v>3</v>
      </c>
      <c r="Q32" t="n">
        <v>11</v>
      </c>
      <c r="R32" s="2" t="inlineStr">
        <is>
          <t>Läderdoftande fingersvamp
Ostticka
Rynkskinn
Grönhjon
Ullticka
Bronshjon
Fjällig taggsvamp s.str.
Grönpyrola
Rödgul trumpetsvamp
Vedticka
Vågbandad barkbock</t>
        </is>
      </c>
      <c r="S32">
        <f>HYPERLINK("https://klasma.github.io/Logging_0188/artfynd/A 35652-2024 artfynd.xlsx", "A 35652-2024")</f>
        <v/>
      </c>
      <c r="T32">
        <f>HYPERLINK("https://klasma.github.io/Logging_0188/kartor/A 35652-2024 karta.png", "A 35652-2024")</f>
        <v/>
      </c>
      <c r="V32">
        <f>HYPERLINK("https://klasma.github.io/Logging_0188/klagomål/A 35652-2024 FSC-klagomål.docx", "A 35652-2024")</f>
        <v/>
      </c>
      <c r="W32">
        <f>HYPERLINK("https://klasma.github.io/Logging_0188/klagomålsmail/A 35652-2024 FSC-klagomål mail.docx", "A 35652-2024")</f>
        <v/>
      </c>
      <c r="X32">
        <f>HYPERLINK("https://klasma.github.io/Logging_0188/tillsyn/A 35652-2024 tillsynsbegäran.docx", "A 35652-2024")</f>
        <v/>
      </c>
      <c r="Y32">
        <f>HYPERLINK("https://klasma.github.io/Logging_0188/tillsynsmail/A 35652-2024 tillsynsbegäran mail.docx", "A 35652-2024")</f>
        <v/>
      </c>
    </row>
    <row r="33" ht="15" customHeight="1">
      <c r="A33" t="inlineStr">
        <is>
          <t>A 21999-2019</t>
        </is>
      </c>
      <c r="B33" s="1" t="n">
        <v>43584</v>
      </c>
      <c r="C33" s="1" t="n">
        <v>45729</v>
      </c>
      <c r="D33" t="inlineStr">
        <is>
          <t>STOCKHOLMS LÄN</t>
        </is>
      </c>
      <c r="E33" t="inlineStr">
        <is>
          <t>NORRTÄLJE</t>
        </is>
      </c>
      <c r="G33" t="n">
        <v>6.4</v>
      </c>
      <c r="H33" t="n">
        <v>0</v>
      </c>
      <c r="I33" t="n">
        <v>7</v>
      </c>
      <c r="J33" t="n">
        <v>3</v>
      </c>
      <c r="K33" t="n">
        <v>0</v>
      </c>
      <c r="L33" t="n">
        <v>0</v>
      </c>
      <c r="M33" t="n">
        <v>0</v>
      </c>
      <c r="N33" t="n">
        <v>0</v>
      </c>
      <c r="O33" t="n">
        <v>3</v>
      </c>
      <c r="P33" t="n">
        <v>0</v>
      </c>
      <c r="Q33" t="n">
        <v>10</v>
      </c>
      <c r="R33" s="2" t="inlineStr">
        <is>
          <t>Dofttaggsvamp
Granticka
Orange taggsvamp
Fjällig taggsvamp s.str.
Granbräken
Skarp dropptaggsvamp
Sårläka
Thomsons trägnagare
Tibast
Vårärt</t>
        </is>
      </c>
      <c r="S33">
        <f>HYPERLINK("https://klasma.github.io/Logging_0188/artfynd/A 21999-2019 artfynd.xlsx", "A 21999-2019")</f>
        <v/>
      </c>
      <c r="T33">
        <f>HYPERLINK("https://klasma.github.io/Logging_0188/kartor/A 21999-2019 karta.png", "A 21999-2019")</f>
        <v/>
      </c>
      <c r="V33">
        <f>HYPERLINK("https://klasma.github.io/Logging_0188/klagomål/A 21999-2019 FSC-klagomål.docx", "A 21999-2019")</f>
        <v/>
      </c>
      <c r="W33">
        <f>HYPERLINK("https://klasma.github.io/Logging_0188/klagomålsmail/A 21999-2019 FSC-klagomål mail.docx", "A 21999-2019")</f>
        <v/>
      </c>
      <c r="X33">
        <f>HYPERLINK("https://klasma.github.io/Logging_0188/tillsyn/A 21999-2019 tillsynsbegäran.docx", "A 21999-2019")</f>
        <v/>
      </c>
      <c r="Y33">
        <f>HYPERLINK("https://klasma.github.io/Logging_0188/tillsynsmail/A 21999-2019 tillsynsbegäran mail.docx", "A 21999-2019")</f>
        <v/>
      </c>
    </row>
    <row r="34" ht="15" customHeight="1">
      <c r="A34" t="inlineStr">
        <is>
          <t>A 27195-2019</t>
        </is>
      </c>
      <c r="B34" s="1" t="n">
        <v>43614</v>
      </c>
      <c r="C34" s="1" t="n">
        <v>45729</v>
      </c>
      <c r="D34" t="inlineStr">
        <is>
          <t>STOCKHOLMS LÄN</t>
        </is>
      </c>
      <c r="E34" t="inlineStr">
        <is>
          <t>NORRTÄLJE</t>
        </is>
      </c>
      <c r="G34" t="n">
        <v>6.8</v>
      </c>
      <c r="H34" t="n">
        <v>0</v>
      </c>
      <c r="I34" t="n">
        <v>6</v>
      </c>
      <c r="J34" t="n">
        <v>3</v>
      </c>
      <c r="K34" t="n">
        <v>1</v>
      </c>
      <c r="L34" t="n">
        <v>0</v>
      </c>
      <c r="M34" t="n">
        <v>0</v>
      </c>
      <c r="N34" t="n">
        <v>0</v>
      </c>
      <c r="O34" t="n">
        <v>4</v>
      </c>
      <c r="P34" t="n">
        <v>1</v>
      </c>
      <c r="Q34" t="n">
        <v>10</v>
      </c>
      <c r="R34" s="2" t="inlineStr">
        <is>
          <t>Violgubbe
Granticka
Gropticka
Kandelabersvamp
Barkticka
Bronshjon
Dvärgtufs
Fjällig taggsvamp s.str.
Jättesvampmal
Skarp dropptaggsvamp</t>
        </is>
      </c>
      <c r="S34">
        <f>HYPERLINK("https://klasma.github.io/Logging_0188/artfynd/A 27195-2019 artfynd.xlsx", "A 27195-2019")</f>
        <v/>
      </c>
      <c r="T34">
        <f>HYPERLINK("https://klasma.github.io/Logging_0188/kartor/A 27195-2019 karta.png", "A 27195-2019")</f>
        <v/>
      </c>
      <c r="V34">
        <f>HYPERLINK("https://klasma.github.io/Logging_0188/klagomål/A 27195-2019 FSC-klagomål.docx", "A 27195-2019")</f>
        <v/>
      </c>
      <c r="W34">
        <f>HYPERLINK("https://klasma.github.io/Logging_0188/klagomålsmail/A 27195-2019 FSC-klagomål mail.docx", "A 27195-2019")</f>
        <v/>
      </c>
      <c r="X34">
        <f>HYPERLINK("https://klasma.github.io/Logging_0188/tillsyn/A 27195-2019 tillsynsbegäran.docx", "A 27195-2019")</f>
        <v/>
      </c>
      <c r="Y34">
        <f>HYPERLINK("https://klasma.github.io/Logging_0188/tillsynsmail/A 27195-2019 tillsynsbegäran mail.docx", "A 27195-2019")</f>
        <v/>
      </c>
    </row>
    <row r="35" ht="15" customHeight="1">
      <c r="A35" t="inlineStr">
        <is>
          <t>A 11231-2021</t>
        </is>
      </c>
      <c r="B35" s="1" t="n">
        <v>44263</v>
      </c>
      <c r="C35" s="1" t="n">
        <v>45729</v>
      </c>
      <c r="D35" t="inlineStr">
        <is>
          <t>STOCKHOLMS LÄN</t>
        </is>
      </c>
      <c r="E35" t="inlineStr">
        <is>
          <t>NORRTÄLJE</t>
        </is>
      </c>
      <c r="F35" t="inlineStr">
        <is>
          <t>Holmen skog AB</t>
        </is>
      </c>
      <c r="G35" t="n">
        <v>12</v>
      </c>
      <c r="H35" t="n">
        <v>6</v>
      </c>
      <c r="I35" t="n">
        <v>2</v>
      </c>
      <c r="J35" t="n">
        <v>5</v>
      </c>
      <c r="K35" t="n">
        <v>0</v>
      </c>
      <c r="L35" t="n">
        <v>2</v>
      </c>
      <c r="M35" t="n">
        <v>0</v>
      </c>
      <c r="N35" t="n">
        <v>0</v>
      </c>
      <c r="O35" t="n">
        <v>7</v>
      </c>
      <c r="P35" t="n">
        <v>2</v>
      </c>
      <c r="Q35" t="n">
        <v>10</v>
      </c>
      <c r="R35" s="2" t="inlineStr">
        <is>
          <t>Grönfink
Tornseglare
Fiskmås
Havsörn
Motaggsvamp
Talltita
Vedskivlav
Björksplintborre
Dropptaggsvamp
Tjäder</t>
        </is>
      </c>
      <c r="S35">
        <f>HYPERLINK("https://klasma.github.io/Logging_0188/artfynd/A 11231-2021 artfynd.xlsx", "A 11231-2021")</f>
        <v/>
      </c>
      <c r="T35">
        <f>HYPERLINK("https://klasma.github.io/Logging_0188/kartor/A 11231-2021 karta.png", "A 11231-2021")</f>
        <v/>
      </c>
      <c r="V35">
        <f>HYPERLINK("https://klasma.github.io/Logging_0188/klagomål/A 11231-2021 FSC-klagomål.docx", "A 11231-2021")</f>
        <v/>
      </c>
      <c r="W35">
        <f>HYPERLINK("https://klasma.github.io/Logging_0188/klagomålsmail/A 11231-2021 FSC-klagomål mail.docx", "A 11231-2021")</f>
        <v/>
      </c>
      <c r="X35">
        <f>HYPERLINK("https://klasma.github.io/Logging_0188/tillsyn/A 11231-2021 tillsynsbegäran.docx", "A 11231-2021")</f>
        <v/>
      </c>
      <c r="Y35">
        <f>HYPERLINK("https://klasma.github.io/Logging_0188/tillsynsmail/A 11231-2021 tillsynsbegäran mail.docx", "A 11231-2021")</f>
        <v/>
      </c>
      <c r="Z35">
        <f>HYPERLINK("https://klasma.github.io/Logging_0188/fåglar/A 11231-2021 prioriterade fågelarter.docx", "A 11231-2021")</f>
        <v/>
      </c>
    </row>
    <row r="36" ht="15" customHeight="1">
      <c r="A36" t="inlineStr">
        <is>
          <t>A 4262-2023</t>
        </is>
      </c>
      <c r="B36" s="1" t="n">
        <v>44953</v>
      </c>
      <c r="C36" s="1" t="n">
        <v>45729</v>
      </c>
      <c r="D36" t="inlineStr">
        <is>
          <t>STOCKHOLMS LÄN</t>
        </is>
      </c>
      <c r="E36" t="inlineStr">
        <is>
          <t>NORRTÄLJE</t>
        </is>
      </c>
      <c r="G36" t="n">
        <v>8.699999999999999</v>
      </c>
      <c r="H36" t="n">
        <v>0</v>
      </c>
      <c r="I36" t="n">
        <v>9</v>
      </c>
      <c r="J36" t="n">
        <v>0</v>
      </c>
      <c r="K36" t="n">
        <v>1</v>
      </c>
      <c r="L36" t="n">
        <v>0</v>
      </c>
      <c r="M36" t="n">
        <v>0</v>
      </c>
      <c r="N36" t="n">
        <v>0</v>
      </c>
      <c r="O36" t="n">
        <v>1</v>
      </c>
      <c r="P36" t="n">
        <v>1</v>
      </c>
      <c r="Q36" t="n">
        <v>10</v>
      </c>
      <c r="R36" s="2" t="inlineStr">
        <is>
          <t>Grangråticka
Dofttråding
Fjällig taggsvamp s.str.
Guldkremla
Kryddspindling
Olivspindling
Rödgul trumpetsvamp
Skarp dropptaggsvamp
Strimspindling
Svavelriska</t>
        </is>
      </c>
      <c r="S36">
        <f>HYPERLINK("https://klasma.github.io/Logging_0188/artfynd/A 4262-2023 artfynd.xlsx", "A 4262-2023")</f>
        <v/>
      </c>
      <c r="T36">
        <f>HYPERLINK("https://klasma.github.io/Logging_0188/kartor/A 4262-2023 karta.png", "A 4262-2023")</f>
        <v/>
      </c>
      <c r="V36">
        <f>HYPERLINK("https://klasma.github.io/Logging_0188/klagomål/A 4262-2023 FSC-klagomål.docx", "A 4262-2023")</f>
        <v/>
      </c>
      <c r="W36">
        <f>HYPERLINK("https://klasma.github.io/Logging_0188/klagomålsmail/A 4262-2023 FSC-klagomål mail.docx", "A 4262-2023")</f>
        <v/>
      </c>
      <c r="X36">
        <f>HYPERLINK("https://klasma.github.io/Logging_0188/tillsyn/A 4262-2023 tillsynsbegäran.docx", "A 4262-2023")</f>
        <v/>
      </c>
      <c r="Y36">
        <f>HYPERLINK("https://klasma.github.io/Logging_0188/tillsynsmail/A 4262-2023 tillsynsbegäran mail.docx", "A 4262-2023")</f>
        <v/>
      </c>
    </row>
    <row r="37" ht="15" customHeight="1">
      <c r="A37" t="inlineStr">
        <is>
          <t>A 44847-2023</t>
        </is>
      </c>
      <c r="B37" s="1" t="n">
        <v>45190</v>
      </c>
      <c r="C37" s="1" t="n">
        <v>45729</v>
      </c>
      <c r="D37" t="inlineStr">
        <is>
          <t>STOCKHOLMS LÄN</t>
        </is>
      </c>
      <c r="E37" t="inlineStr">
        <is>
          <t>NORRTÄLJE</t>
        </is>
      </c>
      <c r="G37" t="n">
        <v>8.5</v>
      </c>
      <c r="H37" t="n">
        <v>10</v>
      </c>
      <c r="I37" t="n">
        <v>0</v>
      </c>
      <c r="J37" t="n">
        <v>4</v>
      </c>
      <c r="K37" t="n">
        <v>4</v>
      </c>
      <c r="L37" t="n">
        <v>1</v>
      </c>
      <c r="M37" t="n">
        <v>0</v>
      </c>
      <c r="N37" t="n">
        <v>0</v>
      </c>
      <c r="O37" t="n">
        <v>9</v>
      </c>
      <c r="P37" t="n">
        <v>5</v>
      </c>
      <c r="Q37" t="n">
        <v>10</v>
      </c>
      <c r="R37" s="2" t="inlineStr">
        <is>
          <t>Ejder
Gråtrut
Havstrut
Knärot
Stare
Fiskmås
Havsörn
Skrattmås
Strandskata
Gråkråka</t>
        </is>
      </c>
      <c r="S37">
        <f>HYPERLINK("https://klasma.github.io/Logging_0188/artfynd/A 44847-2023 artfynd.xlsx", "A 44847-2023")</f>
        <v/>
      </c>
      <c r="T37">
        <f>HYPERLINK("https://klasma.github.io/Logging_0188/kartor/A 44847-2023 karta.png", "A 44847-2023")</f>
        <v/>
      </c>
      <c r="U37">
        <f>HYPERLINK("https://klasma.github.io/Logging_0188/knärot/A 44847-2023 karta knärot.png", "A 44847-2023")</f>
        <v/>
      </c>
      <c r="V37">
        <f>HYPERLINK("https://klasma.github.io/Logging_0188/klagomål/A 44847-2023 FSC-klagomål.docx", "A 44847-2023")</f>
        <v/>
      </c>
      <c r="W37">
        <f>HYPERLINK("https://klasma.github.io/Logging_0188/klagomålsmail/A 44847-2023 FSC-klagomål mail.docx", "A 44847-2023")</f>
        <v/>
      </c>
      <c r="X37">
        <f>HYPERLINK("https://klasma.github.io/Logging_0188/tillsyn/A 44847-2023 tillsynsbegäran.docx", "A 44847-2023")</f>
        <v/>
      </c>
      <c r="Y37">
        <f>HYPERLINK("https://klasma.github.io/Logging_0188/tillsynsmail/A 44847-2023 tillsynsbegäran mail.docx", "A 44847-2023")</f>
        <v/>
      </c>
      <c r="Z37">
        <f>HYPERLINK("https://klasma.github.io/Logging_0188/fåglar/A 44847-2023 prioriterade fågelarter.docx", "A 44847-2023")</f>
        <v/>
      </c>
    </row>
    <row r="38" ht="15" customHeight="1">
      <c r="A38" t="inlineStr">
        <is>
          <t>A 20722-2024</t>
        </is>
      </c>
      <c r="B38" s="1" t="n">
        <v>45436</v>
      </c>
      <c r="C38" s="1" t="n">
        <v>45729</v>
      </c>
      <c r="D38" t="inlineStr">
        <is>
          <t>STOCKHOLMS LÄN</t>
        </is>
      </c>
      <c r="E38" t="inlineStr">
        <is>
          <t>NORRTÄLJE</t>
        </is>
      </c>
      <c r="G38" t="n">
        <v>5.2</v>
      </c>
      <c r="H38" t="n">
        <v>4</v>
      </c>
      <c r="I38" t="n">
        <v>2</v>
      </c>
      <c r="J38" t="n">
        <v>6</v>
      </c>
      <c r="K38" t="n">
        <v>1</v>
      </c>
      <c r="L38" t="n">
        <v>0</v>
      </c>
      <c r="M38" t="n">
        <v>0</v>
      </c>
      <c r="N38" t="n">
        <v>0</v>
      </c>
      <c r="O38" t="n">
        <v>7</v>
      </c>
      <c r="P38" t="n">
        <v>1</v>
      </c>
      <c r="Q38" t="n">
        <v>10</v>
      </c>
      <c r="R38" s="2" t="inlineStr">
        <is>
          <t>Knärot
Garnlav
Granticka
Gränsticka
Spillkråka
Svartvit flugsnappare
Ullticka
Bronshjon
Vågbandad barkbock
Blåsippa</t>
        </is>
      </c>
      <c r="S38">
        <f>HYPERLINK("https://klasma.github.io/Logging_0188/artfynd/A 20722-2024 artfynd.xlsx", "A 20722-2024")</f>
        <v/>
      </c>
      <c r="T38">
        <f>HYPERLINK("https://klasma.github.io/Logging_0188/kartor/A 20722-2024 karta.png", "A 20722-2024")</f>
        <v/>
      </c>
      <c r="U38">
        <f>HYPERLINK("https://klasma.github.io/Logging_0188/knärot/A 20722-2024 karta knärot.png", "A 20722-2024")</f>
        <v/>
      </c>
      <c r="V38">
        <f>HYPERLINK("https://klasma.github.io/Logging_0188/klagomål/A 20722-2024 FSC-klagomål.docx", "A 20722-2024")</f>
        <v/>
      </c>
      <c r="W38">
        <f>HYPERLINK("https://klasma.github.io/Logging_0188/klagomålsmail/A 20722-2024 FSC-klagomål mail.docx", "A 20722-2024")</f>
        <v/>
      </c>
      <c r="X38">
        <f>HYPERLINK("https://klasma.github.io/Logging_0188/tillsyn/A 20722-2024 tillsynsbegäran.docx", "A 20722-2024")</f>
        <v/>
      </c>
      <c r="Y38">
        <f>HYPERLINK("https://klasma.github.io/Logging_0188/tillsynsmail/A 20722-2024 tillsynsbegäran mail.docx", "A 20722-2024")</f>
        <v/>
      </c>
      <c r="Z38">
        <f>HYPERLINK("https://klasma.github.io/Logging_0188/fåglar/A 20722-2024 prioriterade fågelarter.docx", "A 20722-2024")</f>
        <v/>
      </c>
    </row>
    <row r="39" ht="15" customHeight="1">
      <c r="A39" t="inlineStr">
        <is>
          <t>A 60084-2024</t>
        </is>
      </c>
      <c r="B39" s="1" t="n">
        <v>45642</v>
      </c>
      <c r="C39" s="1" t="n">
        <v>45729</v>
      </c>
      <c r="D39" t="inlineStr">
        <is>
          <t>STOCKHOLMS LÄN</t>
        </is>
      </c>
      <c r="E39" t="inlineStr">
        <is>
          <t>NORRTÄLJE</t>
        </is>
      </c>
      <c r="G39" t="n">
        <v>5.3</v>
      </c>
      <c r="H39" t="n">
        <v>2</v>
      </c>
      <c r="I39" t="n">
        <v>6</v>
      </c>
      <c r="J39" t="n">
        <v>1</v>
      </c>
      <c r="K39" t="n">
        <v>0</v>
      </c>
      <c r="L39" t="n">
        <v>0</v>
      </c>
      <c r="M39" t="n">
        <v>1</v>
      </c>
      <c r="N39" t="n">
        <v>0</v>
      </c>
      <c r="O39" t="n">
        <v>2</v>
      </c>
      <c r="P39" t="n">
        <v>1</v>
      </c>
      <c r="Q39" t="n">
        <v>10</v>
      </c>
      <c r="R39" s="2" t="inlineStr">
        <is>
          <t>Skogsalm
Granticka
Fjällig taggsvamp s.str.
Hasselticka
Rödgul trumpetsvamp
Skarp dropptaggsvamp
Svavelriska
Trådticka
Blåsippa
Revlummer</t>
        </is>
      </c>
      <c r="S39">
        <f>HYPERLINK("https://klasma.github.io/Logging_0188/artfynd/A 60084-2024 artfynd.xlsx", "A 60084-2024")</f>
        <v/>
      </c>
      <c r="T39">
        <f>HYPERLINK("https://klasma.github.io/Logging_0188/kartor/A 60084-2024 karta.png", "A 60084-2024")</f>
        <v/>
      </c>
      <c r="V39">
        <f>HYPERLINK("https://klasma.github.io/Logging_0188/klagomål/A 60084-2024 FSC-klagomål.docx", "A 60084-2024")</f>
        <v/>
      </c>
      <c r="W39">
        <f>HYPERLINK("https://klasma.github.io/Logging_0188/klagomålsmail/A 60084-2024 FSC-klagomål mail.docx", "A 60084-2024")</f>
        <v/>
      </c>
      <c r="X39">
        <f>HYPERLINK("https://klasma.github.io/Logging_0188/tillsyn/A 60084-2024 tillsynsbegäran.docx", "A 60084-2024")</f>
        <v/>
      </c>
      <c r="Y39">
        <f>HYPERLINK("https://klasma.github.io/Logging_0188/tillsynsmail/A 60084-2024 tillsynsbegäran mail.docx", "A 60084-2024")</f>
        <v/>
      </c>
    </row>
    <row r="40" ht="15" customHeight="1">
      <c r="A40" t="inlineStr">
        <is>
          <t>A 52815-2021</t>
        </is>
      </c>
      <c r="B40" s="1" t="n">
        <v>44467</v>
      </c>
      <c r="C40" s="1" t="n">
        <v>45729</v>
      </c>
      <c r="D40" t="inlineStr">
        <is>
          <t>STOCKHOLMS LÄN</t>
        </is>
      </c>
      <c r="E40" t="inlineStr">
        <is>
          <t>NORRTÄLJE</t>
        </is>
      </c>
      <c r="G40" t="n">
        <v>2.8</v>
      </c>
      <c r="H40" t="n">
        <v>0</v>
      </c>
      <c r="I40" t="n">
        <v>2</v>
      </c>
      <c r="J40" t="n">
        <v>2</v>
      </c>
      <c r="K40" t="n">
        <v>4</v>
      </c>
      <c r="L40" t="n">
        <v>1</v>
      </c>
      <c r="M40" t="n">
        <v>0</v>
      </c>
      <c r="N40" t="n">
        <v>0</v>
      </c>
      <c r="O40" t="n">
        <v>7</v>
      </c>
      <c r="P40" t="n">
        <v>5</v>
      </c>
      <c r="Q40" t="n">
        <v>9</v>
      </c>
      <c r="R40" s="2" t="inlineStr">
        <is>
          <t>Raggtaggsvamp
Gul lammticka
Koppartaggsvamp
Spricktaggsvamp
Svartfjällig musseron
Bittermusseron
Flattoppad klubbsvamp
Diskvaxskivling
Fjällig taggsvamp s.str.</t>
        </is>
      </c>
      <c r="S40">
        <f>HYPERLINK("https://klasma.github.io/Logging_0188/artfynd/A 52815-2021 artfynd.xlsx", "A 52815-2021")</f>
        <v/>
      </c>
      <c r="T40">
        <f>HYPERLINK("https://klasma.github.io/Logging_0188/kartor/A 52815-2021 karta.png", "A 52815-2021")</f>
        <v/>
      </c>
      <c r="V40">
        <f>HYPERLINK("https://klasma.github.io/Logging_0188/klagomål/A 52815-2021 FSC-klagomål.docx", "A 52815-2021")</f>
        <v/>
      </c>
      <c r="W40">
        <f>HYPERLINK("https://klasma.github.io/Logging_0188/klagomålsmail/A 52815-2021 FSC-klagomål mail.docx", "A 52815-2021")</f>
        <v/>
      </c>
      <c r="X40">
        <f>HYPERLINK("https://klasma.github.io/Logging_0188/tillsyn/A 52815-2021 tillsynsbegäran.docx", "A 52815-2021")</f>
        <v/>
      </c>
      <c r="Y40">
        <f>HYPERLINK("https://klasma.github.io/Logging_0188/tillsynsmail/A 52815-2021 tillsynsbegäran mail.docx", "A 52815-2021")</f>
        <v/>
      </c>
    </row>
    <row r="41" ht="15" customHeight="1">
      <c r="A41" t="inlineStr">
        <is>
          <t>A 73093-2021</t>
        </is>
      </c>
      <c r="B41" s="1" t="n">
        <v>44550</v>
      </c>
      <c r="C41" s="1" t="n">
        <v>45729</v>
      </c>
      <c r="D41" t="inlineStr">
        <is>
          <t>STOCKHOLMS LÄN</t>
        </is>
      </c>
      <c r="E41" t="inlineStr">
        <is>
          <t>NORRTÄLJE</t>
        </is>
      </c>
      <c r="G41" t="n">
        <v>5.1</v>
      </c>
      <c r="H41" t="n">
        <v>6</v>
      </c>
      <c r="I41" t="n">
        <v>6</v>
      </c>
      <c r="J41" t="n">
        <v>1</v>
      </c>
      <c r="K41" t="n">
        <v>0</v>
      </c>
      <c r="L41" t="n">
        <v>0</v>
      </c>
      <c r="M41" t="n">
        <v>0</v>
      </c>
      <c r="N41" t="n">
        <v>0</v>
      </c>
      <c r="O41" t="n">
        <v>1</v>
      </c>
      <c r="P41" t="n">
        <v>0</v>
      </c>
      <c r="Q41" t="n">
        <v>9</v>
      </c>
      <c r="R41" s="2" t="inlineStr">
        <is>
          <t>Rödvingetrast
Guckusko
Myskmadra
Nästrot
Skogsknipprot
Tibast
Vätteros
Nattviol
Blåsippa</t>
        </is>
      </c>
      <c r="S41">
        <f>HYPERLINK("https://klasma.github.io/Logging_0188/artfynd/A 73093-2021 artfynd.xlsx", "A 73093-2021")</f>
        <v/>
      </c>
      <c r="T41">
        <f>HYPERLINK("https://klasma.github.io/Logging_0188/kartor/A 73093-2021 karta.png", "A 73093-2021")</f>
        <v/>
      </c>
      <c r="V41">
        <f>HYPERLINK("https://klasma.github.io/Logging_0188/klagomål/A 73093-2021 FSC-klagomål.docx", "A 73093-2021")</f>
        <v/>
      </c>
      <c r="W41">
        <f>HYPERLINK("https://klasma.github.io/Logging_0188/klagomålsmail/A 73093-2021 FSC-klagomål mail.docx", "A 73093-2021")</f>
        <v/>
      </c>
      <c r="X41">
        <f>HYPERLINK("https://klasma.github.io/Logging_0188/tillsyn/A 73093-2021 tillsynsbegäran.docx", "A 73093-2021")</f>
        <v/>
      </c>
      <c r="Y41">
        <f>HYPERLINK("https://klasma.github.io/Logging_0188/tillsynsmail/A 73093-2021 tillsynsbegäran mail.docx", "A 73093-2021")</f>
        <v/>
      </c>
      <c r="Z41">
        <f>HYPERLINK("https://klasma.github.io/Logging_0188/fåglar/A 73093-2021 prioriterade fågelarter.docx", "A 73093-2021")</f>
        <v/>
      </c>
    </row>
    <row r="42" ht="15" customHeight="1">
      <c r="A42" t="inlineStr">
        <is>
          <t>A 47274-2024</t>
        </is>
      </c>
      <c r="B42" s="1" t="n">
        <v>45586</v>
      </c>
      <c r="C42" s="1" t="n">
        <v>45729</v>
      </c>
      <c r="D42" t="inlineStr">
        <is>
          <t>STOCKHOLMS LÄN</t>
        </is>
      </c>
      <c r="E42" t="inlineStr">
        <is>
          <t>NORRTÄLJE</t>
        </is>
      </c>
      <c r="G42" t="n">
        <v>20.1</v>
      </c>
      <c r="H42" t="n">
        <v>2</v>
      </c>
      <c r="I42" t="n">
        <v>3</v>
      </c>
      <c r="J42" t="n">
        <v>4</v>
      </c>
      <c r="K42" t="n">
        <v>1</v>
      </c>
      <c r="L42" t="n">
        <v>0</v>
      </c>
      <c r="M42" t="n">
        <v>0</v>
      </c>
      <c r="N42" t="n">
        <v>0</v>
      </c>
      <c r="O42" t="n">
        <v>5</v>
      </c>
      <c r="P42" t="n">
        <v>1</v>
      </c>
      <c r="Q42" t="n">
        <v>9</v>
      </c>
      <c r="R42" s="2" t="inlineStr">
        <is>
          <t>Knärot
Grönhjon
Motaggsvamp
Ullticka
Vedskivlav
Dropptaggsvamp
Grönpyrola
Svavelriska
Blåsippa</t>
        </is>
      </c>
      <c r="S42">
        <f>HYPERLINK("https://klasma.github.io/Logging_0188/artfynd/A 47274-2024 artfynd.xlsx", "A 47274-2024")</f>
        <v/>
      </c>
      <c r="T42">
        <f>HYPERLINK("https://klasma.github.io/Logging_0188/kartor/A 47274-2024 karta.png", "A 47274-2024")</f>
        <v/>
      </c>
      <c r="U42">
        <f>HYPERLINK("https://klasma.github.io/Logging_0188/knärot/A 47274-2024 karta knärot.png", "A 47274-2024")</f>
        <v/>
      </c>
      <c r="V42">
        <f>HYPERLINK("https://klasma.github.io/Logging_0188/klagomål/A 47274-2024 FSC-klagomål.docx", "A 47274-2024")</f>
        <v/>
      </c>
      <c r="W42">
        <f>HYPERLINK("https://klasma.github.io/Logging_0188/klagomålsmail/A 47274-2024 FSC-klagomål mail.docx", "A 47274-2024")</f>
        <v/>
      </c>
      <c r="X42">
        <f>HYPERLINK("https://klasma.github.io/Logging_0188/tillsyn/A 47274-2024 tillsynsbegäran.docx", "A 47274-2024")</f>
        <v/>
      </c>
      <c r="Y42">
        <f>HYPERLINK("https://klasma.github.io/Logging_0188/tillsynsmail/A 47274-2024 tillsynsbegäran mail.docx", "A 47274-2024")</f>
        <v/>
      </c>
    </row>
    <row r="43" ht="15" customHeight="1">
      <c r="A43" t="inlineStr">
        <is>
          <t>A 24687-2022</t>
        </is>
      </c>
      <c r="B43" s="1" t="n">
        <v>44727</v>
      </c>
      <c r="C43" s="1" t="n">
        <v>45729</v>
      </c>
      <c r="D43" t="inlineStr">
        <is>
          <t>STOCKHOLMS LÄN</t>
        </is>
      </c>
      <c r="E43" t="inlineStr">
        <is>
          <t>NORRTÄLJE</t>
        </is>
      </c>
      <c r="G43" t="n">
        <v>5.8</v>
      </c>
      <c r="H43" t="n">
        <v>3</v>
      </c>
      <c r="I43" t="n">
        <v>4</v>
      </c>
      <c r="J43" t="n">
        <v>0</v>
      </c>
      <c r="K43" t="n">
        <v>1</v>
      </c>
      <c r="L43" t="n">
        <v>0</v>
      </c>
      <c r="M43" t="n">
        <v>0</v>
      </c>
      <c r="N43" t="n">
        <v>0</v>
      </c>
      <c r="O43" t="n">
        <v>1</v>
      </c>
      <c r="P43" t="n">
        <v>1</v>
      </c>
      <c r="Q43" t="n">
        <v>8</v>
      </c>
      <c r="R43" s="2" t="inlineStr">
        <is>
          <t>Gul lammticka
Anisspindling
Diskvaxskivling
Fjällig taggsvamp s.str.
Rödgul trumpetsvamp
Tjäder
Blåsippa
Revlummer</t>
        </is>
      </c>
      <c r="S43">
        <f>HYPERLINK("https://klasma.github.io/Logging_0188/artfynd/A 24687-2022 artfynd.xlsx", "A 24687-2022")</f>
        <v/>
      </c>
      <c r="T43">
        <f>HYPERLINK("https://klasma.github.io/Logging_0188/kartor/A 24687-2022 karta.png", "A 24687-2022")</f>
        <v/>
      </c>
      <c r="V43">
        <f>HYPERLINK("https://klasma.github.io/Logging_0188/klagomål/A 24687-2022 FSC-klagomål.docx", "A 24687-2022")</f>
        <v/>
      </c>
      <c r="W43">
        <f>HYPERLINK("https://klasma.github.io/Logging_0188/klagomålsmail/A 24687-2022 FSC-klagomål mail.docx", "A 24687-2022")</f>
        <v/>
      </c>
      <c r="X43">
        <f>HYPERLINK("https://klasma.github.io/Logging_0188/tillsyn/A 24687-2022 tillsynsbegäran.docx", "A 24687-2022")</f>
        <v/>
      </c>
      <c r="Y43">
        <f>HYPERLINK("https://klasma.github.io/Logging_0188/tillsynsmail/A 24687-2022 tillsynsbegäran mail.docx", "A 24687-2022")</f>
        <v/>
      </c>
      <c r="Z43">
        <f>HYPERLINK("https://klasma.github.io/Logging_0188/fåglar/A 24687-2022 prioriterade fågelarter.docx", "A 24687-2022")</f>
        <v/>
      </c>
    </row>
    <row r="44" ht="15" customHeight="1">
      <c r="A44" t="inlineStr">
        <is>
          <t>A 59582-2024</t>
        </is>
      </c>
      <c r="B44" s="1" t="n">
        <v>45638</v>
      </c>
      <c r="C44" s="1" t="n">
        <v>45729</v>
      </c>
      <c r="D44" t="inlineStr">
        <is>
          <t>STOCKHOLMS LÄN</t>
        </is>
      </c>
      <c r="E44" t="inlineStr">
        <is>
          <t>NORRTÄLJE</t>
        </is>
      </c>
      <c r="F44" t="inlineStr">
        <is>
          <t>Holmen skog AB</t>
        </is>
      </c>
      <c r="G44" t="n">
        <v>2.7</v>
      </c>
      <c r="H44" t="n">
        <v>3</v>
      </c>
      <c r="I44" t="n">
        <v>4</v>
      </c>
      <c r="J44" t="n">
        <v>3</v>
      </c>
      <c r="K44" t="n">
        <v>0</v>
      </c>
      <c r="L44" t="n">
        <v>0</v>
      </c>
      <c r="M44" t="n">
        <v>0</v>
      </c>
      <c r="N44" t="n">
        <v>0</v>
      </c>
      <c r="O44" t="n">
        <v>3</v>
      </c>
      <c r="P44" t="n">
        <v>0</v>
      </c>
      <c r="Q44" t="n">
        <v>8</v>
      </c>
      <c r="R44" s="2" t="inlineStr">
        <is>
          <t>Duvhök
Skogshare
Spillkråka
Bronshjon
Granbräken
Spädstarr
Vågbandad barkbock
Revlummer</t>
        </is>
      </c>
      <c r="S44">
        <f>HYPERLINK("https://klasma.github.io/Logging_0188/artfynd/A 59582-2024 artfynd.xlsx", "A 59582-2024")</f>
        <v/>
      </c>
      <c r="T44">
        <f>HYPERLINK("https://klasma.github.io/Logging_0188/kartor/A 59582-2024 karta.png", "A 59582-2024")</f>
        <v/>
      </c>
      <c r="V44">
        <f>HYPERLINK("https://klasma.github.io/Logging_0188/klagomål/A 59582-2024 FSC-klagomål.docx", "A 59582-2024")</f>
        <v/>
      </c>
      <c r="W44">
        <f>HYPERLINK("https://klasma.github.io/Logging_0188/klagomålsmail/A 59582-2024 FSC-klagomål mail.docx", "A 59582-2024")</f>
        <v/>
      </c>
      <c r="X44">
        <f>HYPERLINK("https://klasma.github.io/Logging_0188/tillsyn/A 59582-2024 tillsynsbegäran.docx", "A 59582-2024")</f>
        <v/>
      </c>
      <c r="Y44">
        <f>HYPERLINK("https://klasma.github.io/Logging_0188/tillsynsmail/A 59582-2024 tillsynsbegäran mail.docx", "A 59582-2024")</f>
        <v/>
      </c>
      <c r="Z44">
        <f>HYPERLINK("https://klasma.github.io/Logging_0188/fåglar/A 59582-2024 prioriterade fågelarter.docx", "A 59582-2024")</f>
        <v/>
      </c>
    </row>
    <row r="45" ht="15" customHeight="1">
      <c r="A45" t="inlineStr">
        <is>
          <t>A 4705-2025</t>
        </is>
      </c>
      <c r="B45" s="1" t="n">
        <v>45688</v>
      </c>
      <c r="C45" s="1" t="n">
        <v>45729</v>
      </c>
      <c r="D45" t="inlineStr">
        <is>
          <t>STOCKHOLMS LÄN</t>
        </is>
      </c>
      <c r="E45" t="inlineStr">
        <is>
          <t>NORRTÄLJE</t>
        </is>
      </c>
      <c r="G45" t="n">
        <v>5.7</v>
      </c>
      <c r="H45" t="n">
        <v>0</v>
      </c>
      <c r="I45" t="n">
        <v>5</v>
      </c>
      <c r="J45" t="n">
        <v>3</v>
      </c>
      <c r="K45" t="n">
        <v>0</v>
      </c>
      <c r="L45" t="n">
        <v>0</v>
      </c>
      <c r="M45" t="n">
        <v>0</v>
      </c>
      <c r="N45" t="n">
        <v>0</v>
      </c>
      <c r="O45" t="n">
        <v>3</v>
      </c>
      <c r="P45" t="n">
        <v>0</v>
      </c>
      <c r="Q45" t="n">
        <v>8</v>
      </c>
      <c r="R45" s="2" t="inlineStr">
        <is>
          <t>Dofttaggsvamp
Granticka
Ullticka
Fjällig taggsvamp s.str.
Skarp dropptaggsvamp
Sårläka
Thomsons trägnagare
Tibast</t>
        </is>
      </c>
      <c r="S45">
        <f>HYPERLINK("https://klasma.github.io/Logging_0188/artfynd/A 4705-2025 artfynd.xlsx", "A 4705-2025")</f>
        <v/>
      </c>
      <c r="T45">
        <f>HYPERLINK("https://klasma.github.io/Logging_0188/kartor/A 4705-2025 karta.png", "A 4705-2025")</f>
        <v/>
      </c>
      <c r="V45">
        <f>HYPERLINK("https://klasma.github.io/Logging_0188/klagomål/A 4705-2025 FSC-klagomål.docx", "A 4705-2025")</f>
        <v/>
      </c>
      <c r="W45">
        <f>HYPERLINK("https://klasma.github.io/Logging_0188/klagomålsmail/A 4705-2025 FSC-klagomål mail.docx", "A 4705-2025")</f>
        <v/>
      </c>
      <c r="X45">
        <f>HYPERLINK("https://klasma.github.io/Logging_0188/tillsyn/A 4705-2025 tillsynsbegäran.docx", "A 4705-2025")</f>
        <v/>
      </c>
      <c r="Y45">
        <f>HYPERLINK("https://klasma.github.io/Logging_0188/tillsynsmail/A 4705-2025 tillsynsbegäran mail.docx", "A 4705-2025")</f>
        <v/>
      </c>
    </row>
    <row r="46" ht="15" customHeight="1">
      <c r="A46" t="inlineStr">
        <is>
          <t>A 47346-2021</t>
        </is>
      </c>
      <c r="B46" s="1" t="n">
        <v>44447</v>
      </c>
      <c r="C46" s="1" t="n">
        <v>45729</v>
      </c>
      <c r="D46" t="inlineStr">
        <is>
          <t>STOCKHOLMS LÄN</t>
        </is>
      </c>
      <c r="E46" t="inlineStr">
        <is>
          <t>NORRTÄLJE</t>
        </is>
      </c>
      <c r="G46" t="n">
        <v>5.5</v>
      </c>
      <c r="H46" t="n">
        <v>1</v>
      </c>
      <c r="I46" t="n">
        <v>4</v>
      </c>
      <c r="J46" t="n">
        <v>0</v>
      </c>
      <c r="K46" t="n">
        <v>2</v>
      </c>
      <c r="L46" t="n">
        <v>0</v>
      </c>
      <c r="M46" t="n">
        <v>0</v>
      </c>
      <c r="N46" t="n">
        <v>0</v>
      </c>
      <c r="O46" t="n">
        <v>2</v>
      </c>
      <c r="P46" t="n">
        <v>2</v>
      </c>
      <c r="Q46" t="n">
        <v>7</v>
      </c>
      <c r="R46" s="2" t="inlineStr">
        <is>
          <t>Grangråticka
Violgubbe
Anisspindling
Fjällig taggsvamp s.str.
Skarp dropptaggsvamp
Toppvaxskivling
Revlummer</t>
        </is>
      </c>
      <c r="S46">
        <f>HYPERLINK("https://klasma.github.io/Logging_0188/artfynd/A 47346-2021 artfynd.xlsx", "A 47346-2021")</f>
        <v/>
      </c>
      <c r="T46">
        <f>HYPERLINK("https://klasma.github.io/Logging_0188/kartor/A 47346-2021 karta.png", "A 47346-2021")</f>
        <v/>
      </c>
      <c r="V46">
        <f>HYPERLINK("https://klasma.github.io/Logging_0188/klagomål/A 47346-2021 FSC-klagomål.docx", "A 47346-2021")</f>
        <v/>
      </c>
      <c r="W46">
        <f>HYPERLINK("https://klasma.github.io/Logging_0188/klagomålsmail/A 47346-2021 FSC-klagomål mail.docx", "A 47346-2021")</f>
        <v/>
      </c>
      <c r="X46">
        <f>HYPERLINK("https://klasma.github.io/Logging_0188/tillsyn/A 47346-2021 tillsynsbegäran.docx", "A 47346-2021")</f>
        <v/>
      </c>
      <c r="Y46">
        <f>HYPERLINK("https://klasma.github.io/Logging_0188/tillsynsmail/A 47346-2021 tillsynsbegäran mail.docx", "A 47346-2021")</f>
        <v/>
      </c>
    </row>
    <row r="47" ht="15" customHeight="1">
      <c r="A47" t="inlineStr">
        <is>
          <t>A 8644-2022</t>
        </is>
      </c>
      <c r="B47" s="1" t="n">
        <v>44613</v>
      </c>
      <c r="C47" s="1" t="n">
        <v>45729</v>
      </c>
      <c r="D47" t="inlineStr">
        <is>
          <t>STOCKHOLMS LÄN</t>
        </is>
      </c>
      <c r="E47" t="inlineStr">
        <is>
          <t>NORRTÄLJE</t>
        </is>
      </c>
      <c r="G47" t="n">
        <v>5.7</v>
      </c>
      <c r="H47" t="n">
        <v>1</v>
      </c>
      <c r="I47" t="n">
        <v>4</v>
      </c>
      <c r="J47" t="n">
        <v>1</v>
      </c>
      <c r="K47" t="n">
        <v>1</v>
      </c>
      <c r="L47" t="n">
        <v>0</v>
      </c>
      <c r="M47" t="n">
        <v>0</v>
      </c>
      <c r="N47" t="n">
        <v>0</v>
      </c>
      <c r="O47" t="n">
        <v>2</v>
      </c>
      <c r="P47" t="n">
        <v>1</v>
      </c>
      <c r="Q47" t="n">
        <v>7</v>
      </c>
      <c r="R47" s="2" t="inlineStr">
        <is>
          <t>Vågticka
Såpfingersvamp
Blomkålssvamp
Diskvaxskivling
Grönpyrola
Hasselticka
Blåsippa</t>
        </is>
      </c>
      <c r="S47">
        <f>HYPERLINK("https://klasma.github.io/Logging_0188/artfynd/A 8644-2022 artfynd.xlsx", "A 8644-2022")</f>
        <v/>
      </c>
      <c r="T47">
        <f>HYPERLINK("https://klasma.github.io/Logging_0188/kartor/A 8644-2022 karta.png", "A 8644-2022")</f>
        <v/>
      </c>
      <c r="V47">
        <f>HYPERLINK("https://klasma.github.io/Logging_0188/klagomål/A 8644-2022 FSC-klagomål.docx", "A 8644-2022")</f>
        <v/>
      </c>
      <c r="W47">
        <f>HYPERLINK("https://klasma.github.io/Logging_0188/klagomålsmail/A 8644-2022 FSC-klagomål mail.docx", "A 8644-2022")</f>
        <v/>
      </c>
      <c r="X47">
        <f>HYPERLINK("https://klasma.github.io/Logging_0188/tillsyn/A 8644-2022 tillsynsbegäran.docx", "A 8644-2022")</f>
        <v/>
      </c>
      <c r="Y47">
        <f>HYPERLINK("https://klasma.github.io/Logging_0188/tillsynsmail/A 8644-2022 tillsynsbegäran mail.docx", "A 8644-2022")</f>
        <v/>
      </c>
    </row>
    <row r="48" ht="15" customHeight="1">
      <c r="A48" t="inlineStr">
        <is>
          <t>A 13933-2022</t>
        </is>
      </c>
      <c r="B48" s="1" t="n">
        <v>44650</v>
      </c>
      <c r="C48" s="1" t="n">
        <v>45729</v>
      </c>
      <c r="D48" t="inlineStr">
        <is>
          <t>STOCKHOLMS LÄN</t>
        </is>
      </c>
      <c r="E48" t="inlineStr">
        <is>
          <t>NORRTÄLJE</t>
        </is>
      </c>
      <c r="G48" t="n">
        <v>4.4</v>
      </c>
      <c r="H48" t="n">
        <v>3</v>
      </c>
      <c r="I48" t="n">
        <v>5</v>
      </c>
      <c r="J48" t="n">
        <v>1</v>
      </c>
      <c r="K48" t="n">
        <v>0</v>
      </c>
      <c r="L48" t="n">
        <v>0</v>
      </c>
      <c r="M48" t="n">
        <v>0</v>
      </c>
      <c r="N48" t="n">
        <v>0</v>
      </c>
      <c r="O48" t="n">
        <v>1</v>
      </c>
      <c r="P48" t="n">
        <v>0</v>
      </c>
      <c r="Q48" t="n">
        <v>7</v>
      </c>
      <c r="R48" s="2" t="inlineStr">
        <is>
          <t>Ullticka
Grön sköldmossa
Nästrot
Skogshakmossa
Tibast
Ögonpyrola
Blåsippa</t>
        </is>
      </c>
      <c r="S48">
        <f>HYPERLINK("https://klasma.github.io/Logging_0188/artfynd/A 13933-2022 artfynd.xlsx", "A 13933-2022")</f>
        <v/>
      </c>
      <c r="T48">
        <f>HYPERLINK("https://klasma.github.io/Logging_0188/kartor/A 13933-2022 karta.png", "A 13933-2022")</f>
        <v/>
      </c>
      <c r="V48">
        <f>HYPERLINK("https://klasma.github.io/Logging_0188/klagomål/A 13933-2022 FSC-klagomål.docx", "A 13933-2022")</f>
        <v/>
      </c>
      <c r="W48">
        <f>HYPERLINK("https://klasma.github.io/Logging_0188/klagomålsmail/A 13933-2022 FSC-klagomål mail.docx", "A 13933-2022")</f>
        <v/>
      </c>
      <c r="X48">
        <f>HYPERLINK("https://klasma.github.io/Logging_0188/tillsyn/A 13933-2022 tillsynsbegäran.docx", "A 13933-2022")</f>
        <v/>
      </c>
      <c r="Y48">
        <f>HYPERLINK("https://klasma.github.io/Logging_0188/tillsynsmail/A 13933-2022 tillsynsbegäran mail.docx", "A 13933-2022")</f>
        <v/>
      </c>
    </row>
    <row r="49" ht="15" customHeight="1">
      <c r="A49" t="inlineStr">
        <is>
          <t>A 24150-2022</t>
        </is>
      </c>
      <c r="B49" s="1" t="n">
        <v>44725</v>
      </c>
      <c r="C49" s="1" t="n">
        <v>45729</v>
      </c>
      <c r="D49" t="inlineStr">
        <is>
          <t>STOCKHOLMS LÄN</t>
        </is>
      </c>
      <c r="E49" t="inlineStr">
        <is>
          <t>NORRTÄLJE</t>
        </is>
      </c>
      <c r="G49" t="n">
        <v>7</v>
      </c>
      <c r="H49" t="n">
        <v>7</v>
      </c>
      <c r="I49" t="n">
        <v>0</v>
      </c>
      <c r="J49" t="n">
        <v>2</v>
      </c>
      <c r="K49" t="n">
        <v>0</v>
      </c>
      <c r="L49" t="n">
        <v>0</v>
      </c>
      <c r="M49" t="n">
        <v>0</v>
      </c>
      <c r="N49" t="n">
        <v>0</v>
      </c>
      <c r="O49" t="n">
        <v>2</v>
      </c>
      <c r="P49" t="n">
        <v>0</v>
      </c>
      <c r="Q49" t="n">
        <v>7</v>
      </c>
      <c r="R49" s="2" t="inlineStr">
        <is>
          <t>Brunlångöra
Nordfladdermus
Dvärgpipistrell
Gråskimlig fladdermus
Större brunfladdermus
Trollpipistrell
Vattenfladdermus</t>
        </is>
      </c>
      <c r="S49">
        <f>HYPERLINK("https://klasma.github.io/Logging_0188/artfynd/A 24150-2022 artfynd.xlsx", "A 24150-2022")</f>
        <v/>
      </c>
      <c r="T49">
        <f>HYPERLINK("https://klasma.github.io/Logging_0188/kartor/A 24150-2022 karta.png", "A 24150-2022")</f>
        <v/>
      </c>
      <c r="V49">
        <f>HYPERLINK("https://klasma.github.io/Logging_0188/klagomål/A 24150-2022 FSC-klagomål.docx", "A 24150-2022")</f>
        <v/>
      </c>
      <c r="W49">
        <f>HYPERLINK("https://klasma.github.io/Logging_0188/klagomålsmail/A 24150-2022 FSC-klagomål mail.docx", "A 24150-2022")</f>
        <v/>
      </c>
      <c r="X49">
        <f>HYPERLINK("https://klasma.github.io/Logging_0188/tillsyn/A 24150-2022 tillsynsbegäran.docx", "A 24150-2022")</f>
        <v/>
      </c>
      <c r="Y49">
        <f>HYPERLINK("https://klasma.github.io/Logging_0188/tillsynsmail/A 24150-2022 tillsynsbegäran mail.docx", "A 24150-2022")</f>
        <v/>
      </c>
    </row>
    <row r="50" ht="15" customHeight="1">
      <c r="A50" t="inlineStr">
        <is>
          <t>A 45811-2022</t>
        </is>
      </c>
      <c r="B50" s="1" t="n">
        <v>44846</v>
      </c>
      <c r="C50" s="1" t="n">
        <v>45729</v>
      </c>
      <c r="D50" t="inlineStr">
        <is>
          <t>STOCKHOLMS LÄN</t>
        </is>
      </c>
      <c r="E50" t="inlineStr">
        <is>
          <t>NORRTÄLJE</t>
        </is>
      </c>
      <c r="G50" t="n">
        <v>0.8</v>
      </c>
      <c r="H50" t="n">
        <v>0</v>
      </c>
      <c r="I50" t="n">
        <v>5</v>
      </c>
      <c r="J50" t="n">
        <v>0</v>
      </c>
      <c r="K50" t="n">
        <v>0</v>
      </c>
      <c r="L50" t="n">
        <v>1</v>
      </c>
      <c r="M50" t="n">
        <v>1</v>
      </c>
      <c r="N50" t="n">
        <v>0</v>
      </c>
      <c r="O50" t="n">
        <v>2</v>
      </c>
      <c r="P50" t="n">
        <v>2</v>
      </c>
      <c r="Q50" t="n">
        <v>7</v>
      </c>
      <c r="R50" s="2" t="inlineStr">
        <is>
          <t>Skogsalm
Ask
Hässleklocka
Myskmadra
Strävlosta
Tibast
Underviol</t>
        </is>
      </c>
      <c r="S50">
        <f>HYPERLINK("https://klasma.github.io/Logging_0188/artfynd/A 45811-2022 artfynd.xlsx", "A 45811-2022")</f>
        <v/>
      </c>
      <c r="T50">
        <f>HYPERLINK("https://klasma.github.io/Logging_0188/kartor/A 45811-2022 karta.png", "A 45811-2022")</f>
        <v/>
      </c>
      <c r="V50">
        <f>HYPERLINK("https://klasma.github.io/Logging_0188/klagomål/A 45811-2022 FSC-klagomål.docx", "A 45811-2022")</f>
        <v/>
      </c>
      <c r="W50">
        <f>HYPERLINK("https://klasma.github.io/Logging_0188/klagomålsmail/A 45811-2022 FSC-klagomål mail.docx", "A 45811-2022")</f>
        <v/>
      </c>
      <c r="X50">
        <f>HYPERLINK("https://klasma.github.io/Logging_0188/tillsyn/A 45811-2022 tillsynsbegäran.docx", "A 45811-2022")</f>
        <v/>
      </c>
      <c r="Y50">
        <f>HYPERLINK("https://klasma.github.io/Logging_0188/tillsynsmail/A 45811-2022 tillsynsbegäran mail.docx", "A 45811-2022")</f>
        <v/>
      </c>
    </row>
    <row r="51" ht="15" customHeight="1">
      <c r="A51" t="inlineStr">
        <is>
          <t>A 48490-2022</t>
        </is>
      </c>
      <c r="B51" s="1" t="n">
        <v>44858</v>
      </c>
      <c r="C51" s="1" t="n">
        <v>45729</v>
      </c>
      <c r="D51" t="inlineStr">
        <is>
          <t>STOCKHOLMS LÄN</t>
        </is>
      </c>
      <c r="E51" t="inlineStr">
        <is>
          <t>NORRTÄLJE</t>
        </is>
      </c>
      <c r="G51" t="n">
        <v>15.8</v>
      </c>
      <c r="H51" t="n">
        <v>2</v>
      </c>
      <c r="I51" t="n">
        <v>6</v>
      </c>
      <c r="J51" t="n">
        <v>0</v>
      </c>
      <c r="K51" t="n">
        <v>0</v>
      </c>
      <c r="L51" t="n">
        <v>0</v>
      </c>
      <c r="M51" t="n">
        <v>0</v>
      </c>
      <c r="N51" t="n">
        <v>0</v>
      </c>
      <c r="O51" t="n">
        <v>0</v>
      </c>
      <c r="P51" t="n">
        <v>0</v>
      </c>
      <c r="Q51" t="n">
        <v>7</v>
      </c>
      <c r="R51" s="2" t="inlineStr">
        <is>
          <t>Kragjordstjärna
Skogsknipprot
Svart trolldruva
Svavelriska
Tibast
Vårärt
Blåsippa</t>
        </is>
      </c>
      <c r="S51">
        <f>HYPERLINK("https://klasma.github.io/Logging_0188/artfynd/A 48490-2022 artfynd.xlsx", "A 48490-2022")</f>
        <v/>
      </c>
      <c r="T51">
        <f>HYPERLINK("https://klasma.github.io/Logging_0188/kartor/A 48490-2022 karta.png", "A 48490-2022")</f>
        <v/>
      </c>
      <c r="V51">
        <f>HYPERLINK("https://klasma.github.io/Logging_0188/klagomål/A 48490-2022 FSC-klagomål.docx", "A 48490-2022")</f>
        <v/>
      </c>
      <c r="W51">
        <f>HYPERLINK("https://klasma.github.io/Logging_0188/klagomålsmail/A 48490-2022 FSC-klagomål mail.docx", "A 48490-2022")</f>
        <v/>
      </c>
      <c r="X51">
        <f>HYPERLINK("https://klasma.github.io/Logging_0188/tillsyn/A 48490-2022 tillsynsbegäran.docx", "A 48490-2022")</f>
        <v/>
      </c>
      <c r="Y51">
        <f>HYPERLINK("https://klasma.github.io/Logging_0188/tillsynsmail/A 48490-2022 tillsynsbegäran mail.docx", "A 48490-2022")</f>
        <v/>
      </c>
    </row>
    <row r="52" ht="15" customHeight="1">
      <c r="A52" t="inlineStr">
        <is>
          <t>A 15278-2024</t>
        </is>
      </c>
      <c r="B52" s="1" t="n">
        <v>45400</v>
      </c>
      <c r="C52" s="1" t="n">
        <v>45729</v>
      </c>
      <c r="D52" t="inlineStr">
        <is>
          <t>STOCKHOLMS LÄN</t>
        </is>
      </c>
      <c r="E52" t="inlineStr">
        <is>
          <t>NORRTÄLJE</t>
        </is>
      </c>
      <c r="G52" t="n">
        <v>7.4</v>
      </c>
      <c r="H52" t="n">
        <v>2</v>
      </c>
      <c r="I52" t="n">
        <v>4</v>
      </c>
      <c r="J52" t="n">
        <v>1</v>
      </c>
      <c r="K52" t="n">
        <v>1</v>
      </c>
      <c r="L52" t="n">
        <v>0</v>
      </c>
      <c r="M52" t="n">
        <v>0</v>
      </c>
      <c r="N52" t="n">
        <v>0</v>
      </c>
      <c r="O52" t="n">
        <v>2</v>
      </c>
      <c r="P52" t="n">
        <v>1</v>
      </c>
      <c r="Q52" t="n">
        <v>7</v>
      </c>
      <c r="R52" s="2" t="inlineStr">
        <is>
          <t>Knärot
Ullticka
Fjällig taggsvamp s.str.
Grönpyrola
Kattfotslav
Vedticka
Blåsippa</t>
        </is>
      </c>
      <c r="S52">
        <f>HYPERLINK("https://klasma.github.io/Logging_0188/artfynd/A 15278-2024 artfynd.xlsx", "A 15278-2024")</f>
        <v/>
      </c>
      <c r="T52">
        <f>HYPERLINK("https://klasma.github.io/Logging_0188/kartor/A 15278-2024 karta.png", "A 15278-2024")</f>
        <v/>
      </c>
      <c r="U52">
        <f>HYPERLINK("https://klasma.github.io/Logging_0188/knärot/A 15278-2024 karta knärot.png", "A 15278-2024")</f>
        <v/>
      </c>
      <c r="V52">
        <f>HYPERLINK("https://klasma.github.io/Logging_0188/klagomål/A 15278-2024 FSC-klagomål.docx", "A 15278-2024")</f>
        <v/>
      </c>
      <c r="W52">
        <f>HYPERLINK("https://klasma.github.io/Logging_0188/klagomålsmail/A 15278-2024 FSC-klagomål mail.docx", "A 15278-2024")</f>
        <v/>
      </c>
      <c r="X52">
        <f>HYPERLINK("https://klasma.github.io/Logging_0188/tillsyn/A 15278-2024 tillsynsbegäran.docx", "A 15278-2024")</f>
        <v/>
      </c>
      <c r="Y52">
        <f>HYPERLINK("https://klasma.github.io/Logging_0188/tillsynsmail/A 15278-2024 tillsynsbegäran mail.docx", "A 15278-2024")</f>
        <v/>
      </c>
    </row>
    <row r="53" ht="15" customHeight="1">
      <c r="A53" t="inlineStr">
        <is>
          <t>A 9362-2025</t>
        </is>
      </c>
      <c r="B53" s="1" t="n">
        <v>45715</v>
      </c>
      <c r="C53" s="1" t="n">
        <v>45729</v>
      </c>
      <c r="D53" t="inlineStr">
        <is>
          <t>STOCKHOLMS LÄN</t>
        </is>
      </c>
      <c r="E53" t="inlineStr">
        <is>
          <t>NORRTÄLJE</t>
        </is>
      </c>
      <c r="G53" t="n">
        <v>5.9</v>
      </c>
      <c r="H53" t="n">
        <v>2</v>
      </c>
      <c r="I53" t="n">
        <v>5</v>
      </c>
      <c r="J53" t="n">
        <v>0</v>
      </c>
      <c r="K53" t="n">
        <v>1</v>
      </c>
      <c r="L53" t="n">
        <v>0</v>
      </c>
      <c r="M53" t="n">
        <v>0</v>
      </c>
      <c r="N53" t="n">
        <v>0</v>
      </c>
      <c r="O53" t="n">
        <v>1</v>
      </c>
      <c r="P53" t="n">
        <v>1</v>
      </c>
      <c r="Q53" t="n">
        <v>7</v>
      </c>
      <c r="R53" s="2" t="inlineStr">
        <is>
          <t>Grangråticka
Nästrot
Rödgul trumpetsvamp
Svavelriska
Tibast
Trådticka
Blåsippa</t>
        </is>
      </c>
      <c r="S53">
        <f>HYPERLINK("https://klasma.github.io/Logging_0188/artfynd/A 9362-2025 artfynd.xlsx", "A 9362-2025")</f>
        <v/>
      </c>
      <c r="T53">
        <f>HYPERLINK("https://klasma.github.io/Logging_0188/kartor/A 9362-2025 karta.png", "A 9362-2025")</f>
        <v/>
      </c>
      <c r="V53">
        <f>HYPERLINK("https://klasma.github.io/Logging_0188/klagomål/A 9362-2025 FSC-klagomål.docx", "A 9362-2025")</f>
        <v/>
      </c>
      <c r="W53">
        <f>HYPERLINK("https://klasma.github.io/Logging_0188/klagomålsmail/A 9362-2025 FSC-klagomål mail.docx", "A 9362-2025")</f>
        <v/>
      </c>
      <c r="X53">
        <f>HYPERLINK("https://klasma.github.io/Logging_0188/tillsyn/A 9362-2025 tillsynsbegäran.docx", "A 9362-2025")</f>
        <v/>
      </c>
      <c r="Y53">
        <f>HYPERLINK("https://klasma.github.io/Logging_0188/tillsynsmail/A 9362-2025 tillsynsbegäran mail.docx", "A 9362-2025")</f>
        <v/>
      </c>
    </row>
    <row r="54" ht="15" customHeight="1">
      <c r="A54" t="inlineStr">
        <is>
          <t>A 18284-2019</t>
        </is>
      </c>
      <c r="B54" s="1" t="n">
        <v>43558</v>
      </c>
      <c r="C54" s="1" t="n">
        <v>45729</v>
      </c>
      <c r="D54" t="inlineStr">
        <is>
          <t>STOCKHOLMS LÄN</t>
        </is>
      </c>
      <c r="E54" t="inlineStr">
        <is>
          <t>NORRTÄLJE</t>
        </is>
      </c>
      <c r="G54" t="n">
        <v>20.4</v>
      </c>
      <c r="H54" t="n">
        <v>0</v>
      </c>
      <c r="I54" t="n">
        <v>2</v>
      </c>
      <c r="J54" t="n">
        <v>3</v>
      </c>
      <c r="K54" t="n">
        <v>1</v>
      </c>
      <c r="L54" t="n">
        <v>0</v>
      </c>
      <c r="M54" t="n">
        <v>0</v>
      </c>
      <c r="N54" t="n">
        <v>0</v>
      </c>
      <c r="O54" t="n">
        <v>4</v>
      </c>
      <c r="P54" t="n">
        <v>1</v>
      </c>
      <c r="Q54" t="n">
        <v>6</v>
      </c>
      <c r="R54" s="2" t="inlineStr">
        <is>
          <t>Grangråticka
Motaggsvamp
Orange taggsvamp
Vedtrappmossa
Rödgul trumpetsvamp
Skarp dropptaggsvamp</t>
        </is>
      </c>
      <c r="S54">
        <f>HYPERLINK("https://klasma.github.io/Logging_0188/artfynd/A 18284-2019 artfynd.xlsx", "A 18284-2019")</f>
        <v/>
      </c>
      <c r="T54">
        <f>HYPERLINK("https://klasma.github.io/Logging_0188/kartor/A 18284-2019 karta.png", "A 18284-2019")</f>
        <v/>
      </c>
      <c r="V54">
        <f>HYPERLINK("https://klasma.github.io/Logging_0188/klagomål/A 18284-2019 FSC-klagomål.docx", "A 18284-2019")</f>
        <v/>
      </c>
      <c r="W54">
        <f>HYPERLINK("https://klasma.github.io/Logging_0188/klagomålsmail/A 18284-2019 FSC-klagomål mail.docx", "A 18284-2019")</f>
        <v/>
      </c>
      <c r="X54">
        <f>HYPERLINK("https://klasma.github.io/Logging_0188/tillsyn/A 18284-2019 tillsynsbegäran.docx", "A 18284-2019")</f>
        <v/>
      </c>
      <c r="Y54">
        <f>HYPERLINK("https://klasma.github.io/Logging_0188/tillsynsmail/A 18284-2019 tillsynsbegäran mail.docx", "A 18284-2019")</f>
        <v/>
      </c>
    </row>
    <row r="55" ht="15" customHeight="1">
      <c r="A55" t="inlineStr">
        <is>
          <t>A 20255-2019</t>
        </is>
      </c>
      <c r="B55" s="1" t="n">
        <v>43571</v>
      </c>
      <c r="C55" s="1" t="n">
        <v>45729</v>
      </c>
      <c r="D55" t="inlineStr">
        <is>
          <t>STOCKHOLMS LÄN</t>
        </is>
      </c>
      <c r="E55" t="inlineStr">
        <is>
          <t>NORRTÄLJE</t>
        </is>
      </c>
      <c r="F55" t="inlineStr">
        <is>
          <t>Kommuner</t>
        </is>
      </c>
      <c r="G55" t="n">
        <v>6.2</v>
      </c>
      <c r="H55" t="n">
        <v>3</v>
      </c>
      <c r="I55" t="n">
        <v>3</v>
      </c>
      <c r="J55" t="n">
        <v>1</v>
      </c>
      <c r="K55" t="n">
        <v>1</v>
      </c>
      <c r="L55" t="n">
        <v>0</v>
      </c>
      <c r="M55" t="n">
        <v>0</v>
      </c>
      <c r="N55" t="n">
        <v>0</v>
      </c>
      <c r="O55" t="n">
        <v>2</v>
      </c>
      <c r="P55" t="n">
        <v>1</v>
      </c>
      <c r="Q55" t="n">
        <v>6</v>
      </c>
      <c r="R55" s="2" t="inlineStr">
        <is>
          <t>Violettfläckig spindling
Kråka
Nästrot
Svart trolldruva
Underviol
Blåsippa</t>
        </is>
      </c>
      <c r="S55">
        <f>HYPERLINK("https://klasma.github.io/Logging_0188/artfynd/A 20255-2019 artfynd.xlsx", "A 20255-2019")</f>
        <v/>
      </c>
      <c r="T55">
        <f>HYPERLINK("https://klasma.github.io/Logging_0188/kartor/A 20255-2019 karta.png", "A 20255-2019")</f>
        <v/>
      </c>
      <c r="V55">
        <f>HYPERLINK("https://klasma.github.io/Logging_0188/klagomål/A 20255-2019 FSC-klagomål.docx", "A 20255-2019")</f>
        <v/>
      </c>
      <c r="W55">
        <f>HYPERLINK("https://klasma.github.io/Logging_0188/klagomålsmail/A 20255-2019 FSC-klagomål mail.docx", "A 20255-2019")</f>
        <v/>
      </c>
      <c r="X55">
        <f>HYPERLINK("https://klasma.github.io/Logging_0188/tillsyn/A 20255-2019 tillsynsbegäran.docx", "A 20255-2019")</f>
        <v/>
      </c>
      <c r="Y55">
        <f>HYPERLINK("https://klasma.github.io/Logging_0188/tillsynsmail/A 20255-2019 tillsynsbegäran mail.docx", "A 20255-2019")</f>
        <v/>
      </c>
      <c r="Z55">
        <f>HYPERLINK("https://klasma.github.io/Logging_0188/fåglar/A 20255-2019 prioriterade fågelarter.docx", "A 20255-2019")</f>
        <v/>
      </c>
    </row>
    <row r="56" ht="15" customHeight="1">
      <c r="A56" t="inlineStr">
        <is>
          <t>A 59328-2019</t>
        </is>
      </c>
      <c r="B56" s="1" t="n">
        <v>43775</v>
      </c>
      <c r="C56" s="1" t="n">
        <v>45729</v>
      </c>
      <c r="D56" t="inlineStr">
        <is>
          <t>STOCKHOLMS LÄN</t>
        </is>
      </c>
      <c r="E56" t="inlineStr">
        <is>
          <t>NORRTÄLJE</t>
        </is>
      </c>
      <c r="G56" t="n">
        <v>1.2</v>
      </c>
      <c r="H56" t="n">
        <v>0</v>
      </c>
      <c r="I56" t="n">
        <v>3</v>
      </c>
      <c r="J56" t="n">
        <v>1</v>
      </c>
      <c r="K56" t="n">
        <v>2</v>
      </c>
      <c r="L56" t="n">
        <v>0</v>
      </c>
      <c r="M56" t="n">
        <v>0</v>
      </c>
      <c r="N56" t="n">
        <v>0</v>
      </c>
      <c r="O56" t="n">
        <v>3</v>
      </c>
      <c r="P56" t="n">
        <v>2</v>
      </c>
      <c r="Q56" t="n">
        <v>6</v>
      </c>
      <c r="R56" s="2" t="inlineStr">
        <is>
          <t>Koppartaggsvamp
Violgubbe
Orange taggsvamp
Blåmossa
Bronshjon
Kattfotslav</t>
        </is>
      </c>
      <c r="S56">
        <f>HYPERLINK("https://klasma.github.io/Logging_0188/artfynd/A 59328-2019 artfynd.xlsx", "A 59328-2019")</f>
        <v/>
      </c>
      <c r="T56">
        <f>HYPERLINK("https://klasma.github.io/Logging_0188/kartor/A 59328-2019 karta.png", "A 59328-2019")</f>
        <v/>
      </c>
      <c r="V56">
        <f>HYPERLINK("https://klasma.github.io/Logging_0188/klagomål/A 59328-2019 FSC-klagomål.docx", "A 59328-2019")</f>
        <v/>
      </c>
      <c r="W56">
        <f>HYPERLINK("https://klasma.github.io/Logging_0188/klagomålsmail/A 59328-2019 FSC-klagomål mail.docx", "A 59328-2019")</f>
        <v/>
      </c>
      <c r="X56">
        <f>HYPERLINK("https://klasma.github.io/Logging_0188/tillsyn/A 59328-2019 tillsynsbegäran.docx", "A 59328-2019")</f>
        <v/>
      </c>
      <c r="Y56">
        <f>HYPERLINK("https://klasma.github.io/Logging_0188/tillsynsmail/A 59328-2019 tillsynsbegäran mail.docx", "A 59328-2019")</f>
        <v/>
      </c>
    </row>
    <row r="57" ht="15" customHeight="1">
      <c r="A57" t="inlineStr">
        <is>
          <t>A 21729-2023</t>
        </is>
      </c>
      <c r="B57" s="1" t="n">
        <v>45063</v>
      </c>
      <c r="C57" s="1" t="n">
        <v>45729</v>
      </c>
      <c r="D57" t="inlineStr">
        <is>
          <t>STOCKHOLMS LÄN</t>
        </is>
      </c>
      <c r="E57" t="inlineStr">
        <is>
          <t>NORRTÄLJE</t>
        </is>
      </c>
      <c r="G57" t="n">
        <v>17.2</v>
      </c>
      <c r="H57" t="n">
        <v>1</v>
      </c>
      <c r="I57" t="n">
        <v>0</v>
      </c>
      <c r="J57" t="n">
        <v>5</v>
      </c>
      <c r="K57" t="n">
        <v>0</v>
      </c>
      <c r="L57" t="n">
        <v>0</v>
      </c>
      <c r="M57" t="n">
        <v>0</v>
      </c>
      <c r="N57" t="n">
        <v>0</v>
      </c>
      <c r="O57" t="n">
        <v>5</v>
      </c>
      <c r="P57" t="n">
        <v>0</v>
      </c>
      <c r="Q57" t="n">
        <v>6</v>
      </c>
      <c r="R57" s="2" t="inlineStr">
        <is>
          <t>Backklöver
Gullklöver
Klofibbla
Pilblad
Slåtterfibbla
Adam och eva</t>
        </is>
      </c>
      <c r="S57">
        <f>HYPERLINK("https://klasma.github.io/Logging_0188/artfynd/A 21729-2023 artfynd.xlsx", "A 21729-2023")</f>
        <v/>
      </c>
      <c r="T57">
        <f>HYPERLINK("https://klasma.github.io/Logging_0188/kartor/A 21729-2023 karta.png", "A 21729-2023")</f>
        <v/>
      </c>
      <c r="V57">
        <f>HYPERLINK("https://klasma.github.io/Logging_0188/klagomål/A 21729-2023 FSC-klagomål.docx", "A 21729-2023")</f>
        <v/>
      </c>
      <c r="W57">
        <f>HYPERLINK("https://klasma.github.io/Logging_0188/klagomålsmail/A 21729-2023 FSC-klagomål mail.docx", "A 21729-2023")</f>
        <v/>
      </c>
      <c r="X57">
        <f>HYPERLINK("https://klasma.github.io/Logging_0188/tillsyn/A 21729-2023 tillsynsbegäran.docx", "A 21729-2023")</f>
        <v/>
      </c>
      <c r="Y57">
        <f>HYPERLINK("https://klasma.github.io/Logging_0188/tillsynsmail/A 21729-2023 tillsynsbegäran mail.docx", "A 21729-2023")</f>
        <v/>
      </c>
    </row>
    <row r="58" ht="15" customHeight="1">
      <c r="A58" t="inlineStr">
        <is>
          <t>A 34394-2023</t>
        </is>
      </c>
      <c r="B58" s="1" t="n">
        <v>45139</v>
      </c>
      <c r="C58" s="1" t="n">
        <v>45729</v>
      </c>
      <c r="D58" t="inlineStr">
        <is>
          <t>STOCKHOLMS LÄN</t>
        </is>
      </c>
      <c r="E58" t="inlineStr">
        <is>
          <t>NORRTÄLJE</t>
        </is>
      </c>
      <c r="G58" t="n">
        <v>8.5</v>
      </c>
      <c r="H58" t="n">
        <v>1</v>
      </c>
      <c r="I58" t="n">
        <v>2</v>
      </c>
      <c r="J58" t="n">
        <v>3</v>
      </c>
      <c r="K58" t="n">
        <v>0</v>
      </c>
      <c r="L58" t="n">
        <v>0</v>
      </c>
      <c r="M58" t="n">
        <v>0</v>
      </c>
      <c r="N58" t="n">
        <v>0</v>
      </c>
      <c r="O58" t="n">
        <v>3</v>
      </c>
      <c r="P58" t="n">
        <v>0</v>
      </c>
      <c r="Q58" t="n">
        <v>6</v>
      </c>
      <c r="R58" s="2" t="inlineStr">
        <is>
          <t>Grantaggsvamp
Motaggsvamp
Orange taggsvamp
Granriska
Grönpyrola
Blåsippa</t>
        </is>
      </c>
      <c r="S58">
        <f>HYPERLINK("https://klasma.github.io/Logging_0188/artfynd/A 34394-2023 artfynd.xlsx", "A 34394-2023")</f>
        <v/>
      </c>
      <c r="T58">
        <f>HYPERLINK("https://klasma.github.io/Logging_0188/kartor/A 34394-2023 karta.png", "A 34394-2023")</f>
        <v/>
      </c>
      <c r="V58">
        <f>HYPERLINK("https://klasma.github.io/Logging_0188/klagomål/A 34394-2023 FSC-klagomål.docx", "A 34394-2023")</f>
        <v/>
      </c>
      <c r="W58">
        <f>HYPERLINK("https://klasma.github.io/Logging_0188/klagomålsmail/A 34394-2023 FSC-klagomål mail.docx", "A 34394-2023")</f>
        <v/>
      </c>
      <c r="X58">
        <f>HYPERLINK("https://klasma.github.io/Logging_0188/tillsyn/A 34394-2023 tillsynsbegäran.docx", "A 34394-2023")</f>
        <v/>
      </c>
      <c r="Y58">
        <f>HYPERLINK("https://klasma.github.io/Logging_0188/tillsynsmail/A 34394-2023 tillsynsbegäran mail.docx", "A 34394-2023")</f>
        <v/>
      </c>
    </row>
    <row r="59" ht="15" customHeight="1">
      <c r="A59" t="inlineStr">
        <is>
          <t>A 51476-2023</t>
        </is>
      </c>
      <c r="B59" s="1" t="n">
        <v>45221</v>
      </c>
      <c r="C59" s="1" t="n">
        <v>45729</v>
      </c>
      <c r="D59" t="inlineStr">
        <is>
          <t>STOCKHOLMS LÄN</t>
        </is>
      </c>
      <c r="E59" t="inlineStr">
        <is>
          <t>NORRTÄLJE</t>
        </is>
      </c>
      <c r="G59" t="n">
        <v>4.6</v>
      </c>
      <c r="H59" t="n">
        <v>3</v>
      </c>
      <c r="I59" t="n">
        <v>3</v>
      </c>
      <c r="J59" t="n">
        <v>1</v>
      </c>
      <c r="K59" t="n">
        <v>1</v>
      </c>
      <c r="L59" t="n">
        <v>0</v>
      </c>
      <c r="M59" t="n">
        <v>0</v>
      </c>
      <c r="N59" t="n">
        <v>0</v>
      </c>
      <c r="O59" t="n">
        <v>2</v>
      </c>
      <c r="P59" t="n">
        <v>1</v>
      </c>
      <c r="Q59" t="n">
        <v>6</v>
      </c>
      <c r="R59" s="2" t="inlineStr">
        <is>
          <t>Knärot
Spillkråka
Grönpyrola
Rödgul trumpetsvamp
Vågbandad barkbock
Kungsfågel</t>
        </is>
      </c>
      <c r="S59">
        <f>HYPERLINK("https://klasma.github.io/Logging_0188/artfynd/A 51476-2023 artfynd.xlsx", "A 51476-2023")</f>
        <v/>
      </c>
      <c r="T59">
        <f>HYPERLINK("https://klasma.github.io/Logging_0188/kartor/A 51476-2023 karta.png", "A 51476-2023")</f>
        <v/>
      </c>
      <c r="U59">
        <f>HYPERLINK("https://klasma.github.io/Logging_0188/knärot/A 51476-2023 karta knärot.png", "A 51476-2023")</f>
        <v/>
      </c>
      <c r="V59">
        <f>HYPERLINK("https://klasma.github.io/Logging_0188/klagomål/A 51476-2023 FSC-klagomål.docx", "A 51476-2023")</f>
        <v/>
      </c>
      <c r="W59">
        <f>HYPERLINK("https://klasma.github.io/Logging_0188/klagomålsmail/A 51476-2023 FSC-klagomål mail.docx", "A 51476-2023")</f>
        <v/>
      </c>
      <c r="X59">
        <f>HYPERLINK("https://klasma.github.io/Logging_0188/tillsyn/A 51476-2023 tillsynsbegäran.docx", "A 51476-2023")</f>
        <v/>
      </c>
      <c r="Y59">
        <f>HYPERLINK("https://klasma.github.io/Logging_0188/tillsynsmail/A 51476-2023 tillsynsbegäran mail.docx", "A 51476-2023")</f>
        <v/>
      </c>
      <c r="Z59">
        <f>HYPERLINK("https://klasma.github.io/Logging_0188/fåglar/A 51476-2023 prioriterade fågelarter.docx", "A 51476-2023")</f>
        <v/>
      </c>
    </row>
    <row r="60" ht="15" customHeight="1">
      <c r="A60" t="inlineStr">
        <is>
          <t>A 56792-2024</t>
        </is>
      </c>
      <c r="B60" s="1" t="n">
        <v>45628</v>
      </c>
      <c r="C60" s="1" t="n">
        <v>45729</v>
      </c>
      <c r="D60" t="inlineStr">
        <is>
          <t>STOCKHOLMS LÄN</t>
        </is>
      </c>
      <c r="E60" t="inlineStr">
        <is>
          <t>NORRTÄLJE</t>
        </is>
      </c>
      <c r="G60" t="n">
        <v>9.699999999999999</v>
      </c>
      <c r="H60" t="n">
        <v>4</v>
      </c>
      <c r="I60" t="n">
        <v>1</v>
      </c>
      <c r="J60" t="n">
        <v>2</v>
      </c>
      <c r="K60" t="n">
        <v>0</v>
      </c>
      <c r="L60" t="n">
        <v>0</v>
      </c>
      <c r="M60" t="n">
        <v>0</v>
      </c>
      <c r="N60" t="n">
        <v>0</v>
      </c>
      <c r="O60" t="n">
        <v>2</v>
      </c>
      <c r="P60" t="n">
        <v>0</v>
      </c>
      <c r="Q60" t="n">
        <v>6</v>
      </c>
      <c r="R60" s="2" t="inlineStr">
        <is>
          <t>Fyrflikig jordstjärna
Kandelabersvamp
Nästrot
Tjäder
Blåsippa
Revlummer</t>
        </is>
      </c>
      <c r="S60">
        <f>HYPERLINK("https://klasma.github.io/Logging_0188/artfynd/A 56792-2024 artfynd.xlsx", "A 56792-2024")</f>
        <v/>
      </c>
      <c r="T60">
        <f>HYPERLINK("https://klasma.github.io/Logging_0188/kartor/A 56792-2024 karta.png", "A 56792-2024")</f>
        <v/>
      </c>
      <c r="V60">
        <f>HYPERLINK("https://klasma.github.io/Logging_0188/klagomål/A 56792-2024 FSC-klagomål.docx", "A 56792-2024")</f>
        <v/>
      </c>
      <c r="W60">
        <f>HYPERLINK("https://klasma.github.io/Logging_0188/klagomålsmail/A 56792-2024 FSC-klagomål mail.docx", "A 56792-2024")</f>
        <v/>
      </c>
      <c r="X60">
        <f>HYPERLINK("https://klasma.github.io/Logging_0188/tillsyn/A 56792-2024 tillsynsbegäran.docx", "A 56792-2024")</f>
        <v/>
      </c>
      <c r="Y60">
        <f>HYPERLINK("https://klasma.github.io/Logging_0188/tillsynsmail/A 56792-2024 tillsynsbegäran mail.docx", "A 56792-2024")</f>
        <v/>
      </c>
      <c r="Z60">
        <f>HYPERLINK("https://klasma.github.io/Logging_0188/fåglar/A 56792-2024 prioriterade fågelarter.docx", "A 56792-2024")</f>
        <v/>
      </c>
    </row>
    <row r="61" ht="15" customHeight="1">
      <c r="A61" t="inlineStr">
        <is>
          <t>A 45469-2019</t>
        </is>
      </c>
      <c r="B61" s="1" t="n">
        <v>43714</v>
      </c>
      <c r="C61" s="1" t="n">
        <v>45729</v>
      </c>
      <c r="D61" t="inlineStr">
        <is>
          <t>STOCKHOLMS LÄN</t>
        </is>
      </c>
      <c r="E61" t="inlineStr">
        <is>
          <t>NORRTÄLJE</t>
        </is>
      </c>
      <c r="F61" t="inlineStr">
        <is>
          <t>Övriga statliga verk och myndigheter</t>
        </is>
      </c>
      <c r="G61" t="n">
        <v>10.6</v>
      </c>
      <c r="H61" t="n">
        <v>2</v>
      </c>
      <c r="I61" t="n">
        <v>3</v>
      </c>
      <c r="J61" t="n">
        <v>0</v>
      </c>
      <c r="K61" t="n">
        <v>0</v>
      </c>
      <c r="L61" t="n">
        <v>1</v>
      </c>
      <c r="M61" t="n">
        <v>0</v>
      </c>
      <c r="N61" t="n">
        <v>0</v>
      </c>
      <c r="O61" t="n">
        <v>1</v>
      </c>
      <c r="P61" t="n">
        <v>1</v>
      </c>
      <c r="Q61" t="n">
        <v>5</v>
      </c>
      <c r="R61" s="2" t="inlineStr">
        <is>
          <t>Ask
Hasselticka
Sårläka
Tvåblad
Blåsippa</t>
        </is>
      </c>
      <c r="S61">
        <f>HYPERLINK("https://klasma.github.io/Logging_0188/artfynd/A 45469-2019 artfynd.xlsx", "A 45469-2019")</f>
        <v/>
      </c>
      <c r="T61">
        <f>HYPERLINK("https://klasma.github.io/Logging_0188/kartor/A 45469-2019 karta.png", "A 45469-2019")</f>
        <v/>
      </c>
      <c r="V61">
        <f>HYPERLINK("https://klasma.github.io/Logging_0188/klagomål/A 45469-2019 FSC-klagomål.docx", "A 45469-2019")</f>
        <v/>
      </c>
      <c r="W61">
        <f>HYPERLINK("https://klasma.github.io/Logging_0188/klagomålsmail/A 45469-2019 FSC-klagomål mail.docx", "A 45469-2019")</f>
        <v/>
      </c>
      <c r="X61">
        <f>HYPERLINK("https://klasma.github.io/Logging_0188/tillsyn/A 45469-2019 tillsynsbegäran.docx", "A 45469-2019")</f>
        <v/>
      </c>
      <c r="Y61">
        <f>HYPERLINK("https://klasma.github.io/Logging_0188/tillsynsmail/A 45469-2019 tillsynsbegäran mail.docx", "A 45469-2019")</f>
        <v/>
      </c>
    </row>
    <row r="62" ht="15" customHeight="1">
      <c r="A62" t="inlineStr">
        <is>
          <t>A 42457-2020</t>
        </is>
      </c>
      <c r="B62" s="1" t="n">
        <v>44076</v>
      </c>
      <c r="C62" s="1" t="n">
        <v>45729</v>
      </c>
      <c r="D62" t="inlineStr">
        <is>
          <t>STOCKHOLMS LÄN</t>
        </is>
      </c>
      <c r="E62" t="inlineStr">
        <is>
          <t>NORRTÄLJE</t>
        </is>
      </c>
      <c r="F62" t="inlineStr">
        <is>
          <t>Kommuner</t>
        </is>
      </c>
      <c r="G62" t="n">
        <v>3.1</v>
      </c>
      <c r="H62" t="n">
        <v>2</v>
      </c>
      <c r="I62" t="n">
        <v>3</v>
      </c>
      <c r="J62" t="n">
        <v>1</v>
      </c>
      <c r="K62" t="n">
        <v>0</v>
      </c>
      <c r="L62" t="n">
        <v>0</v>
      </c>
      <c r="M62" t="n">
        <v>0</v>
      </c>
      <c r="N62" t="n">
        <v>0</v>
      </c>
      <c r="O62" t="n">
        <v>1</v>
      </c>
      <c r="P62" t="n">
        <v>0</v>
      </c>
      <c r="Q62" t="n">
        <v>5</v>
      </c>
      <c r="R62" s="2" t="inlineStr">
        <is>
          <t>Spillkråka
Granbräken
Jättesvampmal
Thomsons trägnagare
Blåsippa</t>
        </is>
      </c>
      <c r="S62">
        <f>HYPERLINK("https://klasma.github.io/Logging_0188/artfynd/A 42457-2020 artfynd.xlsx", "A 42457-2020")</f>
        <v/>
      </c>
      <c r="T62">
        <f>HYPERLINK("https://klasma.github.io/Logging_0188/kartor/A 42457-2020 karta.png", "A 42457-2020")</f>
        <v/>
      </c>
      <c r="V62">
        <f>HYPERLINK("https://klasma.github.io/Logging_0188/klagomål/A 42457-2020 FSC-klagomål.docx", "A 42457-2020")</f>
        <v/>
      </c>
      <c r="W62">
        <f>HYPERLINK("https://klasma.github.io/Logging_0188/klagomålsmail/A 42457-2020 FSC-klagomål mail.docx", "A 42457-2020")</f>
        <v/>
      </c>
      <c r="X62">
        <f>HYPERLINK("https://klasma.github.io/Logging_0188/tillsyn/A 42457-2020 tillsynsbegäran.docx", "A 42457-2020")</f>
        <v/>
      </c>
      <c r="Y62">
        <f>HYPERLINK("https://klasma.github.io/Logging_0188/tillsynsmail/A 42457-2020 tillsynsbegäran mail.docx", "A 42457-2020")</f>
        <v/>
      </c>
      <c r="Z62">
        <f>HYPERLINK("https://klasma.github.io/Logging_0188/fåglar/A 42457-2020 prioriterade fågelarter.docx", "A 42457-2020")</f>
        <v/>
      </c>
    </row>
    <row r="63" ht="15" customHeight="1">
      <c r="A63" t="inlineStr">
        <is>
          <t>A 72111-2021</t>
        </is>
      </c>
      <c r="B63" s="1" t="n">
        <v>44544</v>
      </c>
      <c r="C63" s="1" t="n">
        <v>45729</v>
      </c>
      <c r="D63" t="inlineStr">
        <is>
          <t>STOCKHOLMS LÄN</t>
        </is>
      </c>
      <c r="E63" t="inlineStr">
        <is>
          <t>NORRTÄLJE</t>
        </is>
      </c>
      <c r="G63" t="n">
        <v>5.1</v>
      </c>
      <c r="H63" t="n">
        <v>1</v>
      </c>
      <c r="I63" t="n">
        <v>3</v>
      </c>
      <c r="J63" t="n">
        <v>1</v>
      </c>
      <c r="K63" t="n">
        <v>0</v>
      </c>
      <c r="L63" t="n">
        <v>0</v>
      </c>
      <c r="M63" t="n">
        <v>0</v>
      </c>
      <c r="N63" t="n">
        <v>0</v>
      </c>
      <c r="O63" t="n">
        <v>1</v>
      </c>
      <c r="P63" t="n">
        <v>0</v>
      </c>
      <c r="Q63" t="n">
        <v>5</v>
      </c>
      <c r="R63" s="2" t="inlineStr">
        <is>
          <t>Lunglav
Scharlakansvårskål agg.
Sårläka
Vårärt
Blåsippa</t>
        </is>
      </c>
      <c r="S63">
        <f>HYPERLINK("https://klasma.github.io/Logging_0188/artfynd/A 72111-2021 artfynd.xlsx", "A 72111-2021")</f>
        <v/>
      </c>
      <c r="T63">
        <f>HYPERLINK("https://klasma.github.io/Logging_0188/kartor/A 72111-2021 karta.png", "A 72111-2021")</f>
        <v/>
      </c>
      <c r="V63">
        <f>HYPERLINK("https://klasma.github.io/Logging_0188/klagomål/A 72111-2021 FSC-klagomål.docx", "A 72111-2021")</f>
        <v/>
      </c>
      <c r="W63">
        <f>HYPERLINK("https://klasma.github.io/Logging_0188/klagomålsmail/A 72111-2021 FSC-klagomål mail.docx", "A 72111-2021")</f>
        <v/>
      </c>
      <c r="X63">
        <f>HYPERLINK("https://klasma.github.io/Logging_0188/tillsyn/A 72111-2021 tillsynsbegäran.docx", "A 72111-2021")</f>
        <v/>
      </c>
      <c r="Y63">
        <f>HYPERLINK("https://klasma.github.io/Logging_0188/tillsynsmail/A 72111-2021 tillsynsbegäran mail.docx", "A 72111-2021")</f>
        <v/>
      </c>
    </row>
    <row r="64" ht="15" customHeight="1">
      <c r="A64" t="inlineStr">
        <is>
          <t>A 21922-2023</t>
        </is>
      </c>
      <c r="B64" s="1" t="n">
        <v>45068</v>
      </c>
      <c r="C64" s="1" t="n">
        <v>45729</v>
      </c>
      <c r="D64" t="inlineStr">
        <is>
          <t>STOCKHOLMS LÄN</t>
        </is>
      </c>
      <c r="E64" t="inlineStr">
        <is>
          <t>NORRTÄLJE</t>
        </is>
      </c>
      <c r="G64" t="n">
        <v>4.9</v>
      </c>
      <c r="H64" t="n">
        <v>2</v>
      </c>
      <c r="I64" t="n">
        <v>2</v>
      </c>
      <c r="J64" t="n">
        <v>1</v>
      </c>
      <c r="K64" t="n">
        <v>0</v>
      </c>
      <c r="L64" t="n">
        <v>0</v>
      </c>
      <c r="M64" t="n">
        <v>0</v>
      </c>
      <c r="N64" t="n">
        <v>0</v>
      </c>
      <c r="O64" t="n">
        <v>1</v>
      </c>
      <c r="P64" t="n">
        <v>0</v>
      </c>
      <c r="Q64" t="n">
        <v>5</v>
      </c>
      <c r="R64" s="2" t="inlineStr">
        <is>
          <t>Asppraktbagge
Stor aspticka
Svavelriska
Blåsippa
Gullviva</t>
        </is>
      </c>
      <c r="S64">
        <f>HYPERLINK("https://klasma.github.io/Logging_0188/artfynd/A 21922-2023 artfynd.xlsx", "A 21922-2023")</f>
        <v/>
      </c>
      <c r="T64">
        <f>HYPERLINK("https://klasma.github.io/Logging_0188/kartor/A 21922-2023 karta.png", "A 21922-2023")</f>
        <v/>
      </c>
      <c r="V64">
        <f>HYPERLINK("https://klasma.github.io/Logging_0188/klagomål/A 21922-2023 FSC-klagomål.docx", "A 21922-2023")</f>
        <v/>
      </c>
      <c r="W64">
        <f>HYPERLINK("https://klasma.github.io/Logging_0188/klagomålsmail/A 21922-2023 FSC-klagomål mail.docx", "A 21922-2023")</f>
        <v/>
      </c>
      <c r="X64">
        <f>HYPERLINK("https://klasma.github.io/Logging_0188/tillsyn/A 21922-2023 tillsynsbegäran.docx", "A 21922-2023")</f>
        <v/>
      </c>
      <c r="Y64">
        <f>HYPERLINK("https://klasma.github.io/Logging_0188/tillsynsmail/A 21922-2023 tillsynsbegäran mail.docx", "A 21922-2023")</f>
        <v/>
      </c>
    </row>
    <row r="65" ht="15" customHeight="1">
      <c r="A65" t="inlineStr">
        <is>
          <t>A 21927-2023</t>
        </is>
      </c>
      <c r="B65" s="1" t="n">
        <v>45068</v>
      </c>
      <c r="C65" s="1" t="n">
        <v>45729</v>
      </c>
      <c r="D65" t="inlineStr">
        <is>
          <t>STOCKHOLMS LÄN</t>
        </is>
      </c>
      <c r="E65" t="inlineStr">
        <is>
          <t>NORRTÄLJE</t>
        </is>
      </c>
      <c r="G65" t="n">
        <v>1.4</v>
      </c>
      <c r="H65" t="n">
        <v>4</v>
      </c>
      <c r="I65" t="n">
        <v>2</v>
      </c>
      <c r="J65" t="n">
        <v>1</v>
      </c>
      <c r="K65" t="n">
        <v>0</v>
      </c>
      <c r="L65" t="n">
        <v>0</v>
      </c>
      <c r="M65" t="n">
        <v>0</v>
      </c>
      <c r="N65" t="n">
        <v>0</v>
      </c>
      <c r="O65" t="n">
        <v>1</v>
      </c>
      <c r="P65" t="n">
        <v>0</v>
      </c>
      <c r="Q65" t="n">
        <v>5</v>
      </c>
      <c r="R65" s="2" t="inlineStr">
        <is>
          <t>Slåtterfibbla
Skogsknipprot
Tvåblad
Blåsippa
Gullviva</t>
        </is>
      </c>
      <c r="S65">
        <f>HYPERLINK("https://klasma.github.io/Logging_0188/artfynd/A 21927-2023 artfynd.xlsx", "A 21927-2023")</f>
        <v/>
      </c>
      <c r="T65">
        <f>HYPERLINK("https://klasma.github.io/Logging_0188/kartor/A 21927-2023 karta.png", "A 21927-2023")</f>
        <v/>
      </c>
      <c r="V65">
        <f>HYPERLINK("https://klasma.github.io/Logging_0188/klagomål/A 21927-2023 FSC-klagomål.docx", "A 21927-2023")</f>
        <v/>
      </c>
      <c r="W65">
        <f>HYPERLINK("https://klasma.github.io/Logging_0188/klagomålsmail/A 21927-2023 FSC-klagomål mail.docx", "A 21927-2023")</f>
        <v/>
      </c>
      <c r="X65">
        <f>HYPERLINK("https://klasma.github.io/Logging_0188/tillsyn/A 21927-2023 tillsynsbegäran.docx", "A 21927-2023")</f>
        <v/>
      </c>
      <c r="Y65">
        <f>HYPERLINK("https://klasma.github.io/Logging_0188/tillsynsmail/A 21927-2023 tillsynsbegäran mail.docx", "A 21927-2023")</f>
        <v/>
      </c>
    </row>
    <row r="66" ht="15" customHeight="1">
      <c r="A66" t="inlineStr">
        <is>
          <t>A 28298-2024</t>
        </is>
      </c>
      <c r="B66" s="1" t="n">
        <v>45477</v>
      </c>
      <c r="C66" s="1" t="n">
        <v>45729</v>
      </c>
      <c r="D66" t="inlineStr">
        <is>
          <t>STOCKHOLMS LÄN</t>
        </is>
      </c>
      <c r="E66" t="inlineStr">
        <is>
          <t>NORRTÄLJE</t>
        </is>
      </c>
      <c r="G66" t="n">
        <v>4.4</v>
      </c>
      <c r="H66" t="n">
        <v>3</v>
      </c>
      <c r="I66" t="n">
        <v>1</v>
      </c>
      <c r="J66" t="n">
        <v>1</v>
      </c>
      <c r="K66" t="n">
        <v>1</v>
      </c>
      <c r="L66" t="n">
        <v>0</v>
      </c>
      <c r="M66" t="n">
        <v>0</v>
      </c>
      <c r="N66" t="n">
        <v>0</v>
      </c>
      <c r="O66" t="n">
        <v>2</v>
      </c>
      <c r="P66" t="n">
        <v>1</v>
      </c>
      <c r="Q66" t="n">
        <v>5</v>
      </c>
      <c r="R66" s="2" t="inlineStr">
        <is>
          <t>Tallbit
Mindre bastardsvärmare
Vätteros
Adam och eva
Gullviva</t>
        </is>
      </c>
      <c r="S66">
        <f>HYPERLINK("https://klasma.github.io/Logging_0188/artfynd/A 28298-2024 artfynd.xlsx", "A 28298-2024")</f>
        <v/>
      </c>
      <c r="T66">
        <f>HYPERLINK("https://klasma.github.io/Logging_0188/kartor/A 28298-2024 karta.png", "A 28298-2024")</f>
        <v/>
      </c>
      <c r="V66">
        <f>HYPERLINK("https://klasma.github.io/Logging_0188/klagomål/A 28298-2024 FSC-klagomål.docx", "A 28298-2024")</f>
        <v/>
      </c>
      <c r="W66">
        <f>HYPERLINK("https://klasma.github.io/Logging_0188/klagomålsmail/A 28298-2024 FSC-klagomål mail.docx", "A 28298-2024")</f>
        <v/>
      </c>
      <c r="X66">
        <f>HYPERLINK("https://klasma.github.io/Logging_0188/tillsyn/A 28298-2024 tillsynsbegäran.docx", "A 28298-2024")</f>
        <v/>
      </c>
      <c r="Y66">
        <f>HYPERLINK("https://klasma.github.io/Logging_0188/tillsynsmail/A 28298-2024 tillsynsbegäran mail.docx", "A 28298-2024")</f>
        <v/>
      </c>
      <c r="Z66">
        <f>HYPERLINK("https://klasma.github.io/Logging_0188/fåglar/A 28298-2024 prioriterade fågelarter.docx", "A 28298-2024")</f>
        <v/>
      </c>
    </row>
    <row r="67" ht="15" customHeight="1">
      <c r="A67" t="inlineStr">
        <is>
          <t>A 46807-2024</t>
        </is>
      </c>
      <c r="B67" s="1" t="n">
        <v>45583</v>
      </c>
      <c r="C67" s="1" t="n">
        <v>45729</v>
      </c>
      <c r="D67" t="inlineStr">
        <is>
          <t>STOCKHOLMS LÄN</t>
        </is>
      </c>
      <c r="E67" t="inlineStr">
        <is>
          <t>NORRTÄLJE</t>
        </is>
      </c>
      <c r="G67" t="n">
        <v>6.5</v>
      </c>
      <c r="H67" t="n">
        <v>2</v>
      </c>
      <c r="I67" t="n">
        <v>2</v>
      </c>
      <c r="J67" t="n">
        <v>2</v>
      </c>
      <c r="K67" t="n">
        <v>0</v>
      </c>
      <c r="L67" t="n">
        <v>0</v>
      </c>
      <c r="M67" t="n">
        <v>0</v>
      </c>
      <c r="N67" t="n">
        <v>0</v>
      </c>
      <c r="O67" t="n">
        <v>2</v>
      </c>
      <c r="P67" t="n">
        <v>0</v>
      </c>
      <c r="Q67" t="n">
        <v>5</v>
      </c>
      <c r="R67" s="2" t="inlineStr">
        <is>
          <t>Loppstarr
Talltita
Rödgul trumpetsvamp
Zontaggsvamp
Blåsippa</t>
        </is>
      </c>
      <c r="S67">
        <f>HYPERLINK("https://klasma.github.io/Logging_0188/artfynd/A 46807-2024 artfynd.xlsx", "A 46807-2024")</f>
        <v/>
      </c>
      <c r="T67">
        <f>HYPERLINK("https://klasma.github.io/Logging_0188/kartor/A 46807-2024 karta.png", "A 46807-2024")</f>
        <v/>
      </c>
      <c r="V67">
        <f>HYPERLINK("https://klasma.github.io/Logging_0188/klagomål/A 46807-2024 FSC-klagomål.docx", "A 46807-2024")</f>
        <v/>
      </c>
      <c r="W67">
        <f>HYPERLINK("https://klasma.github.io/Logging_0188/klagomålsmail/A 46807-2024 FSC-klagomål mail.docx", "A 46807-2024")</f>
        <v/>
      </c>
      <c r="X67">
        <f>HYPERLINK("https://klasma.github.io/Logging_0188/tillsyn/A 46807-2024 tillsynsbegäran.docx", "A 46807-2024")</f>
        <v/>
      </c>
      <c r="Y67">
        <f>HYPERLINK("https://klasma.github.io/Logging_0188/tillsynsmail/A 46807-2024 tillsynsbegäran mail.docx", "A 46807-2024")</f>
        <v/>
      </c>
      <c r="Z67">
        <f>HYPERLINK("https://klasma.github.io/Logging_0188/fåglar/A 46807-2024 prioriterade fågelarter.docx", "A 46807-2024")</f>
        <v/>
      </c>
    </row>
    <row r="68" ht="15" customHeight="1">
      <c r="A68" t="inlineStr">
        <is>
          <t>A 25507-2019</t>
        </is>
      </c>
      <c r="B68" s="1" t="n">
        <v>43606</v>
      </c>
      <c r="C68" s="1" t="n">
        <v>45729</v>
      </c>
      <c r="D68" t="inlineStr">
        <is>
          <t>STOCKHOLMS LÄN</t>
        </is>
      </c>
      <c r="E68" t="inlineStr">
        <is>
          <t>NORRTÄLJE</t>
        </is>
      </c>
      <c r="G68" t="n">
        <v>3.1</v>
      </c>
      <c r="H68" t="n">
        <v>1</v>
      </c>
      <c r="I68" t="n">
        <v>2</v>
      </c>
      <c r="J68" t="n">
        <v>0</v>
      </c>
      <c r="K68" t="n">
        <v>0</v>
      </c>
      <c r="L68" t="n">
        <v>1</v>
      </c>
      <c r="M68" t="n">
        <v>0</v>
      </c>
      <c r="N68" t="n">
        <v>0</v>
      </c>
      <c r="O68" t="n">
        <v>1</v>
      </c>
      <c r="P68" t="n">
        <v>1</v>
      </c>
      <c r="Q68" t="n">
        <v>4</v>
      </c>
      <c r="R68" s="2" t="inlineStr">
        <is>
          <t>Ask
Tibast
Vårärt
Blåsippa</t>
        </is>
      </c>
      <c r="S68">
        <f>HYPERLINK("https://klasma.github.io/Logging_0188/artfynd/A 25507-2019 artfynd.xlsx", "A 25507-2019")</f>
        <v/>
      </c>
      <c r="T68">
        <f>HYPERLINK("https://klasma.github.io/Logging_0188/kartor/A 25507-2019 karta.png", "A 25507-2019")</f>
        <v/>
      </c>
      <c r="V68">
        <f>HYPERLINK("https://klasma.github.io/Logging_0188/klagomål/A 25507-2019 FSC-klagomål.docx", "A 25507-2019")</f>
        <v/>
      </c>
      <c r="W68">
        <f>HYPERLINK("https://klasma.github.io/Logging_0188/klagomålsmail/A 25507-2019 FSC-klagomål mail.docx", "A 25507-2019")</f>
        <v/>
      </c>
      <c r="X68">
        <f>HYPERLINK("https://klasma.github.io/Logging_0188/tillsyn/A 25507-2019 tillsynsbegäran.docx", "A 25507-2019")</f>
        <v/>
      </c>
      <c r="Y68">
        <f>HYPERLINK("https://klasma.github.io/Logging_0188/tillsynsmail/A 25507-2019 tillsynsbegäran mail.docx", "A 25507-2019")</f>
        <v/>
      </c>
    </row>
    <row r="69" ht="15" customHeight="1">
      <c r="A69" t="inlineStr">
        <is>
          <t>A 28408-2019</t>
        </is>
      </c>
      <c r="B69" s="1" t="n">
        <v>43626</v>
      </c>
      <c r="C69" s="1" t="n">
        <v>45729</v>
      </c>
      <c r="D69" t="inlineStr">
        <is>
          <t>STOCKHOLMS LÄN</t>
        </is>
      </c>
      <c r="E69" t="inlineStr">
        <is>
          <t>NORRTÄLJE</t>
        </is>
      </c>
      <c r="G69" t="n">
        <v>1.1</v>
      </c>
      <c r="H69" t="n">
        <v>2</v>
      </c>
      <c r="I69" t="n">
        <v>2</v>
      </c>
      <c r="J69" t="n">
        <v>1</v>
      </c>
      <c r="K69" t="n">
        <v>1</v>
      </c>
      <c r="L69" t="n">
        <v>0</v>
      </c>
      <c r="M69" t="n">
        <v>0</v>
      </c>
      <c r="N69" t="n">
        <v>0</v>
      </c>
      <c r="O69" t="n">
        <v>2</v>
      </c>
      <c r="P69" t="n">
        <v>1</v>
      </c>
      <c r="Q69" t="n">
        <v>4</v>
      </c>
      <c r="R69" s="2" t="inlineStr">
        <is>
          <t>Knärot
Granticka
Grönpyrola
Nästrot</t>
        </is>
      </c>
      <c r="S69">
        <f>HYPERLINK("https://klasma.github.io/Logging_0188/artfynd/A 28408-2019 artfynd.xlsx", "A 28408-2019")</f>
        <v/>
      </c>
      <c r="T69">
        <f>HYPERLINK("https://klasma.github.io/Logging_0188/kartor/A 28408-2019 karta.png", "A 28408-2019")</f>
        <v/>
      </c>
      <c r="U69">
        <f>HYPERLINK("https://klasma.github.io/Logging_0188/knärot/A 28408-2019 karta knärot.png", "A 28408-2019")</f>
        <v/>
      </c>
      <c r="V69">
        <f>HYPERLINK("https://klasma.github.io/Logging_0188/klagomål/A 28408-2019 FSC-klagomål.docx", "A 28408-2019")</f>
        <v/>
      </c>
      <c r="W69">
        <f>HYPERLINK("https://klasma.github.io/Logging_0188/klagomålsmail/A 28408-2019 FSC-klagomål mail.docx", "A 28408-2019")</f>
        <v/>
      </c>
      <c r="X69">
        <f>HYPERLINK("https://klasma.github.io/Logging_0188/tillsyn/A 28408-2019 tillsynsbegäran.docx", "A 28408-2019")</f>
        <v/>
      </c>
      <c r="Y69">
        <f>HYPERLINK("https://klasma.github.io/Logging_0188/tillsynsmail/A 28408-2019 tillsynsbegäran mail.docx", "A 28408-2019")</f>
        <v/>
      </c>
    </row>
    <row r="70" ht="15" customHeight="1">
      <c r="A70" t="inlineStr">
        <is>
          <t>A 2803-2020</t>
        </is>
      </c>
      <c r="B70" s="1" t="n">
        <v>43850</v>
      </c>
      <c r="C70" s="1" t="n">
        <v>45729</v>
      </c>
      <c r="D70" t="inlineStr">
        <is>
          <t>STOCKHOLMS LÄN</t>
        </is>
      </c>
      <c r="E70" t="inlineStr">
        <is>
          <t>NORRTÄLJE</t>
        </is>
      </c>
      <c r="G70" t="n">
        <v>1.2</v>
      </c>
      <c r="H70" t="n">
        <v>2</v>
      </c>
      <c r="I70" t="n">
        <v>2</v>
      </c>
      <c r="J70" t="n">
        <v>0</v>
      </c>
      <c r="K70" t="n">
        <v>1</v>
      </c>
      <c r="L70" t="n">
        <v>0</v>
      </c>
      <c r="M70" t="n">
        <v>0</v>
      </c>
      <c r="N70" t="n">
        <v>0</v>
      </c>
      <c r="O70" t="n">
        <v>1</v>
      </c>
      <c r="P70" t="n">
        <v>1</v>
      </c>
      <c r="Q70" t="n">
        <v>4</v>
      </c>
      <c r="R70" s="2" t="inlineStr">
        <is>
          <t>Knärot
Brandticka
Tibast
Tjäder</t>
        </is>
      </c>
      <c r="S70">
        <f>HYPERLINK("https://klasma.github.io/Logging_0188/artfynd/A 2803-2020 artfynd.xlsx", "A 2803-2020")</f>
        <v/>
      </c>
      <c r="T70">
        <f>HYPERLINK("https://klasma.github.io/Logging_0188/kartor/A 2803-2020 karta.png", "A 2803-2020")</f>
        <v/>
      </c>
      <c r="U70">
        <f>HYPERLINK("https://klasma.github.io/Logging_0188/knärot/A 2803-2020 karta knärot.png", "A 2803-2020")</f>
        <v/>
      </c>
      <c r="V70">
        <f>HYPERLINK("https://klasma.github.io/Logging_0188/klagomål/A 2803-2020 FSC-klagomål.docx", "A 2803-2020")</f>
        <v/>
      </c>
      <c r="W70">
        <f>HYPERLINK("https://klasma.github.io/Logging_0188/klagomålsmail/A 2803-2020 FSC-klagomål mail.docx", "A 2803-2020")</f>
        <v/>
      </c>
      <c r="X70">
        <f>HYPERLINK("https://klasma.github.io/Logging_0188/tillsyn/A 2803-2020 tillsynsbegäran.docx", "A 2803-2020")</f>
        <v/>
      </c>
      <c r="Y70">
        <f>HYPERLINK("https://klasma.github.io/Logging_0188/tillsynsmail/A 2803-2020 tillsynsbegäran mail.docx", "A 2803-2020")</f>
        <v/>
      </c>
      <c r="Z70">
        <f>HYPERLINK("https://klasma.github.io/Logging_0188/fåglar/A 2803-2020 prioriterade fågelarter.docx", "A 2803-2020")</f>
        <v/>
      </c>
    </row>
    <row r="71" ht="15" customHeight="1">
      <c r="A71" t="inlineStr">
        <is>
          <t>A 5732-2020</t>
        </is>
      </c>
      <c r="B71" s="1" t="n">
        <v>43863</v>
      </c>
      <c r="C71" s="1" t="n">
        <v>45729</v>
      </c>
      <c r="D71" t="inlineStr">
        <is>
          <t>STOCKHOLMS LÄN</t>
        </is>
      </c>
      <c r="E71" t="inlineStr">
        <is>
          <t>NORRTÄLJE</t>
        </is>
      </c>
      <c r="G71" t="n">
        <v>1.8</v>
      </c>
      <c r="H71" t="n">
        <v>0</v>
      </c>
      <c r="I71" t="n">
        <v>2</v>
      </c>
      <c r="J71" t="n">
        <v>2</v>
      </c>
      <c r="K71" t="n">
        <v>0</v>
      </c>
      <c r="L71" t="n">
        <v>0</v>
      </c>
      <c r="M71" t="n">
        <v>0</v>
      </c>
      <c r="N71" t="n">
        <v>0</v>
      </c>
      <c r="O71" t="n">
        <v>2</v>
      </c>
      <c r="P71" t="n">
        <v>0</v>
      </c>
      <c r="Q71" t="n">
        <v>4</v>
      </c>
      <c r="R71" s="2" t="inlineStr">
        <is>
          <t>Svart taggsvamp
Äggspindling
Kryddspindling
Strimspindling</t>
        </is>
      </c>
      <c r="S71">
        <f>HYPERLINK("https://klasma.github.io/Logging_0188/artfynd/A 5732-2020 artfynd.xlsx", "A 5732-2020")</f>
        <v/>
      </c>
      <c r="T71">
        <f>HYPERLINK("https://klasma.github.io/Logging_0188/kartor/A 5732-2020 karta.png", "A 5732-2020")</f>
        <v/>
      </c>
      <c r="V71">
        <f>HYPERLINK("https://klasma.github.io/Logging_0188/klagomål/A 5732-2020 FSC-klagomål.docx", "A 5732-2020")</f>
        <v/>
      </c>
      <c r="W71">
        <f>HYPERLINK("https://klasma.github.io/Logging_0188/klagomålsmail/A 5732-2020 FSC-klagomål mail.docx", "A 5732-2020")</f>
        <v/>
      </c>
      <c r="X71">
        <f>HYPERLINK("https://klasma.github.io/Logging_0188/tillsyn/A 5732-2020 tillsynsbegäran.docx", "A 5732-2020")</f>
        <v/>
      </c>
      <c r="Y71">
        <f>HYPERLINK("https://klasma.github.io/Logging_0188/tillsynsmail/A 5732-2020 tillsynsbegäran mail.docx", "A 5732-2020")</f>
        <v/>
      </c>
    </row>
    <row r="72" ht="15" customHeight="1">
      <c r="A72" t="inlineStr">
        <is>
          <t>A 24052-2021</t>
        </is>
      </c>
      <c r="B72" s="1" t="n">
        <v>44336</v>
      </c>
      <c r="C72" s="1" t="n">
        <v>45729</v>
      </c>
      <c r="D72" t="inlineStr">
        <is>
          <t>STOCKHOLMS LÄN</t>
        </is>
      </c>
      <c r="E72" t="inlineStr">
        <is>
          <t>NORRTÄLJE</t>
        </is>
      </c>
      <c r="G72" t="n">
        <v>8.6</v>
      </c>
      <c r="H72" t="n">
        <v>4</v>
      </c>
      <c r="I72" t="n">
        <v>0</v>
      </c>
      <c r="J72" t="n">
        <v>2</v>
      </c>
      <c r="K72" t="n">
        <v>0</v>
      </c>
      <c r="L72" t="n">
        <v>0</v>
      </c>
      <c r="M72" t="n">
        <v>0</v>
      </c>
      <c r="N72" t="n">
        <v>0</v>
      </c>
      <c r="O72" t="n">
        <v>2</v>
      </c>
      <c r="P72" t="n">
        <v>0</v>
      </c>
      <c r="Q72" t="n">
        <v>4</v>
      </c>
      <c r="R72" s="2" t="inlineStr">
        <is>
          <t>Brunlångöra
Nordfladdermus
Dvärgpipistrell
Större brunfladdermus</t>
        </is>
      </c>
      <c r="S72">
        <f>HYPERLINK("https://klasma.github.io/Logging_0188/artfynd/A 24052-2021 artfynd.xlsx", "A 24052-2021")</f>
        <v/>
      </c>
      <c r="T72">
        <f>HYPERLINK("https://klasma.github.io/Logging_0188/kartor/A 24052-2021 karta.png", "A 24052-2021")</f>
        <v/>
      </c>
      <c r="V72">
        <f>HYPERLINK("https://klasma.github.io/Logging_0188/klagomål/A 24052-2021 FSC-klagomål.docx", "A 24052-2021")</f>
        <v/>
      </c>
      <c r="W72">
        <f>HYPERLINK("https://klasma.github.io/Logging_0188/klagomålsmail/A 24052-2021 FSC-klagomål mail.docx", "A 24052-2021")</f>
        <v/>
      </c>
      <c r="X72">
        <f>HYPERLINK("https://klasma.github.io/Logging_0188/tillsyn/A 24052-2021 tillsynsbegäran.docx", "A 24052-2021")</f>
        <v/>
      </c>
      <c r="Y72">
        <f>HYPERLINK("https://klasma.github.io/Logging_0188/tillsynsmail/A 24052-2021 tillsynsbegäran mail.docx", "A 24052-2021")</f>
        <v/>
      </c>
    </row>
    <row r="73" ht="15" customHeight="1">
      <c r="A73" t="inlineStr">
        <is>
          <t>A 72305-2021</t>
        </is>
      </c>
      <c r="B73" s="1" t="n">
        <v>44545</v>
      </c>
      <c r="C73" s="1" t="n">
        <v>45729</v>
      </c>
      <c r="D73" t="inlineStr">
        <is>
          <t>STOCKHOLMS LÄN</t>
        </is>
      </c>
      <c r="E73" t="inlineStr">
        <is>
          <t>NORRTÄLJE</t>
        </is>
      </c>
      <c r="G73" t="n">
        <v>1.5</v>
      </c>
      <c r="H73" t="n">
        <v>1</v>
      </c>
      <c r="I73" t="n">
        <v>3</v>
      </c>
      <c r="J73" t="n">
        <v>0</v>
      </c>
      <c r="K73" t="n">
        <v>0</v>
      </c>
      <c r="L73" t="n">
        <v>0</v>
      </c>
      <c r="M73" t="n">
        <v>0</v>
      </c>
      <c r="N73" t="n">
        <v>0</v>
      </c>
      <c r="O73" t="n">
        <v>0</v>
      </c>
      <c r="P73" t="n">
        <v>0</v>
      </c>
      <c r="Q73" t="n">
        <v>4</v>
      </c>
      <c r="R73" s="2" t="inlineStr">
        <is>
          <t>Svart trolldruva
Sårläka
Vårärt
Blåsippa</t>
        </is>
      </c>
      <c r="S73">
        <f>HYPERLINK("https://klasma.github.io/Logging_0188/artfynd/A 72305-2021 artfynd.xlsx", "A 72305-2021")</f>
        <v/>
      </c>
      <c r="T73">
        <f>HYPERLINK("https://klasma.github.io/Logging_0188/kartor/A 72305-2021 karta.png", "A 72305-2021")</f>
        <v/>
      </c>
      <c r="V73">
        <f>HYPERLINK("https://klasma.github.io/Logging_0188/klagomål/A 72305-2021 FSC-klagomål.docx", "A 72305-2021")</f>
        <v/>
      </c>
      <c r="W73">
        <f>HYPERLINK("https://klasma.github.io/Logging_0188/klagomålsmail/A 72305-2021 FSC-klagomål mail.docx", "A 72305-2021")</f>
        <v/>
      </c>
      <c r="X73">
        <f>HYPERLINK("https://klasma.github.io/Logging_0188/tillsyn/A 72305-2021 tillsynsbegäran.docx", "A 72305-2021")</f>
        <v/>
      </c>
      <c r="Y73">
        <f>HYPERLINK("https://klasma.github.io/Logging_0188/tillsynsmail/A 72305-2021 tillsynsbegäran mail.docx", "A 72305-2021")</f>
        <v/>
      </c>
    </row>
    <row r="74" ht="15" customHeight="1">
      <c r="A74" t="inlineStr">
        <is>
          <t>A 8024-2022</t>
        </is>
      </c>
      <c r="B74" s="1" t="n">
        <v>44609</v>
      </c>
      <c r="C74" s="1" t="n">
        <v>45729</v>
      </c>
      <c r="D74" t="inlineStr">
        <is>
          <t>STOCKHOLMS LÄN</t>
        </is>
      </c>
      <c r="E74" t="inlineStr">
        <is>
          <t>NORRTÄLJE</t>
        </is>
      </c>
      <c r="F74" t="inlineStr">
        <is>
          <t>Kyrkan</t>
        </is>
      </c>
      <c r="G74" t="n">
        <v>28.2</v>
      </c>
      <c r="H74" t="n">
        <v>4</v>
      </c>
      <c r="I74" t="n">
        <v>0</v>
      </c>
      <c r="J74" t="n">
        <v>2</v>
      </c>
      <c r="K74" t="n">
        <v>0</v>
      </c>
      <c r="L74" t="n">
        <v>0</v>
      </c>
      <c r="M74" t="n">
        <v>0</v>
      </c>
      <c r="N74" t="n">
        <v>0</v>
      </c>
      <c r="O74" t="n">
        <v>2</v>
      </c>
      <c r="P74" t="n">
        <v>0</v>
      </c>
      <c r="Q74" t="n">
        <v>4</v>
      </c>
      <c r="R74" s="2" t="inlineStr">
        <is>
          <t>Björktrast
Havsörn
Hökuggla
Revlummer</t>
        </is>
      </c>
      <c r="S74">
        <f>HYPERLINK("https://klasma.github.io/Logging_0188/artfynd/A 8024-2022 artfynd.xlsx", "A 8024-2022")</f>
        <v/>
      </c>
      <c r="T74">
        <f>HYPERLINK("https://klasma.github.io/Logging_0188/kartor/A 8024-2022 karta.png", "A 8024-2022")</f>
        <v/>
      </c>
      <c r="V74">
        <f>HYPERLINK("https://klasma.github.io/Logging_0188/klagomål/A 8024-2022 FSC-klagomål.docx", "A 8024-2022")</f>
        <v/>
      </c>
      <c r="W74">
        <f>HYPERLINK("https://klasma.github.io/Logging_0188/klagomålsmail/A 8024-2022 FSC-klagomål mail.docx", "A 8024-2022")</f>
        <v/>
      </c>
      <c r="X74">
        <f>HYPERLINK("https://klasma.github.io/Logging_0188/tillsyn/A 8024-2022 tillsynsbegäran.docx", "A 8024-2022")</f>
        <v/>
      </c>
      <c r="Y74">
        <f>HYPERLINK("https://klasma.github.io/Logging_0188/tillsynsmail/A 8024-2022 tillsynsbegäran mail.docx", "A 8024-2022")</f>
        <v/>
      </c>
      <c r="Z74">
        <f>HYPERLINK("https://klasma.github.io/Logging_0188/fåglar/A 8024-2022 prioriterade fågelarter.docx", "A 8024-2022")</f>
        <v/>
      </c>
    </row>
    <row r="75" ht="15" customHeight="1">
      <c r="A75" t="inlineStr">
        <is>
          <t>A 56785-2023</t>
        </is>
      </c>
      <c r="B75" s="1" t="n">
        <v>45244</v>
      </c>
      <c r="C75" s="1" t="n">
        <v>45729</v>
      </c>
      <c r="D75" t="inlineStr">
        <is>
          <t>STOCKHOLMS LÄN</t>
        </is>
      </c>
      <c r="E75" t="inlineStr">
        <is>
          <t>NORRTÄLJE</t>
        </is>
      </c>
      <c r="G75" t="n">
        <v>7.7</v>
      </c>
      <c r="H75" t="n">
        <v>0</v>
      </c>
      <c r="I75" t="n">
        <v>1</v>
      </c>
      <c r="J75" t="n">
        <v>3</v>
      </c>
      <c r="K75" t="n">
        <v>0</v>
      </c>
      <c r="L75" t="n">
        <v>0</v>
      </c>
      <c r="M75" t="n">
        <v>0</v>
      </c>
      <c r="N75" t="n">
        <v>0</v>
      </c>
      <c r="O75" t="n">
        <v>3</v>
      </c>
      <c r="P75" t="n">
        <v>0</v>
      </c>
      <c r="Q75" t="n">
        <v>4</v>
      </c>
      <c r="R75" s="2" t="inlineStr">
        <is>
          <t>Plattad lövvedborre
Skeppsvarvsfluga
Triplax rufipes
Dorcatoma chrysomelina</t>
        </is>
      </c>
      <c r="S75">
        <f>HYPERLINK("https://klasma.github.io/Logging_0188/artfynd/A 56785-2023 artfynd.xlsx", "A 56785-2023")</f>
        <v/>
      </c>
      <c r="T75">
        <f>HYPERLINK("https://klasma.github.io/Logging_0188/kartor/A 56785-2023 karta.png", "A 56785-2023")</f>
        <v/>
      </c>
      <c r="V75">
        <f>HYPERLINK("https://klasma.github.io/Logging_0188/klagomål/A 56785-2023 FSC-klagomål.docx", "A 56785-2023")</f>
        <v/>
      </c>
      <c r="W75">
        <f>HYPERLINK("https://klasma.github.io/Logging_0188/klagomålsmail/A 56785-2023 FSC-klagomål mail.docx", "A 56785-2023")</f>
        <v/>
      </c>
      <c r="X75">
        <f>HYPERLINK("https://klasma.github.io/Logging_0188/tillsyn/A 56785-2023 tillsynsbegäran.docx", "A 56785-2023")</f>
        <v/>
      </c>
      <c r="Y75">
        <f>HYPERLINK("https://klasma.github.io/Logging_0188/tillsynsmail/A 56785-2023 tillsynsbegäran mail.docx", "A 56785-2023")</f>
        <v/>
      </c>
    </row>
    <row r="76" ht="15" customHeight="1">
      <c r="A76" t="inlineStr">
        <is>
          <t>A 10876-2025</t>
        </is>
      </c>
      <c r="B76" s="1" t="n">
        <v>45722</v>
      </c>
      <c r="C76" s="1" t="n">
        <v>45729</v>
      </c>
      <c r="D76" t="inlineStr">
        <is>
          <t>STOCKHOLMS LÄN</t>
        </is>
      </c>
      <c r="E76" t="inlineStr">
        <is>
          <t>NORRTÄLJE</t>
        </is>
      </c>
      <c r="F76" t="inlineStr">
        <is>
          <t>Holmen skog AB</t>
        </is>
      </c>
      <c r="G76" t="n">
        <v>9.300000000000001</v>
      </c>
      <c r="H76" t="n">
        <v>4</v>
      </c>
      <c r="I76" t="n">
        <v>0</v>
      </c>
      <c r="J76" t="n">
        <v>1</v>
      </c>
      <c r="K76" t="n">
        <v>1</v>
      </c>
      <c r="L76" t="n">
        <v>1</v>
      </c>
      <c r="M76" t="n">
        <v>0</v>
      </c>
      <c r="N76" t="n">
        <v>0</v>
      </c>
      <c r="O76" t="n">
        <v>3</v>
      </c>
      <c r="P76" t="n">
        <v>2</v>
      </c>
      <c r="Q76" t="n">
        <v>4</v>
      </c>
      <c r="R76" s="2" t="inlineStr">
        <is>
          <t>Asknätfjäril
Hällebräcka
Utter
Gullviva</t>
        </is>
      </c>
      <c r="S76">
        <f>HYPERLINK("https://klasma.github.io/Logging_0188/artfynd/A 10876-2025 artfynd.xlsx", "A 10876-2025")</f>
        <v/>
      </c>
      <c r="T76">
        <f>HYPERLINK("https://klasma.github.io/Logging_0188/kartor/A 10876-2025 karta.png", "A 10876-2025")</f>
        <v/>
      </c>
      <c r="V76">
        <f>HYPERLINK("https://klasma.github.io/Logging_0188/klagomål/A 10876-2025 FSC-klagomål.docx", "A 10876-2025")</f>
        <v/>
      </c>
      <c r="W76">
        <f>HYPERLINK("https://klasma.github.io/Logging_0188/klagomålsmail/A 10876-2025 FSC-klagomål mail.docx", "A 10876-2025")</f>
        <v/>
      </c>
      <c r="X76">
        <f>HYPERLINK("https://klasma.github.io/Logging_0188/tillsyn/A 10876-2025 tillsynsbegäran.docx", "A 10876-2025")</f>
        <v/>
      </c>
      <c r="Y76">
        <f>HYPERLINK("https://klasma.github.io/Logging_0188/tillsynsmail/A 10876-2025 tillsynsbegäran mail.docx", "A 10876-2025")</f>
        <v/>
      </c>
    </row>
    <row r="77" ht="15" customHeight="1">
      <c r="A77" t="inlineStr">
        <is>
          <t>A 19617-2019</t>
        </is>
      </c>
      <c r="B77" s="1" t="n">
        <v>43566</v>
      </c>
      <c r="C77" s="1" t="n">
        <v>45729</v>
      </c>
      <c r="D77" t="inlineStr">
        <is>
          <t>STOCKHOLMS LÄN</t>
        </is>
      </c>
      <c r="E77" t="inlineStr">
        <is>
          <t>NORRTÄLJE</t>
        </is>
      </c>
      <c r="G77" t="n">
        <v>16.1</v>
      </c>
      <c r="H77" t="n">
        <v>2</v>
      </c>
      <c r="I77" t="n">
        <v>1</v>
      </c>
      <c r="J77" t="n">
        <v>1</v>
      </c>
      <c r="K77" t="n">
        <v>0</v>
      </c>
      <c r="L77" t="n">
        <v>0</v>
      </c>
      <c r="M77" t="n">
        <v>0</v>
      </c>
      <c r="N77" t="n">
        <v>0</v>
      </c>
      <c r="O77" t="n">
        <v>1</v>
      </c>
      <c r="P77" t="n">
        <v>0</v>
      </c>
      <c r="Q77" t="n">
        <v>3</v>
      </c>
      <c r="R77" s="2" t="inlineStr">
        <is>
          <t>Havsörn
Myskbock
Blåsippa</t>
        </is>
      </c>
      <c r="S77">
        <f>HYPERLINK("https://klasma.github.io/Logging_0188/artfynd/A 19617-2019 artfynd.xlsx", "A 19617-2019")</f>
        <v/>
      </c>
      <c r="T77">
        <f>HYPERLINK("https://klasma.github.io/Logging_0188/kartor/A 19617-2019 karta.png", "A 19617-2019")</f>
        <v/>
      </c>
      <c r="V77">
        <f>HYPERLINK("https://klasma.github.io/Logging_0188/klagomål/A 19617-2019 FSC-klagomål.docx", "A 19617-2019")</f>
        <v/>
      </c>
      <c r="W77">
        <f>HYPERLINK("https://klasma.github.io/Logging_0188/klagomålsmail/A 19617-2019 FSC-klagomål mail.docx", "A 19617-2019")</f>
        <v/>
      </c>
      <c r="X77">
        <f>HYPERLINK("https://klasma.github.io/Logging_0188/tillsyn/A 19617-2019 tillsynsbegäran.docx", "A 19617-2019")</f>
        <v/>
      </c>
      <c r="Y77">
        <f>HYPERLINK("https://klasma.github.io/Logging_0188/tillsynsmail/A 19617-2019 tillsynsbegäran mail.docx", "A 19617-2019")</f>
        <v/>
      </c>
      <c r="Z77">
        <f>HYPERLINK("https://klasma.github.io/Logging_0188/fåglar/A 19617-2019 prioriterade fågelarter.docx", "A 19617-2019")</f>
        <v/>
      </c>
    </row>
    <row r="78" ht="15" customHeight="1">
      <c r="A78" t="inlineStr">
        <is>
          <t>A 28495-2020</t>
        </is>
      </c>
      <c r="B78" s="1" t="n">
        <v>43999</v>
      </c>
      <c r="C78" s="1" t="n">
        <v>45729</v>
      </c>
      <c r="D78" t="inlineStr">
        <is>
          <t>STOCKHOLMS LÄN</t>
        </is>
      </c>
      <c r="E78" t="inlineStr">
        <is>
          <t>NORRTÄLJE</t>
        </is>
      </c>
      <c r="G78" t="n">
        <v>0.5</v>
      </c>
      <c r="H78" t="n">
        <v>1</v>
      </c>
      <c r="I78" t="n">
        <v>0</v>
      </c>
      <c r="J78" t="n">
        <v>2</v>
      </c>
      <c r="K78" t="n">
        <v>0</v>
      </c>
      <c r="L78" t="n">
        <v>0</v>
      </c>
      <c r="M78" t="n">
        <v>0</v>
      </c>
      <c r="N78" t="n">
        <v>0</v>
      </c>
      <c r="O78" t="n">
        <v>2</v>
      </c>
      <c r="P78" t="n">
        <v>0</v>
      </c>
      <c r="Q78" t="n">
        <v>3</v>
      </c>
      <c r="R78" s="2" t="inlineStr">
        <is>
          <t>Backklöver
Slåtterfibbla
Grönvit nattviol</t>
        </is>
      </c>
      <c r="S78">
        <f>HYPERLINK("https://klasma.github.io/Logging_0188/artfynd/A 28495-2020 artfynd.xlsx", "A 28495-2020")</f>
        <v/>
      </c>
      <c r="T78">
        <f>HYPERLINK("https://klasma.github.io/Logging_0188/kartor/A 28495-2020 karta.png", "A 28495-2020")</f>
        <v/>
      </c>
      <c r="V78">
        <f>HYPERLINK("https://klasma.github.io/Logging_0188/klagomål/A 28495-2020 FSC-klagomål.docx", "A 28495-2020")</f>
        <v/>
      </c>
      <c r="W78">
        <f>HYPERLINK("https://klasma.github.io/Logging_0188/klagomålsmail/A 28495-2020 FSC-klagomål mail.docx", "A 28495-2020")</f>
        <v/>
      </c>
      <c r="X78">
        <f>HYPERLINK("https://klasma.github.io/Logging_0188/tillsyn/A 28495-2020 tillsynsbegäran.docx", "A 28495-2020")</f>
        <v/>
      </c>
      <c r="Y78">
        <f>HYPERLINK("https://klasma.github.io/Logging_0188/tillsynsmail/A 28495-2020 tillsynsbegäran mail.docx", "A 28495-2020")</f>
        <v/>
      </c>
    </row>
    <row r="79" ht="15" customHeight="1">
      <c r="A79" t="inlineStr">
        <is>
          <t>A 14560-2021</t>
        </is>
      </c>
      <c r="B79" s="1" t="n">
        <v>44279</v>
      </c>
      <c r="C79" s="1" t="n">
        <v>45729</v>
      </c>
      <c r="D79" t="inlineStr">
        <is>
          <t>STOCKHOLMS LÄN</t>
        </is>
      </c>
      <c r="E79" t="inlineStr">
        <is>
          <t>NORRTÄLJE</t>
        </is>
      </c>
      <c r="G79" t="n">
        <v>1.8</v>
      </c>
      <c r="H79" t="n">
        <v>0</v>
      </c>
      <c r="I79" t="n">
        <v>2</v>
      </c>
      <c r="J79" t="n">
        <v>1</v>
      </c>
      <c r="K79" t="n">
        <v>0</v>
      </c>
      <c r="L79" t="n">
        <v>0</v>
      </c>
      <c r="M79" t="n">
        <v>0</v>
      </c>
      <c r="N79" t="n">
        <v>0</v>
      </c>
      <c r="O79" t="n">
        <v>1</v>
      </c>
      <c r="P79" t="n">
        <v>0</v>
      </c>
      <c r="Q79" t="n">
        <v>3</v>
      </c>
      <c r="R79" s="2" t="inlineStr">
        <is>
          <t>Vit vedfingersvamp
Stor aspticka
Vedticka</t>
        </is>
      </c>
      <c r="S79">
        <f>HYPERLINK("https://klasma.github.io/Logging_0188/artfynd/A 14560-2021 artfynd.xlsx", "A 14560-2021")</f>
        <v/>
      </c>
      <c r="T79">
        <f>HYPERLINK("https://klasma.github.io/Logging_0188/kartor/A 14560-2021 karta.png", "A 14560-2021")</f>
        <v/>
      </c>
      <c r="V79">
        <f>HYPERLINK("https://klasma.github.io/Logging_0188/klagomål/A 14560-2021 FSC-klagomål.docx", "A 14560-2021")</f>
        <v/>
      </c>
      <c r="W79">
        <f>HYPERLINK("https://klasma.github.io/Logging_0188/klagomålsmail/A 14560-2021 FSC-klagomål mail.docx", "A 14560-2021")</f>
        <v/>
      </c>
      <c r="X79">
        <f>HYPERLINK("https://klasma.github.io/Logging_0188/tillsyn/A 14560-2021 tillsynsbegäran.docx", "A 14560-2021")</f>
        <v/>
      </c>
      <c r="Y79">
        <f>HYPERLINK("https://klasma.github.io/Logging_0188/tillsynsmail/A 14560-2021 tillsynsbegäran mail.docx", "A 14560-2021")</f>
        <v/>
      </c>
    </row>
    <row r="80" ht="15" customHeight="1">
      <c r="A80" t="inlineStr">
        <is>
          <t>A 17673-2021</t>
        </is>
      </c>
      <c r="B80" s="1" t="n">
        <v>44300</v>
      </c>
      <c r="C80" s="1" t="n">
        <v>45729</v>
      </c>
      <c r="D80" t="inlineStr">
        <is>
          <t>STOCKHOLMS LÄN</t>
        </is>
      </c>
      <c r="E80" t="inlineStr">
        <is>
          <t>NORRTÄLJE</t>
        </is>
      </c>
      <c r="G80" t="n">
        <v>10.4</v>
      </c>
      <c r="H80" t="n">
        <v>3</v>
      </c>
      <c r="I80" t="n">
        <v>0</v>
      </c>
      <c r="J80" t="n">
        <v>2</v>
      </c>
      <c r="K80" t="n">
        <v>0</v>
      </c>
      <c r="L80" t="n">
        <v>0</v>
      </c>
      <c r="M80" t="n">
        <v>0</v>
      </c>
      <c r="N80" t="n">
        <v>0</v>
      </c>
      <c r="O80" t="n">
        <v>2</v>
      </c>
      <c r="P80" t="n">
        <v>0</v>
      </c>
      <c r="Q80" t="n">
        <v>3</v>
      </c>
      <c r="R80" s="2" t="inlineStr">
        <is>
          <t>Grönsångare
Havsörn
Blåsippa</t>
        </is>
      </c>
      <c r="S80">
        <f>HYPERLINK("https://klasma.github.io/Logging_0188/artfynd/A 17673-2021 artfynd.xlsx", "A 17673-2021")</f>
        <v/>
      </c>
      <c r="T80">
        <f>HYPERLINK("https://klasma.github.io/Logging_0188/kartor/A 17673-2021 karta.png", "A 17673-2021")</f>
        <v/>
      </c>
      <c r="V80">
        <f>HYPERLINK("https://klasma.github.io/Logging_0188/klagomål/A 17673-2021 FSC-klagomål.docx", "A 17673-2021")</f>
        <v/>
      </c>
      <c r="W80">
        <f>HYPERLINK("https://klasma.github.io/Logging_0188/klagomålsmail/A 17673-2021 FSC-klagomål mail.docx", "A 17673-2021")</f>
        <v/>
      </c>
      <c r="X80">
        <f>HYPERLINK("https://klasma.github.io/Logging_0188/tillsyn/A 17673-2021 tillsynsbegäran.docx", "A 17673-2021")</f>
        <v/>
      </c>
      <c r="Y80">
        <f>HYPERLINK("https://klasma.github.io/Logging_0188/tillsynsmail/A 17673-2021 tillsynsbegäran mail.docx", "A 17673-2021")</f>
        <v/>
      </c>
      <c r="Z80">
        <f>HYPERLINK("https://klasma.github.io/Logging_0188/fåglar/A 17673-2021 prioriterade fågelarter.docx", "A 17673-2021")</f>
        <v/>
      </c>
    </row>
    <row r="81" ht="15" customHeight="1">
      <c r="A81" t="inlineStr">
        <is>
          <t>A 65629-2021</t>
        </is>
      </c>
      <c r="B81" s="1" t="n">
        <v>44516</v>
      </c>
      <c r="C81" s="1" t="n">
        <v>45729</v>
      </c>
      <c r="D81" t="inlineStr">
        <is>
          <t>STOCKHOLMS LÄN</t>
        </is>
      </c>
      <c r="E81" t="inlineStr">
        <is>
          <t>NORRTÄLJE</t>
        </is>
      </c>
      <c r="G81" t="n">
        <v>3</v>
      </c>
      <c r="H81" t="n">
        <v>0</v>
      </c>
      <c r="I81" t="n">
        <v>1</v>
      </c>
      <c r="J81" t="n">
        <v>2</v>
      </c>
      <c r="K81" t="n">
        <v>0</v>
      </c>
      <c r="L81" t="n">
        <v>0</v>
      </c>
      <c r="M81" t="n">
        <v>0</v>
      </c>
      <c r="N81" t="n">
        <v>0</v>
      </c>
      <c r="O81" t="n">
        <v>2</v>
      </c>
      <c r="P81" t="n">
        <v>0</v>
      </c>
      <c r="Q81" t="n">
        <v>3</v>
      </c>
      <c r="R81" s="2" t="inlineStr">
        <is>
          <t>Granticka
Ullticka
Granbarkgnagare</t>
        </is>
      </c>
      <c r="S81">
        <f>HYPERLINK("https://klasma.github.io/Logging_0188/artfynd/A 65629-2021 artfynd.xlsx", "A 65629-2021")</f>
        <v/>
      </c>
      <c r="T81">
        <f>HYPERLINK("https://klasma.github.io/Logging_0188/kartor/A 65629-2021 karta.png", "A 65629-2021")</f>
        <v/>
      </c>
      <c r="V81">
        <f>HYPERLINK("https://klasma.github.io/Logging_0188/klagomål/A 65629-2021 FSC-klagomål.docx", "A 65629-2021")</f>
        <v/>
      </c>
      <c r="W81">
        <f>HYPERLINK("https://klasma.github.io/Logging_0188/klagomålsmail/A 65629-2021 FSC-klagomål mail.docx", "A 65629-2021")</f>
        <v/>
      </c>
      <c r="X81">
        <f>HYPERLINK("https://klasma.github.io/Logging_0188/tillsyn/A 65629-2021 tillsynsbegäran.docx", "A 65629-2021")</f>
        <v/>
      </c>
      <c r="Y81">
        <f>HYPERLINK("https://klasma.github.io/Logging_0188/tillsynsmail/A 65629-2021 tillsynsbegäran mail.docx", "A 65629-2021")</f>
        <v/>
      </c>
    </row>
    <row r="82" ht="15" customHeight="1">
      <c r="A82" t="inlineStr">
        <is>
          <t>A 12215-2022</t>
        </is>
      </c>
      <c r="B82" s="1" t="n">
        <v>44637</v>
      </c>
      <c r="C82" s="1" t="n">
        <v>45729</v>
      </c>
      <c r="D82" t="inlineStr">
        <is>
          <t>STOCKHOLMS LÄN</t>
        </is>
      </c>
      <c r="E82" t="inlineStr">
        <is>
          <t>NORRTÄLJE</t>
        </is>
      </c>
      <c r="G82" t="n">
        <v>3.1</v>
      </c>
      <c r="H82" t="n">
        <v>3</v>
      </c>
      <c r="I82" t="n">
        <v>3</v>
      </c>
      <c r="J82" t="n">
        <v>0</v>
      </c>
      <c r="K82" t="n">
        <v>0</v>
      </c>
      <c r="L82" t="n">
        <v>0</v>
      </c>
      <c r="M82" t="n">
        <v>0</v>
      </c>
      <c r="N82" t="n">
        <v>0</v>
      </c>
      <c r="O82" t="n">
        <v>0</v>
      </c>
      <c r="P82" t="n">
        <v>0</v>
      </c>
      <c r="Q82" t="n">
        <v>3</v>
      </c>
      <c r="R82" s="2" t="inlineStr">
        <is>
          <t>Guckusko
Skogsknipprot
Tvåblad</t>
        </is>
      </c>
      <c r="S82">
        <f>HYPERLINK("https://klasma.github.io/Logging_0188/artfynd/A 12215-2022 artfynd.xlsx", "A 12215-2022")</f>
        <v/>
      </c>
      <c r="T82">
        <f>HYPERLINK("https://klasma.github.io/Logging_0188/kartor/A 12215-2022 karta.png", "A 12215-2022")</f>
        <v/>
      </c>
      <c r="V82">
        <f>HYPERLINK("https://klasma.github.io/Logging_0188/klagomål/A 12215-2022 FSC-klagomål.docx", "A 12215-2022")</f>
        <v/>
      </c>
      <c r="W82">
        <f>HYPERLINK("https://klasma.github.io/Logging_0188/klagomålsmail/A 12215-2022 FSC-klagomål mail.docx", "A 12215-2022")</f>
        <v/>
      </c>
      <c r="X82">
        <f>HYPERLINK("https://klasma.github.io/Logging_0188/tillsyn/A 12215-2022 tillsynsbegäran.docx", "A 12215-2022")</f>
        <v/>
      </c>
      <c r="Y82">
        <f>HYPERLINK("https://klasma.github.io/Logging_0188/tillsynsmail/A 12215-2022 tillsynsbegäran mail.docx", "A 12215-2022")</f>
        <v/>
      </c>
    </row>
    <row r="83" ht="15" customHeight="1">
      <c r="A83" t="inlineStr">
        <is>
          <t>A 20185-2022</t>
        </is>
      </c>
      <c r="B83" s="1" t="n">
        <v>44698</v>
      </c>
      <c r="C83" s="1" t="n">
        <v>45729</v>
      </c>
      <c r="D83" t="inlineStr">
        <is>
          <t>STOCKHOLMS LÄN</t>
        </is>
      </c>
      <c r="E83" t="inlineStr">
        <is>
          <t>NORRTÄLJE</t>
        </is>
      </c>
      <c r="G83" t="n">
        <v>8.4</v>
      </c>
      <c r="H83" t="n">
        <v>1</v>
      </c>
      <c r="I83" t="n">
        <v>2</v>
      </c>
      <c r="J83" t="n">
        <v>0</v>
      </c>
      <c r="K83" t="n">
        <v>1</v>
      </c>
      <c r="L83" t="n">
        <v>0</v>
      </c>
      <c r="M83" t="n">
        <v>0</v>
      </c>
      <c r="N83" t="n">
        <v>0</v>
      </c>
      <c r="O83" t="n">
        <v>1</v>
      </c>
      <c r="P83" t="n">
        <v>1</v>
      </c>
      <c r="Q83" t="n">
        <v>3</v>
      </c>
      <c r="R83" s="2" t="inlineStr">
        <is>
          <t>Tallbit
Gullgröppa
Vedticka</t>
        </is>
      </c>
      <c r="S83">
        <f>HYPERLINK("https://klasma.github.io/Logging_0188/artfynd/A 20185-2022 artfynd.xlsx", "A 20185-2022")</f>
        <v/>
      </c>
      <c r="T83">
        <f>HYPERLINK("https://klasma.github.io/Logging_0188/kartor/A 20185-2022 karta.png", "A 20185-2022")</f>
        <v/>
      </c>
      <c r="V83">
        <f>HYPERLINK("https://klasma.github.io/Logging_0188/klagomål/A 20185-2022 FSC-klagomål.docx", "A 20185-2022")</f>
        <v/>
      </c>
      <c r="W83">
        <f>HYPERLINK("https://klasma.github.io/Logging_0188/klagomålsmail/A 20185-2022 FSC-klagomål mail.docx", "A 20185-2022")</f>
        <v/>
      </c>
      <c r="X83">
        <f>HYPERLINK("https://klasma.github.io/Logging_0188/tillsyn/A 20185-2022 tillsynsbegäran.docx", "A 20185-2022")</f>
        <v/>
      </c>
      <c r="Y83">
        <f>HYPERLINK("https://klasma.github.io/Logging_0188/tillsynsmail/A 20185-2022 tillsynsbegäran mail.docx", "A 20185-2022")</f>
        <v/>
      </c>
      <c r="Z83">
        <f>HYPERLINK("https://klasma.github.io/Logging_0188/fåglar/A 20185-2022 prioriterade fågelarter.docx", "A 20185-2022")</f>
        <v/>
      </c>
    </row>
    <row r="84" ht="15" customHeight="1">
      <c r="A84" t="inlineStr">
        <is>
          <t>A 28836-2022</t>
        </is>
      </c>
      <c r="B84" s="1" t="n">
        <v>44749</v>
      </c>
      <c r="C84" s="1" t="n">
        <v>45729</v>
      </c>
      <c r="D84" t="inlineStr">
        <is>
          <t>STOCKHOLMS LÄN</t>
        </is>
      </c>
      <c r="E84" t="inlineStr">
        <is>
          <t>NORRTÄLJE</t>
        </is>
      </c>
      <c r="G84" t="n">
        <v>25</v>
      </c>
      <c r="H84" t="n">
        <v>2</v>
      </c>
      <c r="I84" t="n">
        <v>0</v>
      </c>
      <c r="J84" t="n">
        <v>2</v>
      </c>
      <c r="K84" t="n">
        <v>0</v>
      </c>
      <c r="L84" t="n">
        <v>0</v>
      </c>
      <c r="M84" t="n">
        <v>0</v>
      </c>
      <c r="N84" t="n">
        <v>0</v>
      </c>
      <c r="O84" t="n">
        <v>2</v>
      </c>
      <c r="P84" t="n">
        <v>0</v>
      </c>
      <c r="Q84" t="n">
        <v>3</v>
      </c>
      <c r="R84" s="2" t="inlineStr">
        <is>
          <t>Backklöver
Svartvit flugsnappare
Skogsödla</t>
        </is>
      </c>
      <c r="S84">
        <f>HYPERLINK("https://klasma.github.io/Logging_0188/artfynd/A 28836-2022 artfynd.xlsx", "A 28836-2022")</f>
        <v/>
      </c>
      <c r="T84">
        <f>HYPERLINK("https://klasma.github.io/Logging_0188/kartor/A 28836-2022 karta.png", "A 28836-2022")</f>
        <v/>
      </c>
      <c r="V84">
        <f>HYPERLINK("https://klasma.github.io/Logging_0188/klagomål/A 28836-2022 FSC-klagomål.docx", "A 28836-2022")</f>
        <v/>
      </c>
      <c r="W84">
        <f>HYPERLINK("https://klasma.github.io/Logging_0188/klagomålsmail/A 28836-2022 FSC-klagomål mail.docx", "A 28836-2022")</f>
        <v/>
      </c>
      <c r="X84">
        <f>HYPERLINK("https://klasma.github.io/Logging_0188/tillsyn/A 28836-2022 tillsynsbegäran.docx", "A 28836-2022")</f>
        <v/>
      </c>
      <c r="Y84">
        <f>HYPERLINK("https://klasma.github.io/Logging_0188/tillsynsmail/A 28836-2022 tillsynsbegäran mail.docx", "A 28836-2022")</f>
        <v/>
      </c>
      <c r="Z84">
        <f>HYPERLINK("https://klasma.github.io/Logging_0188/fåglar/A 28836-2022 prioriterade fågelarter.docx", "A 28836-2022")</f>
        <v/>
      </c>
    </row>
    <row r="85" ht="15" customHeight="1">
      <c r="A85" t="inlineStr">
        <is>
          <t>A 45113-2022</t>
        </is>
      </c>
      <c r="B85" s="1" t="n">
        <v>44843</v>
      </c>
      <c r="C85" s="1" t="n">
        <v>45729</v>
      </c>
      <c r="D85" t="inlineStr">
        <is>
          <t>STOCKHOLMS LÄN</t>
        </is>
      </c>
      <c r="E85" t="inlineStr">
        <is>
          <t>NORRTÄLJE</t>
        </is>
      </c>
      <c r="G85" t="n">
        <v>1.7</v>
      </c>
      <c r="H85" t="n">
        <v>0</v>
      </c>
      <c r="I85" t="n">
        <v>1</v>
      </c>
      <c r="J85" t="n">
        <v>1</v>
      </c>
      <c r="K85" t="n">
        <v>1</v>
      </c>
      <c r="L85" t="n">
        <v>0</v>
      </c>
      <c r="M85" t="n">
        <v>0</v>
      </c>
      <c r="N85" t="n">
        <v>0</v>
      </c>
      <c r="O85" t="n">
        <v>2</v>
      </c>
      <c r="P85" t="n">
        <v>1</v>
      </c>
      <c r="Q85" t="n">
        <v>3</v>
      </c>
      <c r="R85" s="2" t="inlineStr">
        <is>
          <t>Violett fingersvamp
Kandelabersvamp
Slät lönnlav</t>
        </is>
      </c>
      <c r="S85">
        <f>HYPERLINK("https://klasma.github.io/Logging_0188/artfynd/A 45113-2022 artfynd.xlsx", "A 45113-2022")</f>
        <v/>
      </c>
      <c r="T85">
        <f>HYPERLINK("https://klasma.github.io/Logging_0188/kartor/A 45113-2022 karta.png", "A 45113-2022")</f>
        <v/>
      </c>
      <c r="V85">
        <f>HYPERLINK("https://klasma.github.io/Logging_0188/klagomål/A 45113-2022 FSC-klagomål.docx", "A 45113-2022")</f>
        <v/>
      </c>
      <c r="W85">
        <f>HYPERLINK("https://klasma.github.io/Logging_0188/klagomålsmail/A 45113-2022 FSC-klagomål mail.docx", "A 45113-2022")</f>
        <v/>
      </c>
      <c r="X85">
        <f>HYPERLINK("https://klasma.github.io/Logging_0188/tillsyn/A 45113-2022 tillsynsbegäran.docx", "A 45113-2022")</f>
        <v/>
      </c>
      <c r="Y85">
        <f>HYPERLINK("https://klasma.github.io/Logging_0188/tillsynsmail/A 45113-2022 tillsynsbegäran mail.docx", "A 45113-2022")</f>
        <v/>
      </c>
    </row>
    <row r="86" ht="15" customHeight="1">
      <c r="A86" t="inlineStr">
        <is>
          <t>A 50618-2022</t>
        </is>
      </c>
      <c r="B86" s="1" t="n">
        <v>44866</v>
      </c>
      <c r="C86" s="1" t="n">
        <v>45729</v>
      </c>
      <c r="D86" t="inlineStr">
        <is>
          <t>STOCKHOLMS LÄN</t>
        </is>
      </c>
      <c r="E86" t="inlineStr">
        <is>
          <t>NORRTÄLJE</t>
        </is>
      </c>
      <c r="G86" t="n">
        <v>7.8</v>
      </c>
      <c r="H86" t="n">
        <v>2</v>
      </c>
      <c r="I86" t="n">
        <v>2</v>
      </c>
      <c r="J86" t="n">
        <v>0</v>
      </c>
      <c r="K86" t="n">
        <v>0</v>
      </c>
      <c r="L86" t="n">
        <v>0</v>
      </c>
      <c r="M86" t="n">
        <v>0</v>
      </c>
      <c r="N86" t="n">
        <v>0</v>
      </c>
      <c r="O86" t="n">
        <v>0</v>
      </c>
      <c r="P86" t="n">
        <v>0</v>
      </c>
      <c r="Q86" t="n">
        <v>3</v>
      </c>
      <c r="R86" s="2" t="inlineStr">
        <is>
          <t>Skogsknipprot
Vårärt
Blåsippa</t>
        </is>
      </c>
      <c r="S86">
        <f>HYPERLINK("https://klasma.github.io/Logging_0188/artfynd/A 50618-2022 artfynd.xlsx", "A 50618-2022")</f>
        <v/>
      </c>
      <c r="T86">
        <f>HYPERLINK("https://klasma.github.io/Logging_0188/kartor/A 50618-2022 karta.png", "A 50618-2022")</f>
        <v/>
      </c>
      <c r="V86">
        <f>HYPERLINK("https://klasma.github.io/Logging_0188/klagomål/A 50618-2022 FSC-klagomål.docx", "A 50618-2022")</f>
        <v/>
      </c>
      <c r="W86">
        <f>HYPERLINK("https://klasma.github.io/Logging_0188/klagomålsmail/A 50618-2022 FSC-klagomål mail.docx", "A 50618-2022")</f>
        <v/>
      </c>
      <c r="X86">
        <f>HYPERLINK("https://klasma.github.io/Logging_0188/tillsyn/A 50618-2022 tillsynsbegäran.docx", "A 50618-2022")</f>
        <v/>
      </c>
      <c r="Y86">
        <f>HYPERLINK("https://klasma.github.io/Logging_0188/tillsynsmail/A 50618-2022 tillsynsbegäran mail.docx", "A 50618-2022")</f>
        <v/>
      </c>
    </row>
    <row r="87" ht="15" customHeight="1">
      <c r="A87" t="inlineStr">
        <is>
          <t>A 2851-2023</t>
        </is>
      </c>
      <c r="B87" s="1" t="n">
        <v>44945</v>
      </c>
      <c r="C87" s="1" t="n">
        <v>45729</v>
      </c>
      <c r="D87" t="inlineStr">
        <is>
          <t>STOCKHOLMS LÄN</t>
        </is>
      </c>
      <c r="E87" t="inlineStr">
        <is>
          <t>NORRTÄLJE</t>
        </is>
      </c>
      <c r="G87" t="n">
        <v>5.8</v>
      </c>
      <c r="H87" t="n">
        <v>1</v>
      </c>
      <c r="I87" t="n">
        <v>1</v>
      </c>
      <c r="J87" t="n">
        <v>2</v>
      </c>
      <c r="K87" t="n">
        <v>0</v>
      </c>
      <c r="L87" t="n">
        <v>0</v>
      </c>
      <c r="M87" t="n">
        <v>0</v>
      </c>
      <c r="N87" t="n">
        <v>0</v>
      </c>
      <c r="O87" t="n">
        <v>2</v>
      </c>
      <c r="P87" t="n">
        <v>0</v>
      </c>
      <c r="Q87" t="n">
        <v>3</v>
      </c>
      <c r="R87" s="2" t="inlineStr">
        <is>
          <t>Gulsparv
Vedflikmossa
Terpentinmossa</t>
        </is>
      </c>
      <c r="S87">
        <f>HYPERLINK("https://klasma.github.io/Logging_0188/artfynd/A 2851-2023 artfynd.xlsx", "A 2851-2023")</f>
        <v/>
      </c>
      <c r="T87">
        <f>HYPERLINK("https://klasma.github.io/Logging_0188/kartor/A 2851-2023 karta.png", "A 2851-2023")</f>
        <v/>
      </c>
      <c r="V87">
        <f>HYPERLINK("https://klasma.github.io/Logging_0188/klagomål/A 2851-2023 FSC-klagomål.docx", "A 2851-2023")</f>
        <v/>
      </c>
      <c r="W87">
        <f>HYPERLINK("https://klasma.github.io/Logging_0188/klagomålsmail/A 2851-2023 FSC-klagomål mail.docx", "A 2851-2023")</f>
        <v/>
      </c>
      <c r="X87">
        <f>HYPERLINK("https://klasma.github.io/Logging_0188/tillsyn/A 2851-2023 tillsynsbegäran.docx", "A 2851-2023")</f>
        <v/>
      </c>
      <c r="Y87">
        <f>HYPERLINK("https://klasma.github.io/Logging_0188/tillsynsmail/A 2851-2023 tillsynsbegäran mail.docx", "A 2851-2023")</f>
        <v/>
      </c>
      <c r="Z87">
        <f>HYPERLINK("https://klasma.github.io/Logging_0188/fåglar/A 2851-2023 prioriterade fågelarter.docx", "A 2851-2023")</f>
        <v/>
      </c>
    </row>
    <row r="88" ht="15" customHeight="1">
      <c r="A88" t="inlineStr">
        <is>
          <t>A 17916-2023</t>
        </is>
      </c>
      <c r="B88" s="1" t="n">
        <v>45040</v>
      </c>
      <c r="C88" s="1" t="n">
        <v>45729</v>
      </c>
      <c r="D88" t="inlineStr">
        <is>
          <t>STOCKHOLMS LÄN</t>
        </is>
      </c>
      <c r="E88" t="inlineStr">
        <is>
          <t>NORRTÄLJE</t>
        </is>
      </c>
      <c r="G88" t="n">
        <v>9.1</v>
      </c>
      <c r="H88" t="n">
        <v>1</v>
      </c>
      <c r="I88" t="n">
        <v>2</v>
      </c>
      <c r="J88" t="n">
        <v>0</v>
      </c>
      <c r="K88" t="n">
        <v>0</v>
      </c>
      <c r="L88" t="n">
        <v>0</v>
      </c>
      <c r="M88" t="n">
        <v>0</v>
      </c>
      <c r="N88" t="n">
        <v>0</v>
      </c>
      <c r="O88" t="n">
        <v>0</v>
      </c>
      <c r="P88" t="n">
        <v>0</v>
      </c>
      <c r="Q88" t="n">
        <v>3</v>
      </c>
      <c r="R88" s="2" t="inlineStr">
        <is>
          <t>Skarp dropptaggsvamp
Sårläka
Blåsippa</t>
        </is>
      </c>
      <c r="S88">
        <f>HYPERLINK("https://klasma.github.io/Logging_0188/artfynd/A 17916-2023 artfynd.xlsx", "A 17916-2023")</f>
        <v/>
      </c>
      <c r="T88">
        <f>HYPERLINK("https://klasma.github.io/Logging_0188/kartor/A 17916-2023 karta.png", "A 17916-2023")</f>
        <v/>
      </c>
      <c r="V88">
        <f>HYPERLINK("https://klasma.github.io/Logging_0188/klagomål/A 17916-2023 FSC-klagomål.docx", "A 17916-2023")</f>
        <v/>
      </c>
      <c r="W88">
        <f>HYPERLINK("https://klasma.github.io/Logging_0188/klagomålsmail/A 17916-2023 FSC-klagomål mail.docx", "A 17916-2023")</f>
        <v/>
      </c>
      <c r="X88">
        <f>HYPERLINK("https://klasma.github.io/Logging_0188/tillsyn/A 17916-2023 tillsynsbegäran.docx", "A 17916-2023")</f>
        <v/>
      </c>
      <c r="Y88">
        <f>HYPERLINK("https://klasma.github.io/Logging_0188/tillsynsmail/A 17916-2023 tillsynsbegäran mail.docx", "A 17916-2023")</f>
        <v/>
      </c>
    </row>
    <row r="89" ht="15" customHeight="1">
      <c r="A89" t="inlineStr">
        <is>
          <t>A 36662-2023</t>
        </is>
      </c>
      <c r="B89" s="1" t="n">
        <v>45153</v>
      </c>
      <c r="C89" s="1" t="n">
        <v>45729</v>
      </c>
      <c r="D89" t="inlineStr">
        <is>
          <t>STOCKHOLMS LÄN</t>
        </is>
      </c>
      <c r="E89" t="inlineStr">
        <is>
          <t>NORRTÄLJE</t>
        </is>
      </c>
      <c r="G89" t="n">
        <v>3.1</v>
      </c>
      <c r="H89" t="n">
        <v>1</v>
      </c>
      <c r="I89" t="n">
        <v>2</v>
      </c>
      <c r="J89" t="n">
        <v>1</v>
      </c>
      <c r="K89" t="n">
        <v>0</v>
      </c>
      <c r="L89" t="n">
        <v>0</v>
      </c>
      <c r="M89" t="n">
        <v>0</v>
      </c>
      <c r="N89" t="n">
        <v>0</v>
      </c>
      <c r="O89" t="n">
        <v>1</v>
      </c>
      <c r="P89" t="n">
        <v>0</v>
      </c>
      <c r="Q89" t="n">
        <v>3</v>
      </c>
      <c r="R89" s="2" t="inlineStr">
        <is>
          <t>Svartvit taggsvamp
Skogsknipprot
Svavelriska</t>
        </is>
      </c>
      <c r="S89">
        <f>HYPERLINK("https://klasma.github.io/Logging_0188/artfynd/A 36662-2023 artfynd.xlsx", "A 36662-2023")</f>
        <v/>
      </c>
      <c r="T89">
        <f>HYPERLINK("https://klasma.github.io/Logging_0188/kartor/A 36662-2023 karta.png", "A 36662-2023")</f>
        <v/>
      </c>
      <c r="V89">
        <f>HYPERLINK("https://klasma.github.io/Logging_0188/klagomål/A 36662-2023 FSC-klagomål.docx", "A 36662-2023")</f>
        <v/>
      </c>
      <c r="W89">
        <f>HYPERLINK("https://klasma.github.io/Logging_0188/klagomålsmail/A 36662-2023 FSC-klagomål mail.docx", "A 36662-2023")</f>
        <v/>
      </c>
      <c r="X89">
        <f>HYPERLINK("https://klasma.github.io/Logging_0188/tillsyn/A 36662-2023 tillsynsbegäran.docx", "A 36662-2023")</f>
        <v/>
      </c>
      <c r="Y89">
        <f>HYPERLINK("https://klasma.github.io/Logging_0188/tillsynsmail/A 36662-2023 tillsynsbegäran mail.docx", "A 36662-2023")</f>
        <v/>
      </c>
    </row>
    <row r="90" ht="15" customHeight="1">
      <c r="A90" t="inlineStr">
        <is>
          <t>A 43304-2023</t>
        </is>
      </c>
      <c r="B90" s="1" t="n">
        <v>45183</v>
      </c>
      <c r="C90" s="1" t="n">
        <v>45729</v>
      </c>
      <c r="D90" t="inlineStr">
        <is>
          <t>STOCKHOLMS LÄN</t>
        </is>
      </c>
      <c r="E90" t="inlineStr">
        <is>
          <t>NORRTÄLJE</t>
        </is>
      </c>
      <c r="G90" t="n">
        <v>1.5</v>
      </c>
      <c r="H90" t="n">
        <v>0</v>
      </c>
      <c r="I90" t="n">
        <v>0</v>
      </c>
      <c r="J90" t="n">
        <v>2</v>
      </c>
      <c r="K90" t="n">
        <v>1</v>
      </c>
      <c r="L90" t="n">
        <v>0</v>
      </c>
      <c r="M90" t="n">
        <v>0</v>
      </c>
      <c r="N90" t="n">
        <v>0</v>
      </c>
      <c r="O90" t="n">
        <v>3</v>
      </c>
      <c r="P90" t="n">
        <v>1</v>
      </c>
      <c r="Q90" t="n">
        <v>3</v>
      </c>
      <c r="R90" s="2" t="inlineStr">
        <is>
          <t>Spricktaggsvamp
Kungsspindling
Persiljespindling</t>
        </is>
      </c>
      <c r="S90">
        <f>HYPERLINK("https://klasma.github.io/Logging_0188/artfynd/A 43304-2023 artfynd.xlsx", "A 43304-2023")</f>
        <v/>
      </c>
      <c r="T90">
        <f>HYPERLINK("https://klasma.github.io/Logging_0188/kartor/A 43304-2023 karta.png", "A 43304-2023")</f>
        <v/>
      </c>
      <c r="V90">
        <f>HYPERLINK("https://klasma.github.io/Logging_0188/klagomål/A 43304-2023 FSC-klagomål.docx", "A 43304-2023")</f>
        <v/>
      </c>
      <c r="W90">
        <f>HYPERLINK("https://klasma.github.io/Logging_0188/klagomålsmail/A 43304-2023 FSC-klagomål mail.docx", "A 43304-2023")</f>
        <v/>
      </c>
      <c r="X90">
        <f>HYPERLINK("https://klasma.github.io/Logging_0188/tillsyn/A 43304-2023 tillsynsbegäran.docx", "A 43304-2023")</f>
        <v/>
      </c>
      <c r="Y90">
        <f>HYPERLINK("https://klasma.github.io/Logging_0188/tillsynsmail/A 43304-2023 tillsynsbegäran mail.docx", "A 43304-2023")</f>
        <v/>
      </c>
    </row>
    <row r="91" ht="15" customHeight="1">
      <c r="A91" t="inlineStr">
        <is>
          <t>A 52011-2023</t>
        </is>
      </c>
      <c r="B91" s="1" t="n">
        <v>45223</v>
      </c>
      <c r="C91" s="1" t="n">
        <v>45729</v>
      </c>
      <c r="D91" t="inlineStr">
        <is>
          <t>STOCKHOLMS LÄN</t>
        </is>
      </c>
      <c r="E91" t="inlineStr">
        <is>
          <t>NORRTÄLJE</t>
        </is>
      </c>
      <c r="F91" t="inlineStr">
        <is>
          <t>Övriga Aktiebolag</t>
        </is>
      </c>
      <c r="G91" t="n">
        <v>16.6</v>
      </c>
      <c r="H91" t="n">
        <v>0</v>
      </c>
      <c r="I91" t="n">
        <v>2</v>
      </c>
      <c r="J91" t="n">
        <v>1</v>
      </c>
      <c r="K91" t="n">
        <v>0</v>
      </c>
      <c r="L91" t="n">
        <v>0</v>
      </c>
      <c r="M91" t="n">
        <v>0</v>
      </c>
      <c r="N91" t="n">
        <v>0</v>
      </c>
      <c r="O91" t="n">
        <v>1</v>
      </c>
      <c r="P91" t="n">
        <v>0</v>
      </c>
      <c r="Q91" t="n">
        <v>3</v>
      </c>
      <c r="R91" s="2" t="inlineStr">
        <is>
          <t>Vedtrappmossa
Mörk husmossa
Skogshakmossa</t>
        </is>
      </c>
      <c r="S91">
        <f>HYPERLINK("https://klasma.github.io/Logging_0188/artfynd/A 52011-2023 artfynd.xlsx", "A 52011-2023")</f>
        <v/>
      </c>
      <c r="T91">
        <f>HYPERLINK("https://klasma.github.io/Logging_0188/kartor/A 52011-2023 karta.png", "A 52011-2023")</f>
        <v/>
      </c>
      <c r="V91">
        <f>HYPERLINK("https://klasma.github.io/Logging_0188/klagomål/A 52011-2023 FSC-klagomål.docx", "A 52011-2023")</f>
        <v/>
      </c>
      <c r="W91">
        <f>HYPERLINK("https://klasma.github.io/Logging_0188/klagomålsmail/A 52011-2023 FSC-klagomål mail.docx", "A 52011-2023")</f>
        <v/>
      </c>
      <c r="X91">
        <f>HYPERLINK("https://klasma.github.io/Logging_0188/tillsyn/A 52011-2023 tillsynsbegäran.docx", "A 52011-2023")</f>
        <v/>
      </c>
      <c r="Y91">
        <f>HYPERLINK("https://klasma.github.io/Logging_0188/tillsynsmail/A 52011-2023 tillsynsbegäran mail.docx", "A 52011-2023")</f>
        <v/>
      </c>
    </row>
    <row r="92" ht="15" customHeight="1">
      <c r="A92" t="inlineStr">
        <is>
          <t>A 53065-2024</t>
        </is>
      </c>
      <c r="B92" s="1" t="n">
        <v>45611</v>
      </c>
      <c r="C92" s="1" t="n">
        <v>45729</v>
      </c>
      <c r="D92" t="inlineStr">
        <is>
          <t>STOCKHOLMS LÄN</t>
        </is>
      </c>
      <c r="E92" t="inlineStr">
        <is>
          <t>NORRTÄLJE</t>
        </is>
      </c>
      <c r="G92" t="n">
        <v>12.3</v>
      </c>
      <c r="H92" t="n">
        <v>0</v>
      </c>
      <c r="I92" t="n">
        <v>1</v>
      </c>
      <c r="J92" t="n">
        <v>1</v>
      </c>
      <c r="K92" t="n">
        <v>1</v>
      </c>
      <c r="L92" t="n">
        <v>0</v>
      </c>
      <c r="M92" t="n">
        <v>0</v>
      </c>
      <c r="N92" t="n">
        <v>0</v>
      </c>
      <c r="O92" t="n">
        <v>2</v>
      </c>
      <c r="P92" t="n">
        <v>1</v>
      </c>
      <c r="Q92" t="n">
        <v>3</v>
      </c>
      <c r="R92" s="2" t="inlineStr">
        <is>
          <t>Aspsplintbock
Grön aspvedbock
Gulröd blankbock</t>
        </is>
      </c>
      <c r="S92">
        <f>HYPERLINK("https://klasma.github.io/Logging_0188/artfynd/A 53065-2024 artfynd.xlsx", "A 53065-2024")</f>
        <v/>
      </c>
      <c r="T92">
        <f>HYPERLINK("https://klasma.github.io/Logging_0188/kartor/A 53065-2024 karta.png", "A 53065-2024")</f>
        <v/>
      </c>
      <c r="V92">
        <f>HYPERLINK("https://klasma.github.io/Logging_0188/klagomål/A 53065-2024 FSC-klagomål.docx", "A 53065-2024")</f>
        <v/>
      </c>
      <c r="W92">
        <f>HYPERLINK("https://klasma.github.io/Logging_0188/klagomålsmail/A 53065-2024 FSC-klagomål mail.docx", "A 53065-2024")</f>
        <v/>
      </c>
      <c r="X92">
        <f>HYPERLINK("https://klasma.github.io/Logging_0188/tillsyn/A 53065-2024 tillsynsbegäran.docx", "A 53065-2024")</f>
        <v/>
      </c>
      <c r="Y92">
        <f>HYPERLINK("https://klasma.github.io/Logging_0188/tillsynsmail/A 53065-2024 tillsynsbegäran mail.docx", "A 53065-2024")</f>
        <v/>
      </c>
    </row>
    <row r="93" ht="15" customHeight="1">
      <c r="A93" t="inlineStr">
        <is>
          <t>A 54110-2024</t>
        </is>
      </c>
      <c r="B93" s="1" t="n">
        <v>45616</v>
      </c>
      <c r="C93" s="1" t="n">
        <v>45729</v>
      </c>
      <c r="D93" t="inlineStr">
        <is>
          <t>STOCKHOLMS LÄN</t>
        </is>
      </c>
      <c r="E93" t="inlineStr">
        <is>
          <t>NORRTÄLJE</t>
        </is>
      </c>
      <c r="G93" t="n">
        <v>6.7</v>
      </c>
      <c r="H93" t="n">
        <v>2</v>
      </c>
      <c r="I93" t="n">
        <v>0</v>
      </c>
      <c r="J93" t="n">
        <v>1</v>
      </c>
      <c r="K93" t="n">
        <v>0</v>
      </c>
      <c r="L93" t="n">
        <v>0</v>
      </c>
      <c r="M93" t="n">
        <v>0</v>
      </c>
      <c r="N93" t="n">
        <v>0</v>
      </c>
      <c r="O93" t="n">
        <v>1</v>
      </c>
      <c r="P93" t="n">
        <v>0</v>
      </c>
      <c r="Q93" t="n">
        <v>3</v>
      </c>
      <c r="R93" s="2" t="inlineStr">
        <is>
          <t>Klasefibbla
Nattviol
Gullviva</t>
        </is>
      </c>
      <c r="S93">
        <f>HYPERLINK("https://klasma.github.io/Logging_0188/artfynd/A 54110-2024 artfynd.xlsx", "A 54110-2024")</f>
        <v/>
      </c>
      <c r="T93">
        <f>HYPERLINK("https://klasma.github.io/Logging_0188/kartor/A 54110-2024 karta.png", "A 54110-2024")</f>
        <v/>
      </c>
      <c r="V93">
        <f>HYPERLINK("https://klasma.github.io/Logging_0188/klagomål/A 54110-2024 FSC-klagomål.docx", "A 54110-2024")</f>
        <v/>
      </c>
      <c r="W93">
        <f>HYPERLINK("https://klasma.github.io/Logging_0188/klagomålsmail/A 54110-2024 FSC-klagomål mail.docx", "A 54110-2024")</f>
        <v/>
      </c>
      <c r="X93">
        <f>HYPERLINK("https://klasma.github.io/Logging_0188/tillsyn/A 54110-2024 tillsynsbegäran.docx", "A 54110-2024")</f>
        <v/>
      </c>
      <c r="Y93">
        <f>HYPERLINK("https://klasma.github.io/Logging_0188/tillsynsmail/A 54110-2024 tillsynsbegäran mail.docx", "A 54110-2024")</f>
        <v/>
      </c>
    </row>
    <row r="94" ht="15" customHeight="1">
      <c r="A94" t="inlineStr">
        <is>
          <t>A 824-2025</t>
        </is>
      </c>
      <c r="B94" s="1" t="n">
        <v>45665</v>
      </c>
      <c r="C94" s="1" t="n">
        <v>45729</v>
      </c>
      <c r="D94" t="inlineStr">
        <is>
          <t>STOCKHOLMS LÄN</t>
        </is>
      </c>
      <c r="E94" t="inlineStr">
        <is>
          <t>NORRTÄLJE</t>
        </is>
      </c>
      <c r="F94" t="inlineStr">
        <is>
          <t>Övriga Aktiebolag</t>
        </is>
      </c>
      <c r="G94" t="n">
        <v>10.9</v>
      </c>
      <c r="H94" t="n">
        <v>0</v>
      </c>
      <c r="I94" t="n">
        <v>3</v>
      </c>
      <c r="J94" t="n">
        <v>0</v>
      </c>
      <c r="K94" t="n">
        <v>0</v>
      </c>
      <c r="L94" t="n">
        <v>0</v>
      </c>
      <c r="M94" t="n">
        <v>0</v>
      </c>
      <c r="N94" t="n">
        <v>0</v>
      </c>
      <c r="O94" t="n">
        <v>0</v>
      </c>
      <c r="P94" t="n">
        <v>0</v>
      </c>
      <c r="Q94" t="n">
        <v>3</v>
      </c>
      <c r="R94" s="2" t="inlineStr">
        <is>
          <t>Björksplintborre
Grönpyrola
Kattfotslav</t>
        </is>
      </c>
      <c r="S94">
        <f>HYPERLINK("https://klasma.github.io/Logging_0188/artfynd/A 824-2025 artfynd.xlsx", "A 824-2025")</f>
        <v/>
      </c>
      <c r="T94">
        <f>HYPERLINK("https://klasma.github.io/Logging_0188/kartor/A 824-2025 karta.png", "A 824-2025")</f>
        <v/>
      </c>
      <c r="V94">
        <f>HYPERLINK("https://klasma.github.io/Logging_0188/klagomål/A 824-2025 FSC-klagomål.docx", "A 824-2025")</f>
        <v/>
      </c>
      <c r="W94">
        <f>HYPERLINK("https://klasma.github.io/Logging_0188/klagomålsmail/A 824-2025 FSC-klagomål mail.docx", "A 824-2025")</f>
        <v/>
      </c>
      <c r="X94">
        <f>HYPERLINK("https://klasma.github.io/Logging_0188/tillsyn/A 824-2025 tillsynsbegäran.docx", "A 824-2025")</f>
        <v/>
      </c>
      <c r="Y94">
        <f>HYPERLINK("https://klasma.github.io/Logging_0188/tillsynsmail/A 824-2025 tillsynsbegäran mail.docx", "A 824-2025")</f>
        <v/>
      </c>
    </row>
    <row r="95" ht="15" customHeight="1">
      <c r="A95" t="inlineStr">
        <is>
          <t>A 23830-2019</t>
        </is>
      </c>
      <c r="B95" s="1" t="n">
        <v>43595</v>
      </c>
      <c r="C95" s="1" t="n">
        <v>45729</v>
      </c>
      <c r="D95" t="inlineStr">
        <is>
          <t>STOCKHOLMS LÄN</t>
        </is>
      </c>
      <c r="E95" t="inlineStr">
        <is>
          <t>NORRTÄLJE</t>
        </is>
      </c>
      <c r="G95" t="n">
        <v>3</v>
      </c>
      <c r="H95" t="n">
        <v>2</v>
      </c>
      <c r="I95" t="n">
        <v>1</v>
      </c>
      <c r="J95" t="n">
        <v>0</v>
      </c>
      <c r="K95" t="n">
        <v>0</v>
      </c>
      <c r="L95" t="n">
        <v>0</v>
      </c>
      <c r="M95" t="n">
        <v>0</v>
      </c>
      <c r="N95" t="n">
        <v>0</v>
      </c>
      <c r="O95" t="n">
        <v>0</v>
      </c>
      <c r="P95" t="n">
        <v>0</v>
      </c>
      <c r="Q95" t="n">
        <v>2</v>
      </c>
      <c r="R95" s="2" t="inlineStr">
        <is>
          <t>Guckusko
Grönvit nattviol</t>
        </is>
      </c>
      <c r="S95">
        <f>HYPERLINK("https://klasma.github.io/Logging_0188/artfynd/A 23830-2019 artfynd.xlsx", "A 23830-2019")</f>
        <v/>
      </c>
      <c r="T95">
        <f>HYPERLINK("https://klasma.github.io/Logging_0188/kartor/A 23830-2019 karta.png", "A 23830-2019")</f>
        <v/>
      </c>
      <c r="V95">
        <f>HYPERLINK("https://klasma.github.io/Logging_0188/klagomål/A 23830-2019 FSC-klagomål.docx", "A 23830-2019")</f>
        <v/>
      </c>
      <c r="W95">
        <f>HYPERLINK("https://klasma.github.io/Logging_0188/klagomålsmail/A 23830-2019 FSC-klagomål mail.docx", "A 23830-2019")</f>
        <v/>
      </c>
      <c r="X95">
        <f>HYPERLINK("https://klasma.github.io/Logging_0188/tillsyn/A 23830-2019 tillsynsbegäran.docx", "A 23830-2019")</f>
        <v/>
      </c>
      <c r="Y95">
        <f>HYPERLINK("https://klasma.github.io/Logging_0188/tillsynsmail/A 23830-2019 tillsynsbegäran mail.docx", "A 23830-2019")</f>
        <v/>
      </c>
    </row>
    <row r="96" ht="15" customHeight="1">
      <c r="A96" t="inlineStr">
        <is>
          <t>A 47875-2019</t>
        </is>
      </c>
      <c r="B96" s="1" t="n">
        <v>43725</v>
      </c>
      <c r="C96" s="1" t="n">
        <v>45729</v>
      </c>
      <c r="D96" t="inlineStr">
        <is>
          <t>STOCKHOLMS LÄN</t>
        </is>
      </c>
      <c r="E96" t="inlineStr">
        <is>
          <t>NORRTÄLJE</t>
        </is>
      </c>
      <c r="G96" t="n">
        <v>10.9</v>
      </c>
      <c r="H96" t="n">
        <v>1</v>
      </c>
      <c r="I96" t="n">
        <v>0</v>
      </c>
      <c r="J96" t="n">
        <v>1</v>
      </c>
      <c r="K96" t="n">
        <v>0</v>
      </c>
      <c r="L96" t="n">
        <v>0</v>
      </c>
      <c r="M96" t="n">
        <v>0</v>
      </c>
      <c r="N96" t="n">
        <v>0</v>
      </c>
      <c r="O96" t="n">
        <v>1</v>
      </c>
      <c r="P96" t="n">
        <v>0</v>
      </c>
      <c r="Q96" t="n">
        <v>2</v>
      </c>
      <c r="R96" s="2" t="inlineStr">
        <is>
          <t>Vippärt
Mattlummer</t>
        </is>
      </c>
      <c r="S96">
        <f>HYPERLINK("https://klasma.github.io/Logging_0188/artfynd/A 47875-2019 artfynd.xlsx", "A 47875-2019")</f>
        <v/>
      </c>
      <c r="T96">
        <f>HYPERLINK("https://klasma.github.io/Logging_0188/kartor/A 47875-2019 karta.png", "A 47875-2019")</f>
        <v/>
      </c>
      <c r="V96">
        <f>HYPERLINK("https://klasma.github.io/Logging_0188/klagomål/A 47875-2019 FSC-klagomål.docx", "A 47875-2019")</f>
        <v/>
      </c>
      <c r="W96">
        <f>HYPERLINK("https://klasma.github.io/Logging_0188/klagomålsmail/A 47875-2019 FSC-klagomål mail.docx", "A 47875-2019")</f>
        <v/>
      </c>
      <c r="X96">
        <f>HYPERLINK("https://klasma.github.io/Logging_0188/tillsyn/A 47875-2019 tillsynsbegäran.docx", "A 47875-2019")</f>
        <v/>
      </c>
      <c r="Y96">
        <f>HYPERLINK("https://klasma.github.io/Logging_0188/tillsynsmail/A 47875-2019 tillsynsbegäran mail.docx", "A 47875-2019")</f>
        <v/>
      </c>
    </row>
    <row r="97" ht="15" customHeight="1">
      <c r="A97" t="inlineStr">
        <is>
          <t>A 2810-2020</t>
        </is>
      </c>
      <c r="B97" s="1" t="n">
        <v>43850</v>
      </c>
      <c r="C97" s="1" t="n">
        <v>45729</v>
      </c>
      <c r="D97" t="inlineStr">
        <is>
          <t>STOCKHOLMS LÄN</t>
        </is>
      </c>
      <c r="E97" t="inlineStr">
        <is>
          <t>NORRTÄLJE</t>
        </is>
      </c>
      <c r="G97" t="n">
        <v>0.9</v>
      </c>
      <c r="H97" t="n">
        <v>1</v>
      </c>
      <c r="I97" t="n">
        <v>1</v>
      </c>
      <c r="J97" t="n">
        <v>0</v>
      </c>
      <c r="K97" t="n">
        <v>1</v>
      </c>
      <c r="L97" t="n">
        <v>0</v>
      </c>
      <c r="M97" t="n">
        <v>0</v>
      </c>
      <c r="N97" t="n">
        <v>0</v>
      </c>
      <c r="O97" t="n">
        <v>1</v>
      </c>
      <c r="P97" t="n">
        <v>1</v>
      </c>
      <c r="Q97" t="n">
        <v>2</v>
      </c>
      <c r="R97" s="2" t="inlineStr">
        <is>
          <t>Knärot
Grönpyrola</t>
        </is>
      </c>
      <c r="S97">
        <f>HYPERLINK("https://klasma.github.io/Logging_0188/artfynd/A 2810-2020 artfynd.xlsx", "A 2810-2020")</f>
        <v/>
      </c>
      <c r="T97">
        <f>HYPERLINK("https://klasma.github.io/Logging_0188/kartor/A 2810-2020 karta.png", "A 2810-2020")</f>
        <v/>
      </c>
      <c r="U97">
        <f>HYPERLINK("https://klasma.github.io/Logging_0188/knärot/A 2810-2020 karta knärot.png", "A 2810-2020")</f>
        <v/>
      </c>
      <c r="V97">
        <f>HYPERLINK("https://klasma.github.io/Logging_0188/klagomål/A 2810-2020 FSC-klagomål.docx", "A 2810-2020")</f>
        <v/>
      </c>
      <c r="W97">
        <f>HYPERLINK("https://klasma.github.io/Logging_0188/klagomålsmail/A 2810-2020 FSC-klagomål mail.docx", "A 2810-2020")</f>
        <v/>
      </c>
      <c r="X97">
        <f>HYPERLINK("https://klasma.github.io/Logging_0188/tillsyn/A 2810-2020 tillsynsbegäran.docx", "A 2810-2020")</f>
        <v/>
      </c>
      <c r="Y97">
        <f>HYPERLINK("https://klasma.github.io/Logging_0188/tillsynsmail/A 2810-2020 tillsynsbegäran mail.docx", "A 2810-2020")</f>
        <v/>
      </c>
    </row>
    <row r="98" ht="15" customHeight="1">
      <c r="A98" t="inlineStr">
        <is>
          <t>A 6272-2020</t>
        </is>
      </c>
      <c r="B98" s="1" t="n">
        <v>43866</v>
      </c>
      <c r="C98" s="1" t="n">
        <v>45729</v>
      </c>
      <c r="D98" t="inlineStr">
        <is>
          <t>STOCKHOLMS LÄN</t>
        </is>
      </c>
      <c r="E98" t="inlineStr">
        <is>
          <t>NORRTÄLJE</t>
        </is>
      </c>
      <c r="F98" t="inlineStr">
        <is>
          <t>Övriga statliga verk och myndigheter</t>
        </is>
      </c>
      <c r="G98" t="n">
        <v>1.9</v>
      </c>
      <c r="H98" t="n">
        <v>1</v>
      </c>
      <c r="I98" t="n">
        <v>1</v>
      </c>
      <c r="J98" t="n">
        <v>1</v>
      </c>
      <c r="K98" t="n">
        <v>0</v>
      </c>
      <c r="L98" t="n">
        <v>0</v>
      </c>
      <c r="M98" t="n">
        <v>0</v>
      </c>
      <c r="N98" t="n">
        <v>0</v>
      </c>
      <c r="O98" t="n">
        <v>1</v>
      </c>
      <c r="P98" t="n">
        <v>0</v>
      </c>
      <c r="Q98" t="n">
        <v>2</v>
      </c>
      <c r="R98" s="2" t="inlineStr">
        <is>
          <t>Silversmygare
Nästrot</t>
        </is>
      </c>
      <c r="S98">
        <f>HYPERLINK("https://klasma.github.io/Logging_0188/artfynd/A 6272-2020 artfynd.xlsx", "A 6272-2020")</f>
        <v/>
      </c>
      <c r="T98">
        <f>HYPERLINK("https://klasma.github.io/Logging_0188/kartor/A 6272-2020 karta.png", "A 6272-2020")</f>
        <v/>
      </c>
      <c r="V98">
        <f>HYPERLINK("https://klasma.github.io/Logging_0188/klagomål/A 6272-2020 FSC-klagomål.docx", "A 6272-2020")</f>
        <v/>
      </c>
      <c r="W98">
        <f>HYPERLINK("https://klasma.github.io/Logging_0188/klagomålsmail/A 6272-2020 FSC-klagomål mail.docx", "A 6272-2020")</f>
        <v/>
      </c>
      <c r="X98">
        <f>HYPERLINK("https://klasma.github.io/Logging_0188/tillsyn/A 6272-2020 tillsynsbegäran.docx", "A 6272-2020")</f>
        <v/>
      </c>
      <c r="Y98">
        <f>HYPERLINK("https://klasma.github.io/Logging_0188/tillsynsmail/A 6272-2020 tillsynsbegäran mail.docx", "A 6272-2020")</f>
        <v/>
      </c>
    </row>
    <row r="99" ht="15" customHeight="1">
      <c r="A99" t="inlineStr">
        <is>
          <t>A 14565-2020</t>
        </is>
      </c>
      <c r="B99" s="1" t="n">
        <v>43908</v>
      </c>
      <c r="C99" s="1" t="n">
        <v>45729</v>
      </c>
      <c r="D99" t="inlineStr">
        <is>
          <t>STOCKHOLMS LÄN</t>
        </is>
      </c>
      <c r="E99" t="inlineStr">
        <is>
          <t>NORRTÄLJE</t>
        </is>
      </c>
      <c r="G99" t="n">
        <v>3.4</v>
      </c>
      <c r="H99" t="n">
        <v>2</v>
      </c>
      <c r="I99" t="n">
        <v>0</v>
      </c>
      <c r="J99" t="n">
        <v>0</v>
      </c>
      <c r="K99" t="n">
        <v>0</v>
      </c>
      <c r="L99" t="n">
        <v>0</v>
      </c>
      <c r="M99" t="n">
        <v>0</v>
      </c>
      <c r="N99" t="n">
        <v>0</v>
      </c>
      <c r="O99" t="n">
        <v>0</v>
      </c>
      <c r="P99" t="n">
        <v>0</v>
      </c>
      <c r="Q99" t="n">
        <v>2</v>
      </c>
      <c r="R99" s="2" t="inlineStr">
        <is>
          <t>Mindre vattensalamander
Vanlig groda</t>
        </is>
      </c>
      <c r="S99">
        <f>HYPERLINK("https://klasma.github.io/Logging_0188/artfynd/A 14565-2020 artfynd.xlsx", "A 14565-2020")</f>
        <v/>
      </c>
      <c r="T99">
        <f>HYPERLINK("https://klasma.github.io/Logging_0188/kartor/A 14565-2020 karta.png", "A 14565-2020")</f>
        <v/>
      </c>
      <c r="V99">
        <f>HYPERLINK("https://klasma.github.io/Logging_0188/klagomål/A 14565-2020 FSC-klagomål.docx", "A 14565-2020")</f>
        <v/>
      </c>
      <c r="W99">
        <f>HYPERLINK("https://klasma.github.io/Logging_0188/klagomålsmail/A 14565-2020 FSC-klagomål mail.docx", "A 14565-2020")</f>
        <v/>
      </c>
      <c r="X99">
        <f>HYPERLINK("https://klasma.github.io/Logging_0188/tillsyn/A 14565-2020 tillsynsbegäran.docx", "A 14565-2020")</f>
        <v/>
      </c>
      <c r="Y99">
        <f>HYPERLINK("https://klasma.github.io/Logging_0188/tillsynsmail/A 14565-2020 tillsynsbegäran mail.docx", "A 14565-2020")</f>
        <v/>
      </c>
    </row>
    <row r="100" ht="15" customHeight="1">
      <c r="A100" t="inlineStr">
        <is>
          <t>A 19565-2020</t>
        </is>
      </c>
      <c r="B100" s="1" t="n">
        <v>43936</v>
      </c>
      <c r="C100" s="1" t="n">
        <v>45729</v>
      </c>
      <c r="D100" t="inlineStr">
        <is>
          <t>STOCKHOLMS LÄN</t>
        </is>
      </c>
      <c r="E100" t="inlineStr">
        <is>
          <t>NORRTÄLJE</t>
        </is>
      </c>
      <c r="G100" t="n">
        <v>2.4</v>
      </c>
      <c r="H100" t="n">
        <v>0</v>
      </c>
      <c r="I100" t="n">
        <v>2</v>
      </c>
      <c r="J100" t="n">
        <v>0</v>
      </c>
      <c r="K100" t="n">
        <v>0</v>
      </c>
      <c r="L100" t="n">
        <v>0</v>
      </c>
      <c r="M100" t="n">
        <v>0</v>
      </c>
      <c r="N100" t="n">
        <v>0</v>
      </c>
      <c r="O100" t="n">
        <v>0</v>
      </c>
      <c r="P100" t="n">
        <v>0</v>
      </c>
      <c r="Q100" t="n">
        <v>2</v>
      </c>
      <c r="R100" s="2" t="inlineStr">
        <is>
          <t>Mörk husmossa
Rödgul trumpetsvamp</t>
        </is>
      </c>
      <c r="S100">
        <f>HYPERLINK("https://klasma.github.io/Logging_0188/artfynd/A 19565-2020 artfynd.xlsx", "A 19565-2020")</f>
        <v/>
      </c>
      <c r="T100">
        <f>HYPERLINK("https://klasma.github.io/Logging_0188/kartor/A 19565-2020 karta.png", "A 19565-2020")</f>
        <v/>
      </c>
      <c r="V100">
        <f>HYPERLINK("https://klasma.github.io/Logging_0188/klagomål/A 19565-2020 FSC-klagomål.docx", "A 19565-2020")</f>
        <v/>
      </c>
      <c r="W100">
        <f>HYPERLINK("https://klasma.github.io/Logging_0188/klagomålsmail/A 19565-2020 FSC-klagomål mail.docx", "A 19565-2020")</f>
        <v/>
      </c>
      <c r="X100">
        <f>HYPERLINK("https://klasma.github.io/Logging_0188/tillsyn/A 19565-2020 tillsynsbegäran.docx", "A 19565-2020")</f>
        <v/>
      </c>
      <c r="Y100">
        <f>HYPERLINK("https://klasma.github.io/Logging_0188/tillsynsmail/A 19565-2020 tillsynsbegäran mail.docx", "A 19565-2020")</f>
        <v/>
      </c>
    </row>
    <row r="101" ht="15" customHeight="1">
      <c r="A101" t="inlineStr">
        <is>
          <t>A 31803-2021</t>
        </is>
      </c>
      <c r="B101" s="1" t="n">
        <v>44370</v>
      </c>
      <c r="C101" s="1" t="n">
        <v>45729</v>
      </c>
      <c r="D101" t="inlineStr">
        <is>
          <t>STOCKHOLMS LÄN</t>
        </is>
      </c>
      <c r="E101" t="inlineStr">
        <is>
          <t>NORRTÄLJE</t>
        </is>
      </c>
      <c r="G101" t="n">
        <v>4.6</v>
      </c>
      <c r="H101" t="n">
        <v>0</v>
      </c>
      <c r="I101" t="n">
        <v>1</v>
      </c>
      <c r="J101" t="n">
        <v>1</v>
      </c>
      <c r="K101" t="n">
        <v>0</v>
      </c>
      <c r="L101" t="n">
        <v>0</v>
      </c>
      <c r="M101" t="n">
        <v>0</v>
      </c>
      <c r="N101" t="n">
        <v>0</v>
      </c>
      <c r="O101" t="n">
        <v>1</v>
      </c>
      <c r="P101" t="n">
        <v>0</v>
      </c>
      <c r="Q101" t="n">
        <v>2</v>
      </c>
      <c r="R101" s="2" t="inlineStr">
        <is>
          <t>Slåtterfibbla
Vårärt</t>
        </is>
      </c>
      <c r="S101">
        <f>HYPERLINK("https://klasma.github.io/Logging_0188/artfynd/A 31803-2021 artfynd.xlsx", "A 31803-2021")</f>
        <v/>
      </c>
      <c r="T101">
        <f>HYPERLINK("https://klasma.github.io/Logging_0188/kartor/A 31803-2021 karta.png", "A 31803-2021")</f>
        <v/>
      </c>
      <c r="V101">
        <f>HYPERLINK("https://klasma.github.io/Logging_0188/klagomål/A 31803-2021 FSC-klagomål.docx", "A 31803-2021")</f>
        <v/>
      </c>
      <c r="W101">
        <f>HYPERLINK("https://klasma.github.io/Logging_0188/klagomålsmail/A 31803-2021 FSC-klagomål mail.docx", "A 31803-2021")</f>
        <v/>
      </c>
      <c r="X101">
        <f>HYPERLINK("https://klasma.github.io/Logging_0188/tillsyn/A 31803-2021 tillsynsbegäran.docx", "A 31803-2021")</f>
        <v/>
      </c>
      <c r="Y101">
        <f>HYPERLINK("https://klasma.github.io/Logging_0188/tillsynsmail/A 31803-2021 tillsynsbegäran mail.docx", "A 31803-2021")</f>
        <v/>
      </c>
    </row>
    <row r="102" ht="15" customHeight="1">
      <c r="A102" t="inlineStr">
        <is>
          <t>A 40072-2021</t>
        </is>
      </c>
      <c r="B102" s="1" t="n">
        <v>44418</v>
      </c>
      <c r="C102" s="1" t="n">
        <v>45729</v>
      </c>
      <c r="D102" t="inlineStr">
        <is>
          <t>STOCKHOLMS LÄN</t>
        </is>
      </c>
      <c r="E102" t="inlineStr">
        <is>
          <t>NORRTÄLJE</t>
        </is>
      </c>
      <c r="G102" t="n">
        <v>1.1</v>
      </c>
      <c r="H102" t="n">
        <v>2</v>
      </c>
      <c r="I102" t="n">
        <v>0</v>
      </c>
      <c r="J102" t="n">
        <v>2</v>
      </c>
      <c r="K102" t="n">
        <v>0</v>
      </c>
      <c r="L102" t="n">
        <v>0</v>
      </c>
      <c r="M102" t="n">
        <v>0</v>
      </c>
      <c r="N102" t="n">
        <v>0</v>
      </c>
      <c r="O102" t="n">
        <v>2</v>
      </c>
      <c r="P102" t="n">
        <v>0</v>
      </c>
      <c r="Q102" t="n">
        <v>2</v>
      </c>
      <c r="R102" s="2" t="inlineStr">
        <is>
          <t>Rördrom
Slaguggla</t>
        </is>
      </c>
      <c r="S102">
        <f>HYPERLINK("https://klasma.github.io/Logging_0188/artfynd/A 40072-2021 artfynd.xlsx", "A 40072-2021")</f>
        <v/>
      </c>
      <c r="T102">
        <f>HYPERLINK("https://klasma.github.io/Logging_0188/kartor/A 40072-2021 karta.png", "A 40072-2021")</f>
        <v/>
      </c>
      <c r="V102">
        <f>HYPERLINK("https://klasma.github.io/Logging_0188/klagomål/A 40072-2021 FSC-klagomål.docx", "A 40072-2021")</f>
        <v/>
      </c>
      <c r="W102">
        <f>HYPERLINK("https://klasma.github.io/Logging_0188/klagomålsmail/A 40072-2021 FSC-klagomål mail.docx", "A 40072-2021")</f>
        <v/>
      </c>
      <c r="X102">
        <f>HYPERLINK("https://klasma.github.io/Logging_0188/tillsyn/A 40072-2021 tillsynsbegäran.docx", "A 40072-2021")</f>
        <v/>
      </c>
      <c r="Y102">
        <f>HYPERLINK("https://klasma.github.io/Logging_0188/tillsynsmail/A 40072-2021 tillsynsbegäran mail.docx", "A 40072-2021")</f>
        <v/>
      </c>
      <c r="Z102">
        <f>HYPERLINK("https://klasma.github.io/Logging_0188/fåglar/A 40072-2021 prioriterade fågelarter.docx", "A 40072-2021")</f>
        <v/>
      </c>
    </row>
    <row r="103" ht="15" customHeight="1">
      <c r="A103" t="inlineStr">
        <is>
          <t>A 58676-2021</t>
        </is>
      </c>
      <c r="B103" s="1" t="n">
        <v>44489</v>
      </c>
      <c r="C103" s="1" t="n">
        <v>45729</v>
      </c>
      <c r="D103" t="inlineStr">
        <is>
          <t>STOCKHOLMS LÄN</t>
        </is>
      </c>
      <c r="E103" t="inlineStr">
        <is>
          <t>NORRTÄLJE</t>
        </is>
      </c>
      <c r="G103" t="n">
        <v>0.6</v>
      </c>
      <c r="H103" t="n">
        <v>2</v>
      </c>
      <c r="I103" t="n">
        <v>0</v>
      </c>
      <c r="J103" t="n">
        <v>0</v>
      </c>
      <c r="K103" t="n">
        <v>0</v>
      </c>
      <c r="L103" t="n">
        <v>0</v>
      </c>
      <c r="M103" t="n">
        <v>0</v>
      </c>
      <c r="N103" t="n">
        <v>0</v>
      </c>
      <c r="O103" t="n">
        <v>0</v>
      </c>
      <c r="P103" t="n">
        <v>0</v>
      </c>
      <c r="Q103" t="n">
        <v>2</v>
      </c>
      <c r="R103" s="2" t="inlineStr">
        <is>
          <t>Nattviol
Blåsippa</t>
        </is>
      </c>
      <c r="S103">
        <f>HYPERLINK("https://klasma.github.io/Logging_0188/artfynd/A 58676-2021 artfynd.xlsx", "A 58676-2021")</f>
        <v/>
      </c>
      <c r="T103">
        <f>HYPERLINK("https://klasma.github.io/Logging_0188/kartor/A 58676-2021 karta.png", "A 58676-2021")</f>
        <v/>
      </c>
      <c r="V103">
        <f>HYPERLINK("https://klasma.github.io/Logging_0188/klagomål/A 58676-2021 FSC-klagomål.docx", "A 58676-2021")</f>
        <v/>
      </c>
      <c r="W103">
        <f>HYPERLINK("https://klasma.github.io/Logging_0188/klagomålsmail/A 58676-2021 FSC-klagomål mail.docx", "A 58676-2021")</f>
        <v/>
      </c>
      <c r="X103">
        <f>HYPERLINK("https://klasma.github.io/Logging_0188/tillsyn/A 58676-2021 tillsynsbegäran.docx", "A 58676-2021")</f>
        <v/>
      </c>
      <c r="Y103">
        <f>HYPERLINK("https://klasma.github.io/Logging_0188/tillsynsmail/A 58676-2021 tillsynsbegäran mail.docx", "A 58676-2021")</f>
        <v/>
      </c>
    </row>
    <row r="104" ht="15" customHeight="1">
      <c r="A104" t="inlineStr">
        <is>
          <t>A 459-2022</t>
        </is>
      </c>
      <c r="B104" s="1" t="n">
        <v>44565</v>
      </c>
      <c r="C104" s="1" t="n">
        <v>45729</v>
      </c>
      <c r="D104" t="inlineStr">
        <is>
          <t>STOCKHOLMS LÄN</t>
        </is>
      </c>
      <c r="E104" t="inlineStr">
        <is>
          <t>NORRTÄLJE</t>
        </is>
      </c>
      <c r="F104" t="inlineStr">
        <is>
          <t>Övriga Aktiebolag</t>
        </is>
      </c>
      <c r="G104" t="n">
        <v>17.3</v>
      </c>
      <c r="H104" t="n">
        <v>0</v>
      </c>
      <c r="I104" t="n">
        <v>1</v>
      </c>
      <c r="J104" t="n">
        <v>1</v>
      </c>
      <c r="K104" t="n">
        <v>0</v>
      </c>
      <c r="L104" t="n">
        <v>0</v>
      </c>
      <c r="M104" t="n">
        <v>0</v>
      </c>
      <c r="N104" t="n">
        <v>0</v>
      </c>
      <c r="O104" t="n">
        <v>1</v>
      </c>
      <c r="P104" t="n">
        <v>0</v>
      </c>
      <c r="Q104" t="n">
        <v>2</v>
      </c>
      <c r="R104" s="2" t="inlineStr">
        <is>
          <t>Brunpudrad nållav
Björksplintborre</t>
        </is>
      </c>
      <c r="S104">
        <f>HYPERLINK("https://klasma.github.io/Logging_0188/artfynd/A 459-2022 artfynd.xlsx", "A 459-2022")</f>
        <v/>
      </c>
      <c r="T104">
        <f>HYPERLINK("https://klasma.github.io/Logging_0188/kartor/A 459-2022 karta.png", "A 459-2022")</f>
        <v/>
      </c>
      <c r="V104">
        <f>HYPERLINK("https://klasma.github.io/Logging_0188/klagomål/A 459-2022 FSC-klagomål.docx", "A 459-2022")</f>
        <v/>
      </c>
      <c r="W104">
        <f>HYPERLINK("https://klasma.github.io/Logging_0188/klagomålsmail/A 459-2022 FSC-klagomål mail.docx", "A 459-2022")</f>
        <v/>
      </c>
      <c r="X104">
        <f>HYPERLINK("https://klasma.github.io/Logging_0188/tillsyn/A 459-2022 tillsynsbegäran.docx", "A 459-2022")</f>
        <v/>
      </c>
      <c r="Y104">
        <f>HYPERLINK("https://klasma.github.io/Logging_0188/tillsynsmail/A 459-2022 tillsynsbegäran mail.docx", "A 459-2022")</f>
        <v/>
      </c>
    </row>
    <row r="105" ht="15" customHeight="1">
      <c r="A105" t="inlineStr">
        <is>
          <t>A 16260-2022</t>
        </is>
      </c>
      <c r="B105" s="1" t="n">
        <v>44670</v>
      </c>
      <c r="C105" s="1" t="n">
        <v>45729</v>
      </c>
      <c r="D105" t="inlineStr">
        <is>
          <t>STOCKHOLMS LÄN</t>
        </is>
      </c>
      <c r="E105" t="inlineStr">
        <is>
          <t>NORRTÄLJE</t>
        </is>
      </c>
      <c r="G105" t="n">
        <v>6.6</v>
      </c>
      <c r="H105" t="n">
        <v>1</v>
      </c>
      <c r="I105" t="n">
        <v>2</v>
      </c>
      <c r="J105" t="n">
        <v>0</v>
      </c>
      <c r="K105" t="n">
        <v>0</v>
      </c>
      <c r="L105" t="n">
        <v>0</v>
      </c>
      <c r="M105" t="n">
        <v>0</v>
      </c>
      <c r="N105" t="n">
        <v>0</v>
      </c>
      <c r="O105" t="n">
        <v>0</v>
      </c>
      <c r="P105" t="n">
        <v>0</v>
      </c>
      <c r="Q105" t="n">
        <v>2</v>
      </c>
      <c r="R105" s="2" t="inlineStr">
        <is>
          <t>Nästrot
Vårärt</t>
        </is>
      </c>
      <c r="S105">
        <f>HYPERLINK("https://klasma.github.io/Logging_0188/artfynd/A 16260-2022 artfynd.xlsx", "A 16260-2022")</f>
        <v/>
      </c>
      <c r="T105">
        <f>HYPERLINK("https://klasma.github.io/Logging_0188/kartor/A 16260-2022 karta.png", "A 16260-2022")</f>
        <v/>
      </c>
      <c r="V105">
        <f>HYPERLINK("https://klasma.github.io/Logging_0188/klagomål/A 16260-2022 FSC-klagomål.docx", "A 16260-2022")</f>
        <v/>
      </c>
      <c r="W105">
        <f>HYPERLINK("https://klasma.github.io/Logging_0188/klagomålsmail/A 16260-2022 FSC-klagomål mail.docx", "A 16260-2022")</f>
        <v/>
      </c>
      <c r="X105">
        <f>HYPERLINK("https://klasma.github.io/Logging_0188/tillsyn/A 16260-2022 tillsynsbegäran.docx", "A 16260-2022")</f>
        <v/>
      </c>
      <c r="Y105">
        <f>HYPERLINK("https://klasma.github.io/Logging_0188/tillsynsmail/A 16260-2022 tillsynsbegäran mail.docx", "A 16260-2022")</f>
        <v/>
      </c>
    </row>
    <row r="106" ht="15" customHeight="1">
      <c r="A106" t="inlineStr">
        <is>
          <t>A 19862-2022</t>
        </is>
      </c>
      <c r="B106" s="1" t="n">
        <v>44696</v>
      </c>
      <c r="C106" s="1" t="n">
        <v>45729</v>
      </c>
      <c r="D106" t="inlineStr">
        <is>
          <t>STOCKHOLMS LÄN</t>
        </is>
      </c>
      <c r="E106" t="inlineStr">
        <is>
          <t>NORRTÄLJE</t>
        </is>
      </c>
      <c r="G106" t="n">
        <v>6</v>
      </c>
      <c r="H106" t="n">
        <v>1</v>
      </c>
      <c r="I106" t="n">
        <v>0</v>
      </c>
      <c r="J106" t="n">
        <v>1</v>
      </c>
      <c r="K106" t="n">
        <v>0</v>
      </c>
      <c r="L106" t="n">
        <v>0</v>
      </c>
      <c r="M106" t="n">
        <v>0</v>
      </c>
      <c r="N106" t="n">
        <v>0</v>
      </c>
      <c r="O106" t="n">
        <v>1</v>
      </c>
      <c r="P106" t="n">
        <v>0</v>
      </c>
      <c r="Q106" t="n">
        <v>2</v>
      </c>
      <c r="R106" s="2" t="inlineStr">
        <is>
          <t>Granticka
Blåsippa</t>
        </is>
      </c>
      <c r="S106">
        <f>HYPERLINK("https://klasma.github.io/Logging_0188/artfynd/A 19862-2022 artfynd.xlsx", "A 19862-2022")</f>
        <v/>
      </c>
      <c r="T106">
        <f>HYPERLINK("https://klasma.github.io/Logging_0188/kartor/A 19862-2022 karta.png", "A 19862-2022")</f>
        <v/>
      </c>
      <c r="V106">
        <f>HYPERLINK("https://klasma.github.io/Logging_0188/klagomål/A 19862-2022 FSC-klagomål.docx", "A 19862-2022")</f>
        <v/>
      </c>
      <c r="W106">
        <f>HYPERLINK("https://klasma.github.io/Logging_0188/klagomålsmail/A 19862-2022 FSC-klagomål mail.docx", "A 19862-2022")</f>
        <v/>
      </c>
      <c r="X106">
        <f>HYPERLINK("https://klasma.github.io/Logging_0188/tillsyn/A 19862-2022 tillsynsbegäran.docx", "A 19862-2022")</f>
        <v/>
      </c>
      <c r="Y106">
        <f>HYPERLINK("https://klasma.github.io/Logging_0188/tillsynsmail/A 19862-2022 tillsynsbegäran mail.docx", "A 19862-2022")</f>
        <v/>
      </c>
    </row>
    <row r="107" ht="15" customHeight="1">
      <c r="A107" t="inlineStr">
        <is>
          <t>A 27742-2022</t>
        </is>
      </c>
      <c r="B107" s="1" t="n">
        <v>44743</v>
      </c>
      <c r="C107" s="1" t="n">
        <v>45729</v>
      </c>
      <c r="D107" t="inlineStr">
        <is>
          <t>STOCKHOLMS LÄN</t>
        </is>
      </c>
      <c r="E107" t="inlineStr">
        <is>
          <t>NORRTÄLJE</t>
        </is>
      </c>
      <c r="G107" t="n">
        <v>3.9</v>
      </c>
      <c r="H107" t="n">
        <v>1</v>
      </c>
      <c r="I107" t="n">
        <v>1</v>
      </c>
      <c r="J107" t="n">
        <v>0</v>
      </c>
      <c r="K107" t="n">
        <v>0</v>
      </c>
      <c r="L107" t="n">
        <v>0</v>
      </c>
      <c r="M107" t="n">
        <v>0</v>
      </c>
      <c r="N107" t="n">
        <v>0</v>
      </c>
      <c r="O107" t="n">
        <v>0</v>
      </c>
      <c r="P107" t="n">
        <v>0</v>
      </c>
      <c r="Q107" t="n">
        <v>2</v>
      </c>
      <c r="R107" s="2" t="inlineStr">
        <is>
          <t>Svavelriska
Blåsippa</t>
        </is>
      </c>
      <c r="S107">
        <f>HYPERLINK("https://klasma.github.io/Logging_0188/artfynd/A 27742-2022 artfynd.xlsx", "A 27742-2022")</f>
        <v/>
      </c>
      <c r="T107">
        <f>HYPERLINK("https://klasma.github.io/Logging_0188/kartor/A 27742-2022 karta.png", "A 27742-2022")</f>
        <v/>
      </c>
      <c r="V107">
        <f>HYPERLINK("https://klasma.github.io/Logging_0188/klagomål/A 27742-2022 FSC-klagomål.docx", "A 27742-2022")</f>
        <v/>
      </c>
      <c r="W107">
        <f>HYPERLINK("https://klasma.github.io/Logging_0188/klagomålsmail/A 27742-2022 FSC-klagomål mail.docx", "A 27742-2022")</f>
        <v/>
      </c>
      <c r="X107">
        <f>HYPERLINK("https://klasma.github.io/Logging_0188/tillsyn/A 27742-2022 tillsynsbegäran.docx", "A 27742-2022")</f>
        <v/>
      </c>
      <c r="Y107">
        <f>HYPERLINK("https://klasma.github.io/Logging_0188/tillsynsmail/A 27742-2022 tillsynsbegäran mail.docx", "A 27742-2022")</f>
        <v/>
      </c>
    </row>
    <row r="108" ht="15" customHeight="1">
      <c r="A108" t="inlineStr">
        <is>
          <t>A 30693-2022</t>
        </is>
      </c>
      <c r="B108" s="1" t="n">
        <v>44763</v>
      </c>
      <c r="C108" s="1" t="n">
        <v>45729</v>
      </c>
      <c r="D108" t="inlineStr">
        <is>
          <t>STOCKHOLMS LÄN</t>
        </is>
      </c>
      <c r="E108" t="inlineStr">
        <is>
          <t>NORRTÄLJE</t>
        </is>
      </c>
      <c r="F108" t="inlineStr">
        <is>
          <t>Sveaskog</t>
        </is>
      </c>
      <c r="G108" t="n">
        <v>3.4</v>
      </c>
      <c r="H108" t="n">
        <v>2</v>
      </c>
      <c r="I108" t="n">
        <v>0</v>
      </c>
      <c r="J108" t="n">
        <v>1</v>
      </c>
      <c r="K108" t="n">
        <v>0</v>
      </c>
      <c r="L108" t="n">
        <v>0</v>
      </c>
      <c r="M108" t="n">
        <v>0</v>
      </c>
      <c r="N108" t="n">
        <v>0</v>
      </c>
      <c r="O108" t="n">
        <v>1</v>
      </c>
      <c r="P108" t="n">
        <v>0</v>
      </c>
      <c r="Q108" t="n">
        <v>2</v>
      </c>
      <c r="R108" s="2" t="inlineStr">
        <is>
          <t>Gulsparv
Gullviva</t>
        </is>
      </c>
      <c r="S108">
        <f>HYPERLINK("https://klasma.github.io/Logging_0188/artfynd/A 30693-2022 artfynd.xlsx", "A 30693-2022")</f>
        <v/>
      </c>
      <c r="T108">
        <f>HYPERLINK("https://klasma.github.io/Logging_0188/kartor/A 30693-2022 karta.png", "A 30693-2022")</f>
        <v/>
      </c>
      <c r="V108">
        <f>HYPERLINK("https://klasma.github.io/Logging_0188/klagomål/A 30693-2022 FSC-klagomål.docx", "A 30693-2022")</f>
        <v/>
      </c>
      <c r="W108">
        <f>HYPERLINK("https://klasma.github.io/Logging_0188/klagomålsmail/A 30693-2022 FSC-klagomål mail.docx", "A 30693-2022")</f>
        <v/>
      </c>
      <c r="X108">
        <f>HYPERLINK("https://klasma.github.io/Logging_0188/tillsyn/A 30693-2022 tillsynsbegäran.docx", "A 30693-2022")</f>
        <v/>
      </c>
      <c r="Y108">
        <f>HYPERLINK("https://klasma.github.io/Logging_0188/tillsynsmail/A 30693-2022 tillsynsbegäran mail.docx", "A 30693-2022")</f>
        <v/>
      </c>
      <c r="Z108">
        <f>HYPERLINK("https://klasma.github.io/Logging_0188/fåglar/A 30693-2022 prioriterade fågelarter.docx", "A 30693-2022")</f>
        <v/>
      </c>
    </row>
    <row r="109" ht="15" customHeight="1">
      <c r="A109" t="inlineStr">
        <is>
          <t>A 38597-2022</t>
        </is>
      </c>
      <c r="B109" s="1" t="n">
        <v>44813</v>
      </c>
      <c r="C109" s="1" t="n">
        <v>45729</v>
      </c>
      <c r="D109" t="inlineStr">
        <is>
          <t>STOCKHOLMS LÄN</t>
        </is>
      </c>
      <c r="E109" t="inlineStr">
        <is>
          <t>NORRTÄLJE</t>
        </is>
      </c>
      <c r="G109" t="n">
        <v>13.2</v>
      </c>
      <c r="H109" t="n">
        <v>1</v>
      </c>
      <c r="I109" t="n">
        <v>1</v>
      </c>
      <c r="J109" t="n">
        <v>0</v>
      </c>
      <c r="K109" t="n">
        <v>0</v>
      </c>
      <c r="L109" t="n">
        <v>1</v>
      </c>
      <c r="M109" t="n">
        <v>0</v>
      </c>
      <c r="N109" t="n">
        <v>0</v>
      </c>
      <c r="O109" t="n">
        <v>1</v>
      </c>
      <c r="P109" t="n">
        <v>1</v>
      </c>
      <c r="Q109" t="n">
        <v>2</v>
      </c>
      <c r="R109" s="2" t="inlineStr">
        <is>
          <t>Asknätfjäril
Scharlakansvårskål agg.</t>
        </is>
      </c>
      <c r="S109">
        <f>HYPERLINK("https://klasma.github.io/Logging_0188/artfynd/A 38597-2022 artfynd.xlsx", "A 38597-2022")</f>
        <v/>
      </c>
      <c r="T109">
        <f>HYPERLINK("https://klasma.github.io/Logging_0188/kartor/A 38597-2022 karta.png", "A 38597-2022")</f>
        <v/>
      </c>
      <c r="V109">
        <f>HYPERLINK("https://klasma.github.io/Logging_0188/klagomål/A 38597-2022 FSC-klagomål.docx", "A 38597-2022")</f>
        <v/>
      </c>
      <c r="W109">
        <f>HYPERLINK("https://klasma.github.io/Logging_0188/klagomålsmail/A 38597-2022 FSC-klagomål mail.docx", "A 38597-2022")</f>
        <v/>
      </c>
      <c r="X109">
        <f>HYPERLINK("https://klasma.github.io/Logging_0188/tillsyn/A 38597-2022 tillsynsbegäran.docx", "A 38597-2022")</f>
        <v/>
      </c>
      <c r="Y109">
        <f>HYPERLINK("https://klasma.github.io/Logging_0188/tillsynsmail/A 38597-2022 tillsynsbegäran mail.docx", "A 38597-2022")</f>
        <v/>
      </c>
    </row>
    <row r="110" ht="15" customHeight="1">
      <c r="A110" t="inlineStr">
        <is>
          <t>A 52124-2022</t>
        </is>
      </c>
      <c r="B110" s="1" t="n">
        <v>44868</v>
      </c>
      <c r="C110" s="1" t="n">
        <v>45729</v>
      </c>
      <c r="D110" t="inlineStr">
        <is>
          <t>STOCKHOLMS LÄN</t>
        </is>
      </c>
      <c r="E110" t="inlineStr">
        <is>
          <t>NORRTÄLJE</t>
        </is>
      </c>
      <c r="G110" t="n">
        <v>4.8</v>
      </c>
      <c r="H110" t="n">
        <v>1</v>
      </c>
      <c r="I110" t="n">
        <v>0</v>
      </c>
      <c r="J110" t="n">
        <v>1</v>
      </c>
      <c r="K110" t="n">
        <v>0</v>
      </c>
      <c r="L110" t="n">
        <v>0</v>
      </c>
      <c r="M110" t="n">
        <v>0</v>
      </c>
      <c r="N110" t="n">
        <v>0</v>
      </c>
      <c r="O110" t="n">
        <v>1</v>
      </c>
      <c r="P110" t="n">
        <v>0</v>
      </c>
      <c r="Q110" t="n">
        <v>2</v>
      </c>
      <c r="R110" s="2" t="inlineStr">
        <is>
          <t>Kandelabersvamp
Blåsippa</t>
        </is>
      </c>
      <c r="S110">
        <f>HYPERLINK("https://klasma.github.io/Logging_0188/artfynd/A 52124-2022 artfynd.xlsx", "A 52124-2022")</f>
        <v/>
      </c>
      <c r="T110">
        <f>HYPERLINK("https://klasma.github.io/Logging_0188/kartor/A 52124-2022 karta.png", "A 52124-2022")</f>
        <v/>
      </c>
      <c r="V110">
        <f>HYPERLINK("https://klasma.github.io/Logging_0188/klagomål/A 52124-2022 FSC-klagomål.docx", "A 52124-2022")</f>
        <v/>
      </c>
      <c r="W110">
        <f>HYPERLINK("https://klasma.github.io/Logging_0188/klagomålsmail/A 52124-2022 FSC-klagomål mail.docx", "A 52124-2022")</f>
        <v/>
      </c>
      <c r="X110">
        <f>HYPERLINK("https://klasma.github.io/Logging_0188/tillsyn/A 52124-2022 tillsynsbegäran.docx", "A 52124-2022")</f>
        <v/>
      </c>
      <c r="Y110">
        <f>HYPERLINK("https://klasma.github.io/Logging_0188/tillsynsmail/A 52124-2022 tillsynsbegäran mail.docx", "A 52124-2022")</f>
        <v/>
      </c>
    </row>
    <row r="111" ht="15" customHeight="1">
      <c r="A111" t="inlineStr">
        <is>
          <t>A 51980-2022</t>
        </is>
      </c>
      <c r="B111" s="1" t="n">
        <v>44872</v>
      </c>
      <c r="C111" s="1" t="n">
        <v>45729</v>
      </c>
      <c r="D111" t="inlineStr">
        <is>
          <t>STOCKHOLMS LÄN</t>
        </is>
      </c>
      <c r="E111" t="inlineStr">
        <is>
          <t>NORRTÄLJE</t>
        </is>
      </c>
      <c r="G111" t="n">
        <v>7.9</v>
      </c>
      <c r="H111" t="n">
        <v>1</v>
      </c>
      <c r="I111" t="n">
        <v>2</v>
      </c>
      <c r="J111" t="n">
        <v>0</v>
      </c>
      <c r="K111" t="n">
        <v>0</v>
      </c>
      <c r="L111" t="n">
        <v>0</v>
      </c>
      <c r="M111" t="n">
        <v>0</v>
      </c>
      <c r="N111" t="n">
        <v>0</v>
      </c>
      <c r="O111" t="n">
        <v>0</v>
      </c>
      <c r="P111" t="n">
        <v>0</v>
      </c>
      <c r="Q111" t="n">
        <v>2</v>
      </c>
      <c r="R111" s="2" t="inlineStr">
        <is>
          <t>Rödgul trumpetsvamp
Skogsknipprot</t>
        </is>
      </c>
      <c r="S111">
        <f>HYPERLINK("https://klasma.github.io/Logging_0188/artfynd/A 51980-2022 artfynd.xlsx", "A 51980-2022")</f>
        <v/>
      </c>
      <c r="T111">
        <f>HYPERLINK("https://klasma.github.io/Logging_0188/kartor/A 51980-2022 karta.png", "A 51980-2022")</f>
        <v/>
      </c>
      <c r="V111">
        <f>HYPERLINK("https://klasma.github.io/Logging_0188/klagomål/A 51980-2022 FSC-klagomål.docx", "A 51980-2022")</f>
        <v/>
      </c>
      <c r="W111">
        <f>HYPERLINK("https://klasma.github.io/Logging_0188/klagomålsmail/A 51980-2022 FSC-klagomål mail.docx", "A 51980-2022")</f>
        <v/>
      </c>
      <c r="X111">
        <f>HYPERLINK("https://klasma.github.io/Logging_0188/tillsyn/A 51980-2022 tillsynsbegäran.docx", "A 51980-2022")</f>
        <v/>
      </c>
      <c r="Y111">
        <f>HYPERLINK("https://klasma.github.io/Logging_0188/tillsynsmail/A 51980-2022 tillsynsbegäran mail.docx", "A 51980-2022")</f>
        <v/>
      </c>
    </row>
    <row r="112" ht="15" customHeight="1">
      <c r="A112" t="inlineStr">
        <is>
          <t>A 7341-2023</t>
        </is>
      </c>
      <c r="B112" s="1" t="n">
        <v>44971</v>
      </c>
      <c r="C112" s="1" t="n">
        <v>45729</v>
      </c>
      <c r="D112" t="inlineStr">
        <is>
          <t>STOCKHOLMS LÄN</t>
        </is>
      </c>
      <c r="E112" t="inlineStr">
        <is>
          <t>NORRTÄLJE</t>
        </is>
      </c>
      <c r="F112" t="inlineStr">
        <is>
          <t>Holmen skog AB</t>
        </is>
      </c>
      <c r="G112" t="n">
        <v>10.7</v>
      </c>
      <c r="H112" t="n">
        <v>0</v>
      </c>
      <c r="I112" t="n">
        <v>0</v>
      </c>
      <c r="J112" t="n">
        <v>2</v>
      </c>
      <c r="K112" t="n">
        <v>0</v>
      </c>
      <c r="L112" t="n">
        <v>0</v>
      </c>
      <c r="M112" t="n">
        <v>0</v>
      </c>
      <c r="N112" t="n">
        <v>0</v>
      </c>
      <c r="O112" t="n">
        <v>2</v>
      </c>
      <c r="P112" t="n">
        <v>0</v>
      </c>
      <c r="Q112" t="n">
        <v>2</v>
      </c>
      <c r="R112" s="2" t="inlineStr">
        <is>
          <t>Mindre bastardsvärmare
Smalsprötad bastardsvärmare</t>
        </is>
      </c>
      <c r="S112">
        <f>HYPERLINK("https://klasma.github.io/Logging_0188/artfynd/A 7341-2023 artfynd.xlsx", "A 7341-2023")</f>
        <v/>
      </c>
      <c r="T112">
        <f>HYPERLINK("https://klasma.github.io/Logging_0188/kartor/A 7341-2023 karta.png", "A 7341-2023")</f>
        <v/>
      </c>
      <c r="V112">
        <f>HYPERLINK("https://klasma.github.io/Logging_0188/klagomål/A 7341-2023 FSC-klagomål.docx", "A 7341-2023")</f>
        <v/>
      </c>
      <c r="W112">
        <f>HYPERLINK("https://klasma.github.io/Logging_0188/klagomålsmail/A 7341-2023 FSC-klagomål mail.docx", "A 7341-2023")</f>
        <v/>
      </c>
      <c r="X112">
        <f>HYPERLINK("https://klasma.github.io/Logging_0188/tillsyn/A 7341-2023 tillsynsbegäran.docx", "A 7341-2023")</f>
        <v/>
      </c>
      <c r="Y112">
        <f>HYPERLINK("https://klasma.github.io/Logging_0188/tillsynsmail/A 7341-2023 tillsynsbegäran mail.docx", "A 7341-2023")</f>
        <v/>
      </c>
    </row>
    <row r="113" ht="15" customHeight="1">
      <c r="A113" t="inlineStr">
        <is>
          <t>A 10136-2023</t>
        </is>
      </c>
      <c r="B113" s="1" t="n">
        <v>44986</v>
      </c>
      <c r="C113" s="1" t="n">
        <v>45729</v>
      </c>
      <c r="D113" t="inlineStr">
        <is>
          <t>STOCKHOLMS LÄN</t>
        </is>
      </c>
      <c r="E113" t="inlineStr">
        <is>
          <t>NORRTÄLJE</t>
        </is>
      </c>
      <c r="F113" t="inlineStr">
        <is>
          <t>Övriga statliga verk och myndigheter</t>
        </is>
      </c>
      <c r="G113" t="n">
        <v>3.6</v>
      </c>
      <c r="H113" t="n">
        <v>0</v>
      </c>
      <c r="I113" t="n">
        <v>0</v>
      </c>
      <c r="J113" t="n">
        <v>1</v>
      </c>
      <c r="K113" t="n">
        <v>1</v>
      </c>
      <c r="L113" t="n">
        <v>0</v>
      </c>
      <c r="M113" t="n">
        <v>0</v>
      </c>
      <c r="N113" t="n">
        <v>0</v>
      </c>
      <c r="O113" t="n">
        <v>2</v>
      </c>
      <c r="P113" t="n">
        <v>1</v>
      </c>
      <c r="Q113" t="n">
        <v>2</v>
      </c>
      <c r="R113" s="2" t="inlineStr">
        <is>
          <t>Svartfjällig musseron
Persiljespindling</t>
        </is>
      </c>
      <c r="S113">
        <f>HYPERLINK("https://klasma.github.io/Logging_0188/artfynd/A 10136-2023 artfynd.xlsx", "A 10136-2023")</f>
        <v/>
      </c>
      <c r="T113">
        <f>HYPERLINK("https://klasma.github.io/Logging_0188/kartor/A 10136-2023 karta.png", "A 10136-2023")</f>
        <v/>
      </c>
      <c r="V113">
        <f>HYPERLINK("https://klasma.github.io/Logging_0188/klagomål/A 10136-2023 FSC-klagomål.docx", "A 10136-2023")</f>
        <v/>
      </c>
      <c r="W113">
        <f>HYPERLINK("https://klasma.github.io/Logging_0188/klagomålsmail/A 10136-2023 FSC-klagomål mail.docx", "A 10136-2023")</f>
        <v/>
      </c>
      <c r="X113">
        <f>HYPERLINK("https://klasma.github.io/Logging_0188/tillsyn/A 10136-2023 tillsynsbegäran.docx", "A 10136-2023")</f>
        <v/>
      </c>
      <c r="Y113">
        <f>HYPERLINK("https://klasma.github.io/Logging_0188/tillsynsmail/A 10136-2023 tillsynsbegäran mail.docx", "A 10136-2023")</f>
        <v/>
      </c>
    </row>
    <row r="114" ht="15" customHeight="1">
      <c r="A114" t="inlineStr">
        <is>
          <t>A 21748-2023</t>
        </is>
      </c>
      <c r="B114" s="1" t="n">
        <v>45065</v>
      </c>
      <c r="C114" s="1" t="n">
        <v>45729</v>
      </c>
      <c r="D114" t="inlineStr">
        <is>
          <t>STOCKHOLMS LÄN</t>
        </is>
      </c>
      <c r="E114" t="inlineStr">
        <is>
          <t>NORRTÄLJE</t>
        </is>
      </c>
      <c r="F114" t="inlineStr">
        <is>
          <t>Holmen skog AB</t>
        </is>
      </c>
      <c r="G114" t="n">
        <v>2.4</v>
      </c>
      <c r="H114" t="n">
        <v>0</v>
      </c>
      <c r="I114" t="n">
        <v>2</v>
      </c>
      <c r="J114" t="n">
        <v>0</v>
      </c>
      <c r="K114" t="n">
        <v>0</v>
      </c>
      <c r="L114" t="n">
        <v>0</v>
      </c>
      <c r="M114" t="n">
        <v>0</v>
      </c>
      <c r="N114" t="n">
        <v>0</v>
      </c>
      <c r="O114" t="n">
        <v>0</v>
      </c>
      <c r="P114" t="n">
        <v>0</v>
      </c>
      <c r="Q114" t="n">
        <v>2</v>
      </c>
      <c r="R114" s="2" t="inlineStr">
        <is>
          <t>Aspvedgnagare
Tibast</t>
        </is>
      </c>
      <c r="S114">
        <f>HYPERLINK("https://klasma.github.io/Logging_0188/artfynd/A 21748-2023 artfynd.xlsx", "A 21748-2023")</f>
        <v/>
      </c>
      <c r="T114">
        <f>HYPERLINK("https://klasma.github.io/Logging_0188/kartor/A 21748-2023 karta.png", "A 21748-2023")</f>
        <v/>
      </c>
      <c r="V114">
        <f>HYPERLINK("https://klasma.github.io/Logging_0188/klagomål/A 21748-2023 FSC-klagomål.docx", "A 21748-2023")</f>
        <v/>
      </c>
      <c r="W114">
        <f>HYPERLINK("https://klasma.github.io/Logging_0188/klagomålsmail/A 21748-2023 FSC-klagomål mail.docx", "A 21748-2023")</f>
        <v/>
      </c>
      <c r="X114">
        <f>HYPERLINK("https://klasma.github.io/Logging_0188/tillsyn/A 21748-2023 tillsynsbegäran.docx", "A 21748-2023")</f>
        <v/>
      </c>
      <c r="Y114">
        <f>HYPERLINK("https://klasma.github.io/Logging_0188/tillsynsmail/A 21748-2023 tillsynsbegäran mail.docx", "A 21748-2023")</f>
        <v/>
      </c>
    </row>
    <row r="115" ht="15" customHeight="1">
      <c r="A115" t="inlineStr">
        <is>
          <t>A 23861-2023</t>
        </is>
      </c>
      <c r="B115" s="1" t="n">
        <v>45078</v>
      </c>
      <c r="C115" s="1" t="n">
        <v>45729</v>
      </c>
      <c r="D115" t="inlineStr">
        <is>
          <t>STOCKHOLMS LÄN</t>
        </is>
      </c>
      <c r="E115" t="inlineStr">
        <is>
          <t>NORRTÄLJE</t>
        </is>
      </c>
      <c r="G115" t="n">
        <v>3.3</v>
      </c>
      <c r="H115" t="n">
        <v>1</v>
      </c>
      <c r="I115" t="n">
        <v>1</v>
      </c>
      <c r="J115" t="n">
        <v>0</v>
      </c>
      <c r="K115" t="n">
        <v>0</v>
      </c>
      <c r="L115" t="n">
        <v>0</v>
      </c>
      <c r="M115" t="n">
        <v>0</v>
      </c>
      <c r="N115" t="n">
        <v>0</v>
      </c>
      <c r="O115" t="n">
        <v>0</v>
      </c>
      <c r="P115" t="n">
        <v>0</v>
      </c>
      <c r="Q115" t="n">
        <v>2</v>
      </c>
      <c r="R115" s="2" t="inlineStr">
        <is>
          <t>Tibast
Blåsippa</t>
        </is>
      </c>
      <c r="S115">
        <f>HYPERLINK("https://klasma.github.io/Logging_0188/artfynd/A 23861-2023 artfynd.xlsx", "A 23861-2023")</f>
        <v/>
      </c>
      <c r="T115">
        <f>HYPERLINK("https://klasma.github.io/Logging_0188/kartor/A 23861-2023 karta.png", "A 23861-2023")</f>
        <v/>
      </c>
      <c r="V115">
        <f>HYPERLINK("https://klasma.github.io/Logging_0188/klagomål/A 23861-2023 FSC-klagomål.docx", "A 23861-2023")</f>
        <v/>
      </c>
      <c r="W115">
        <f>HYPERLINK("https://klasma.github.io/Logging_0188/klagomålsmail/A 23861-2023 FSC-klagomål mail.docx", "A 23861-2023")</f>
        <v/>
      </c>
      <c r="X115">
        <f>HYPERLINK("https://klasma.github.io/Logging_0188/tillsyn/A 23861-2023 tillsynsbegäran.docx", "A 23861-2023")</f>
        <v/>
      </c>
      <c r="Y115">
        <f>HYPERLINK("https://klasma.github.io/Logging_0188/tillsynsmail/A 23861-2023 tillsynsbegäran mail.docx", "A 23861-2023")</f>
        <v/>
      </c>
    </row>
    <row r="116" ht="15" customHeight="1">
      <c r="A116" t="inlineStr">
        <is>
          <t>A 33287-2023</t>
        </is>
      </c>
      <c r="B116" s="1" t="n">
        <v>45127</v>
      </c>
      <c r="C116" s="1" t="n">
        <v>45729</v>
      </c>
      <c r="D116" t="inlineStr">
        <is>
          <t>STOCKHOLMS LÄN</t>
        </is>
      </c>
      <c r="E116" t="inlineStr">
        <is>
          <t>NORRTÄLJE</t>
        </is>
      </c>
      <c r="F116" t="inlineStr">
        <is>
          <t>Holmen skog AB</t>
        </is>
      </c>
      <c r="G116" t="n">
        <v>3.3</v>
      </c>
      <c r="H116" t="n">
        <v>0</v>
      </c>
      <c r="I116" t="n">
        <v>0</v>
      </c>
      <c r="J116" t="n">
        <v>2</v>
      </c>
      <c r="K116" t="n">
        <v>0</v>
      </c>
      <c r="L116" t="n">
        <v>0</v>
      </c>
      <c r="M116" t="n">
        <v>0</v>
      </c>
      <c r="N116" t="n">
        <v>0</v>
      </c>
      <c r="O116" t="n">
        <v>2</v>
      </c>
      <c r="P116" t="n">
        <v>0</v>
      </c>
      <c r="Q116" t="n">
        <v>2</v>
      </c>
      <c r="R116" s="2" t="inlineStr">
        <is>
          <t>Smalsprötad bastardsvärmare
Violettkantad guldvinge</t>
        </is>
      </c>
      <c r="S116">
        <f>HYPERLINK("https://klasma.github.io/Logging_0188/artfynd/A 33287-2023 artfynd.xlsx", "A 33287-2023")</f>
        <v/>
      </c>
      <c r="T116">
        <f>HYPERLINK("https://klasma.github.io/Logging_0188/kartor/A 33287-2023 karta.png", "A 33287-2023")</f>
        <v/>
      </c>
      <c r="V116">
        <f>HYPERLINK("https://klasma.github.io/Logging_0188/klagomål/A 33287-2023 FSC-klagomål.docx", "A 33287-2023")</f>
        <v/>
      </c>
      <c r="W116">
        <f>HYPERLINK("https://klasma.github.io/Logging_0188/klagomålsmail/A 33287-2023 FSC-klagomål mail.docx", "A 33287-2023")</f>
        <v/>
      </c>
      <c r="X116">
        <f>HYPERLINK("https://klasma.github.io/Logging_0188/tillsyn/A 33287-2023 tillsynsbegäran.docx", "A 33287-2023")</f>
        <v/>
      </c>
      <c r="Y116">
        <f>HYPERLINK("https://klasma.github.io/Logging_0188/tillsynsmail/A 33287-2023 tillsynsbegäran mail.docx", "A 33287-2023")</f>
        <v/>
      </c>
    </row>
    <row r="117" ht="15" customHeight="1">
      <c r="A117" t="inlineStr">
        <is>
          <t>A 51220-2023</t>
        </is>
      </c>
      <c r="B117" s="1" t="n">
        <v>45219</v>
      </c>
      <c r="C117" s="1" t="n">
        <v>45729</v>
      </c>
      <c r="D117" t="inlineStr">
        <is>
          <t>STOCKHOLMS LÄN</t>
        </is>
      </c>
      <c r="E117" t="inlineStr">
        <is>
          <t>NORRTÄLJE</t>
        </is>
      </c>
      <c r="G117" t="n">
        <v>7.7</v>
      </c>
      <c r="H117" t="n">
        <v>1</v>
      </c>
      <c r="I117" t="n">
        <v>0</v>
      </c>
      <c r="J117" t="n">
        <v>1</v>
      </c>
      <c r="K117" t="n">
        <v>0</v>
      </c>
      <c r="L117" t="n">
        <v>0</v>
      </c>
      <c r="M117" t="n">
        <v>0</v>
      </c>
      <c r="N117" t="n">
        <v>0</v>
      </c>
      <c r="O117" t="n">
        <v>1</v>
      </c>
      <c r="P117" t="n">
        <v>0</v>
      </c>
      <c r="Q117" t="n">
        <v>2</v>
      </c>
      <c r="R117" s="2" t="inlineStr">
        <is>
          <t>Ullticka
Blåsippa</t>
        </is>
      </c>
      <c r="S117">
        <f>HYPERLINK("https://klasma.github.io/Logging_0188/artfynd/A 51220-2023 artfynd.xlsx", "A 51220-2023")</f>
        <v/>
      </c>
      <c r="T117">
        <f>HYPERLINK("https://klasma.github.io/Logging_0188/kartor/A 51220-2023 karta.png", "A 51220-2023")</f>
        <v/>
      </c>
      <c r="V117">
        <f>HYPERLINK("https://klasma.github.io/Logging_0188/klagomål/A 51220-2023 FSC-klagomål.docx", "A 51220-2023")</f>
        <v/>
      </c>
      <c r="W117">
        <f>HYPERLINK("https://klasma.github.io/Logging_0188/klagomålsmail/A 51220-2023 FSC-klagomål mail.docx", "A 51220-2023")</f>
        <v/>
      </c>
      <c r="X117">
        <f>HYPERLINK("https://klasma.github.io/Logging_0188/tillsyn/A 51220-2023 tillsynsbegäran.docx", "A 51220-2023")</f>
        <v/>
      </c>
      <c r="Y117">
        <f>HYPERLINK("https://klasma.github.io/Logging_0188/tillsynsmail/A 51220-2023 tillsynsbegäran mail.docx", "A 51220-2023")</f>
        <v/>
      </c>
    </row>
    <row r="118" ht="15" customHeight="1">
      <c r="A118" t="inlineStr">
        <is>
          <t>A 51695-2023</t>
        </is>
      </c>
      <c r="B118" s="1" t="n">
        <v>45222</v>
      </c>
      <c r="C118" s="1" t="n">
        <v>45729</v>
      </c>
      <c r="D118" t="inlineStr">
        <is>
          <t>STOCKHOLMS LÄN</t>
        </is>
      </c>
      <c r="E118" t="inlineStr">
        <is>
          <t>NORRTÄLJE</t>
        </is>
      </c>
      <c r="G118" t="n">
        <v>4.9</v>
      </c>
      <c r="H118" t="n">
        <v>0</v>
      </c>
      <c r="I118" t="n">
        <v>1</v>
      </c>
      <c r="J118" t="n">
        <v>1</v>
      </c>
      <c r="K118" t="n">
        <v>0</v>
      </c>
      <c r="L118" t="n">
        <v>0</v>
      </c>
      <c r="M118" t="n">
        <v>0</v>
      </c>
      <c r="N118" t="n">
        <v>0</v>
      </c>
      <c r="O118" t="n">
        <v>1</v>
      </c>
      <c r="P118" t="n">
        <v>0</v>
      </c>
      <c r="Q118" t="n">
        <v>2</v>
      </c>
      <c r="R118" s="2" t="inlineStr">
        <is>
          <t>Odörspindling
Fjällig taggsvamp s.str.</t>
        </is>
      </c>
      <c r="S118">
        <f>HYPERLINK("https://klasma.github.io/Logging_0188/artfynd/A 51695-2023 artfynd.xlsx", "A 51695-2023")</f>
        <v/>
      </c>
      <c r="T118">
        <f>HYPERLINK("https://klasma.github.io/Logging_0188/kartor/A 51695-2023 karta.png", "A 51695-2023")</f>
        <v/>
      </c>
      <c r="V118">
        <f>HYPERLINK("https://klasma.github.io/Logging_0188/klagomål/A 51695-2023 FSC-klagomål.docx", "A 51695-2023")</f>
        <v/>
      </c>
      <c r="W118">
        <f>HYPERLINK("https://klasma.github.io/Logging_0188/klagomålsmail/A 51695-2023 FSC-klagomål mail.docx", "A 51695-2023")</f>
        <v/>
      </c>
      <c r="X118">
        <f>HYPERLINK("https://klasma.github.io/Logging_0188/tillsyn/A 51695-2023 tillsynsbegäran.docx", "A 51695-2023")</f>
        <v/>
      </c>
      <c r="Y118">
        <f>HYPERLINK("https://klasma.github.io/Logging_0188/tillsynsmail/A 51695-2023 tillsynsbegäran mail.docx", "A 51695-2023")</f>
        <v/>
      </c>
    </row>
    <row r="119" ht="15" customHeight="1">
      <c r="A119" t="inlineStr">
        <is>
          <t>A 52825-2023</t>
        </is>
      </c>
      <c r="B119" s="1" t="n">
        <v>45226</v>
      </c>
      <c r="C119" s="1" t="n">
        <v>45729</v>
      </c>
      <c r="D119" t="inlineStr">
        <is>
          <t>STOCKHOLMS LÄN</t>
        </is>
      </c>
      <c r="E119" t="inlineStr">
        <is>
          <t>NORRTÄLJE</t>
        </is>
      </c>
      <c r="G119" t="n">
        <v>1</v>
      </c>
      <c r="H119" t="n">
        <v>0</v>
      </c>
      <c r="I119" t="n">
        <v>2</v>
      </c>
      <c r="J119" t="n">
        <v>0</v>
      </c>
      <c r="K119" t="n">
        <v>0</v>
      </c>
      <c r="L119" t="n">
        <v>0</v>
      </c>
      <c r="M119" t="n">
        <v>0</v>
      </c>
      <c r="N119" t="n">
        <v>0</v>
      </c>
      <c r="O119" t="n">
        <v>0</v>
      </c>
      <c r="P119" t="n">
        <v>0</v>
      </c>
      <c r="Q119" t="n">
        <v>2</v>
      </c>
      <c r="R119" s="2" t="inlineStr">
        <is>
          <t>Fjällig taggsvamp s.str.
Strimspindling</t>
        </is>
      </c>
      <c r="S119">
        <f>HYPERLINK("https://klasma.github.io/Logging_0188/artfynd/A 52825-2023 artfynd.xlsx", "A 52825-2023")</f>
        <v/>
      </c>
      <c r="T119">
        <f>HYPERLINK("https://klasma.github.io/Logging_0188/kartor/A 52825-2023 karta.png", "A 52825-2023")</f>
        <v/>
      </c>
      <c r="V119">
        <f>HYPERLINK("https://klasma.github.io/Logging_0188/klagomål/A 52825-2023 FSC-klagomål.docx", "A 52825-2023")</f>
        <v/>
      </c>
      <c r="W119">
        <f>HYPERLINK("https://klasma.github.io/Logging_0188/klagomålsmail/A 52825-2023 FSC-klagomål mail.docx", "A 52825-2023")</f>
        <v/>
      </c>
      <c r="X119">
        <f>HYPERLINK("https://klasma.github.io/Logging_0188/tillsyn/A 52825-2023 tillsynsbegäran.docx", "A 52825-2023")</f>
        <v/>
      </c>
      <c r="Y119">
        <f>HYPERLINK("https://klasma.github.io/Logging_0188/tillsynsmail/A 52825-2023 tillsynsbegäran mail.docx", "A 52825-2023")</f>
        <v/>
      </c>
    </row>
    <row r="120" ht="15" customHeight="1">
      <c r="A120" t="inlineStr">
        <is>
          <t>A 4909-2024</t>
        </is>
      </c>
      <c r="B120" s="1" t="n">
        <v>45329</v>
      </c>
      <c r="C120" s="1" t="n">
        <v>45729</v>
      </c>
      <c r="D120" t="inlineStr">
        <is>
          <t>STOCKHOLMS LÄN</t>
        </is>
      </c>
      <c r="E120" t="inlineStr">
        <is>
          <t>NORRTÄLJE</t>
        </is>
      </c>
      <c r="G120" t="n">
        <v>4.1</v>
      </c>
      <c r="H120" t="n">
        <v>0</v>
      </c>
      <c r="I120" t="n">
        <v>2</v>
      </c>
      <c r="J120" t="n">
        <v>0</v>
      </c>
      <c r="K120" t="n">
        <v>0</v>
      </c>
      <c r="L120" t="n">
        <v>0</v>
      </c>
      <c r="M120" t="n">
        <v>0</v>
      </c>
      <c r="N120" t="n">
        <v>0</v>
      </c>
      <c r="O120" t="n">
        <v>0</v>
      </c>
      <c r="P120" t="n">
        <v>0</v>
      </c>
      <c r="Q120" t="n">
        <v>2</v>
      </c>
      <c r="R120" s="2" t="inlineStr">
        <is>
          <t>Fjällig taggsvamp s.str.
Rödgul trumpetsvamp</t>
        </is>
      </c>
      <c r="S120">
        <f>HYPERLINK("https://klasma.github.io/Logging_0188/artfynd/A 4909-2024 artfynd.xlsx", "A 4909-2024")</f>
        <v/>
      </c>
      <c r="T120">
        <f>HYPERLINK("https://klasma.github.io/Logging_0188/kartor/A 4909-2024 karta.png", "A 4909-2024")</f>
        <v/>
      </c>
      <c r="V120">
        <f>HYPERLINK("https://klasma.github.io/Logging_0188/klagomål/A 4909-2024 FSC-klagomål.docx", "A 4909-2024")</f>
        <v/>
      </c>
      <c r="W120">
        <f>HYPERLINK("https://klasma.github.io/Logging_0188/klagomålsmail/A 4909-2024 FSC-klagomål mail.docx", "A 4909-2024")</f>
        <v/>
      </c>
      <c r="X120">
        <f>HYPERLINK("https://klasma.github.io/Logging_0188/tillsyn/A 4909-2024 tillsynsbegäran.docx", "A 4909-2024")</f>
        <v/>
      </c>
      <c r="Y120">
        <f>HYPERLINK("https://klasma.github.io/Logging_0188/tillsynsmail/A 4909-2024 tillsynsbegäran mail.docx", "A 4909-2024")</f>
        <v/>
      </c>
    </row>
    <row r="121" ht="15" customHeight="1">
      <c r="A121" t="inlineStr">
        <is>
          <t>A 11995-2024</t>
        </is>
      </c>
      <c r="B121" s="1" t="n">
        <v>45377</v>
      </c>
      <c r="C121" s="1" t="n">
        <v>45729</v>
      </c>
      <c r="D121" t="inlineStr">
        <is>
          <t>STOCKHOLMS LÄN</t>
        </is>
      </c>
      <c r="E121" t="inlineStr">
        <is>
          <t>NORRTÄLJE</t>
        </is>
      </c>
      <c r="G121" t="n">
        <v>4.7</v>
      </c>
      <c r="H121" t="n">
        <v>0</v>
      </c>
      <c r="I121" t="n">
        <v>1</v>
      </c>
      <c r="J121" t="n">
        <v>1</v>
      </c>
      <c r="K121" t="n">
        <v>0</v>
      </c>
      <c r="L121" t="n">
        <v>0</v>
      </c>
      <c r="M121" t="n">
        <v>0</v>
      </c>
      <c r="N121" t="n">
        <v>0</v>
      </c>
      <c r="O121" t="n">
        <v>1</v>
      </c>
      <c r="P121" t="n">
        <v>0</v>
      </c>
      <c r="Q121" t="n">
        <v>2</v>
      </c>
      <c r="R121" s="2" t="inlineStr">
        <is>
          <t>Tallticka
Svavelriska</t>
        </is>
      </c>
      <c r="S121">
        <f>HYPERLINK("https://klasma.github.io/Logging_0188/artfynd/A 11995-2024 artfynd.xlsx", "A 11995-2024")</f>
        <v/>
      </c>
      <c r="T121">
        <f>HYPERLINK("https://klasma.github.io/Logging_0188/kartor/A 11995-2024 karta.png", "A 11995-2024")</f>
        <v/>
      </c>
      <c r="V121">
        <f>HYPERLINK("https://klasma.github.io/Logging_0188/klagomål/A 11995-2024 FSC-klagomål.docx", "A 11995-2024")</f>
        <v/>
      </c>
      <c r="W121">
        <f>HYPERLINK("https://klasma.github.io/Logging_0188/klagomålsmail/A 11995-2024 FSC-klagomål mail.docx", "A 11995-2024")</f>
        <v/>
      </c>
      <c r="X121">
        <f>HYPERLINK("https://klasma.github.io/Logging_0188/tillsyn/A 11995-2024 tillsynsbegäran.docx", "A 11995-2024")</f>
        <v/>
      </c>
      <c r="Y121">
        <f>HYPERLINK("https://klasma.github.io/Logging_0188/tillsynsmail/A 11995-2024 tillsynsbegäran mail.docx", "A 11995-2024")</f>
        <v/>
      </c>
    </row>
    <row r="122" ht="15" customHeight="1">
      <c r="A122" t="inlineStr">
        <is>
          <t>A 13150-2024</t>
        </is>
      </c>
      <c r="B122" s="1" t="n">
        <v>45386</v>
      </c>
      <c r="C122" s="1" t="n">
        <v>45729</v>
      </c>
      <c r="D122" t="inlineStr">
        <is>
          <t>STOCKHOLMS LÄN</t>
        </is>
      </c>
      <c r="E122" t="inlineStr">
        <is>
          <t>NORRTÄLJE</t>
        </is>
      </c>
      <c r="G122" t="n">
        <v>7.4</v>
      </c>
      <c r="H122" t="n">
        <v>0</v>
      </c>
      <c r="I122" t="n">
        <v>1</v>
      </c>
      <c r="J122" t="n">
        <v>1</v>
      </c>
      <c r="K122" t="n">
        <v>0</v>
      </c>
      <c r="L122" t="n">
        <v>0</v>
      </c>
      <c r="M122" t="n">
        <v>0</v>
      </c>
      <c r="N122" t="n">
        <v>0</v>
      </c>
      <c r="O122" t="n">
        <v>1</v>
      </c>
      <c r="P122" t="n">
        <v>0</v>
      </c>
      <c r="Q122" t="n">
        <v>2</v>
      </c>
      <c r="R122" s="2" t="inlineStr">
        <is>
          <t>Orange taggsvamp
Mönjevaxskivling</t>
        </is>
      </c>
      <c r="S122">
        <f>HYPERLINK("https://klasma.github.io/Logging_0188/artfynd/A 13150-2024 artfynd.xlsx", "A 13150-2024")</f>
        <v/>
      </c>
      <c r="T122">
        <f>HYPERLINK("https://klasma.github.io/Logging_0188/kartor/A 13150-2024 karta.png", "A 13150-2024")</f>
        <v/>
      </c>
      <c r="V122">
        <f>HYPERLINK("https://klasma.github.io/Logging_0188/klagomål/A 13150-2024 FSC-klagomål.docx", "A 13150-2024")</f>
        <v/>
      </c>
      <c r="W122">
        <f>HYPERLINK("https://klasma.github.io/Logging_0188/klagomålsmail/A 13150-2024 FSC-klagomål mail.docx", "A 13150-2024")</f>
        <v/>
      </c>
      <c r="X122">
        <f>HYPERLINK("https://klasma.github.io/Logging_0188/tillsyn/A 13150-2024 tillsynsbegäran.docx", "A 13150-2024")</f>
        <v/>
      </c>
      <c r="Y122">
        <f>HYPERLINK("https://klasma.github.io/Logging_0188/tillsynsmail/A 13150-2024 tillsynsbegäran mail.docx", "A 13150-2024")</f>
        <v/>
      </c>
    </row>
    <row r="123" ht="15" customHeight="1">
      <c r="A123" t="inlineStr">
        <is>
          <t>A 23583-2024</t>
        </is>
      </c>
      <c r="B123" s="1" t="n">
        <v>45454</v>
      </c>
      <c r="C123" s="1" t="n">
        <v>45729</v>
      </c>
      <c r="D123" t="inlineStr">
        <is>
          <t>STOCKHOLMS LÄN</t>
        </is>
      </c>
      <c r="E123" t="inlineStr">
        <is>
          <t>NORRTÄLJE</t>
        </is>
      </c>
      <c r="G123" t="n">
        <v>7.7</v>
      </c>
      <c r="H123" t="n">
        <v>0</v>
      </c>
      <c r="I123" t="n">
        <v>2</v>
      </c>
      <c r="J123" t="n">
        <v>0</v>
      </c>
      <c r="K123" t="n">
        <v>0</v>
      </c>
      <c r="L123" t="n">
        <v>0</v>
      </c>
      <c r="M123" t="n">
        <v>0</v>
      </c>
      <c r="N123" t="n">
        <v>0</v>
      </c>
      <c r="O123" t="n">
        <v>0</v>
      </c>
      <c r="P123" t="n">
        <v>0</v>
      </c>
      <c r="Q123" t="n">
        <v>2</v>
      </c>
      <c r="R123" s="2" t="inlineStr">
        <is>
          <t>Gulnål
Kattfotslav</t>
        </is>
      </c>
      <c r="S123">
        <f>HYPERLINK("https://klasma.github.io/Logging_0188/artfynd/A 23583-2024 artfynd.xlsx", "A 23583-2024")</f>
        <v/>
      </c>
      <c r="T123">
        <f>HYPERLINK("https://klasma.github.io/Logging_0188/kartor/A 23583-2024 karta.png", "A 23583-2024")</f>
        <v/>
      </c>
      <c r="V123">
        <f>HYPERLINK("https://klasma.github.io/Logging_0188/klagomål/A 23583-2024 FSC-klagomål.docx", "A 23583-2024")</f>
        <v/>
      </c>
      <c r="W123">
        <f>HYPERLINK("https://klasma.github.io/Logging_0188/klagomålsmail/A 23583-2024 FSC-klagomål mail.docx", "A 23583-2024")</f>
        <v/>
      </c>
      <c r="X123">
        <f>HYPERLINK("https://klasma.github.io/Logging_0188/tillsyn/A 23583-2024 tillsynsbegäran.docx", "A 23583-2024")</f>
        <v/>
      </c>
      <c r="Y123">
        <f>HYPERLINK("https://klasma.github.io/Logging_0188/tillsynsmail/A 23583-2024 tillsynsbegäran mail.docx", "A 23583-2024")</f>
        <v/>
      </c>
    </row>
    <row r="124" ht="15" customHeight="1">
      <c r="A124" t="inlineStr">
        <is>
          <t>A 24025-2024</t>
        </is>
      </c>
      <c r="B124" s="1" t="n">
        <v>45456</v>
      </c>
      <c r="C124" s="1" t="n">
        <v>45729</v>
      </c>
      <c r="D124" t="inlineStr">
        <is>
          <t>STOCKHOLMS LÄN</t>
        </is>
      </c>
      <c r="E124" t="inlineStr">
        <is>
          <t>NORRTÄLJE</t>
        </is>
      </c>
      <c r="G124" t="n">
        <v>6</v>
      </c>
      <c r="H124" t="n">
        <v>0</v>
      </c>
      <c r="I124" t="n">
        <v>2</v>
      </c>
      <c r="J124" t="n">
        <v>0</v>
      </c>
      <c r="K124" t="n">
        <v>0</v>
      </c>
      <c r="L124" t="n">
        <v>0</v>
      </c>
      <c r="M124" t="n">
        <v>0</v>
      </c>
      <c r="N124" t="n">
        <v>0</v>
      </c>
      <c r="O124" t="n">
        <v>0</v>
      </c>
      <c r="P124" t="n">
        <v>0</v>
      </c>
      <c r="Q124" t="n">
        <v>2</v>
      </c>
      <c r="R124" s="2" t="inlineStr">
        <is>
          <t>Guldlockmossa
Platt fjädermossa</t>
        </is>
      </c>
      <c r="S124">
        <f>HYPERLINK("https://klasma.github.io/Logging_0188/artfynd/A 24025-2024 artfynd.xlsx", "A 24025-2024")</f>
        <v/>
      </c>
      <c r="T124">
        <f>HYPERLINK("https://klasma.github.io/Logging_0188/kartor/A 24025-2024 karta.png", "A 24025-2024")</f>
        <v/>
      </c>
      <c r="V124">
        <f>HYPERLINK("https://klasma.github.io/Logging_0188/klagomål/A 24025-2024 FSC-klagomål.docx", "A 24025-2024")</f>
        <v/>
      </c>
      <c r="W124">
        <f>HYPERLINK("https://klasma.github.io/Logging_0188/klagomålsmail/A 24025-2024 FSC-klagomål mail.docx", "A 24025-2024")</f>
        <v/>
      </c>
      <c r="X124">
        <f>HYPERLINK("https://klasma.github.io/Logging_0188/tillsyn/A 24025-2024 tillsynsbegäran.docx", "A 24025-2024")</f>
        <v/>
      </c>
      <c r="Y124">
        <f>HYPERLINK("https://klasma.github.io/Logging_0188/tillsynsmail/A 24025-2024 tillsynsbegäran mail.docx", "A 24025-2024")</f>
        <v/>
      </c>
    </row>
    <row r="125" ht="15" customHeight="1">
      <c r="A125" t="inlineStr">
        <is>
          <t>A 50326-2024</t>
        </is>
      </c>
      <c r="B125" s="1" t="n">
        <v>45600</v>
      </c>
      <c r="C125" s="1" t="n">
        <v>45729</v>
      </c>
      <c r="D125" t="inlineStr">
        <is>
          <t>STOCKHOLMS LÄN</t>
        </is>
      </c>
      <c r="E125" t="inlineStr">
        <is>
          <t>NORRTÄLJE</t>
        </is>
      </c>
      <c r="G125" t="n">
        <v>23.9</v>
      </c>
      <c r="H125" t="n">
        <v>1</v>
      </c>
      <c r="I125" t="n">
        <v>1</v>
      </c>
      <c r="J125" t="n">
        <v>1</v>
      </c>
      <c r="K125" t="n">
        <v>0</v>
      </c>
      <c r="L125" t="n">
        <v>0</v>
      </c>
      <c r="M125" t="n">
        <v>0</v>
      </c>
      <c r="N125" t="n">
        <v>0</v>
      </c>
      <c r="O125" t="n">
        <v>1</v>
      </c>
      <c r="P125" t="n">
        <v>0</v>
      </c>
      <c r="Q125" t="n">
        <v>2</v>
      </c>
      <c r="R125" s="2" t="inlineStr">
        <is>
          <t>Sommarfibbla
Nästrot</t>
        </is>
      </c>
      <c r="S125">
        <f>HYPERLINK("https://klasma.github.io/Logging_0188/artfynd/A 50326-2024 artfynd.xlsx", "A 50326-2024")</f>
        <v/>
      </c>
      <c r="T125">
        <f>HYPERLINK("https://klasma.github.io/Logging_0188/kartor/A 50326-2024 karta.png", "A 50326-2024")</f>
        <v/>
      </c>
      <c r="V125">
        <f>HYPERLINK("https://klasma.github.io/Logging_0188/klagomål/A 50326-2024 FSC-klagomål.docx", "A 50326-2024")</f>
        <v/>
      </c>
      <c r="W125">
        <f>HYPERLINK("https://klasma.github.io/Logging_0188/klagomålsmail/A 50326-2024 FSC-klagomål mail.docx", "A 50326-2024")</f>
        <v/>
      </c>
      <c r="X125">
        <f>HYPERLINK("https://klasma.github.io/Logging_0188/tillsyn/A 50326-2024 tillsynsbegäran.docx", "A 50326-2024")</f>
        <v/>
      </c>
      <c r="Y125">
        <f>HYPERLINK("https://klasma.github.io/Logging_0188/tillsynsmail/A 50326-2024 tillsynsbegäran mail.docx", "A 50326-2024")</f>
        <v/>
      </c>
    </row>
    <row r="126" ht="15" customHeight="1">
      <c r="A126" t="inlineStr">
        <is>
          <t>A 52360-2024</t>
        </is>
      </c>
      <c r="B126" s="1" t="n">
        <v>45609</v>
      </c>
      <c r="C126" s="1" t="n">
        <v>45729</v>
      </c>
      <c r="D126" t="inlineStr">
        <is>
          <t>STOCKHOLMS LÄN</t>
        </is>
      </c>
      <c r="E126" t="inlineStr">
        <is>
          <t>NORRTÄLJE</t>
        </is>
      </c>
      <c r="G126" t="n">
        <v>2.2</v>
      </c>
      <c r="H126" t="n">
        <v>1</v>
      </c>
      <c r="I126" t="n">
        <v>1</v>
      </c>
      <c r="J126" t="n">
        <v>0</v>
      </c>
      <c r="K126" t="n">
        <v>0</v>
      </c>
      <c r="L126" t="n">
        <v>0</v>
      </c>
      <c r="M126" t="n">
        <v>0</v>
      </c>
      <c r="N126" t="n">
        <v>0</v>
      </c>
      <c r="O126" t="n">
        <v>0</v>
      </c>
      <c r="P126" t="n">
        <v>0</v>
      </c>
      <c r="Q126" t="n">
        <v>2</v>
      </c>
      <c r="R126" s="2" t="inlineStr">
        <is>
          <t>Brandticka
Blåsippa</t>
        </is>
      </c>
      <c r="S126">
        <f>HYPERLINK("https://klasma.github.io/Logging_0188/artfynd/A 52360-2024 artfynd.xlsx", "A 52360-2024")</f>
        <v/>
      </c>
      <c r="T126">
        <f>HYPERLINK("https://klasma.github.io/Logging_0188/kartor/A 52360-2024 karta.png", "A 52360-2024")</f>
        <v/>
      </c>
      <c r="V126">
        <f>HYPERLINK("https://klasma.github.io/Logging_0188/klagomål/A 52360-2024 FSC-klagomål.docx", "A 52360-2024")</f>
        <v/>
      </c>
      <c r="W126">
        <f>HYPERLINK("https://klasma.github.io/Logging_0188/klagomålsmail/A 52360-2024 FSC-klagomål mail.docx", "A 52360-2024")</f>
        <v/>
      </c>
      <c r="X126">
        <f>HYPERLINK("https://klasma.github.io/Logging_0188/tillsyn/A 52360-2024 tillsynsbegäran.docx", "A 52360-2024")</f>
        <v/>
      </c>
      <c r="Y126">
        <f>HYPERLINK("https://klasma.github.io/Logging_0188/tillsynsmail/A 52360-2024 tillsynsbegäran mail.docx", "A 52360-2024")</f>
        <v/>
      </c>
    </row>
    <row r="127" ht="15" customHeight="1">
      <c r="A127" t="inlineStr">
        <is>
          <t>A 11031-2025</t>
        </is>
      </c>
      <c r="B127" s="1" t="n">
        <v>45723</v>
      </c>
      <c r="C127" s="1" t="n">
        <v>45729</v>
      </c>
      <c r="D127" t="inlineStr">
        <is>
          <t>STOCKHOLMS LÄN</t>
        </is>
      </c>
      <c r="E127" t="inlineStr">
        <is>
          <t>NORRTÄLJE</t>
        </is>
      </c>
      <c r="F127" t="inlineStr">
        <is>
          <t>Övriga Aktiebolag</t>
        </is>
      </c>
      <c r="G127" t="n">
        <v>13.2</v>
      </c>
      <c r="H127" t="n">
        <v>1</v>
      </c>
      <c r="I127" t="n">
        <v>0</v>
      </c>
      <c r="J127" t="n">
        <v>2</v>
      </c>
      <c r="K127" t="n">
        <v>0</v>
      </c>
      <c r="L127" t="n">
        <v>0</v>
      </c>
      <c r="M127" t="n">
        <v>0</v>
      </c>
      <c r="N127" t="n">
        <v>0</v>
      </c>
      <c r="O127" t="n">
        <v>2</v>
      </c>
      <c r="P127" t="n">
        <v>0</v>
      </c>
      <c r="Q127" t="n">
        <v>2</v>
      </c>
      <c r="R127" s="2" t="inlineStr">
        <is>
          <t>Järpe
Ullticka</t>
        </is>
      </c>
      <c r="S127">
        <f>HYPERLINK("https://klasma.github.io/Logging_0188/artfynd/A 11031-2025 artfynd.xlsx", "A 11031-2025")</f>
        <v/>
      </c>
      <c r="T127">
        <f>HYPERLINK("https://klasma.github.io/Logging_0188/kartor/A 11031-2025 karta.png", "A 11031-2025")</f>
        <v/>
      </c>
      <c r="V127">
        <f>HYPERLINK("https://klasma.github.io/Logging_0188/klagomål/A 11031-2025 FSC-klagomål.docx", "A 11031-2025")</f>
        <v/>
      </c>
      <c r="W127">
        <f>HYPERLINK("https://klasma.github.io/Logging_0188/klagomålsmail/A 11031-2025 FSC-klagomål mail.docx", "A 11031-2025")</f>
        <v/>
      </c>
      <c r="X127">
        <f>HYPERLINK("https://klasma.github.io/Logging_0188/tillsyn/A 11031-2025 tillsynsbegäran.docx", "A 11031-2025")</f>
        <v/>
      </c>
      <c r="Y127">
        <f>HYPERLINK("https://klasma.github.io/Logging_0188/tillsynsmail/A 11031-2025 tillsynsbegäran mail.docx", "A 11031-2025")</f>
        <v/>
      </c>
      <c r="Z127">
        <f>HYPERLINK("https://klasma.github.io/Logging_0188/fåglar/A 11031-2025 prioriterade fågelarter.docx", "A 11031-2025")</f>
        <v/>
      </c>
    </row>
    <row r="128" ht="15" customHeight="1">
      <c r="A128" t="inlineStr">
        <is>
          <t>A 20740-2019</t>
        </is>
      </c>
      <c r="B128" s="1" t="n">
        <v>43573</v>
      </c>
      <c r="C128" s="1" t="n">
        <v>45729</v>
      </c>
      <c r="D128" t="inlineStr">
        <is>
          <t>STOCKHOLMS LÄN</t>
        </is>
      </c>
      <c r="E128" t="inlineStr">
        <is>
          <t>NORRTÄLJE</t>
        </is>
      </c>
      <c r="G128" t="n">
        <v>1.6</v>
      </c>
      <c r="H128" t="n">
        <v>0</v>
      </c>
      <c r="I128" t="n">
        <v>0</v>
      </c>
      <c r="J128" t="n">
        <v>1</v>
      </c>
      <c r="K128" t="n">
        <v>0</v>
      </c>
      <c r="L128" t="n">
        <v>0</v>
      </c>
      <c r="M128" t="n">
        <v>0</v>
      </c>
      <c r="N128" t="n">
        <v>0</v>
      </c>
      <c r="O128" t="n">
        <v>1</v>
      </c>
      <c r="P128" t="n">
        <v>0</v>
      </c>
      <c r="Q128" t="n">
        <v>1</v>
      </c>
      <c r="R128" s="2" t="inlineStr">
        <is>
          <t>Slåtterfibbla</t>
        </is>
      </c>
      <c r="S128">
        <f>HYPERLINK("https://klasma.github.io/Logging_0188/artfynd/A 20740-2019 artfynd.xlsx", "A 20740-2019")</f>
        <v/>
      </c>
      <c r="T128">
        <f>HYPERLINK("https://klasma.github.io/Logging_0188/kartor/A 20740-2019 karta.png", "A 20740-2019")</f>
        <v/>
      </c>
      <c r="V128">
        <f>HYPERLINK("https://klasma.github.io/Logging_0188/klagomål/A 20740-2019 FSC-klagomål.docx", "A 20740-2019")</f>
        <v/>
      </c>
      <c r="W128">
        <f>HYPERLINK("https://klasma.github.io/Logging_0188/klagomålsmail/A 20740-2019 FSC-klagomål mail.docx", "A 20740-2019")</f>
        <v/>
      </c>
      <c r="X128">
        <f>HYPERLINK("https://klasma.github.io/Logging_0188/tillsyn/A 20740-2019 tillsynsbegäran.docx", "A 20740-2019")</f>
        <v/>
      </c>
      <c r="Y128">
        <f>HYPERLINK("https://klasma.github.io/Logging_0188/tillsynsmail/A 20740-2019 tillsynsbegäran mail.docx", "A 20740-2019")</f>
        <v/>
      </c>
    </row>
    <row r="129" ht="15" customHeight="1">
      <c r="A129" t="inlineStr">
        <is>
          <t>A 26275-2019</t>
        </is>
      </c>
      <c r="B129" s="1" t="n">
        <v>43611</v>
      </c>
      <c r="C129" s="1" t="n">
        <v>45729</v>
      </c>
      <c r="D129" t="inlineStr">
        <is>
          <t>STOCKHOLMS LÄN</t>
        </is>
      </c>
      <c r="E129" t="inlineStr">
        <is>
          <t>NORRTÄLJE</t>
        </is>
      </c>
      <c r="G129" t="n">
        <v>0.5</v>
      </c>
      <c r="H129" t="n">
        <v>0</v>
      </c>
      <c r="I129" t="n">
        <v>1</v>
      </c>
      <c r="J129" t="n">
        <v>0</v>
      </c>
      <c r="K129" t="n">
        <v>0</v>
      </c>
      <c r="L129" t="n">
        <v>0</v>
      </c>
      <c r="M129" t="n">
        <v>0</v>
      </c>
      <c r="N129" t="n">
        <v>0</v>
      </c>
      <c r="O129" t="n">
        <v>0</v>
      </c>
      <c r="P129" t="n">
        <v>0</v>
      </c>
      <c r="Q129" t="n">
        <v>1</v>
      </c>
      <c r="R129" s="2" t="inlineStr">
        <is>
          <t>Blåmossa</t>
        </is>
      </c>
      <c r="S129">
        <f>HYPERLINK("https://klasma.github.io/Logging_0188/artfynd/A 26275-2019 artfynd.xlsx", "A 26275-2019")</f>
        <v/>
      </c>
      <c r="T129">
        <f>HYPERLINK("https://klasma.github.io/Logging_0188/kartor/A 26275-2019 karta.png", "A 26275-2019")</f>
        <v/>
      </c>
      <c r="V129">
        <f>HYPERLINK("https://klasma.github.io/Logging_0188/klagomål/A 26275-2019 FSC-klagomål.docx", "A 26275-2019")</f>
        <v/>
      </c>
      <c r="W129">
        <f>HYPERLINK("https://klasma.github.io/Logging_0188/klagomålsmail/A 26275-2019 FSC-klagomål mail.docx", "A 26275-2019")</f>
        <v/>
      </c>
      <c r="X129">
        <f>HYPERLINK("https://klasma.github.io/Logging_0188/tillsyn/A 26275-2019 tillsynsbegäran.docx", "A 26275-2019")</f>
        <v/>
      </c>
      <c r="Y129">
        <f>HYPERLINK("https://klasma.github.io/Logging_0188/tillsynsmail/A 26275-2019 tillsynsbegäran mail.docx", "A 26275-2019")</f>
        <v/>
      </c>
    </row>
    <row r="130" ht="15" customHeight="1">
      <c r="A130" t="inlineStr">
        <is>
          <t>A 30011-2019</t>
        </is>
      </c>
      <c r="B130" s="1" t="n">
        <v>43633</v>
      </c>
      <c r="C130" s="1" t="n">
        <v>45729</v>
      </c>
      <c r="D130" t="inlineStr">
        <is>
          <t>STOCKHOLMS LÄN</t>
        </is>
      </c>
      <c r="E130" t="inlineStr">
        <is>
          <t>NORRTÄLJE</t>
        </is>
      </c>
      <c r="G130" t="n">
        <v>2.6</v>
      </c>
      <c r="H130" t="n">
        <v>0</v>
      </c>
      <c r="I130" t="n">
        <v>1</v>
      </c>
      <c r="J130" t="n">
        <v>0</v>
      </c>
      <c r="K130" t="n">
        <v>0</v>
      </c>
      <c r="L130" t="n">
        <v>0</v>
      </c>
      <c r="M130" t="n">
        <v>0</v>
      </c>
      <c r="N130" t="n">
        <v>0</v>
      </c>
      <c r="O130" t="n">
        <v>0</v>
      </c>
      <c r="P130" t="n">
        <v>0</v>
      </c>
      <c r="Q130" t="n">
        <v>1</v>
      </c>
      <c r="R130" s="2" t="inlineStr">
        <is>
          <t>Tibast</t>
        </is>
      </c>
      <c r="S130">
        <f>HYPERLINK("https://klasma.github.io/Logging_0188/artfynd/A 30011-2019 artfynd.xlsx", "A 30011-2019")</f>
        <v/>
      </c>
      <c r="T130">
        <f>HYPERLINK("https://klasma.github.io/Logging_0188/kartor/A 30011-2019 karta.png", "A 30011-2019")</f>
        <v/>
      </c>
      <c r="V130">
        <f>HYPERLINK("https://klasma.github.io/Logging_0188/klagomål/A 30011-2019 FSC-klagomål.docx", "A 30011-2019")</f>
        <v/>
      </c>
      <c r="W130">
        <f>HYPERLINK("https://klasma.github.io/Logging_0188/klagomålsmail/A 30011-2019 FSC-klagomål mail.docx", "A 30011-2019")</f>
        <v/>
      </c>
      <c r="X130">
        <f>HYPERLINK("https://klasma.github.io/Logging_0188/tillsyn/A 30011-2019 tillsynsbegäran.docx", "A 30011-2019")</f>
        <v/>
      </c>
      <c r="Y130">
        <f>HYPERLINK("https://klasma.github.io/Logging_0188/tillsynsmail/A 30011-2019 tillsynsbegäran mail.docx", "A 30011-2019")</f>
        <v/>
      </c>
    </row>
    <row r="131" ht="15" customHeight="1">
      <c r="A131" t="inlineStr">
        <is>
          <t>A 38137-2019</t>
        </is>
      </c>
      <c r="B131" s="1" t="n">
        <v>43684</v>
      </c>
      <c r="C131" s="1" t="n">
        <v>45729</v>
      </c>
      <c r="D131" t="inlineStr">
        <is>
          <t>STOCKHOLMS LÄN</t>
        </is>
      </c>
      <c r="E131" t="inlineStr">
        <is>
          <t>NORRTÄLJE</t>
        </is>
      </c>
      <c r="G131" t="n">
        <v>12.9</v>
      </c>
      <c r="H131" t="n">
        <v>0</v>
      </c>
      <c r="I131" t="n">
        <v>0</v>
      </c>
      <c r="J131" t="n">
        <v>1</v>
      </c>
      <c r="K131" t="n">
        <v>0</v>
      </c>
      <c r="L131" t="n">
        <v>0</v>
      </c>
      <c r="M131" t="n">
        <v>0</v>
      </c>
      <c r="N131" t="n">
        <v>0</v>
      </c>
      <c r="O131" t="n">
        <v>1</v>
      </c>
      <c r="P131" t="n">
        <v>0</v>
      </c>
      <c r="Q131" t="n">
        <v>1</v>
      </c>
      <c r="R131" s="2" t="inlineStr">
        <is>
          <t>Rutskinn</t>
        </is>
      </c>
      <c r="S131">
        <f>HYPERLINK("https://klasma.github.io/Logging_0188/artfynd/A 38137-2019 artfynd.xlsx", "A 38137-2019")</f>
        <v/>
      </c>
      <c r="T131">
        <f>HYPERLINK("https://klasma.github.io/Logging_0188/kartor/A 38137-2019 karta.png", "A 38137-2019")</f>
        <v/>
      </c>
      <c r="V131">
        <f>HYPERLINK("https://klasma.github.io/Logging_0188/klagomål/A 38137-2019 FSC-klagomål.docx", "A 38137-2019")</f>
        <v/>
      </c>
      <c r="W131">
        <f>HYPERLINK("https://klasma.github.io/Logging_0188/klagomålsmail/A 38137-2019 FSC-klagomål mail.docx", "A 38137-2019")</f>
        <v/>
      </c>
      <c r="X131">
        <f>HYPERLINK("https://klasma.github.io/Logging_0188/tillsyn/A 38137-2019 tillsynsbegäran.docx", "A 38137-2019")</f>
        <v/>
      </c>
      <c r="Y131">
        <f>HYPERLINK("https://klasma.github.io/Logging_0188/tillsynsmail/A 38137-2019 tillsynsbegäran mail.docx", "A 38137-2019")</f>
        <v/>
      </c>
    </row>
    <row r="132" ht="15" customHeight="1">
      <c r="A132" t="inlineStr">
        <is>
          <t>A 62848-2019</t>
        </is>
      </c>
      <c r="B132" s="1" t="n">
        <v>43790</v>
      </c>
      <c r="C132" s="1" t="n">
        <v>45729</v>
      </c>
      <c r="D132" t="inlineStr">
        <is>
          <t>STOCKHOLMS LÄN</t>
        </is>
      </c>
      <c r="E132" t="inlineStr">
        <is>
          <t>NORRTÄLJE</t>
        </is>
      </c>
      <c r="F132" t="inlineStr">
        <is>
          <t>Holmen skog AB</t>
        </is>
      </c>
      <c r="G132" t="n">
        <v>6.6</v>
      </c>
      <c r="H132" t="n">
        <v>1</v>
      </c>
      <c r="I132" t="n">
        <v>0</v>
      </c>
      <c r="J132" t="n">
        <v>0</v>
      </c>
      <c r="K132" t="n">
        <v>0</v>
      </c>
      <c r="L132" t="n">
        <v>1</v>
      </c>
      <c r="M132" t="n">
        <v>0</v>
      </c>
      <c r="N132" t="n">
        <v>0</v>
      </c>
      <c r="O132" t="n">
        <v>1</v>
      </c>
      <c r="P132" t="n">
        <v>1</v>
      </c>
      <c r="Q132" t="n">
        <v>1</v>
      </c>
      <c r="R132" s="2" t="inlineStr">
        <is>
          <t>Asknätfjäril</t>
        </is>
      </c>
      <c r="S132">
        <f>HYPERLINK("https://klasma.github.io/Logging_0188/artfynd/A 62848-2019 artfynd.xlsx", "A 62848-2019")</f>
        <v/>
      </c>
      <c r="T132">
        <f>HYPERLINK("https://klasma.github.io/Logging_0188/kartor/A 62848-2019 karta.png", "A 62848-2019")</f>
        <v/>
      </c>
      <c r="V132">
        <f>HYPERLINK("https://klasma.github.io/Logging_0188/klagomål/A 62848-2019 FSC-klagomål.docx", "A 62848-2019")</f>
        <v/>
      </c>
      <c r="W132">
        <f>HYPERLINK("https://klasma.github.io/Logging_0188/klagomålsmail/A 62848-2019 FSC-klagomål mail.docx", "A 62848-2019")</f>
        <v/>
      </c>
      <c r="X132">
        <f>HYPERLINK("https://klasma.github.io/Logging_0188/tillsyn/A 62848-2019 tillsynsbegäran.docx", "A 62848-2019")</f>
        <v/>
      </c>
      <c r="Y132">
        <f>HYPERLINK("https://klasma.github.io/Logging_0188/tillsynsmail/A 62848-2019 tillsynsbegäran mail.docx", "A 62848-2019")</f>
        <v/>
      </c>
    </row>
    <row r="133" ht="15" customHeight="1">
      <c r="A133" t="inlineStr">
        <is>
          <t>A 64849-2019</t>
        </is>
      </c>
      <c r="B133" s="1" t="n">
        <v>43801</v>
      </c>
      <c r="C133" s="1" t="n">
        <v>45729</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2808-2020</t>
        </is>
      </c>
      <c r="B134" s="1" t="n">
        <v>43850</v>
      </c>
      <c r="C134" s="1" t="n">
        <v>45729</v>
      </c>
      <c r="D134" t="inlineStr">
        <is>
          <t>STOCKHOLMS LÄN</t>
        </is>
      </c>
      <c r="E134" t="inlineStr">
        <is>
          <t>NORRTÄLJE</t>
        </is>
      </c>
      <c r="G134" t="n">
        <v>1</v>
      </c>
      <c r="H134" t="n">
        <v>1</v>
      </c>
      <c r="I134" t="n">
        <v>0</v>
      </c>
      <c r="J134" t="n">
        <v>0</v>
      </c>
      <c r="K134" t="n">
        <v>1</v>
      </c>
      <c r="L134" t="n">
        <v>0</v>
      </c>
      <c r="M134" t="n">
        <v>0</v>
      </c>
      <c r="N134" t="n">
        <v>0</v>
      </c>
      <c r="O134" t="n">
        <v>1</v>
      </c>
      <c r="P134" t="n">
        <v>1</v>
      </c>
      <c r="Q134" t="n">
        <v>1</v>
      </c>
      <c r="R134" s="2" t="inlineStr">
        <is>
          <t>Knärot</t>
        </is>
      </c>
      <c r="S134">
        <f>HYPERLINK("https://klasma.github.io/Logging_0188/artfynd/A 2808-2020 artfynd.xlsx", "A 2808-2020")</f>
        <v/>
      </c>
      <c r="T134">
        <f>HYPERLINK("https://klasma.github.io/Logging_0188/kartor/A 2808-2020 karta.png", "A 2808-2020")</f>
        <v/>
      </c>
      <c r="U134">
        <f>HYPERLINK("https://klasma.github.io/Logging_0188/knärot/A 2808-2020 karta knärot.png", "A 2808-2020")</f>
        <v/>
      </c>
      <c r="V134">
        <f>HYPERLINK("https://klasma.github.io/Logging_0188/klagomål/A 2808-2020 FSC-klagomål.docx", "A 2808-2020")</f>
        <v/>
      </c>
      <c r="W134">
        <f>HYPERLINK("https://klasma.github.io/Logging_0188/klagomålsmail/A 2808-2020 FSC-klagomål mail.docx", "A 2808-2020")</f>
        <v/>
      </c>
      <c r="X134">
        <f>HYPERLINK("https://klasma.github.io/Logging_0188/tillsyn/A 2808-2020 tillsynsbegäran.docx", "A 2808-2020")</f>
        <v/>
      </c>
      <c r="Y134">
        <f>HYPERLINK("https://klasma.github.io/Logging_0188/tillsynsmail/A 2808-2020 tillsynsbegäran mail.docx", "A 2808-2020")</f>
        <v/>
      </c>
    </row>
    <row r="135" ht="15" customHeight="1">
      <c r="A135" t="inlineStr">
        <is>
          <t>A 2796-2020</t>
        </is>
      </c>
      <c r="B135" s="1" t="n">
        <v>43850</v>
      </c>
      <c r="C135" s="1" t="n">
        <v>45729</v>
      </c>
      <c r="D135" t="inlineStr">
        <is>
          <t>STOCKHOLMS LÄN</t>
        </is>
      </c>
      <c r="E135" t="inlineStr">
        <is>
          <t>NORRTÄLJE</t>
        </is>
      </c>
      <c r="G135" t="n">
        <v>5.6</v>
      </c>
      <c r="H135" t="n">
        <v>1</v>
      </c>
      <c r="I135" t="n">
        <v>1</v>
      </c>
      <c r="J135" t="n">
        <v>0</v>
      </c>
      <c r="K135" t="n">
        <v>0</v>
      </c>
      <c r="L135" t="n">
        <v>0</v>
      </c>
      <c r="M135" t="n">
        <v>0</v>
      </c>
      <c r="N135" t="n">
        <v>0</v>
      </c>
      <c r="O135" t="n">
        <v>0</v>
      </c>
      <c r="P135" t="n">
        <v>0</v>
      </c>
      <c r="Q135" t="n">
        <v>1</v>
      </c>
      <c r="R135" s="2" t="inlineStr">
        <is>
          <t>Spindelblomster</t>
        </is>
      </c>
      <c r="S135">
        <f>HYPERLINK("https://klasma.github.io/Logging_0188/artfynd/A 2796-2020 artfynd.xlsx", "A 2796-2020")</f>
        <v/>
      </c>
      <c r="T135">
        <f>HYPERLINK("https://klasma.github.io/Logging_0188/kartor/A 2796-2020 karta.png", "A 2796-2020")</f>
        <v/>
      </c>
      <c r="V135">
        <f>HYPERLINK("https://klasma.github.io/Logging_0188/klagomål/A 2796-2020 FSC-klagomål.docx", "A 2796-2020")</f>
        <v/>
      </c>
      <c r="W135">
        <f>HYPERLINK("https://klasma.github.io/Logging_0188/klagomålsmail/A 2796-2020 FSC-klagomål mail.docx", "A 2796-2020")</f>
        <v/>
      </c>
      <c r="X135">
        <f>HYPERLINK("https://klasma.github.io/Logging_0188/tillsyn/A 2796-2020 tillsynsbegäran.docx", "A 2796-2020")</f>
        <v/>
      </c>
      <c r="Y135">
        <f>HYPERLINK("https://klasma.github.io/Logging_0188/tillsynsmail/A 2796-2020 tillsynsbegäran mail.docx", "A 2796-2020")</f>
        <v/>
      </c>
    </row>
    <row r="136" ht="15" customHeight="1">
      <c r="A136" t="inlineStr">
        <is>
          <t>A 9051-2020</t>
        </is>
      </c>
      <c r="B136" s="1" t="n">
        <v>43879</v>
      </c>
      <c r="C136" s="1" t="n">
        <v>45729</v>
      </c>
      <c r="D136" t="inlineStr">
        <is>
          <t>STOCKHOLMS LÄN</t>
        </is>
      </c>
      <c r="E136" t="inlineStr">
        <is>
          <t>NORRTÄLJE</t>
        </is>
      </c>
      <c r="G136" t="n">
        <v>12.5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9051-2020 artfynd.xlsx", "A 9051-2020")</f>
        <v/>
      </c>
      <c r="T136">
        <f>HYPERLINK("https://klasma.github.io/Logging_0188/kartor/A 9051-2020 karta.png", "A 9051-2020")</f>
        <v/>
      </c>
      <c r="V136">
        <f>HYPERLINK("https://klasma.github.io/Logging_0188/klagomål/A 9051-2020 FSC-klagomål.docx", "A 9051-2020")</f>
        <v/>
      </c>
      <c r="W136">
        <f>HYPERLINK("https://klasma.github.io/Logging_0188/klagomålsmail/A 9051-2020 FSC-klagomål mail.docx", "A 9051-2020")</f>
        <v/>
      </c>
      <c r="X136">
        <f>HYPERLINK("https://klasma.github.io/Logging_0188/tillsyn/A 9051-2020 tillsynsbegäran.docx", "A 9051-2020")</f>
        <v/>
      </c>
      <c r="Y136">
        <f>HYPERLINK("https://klasma.github.io/Logging_0188/tillsynsmail/A 9051-2020 tillsynsbegäran mail.docx", "A 9051-2020")</f>
        <v/>
      </c>
    </row>
    <row r="137" ht="15" customHeight="1">
      <c r="A137" t="inlineStr">
        <is>
          <t>A 12843-2020</t>
        </is>
      </c>
      <c r="B137" s="1" t="n">
        <v>43899</v>
      </c>
      <c r="C137" s="1" t="n">
        <v>45729</v>
      </c>
      <c r="D137" t="inlineStr">
        <is>
          <t>STOCKHOLMS LÄN</t>
        </is>
      </c>
      <c r="E137" t="inlineStr">
        <is>
          <t>NORRTÄLJE</t>
        </is>
      </c>
      <c r="G137" t="n">
        <v>7.5</v>
      </c>
      <c r="H137" t="n">
        <v>1</v>
      </c>
      <c r="I137" t="n">
        <v>0</v>
      </c>
      <c r="J137" t="n">
        <v>1</v>
      </c>
      <c r="K137" t="n">
        <v>0</v>
      </c>
      <c r="L137" t="n">
        <v>0</v>
      </c>
      <c r="M137" t="n">
        <v>0</v>
      </c>
      <c r="N137" t="n">
        <v>0</v>
      </c>
      <c r="O137" t="n">
        <v>1</v>
      </c>
      <c r="P137" t="n">
        <v>0</v>
      </c>
      <c r="Q137" t="n">
        <v>1</v>
      </c>
      <c r="R137" s="2" t="inlineStr">
        <is>
          <t>Talltita</t>
        </is>
      </c>
      <c r="S137">
        <f>HYPERLINK("https://klasma.github.io/Logging_0188/artfynd/A 12843-2020 artfynd.xlsx", "A 12843-2020")</f>
        <v/>
      </c>
      <c r="T137">
        <f>HYPERLINK("https://klasma.github.io/Logging_0188/kartor/A 12843-2020 karta.png", "A 12843-2020")</f>
        <v/>
      </c>
      <c r="V137">
        <f>HYPERLINK("https://klasma.github.io/Logging_0188/klagomål/A 12843-2020 FSC-klagomål.docx", "A 12843-2020")</f>
        <v/>
      </c>
      <c r="W137">
        <f>HYPERLINK("https://klasma.github.io/Logging_0188/klagomålsmail/A 12843-2020 FSC-klagomål mail.docx", "A 12843-2020")</f>
        <v/>
      </c>
      <c r="X137">
        <f>HYPERLINK("https://klasma.github.io/Logging_0188/tillsyn/A 12843-2020 tillsynsbegäran.docx", "A 12843-2020")</f>
        <v/>
      </c>
      <c r="Y137">
        <f>HYPERLINK("https://klasma.github.io/Logging_0188/tillsynsmail/A 12843-2020 tillsynsbegäran mail.docx", "A 12843-2020")</f>
        <v/>
      </c>
      <c r="Z137">
        <f>HYPERLINK("https://klasma.github.io/Logging_0188/fåglar/A 12843-2020 prioriterade fågelarter.docx", "A 12843-2020")</f>
        <v/>
      </c>
    </row>
    <row r="138" ht="15" customHeight="1">
      <c r="A138" t="inlineStr">
        <is>
          <t>A 28380-2020</t>
        </is>
      </c>
      <c r="B138" s="1" t="n">
        <v>43998</v>
      </c>
      <c r="C138" s="1" t="n">
        <v>45729</v>
      </c>
      <c r="D138" t="inlineStr">
        <is>
          <t>STOCKHOLMS LÄN</t>
        </is>
      </c>
      <c r="E138" t="inlineStr">
        <is>
          <t>NORRTÄLJE</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28380-2020 artfynd.xlsx", "A 28380-2020")</f>
        <v/>
      </c>
      <c r="T138">
        <f>HYPERLINK("https://klasma.github.io/Logging_0188/kartor/A 28380-2020 karta.png", "A 28380-2020")</f>
        <v/>
      </c>
      <c r="V138">
        <f>HYPERLINK("https://klasma.github.io/Logging_0188/klagomål/A 28380-2020 FSC-klagomål.docx", "A 28380-2020")</f>
        <v/>
      </c>
      <c r="W138">
        <f>HYPERLINK("https://klasma.github.io/Logging_0188/klagomålsmail/A 28380-2020 FSC-klagomål mail.docx", "A 28380-2020")</f>
        <v/>
      </c>
      <c r="X138">
        <f>HYPERLINK("https://klasma.github.io/Logging_0188/tillsyn/A 28380-2020 tillsynsbegäran.docx", "A 28380-2020")</f>
        <v/>
      </c>
      <c r="Y138">
        <f>HYPERLINK("https://klasma.github.io/Logging_0188/tillsynsmail/A 28380-2020 tillsynsbegäran mail.docx", "A 28380-2020")</f>
        <v/>
      </c>
    </row>
    <row r="139" ht="15" customHeight="1">
      <c r="A139" t="inlineStr">
        <is>
          <t>A 48288-2020</t>
        </is>
      </c>
      <c r="B139" s="1" t="n">
        <v>44102</v>
      </c>
      <c r="C139" s="1" t="n">
        <v>45729</v>
      </c>
      <c r="D139" t="inlineStr">
        <is>
          <t>STOCKHOLMS LÄN</t>
        </is>
      </c>
      <c r="E139" t="inlineStr">
        <is>
          <t>NORRTÄLJE</t>
        </is>
      </c>
      <c r="F139" t="inlineStr">
        <is>
          <t>Holmen skog AB</t>
        </is>
      </c>
      <c r="G139" t="n">
        <v>2.9</v>
      </c>
      <c r="H139" t="n">
        <v>1</v>
      </c>
      <c r="I139" t="n">
        <v>0</v>
      </c>
      <c r="J139" t="n">
        <v>0</v>
      </c>
      <c r="K139" t="n">
        <v>0</v>
      </c>
      <c r="L139" t="n">
        <v>1</v>
      </c>
      <c r="M139" t="n">
        <v>0</v>
      </c>
      <c r="N139" t="n">
        <v>0</v>
      </c>
      <c r="O139" t="n">
        <v>1</v>
      </c>
      <c r="P139" t="n">
        <v>1</v>
      </c>
      <c r="Q139" t="n">
        <v>1</v>
      </c>
      <c r="R139" s="2" t="inlineStr">
        <is>
          <t>Asknätfjäril</t>
        </is>
      </c>
      <c r="S139">
        <f>HYPERLINK("https://klasma.github.io/Logging_0188/artfynd/A 48288-2020 artfynd.xlsx", "A 48288-2020")</f>
        <v/>
      </c>
      <c r="T139">
        <f>HYPERLINK("https://klasma.github.io/Logging_0188/kartor/A 48288-2020 karta.png", "A 48288-2020")</f>
        <v/>
      </c>
      <c r="V139">
        <f>HYPERLINK("https://klasma.github.io/Logging_0188/klagomål/A 48288-2020 FSC-klagomål.docx", "A 48288-2020")</f>
        <v/>
      </c>
      <c r="W139">
        <f>HYPERLINK("https://klasma.github.io/Logging_0188/klagomålsmail/A 48288-2020 FSC-klagomål mail.docx", "A 48288-2020")</f>
        <v/>
      </c>
      <c r="X139">
        <f>HYPERLINK("https://klasma.github.io/Logging_0188/tillsyn/A 48288-2020 tillsynsbegäran.docx", "A 48288-2020")</f>
        <v/>
      </c>
      <c r="Y139">
        <f>HYPERLINK("https://klasma.github.io/Logging_0188/tillsynsmail/A 48288-2020 tillsynsbegäran mail.docx", "A 48288-2020")</f>
        <v/>
      </c>
    </row>
    <row r="140" ht="15" customHeight="1">
      <c r="A140" t="inlineStr">
        <is>
          <t>A 62846-2020</t>
        </is>
      </c>
      <c r="B140" s="1" t="n">
        <v>44161</v>
      </c>
      <c r="C140" s="1" t="n">
        <v>45729</v>
      </c>
      <c r="D140" t="inlineStr">
        <is>
          <t>STOCKHOLMS LÄN</t>
        </is>
      </c>
      <c r="E140" t="inlineStr">
        <is>
          <t>NORRTÄLJE</t>
        </is>
      </c>
      <c r="G140" t="n">
        <v>1.4</v>
      </c>
      <c r="H140" t="n">
        <v>1</v>
      </c>
      <c r="I140" t="n">
        <v>0</v>
      </c>
      <c r="J140" t="n">
        <v>0</v>
      </c>
      <c r="K140" t="n">
        <v>0</v>
      </c>
      <c r="L140" t="n">
        <v>0</v>
      </c>
      <c r="M140" t="n">
        <v>0</v>
      </c>
      <c r="N140" t="n">
        <v>0</v>
      </c>
      <c r="O140" t="n">
        <v>0</v>
      </c>
      <c r="P140" t="n">
        <v>0</v>
      </c>
      <c r="Q140" t="n">
        <v>1</v>
      </c>
      <c r="R140" s="2" t="inlineStr">
        <is>
          <t>Fläcknycklar</t>
        </is>
      </c>
      <c r="S140">
        <f>HYPERLINK("https://klasma.github.io/Logging_0188/artfynd/A 62846-2020 artfynd.xlsx", "A 62846-2020")</f>
        <v/>
      </c>
      <c r="T140">
        <f>HYPERLINK("https://klasma.github.io/Logging_0188/kartor/A 62846-2020 karta.png", "A 62846-2020")</f>
        <v/>
      </c>
      <c r="V140">
        <f>HYPERLINK("https://klasma.github.io/Logging_0188/klagomål/A 62846-2020 FSC-klagomål.docx", "A 62846-2020")</f>
        <v/>
      </c>
      <c r="W140">
        <f>HYPERLINK("https://klasma.github.io/Logging_0188/klagomålsmail/A 62846-2020 FSC-klagomål mail.docx", "A 62846-2020")</f>
        <v/>
      </c>
      <c r="X140">
        <f>HYPERLINK("https://klasma.github.io/Logging_0188/tillsyn/A 62846-2020 tillsynsbegäran.docx", "A 62846-2020")</f>
        <v/>
      </c>
      <c r="Y140">
        <f>HYPERLINK("https://klasma.github.io/Logging_0188/tillsynsmail/A 62846-2020 tillsynsbegäran mail.docx", "A 62846-2020")</f>
        <v/>
      </c>
    </row>
    <row r="141" ht="15" customHeight="1">
      <c r="A141" t="inlineStr">
        <is>
          <t>A 1162-2021</t>
        </is>
      </c>
      <c r="B141" s="1" t="n">
        <v>44207</v>
      </c>
      <c r="C141" s="1" t="n">
        <v>45729</v>
      </c>
      <c r="D141" t="inlineStr">
        <is>
          <t>STOCKHOLMS LÄN</t>
        </is>
      </c>
      <c r="E141" t="inlineStr">
        <is>
          <t>NORRTÄLJE</t>
        </is>
      </c>
      <c r="G141" t="n">
        <v>2.2</v>
      </c>
      <c r="H141" t="n">
        <v>1</v>
      </c>
      <c r="I141" t="n">
        <v>0</v>
      </c>
      <c r="J141" t="n">
        <v>0</v>
      </c>
      <c r="K141" t="n">
        <v>1</v>
      </c>
      <c r="L141" t="n">
        <v>0</v>
      </c>
      <c r="M141" t="n">
        <v>0</v>
      </c>
      <c r="N141" t="n">
        <v>0</v>
      </c>
      <c r="O141" t="n">
        <v>1</v>
      </c>
      <c r="P141" t="n">
        <v>1</v>
      </c>
      <c r="Q141" t="n">
        <v>1</v>
      </c>
      <c r="R141" s="2" t="inlineStr">
        <is>
          <t>Hällebräcka</t>
        </is>
      </c>
      <c r="S141">
        <f>HYPERLINK("https://klasma.github.io/Logging_0188/artfynd/A 1162-2021 artfynd.xlsx", "A 1162-2021")</f>
        <v/>
      </c>
      <c r="T141">
        <f>HYPERLINK("https://klasma.github.io/Logging_0188/kartor/A 1162-2021 karta.png", "A 1162-2021")</f>
        <v/>
      </c>
      <c r="V141">
        <f>HYPERLINK("https://klasma.github.io/Logging_0188/klagomål/A 1162-2021 FSC-klagomål.docx", "A 1162-2021")</f>
        <v/>
      </c>
      <c r="W141">
        <f>HYPERLINK("https://klasma.github.io/Logging_0188/klagomålsmail/A 1162-2021 FSC-klagomål mail.docx", "A 1162-2021")</f>
        <v/>
      </c>
      <c r="X141">
        <f>HYPERLINK("https://klasma.github.io/Logging_0188/tillsyn/A 1162-2021 tillsynsbegäran.docx", "A 1162-2021")</f>
        <v/>
      </c>
      <c r="Y141">
        <f>HYPERLINK("https://klasma.github.io/Logging_0188/tillsynsmail/A 1162-2021 tillsynsbegäran mail.docx", "A 1162-2021")</f>
        <v/>
      </c>
    </row>
    <row r="142" ht="15" customHeight="1">
      <c r="A142" t="inlineStr">
        <is>
          <t>A 30138-2021</t>
        </is>
      </c>
      <c r="B142" s="1" t="n">
        <v>44363</v>
      </c>
      <c r="C142" s="1" t="n">
        <v>45729</v>
      </c>
      <c r="D142" t="inlineStr">
        <is>
          <t>STOCKHOLMS LÄN</t>
        </is>
      </c>
      <c r="E142" t="inlineStr">
        <is>
          <t>NORRTÄLJE</t>
        </is>
      </c>
      <c r="G142" t="n">
        <v>4.5</v>
      </c>
      <c r="H142" t="n">
        <v>0</v>
      </c>
      <c r="I142" t="n">
        <v>1</v>
      </c>
      <c r="J142" t="n">
        <v>0</v>
      </c>
      <c r="K142" t="n">
        <v>0</v>
      </c>
      <c r="L142" t="n">
        <v>0</v>
      </c>
      <c r="M142" t="n">
        <v>0</v>
      </c>
      <c r="N142" t="n">
        <v>0</v>
      </c>
      <c r="O142" t="n">
        <v>0</v>
      </c>
      <c r="P142" t="n">
        <v>0</v>
      </c>
      <c r="Q142" t="n">
        <v>1</v>
      </c>
      <c r="R142" s="2" t="inlineStr">
        <is>
          <t>Vårärt</t>
        </is>
      </c>
      <c r="S142">
        <f>HYPERLINK("https://klasma.github.io/Logging_0188/artfynd/A 30138-2021 artfynd.xlsx", "A 30138-2021")</f>
        <v/>
      </c>
      <c r="T142">
        <f>HYPERLINK("https://klasma.github.io/Logging_0188/kartor/A 30138-2021 karta.png", "A 30138-2021")</f>
        <v/>
      </c>
      <c r="V142">
        <f>HYPERLINK("https://klasma.github.io/Logging_0188/klagomål/A 30138-2021 FSC-klagomål.docx", "A 30138-2021")</f>
        <v/>
      </c>
      <c r="W142">
        <f>HYPERLINK("https://klasma.github.io/Logging_0188/klagomålsmail/A 30138-2021 FSC-klagomål mail.docx", "A 30138-2021")</f>
        <v/>
      </c>
      <c r="X142">
        <f>HYPERLINK("https://klasma.github.io/Logging_0188/tillsyn/A 30138-2021 tillsynsbegäran.docx", "A 30138-2021")</f>
        <v/>
      </c>
      <c r="Y142">
        <f>HYPERLINK("https://klasma.github.io/Logging_0188/tillsynsmail/A 30138-2021 tillsynsbegäran mail.docx", "A 30138-2021")</f>
        <v/>
      </c>
    </row>
    <row r="143" ht="15" customHeight="1">
      <c r="A143" t="inlineStr">
        <is>
          <t>A 33302-2021</t>
        </is>
      </c>
      <c r="B143" s="1" t="n">
        <v>44377</v>
      </c>
      <c r="C143" s="1" t="n">
        <v>45729</v>
      </c>
      <c r="D143" t="inlineStr">
        <is>
          <t>STOCKHOLMS LÄN</t>
        </is>
      </c>
      <c r="E143" t="inlineStr">
        <is>
          <t>NORRTÄLJE</t>
        </is>
      </c>
      <c r="G143" t="n">
        <v>12.5</v>
      </c>
      <c r="H143" t="n">
        <v>1</v>
      </c>
      <c r="I143" t="n">
        <v>0</v>
      </c>
      <c r="J143" t="n">
        <v>1</v>
      </c>
      <c r="K143" t="n">
        <v>0</v>
      </c>
      <c r="L143" t="n">
        <v>0</v>
      </c>
      <c r="M143" t="n">
        <v>0</v>
      </c>
      <c r="N143" t="n">
        <v>0</v>
      </c>
      <c r="O143" t="n">
        <v>1</v>
      </c>
      <c r="P143" t="n">
        <v>0</v>
      </c>
      <c r="Q143" t="n">
        <v>1</v>
      </c>
      <c r="R143" s="2" t="inlineStr">
        <is>
          <t>Spillkråka</t>
        </is>
      </c>
      <c r="S143">
        <f>HYPERLINK("https://klasma.github.io/Logging_0188/artfynd/A 33302-2021 artfynd.xlsx", "A 33302-2021")</f>
        <v/>
      </c>
      <c r="T143">
        <f>HYPERLINK("https://klasma.github.io/Logging_0188/kartor/A 33302-2021 karta.png", "A 33302-2021")</f>
        <v/>
      </c>
      <c r="V143">
        <f>HYPERLINK("https://klasma.github.io/Logging_0188/klagomål/A 33302-2021 FSC-klagomål.docx", "A 33302-2021")</f>
        <v/>
      </c>
      <c r="W143">
        <f>HYPERLINK("https://klasma.github.io/Logging_0188/klagomålsmail/A 33302-2021 FSC-klagomål mail.docx", "A 33302-2021")</f>
        <v/>
      </c>
      <c r="X143">
        <f>HYPERLINK("https://klasma.github.io/Logging_0188/tillsyn/A 33302-2021 tillsynsbegäran.docx", "A 33302-2021")</f>
        <v/>
      </c>
      <c r="Y143">
        <f>HYPERLINK("https://klasma.github.io/Logging_0188/tillsynsmail/A 33302-2021 tillsynsbegäran mail.docx", "A 33302-2021")</f>
        <v/>
      </c>
      <c r="Z143">
        <f>HYPERLINK("https://klasma.github.io/Logging_0188/fåglar/A 33302-2021 prioriterade fågelarter.docx", "A 33302-2021")</f>
        <v/>
      </c>
    </row>
    <row r="144" ht="15" customHeight="1">
      <c r="A144" t="inlineStr">
        <is>
          <t>A 58888-2021</t>
        </is>
      </c>
      <c r="B144" s="1" t="n">
        <v>44489</v>
      </c>
      <c r="C144" s="1" t="n">
        <v>45729</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68692-2021</t>
        </is>
      </c>
      <c r="B145" s="1" t="n">
        <v>44529</v>
      </c>
      <c r="C145" s="1" t="n">
        <v>45729</v>
      </c>
      <c r="D145" t="inlineStr">
        <is>
          <t>STOCKHOLMS LÄN</t>
        </is>
      </c>
      <c r="E145" t="inlineStr">
        <is>
          <t>NORRTÄLJE</t>
        </is>
      </c>
      <c r="F145" t="inlineStr">
        <is>
          <t>Holmen skog AB</t>
        </is>
      </c>
      <c r="G145" t="n">
        <v>0.7</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68692-2021 artfynd.xlsx", "A 68692-2021")</f>
        <v/>
      </c>
      <c r="T145">
        <f>HYPERLINK("https://klasma.github.io/Logging_0188/kartor/A 68692-2021 karta.png", "A 68692-2021")</f>
        <v/>
      </c>
      <c r="V145">
        <f>HYPERLINK("https://klasma.github.io/Logging_0188/klagomål/A 68692-2021 FSC-klagomål.docx", "A 68692-2021")</f>
        <v/>
      </c>
      <c r="W145">
        <f>HYPERLINK("https://klasma.github.io/Logging_0188/klagomålsmail/A 68692-2021 FSC-klagomål mail.docx", "A 68692-2021")</f>
        <v/>
      </c>
      <c r="X145">
        <f>HYPERLINK("https://klasma.github.io/Logging_0188/tillsyn/A 68692-2021 tillsynsbegäran.docx", "A 68692-2021")</f>
        <v/>
      </c>
      <c r="Y145">
        <f>HYPERLINK("https://klasma.github.io/Logging_0188/tillsynsmail/A 68692-2021 tillsynsbegäran mail.docx", "A 68692-2021")</f>
        <v/>
      </c>
    </row>
    <row r="146" ht="15" customHeight="1">
      <c r="A146" t="inlineStr">
        <is>
          <t>A 188-2022</t>
        </is>
      </c>
      <c r="B146" s="1" t="n">
        <v>44564</v>
      </c>
      <c r="C146" s="1" t="n">
        <v>45729</v>
      </c>
      <c r="D146" t="inlineStr">
        <is>
          <t>STOCKHOLMS LÄN</t>
        </is>
      </c>
      <c r="E146" t="inlineStr">
        <is>
          <t>NORRTÄLJE</t>
        </is>
      </c>
      <c r="G146" t="n">
        <v>4.1</v>
      </c>
      <c r="H146" t="n">
        <v>0</v>
      </c>
      <c r="I146" t="n">
        <v>1</v>
      </c>
      <c r="J146" t="n">
        <v>0</v>
      </c>
      <c r="K146" t="n">
        <v>0</v>
      </c>
      <c r="L146" t="n">
        <v>0</v>
      </c>
      <c r="M146" t="n">
        <v>0</v>
      </c>
      <c r="N146" t="n">
        <v>0</v>
      </c>
      <c r="O146" t="n">
        <v>0</v>
      </c>
      <c r="P146" t="n">
        <v>0</v>
      </c>
      <c r="Q146" t="n">
        <v>1</v>
      </c>
      <c r="R146" s="2" t="inlineStr">
        <is>
          <t>Svart trolldruva</t>
        </is>
      </c>
      <c r="S146">
        <f>HYPERLINK("https://klasma.github.io/Logging_0188/artfynd/A 188-2022 artfynd.xlsx", "A 188-2022")</f>
        <v/>
      </c>
      <c r="T146">
        <f>HYPERLINK("https://klasma.github.io/Logging_0188/kartor/A 188-2022 karta.png", "A 188-2022")</f>
        <v/>
      </c>
      <c r="V146">
        <f>HYPERLINK("https://klasma.github.io/Logging_0188/klagomål/A 188-2022 FSC-klagomål.docx", "A 188-2022")</f>
        <v/>
      </c>
      <c r="W146">
        <f>HYPERLINK("https://klasma.github.io/Logging_0188/klagomålsmail/A 188-2022 FSC-klagomål mail.docx", "A 188-2022")</f>
        <v/>
      </c>
      <c r="X146">
        <f>HYPERLINK("https://klasma.github.io/Logging_0188/tillsyn/A 188-2022 tillsynsbegäran.docx", "A 188-2022")</f>
        <v/>
      </c>
      <c r="Y146">
        <f>HYPERLINK("https://klasma.github.io/Logging_0188/tillsynsmail/A 188-2022 tillsynsbegäran mail.docx", "A 188-2022")</f>
        <v/>
      </c>
    </row>
    <row r="147" ht="15" customHeight="1">
      <c r="A147" t="inlineStr">
        <is>
          <t>A 1547-2022</t>
        </is>
      </c>
      <c r="B147" s="1" t="n">
        <v>44573</v>
      </c>
      <c r="C147" s="1" t="n">
        <v>45729</v>
      </c>
      <c r="D147" t="inlineStr">
        <is>
          <t>STOCKHOLMS LÄN</t>
        </is>
      </c>
      <c r="E147" t="inlineStr">
        <is>
          <t>NORRTÄLJE</t>
        </is>
      </c>
      <c r="G147" t="n">
        <v>1.8</v>
      </c>
      <c r="H147" t="n">
        <v>1</v>
      </c>
      <c r="I147" t="n">
        <v>0</v>
      </c>
      <c r="J147" t="n">
        <v>0</v>
      </c>
      <c r="K147" t="n">
        <v>1</v>
      </c>
      <c r="L147" t="n">
        <v>0</v>
      </c>
      <c r="M147" t="n">
        <v>0</v>
      </c>
      <c r="N147" t="n">
        <v>0</v>
      </c>
      <c r="O147" t="n">
        <v>1</v>
      </c>
      <c r="P147" t="n">
        <v>1</v>
      </c>
      <c r="Q147" t="n">
        <v>1</v>
      </c>
      <c r="R147" s="2" t="inlineStr">
        <is>
          <t>Hällebräcka</t>
        </is>
      </c>
      <c r="S147">
        <f>HYPERLINK("https://klasma.github.io/Logging_0188/artfynd/A 1547-2022 artfynd.xlsx", "A 1547-2022")</f>
        <v/>
      </c>
      <c r="T147">
        <f>HYPERLINK("https://klasma.github.io/Logging_0188/kartor/A 1547-2022 karta.png", "A 1547-2022")</f>
        <v/>
      </c>
      <c r="V147">
        <f>HYPERLINK("https://klasma.github.io/Logging_0188/klagomål/A 1547-2022 FSC-klagomål.docx", "A 1547-2022")</f>
        <v/>
      </c>
      <c r="W147">
        <f>HYPERLINK("https://klasma.github.io/Logging_0188/klagomålsmail/A 1547-2022 FSC-klagomål mail.docx", "A 1547-2022")</f>
        <v/>
      </c>
      <c r="X147">
        <f>HYPERLINK("https://klasma.github.io/Logging_0188/tillsyn/A 1547-2022 tillsynsbegäran.docx", "A 1547-2022")</f>
        <v/>
      </c>
      <c r="Y147">
        <f>HYPERLINK("https://klasma.github.io/Logging_0188/tillsynsmail/A 1547-2022 tillsynsbegäran mail.docx", "A 1547-2022")</f>
        <v/>
      </c>
    </row>
    <row r="148" ht="15" customHeight="1">
      <c r="A148" t="inlineStr">
        <is>
          <t>A 7172-2022</t>
        </is>
      </c>
      <c r="B148" s="1" t="n">
        <v>44604</v>
      </c>
      <c r="C148" s="1" t="n">
        <v>45729</v>
      </c>
      <c r="D148" t="inlineStr">
        <is>
          <t>STOCKHOLMS LÄN</t>
        </is>
      </c>
      <c r="E148" t="inlineStr">
        <is>
          <t>NORRTÄLJE</t>
        </is>
      </c>
      <c r="G148" t="n">
        <v>4.8</v>
      </c>
      <c r="H148" t="n">
        <v>0</v>
      </c>
      <c r="I148" t="n">
        <v>1</v>
      </c>
      <c r="J148" t="n">
        <v>0</v>
      </c>
      <c r="K148" t="n">
        <v>0</v>
      </c>
      <c r="L148" t="n">
        <v>0</v>
      </c>
      <c r="M148" t="n">
        <v>0</v>
      </c>
      <c r="N148" t="n">
        <v>0</v>
      </c>
      <c r="O148" t="n">
        <v>0</v>
      </c>
      <c r="P148" t="n">
        <v>0</v>
      </c>
      <c r="Q148" t="n">
        <v>1</v>
      </c>
      <c r="R148" s="2" t="inlineStr">
        <is>
          <t>Trådticka</t>
        </is>
      </c>
      <c r="S148">
        <f>HYPERLINK("https://klasma.github.io/Logging_0188/artfynd/A 7172-2022 artfynd.xlsx", "A 7172-2022")</f>
        <v/>
      </c>
      <c r="T148">
        <f>HYPERLINK("https://klasma.github.io/Logging_0188/kartor/A 7172-2022 karta.png", "A 7172-2022")</f>
        <v/>
      </c>
      <c r="U148">
        <f>HYPERLINK("https://klasma.github.io/Logging_0188/knärot/A 7172-2022 karta knärot.png", "A 7172-2022")</f>
        <v/>
      </c>
      <c r="V148">
        <f>HYPERLINK("https://klasma.github.io/Logging_0188/klagomål/A 7172-2022 FSC-klagomål.docx", "A 7172-2022")</f>
        <v/>
      </c>
      <c r="W148">
        <f>HYPERLINK("https://klasma.github.io/Logging_0188/klagomålsmail/A 7172-2022 FSC-klagomål mail.docx", "A 7172-2022")</f>
        <v/>
      </c>
      <c r="X148">
        <f>HYPERLINK("https://klasma.github.io/Logging_0188/tillsyn/A 7172-2022 tillsynsbegäran.docx", "A 7172-2022")</f>
        <v/>
      </c>
      <c r="Y148">
        <f>HYPERLINK("https://klasma.github.io/Logging_0188/tillsynsmail/A 7172-2022 tillsynsbegäran mail.docx", "A 7172-2022")</f>
        <v/>
      </c>
    </row>
    <row r="149" ht="15" customHeight="1">
      <c r="A149" t="inlineStr">
        <is>
          <t>A 9955-2022</t>
        </is>
      </c>
      <c r="B149" s="1" t="n">
        <v>44620</v>
      </c>
      <c r="C149" s="1" t="n">
        <v>45729</v>
      </c>
      <c r="D149" t="inlineStr">
        <is>
          <t>STOCKHOLMS LÄN</t>
        </is>
      </c>
      <c r="E149" t="inlineStr">
        <is>
          <t>NORRTÄLJE</t>
        </is>
      </c>
      <c r="G149" t="n">
        <v>7.8</v>
      </c>
      <c r="H149" t="n">
        <v>1</v>
      </c>
      <c r="I149" t="n">
        <v>0</v>
      </c>
      <c r="J149" t="n">
        <v>0</v>
      </c>
      <c r="K149" t="n">
        <v>0</v>
      </c>
      <c r="L149" t="n">
        <v>0</v>
      </c>
      <c r="M149" t="n">
        <v>0</v>
      </c>
      <c r="N149" t="n">
        <v>0</v>
      </c>
      <c r="O149" t="n">
        <v>0</v>
      </c>
      <c r="P149" t="n">
        <v>0</v>
      </c>
      <c r="Q149" t="n">
        <v>1</v>
      </c>
      <c r="R149" s="2" t="inlineStr">
        <is>
          <t>Åkergroda</t>
        </is>
      </c>
      <c r="S149">
        <f>HYPERLINK("https://klasma.github.io/Logging_0188/artfynd/A 9955-2022 artfynd.xlsx", "A 9955-2022")</f>
        <v/>
      </c>
      <c r="T149">
        <f>HYPERLINK("https://klasma.github.io/Logging_0188/kartor/A 9955-2022 karta.png", "A 9955-2022")</f>
        <v/>
      </c>
      <c r="V149">
        <f>HYPERLINK("https://klasma.github.io/Logging_0188/klagomål/A 9955-2022 FSC-klagomål.docx", "A 9955-2022")</f>
        <v/>
      </c>
      <c r="W149">
        <f>HYPERLINK("https://klasma.github.io/Logging_0188/klagomålsmail/A 9955-2022 FSC-klagomål mail.docx", "A 9955-2022")</f>
        <v/>
      </c>
      <c r="X149">
        <f>HYPERLINK("https://klasma.github.io/Logging_0188/tillsyn/A 9955-2022 tillsynsbegäran.docx", "A 9955-2022")</f>
        <v/>
      </c>
      <c r="Y149">
        <f>HYPERLINK("https://klasma.github.io/Logging_0188/tillsynsmail/A 9955-2022 tillsynsbegäran mail.docx", "A 9955-2022")</f>
        <v/>
      </c>
    </row>
    <row r="150" ht="15" customHeight="1">
      <c r="A150" t="inlineStr">
        <is>
          <t>A 10712-2022</t>
        </is>
      </c>
      <c r="B150" s="1" t="n">
        <v>44626</v>
      </c>
      <c r="C150" s="1" t="n">
        <v>45729</v>
      </c>
      <c r="D150" t="inlineStr">
        <is>
          <t>STOCKHOLMS LÄN</t>
        </is>
      </c>
      <c r="E150" t="inlineStr">
        <is>
          <t>NORRTÄLJE</t>
        </is>
      </c>
      <c r="G150" t="n">
        <v>4.5</v>
      </c>
      <c r="H150" t="n">
        <v>1</v>
      </c>
      <c r="I150" t="n">
        <v>0</v>
      </c>
      <c r="J150" t="n">
        <v>0</v>
      </c>
      <c r="K150" t="n">
        <v>0</v>
      </c>
      <c r="L150" t="n">
        <v>0</v>
      </c>
      <c r="M150" t="n">
        <v>0</v>
      </c>
      <c r="N150" t="n">
        <v>0</v>
      </c>
      <c r="O150" t="n">
        <v>0</v>
      </c>
      <c r="P150" t="n">
        <v>0</v>
      </c>
      <c r="Q150" t="n">
        <v>1</v>
      </c>
      <c r="R150" s="2" t="inlineStr">
        <is>
          <t>Åkergroda</t>
        </is>
      </c>
      <c r="S150">
        <f>HYPERLINK("https://klasma.github.io/Logging_0188/artfynd/A 10712-2022 artfynd.xlsx", "A 10712-2022")</f>
        <v/>
      </c>
      <c r="T150">
        <f>HYPERLINK("https://klasma.github.io/Logging_0188/kartor/A 10712-2022 karta.png", "A 10712-2022")</f>
        <v/>
      </c>
      <c r="V150">
        <f>HYPERLINK("https://klasma.github.io/Logging_0188/klagomål/A 10712-2022 FSC-klagomål.docx", "A 10712-2022")</f>
        <v/>
      </c>
      <c r="W150">
        <f>HYPERLINK("https://klasma.github.io/Logging_0188/klagomålsmail/A 10712-2022 FSC-klagomål mail.docx", "A 10712-2022")</f>
        <v/>
      </c>
      <c r="X150">
        <f>HYPERLINK("https://klasma.github.io/Logging_0188/tillsyn/A 10712-2022 tillsynsbegäran.docx", "A 10712-2022")</f>
        <v/>
      </c>
      <c r="Y150">
        <f>HYPERLINK("https://klasma.github.io/Logging_0188/tillsynsmail/A 10712-2022 tillsynsbegäran mail.docx", "A 10712-2022")</f>
        <v/>
      </c>
    </row>
    <row r="151" ht="15" customHeight="1">
      <c r="A151" t="inlineStr">
        <is>
          <t>A 14720-2022</t>
        </is>
      </c>
      <c r="B151" s="1" t="n">
        <v>44656</v>
      </c>
      <c r="C151" s="1" t="n">
        <v>45729</v>
      </c>
      <c r="D151" t="inlineStr">
        <is>
          <t>STOCKHOLMS LÄN</t>
        </is>
      </c>
      <c r="E151" t="inlineStr">
        <is>
          <t>NORRTÄLJE</t>
        </is>
      </c>
      <c r="F151" t="inlineStr">
        <is>
          <t>Sveaskog</t>
        </is>
      </c>
      <c r="G151" t="n">
        <v>5.1</v>
      </c>
      <c r="H151" t="n">
        <v>0</v>
      </c>
      <c r="I151" t="n">
        <v>0</v>
      </c>
      <c r="J151" t="n">
        <v>1</v>
      </c>
      <c r="K151" t="n">
        <v>0</v>
      </c>
      <c r="L151" t="n">
        <v>0</v>
      </c>
      <c r="M151" t="n">
        <v>0</v>
      </c>
      <c r="N151" t="n">
        <v>0</v>
      </c>
      <c r="O151" t="n">
        <v>1</v>
      </c>
      <c r="P151" t="n">
        <v>0</v>
      </c>
      <c r="Q151" t="n">
        <v>1</v>
      </c>
      <c r="R151" s="2" t="inlineStr">
        <is>
          <t>Loppstarr</t>
        </is>
      </c>
      <c r="S151">
        <f>HYPERLINK("https://klasma.github.io/Logging_0188/artfynd/A 14720-2022 artfynd.xlsx", "A 14720-2022")</f>
        <v/>
      </c>
      <c r="T151">
        <f>HYPERLINK("https://klasma.github.io/Logging_0188/kartor/A 14720-2022 karta.png", "A 14720-2022")</f>
        <v/>
      </c>
      <c r="V151">
        <f>HYPERLINK("https://klasma.github.io/Logging_0188/klagomål/A 14720-2022 FSC-klagomål.docx", "A 14720-2022")</f>
        <v/>
      </c>
      <c r="W151">
        <f>HYPERLINK("https://klasma.github.io/Logging_0188/klagomålsmail/A 14720-2022 FSC-klagomål mail.docx", "A 14720-2022")</f>
        <v/>
      </c>
      <c r="X151">
        <f>HYPERLINK("https://klasma.github.io/Logging_0188/tillsyn/A 14720-2022 tillsynsbegäran.docx", "A 14720-2022")</f>
        <v/>
      </c>
      <c r="Y151">
        <f>HYPERLINK("https://klasma.github.io/Logging_0188/tillsynsmail/A 14720-2022 tillsynsbegäran mail.docx", "A 14720-2022")</f>
        <v/>
      </c>
    </row>
    <row r="152" ht="15" customHeight="1">
      <c r="A152" t="inlineStr">
        <is>
          <t>A 16539-2022</t>
        </is>
      </c>
      <c r="B152" s="1" t="n">
        <v>44672</v>
      </c>
      <c r="C152" s="1" t="n">
        <v>45729</v>
      </c>
      <c r="D152" t="inlineStr">
        <is>
          <t>STOCKHOLMS LÄN</t>
        </is>
      </c>
      <c r="E152" t="inlineStr">
        <is>
          <t>NORRTÄLJE</t>
        </is>
      </c>
      <c r="G152" t="n">
        <v>8.6</v>
      </c>
      <c r="H152" t="n">
        <v>1</v>
      </c>
      <c r="I152" t="n">
        <v>1</v>
      </c>
      <c r="J152" t="n">
        <v>0</v>
      </c>
      <c r="K152" t="n">
        <v>0</v>
      </c>
      <c r="L152" t="n">
        <v>0</v>
      </c>
      <c r="M152" t="n">
        <v>0</v>
      </c>
      <c r="N152" t="n">
        <v>0</v>
      </c>
      <c r="O152" t="n">
        <v>0</v>
      </c>
      <c r="P152" t="n">
        <v>0</v>
      </c>
      <c r="Q152" t="n">
        <v>1</v>
      </c>
      <c r="R152" s="2" t="inlineStr">
        <is>
          <t>Nästrot</t>
        </is>
      </c>
      <c r="S152">
        <f>HYPERLINK("https://klasma.github.io/Logging_0188/artfynd/A 16539-2022 artfynd.xlsx", "A 16539-2022")</f>
        <v/>
      </c>
      <c r="T152">
        <f>HYPERLINK("https://klasma.github.io/Logging_0188/kartor/A 16539-2022 karta.png", "A 16539-2022")</f>
        <v/>
      </c>
      <c r="V152">
        <f>HYPERLINK("https://klasma.github.io/Logging_0188/klagomål/A 16539-2022 FSC-klagomål.docx", "A 16539-2022")</f>
        <v/>
      </c>
      <c r="W152">
        <f>HYPERLINK("https://klasma.github.io/Logging_0188/klagomålsmail/A 16539-2022 FSC-klagomål mail.docx", "A 16539-2022")</f>
        <v/>
      </c>
      <c r="X152">
        <f>HYPERLINK("https://klasma.github.io/Logging_0188/tillsyn/A 16539-2022 tillsynsbegäran.docx", "A 16539-2022")</f>
        <v/>
      </c>
      <c r="Y152">
        <f>HYPERLINK("https://klasma.github.io/Logging_0188/tillsynsmail/A 16539-2022 tillsynsbegäran mail.docx", "A 16539-2022")</f>
        <v/>
      </c>
    </row>
    <row r="153" ht="15" customHeight="1">
      <c r="A153" t="inlineStr">
        <is>
          <t>A 19829-2022</t>
        </is>
      </c>
      <c r="B153" s="1" t="n">
        <v>44695</v>
      </c>
      <c r="C153" s="1" t="n">
        <v>45729</v>
      </c>
      <c r="D153" t="inlineStr">
        <is>
          <t>STOCKHOLMS LÄN</t>
        </is>
      </c>
      <c r="E153" t="inlineStr">
        <is>
          <t>NORRTÄLJE</t>
        </is>
      </c>
      <c r="G153" t="n">
        <v>2</v>
      </c>
      <c r="H153" t="n">
        <v>1</v>
      </c>
      <c r="I153" t="n">
        <v>1</v>
      </c>
      <c r="J153" t="n">
        <v>0</v>
      </c>
      <c r="K153" t="n">
        <v>0</v>
      </c>
      <c r="L153" t="n">
        <v>0</v>
      </c>
      <c r="M153" t="n">
        <v>0</v>
      </c>
      <c r="N153" t="n">
        <v>0</v>
      </c>
      <c r="O153" t="n">
        <v>0</v>
      </c>
      <c r="P153" t="n">
        <v>0</v>
      </c>
      <c r="Q153" t="n">
        <v>1</v>
      </c>
      <c r="R153" s="2" t="inlineStr">
        <is>
          <t>Guckusko</t>
        </is>
      </c>
      <c r="S153">
        <f>HYPERLINK("https://klasma.github.io/Logging_0188/artfynd/A 19829-2022 artfynd.xlsx", "A 19829-2022")</f>
        <v/>
      </c>
      <c r="T153">
        <f>HYPERLINK("https://klasma.github.io/Logging_0188/kartor/A 19829-2022 karta.png", "A 19829-2022")</f>
        <v/>
      </c>
      <c r="V153">
        <f>HYPERLINK("https://klasma.github.io/Logging_0188/klagomål/A 19829-2022 FSC-klagomål.docx", "A 19829-2022")</f>
        <v/>
      </c>
      <c r="W153">
        <f>HYPERLINK("https://klasma.github.io/Logging_0188/klagomålsmail/A 19829-2022 FSC-klagomål mail.docx", "A 19829-2022")</f>
        <v/>
      </c>
      <c r="X153">
        <f>HYPERLINK("https://klasma.github.io/Logging_0188/tillsyn/A 19829-2022 tillsynsbegäran.docx", "A 19829-2022")</f>
        <v/>
      </c>
      <c r="Y153">
        <f>HYPERLINK("https://klasma.github.io/Logging_0188/tillsynsmail/A 19829-2022 tillsynsbegäran mail.docx", "A 19829-2022")</f>
        <v/>
      </c>
    </row>
    <row r="154" ht="15" customHeight="1">
      <c r="A154" t="inlineStr">
        <is>
          <t>A 21150-2022</t>
        </is>
      </c>
      <c r="B154" s="1" t="n">
        <v>44704</v>
      </c>
      <c r="C154" s="1" t="n">
        <v>45729</v>
      </c>
      <c r="D154" t="inlineStr">
        <is>
          <t>STOCKHOLMS LÄN</t>
        </is>
      </c>
      <c r="E154" t="inlineStr">
        <is>
          <t>NORRTÄLJE</t>
        </is>
      </c>
      <c r="G154" t="n">
        <v>12.5</v>
      </c>
      <c r="H154" t="n">
        <v>1</v>
      </c>
      <c r="I154" t="n">
        <v>0</v>
      </c>
      <c r="J154" t="n">
        <v>0</v>
      </c>
      <c r="K154" t="n">
        <v>0</v>
      </c>
      <c r="L154" t="n">
        <v>1</v>
      </c>
      <c r="M154" t="n">
        <v>0</v>
      </c>
      <c r="N154" t="n">
        <v>0</v>
      </c>
      <c r="O154" t="n">
        <v>1</v>
      </c>
      <c r="P154" t="n">
        <v>1</v>
      </c>
      <c r="Q154" t="n">
        <v>1</v>
      </c>
      <c r="R154" s="2" t="inlineStr">
        <is>
          <t>Asknätfjäril</t>
        </is>
      </c>
      <c r="S154">
        <f>HYPERLINK("https://klasma.github.io/Logging_0188/artfynd/A 21150-2022 artfynd.xlsx", "A 21150-2022")</f>
        <v/>
      </c>
      <c r="T154">
        <f>HYPERLINK("https://klasma.github.io/Logging_0188/kartor/A 21150-2022 karta.png", "A 21150-2022")</f>
        <v/>
      </c>
      <c r="V154">
        <f>HYPERLINK("https://klasma.github.io/Logging_0188/klagomål/A 21150-2022 FSC-klagomål.docx", "A 21150-2022")</f>
        <v/>
      </c>
      <c r="W154">
        <f>HYPERLINK("https://klasma.github.io/Logging_0188/klagomålsmail/A 21150-2022 FSC-klagomål mail.docx", "A 21150-2022")</f>
        <v/>
      </c>
      <c r="X154">
        <f>HYPERLINK("https://klasma.github.io/Logging_0188/tillsyn/A 21150-2022 tillsynsbegäran.docx", "A 21150-2022")</f>
        <v/>
      </c>
      <c r="Y154">
        <f>HYPERLINK("https://klasma.github.io/Logging_0188/tillsynsmail/A 21150-2022 tillsynsbegäran mail.docx", "A 21150-2022")</f>
        <v/>
      </c>
    </row>
    <row r="155" ht="15" customHeight="1">
      <c r="A155" t="inlineStr">
        <is>
          <t>A 31194-2022</t>
        </is>
      </c>
      <c r="B155" s="1" t="n">
        <v>44770</v>
      </c>
      <c r="C155" s="1" t="n">
        <v>45729</v>
      </c>
      <c r="D155" t="inlineStr">
        <is>
          <t>STOCKHOLMS LÄN</t>
        </is>
      </c>
      <c r="E155" t="inlineStr">
        <is>
          <t>NORRTÄLJE</t>
        </is>
      </c>
      <c r="G155" t="n">
        <v>2.7</v>
      </c>
      <c r="H155" t="n">
        <v>1</v>
      </c>
      <c r="I155" t="n">
        <v>0</v>
      </c>
      <c r="J155" t="n">
        <v>0</v>
      </c>
      <c r="K155" t="n">
        <v>0</v>
      </c>
      <c r="L155" t="n">
        <v>1</v>
      </c>
      <c r="M155" t="n">
        <v>0</v>
      </c>
      <c r="N155" t="n">
        <v>0</v>
      </c>
      <c r="O155" t="n">
        <v>1</v>
      </c>
      <c r="P155" t="n">
        <v>1</v>
      </c>
      <c r="Q155" t="n">
        <v>1</v>
      </c>
      <c r="R155" s="2" t="inlineStr">
        <is>
          <t>Asknätfjäril</t>
        </is>
      </c>
      <c r="S155">
        <f>HYPERLINK("https://klasma.github.io/Logging_0188/artfynd/A 31194-2022 artfynd.xlsx", "A 31194-2022")</f>
        <v/>
      </c>
      <c r="T155">
        <f>HYPERLINK("https://klasma.github.io/Logging_0188/kartor/A 31194-2022 karta.png", "A 31194-2022")</f>
        <v/>
      </c>
      <c r="V155">
        <f>HYPERLINK("https://klasma.github.io/Logging_0188/klagomål/A 31194-2022 FSC-klagomål.docx", "A 31194-2022")</f>
        <v/>
      </c>
      <c r="W155">
        <f>HYPERLINK("https://klasma.github.io/Logging_0188/klagomålsmail/A 31194-2022 FSC-klagomål mail.docx", "A 31194-2022")</f>
        <v/>
      </c>
      <c r="X155">
        <f>HYPERLINK("https://klasma.github.io/Logging_0188/tillsyn/A 31194-2022 tillsynsbegäran.docx", "A 31194-2022")</f>
        <v/>
      </c>
      <c r="Y155">
        <f>HYPERLINK("https://klasma.github.io/Logging_0188/tillsynsmail/A 31194-2022 tillsynsbegäran mail.docx", "A 31194-2022")</f>
        <v/>
      </c>
    </row>
    <row r="156" ht="15" customHeight="1">
      <c r="A156" t="inlineStr">
        <is>
          <t>A 33477-2022</t>
        </is>
      </c>
      <c r="B156" s="1" t="n">
        <v>44788</v>
      </c>
      <c r="C156" s="1" t="n">
        <v>45729</v>
      </c>
      <c r="D156" t="inlineStr">
        <is>
          <t>STOCKHOLMS LÄN</t>
        </is>
      </c>
      <c r="E156" t="inlineStr">
        <is>
          <t>NORRTÄLJE</t>
        </is>
      </c>
      <c r="G156" t="n">
        <v>5.7</v>
      </c>
      <c r="H156" t="n">
        <v>1</v>
      </c>
      <c r="I156" t="n">
        <v>1</v>
      </c>
      <c r="J156" t="n">
        <v>0</v>
      </c>
      <c r="K156" t="n">
        <v>0</v>
      </c>
      <c r="L156" t="n">
        <v>0</v>
      </c>
      <c r="M156" t="n">
        <v>0</v>
      </c>
      <c r="N156" t="n">
        <v>0</v>
      </c>
      <c r="O156" t="n">
        <v>0</v>
      </c>
      <c r="P156" t="n">
        <v>0</v>
      </c>
      <c r="Q156" t="n">
        <v>1</v>
      </c>
      <c r="R156" s="2" t="inlineStr">
        <is>
          <t>Nästrot</t>
        </is>
      </c>
      <c r="S156">
        <f>HYPERLINK("https://klasma.github.io/Logging_0188/artfynd/A 33477-2022 artfynd.xlsx", "A 33477-2022")</f>
        <v/>
      </c>
      <c r="T156">
        <f>HYPERLINK("https://klasma.github.io/Logging_0188/kartor/A 33477-2022 karta.png", "A 33477-2022")</f>
        <v/>
      </c>
      <c r="V156">
        <f>HYPERLINK("https://klasma.github.io/Logging_0188/klagomål/A 33477-2022 FSC-klagomål.docx", "A 33477-2022")</f>
        <v/>
      </c>
      <c r="W156">
        <f>HYPERLINK("https://klasma.github.io/Logging_0188/klagomålsmail/A 33477-2022 FSC-klagomål mail.docx", "A 33477-2022")</f>
        <v/>
      </c>
      <c r="X156">
        <f>HYPERLINK("https://klasma.github.io/Logging_0188/tillsyn/A 33477-2022 tillsynsbegäran.docx", "A 33477-2022")</f>
        <v/>
      </c>
      <c r="Y156">
        <f>HYPERLINK("https://klasma.github.io/Logging_0188/tillsynsmail/A 33477-2022 tillsynsbegäran mail.docx", "A 33477-2022")</f>
        <v/>
      </c>
    </row>
    <row r="157" ht="15" customHeight="1">
      <c r="A157" t="inlineStr">
        <is>
          <t>A 37522-2022</t>
        </is>
      </c>
      <c r="B157" s="1" t="n">
        <v>44809</v>
      </c>
      <c r="C157" s="1" t="n">
        <v>45729</v>
      </c>
      <c r="D157" t="inlineStr">
        <is>
          <t>STOCKHOLMS LÄN</t>
        </is>
      </c>
      <c r="E157" t="inlineStr">
        <is>
          <t>NORRTÄLJE</t>
        </is>
      </c>
      <c r="G157" t="n">
        <v>2.4</v>
      </c>
      <c r="H157" t="n">
        <v>1</v>
      </c>
      <c r="I157" t="n">
        <v>0</v>
      </c>
      <c r="J157" t="n">
        <v>0</v>
      </c>
      <c r="K157" t="n">
        <v>0</v>
      </c>
      <c r="L157" t="n">
        <v>0</v>
      </c>
      <c r="M157" t="n">
        <v>0</v>
      </c>
      <c r="N157" t="n">
        <v>0</v>
      </c>
      <c r="O157" t="n">
        <v>0</v>
      </c>
      <c r="P157" t="n">
        <v>0</v>
      </c>
      <c r="Q157" t="n">
        <v>1</v>
      </c>
      <c r="R157" s="2" t="inlineStr">
        <is>
          <t>Blåsippa</t>
        </is>
      </c>
      <c r="S157">
        <f>HYPERLINK("https://klasma.github.io/Logging_0188/artfynd/A 37522-2022 artfynd.xlsx", "A 37522-2022")</f>
        <v/>
      </c>
      <c r="T157">
        <f>HYPERLINK("https://klasma.github.io/Logging_0188/kartor/A 37522-2022 karta.png", "A 37522-2022")</f>
        <v/>
      </c>
      <c r="V157">
        <f>HYPERLINK("https://klasma.github.io/Logging_0188/klagomål/A 37522-2022 FSC-klagomål.docx", "A 37522-2022")</f>
        <v/>
      </c>
      <c r="W157">
        <f>HYPERLINK("https://klasma.github.io/Logging_0188/klagomålsmail/A 37522-2022 FSC-klagomål mail.docx", "A 37522-2022")</f>
        <v/>
      </c>
      <c r="X157">
        <f>HYPERLINK("https://klasma.github.io/Logging_0188/tillsyn/A 37522-2022 tillsynsbegäran.docx", "A 37522-2022")</f>
        <v/>
      </c>
      <c r="Y157">
        <f>HYPERLINK("https://klasma.github.io/Logging_0188/tillsynsmail/A 37522-2022 tillsynsbegäran mail.docx", "A 37522-2022")</f>
        <v/>
      </c>
    </row>
    <row r="158" ht="15" customHeight="1">
      <c r="A158" t="inlineStr">
        <is>
          <t>A 39318-2022</t>
        </is>
      </c>
      <c r="B158" s="1" t="n">
        <v>44817</v>
      </c>
      <c r="C158" s="1" t="n">
        <v>45729</v>
      </c>
      <c r="D158" t="inlineStr">
        <is>
          <t>STOCKHOLMS LÄN</t>
        </is>
      </c>
      <c r="E158" t="inlineStr">
        <is>
          <t>NORRTÄLJE</t>
        </is>
      </c>
      <c r="G158" t="n">
        <v>2.4</v>
      </c>
      <c r="H158" t="n">
        <v>1</v>
      </c>
      <c r="I158" t="n">
        <v>0</v>
      </c>
      <c r="J158" t="n">
        <v>0</v>
      </c>
      <c r="K158" t="n">
        <v>1</v>
      </c>
      <c r="L158" t="n">
        <v>0</v>
      </c>
      <c r="M158" t="n">
        <v>0</v>
      </c>
      <c r="N158" t="n">
        <v>0</v>
      </c>
      <c r="O158" t="n">
        <v>1</v>
      </c>
      <c r="P158" t="n">
        <v>1</v>
      </c>
      <c r="Q158" t="n">
        <v>1</v>
      </c>
      <c r="R158" s="2" t="inlineStr">
        <is>
          <t>Stare</t>
        </is>
      </c>
      <c r="S158">
        <f>HYPERLINK("https://klasma.github.io/Logging_0188/artfynd/A 39318-2022 artfynd.xlsx", "A 39318-2022")</f>
        <v/>
      </c>
      <c r="T158">
        <f>HYPERLINK("https://klasma.github.io/Logging_0188/kartor/A 39318-2022 karta.png", "A 39318-2022")</f>
        <v/>
      </c>
      <c r="V158">
        <f>HYPERLINK("https://klasma.github.io/Logging_0188/klagomål/A 39318-2022 FSC-klagomål.docx", "A 39318-2022")</f>
        <v/>
      </c>
      <c r="W158">
        <f>HYPERLINK("https://klasma.github.io/Logging_0188/klagomålsmail/A 39318-2022 FSC-klagomål mail.docx", "A 39318-2022")</f>
        <v/>
      </c>
      <c r="X158">
        <f>HYPERLINK("https://klasma.github.io/Logging_0188/tillsyn/A 39318-2022 tillsynsbegäran.docx", "A 39318-2022")</f>
        <v/>
      </c>
      <c r="Y158">
        <f>HYPERLINK("https://klasma.github.io/Logging_0188/tillsynsmail/A 39318-2022 tillsynsbegäran mail.docx", "A 39318-2022")</f>
        <v/>
      </c>
    </row>
    <row r="159" ht="15" customHeight="1">
      <c r="A159" t="inlineStr">
        <is>
          <t>A 40672-2022</t>
        </is>
      </c>
      <c r="B159" s="1" t="n">
        <v>44824</v>
      </c>
      <c r="C159" s="1" t="n">
        <v>45729</v>
      </c>
      <c r="D159" t="inlineStr">
        <is>
          <t>STOCKHOLMS LÄN</t>
        </is>
      </c>
      <c r="E159" t="inlineStr">
        <is>
          <t>NORRTÄLJE</t>
        </is>
      </c>
      <c r="F159" t="inlineStr">
        <is>
          <t>Övriga Aktiebolag</t>
        </is>
      </c>
      <c r="G159" t="n">
        <v>1.3</v>
      </c>
      <c r="H159" t="n">
        <v>0</v>
      </c>
      <c r="I159" t="n">
        <v>0</v>
      </c>
      <c r="J159" t="n">
        <v>1</v>
      </c>
      <c r="K159" t="n">
        <v>0</v>
      </c>
      <c r="L159" t="n">
        <v>0</v>
      </c>
      <c r="M159" t="n">
        <v>0</v>
      </c>
      <c r="N159" t="n">
        <v>0</v>
      </c>
      <c r="O159" t="n">
        <v>1</v>
      </c>
      <c r="P159" t="n">
        <v>0</v>
      </c>
      <c r="Q159" t="n">
        <v>1</v>
      </c>
      <c r="R159" s="2" t="inlineStr">
        <is>
          <t>Månlåsbräken</t>
        </is>
      </c>
      <c r="S159">
        <f>HYPERLINK("https://klasma.github.io/Logging_0188/artfynd/A 40672-2022 artfynd.xlsx", "A 40672-2022")</f>
        <v/>
      </c>
      <c r="T159">
        <f>HYPERLINK("https://klasma.github.io/Logging_0188/kartor/A 40672-2022 karta.png", "A 40672-2022")</f>
        <v/>
      </c>
      <c r="V159">
        <f>HYPERLINK("https://klasma.github.io/Logging_0188/klagomål/A 40672-2022 FSC-klagomål.docx", "A 40672-2022")</f>
        <v/>
      </c>
      <c r="W159">
        <f>HYPERLINK("https://klasma.github.io/Logging_0188/klagomålsmail/A 40672-2022 FSC-klagomål mail.docx", "A 40672-2022")</f>
        <v/>
      </c>
      <c r="X159">
        <f>HYPERLINK("https://klasma.github.io/Logging_0188/tillsyn/A 40672-2022 tillsynsbegäran.docx", "A 40672-2022")</f>
        <v/>
      </c>
      <c r="Y159">
        <f>HYPERLINK("https://klasma.github.io/Logging_0188/tillsynsmail/A 40672-2022 tillsynsbegäran mail.docx", "A 40672-2022")</f>
        <v/>
      </c>
    </row>
    <row r="160" ht="15" customHeight="1">
      <c r="A160" t="inlineStr">
        <is>
          <t>A 44709-2022</t>
        </is>
      </c>
      <c r="B160" s="1" t="n">
        <v>44839</v>
      </c>
      <c r="C160" s="1" t="n">
        <v>45729</v>
      </c>
      <c r="D160" t="inlineStr">
        <is>
          <t>STOCKHOLMS LÄN</t>
        </is>
      </c>
      <c r="E160" t="inlineStr">
        <is>
          <t>NORRTÄLJE</t>
        </is>
      </c>
      <c r="G160" t="n">
        <v>16.3</v>
      </c>
      <c r="H160" t="n">
        <v>0</v>
      </c>
      <c r="I160" t="n">
        <v>0</v>
      </c>
      <c r="J160" t="n">
        <v>1</v>
      </c>
      <c r="K160" t="n">
        <v>0</v>
      </c>
      <c r="L160" t="n">
        <v>0</v>
      </c>
      <c r="M160" t="n">
        <v>0</v>
      </c>
      <c r="N160" t="n">
        <v>0</v>
      </c>
      <c r="O160" t="n">
        <v>1</v>
      </c>
      <c r="P160" t="n">
        <v>0</v>
      </c>
      <c r="Q160" t="n">
        <v>1</v>
      </c>
      <c r="R160" s="2" t="inlineStr">
        <is>
          <t>Asppraktbagge</t>
        </is>
      </c>
      <c r="S160">
        <f>HYPERLINK("https://klasma.github.io/Logging_0188/artfynd/A 44709-2022 artfynd.xlsx", "A 44709-2022")</f>
        <v/>
      </c>
      <c r="T160">
        <f>HYPERLINK("https://klasma.github.io/Logging_0188/kartor/A 44709-2022 karta.png", "A 44709-2022")</f>
        <v/>
      </c>
      <c r="V160">
        <f>HYPERLINK("https://klasma.github.io/Logging_0188/klagomål/A 44709-2022 FSC-klagomål.docx", "A 44709-2022")</f>
        <v/>
      </c>
      <c r="W160">
        <f>HYPERLINK("https://klasma.github.io/Logging_0188/klagomålsmail/A 44709-2022 FSC-klagomål mail.docx", "A 44709-2022")</f>
        <v/>
      </c>
      <c r="X160">
        <f>HYPERLINK("https://klasma.github.io/Logging_0188/tillsyn/A 44709-2022 tillsynsbegäran.docx", "A 44709-2022")</f>
        <v/>
      </c>
      <c r="Y160">
        <f>HYPERLINK("https://klasma.github.io/Logging_0188/tillsynsmail/A 44709-2022 tillsynsbegäran mail.docx", "A 44709-2022")</f>
        <v/>
      </c>
    </row>
    <row r="161" ht="15" customHeight="1">
      <c r="A161" t="inlineStr">
        <is>
          <t>A 47898-2022</t>
        </is>
      </c>
      <c r="B161" s="1" t="n">
        <v>44855</v>
      </c>
      <c r="C161" s="1" t="n">
        <v>45729</v>
      </c>
      <c r="D161" t="inlineStr">
        <is>
          <t>STOCKHOLMS LÄN</t>
        </is>
      </c>
      <c r="E161" t="inlineStr">
        <is>
          <t>NORRTÄLJE</t>
        </is>
      </c>
      <c r="G161" t="n">
        <v>6.7</v>
      </c>
      <c r="H161" t="n">
        <v>1</v>
      </c>
      <c r="I161" t="n">
        <v>1</v>
      </c>
      <c r="J161" t="n">
        <v>0</v>
      </c>
      <c r="K161" t="n">
        <v>0</v>
      </c>
      <c r="L161" t="n">
        <v>0</v>
      </c>
      <c r="M161" t="n">
        <v>0</v>
      </c>
      <c r="N161" t="n">
        <v>0</v>
      </c>
      <c r="O161" t="n">
        <v>0</v>
      </c>
      <c r="P161" t="n">
        <v>0</v>
      </c>
      <c r="Q161" t="n">
        <v>1</v>
      </c>
      <c r="R161" s="2" t="inlineStr">
        <is>
          <t>Guckusko</t>
        </is>
      </c>
      <c r="S161">
        <f>HYPERLINK("https://klasma.github.io/Logging_0188/artfynd/A 47898-2022 artfynd.xlsx", "A 47898-2022")</f>
        <v/>
      </c>
      <c r="T161">
        <f>HYPERLINK("https://klasma.github.io/Logging_0188/kartor/A 47898-2022 karta.png", "A 47898-2022")</f>
        <v/>
      </c>
      <c r="V161">
        <f>HYPERLINK("https://klasma.github.io/Logging_0188/klagomål/A 47898-2022 FSC-klagomål.docx", "A 47898-2022")</f>
        <v/>
      </c>
      <c r="W161">
        <f>HYPERLINK("https://klasma.github.io/Logging_0188/klagomålsmail/A 47898-2022 FSC-klagomål mail.docx", "A 47898-2022")</f>
        <v/>
      </c>
      <c r="X161">
        <f>HYPERLINK("https://klasma.github.io/Logging_0188/tillsyn/A 47898-2022 tillsynsbegäran.docx", "A 47898-2022")</f>
        <v/>
      </c>
      <c r="Y161">
        <f>HYPERLINK("https://klasma.github.io/Logging_0188/tillsynsmail/A 47898-2022 tillsynsbegäran mail.docx", "A 47898-2022")</f>
        <v/>
      </c>
    </row>
    <row r="162" ht="15" customHeight="1">
      <c r="A162" t="inlineStr">
        <is>
          <t>A 50854-2022</t>
        </is>
      </c>
      <c r="B162" s="1" t="n">
        <v>44863</v>
      </c>
      <c r="C162" s="1" t="n">
        <v>45729</v>
      </c>
      <c r="D162" t="inlineStr">
        <is>
          <t>STOCKHOLMS LÄN</t>
        </is>
      </c>
      <c r="E162" t="inlineStr">
        <is>
          <t>NORRTÄLJE</t>
        </is>
      </c>
      <c r="G162" t="n">
        <v>2.9</v>
      </c>
      <c r="H162" t="n">
        <v>0</v>
      </c>
      <c r="I162" t="n">
        <v>1</v>
      </c>
      <c r="J162" t="n">
        <v>0</v>
      </c>
      <c r="K162" t="n">
        <v>0</v>
      </c>
      <c r="L162" t="n">
        <v>0</v>
      </c>
      <c r="M162" t="n">
        <v>0</v>
      </c>
      <c r="N162" t="n">
        <v>0</v>
      </c>
      <c r="O162" t="n">
        <v>0</v>
      </c>
      <c r="P162" t="n">
        <v>0</v>
      </c>
      <c r="Q162" t="n">
        <v>1</v>
      </c>
      <c r="R162" s="2" t="inlineStr">
        <is>
          <t>Tibast</t>
        </is>
      </c>
      <c r="S162">
        <f>HYPERLINK("https://klasma.github.io/Logging_0188/artfynd/A 50854-2022 artfynd.xlsx", "A 50854-2022")</f>
        <v/>
      </c>
      <c r="T162">
        <f>HYPERLINK("https://klasma.github.io/Logging_0188/kartor/A 50854-2022 karta.png", "A 50854-2022")</f>
        <v/>
      </c>
      <c r="V162">
        <f>HYPERLINK("https://klasma.github.io/Logging_0188/klagomål/A 50854-2022 FSC-klagomål.docx", "A 50854-2022")</f>
        <v/>
      </c>
      <c r="W162">
        <f>HYPERLINK("https://klasma.github.io/Logging_0188/klagomålsmail/A 50854-2022 FSC-klagomål mail.docx", "A 50854-2022")</f>
        <v/>
      </c>
      <c r="X162">
        <f>HYPERLINK("https://klasma.github.io/Logging_0188/tillsyn/A 50854-2022 tillsynsbegäran.docx", "A 50854-2022")</f>
        <v/>
      </c>
      <c r="Y162">
        <f>HYPERLINK("https://klasma.github.io/Logging_0188/tillsynsmail/A 50854-2022 tillsynsbegäran mail.docx", "A 50854-2022")</f>
        <v/>
      </c>
    </row>
    <row r="163" ht="15" customHeight="1">
      <c r="A163" t="inlineStr">
        <is>
          <t>A 52130-2022</t>
        </is>
      </c>
      <c r="B163" s="1" t="n">
        <v>44868</v>
      </c>
      <c r="C163" s="1" t="n">
        <v>45729</v>
      </c>
      <c r="D163" t="inlineStr">
        <is>
          <t>STOCKHOLMS LÄN</t>
        </is>
      </c>
      <c r="E163" t="inlineStr">
        <is>
          <t>NORRTÄLJE</t>
        </is>
      </c>
      <c r="G163" t="n">
        <v>3.7</v>
      </c>
      <c r="H163" t="n">
        <v>0</v>
      </c>
      <c r="I163" t="n">
        <v>0</v>
      </c>
      <c r="J163" t="n">
        <v>1</v>
      </c>
      <c r="K163" t="n">
        <v>0</v>
      </c>
      <c r="L163" t="n">
        <v>0</v>
      </c>
      <c r="M163" t="n">
        <v>0</v>
      </c>
      <c r="N163" t="n">
        <v>0</v>
      </c>
      <c r="O163" t="n">
        <v>1</v>
      </c>
      <c r="P163" t="n">
        <v>0</v>
      </c>
      <c r="Q163" t="n">
        <v>1</v>
      </c>
      <c r="R163" s="2" t="inlineStr">
        <is>
          <t>Flattoppad klubbsvamp</t>
        </is>
      </c>
      <c r="S163">
        <f>HYPERLINK("https://klasma.github.io/Logging_0188/artfynd/A 52130-2022 artfynd.xlsx", "A 52130-2022")</f>
        <v/>
      </c>
      <c r="T163">
        <f>HYPERLINK("https://klasma.github.io/Logging_0188/kartor/A 52130-2022 karta.png", "A 52130-2022")</f>
        <v/>
      </c>
      <c r="V163">
        <f>HYPERLINK("https://klasma.github.io/Logging_0188/klagomål/A 52130-2022 FSC-klagomål.docx", "A 52130-2022")</f>
        <v/>
      </c>
      <c r="W163">
        <f>HYPERLINK("https://klasma.github.io/Logging_0188/klagomålsmail/A 52130-2022 FSC-klagomål mail.docx", "A 52130-2022")</f>
        <v/>
      </c>
      <c r="X163">
        <f>HYPERLINK("https://klasma.github.io/Logging_0188/tillsyn/A 52130-2022 tillsynsbegäran.docx", "A 52130-2022")</f>
        <v/>
      </c>
      <c r="Y163">
        <f>HYPERLINK("https://klasma.github.io/Logging_0188/tillsynsmail/A 52130-2022 tillsynsbegäran mail.docx", "A 52130-2022")</f>
        <v/>
      </c>
    </row>
    <row r="164" ht="15" customHeight="1">
      <c r="A164" t="inlineStr">
        <is>
          <t>A 61011-2022</t>
        </is>
      </c>
      <c r="B164" s="1" t="n">
        <v>44914</v>
      </c>
      <c r="C164" s="1" t="n">
        <v>45729</v>
      </c>
      <c r="D164" t="inlineStr">
        <is>
          <t>STOCKHOLMS LÄN</t>
        </is>
      </c>
      <c r="E164" t="inlineStr">
        <is>
          <t>NORRTÄLJE</t>
        </is>
      </c>
      <c r="G164" t="n">
        <v>2.2</v>
      </c>
      <c r="H164" t="n">
        <v>0</v>
      </c>
      <c r="I164" t="n">
        <v>0</v>
      </c>
      <c r="J164" t="n">
        <v>1</v>
      </c>
      <c r="K164" t="n">
        <v>0</v>
      </c>
      <c r="L164" t="n">
        <v>0</v>
      </c>
      <c r="M164" t="n">
        <v>0</v>
      </c>
      <c r="N164" t="n">
        <v>0</v>
      </c>
      <c r="O164" t="n">
        <v>1</v>
      </c>
      <c r="P164" t="n">
        <v>0</v>
      </c>
      <c r="Q164" t="n">
        <v>1</v>
      </c>
      <c r="R164" s="2" t="inlineStr">
        <is>
          <t>Orange taggsvamp</t>
        </is>
      </c>
      <c r="S164">
        <f>HYPERLINK("https://klasma.github.io/Logging_0188/artfynd/A 61011-2022 artfynd.xlsx", "A 61011-2022")</f>
        <v/>
      </c>
      <c r="T164">
        <f>HYPERLINK("https://klasma.github.io/Logging_0188/kartor/A 61011-2022 karta.png", "A 61011-2022")</f>
        <v/>
      </c>
      <c r="V164">
        <f>HYPERLINK("https://klasma.github.io/Logging_0188/klagomål/A 61011-2022 FSC-klagomål.docx", "A 61011-2022")</f>
        <v/>
      </c>
      <c r="W164">
        <f>HYPERLINK("https://klasma.github.io/Logging_0188/klagomålsmail/A 61011-2022 FSC-klagomål mail.docx", "A 61011-2022")</f>
        <v/>
      </c>
      <c r="X164">
        <f>HYPERLINK("https://klasma.github.io/Logging_0188/tillsyn/A 61011-2022 tillsynsbegäran.docx", "A 61011-2022")</f>
        <v/>
      </c>
      <c r="Y164">
        <f>HYPERLINK("https://klasma.github.io/Logging_0188/tillsynsmail/A 61011-2022 tillsynsbegäran mail.docx", "A 61011-2022")</f>
        <v/>
      </c>
    </row>
    <row r="165" ht="15" customHeight="1">
      <c r="A165" t="inlineStr">
        <is>
          <t>A 4385-2023</t>
        </is>
      </c>
      <c r="B165" s="1" t="n">
        <v>44955</v>
      </c>
      <c r="C165" s="1" t="n">
        <v>45729</v>
      </c>
      <c r="D165" t="inlineStr">
        <is>
          <t>STOCKHOLMS LÄN</t>
        </is>
      </c>
      <c r="E165" t="inlineStr">
        <is>
          <t>NORRTÄLJE</t>
        </is>
      </c>
      <c r="G165" t="n">
        <v>7.8</v>
      </c>
      <c r="H165" t="n">
        <v>1</v>
      </c>
      <c r="I165" t="n">
        <v>1</v>
      </c>
      <c r="J165" t="n">
        <v>0</v>
      </c>
      <c r="K165" t="n">
        <v>0</v>
      </c>
      <c r="L165" t="n">
        <v>0</v>
      </c>
      <c r="M165" t="n">
        <v>0</v>
      </c>
      <c r="N165" t="n">
        <v>0</v>
      </c>
      <c r="O165" t="n">
        <v>0</v>
      </c>
      <c r="P165" t="n">
        <v>0</v>
      </c>
      <c r="Q165" t="n">
        <v>1</v>
      </c>
      <c r="R165" s="2" t="inlineStr">
        <is>
          <t>Skogsknipprot</t>
        </is>
      </c>
      <c r="S165">
        <f>HYPERLINK("https://klasma.github.io/Logging_0188/artfynd/A 4385-2023 artfynd.xlsx", "A 4385-2023")</f>
        <v/>
      </c>
      <c r="T165">
        <f>HYPERLINK("https://klasma.github.io/Logging_0188/kartor/A 4385-2023 karta.png", "A 4385-2023")</f>
        <v/>
      </c>
      <c r="V165">
        <f>HYPERLINK("https://klasma.github.io/Logging_0188/klagomål/A 4385-2023 FSC-klagomål.docx", "A 4385-2023")</f>
        <v/>
      </c>
      <c r="W165">
        <f>HYPERLINK("https://klasma.github.io/Logging_0188/klagomålsmail/A 4385-2023 FSC-klagomål mail.docx", "A 4385-2023")</f>
        <v/>
      </c>
      <c r="X165">
        <f>HYPERLINK("https://klasma.github.io/Logging_0188/tillsyn/A 4385-2023 tillsynsbegäran.docx", "A 4385-2023")</f>
        <v/>
      </c>
      <c r="Y165">
        <f>HYPERLINK("https://klasma.github.io/Logging_0188/tillsynsmail/A 4385-2023 tillsynsbegäran mail.docx", "A 4385-2023")</f>
        <v/>
      </c>
    </row>
    <row r="166" ht="15" customHeight="1">
      <c r="A166" t="inlineStr">
        <is>
          <t>A 4595-2023</t>
        </is>
      </c>
      <c r="B166" s="1" t="n">
        <v>44956</v>
      </c>
      <c r="C166" s="1" t="n">
        <v>45729</v>
      </c>
      <c r="D166" t="inlineStr">
        <is>
          <t>STOCKHOLMS LÄN</t>
        </is>
      </c>
      <c r="E166" t="inlineStr">
        <is>
          <t>NORRTÄLJE</t>
        </is>
      </c>
      <c r="G166" t="n">
        <v>0.6</v>
      </c>
      <c r="H166" t="n">
        <v>1</v>
      </c>
      <c r="I166" t="n">
        <v>0</v>
      </c>
      <c r="J166" t="n">
        <v>0</v>
      </c>
      <c r="K166" t="n">
        <v>0</v>
      </c>
      <c r="L166" t="n">
        <v>0</v>
      </c>
      <c r="M166" t="n">
        <v>0</v>
      </c>
      <c r="N166" t="n">
        <v>0</v>
      </c>
      <c r="O166" t="n">
        <v>0</v>
      </c>
      <c r="P166" t="n">
        <v>0</v>
      </c>
      <c r="Q166" t="n">
        <v>1</v>
      </c>
      <c r="R166" s="2" t="inlineStr">
        <is>
          <t>Blåsippa</t>
        </is>
      </c>
      <c r="S166">
        <f>HYPERLINK("https://klasma.github.io/Logging_0188/artfynd/A 4595-2023 artfynd.xlsx", "A 4595-2023")</f>
        <v/>
      </c>
      <c r="T166">
        <f>HYPERLINK("https://klasma.github.io/Logging_0188/kartor/A 4595-2023 karta.png", "A 4595-2023")</f>
        <v/>
      </c>
      <c r="V166">
        <f>HYPERLINK("https://klasma.github.io/Logging_0188/klagomål/A 4595-2023 FSC-klagomål.docx", "A 4595-2023")</f>
        <v/>
      </c>
      <c r="W166">
        <f>HYPERLINK("https://klasma.github.io/Logging_0188/klagomålsmail/A 4595-2023 FSC-klagomål mail.docx", "A 4595-2023")</f>
        <v/>
      </c>
      <c r="X166">
        <f>HYPERLINK("https://klasma.github.io/Logging_0188/tillsyn/A 4595-2023 tillsynsbegäran.docx", "A 4595-2023")</f>
        <v/>
      </c>
      <c r="Y166">
        <f>HYPERLINK("https://klasma.github.io/Logging_0188/tillsynsmail/A 4595-2023 tillsynsbegäran mail.docx", "A 4595-2023")</f>
        <v/>
      </c>
    </row>
    <row r="167" ht="15" customHeight="1">
      <c r="A167" t="inlineStr">
        <is>
          <t>A 6381-2023</t>
        </is>
      </c>
      <c r="B167" s="1" t="n">
        <v>44965</v>
      </c>
      <c r="C167" s="1" t="n">
        <v>45729</v>
      </c>
      <c r="D167" t="inlineStr">
        <is>
          <t>STOCKHOLMS LÄN</t>
        </is>
      </c>
      <c r="E167" t="inlineStr">
        <is>
          <t>NORRTÄLJE</t>
        </is>
      </c>
      <c r="G167" t="n">
        <v>3.5</v>
      </c>
      <c r="H167" t="n">
        <v>1</v>
      </c>
      <c r="I167" t="n">
        <v>1</v>
      </c>
      <c r="J167" t="n">
        <v>0</v>
      </c>
      <c r="K167" t="n">
        <v>0</v>
      </c>
      <c r="L167" t="n">
        <v>0</v>
      </c>
      <c r="M167" t="n">
        <v>0</v>
      </c>
      <c r="N167" t="n">
        <v>0</v>
      </c>
      <c r="O167" t="n">
        <v>0</v>
      </c>
      <c r="P167" t="n">
        <v>0</v>
      </c>
      <c r="Q167" t="n">
        <v>1</v>
      </c>
      <c r="R167" s="2" t="inlineStr">
        <is>
          <t>Guckusko</t>
        </is>
      </c>
      <c r="S167">
        <f>HYPERLINK("https://klasma.github.io/Logging_0188/artfynd/A 6381-2023 artfynd.xlsx", "A 6381-2023")</f>
        <v/>
      </c>
      <c r="T167">
        <f>HYPERLINK("https://klasma.github.io/Logging_0188/kartor/A 6381-2023 karta.png", "A 6381-2023")</f>
        <v/>
      </c>
      <c r="V167">
        <f>HYPERLINK("https://klasma.github.io/Logging_0188/klagomål/A 6381-2023 FSC-klagomål.docx", "A 6381-2023")</f>
        <v/>
      </c>
      <c r="W167">
        <f>HYPERLINK("https://klasma.github.io/Logging_0188/klagomålsmail/A 6381-2023 FSC-klagomål mail.docx", "A 6381-2023")</f>
        <v/>
      </c>
      <c r="X167">
        <f>HYPERLINK("https://klasma.github.io/Logging_0188/tillsyn/A 6381-2023 tillsynsbegäran.docx", "A 6381-2023")</f>
        <v/>
      </c>
      <c r="Y167">
        <f>HYPERLINK("https://klasma.github.io/Logging_0188/tillsynsmail/A 6381-2023 tillsynsbegäran mail.docx", "A 6381-2023")</f>
        <v/>
      </c>
    </row>
    <row r="168" ht="15" customHeight="1">
      <c r="A168" t="inlineStr">
        <is>
          <t>A 9214-2023</t>
        </is>
      </c>
      <c r="B168" s="1" t="n">
        <v>44980</v>
      </c>
      <c r="C168" s="1" t="n">
        <v>45729</v>
      </c>
      <c r="D168" t="inlineStr">
        <is>
          <t>STOCKHOLMS LÄN</t>
        </is>
      </c>
      <c r="E168" t="inlineStr">
        <is>
          <t>NORRTÄLJE</t>
        </is>
      </c>
      <c r="G168" t="n">
        <v>10.6</v>
      </c>
      <c r="H168" t="n">
        <v>1</v>
      </c>
      <c r="I168" t="n">
        <v>1</v>
      </c>
      <c r="J168" t="n">
        <v>0</v>
      </c>
      <c r="K168" t="n">
        <v>0</v>
      </c>
      <c r="L168" t="n">
        <v>0</v>
      </c>
      <c r="M168" t="n">
        <v>0</v>
      </c>
      <c r="N168" t="n">
        <v>0</v>
      </c>
      <c r="O168" t="n">
        <v>0</v>
      </c>
      <c r="P168" t="n">
        <v>0</v>
      </c>
      <c r="Q168" t="n">
        <v>1</v>
      </c>
      <c r="R168" s="2" t="inlineStr">
        <is>
          <t>Guckusko</t>
        </is>
      </c>
      <c r="S168">
        <f>HYPERLINK("https://klasma.github.io/Logging_0188/artfynd/A 9214-2023 artfynd.xlsx", "A 9214-2023")</f>
        <v/>
      </c>
      <c r="T168">
        <f>HYPERLINK("https://klasma.github.io/Logging_0188/kartor/A 9214-2023 karta.png", "A 9214-2023")</f>
        <v/>
      </c>
      <c r="V168">
        <f>HYPERLINK("https://klasma.github.io/Logging_0188/klagomål/A 9214-2023 FSC-klagomål.docx", "A 9214-2023")</f>
        <v/>
      </c>
      <c r="W168">
        <f>HYPERLINK("https://klasma.github.io/Logging_0188/klagomålsmail/A 9214-2023 FSC-klagomål mail.docx", "A 9214-2023")</f>
        <v/>
      </c>
      <c r="X168">
        <f>HYPERLINK("https://klasma.github.io/Logging_0188/tillsyn/A 9214-2023 tillsynsbegäran.docx", "A 9214-2023")</f>
        <v/>
      </c>
      <c r="Y168">
        <f>HYPERLINK("https://klasma.github.io/Logging_0188/tillsynsmail/A 9214-2023 tillsynsbegäran mail.docx", "A 9214-2023")</f>
        <v/>
      </c>
    </row>
    <row r="169" ht="15" customHeight="1">
      <c r="A169" t="inlineStr">
        <is>
          <t>A 9271-2023</t>
        </is>
      </c>
      <c r="B169" s="1" t="n">
        <v>44980</v>
      </c>
      <c r="C169" s="1" t="n">
        <v>45729</v>
      </c>
      <c r="D169" t="inlineStr">
        <is>
          <t>STOCKHOLMS LÄN</t>
        </is>
      </c>
      <c r="E169" t="inlineStr">
        <is>
          <t>NORRTÄLJE</t>
        </is>
      </c>
      <c r="G169" t="n">
        <v>5.3</v>
      </c>
      <c r="H169" t="n">
        <v>1</v>
      </c>
      <c r="I169" t="n">
        <v>0</v>
      </c>
      <c r="J169" t="n">
        <v>0</v>
      </c>
      <c r="K169" t="n">
        <v>1</v>
      </c>
      <c r="L169" t="n">
        <v>0</v>
      </c>
      <c r="M169" t="n">
        <v>0</v>
      </c>
      <c r="N169" t="n">
        <v>0</v>
      </c>
      <c r="O169" t="n">
        <v>1</v>
      </c>
      <c r="P169" t="n">
        <v>1</v>
      </c>
      <c r="Q169" t="n">
        <v>1</v>
      </c>
      <c r="R169" s="2" t="inlineStr">
        <is>
          <t>Hällebräcka</t>
        </is>
      </c>
      <c r="S169">
        <f>HYPERLINK("https://klasma.github.io/Logging_0188/artfynd/A 9271-2023 artfynd.xlsx", "A 9271-2023")</f>
        <v/>
      </c>
      <c r="T169">
        <f>HYPERLINK("https://klasma.github.io/Logging_0188/kartor/A 9271-2023 karta.png", "A 9271-2023")</f>
        <v/>
      </c>
      <c r="V169">
        <f>HYPERLINK("https://klasma.github.io/Logging_0188/klagomål/A 9271-2023 FSC-klagomål.docx", "A 9271-2023")</f>
        <v/>
      </c>
      <c r="W169">
        <f>HYPERLINK("https://klasma.github.io/Logging_0188/klagomålsmail/A 9271-2023 FSC-klagomål mail.docx", "A 9271-2023")</f>
        <v/>
      </c>
      <c r="X169">
        <f>HYPERLINK("https://klasma.github.io/Logging_0188/tillsyn/A 9271-2023 tillsynsbegäran.docx", "A 9271-2023")</f>
        <v/>
      </c>
      <c r="Y169">
        <f>HYPERLINK("https://klasma.github.io/Logging_0188/tillsynsmail/A 9271-2023 tillsynsbegäran mail.docx", "A 9271-2023")</f>
        <v/>
      </c>
    </row>
    <row r="170" ht="15" customHeight="1">
      <c r="A170" t="inlineStr">
        <is>
          <t>A 9522-2023</t>
        </is>
      </c>
      <c r="B170" s="1" t="n">
        <v>44981</v>
      </c>
      <c r="C170" s="1" t="n">
        <v>45729</v>
      </c>
      <c r="D170" t="inlineStr">
        <is>
          <t>STOCKHOLMS LÄN</t>
        </is>
      </c>
      <c r="E170" t="inlineStr">
        <is>
          <t>NORRTÄLJE</t>
        </is>
      </c>
      <c r="F170" t="inlineStr">
        <is>
          <t>Holmen skog AB</t>
        </is>
      </c>
      <c r="G170" t="n">
        <v>7.5</v>
      </c>
      <c r="H170" t="n">
        <v>1</v>
      </c>
      <c r="I170" t="n">
        <v>0</v>
      </c>
      <c r="J170" t="n">
        <v>0</v>
      </c>
      <c r="K170" t="n">
        <v>0</v>
      </c>
      <c r="L170" t="n">
        <v>1</v>
      </c>
      <c r="M170" t="n">
        <v>0</v>
      </c>
      <c r="N170" t="n">
        <v>0</v>
      </c>
      <c r="O170" t="n">
        <v>1</v>
      </c>
      <c r="P170" t="n">
        <v>1</v>
      </c>
      <c r="Q170" t="n">
        <v>1</v>
      </c>
      <c r="R170" s="2" t="inlineStr">
        <is>
          <t>Asknätfjäril</t>
        </is>
      </c>
      <c r="S170">
        <f>HYPERLINK("https://klasma.github.io/Logging_0188/artfynd/A 9522-2023 artfynd.xlsx", "A 9522-2023")</f>
        <v/>
      </c>
      <c r="T170">
        <f>HYPERLINK("https://klasma.github.io/Logging_0188/kartor/A 9522-2023 karta.png", "A 9522-2023")</f>
        <v/>
      </c>
      <c r="V170">
        <f>HYPERLINK("https://klasma.github.io/Logging_0188/klagomål/A 9522-2023 FSC-klagomål.docx", "A 9522-2023")</f>
        <v/>
      </c>
      <c r="W170">
        <f>HYPERLINK("https://klasma.github.io/Logging_0188/klagomålsmail/A 9522-2023 FSC-klagomål mail.docx", "A 9522-2023")</f>
        <v/>
      </c>
      <c r="X170">
        <f>HYPERLINK("https://klasma.github.io/Logging_0188/tillsyn/A 9522-2023 tillsynsbegäran.docx", "A 9522-2023")</f>
        <v/>
      </c>
      <c r="Y170">
        <f>HYPERLINK("https://klasma.github.io/Logging_0188/tillsynsmail/A 9522-2023 tillsynsbegäran mail.docx", "A 9522-2023")</f>
        <v/>
      </c>
    </row>
    <row r="171" ht="15" customHeight="1">
      <c r="A171" t="inlineStr">
        <is>
          <t>A 10019-2023</t>
        </is>
      </c>
      <c r="B171" s="1" t="n">
        <v>44985</v>
      </c>
      <c r="C171" s="1" t="n">
        <v>45729</v>
      </c>
      <c r="D171" t="inlineStr">
        <is>
          <t>STOCKHOLMS LÄN</t>
        </is>
      </c>
      <c r="E171" t="inlineStr">
        <is>
          <t>NORRTÄLJE</t>
        </is>
      </c>
      <c r="G171" t="n">
        <v>8.4</v>
      </c>
      <c r="H171" t="n">
        <v>0</v>
      </c>
      <c r="I171" t="n">
        <v>1</v>
      </c>
      <c r="J171" t="n">
        <v>0</v>
      </c>
      <c r="K171" t="n">
        <v>0</v>
      </c>
      <c r="L171" t="n">
        <v>0</v>
      </c>
      <c r="M171" t="n">
        <v>0</v>
      </c>
      <c r="N171" t="n">
        <v>0</v>
      </c>
      <c r="O171" t="n">
        <v>0</v>
      </c>
      <c r="P171" t="n">
        <v>0</v>
      </c>
      <c r="Q171" t="n">
        <v>1</v>
      </c>
      <c r="R171" s="2" t="inlineStr">
        <is>
          <t>Underviol</t>
        </is>
      </c>
      <c r="S171">
        <f>HYPERLINK("https://klasma.github.io/Logging_0188/artfynd/A 10019-2023 artfynd.xlsx", "A 10019-2023")</f>
        <v/>
      </c>
      <c r="T171">
        <f>HYPERLINK("https://klasma.github.io/Logging_0188/kartor/A 10019-2023 karta.png", "A 10019-2023")</f>
        <v/>
      </c>
      <c r="V171">
        <f>HYPERLINK("https://klasma.github.io/Logging_0188/klagomål/A 10019-2023 FSC-klagomål.docx", "A 10019-2023")</f>
        <v/>
      </c>
      <c r="W171">
        <f>HYPERLINK("https://klasma.github.io/Logging_0188/klagomålsmail/A 10019-2023 FSC-klagomål mail.docx", "A 10019-2023")</f>
        <v/>
      </c>
      <c r="X171">
        <f>HYPERLINK("https://klasma.github.io/Logging_0188/tillsyn/A 10019-2023 tillsynsbegäran.docx", "A 10019-2023")</f>
        <v/>
      </c>
      <c r="Y171">
        <f>HYPERLINK("https://klasma.github.io/Logging_0188/tillsynsmail/A 10019-2023 tillsynsbegäran mail.docx", "A 10019-2023")</f>
        <v/>
      </c>
    </row>
    <row r="172" ht="15" customHeight="1">
      <c r="A172" t="inlineStr">
        <is>
          <t>A 11429-2023</t>
        </is>
      </c>
      <c r="B172" s="1" t="n">
        <v>44993</v>
      </c>
      <c r="C172" s="1" t="n">
        <v>45729</v>
      </c>
      <c r="D172" t="inlineStr">
        <is>
          <t>STOCKHOLMS LÄN</t>
        </is>
      </c>
      <c r="E172" t="inlineStr">
        <is>
          <t>NORRTÄLJE</t>
        </is>
      </c>
      <c r="G172" t="n">
        <v>2</v>
      </c>
      <c r="H172" t="n">
        <v>0</v>
      </c>
      <c r="I172" t="n">
        <v>0</v>
      </c>
      <c r="J172" t="n">
        <v>1</v>
      </c>
      <c r="K172" t="n">
        <v>0</v>
      </c>
      <c r="L172" t="n">
        <v>0</v>
      </c>
      <c r="M172" t="n">
        <v>0</v>
      </c>
      <c r="N172" t="n">
        <v>0</v>
      </c>
      <c r="O172" t="n">
        <v>1</v>
      </c>
      <c r="P172" t="n">
        <v>0</v>
      </c>
      <c r="Q172" t="n">
        <v>1</v>
      </c>
      <c r="R172" s="2" t="inlineStr">
        <is>
          <t>Skogsklocka</t>
        </is>
      </c>
      <c r="S172">
        <f>HYPERLINK("https://klasma.github.io/Logging_0188/artfynd/A 11429-2023 artfynd.xlsx", "A 11429-2023")</f>
        <v/>
      </c>
      <c r="T172">
        <f>HYPERLINK("https://klasma.github.io/Logging_0188/kartor/A 11429-2023 karta.png", "A 11429-2023")</f>
        <v/>
      </c>
      <c r="V172">
        <f>HYPERLINK("https://klasma.github.io/Logging_0188/klagomål/A 11429-2023 FSC-klagomål.docx", "A 11429-2023")</f>
        <v/>
      </c>
      <c r="W172">
        <f>HYPERLINK("https://klasma.github.io/Logging_0188/klagomålsmail/A 11429-2023 FSC-klagomål mail.docx", "A 11429-2023")</f>
        <v/>
      </c>
      <c r="X172">
        <f>HYPERLINK("https://klasma.github.io/Logging_0188/tillsyn/A 11429-2023 tillsynsbegäran.docx", "A 11429-2023")</f>
        <v/>
      </c>
      <c r="Y172">
        <f>HYPERLINK("https://klasma.github.io/Logging_0188/tillsynsmail/A 11429-2023 tillsynsbegäran mail.docx", "A 11429-2023")</f>
        <v/>
      </c>
    </row>
    <row r="173" ht="15" customHeight="1">
      <c r="A173" t="inlineStr">
        <is>
          <t>A 12442-2023</t>
        </is>
      </c>
      <c r="B173" s="1" t="n">
        <v>44999</v>
      </c>
      <c r="C173" s="1" t="n">
        <v>45729</v>
      </c>
      <c r="D173" t="inlineStr">
        <is>
          <t>STOCKHOLMS LÄN</t>
        </is>
      </c>
      <c r="E173" t="inlineStr">
        <is>
          <t>NORRTÄLJE</t>
        </is>
      </c>
      <c r="G173" t="n">
        <v>1.9</v>
      </c>
      <c r="H173" t="n">
        <v>1</v>
      </c>
      <c r="I173" t="n">
        <v>0</v>
      </c>
      <c r="J173" t="n">
        <v>0</v>
      </c>
      <c r="K173" t="n">
        <v>0</v>
      </c>
      <c r="L173" t="n">
        <v>0</v>
      </c>
      <c r="M173" t="n">
        <v>0</v>
      </c>
      <c r="N173" t="n">
        <v>0</v>
      </c>
      <c r="O173" t="n">
        <v>0</v>
      </c>
      <c r="P173" t="n">
        <v>0</v>
      </c>
      <c r="Q173" t="n">
        <v>1</v>
      </c>
      <c r="R173" s="2" t="inlineStr">
        <is>
          <t>Gullviva</t>
        </is>
      </c>
      <c r="S173">
        <f>HYPERLINK("https://klasma.github.io/Logging_0188/artfynd/A 12442-2023 artfynd.xlsx", "A 12442-2023")</f>
        <v/>
      </c>
      <c r="T173">
        <f>HYPERLINK("https://klasma.github.io/Logging_0188/kartor/A 12442-2023 karta.png", "A 12442-2023")</f>
        <v/>
      </c>
      <c r="V173">
        <f>HYPERLINK("https://klasma.github.io/Logging_0188/klagomål/A 12442-2023 FSC-klagomål.docx", "A 12442-2023")</f>
        <v/>
      </c>
      <c r="W173">
        <f>HYPERLINK("https://klasma.github.io/Logging_0188/klagomålsmail/A 12442-2023 FSC-klagomål mail.docx", "A 12442-2023")</f>
        <v/>
      </c>
      <c r="X173">
        <f>HYPERLINK("https://klasma.github.io/Logging_0188/tillsyn/A 12442-2023 tillsynsbegäran.docx", "A 12442-2023")</f>
        <v/>
      </c>
      <c r="Y173">
        <f>HYPERLINK("https://klasma.github.io/Logging_0188/tillsynsmail/A 12442-2023 tillsynsbegäran mail.docx", "A 12442-2023")</f>
        <v/>
      </c>
    </row>
    <row r="174" ht="15" customHeight="1">
      <c r="A174" t="inlineStr">
        <is>
          <t>A 15644-2023</t>
        </is>
      </c>
      <c r="B174" s="1" t="n">
        <v>45021</v>
      </c>
      <c r="C174" s="1" t="n">
        <v>45729</v>
      </c>
      <c r="D174" t="inlineStr">
        <is>
          <t>STOCKHOLMS LÄN</t>
        </is>
      </c>
      <c r="E174" t="inlineStr">
        <is>
          <t>NORRTÄLJE</t>
        </is>
      </c>
      <c r="F174" t="inlineStr">
        <is>
          <t>Holmen skog AB</t>
        </is>
      </c>
      <c r="G174" t="n">
        <v>13</v>
      </c>
      <c r="H174" t="n">
        <v>1</v>
      </c>
      <c r="I174" t="n">
        <v>0</v>
      </c>
      <c r="J174" t="n">
        <v>0</v>
      </c>
      <c r="K174" t="n">
        <v>0</v>
      </c>
      <c r="L174" t="n">
        <v>1</v>
      </c>
      <c r="M174" t="n">
        <v>0</v>
      </c>
      <c r="N174" t="n">
        <v>0</v>
      </c>
      <c r="O174" t="n">
        <v>1</v>
      </c>
      <c r="P174" t="n">
        <v>1</v>
      </c>
      <c r="Q174" t="n">
        <v>1</v>
      </c>
      <c r="R174" s="2" t="inlineStr">
        <is>
          <t>Asknätfjäril</t>
        </is>
      </c>
      <c r="S174">
        <f>HYPERLINK("https://klasma.github.io/Logging_0188/artfynd/A 15644-2023 artfynd.xlsx", "A 15644-2023")</f>
        <v/>
      </c>
      <c r="T174">
        <f>HYPERLINK("https://klasma.github.io/Logging_0188/kartor/A 15644-2023 karta.png", "A 15644-2023")</f>
        <v/>
      </c>
      <c r="V174">
        <f>HYPERLINK("https://klasma.github.io/Logging_0188/klagomål/A 15644-2023 FSC-klagomål.docx", "A 15644-2023")</f>
        <v/>
      </c>
      <c r="W174">
        <f>HYPERLINK("https://klasma.github.io/Logging_0188/klagomålsmail/A 15644-2023 FSC-klagomål mail.docx", "A 15644-2023")</f>
        <v/>
      </c>
      <c r="X174">
        <f>HYPERLINK("https://klasma.github.io/Logging_0188/tillsyn/A 15644-2023 tillsynsbegäran.docx", "A 15644-2023")</f>
        <v/>
      </c>
      <c r="Y174">
        <f>HYPERLINK("https://klasma.github.io/Logging_0188/tillsynsmail/A 15644-2023 tillsynsbegäran mail.docx", "A 15644-2023")</f>
        <v/>
      </c>
    </row>
    <row r="175" ht="15" customHeight="1">
      <c r="A175" t="inlineStr">
        <is>
          <t>A 18216-2023</t>
        </is>
      </c>
      <c r="B175" s="1" t="n">
        <v>45041</v>
      </c>
      <c r="C175" s="1" t="n">
        <v>45729</v>
      </c>
      <c r="D175" t="inlineStr">
        <is>
          <t>STOCKHOLMS LÄN</t>
        </is>
      </c>
      <c r="E175" t="inlineStr">
        <is>
          <t>NORRTÄLJE</t>
        </is>
      </c>
      <c r="F175" t="inlineStr">
        <is>
          <t>Holmen skog AB</t>
        </is>
      </c>
      <c r="G175" t="n">
        <v>1.9</v>
      </c>
      <c r="H175" t="n">
        <v>0</v>
      </c>
      <c r="I175" t="n">
        <v>1</v>
      </c>
      <c r="J175" t="n">
        <v>0</v>
      </c>
      <c r="K175" t="n">
        <v>0</v>
      </c>
      <c r="L175" t="n">
        <v>0</v>
      </c>
      <c r="M175" t="n">
        <v>0</v>
      </c>
      <c r="N175" t="n">
        <v>0</v>
      </c>
      <c r="O175" t="n">
        <v>0</v>
      </c>
      <c r="P175" t="n">
        <v>0</v>
      </c>
      <c r="Q175" t="n">
        <v>1</v>
      </c>
      <c r="R175" s="2" t="inlineStr">
        <is>
          <t>Vårärt</t>
        </is>
      </c>
      <c r="S175">
        <f>HYPERLINK("https://klasma.github.io/Logging_0188/artfynd/A 18216-2023 artfynd.xlsx", "A 18216-2023")</f>
        <v/>
      </c>
      <c r="T175">
        <f>HYPERLINK("https://klasma.github.io/Logging_0188/kartor/A 18216-2023 karta.png", "A 18216-2023")</f>
        <v/>
      </c>
      <c r="V175">
        <f>HYPERLINK("https://klasma.github.io/Logging_0188/klagomål/A 18216-2023 FSC-klagomål.docx", "A 18216-2023")</f>
        <v/>
      </c>
      <c r="W175">
        <f>HYPERLINK("https://klasma.github.io/Logging_0188/klagomålsmail/A 18216-2023 FSC-klagomål mail.docx", "A 18216-2023")</f>
        <v/>
      </c>
      <c r="X175">
        <f>HYPERLINK("https://klasma.github.io/Logging_0188/tillsyn/A 18216-2023 tillsynsbegäran.docx", "A 18216-2023")</f>
        <v/>
      </c>
      <c r="Y175">
        <f>HYPERLINK("https://klasma.github.io/Logging_0188/tillsynsmail/A 18216-2023 tillsynsbegäran mail.docx", "A 18216-2023")</f>
        <v/>
      </c>
    </row>
    <row r="176" ht="15" customHeight="1">
      <c r="A176" t="inlineStr">
        <is>
          <t>A 21431-2023</t>
        </is>
      </c>
      <c r="B176" s="1" t="n">
        <v>45063</v>
      </c>
      <c r="C176" s="1" t="n">
        <v>45729</v>
      </c>
      <c r="D176" t="inlineStr">
        <is>
          <t>STOCKHOLMS LÄN</t>
        </is>
      </c>
      <c r="E176" t="inlineStr">
        <is>
          <t>NORRTÄLJE</t>
        </is>
      </c>
      <c r="F176" t="inlineStr">
        <is>
          <t>Holmen skog AB</t>
        </is>
      </c>
      <c r="G176" t="n">
        <v>4</v>
      </c>
      <c r="H176" t="n">
        <v>1</v>
      </c>
      <c r="I176" t="n">
        <v>1</v>
      </c>
      <c r="J176" t="n">
        <v>0</v>
      </c>
      <c r="K176" t="n">
        <v>0</v>
      </c>
      <c r="L176" t="n">
        <v>0</v>
      </c>
      <c r="M176" t="n">
        <v>0</v>
      </c>
      <c r="N176" t="n">
        <v>0</v>
      </c>
      <c r="O176" t="n">
        <v>0</v>
      </c>
      <c r="P176" t="n">
        <v>0</v>
      </c>
      <c r="Q176" t="n">
        <v>1</v>
      </c>
      <c r="R176" s="2" t="inlineStr">
        <is>
          <t>Nästrot</t>
        </is>
      </c>
      <c r="S176">
        <f>HYPERLINK("https://klasma.github.io/Logging_0188/artfynd/A 21431-2023 artfynd.xlsx", "A 21431-2023")</f>
        <v/>
      </c>
      <c r="T176">
        <f>HYPERLINK("https://klasma.github.io/Logging_0188/kartor/A 21431-2023 karta.png", "A 21431-2023")</f>
        <v/>
      </c>
      <c r="V176">
        <f>HYPERLINK("https://klasma.github.io/Logging_0188/klagomål/A 21431-2023 FSC-klagomål.docx", "A 21431-2023")</f>
        <v/>
      </c>
      <c r="W176">
        <f>HYPERLINK("https://klasma.github.io/Logging_0188/klagomålsmail/A 21431-2023 FSC-klagomål mail.docx", "A 21431-2023")</f>
        <v/>
      </c>
      <c r="X176">
        <f>HYPERLINK("https://klasma.github.io/Logging_0188/tillsyn/A 21431-2023 tillsynsbegäran.docx", "A 21431-2023")</f>
        <v/>
      </c>
      <c r="Y176">
        <f>HYPERLINK("https://klasma.github.io/Logging_0188/tillsynsmail/A 21431-2023 tillsynsbegäran mail.docx", "A 21431-2023")</f>
        <v/>
      </c>
    </row>
    <row r="177" ht="15" customHeight="1">
      <c r="A177" t="inlineStr">
        <is>
          <t>A 21744-2023</t>
        </is>
      </c>
      <c r="B177" s="1" t="n">
        <v>45065</v>
      </c>
      <c r="C177" s="1" t="n">
        <v>45729</v>
      </c>
      <c r="D177" t="inlineStr">
        <is>
          <t>STOCKHOLMS LÄN</t>
        </is>
      </c>
      <c r="E177" t="inlineStr">
        <is>
          <t>NORRTÄLJE</t>
        </is>
      </c>
      <c r="F177" t="inlineStr">
        <is>
          <t>Holmen skog AB</t>
        </is>
      </c>
      <c r="G177" t="n">
        <v>4.2</v>
      </c>
      <c r="H177" t="n">
        <v>0</v>
      </c>
      <c r="I177" t="n">
        <v>1</v>
      </c>
      <c r="J177" t="n">
        <v>0</v>
      </c>
      <c r="K177" t="n">
        <v>0</v>
      </c>
      <c r="L177" t="n">
        <v>0</v>
      </c>
      <c r="M177" t="n">
        <v>0</v>
      </c>
      <c r="N177" t="n">
        <v>0</v>
      </c>
      <c r="O177" t="n">
        <v>0</v>
      </c>
      <c r="P177" t="n">
        <v>0</v>
      </c>
      <c r="Q177" t="n">
        <v>1</v>
      </c>
      <c r="R177" s="2" t="inlineStr">
        <is>
          <t>Korallblylav</t>
        </is>
      </c>
      <c r="S177">
        <f>HYPERLINK("https://klasma.github.io/Logging_0188/artfynd/A 21744-2023 artfynd.xlsx", "A 21744-2023")</f>
        <v/>
      </c>
      <c r="T177">
        <f>HYPERLINK("https://klasma.github.io/Logging_0188/kartor/A 21744-2023 karta.png", "A 21744-2023")</f>
        <v/>
      </c>
      <c r="V177">
        <f>HYPERLINK("https://klasma.github.io/Logging_0188/klagomål/A 21744-2023 FSC-klagomål.docx", "A 21744-2023")</f>
        <v/>
      </c>
      <c r="W177">
        <f>HYPERLINK("https://klasma.github.io/Logging_0188/klagomålsmail/A 21744-2023 FSC-klagomål mail.docx", "A 21744-2023")</f>
        <v/>
      </c>
      <c r="X177">
        <f>HYPERLINK("https://klasma.github.io/Logging_0188/tillsyn/A 21744-2023 tillsynsbegäran.docx", "A 21744-2023")</f>
        <v/>
      </c>
      <c r="Y177">
        <f>HYPERLINK("https://klasma.github.io/Logging_0188/tillsynsmail/A 21744-2023 tillsynsbegäran mail.docx", "A 21744-2023")</f>
        <v/>
      </c>
    </row>
    <row r="178" ht="15" customHeight="1">
      <c r="A178" t="inlineStr">
        <is>
          <t>A 24535-2023</t>
        </is>
      </c>
      <c r="B178" s="1" t="n">
        <v>45082</v>
      </c>
      <c r="C178" s="1" t="n">
        <v>45729</v>
      </c>
      <c r="D178" t="inlineStr">
        <is>
          <t>STOCKHOLMS LÄN</t>
        </is>
      </c>
      <c r="E178" t="inlineStr">
        <is>
          <t>NORRTÄLJE</t>
        </is>
      </c>
      <c r="F178" t="inlineStr">
        <is>
          <t>Kommuner</t>
        </is>
      </c>
      <c r="G178" t="n">
        <v>2</v>
      </c>
      <c r="H178" t="n">
        <v>1</v>
      </c>
      <c r="I178" t="n">
        <v>0</v>
      </c>
      <c r="J178" t="n">
        <v>0</v>
      </c>
      <c r="K178" t="n">
        <v>0</v>
      </c>
      <c r="L178" t="n">
        <v>0</v>
      </c>
      <c r="M178" t="n">
        <v>0</v>
      </c>
      <c r="N178" t="n">
        <v>0</v>
      </c>
      <c r="O178" t="n">
        <v>0</v>
      </c>
      <c r="P178" t="n">
        <v>0</v>
      </c>
      <c r="Q178" t="n">
        <v>1</v>
      </c>
      <c r="R178" s="2" t="inlineStr">
        <is>
          <t>Blåsippa</t>
        </is>
      </c>
      <c r="S178">
        <f>HYPERLINK("https://klasma.github.io/Logging_0188/artfynd/A 24535-2023 artfynd.xlsx", "A 24535-2023")</f>
        <v/>
      </c>
      <c r="T178">
        <f>HYPERLINK("https://klasma.github.io/Logging_0188/kartor/A 24535-2023 karta.png", "A 24535-2023")</f>
        <v/>
      </c>
      <c r="V178">
        <f>HYPERLINK("https://klasma.github.io/Logging_0188/klagomål/A 24535-2023 FSC-klagomål.docx", "A 24535-2023")</f>
        <v/>
      </c>
      <c r="W178">
        <f>HYPERLINK("https://klasma.github.io/Logging_0188/klagomålsmail/A 24535-2023 FSC-klagomål mail.docx", "A 24535-2023")</f>
        <v/>
      </c>
      <c r="X178">
        <f>HYPERLINK("https://klasma.github.io/Logging_0188/tillsyn/A 24535-2023 tillsynsbegäran.docx", "A 24535-2023")</f>
        <v/>
      </c>
      <c r="Y178">
        <f>HYPERLINK("https://klasma.github.io/Logging_0188/tillsynsmail/A 24535-2023 tillsynsbegäran mail.docx", "A 24535-2023")</f>
        <v/>
      </c>
    </row>
    <row r="179" ht="15" customHeight="1">
      <c r="A179" t="inlineStr">
        <is>
          <t>A 26635-2023</t>
        </is>
      </c>
      <c r="B179" s="1" t="n">
        <v>45092</v>
      </c>
      <c r="C179" s="1" t="n">
        <v>45729</v>
      </c>
      <c r="D179" t="inlineStr">
        <is>
          <t>STOCKHOLMS LÄN</t>
        </is>
      </c>
      <c r="E179" t="inlineStr">
        <is>
          <t>NORRTÄLJE</t>
        </is>
      </c>
      <c r="G179" t="n">
        <v>3.1</v>
      </c>
      <c r="H179" t="n">
        <v>1</v>
      </c>
      <c r="I179" t="n">
        <v>0</v>
      </c>
      <c r="J179" t="n">
        <v>0</v>
      </c>
      <c r="K179" t="n">
        <v>0</v>
      </c>
      <c r="L179" t="n">
        <v>0</v>
      </c>
      <c r="M179" t="n">
        <v>0</v>
      </c>
      <c r="N179" t="n">
        <v>0</v>
      </c>
      <c r="O179" t="n">
        <v>0</v>
      </c>
      <c r="P179" t="n">
        <v>0</v>
      </c>
      <c r="Q179" t="n">
        <v>1</v>
      </c>
      <c r="R179" s="2" t="inlineStr">
        <is>
          <t>Fläcknycklar</t>
        </is>
      </c>
      <c r="S179">
        <f>HYPERLINK("https://klasma.github.io/Logging_0188/artfynd/A 26635-2023 artfynd.xlsx", "A 26635-2023")</f>
        <v/>
      </c>
      <c r="T179">
        <f>HYPERLINK("https://klasma.github.io/Logging_0188/kartor/A 26635-2023 karta.png", "A 26635-2023")</f>
        <v/>
      </c>
      <c r="V179">
        <f>HYPERLINK("https://klasma.github.io/Logging_0188/klagomål/A 26635-2023 FSC-klagomål.docx", "A 26635-2023")</f>
        <v/>
      </c>
      <c r="W179">
        <f>HYPERLINK("https://klasma.github.io/Logging_0188/klagomålsmail/A 26635-2023 FSC-klagomål mail.docx", "A 26635-2023")</f>
        <v/>
      </c>
      <c r="X179">
        <f>HYPERLINK("https://klasma.github.io/Logging_0188/tillsyn/A 26635-2023 tillsynsbegäran.docx", "A 26635-2023")</f>
        <v/>
      </c>
      <c r="Y179">
        <f>HYPERLINK("https://klasma.github.io/Logging_0188/tillsynsmail/A 26635-2023 tillsynsbegäran mail.docx", "A 26635-2023")</f>
        <v/>
      </c>
    </row>
    <row r="180" ht="15" customHeight="1">
      <c r="A180" t="inlineStr">
        <is>
          <t>A 35649-2023</t>
        </is>
      </c>
      <c r="B180" s="1" t="n">
        <v>45146</v>
      </c>
      <c r="C180" s="1" t="n">
        <v>45729</v>
      </c>
      <c r="D180" t="inlineStr">
        <is>
          <t>STOCKHOLMS LÄN</t>
        </is>
      </c>
      <c r="E180" t="inlineStr">
        <is>
          <t>NORRTÄLJE</t>
        </is>
      </c>
      <c r="G180" t="n">
        <v>25.1</v>
      </c>
      <c r="H180" t="n">
        <v>0</v>
      </c>
      <c r="I180" t="n">
        <v>0</v>
      </c>
      <c r="J180" t="n">
        <v>1</v>
      </c>
      <c r="K180" t="n">
        <v>0</v>
      </c>
      <c r="L180" t="n">
        <v>0</v>
      </c>
      <c r="M180" t="n">
        <v>0</v>
      </c>
      <c r="N180" t="n">
        <v>0</v>
      </c>
      <c r="O180" t="n">
        <v>1</v>
      </c>
      <c r="P180" t="n">
        <v>0</v>
      </c>
      <c r="Q180" t="n">
        <v>1</v>
      </c>
      <c r="R180" s="2" t="inlineStr">
        <is>
          <t>Månlåsbräken</t>
        </is>
      </c>
      <c r="S180">
        <f>HYPERLINK("https://klasma.github.io/Logging_0188/artfynd/A 35649-2023 artfynd.xlsx", "A 35649-2023")</f>
        <v/>
      </c>
      <c r="T180">
        <f>HYPERLINK("https://klasma.github.io/Logging_0188/kartor/A 35649-2023 karta.png", "A 35649-2023")</f>
        <v/>
      </c>
      <c r="V180">
        <f>HYPERLINK("https://klasma.github.io/Logging_0188/klagomål/A 35649-2023 FSC-klagomål.docx", "A 35649-2023")</f>
        <v/>
      </c>
      <c r="W180">
        <f>HYPERLINK("https://klasma.github.io/Logging_0188/klagomålsmail/A 35649-2023 FSC-klagomål mail.docx", "A 35649-2023")</f>
        <v/>
      </c>
      <c r="X180">
        <f>HYPERLINK("https://klasma.github.io/Logging_0188/tillsyn/A 35649-2023 tillsynsbegäran.docx", "A 35649-2023")</f>
        <v/>
      </c>
      <c r="Y180">
        <f>HYPERLINK("https://klasma.github.io/Logging_0188/tillsynsmail/A 35649-2023 tillsynsbegäran mail.docx", "A 35649-2023")</f>
        <v/>
      </c>
    </row>
    <row r="181" ht="15" customHeight="1">
      <c r="A181" t="inlineStr">
        <is>
          <t>A 43178-2023</t>
        </is>
      </c>
      <c r="B181" s="1" t="n">
        <v>45183</v>
      </c>
      <c r="C181" s="1" t="n">
        <v>45729</v>
      </c>
      <c r="D181" t="inlineStr">
        <is>
          <t>STOCKHOLMS LÄN</t>
        </is>
      </c>
      <c r="E181" t="inlineStr">
        <is>
          <t>NORRTÄLJE</t>
        </is>
      </c>
      <c r="F181" t="inlineStr">
        <is>
          <t>Kyrkan</t>
        </is>
      </c>
      <c r="G181" t="n">
        <v>1.5</v>
      </c>
      <c r="H181" t="n">
        <v>0</v>
      </c>
      <c r="I181" t="n">
        <v>0</v>
      </c>
      <c r="J181" t="n">
        <v>1</v>
      </c>
      <c r="K181" t="n">
        <v>0</v>
      </c>
      <c r="L181" t="n">
        <v>0</v>
      </c>
      <c r="M181" t="n">
        <v>0</v>
      </c>
      <c r="N181" t="n">
        <v>0</v>
      </c>
      <c r="O181" t="n">
        <v>1</v>
      </c>
      <c r="P181" t="n">
        <v>0</v>
      </c>
      <c r="Q181" t="n">
        <v>1</v>
      </c>
      <c r="R181" s="2" t="inlineStr">
        <is>
          <t>Mindre bastardsvärmare</t>
        </is>
      </c>
      <c r="S181">
        <f>HYPERLINK("https://klasma.github.io/Logging_0188/artfynd/A 43178-2023 artfynd.xlsx", "A 43178-2023")</f>
        <v/>
      </c>
      <c r="T181">
        <f>HYPERLINK("https://klasma.github.io/Logging_0188/kartor/A 43178-2023 karta.png", "A 43178-2023")</f>
        <v/>
      </c>
      <c r="V181">
        <f>HYPERLINK("https://klasma.github.io/Logging_0188/klagomål/A 43178-2023 FSC-klagomål.docx", "A 43178-2023")</f>
        <v/>
      </c>
      <c r="W181">
        <f>HYPERLINK("https://klasma.github.io/Logging_0188/klagomålsmail/A 43178-2023 FSC-klagomål mail.docx", "A 43178-2023")</f>
        <v/>
      </c>
      <c r="X181">
        <f>HYPERLINK("https://klasma.github.io/Logging_0188/tillsyn/A 43178-2023 tillsynsbegäran.docx", "A 43178-2023")</f>
        <v/>
      </c>
      <c r="Y181">
        <f>HYPERLINK("https://klasma.github.io/Logging_0188/tillsynsmail/A 43178-2023 tillsynsbegäran mail.docx", "A 43178-2023")</f>
        <v/>
      </c>
    </row>
    <row r="182" ht="15" customHeight="1">
      <c r="A182" t="inlineStr">
        <is>
          <t>A 43171-2023</t>
        </is>
      </c>
      <c r="B182" s="1" t="n">
        <v>45183</v>
      </c>
      <c r="C182" s="1" t="n">
        <v>45729</v>
      </c>
      <c r="D182" t="inlineStr">
        <is>
          <t>STOCKHOLMS LÄN</t>
        </is>
      </c>
      <c r="E182" t="inlineStr">
        <is>
          <t>NORRTÄLJE</t>
        </is>
      </c>
      <c r="F182" t="inlineStr">
        <is>
          <t>Kyrkan</t>
        </is>
      </c>
      <c r="G182" t="n">
        <v>1.3</v>
      </c>
      <c r="H182" t="n">
        <v>0</v>
      </c>
      <c r="I182" t="n">
        <v>0</v>
      </c>
      <c r="J182" t="n">
        <v>0</v>
      </c>
      <c r="K182" t="n">
        <v>0</v>
      </c>
      <c r="L182" t="n">
        <v>1</v>
      </c>
      <c r="M182" t="n">
        <v>0</v>
      </c>
      <c r="N182" t="n">
        <v>0</v>
      </c>
      <c r="O182" t="n">
        <v>1</v>
      </c>
      <c r="P182" t="n">
        <v>1</v>
      </c>
      <c r="Q182" t="n">
        <v>1</v>
      </c>
      <c r="R182" s="2" t="inlineStr">
        <is>
          <t>Ryl</t>
        </is>
      </c>
      <c r="S182">
        <f>HYPERLINK("https://klasma.github.io/Logging_0188/artfynd/A 43171-2023 artfynd.xlsx", "A 43171-2023")</f>
        <v/>
      </c>
      <c r="T182">
        <f>HYPERLINK("https://klasma.github.io/Logging_0188/kartor/A 43171-2023 karta.png", "A 43171-2023")</f>
        <v/>
      </c>
      <c r="U182">
        <f>HYPERLINK("https://klasma.github.io/Logging_0188/knärot/A 43171-2023 karta knärot.png", "A 43171-2023")</f>
        <v/>
      </c>
      <c r="V182">
        <f>HYPERLINK("https://klasma.github.io/Logging_0188/klagomål/A 43171-2023 FSC-klagomål.docx", "A 43171-2023")</f>
        <v/>
      </c>
      <c r="W182">
        <f>HYPERLINK("https://klasma.github.io/Logging_0188/klagomålsmail/A 43171-2023 FSC-klagomål mail.docx", "A 43171-2023")</f>
        <v/>
      </c>
      <c r="X182">
        <f>HYPERLINK("https://klasma.github.io/Logging_0188/tillsyn/A 43171-2023 tillsynsbegäran.docx", "A 43171-2023")</f>
        <v/>
      </c>
      <c r="Y182">
        <f>HYPERLINK("https://klasma.github.io/Logging_0188/tillsynsmail/A 43171-2023 tillsynsbegäran mail.docx", "A 43171-2023")</f>
        <v/>
      </c>
    </row>
    <row r="183" ht="15" customHeight="1">
      <c r="A183" t="inlineStr">
        <is>
          <t>A 43350-2023</t>
        </is>
      </c>
      <c r="B183" s="1" t="n">
        <v>45183</v>
      </c>
      <c r="C183" s="1" t="n">
        <v>45729</v>
      </c>
      <c r="D183" t="inlineStr">
        <is>
          <t>STOCKHOLMS LÄN</t>
        </is>
      </c>
      <c r="E183" t="inlineStr">
        <is>
          <t>NORRTÄLJE</t>
        </is>
      </c>
      <c r="F183" t="inlineStr">
        <is>
          <t>Holmen skog AB</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HYPERLINK("https://klasma.github.io/Logging_0188/artfynd/A 43350-2023 artfynd.xlsx", "A 43350-2023")</f>
        <v/>
      </c>
      <c r="T183">
        <f>HYPERLINK("https://klasma.github.io/Logging_0188/kartor/A 43350-2023 karta.png", "A 43350-2023")</f>
        <v/>
      </c>
      <c r="V183">
        <f>HYPERLINK("https://klasma.github.io/Logging_0188/klagomål/A 43350-2023 FSC-klagomål.docx", "A 43350-2023")</f>
        <v/>
      </c>
      <c r="W183">
        <f>HYPERLINK("https://klasma.github.io/Logging_0188/klagomålsmail/A 43350-2023 FSC-klagomål mail.docx", "A 43350-2023")</f>
        <v/>
      </c>
      <c r="X183">
        <f>HYPERLINK("https://klasma.github.io/Logging_0188/tillsyn/A 43350-2023 tillsynsbegäran.docx", "A 43350-2023")</f>
        <v/>
      </c>
      <c r="Y183">
        <f>HYPERLINK("https://klasma.github.io/Logging_0188/tillsynsmail/A 43350-2023 tillsynsbegäran mail.docx", "A 43350-2023")</f>
        <v/>
      </c>
    </row>
    <row r="184" ht="15" customHeight="1">
      <c r="A184" t="inlineStr">
        <is>
          <t>A 43354-2023</t>
        </is>
      </c>
      <c r="B184" s="1" t="n">
        <v>45183</v>
      </c>
      <c r="C184" s="1" t="n">
        <v>45729</v>
      </c>
      <c r="D184" t="inlineStr">
        <is>
          <t>STOCKHOLMS LÄN</t>
        </is>
      </c>
      <c r="E184" t="inlineStr">
        <is>
          <t>NORRTÄLJE</t>
        </is>
      </c>
      <c r="F184" t="inlineStr">
        <is>
          <t>Holmen skog AB</t>
        </is>
      </c>
      <c r="G184" t="n">
        <v>9.9</v>
      </c>
      <c r="H184" t="n">
        <v>0</v>
      </c>
      <c r="I184" t="n">
        <v>1</v>
      </c>
      <c r="J184" t="n">
        <v>0</v>
      </c>
      <c r="K184" t="n">
        <v>0</v>
      </c>
      <c r="L184" t="n">
        <v>0</v>
      </c>
      <c r="M184" t="n">
        <v>0</v>
      </c>
      <c r="N184" t="n">
        <v>0</v>
      </c>
      <c r="O184" t="n">
        <v>0</v>
      </c>
      <c r="P184" t="n">
        <v>0</v>
      </c>
      <c r="Q184" t="n">
        <v>1</v>
      </c>
      <c r="R184" s="2" t="inlineStr">
        <is>
          <t>Tibast</t>
        </is>
      </c>
      <c r="S184">
        <f>HYPERLINK("https://klasma.github.io/Logging_0188/artfynd/A 43354-2023 artfynd.xlsx", "A 43354-2023")</f>
        <v/>
      </c>
      <c r="T184">
        <f>HYPERLINK("https://klasma.github.io/Logging_0188/kartor/A 43354-2023 karta.png", "A 43354-2023")</f>
        <v/>
      </c>
      <c r="V184">
        <f>HYPERLINK("https://klasma.github.io/Logging_0188/klagomål/A 43354-2023 FSC-klagomål.docx", "A 43354-2023")</f>
        <v/>
      </c>
      <c r="W184">
        <f>HYPERLINK("https://klasma.github.io/Logging_0188/klagomålsmail/A 43354-2023 FSC-klagomål mail.docx", "A 43354-2023")</f>
        <v/>
      </c>
      <c r="X184">
        <f>HYPERLINK("https://klasma.github.io/Logging_0188/tillsyn/A 43354-2023 tillsynsbegäran.docx", "A 43354-2023")</f>
        <v/>
      </c>
      <c r="Y184">
        <f>HYPERLINK("https://klasma.github.io/Logging_0188/tillsynsmail/A 43354-2023 tillsynsbegäran mail.docx", "A 43354-2023")</f>
        <v/>
      </c>
    </row>
    <row r="185" ht="15" customHeight="1">
      <c r="A185" t="inlineStr">
        <is>
          <t>A 45172-2023</t>
        </is>
      </c>
      <c r="B185" s="1" t="n">
        <v>45191</v>
      </c>
      <c r="C185" s="1" t="n">
        <v>45729</v>
      </c>
      <c r="D185" t="inlineStr">
        <is>
          <t>STOCKHOLMS LÄN</t>
        </is>
      </c>
      <c r="E185" t="inlineStr">
        <is>
          <t>NORRTÄLJE</t>
        </is>
      </c>
      <c r="F185" t="inlineStr">
        <is>
          <t>Sveaskog</t>
        </is>
      </c>
      <c r="G185" t="n">
        <v>3.8</v>
      </c>
      <c r="H185" t="n">
        <v>1</v>
      </c>
      <c r="I185" t="n">
        <v>0</v>
      </c>
      <c r="J185" t="n">
        <v>1</v>
      </c>
      <c r="K185" t="n">
        <v>0</v>
      </c>
      <c r="L185" t="n">
        <v>0</v>
      </c>
      <c r="M185" t="n">
        <v>0</v>
      </c>
      <c r="N185" t="n">
        <v>0</v>
      </c>
      <c r="O185" t="n">
        <v>1</v>
      </c>
      <c r="P185" t="n">
        <v>0</v>
      </c>
      <c r="Q185" t="n">
        <v>1</v>
      </c>
      <c r="R185" s="2" t="inlineStr">
        <is>
          <t>Slaguggla</t>
        </is>
      </c>
      <c r="S185">
        <f>HYPERLINK("https://klasma.github.io/Logging_0188/artfynd/A 45172-2023 artfynd.xlsx", "A 45172-2023")</f>
        <v/>
      </c>
      <c r="T185">
        <f>HYPERLINK("https://klasma.github.io/Logging_0188/kartor/A 45172-2023 karta.png", "A 45172-2023")</f>
        <v/>
      </c>
      <c r="V185">
        <f>HYPERLINK("https://klasma.github.io/Logging_0188/klagomål/A 45172-2023 FSC-klagomål.docx", "A 45172-2023")</f>
        <v/>
      </c>
      <c r="W185">
        <f>HYPERLINK("https://klasma.github.io/Logging_0188/klagomålsmail/A 45172-2023 FSC-klagomål mail.docx", "A 45172-2023")</f>
        <v/>
      </c>
      <c r="X185">
        <f>HYPERLINK("https://klasma.github.io/Logging_0188/tillsyn/A 45172-2023 tillsynsbegäran.docx", "A 45172-2023")</f>
        <v/>
      </c>
      <c r="Y185">
        <f>HYPERLINK("https://klasma.github.io/Logging_0188/tillsynsmail/A 45172-2023 tillsynsbegäran mail.docx", "A 45172-2023")</f>
        <v/>
      </c>
      <c r="Z185">
        <f>HYPERLINK("https://klasma.github.io/Logging_0188/fåglar/A 45172-2023 prioriterade fågelarter.docx", "A 45172-2023")</f>
        <v/>
      </c>
    </row>
    <row r="186" ht="15" customHeight="1">
      <c r="A186" t="inlineStr">
        <is>
          <t>A 48131-2023</t>
        </is>
      </c>
      <c r="B186" s="1" t="n">
        <v>45205</v>
      </c>
      <c r="C186" s="1" t="n">
        <v>45729</v>
      </c>
      <c r="D186" t="inlineStr">
        <is>
          <t>STOCKHOLMS LÄN</t>
        </is>
      </c>
      <c r="E186" t="inlineStr">
        <is>
          <t>NORRTÄLJE</t>
        </is>
      </c>
      <c r="G186" t="n">
        <v>2.3</v>
      </c>
      <c r="H186" t="n">
        <v>0</v>
      </c>
      <c r="I186" t="n">
        <v>0</v>
      </c>
      <c r="J186" t="n">
        <v>1</v>
      </c>
      <c r="K186" t="n">
        <v>0</v>
      </c>
      <c r="L186" t="n">
        <v>0</v>
      </c>
      <c r="M186" t="n">
        <v>0</v>
      </c>
      <c r="N186" t="n">
        <v>0</v>
      </c>
      <c r="O186" t="n">
        <v>1</v>
      </c>
      <c r="P186" t="n">
        <v>0</v>
      </c>
      <c r="Q186" t="n">
        <v>1</v>
      </c>
      <c r="R186" s="2" t="inlineStr">
        <is>
          <t>Slåtterfibbla</t>
        </is>
      </c>
      <c r="S186">
        <f>HYPERLINK("https://klasma.github.io/Logging_0188/artfynd/A 48131-2023 artfynd.xlsx", "A 48131-2023")</f>
        <v/>
      </c>
      <c r="T186">
        <f>HYPERLINK("https://klasma.github.io/Logging_0188/kartor/A 48131-2023 karta.png", "A 48131-2023")</f>
        <v/>
      </c>
      <c r="V186">
        <f>HYPERLINK("https://klasma.github.io/Logging_0188/klagomål/A 48131-2023 FSC-klagomål.docx", "A 48131-2023")</f>
        <v/>
      </c>
      <c r="W186">
        <f>HYPERLINK("https://klasma.github.io/Logging_0188/klagomålsmail/A 48131-2023 FSC-klagomål mail.docx", "A 48131-2023")</f>
        <v/>
      </c>
      <c r="X186">
        <f>HYPERLINK("https://klasma.github.io/Logging_0188/tillsyn/A 48131-2023 tillsynsbegäran.docx", "A 48131-2023")</f>
        <v/>
      </c>
      <c r="Y186">
        <f>HYPERLINK("https://klasma.github.io/Logging_0188/tillsynsmail/A 48131-2023 tillsynsbegäran mail.docx", "A 48131-2023")</f>
        <v/>
      </c>
    </row>
    <row r="187" ht="15" customHeight="1">
      <c r="A187" t="inlineStr">
        <is>
          <t>A 51909-2023</t>
        </is>
      </c>
      <c r="B187" s="1" t="n">
        <v>45223</v>
      </c>
      <c r="C187" s="1" t="n">
        <v>45729</v>
      </c>
      <c r="D187" t="inlineStr">
        <is>
          <t>STOCKHOLMS LÄN</t>
        </is>
      </c>
      <c r="E187" t="inlineStr">
        <is>
          <t>NORRTÄLJE</t>
        </is>
      </c>
      <c r="G187" t="n">
        <v>8.1</v>
      </c>
      <c r="H187" t="n">
        <v>1</v>
      </c>
      <c r="I187" t="n">
        <v>1</v>
      </c>
      <c r="J187" t="n">
        <v>0</v>
      </c>
      <c r="K187" t="n">
        <v>0</v>
      </c>
      <c r="L187" t="n">
        <v>0</v>
      </c>
      <c r="M187" t="n">
        <v>0</v>
      </c>
      <c r="N187" t="n">
        <v>0</v>
      </c>
      <c r="O187" t="n">
        <v>0</v>
      </c>
      <c r="P187" t="n">
        <v>0</v>
      </c>
      <c r="Q187" t="n">
        <v>1</v>
      </c>
      <c r="R187" s="2" t="inlineStr">
        <is>
          <t>Skogsknipprot</t>
        </is>
      </c>
      <c r="S187">
        <f>HYPERLINK("https://klasma.github.io/Logging_0188/artfynd/A 51909-2023 artfynd.xlsx", "A 51909-2023")</f>
        <v/>
      </c>
      <c r="T187">
        <f>HYPERLINK("https://klasma.github.io/Logging_0188/kartor/A 51909-2023 karta.png", "A 51909-2023")</f>
        <v/>
      </c>
      <c r="V187">
        <f>HYPERLINK("https://klasma.github.io/Logging_0188/klagomål/A 51909-2023 FSC-klagomål.docx", "A 51909-2023")</f>
        <v/>
      </c>
      <c r="W187">
        <f>HYPERLINK("https://klasma.github.io/Logging_0188/klagomålsmail/A 51909-2023 FSC-klagomål mail.docx", "A 51909-2023")</f>
        <v/>
      </c>
      <c r="X187">
        <f>HYPERLINK("https://klasma.github.io/Logging_0188/tillsyn/A 51909-2023 tillsynsbegäran.docx", "A 51909-2023")</f>
        <v/>
      </c>
      <c r="Y187">
        <f>HYPERLINK("https://klasma.github.io/Logging_0188/tillsynsmail/A 51909-2023 tillsynsbegäran mail.docx", "A 51909-2023")</f>
        <v/>
      </c>
    </row>
    <row r="188" ht="15" customHeight="1">
      <c r="A188" t="inlineStr">
        <is>
          <t>A 52508-2023</t>
        </is>
      </c>
      <c r="B188" s="1" t="n">
        <v>45225</v>
      </c>
      <c r="C188" s="1" t="n">
        <v>45729</v>
      </c>
      <c r="D188" t="inlineStr">
        <is>
          <t>STOCKHOLMS LÄN</t>
        </is>
      </c>
      <c r="E188" t="inlineStr">
        <is>
          <t>NORRTÄLJE</t>
        </is>
      </c>
      <c r="G188" t="n">
        <v>19.7</v>
      </c>
      <c r="H188" t="n">
        <v>1</v>
      </c>
      <c r="I188" t="n">
        <v>0</v>
      </c>
      <c r="J188" t="n">
        <v>0</v>
      </c>
      <c r="K188" t="n">
        <v>1</v>
      </c>
      <c r="L188" t="n">
        <v>0</v>
      </c>
      <c r="M188" t="n">
        <v>0</v>
      </c>
      <c r="N188" t="n">
        <v>0</v>
      </c>
      <c r="O188" t="n">
        <v>1</v>
      </c>
      <c r="P188" t="n">
        <v>1</v>
      </c>
      <c r="Q188" t="n">
        <v>1</v>
      </c>
      <c r="R188" s="2" t="inlineStr">
        <is>
          <t>Svärta</t>
        </is>
      </c>
      <c r="S188">
        <f>HYPERLINK("https://klasma.github.io/Logging_0188/artfynd/A 52508-2023 artfynd.xlsx", "A 52508-2023")</f>
        <v/>
      </c>
      <c r="T188">
        <f>HYPERLINK("https://klasma.github.io/Logging_0188/kartor/A 52508-2023 karta.png", "A 52508-2023")</f>
        <v/>
      </c>
      <c r="V188">
        <f>HYPERLINK("https://klasma.github.io/Logging_0188/klagomål/A 52508-2023 FSC-klagomål.docx", "A 52508-2023")</f>
        <v/>
      </c>
      <c r="W188">
        <f>HYPERLINK("https://klasma.github.io/Logging_0188/klagomålsmail/A 52508-2023 FSC-klagomål mail.docx", "A 52508-2023")</f>
        <v/>
      </c>
      <c r="X188">
        <f>HYPERLINK("https://klasma.github.io/Logging_0188/tillsyn/A 52508-2023 tillsynsbegäran.docx", "A 52508-2023")</f>
        <v/>
      </c>
      <c r="Y188">
        <f>HYPERLINK("https://klasma.github.io/Logging_0188/tillsynsmail/A 52508-2023 tillsynsbegäran mail.docx", "A 52508-2023")</f>
        <v/>
      </c>
    </row>
    <row r="189" ht="15" customHeight="1">
      <c r="A189" t="inlineStr">
        <is>
          <t>A 55767-2023</t>
        </is>
      </c>
      <c r="B189" s="1" t="n">
        <v>45239</v>
      </c>
      <c r="C189" s="1" t="n">
        <v>45729</v>
      </c>
      <c r="D189" t="inlineStr">
        <is>
          <t>STOCKHOLMS LÄN</t>
        </is>
      </c>
      <c r="E189" t="inlineStr">
        <is>
          <t>NORRTÄLJE</t>
        </is>
      </c>
      <c r="G189" t="n">
        <v>3.7</v>
      </c>
      <c r="H189" t="n">
        <v>0</v>
      </c>
      <c r="I189" t="n">
        <v>1</v>
      </c>
      <c r="J189" t="n">
        <v>0</v>
      </c>
      <c r="K189" t="n">
        <v>0</v>
      </c>
      <c r="L189" t="n">
        <v>0</v>
      </c>
      <c r="M189" t="n">
        <v>0</v>
      </c>
      <c r="N189" t="n">
        <v>0</v>
      </c>
      <c r="O189" t="n">
        <v>0</v>
      </c>
      <c r="P189" t="n">
        <v>0</v>
      </c>
      <c r="Q189" t="n">
        <v>1</v>
      </c>
      <c r="R189" s="2" t="inlineStr">
        <is>
          <t>Ögonpyrola</t>
        </is>
      </c>
      <c r="S189">
        <f>HYPERLINK("https://klasma.github.io/Logging_0188/artfynd/A 55767-2023 artfynd.xlsx", "A 55767-2023")</f>
        <v/>
      </c>
      <c r="T189">
        <f>HYPERLINK("https://klasma.github.io/Logging_0188/kartor/A 55767-2023 karta.png", "A 55767-2023")</f>
        <v/>
      </c>
      <c r="V189">
        <f>HYPERLINK("https://klasma.github.io/Logging_0188/klagomål/A 55767-2023 FSC-klagomål.docx", "A 55767-2023")</f>
        <v/>
      </c>
      <c r="W189">
        <f>HYPERLINK("https://klasma.github.io/Logging_0188/klagomålsmail/A 55767-2023 FSC-klagomål mail.docx", "A 55767-2023")</f>
        <v/>
      </c>
      <c r="X189">
        <f>HYPERLINK("https://klasma.github.io/Logging_0188/tillsyn/A 55767-2023 tillsynsbegäran.docx", "A 55767-2023")</f>
        <v/>
      </c>
      <c r="Y189">
        <f>HYPERLINK("https://klasma.github.io/Logging_0188/tillsynsmail/A 55767-2023 tillsynsbegäran mail.docx", "A 55767-2023")</f>
        <v/>
      </c>
    </row>
    <row r="190" ht="15" customHeight="1">
      <c r="A190" t="inlineStr">
        <is>
          <t>A 59580-2023</t>
        </is>
      </c>
      <c r="B190" s="1" t="n">
        <v>45254</v>
      </c>
      <c r="C190" s="1" t="n">
        <v>45729</v>
      </c>
      <c r="D190" t="inlineStr">
        <is>
          <t>STOCKHOLMS LÄN</t>
        </is>
      </c>
      <c r="E190" t="inlineStr">
        <is>
          <t>NORRTÄLJE</t>
        </is>
      </c>
      <c r="G190" t="n">
        <v>3.2</v>
      </c>
      <c r="H190" t="n">
        <v>0</v>
      </c>
      <c r="I190" t="n">
        <v>1</v>
      </c>
      <c r="J190" t="n">
        <v>0</v>
      </c>
      <c r="K190" t="n">
        <v>0</v>
      </c>
      <c r="L190" t="n">
        <v>0</v>
      </c>
      <c r="M190" t="n">
        <v>0</v>
      </c>
      <c r="N190" t="n">
        <v>0</v>
      </c>
      <c r="O190" t="n">
        <v>0</v>
      </c>
      <c r="P190" t="n">
        <v>0</v>
      </c>
      <c r="Q190" t="n">
        <v>1</v>
      </c>
      <c r="R190" s="2" t="inlineStr">
        <is>
          <t>Trådticka</t>
        </is>
      </c>
      <c r="S190">
        <f>HYPERLINK("https://klasma.github.io/Logging_0188/artfynd/A 59580-2023 artfynd.xlsx", "A 59580-2023")</f>
        <v/>
      </c>
      <c r="T190">
        <f>HYPERLINK("https://klasma.github.io/Logging_0188/kartor/A 59580-2023 karta.png", "A 59580-2023")</f>
        <v/>
      </c>
      <c r="V190">
        <f>HYPERLINK("https://klasma.github.io/Logging_0188/klagomål/A 59580-2023 FSC-klagomål.docx", "A 59580-2023")</f>
        <v/>
      </c>
      <c r="W190">
        <f>HYPERLINK("https://klasma.github.io/Logging_0188/klagomålsmail/A 59580-2023 FSC-klagomål mail.docx", "A 59580-2023")</f>
        <v/>
      </c>
      <c r="X190">
        <f>HYPERLINK("https://klasma.github.io/Logging_0188/tillsyn/A 59580-2023 tillsynsbegäran.docx", "A 59580-2023")</f>
        <v/>
      </c>
      <c r="Y190">
        <f>HYPERLINK("https://klasma.github.io/Logging_0188/tillsynsmail/A 59580-2023 tillsynsbegäran mail.docx", "A 59580-2023")</f>
        <v/>
      </c>
    </row>
    <row r="191" ht="15" customHeight="1">
      <c r="A191" t="inlineStr">
        <is>
          <t>A 63851-2023</t>
        </is>
      </c>
      <c r="B191" s="1" t="n">
        <v>45278</v>
      </c>
      <c r="C191" s="1" t="n">
        <v>45729</v>
      </c>
      <c r="D191" t="inlineStr">
        <is>
          <t>STOCKHOLMS LÄN</t>
        </is>
      </c>
      <c r="E191" t="inlineStr">
        <is>
          <t>NORRTÄLJE</t>
        </is>
      </c>
      <c r="G191" t="n">
        <v>5.6</v>
      </c>
      <c r="H191" t="n">
        <v>1</v>
      </c>
      <c r="I191" t="n">
        <v>0</v>
      </c>
      <c r="J191" t="n">
        <v>0</v>
      </c>
      <c r="K191" t="n">
        <v>0</v>
      </c>
      <c r="L191" t="n">
        <v>0</v>
      </c>
      <c r="M191" t="n">
        <v>0</v>
      </c>
      <c r="N191" t="n">
        <v>0</v>
      </c>
      <c r="O191" t="n">
        <v>0</v>
      </c>
      <c r="P191" t="n">
        <v>0</v>
      </c>
      <c r="Q191" t="n">
        <v>1</v>
      </c>
      <c r="R191" s="2" t="inlineStr">
        <is>
          <t>Tjäder</t>
        </is>
      </c>
      <c r="S191">
        <f>HYPERLINK("https://klasma.github.io/Logging_0188/artfynd/A 63851-2023 artfynd.xlsx", "A 63851-2023")</f>
        <v/>
      </c>
      <c r="T191">
        <f>HYPERLINK("https://klasma.github.io/Logging_0188/kartor/A 63851-2023 karta.png", "A 63851-2023")</f>
        <v/>
      </c>
      <c r="V191">
        <f>HYPERLINK("https://klasma.github.io/Logging_0188/klagomål/A 63851-2023 FSC-klagomål.docx", "A 63851-2023")</f>
        <v/>
      </c>
      <c r="W191">
        <f>HYPERLINK("https://klasma.github.io/Logging_0188/klagomålsmail/A 63851-2023 FSC-klagomål mail.docx", "A 63851-2023")</f>
        <v/>
      </c>
      <c r="X191">
        <f>HYPERLINK("https://klasma.github.io/Logging_0188/tillsyn/A 63851-2023 tillsynsbegäran.docx", "A 63851-2023")</f>
        <v/>
      </c>
      <c r="Y191">
        <f>HYPERLINK("https://klasma.github.io/Logging_0188/tillsynsmail/A 63851-2023 tillsynsbegäran mail.docx", "A 63851-2023")</f>
        <v/>
      </c>
      <c r="Z191">
        <f>HYPERLINK("https://klasma.github.io/Logging_0188/fåglar/A 63851-2023 prioriterade fågelarter.docx", "A 63851-2023")</f>
        <v/>
      </c>
    </row>
    <row r="192" ht="15" customHeight="1">
      <c r="A192" t="inlineStr">
        <is>
          <t>A 64456-2023</t>
        </is>
      </c>
      <c r="B192" s="1" t="n">
        <v>45280</v>
      </c>
      <c r="C192" s="1" t="n">
        <v>45729</v>
      </c>
      <c r="D192" t="inlineStr">
        <is>
          <t>STOCKHOLMS LÄN</t>
        </is>
      </c>
      <c r="E192" t="inlineStr">
        <is>
          <t>NORRTÄLJE</t>
        </is>
      </c>
      <c r="G192" t="n">
        <v>2.5</v>
      </c>
      <c r="H192" t="n">
        <v>0</v>
      </c>
      <c r="I192" t="n">
        <v>1</v>
      </c>
      <c r="J192" t="n">
        <v>0</v>
      </c>
      <c r="K192" t="n">
        <v>0</v>
      </c>
      <c r="L192" t="n">
        <v>0</v>
      </c>
      <c r="M192" t="n">
        <v>0</v>
      </c>
      <c r="N192" t="n">
        <v>0</v>
      </c>
      <c r="O192" t="n">
        <v>0</v>
      </c>
      <c r="P192" t="n">
        <v>0</v>
      </c>
      <c r="Q192" t="n">
        <v>1</v>
      </c>
      <c r="R192" s="2" t="inlineStr">
        <is>
          <t>Rödgul trumpetsvamp</t>
        </is>
      </c>
      <c r="S192">
        <f>HYPERLINK("https://klasma.github.io/Logging_0188/artfynd/A 64456-2023 artfynd.xlsx", "A 64456-2023")</f>
        <v/>
      </c>
      <c r="T192">
        <f>HYPERLINK("https://klasma.github.io/Logging_0188/kartor/A 64456-2023 karta.png", "A 64456-2023")</f>
        <v/>
      </c>
      <c r="V192">
        <f>HYPERLINK("https://klasma.github.io/Logging_0188/klagomål/A 64456-2023 FSC-klagomål.docx", "A 64456-2023")</f>
        <v/>
      </c>
      <c r="W192">
        <f>HYPERLINK("https://klasma.github.io/Logging_0188/klagomålsmail/A 64456-2023 FSC-klagomål mail.docx", "A 64456-2023")</f>
        <v/>
      </c>
      <c r="X192">
        <f>HYPERLINK("https://klasma.github.io/Logging_0188/tillsyn/A 64456-2023 tillsynsbegäran.docx", "A 64456-2023")</f>
        <v/>
      </c>
      <c r="Y192">
        <f>HYPERLINK("https://klasma.github.io/Logging_0188/tillsynsmail/A 64456-2023 tillsynsbegäran mail.docx", "A 64456-2023")</f>
        <v/>
      </c>
    </row>
    <row r="193" ht="15" customHeight="1">
      <c r="A193" t="inlineStr">
        <is>
          <t>A 4730-2024</t>
        </is>
      </c>
      <c r="B193" s="1" t="n">
        <v>45328</v>
      </c>
      <c r="C193" s="1" t="n">
        <v>45729</v>
      </c>
      <c r="D193" t="inlineStr">
        <is>
          <t>STOCKHOLMS LÄN</t>
        </is>
      </c>
      <c r="E193" t="inlineStr">
        <is>
          <t>NORRTÄLJE</t>
        </is>
      </c>
      <c r="G193" t="n">
        <v>4.4</v>
      </c>
      <c r="H193" t="n">
        <v>1</v>
      </c>
      <c r="I193" t="n">
        <v>0</v>
      </c>
      <c r="J193" t="n">
        <v>0</v>
      </c>
      <c r="K193" t="n">
        <v>0</v>
      </c>
      <c r="L193" t="n">
        <v>0</v>
      </c>
      <c r="M193" t="n">
        <v>0</v>
      </c>
      <c r="N193" t="n">
        <v>0</v>
      </c>
      <c r="O193" t="n">
        <v>0</v>
      </c>
      <c r="P193" t="n">
        <v>0</v>
      </c>
      <c r="Q193" t="n">
        <v>1</v>
      </c>
      <c r="R193" s="2" t="inlineStr">
        <is>
          <t>Blåsippa</t>
        </is>
      </c>
      <c r="S193">
        <f>HYPERLINK("https://klasma.github.io/Logging_0188/artfynd/A 4730-2024 artfynd.xlsx", "A 4730-2024")</f>
        <v/>
      </c>
      <c r="T193">
        <f>HYPERLINK("https://klasma.github.io/Logging_0188/kartor/A 4730-2024 karta.png", "A 4730-2024")</f>
        <v/>
      </c>
      <c r="V193">
        <f>HYPERLINK("https://klasma.github.io/Logging_0188/klagomål/A 4730-2024 FSC-klagomål.docx", "A 4730-2024")</f>
        <v/>
      </c>
      <c r="W193">
        <f>HYPERLINK("https://klasma.github.io/Logging_0188/klagomålsmail/A 4730-2024 FSC-klagomål mail.docx", "A 4730-2024")</f>
        <v/>
      </c>
      <c r="X193">
        <f>HYPERLINK("https://klasma.github.io/Logging_0188/tillsyn/A 4730-2024 tillsynsbegäran.docx", "A 4730-2024")</f>
        <v/>
      </c>
      <c r="Y193">
        <f>HYPERLINK("https://klasma.github.io/Logging_0188/tillsynsmail/A 4730-2024 tillsynsbegäran mail.docx", "A 4730-2024")</f>
        <v/>
      </c>
    </row>
    <row r="194" ht="15" customHeight="1">
      <c r="A194" t="inlineStr">
        <is>
          <t>A 6950-2024</t>
        </is>
      </c>
      <c r="B194" s="1" t="n">
        <v>45343</v>
      </c>
      <c r="C194" s="1" t="n">
        <v>45729</v>
      </c>
      <c r="D194" t="inlineStr">
        <is>
          <t>STOCKHOLMS LÄN</t>
        </is>
      </c>
      <c r="E194" t="inlineStr">
        <is>
          <t>NORRTÄLJE</t>
        </is>
      </c>
      <c r="G194" t="n">
        <v>26.8</v>
      </c>
      <c r="H194" t="n">
        <v>1</v>
      </c>
      <c r="I194" t="n">
        <v>0</v>
      </c>
      <c r="J194" t="n">
        <v>0</v>
      </c>
      <c r="K194" t="n">
        <v>0</v>
      </c>
      <c r="L194" t="n">
        <v>0</v>
      </c>
      <c r="M194" t="n">
        <v>0</v>
      </c>
      <c r="N194" t="n">
        <v>0</v>
      </c>
      <c r="O194" t="n">
        <v>0</v>
      </c>
      <c r="P194" t="n">
        <v>0</v>
      </c>
      <c r="Q194" t="n">
        <v>1</v>
      </c>
      <c r="R194" s="2" t="inlineStr">
        <is>
          <t>Blåsippa</t>
        </is>
      </c>
      <c r="S194">
        <f>HYPERLINK("https://klasma.github.io/Logging_0188/artfynd/A 6950-2024 artfynd.xlsx", "A 6950-2024")</f>
        <v/>
      </c>
      <c r="T194">
        <f>HYPERLINK("https://klasma.github.io/Logging_0188/kartor/A 6950-2024 karta.png", "A 6950-2024")</f>
        <v/>
      </c>
      <c r="V194">
        <f>HYPERLINK("https://klasma.github.io/Logging_0188/klagomål/A 6950-2024 FSC-klagomål.docx", "A 6950-2024")</f>
        <v/>
      </c>
      <c r="W194">
        <f>HYPERLINK("https://klasma.github.io/Logging_0188/klagomålsmail/A 6950-2024 FSC-klagomål mail.docx", "A 6950-2024")</f>
        <v/>
      </c>
      <c r="X194">
        <f>HYPERLINK("https://klasma.github.io/Logging_0188/tillsyn/A 6950-2024 tillsynsbegäran.docx", "A 6950-2024")</f>
        <v/>
      </c>
      <c r="Y194">
        <f>HYPERLINK("https://klasma.github.io/Logging_0188/tillsynsmail/A 6950-2024 tillsynsbegäran mail.docx", "A 6950-2024")</f>
        <v/>
      </c>
    </row>
    <row r="195" ht="15" customHeight="1">
      <c r="A195" t="inlineStr">
        <is>
          <t>A 20468-2024</t>
        </is>
      </c>
      <c r="B195" s="1" t="n">
        <v>45435</v>
      </c>
      <c r="C195" s="1" t="n">
        <v>45729</v>
      </c>
      <c r="D195" t="inlineStr">
        <is>
          <t>STOCKHOLMS LÄN</t>
        </is>
      </c>
      <c r="E195" t="inlineStr">
        <is>
          <t>NORRTÄLJE</t>
        </is>
      </c>
      <c r="G195" t="n">
        <v>2.2</v>
      </c>
      <c r="H195" t="n">
        <v>0</v>
      </c>
      <c r="I195" t="n">
        <v>0</v>
      </c>
      <c r="J195" t="n">
        <v>0</v>
      </c>
      <c r="K195" t="n">
        <v>0</v>
      </c>
      <c r="L195" t="n">
        <v>1</v>
      </c>
      <c r="M195" t="n">
        <v>0</v>
      </c>
      <c r="N195" t="n">
        <v>0</v>
      </c>
      <c r="O195" t="n">
        <v>1</v>
      </c>
      <c r="P195" t="n">
        <v>1</v>
      </c>
      <c r="Q195" t="n">
        <v>1</v>
      </c>
      <c r="R195" s="2" t="inlineStr">
        <is>
          <t>Fältgentiana</t>
        </is>
      </c>
      <c r="S195">
        <f>HYPERLINK("https://klasma.github.io/Logging_0188/artfynd/A 20468-2024 artfynd.xlsx", "A 20468-2024")</f>
        <v/>
      </c>
      <c r="T195">
        <f>HYPERLINK("https://klasma.github.io/Logging_0188/kartor/A 20468-2024 karta.png", "A 20468-2024")</f>
        <v/>
      </c>
      <c r="V195">
        <f>HYPERLINK("https://klasma.github.io/Logging_0188/klagomål/A 20468-2024 FSC-klagomål.docx", "A 20468-2024")</f>
        <v/>
      </c>
      <c r="W195">
        <f>HYPERLINK("https://klasma.github.io/Logging_0188/klagomålsmail/A 20468-2024 FSC-klagomål mail.docx", "A 20468-2024")</f>
        <v/>
      </c>
      <c r="X195">
        <f>HYPERLINK("https://klasma.github.io/Logging_0188/tillsyn/A 20468-2024 tillsynsbegäran.docx", "A 20468-2024")</f>
        <v/>
      </c>
      <c r="Y195">
        <f>HYPERLINK("https://klasma.github.io/Logging_0188/tillsynsmail/A 20468-2024 tillsynsbegäran mail.docx", "A 20468-2024")</f>
        <v/>
      </c>
    </row>
    <row r="196" ht="15" customHeight="1">
      <c r="A196" t="inlineStr">
        <is>
          <t>A 23146-2024</t>
        </is>
      </c>
      <c r="B196" s="1" t="n">
        <v>45450</v>
      </c>
      <c r="C196" s="1" t="n">
        <v>45729</v>
      </c>
      <c r="D196" t="inlineStr">
        <is>
          <t>STOCKHOLMS LÄN</t>
        </is>
      </c>
      <c r="E196" t="inlineStr">
        <is>
          <t>NORRTÄLJE</t>
        </is>
      </c>
      <c r="F196" t="inlineStr">
        <is>
          <t>Kommuner</t>
        </is>
      </c>
      <c r="G196" t="n">
        <v>6</v>
      </c>
      <c r="H196" t="n">
        <v>0</v>
      </c>
      <c r="I196" t="n">
        <v>0</v>
      </c>
      <c r="J196" t="n">
        <v>1</v>
      </c>
      <c r="K196" t="n">
        <v>0</v>
      </c>
      <c r="L196" t="n">
        <v>0</v>
      </c>
      <c r="M196" t="n">
        <v>0</v>
      </c>
      <c r="N196" t="n">
        <v>0</v>
      </c>
      <c r="O196" t="n">
        <v>1</v>
      </c>
      <c r="P196" t="n">
        <v>0</v>
      </c>
      <c r="Q196" t="n">
        <v>1</v>
      </c>
      <c r="R196" s="2" t="inlineStr">
        <is>
          <t>Motaggsvamp</t>
        </is>
      </c>
      <c r="S196">
        <f>HYPERLINK("https://klasma.github.io/Logging_0188/artfynd/A 23146-2024 artfynd.xlsx", "A 23146-2024")</f>
        <v/>
      </c>
      <c r="T196">
        <f>HYPERLINK("https://klasma.github.io/Logging_0188/kartor/A 23146-2024 karta.png", "A 23146-2024")</f>
        <v/>
      </c>
      <c r="V196">
        <f>HYPERLINK("https://klasma.github.io/Logging_0188/klagomål/A 23146-2024 FSC-klagomål.docx", "A 23146-2024")</f>
        <v/>
      </c>
      <c r="W196">
        <f>HYPERLINK("https://klasma.github.io/Logging_0188/klagomålsmail/A 23146-2024 FSC-klagomål mail.docx", "A 23146-2024")</f>
        <v/>
      </c>
      <c r="X196">
        <f>HYPERLINK("https://klasma.github.io/Logging_0188/tillsyn/A 23146-2024 tillsynsbegäran.docx", "A 23146-2024")</f>
        <v/>
      </c>
      <c r="Y196">
        <f>HYPERLINK("https://klasma.github.io/Logging_0188/tillsynsmail/A 23146-2024 tillsynsbegäran mail.docx", "A 23146-2024")</f>
        <v/>
      </c>
    </row>
    <row r="197" ht="15" customHeight="1">
      <c r="A197" t="inlineStr">
        <is>
          <t>A 24577-2024</t>
        </is>
      </c>
      <c r="B197" s="1" t="n">
        <v>45460</v>
      </c>
      <c r="C197" s="1" t="n">
        <v>45729</v>
      </c>
      <c r="D197" t="inlineStr">
        <is>
          <t>STOCKHOLMS LÄN</t>
        </is>
      </c>
      <c r="E197" t="inlineStr">
        <is>
          <t>NORRTÄLJE</t>
        </is>
      </c>
      <c r="G197" t="n">
        <v>3.8</v>
      </c>
      <c r="H197" t="n">
        <v>0</v>
      </c>
      <c r="I197" t="n">
        <v>1</v>
      </c>
      <c r="J197" t="n">
        <v>0</v>
      </c>
      <c r="K197" t="n">
        <v>0</v>
      </c>
      <c r="L197" t="n">
        <v>0</v>
      </c>
      <c r="M197" t="n">
        <v>0</v>
      </c>
      <c r="N197" t="n">
        <v>0</v>
      </c>
      <c r="O197" t="n">
        <v>0</v>
      </c>
      <c r="P197" t="n">
        <v>0</v>
      </c>
      <c r="Q197" t="n">
        <v>1</v>
      </c>
      <c r="R197" s="2" t="inlineStr">
        <is>
          <t>Rostfläck</t>
        </is>
      </c>
      <c r="S197">
        <f>HYPERLINK("https://klasma.github.io/Logging_0188/artfynd/A 24577-2024 artfynd.xlsx", "A 24577-2024")</f>
        <v/>
      </c>
      <c r="T197">
        <f>HYPERLINK("https://klasma.github.io/Logging_0188/kartor/A 24577-2024 karta.png", "A 24577-2024")</f>
        <v/>
      </c>
      <c r="V197">
        <f>HYPERLINK("https://klasma.github.io/Logging_0188/klagomål/A 24577-2024 FSC-klagomål.docx", "A 24577-2024")</f>
        <v/>
      </c>
      <c r="W197">
        <f>HYPERLINK("https://klasma.github.io/Logging_0188/klagomålsmail/A 24577-2024 FSC-klagomål mail.docx", "A 24577-2024")</f>
        <v/>
      </c>
      <c r="X197">
        <f>HYPERLINK("https://klasma.github.io/Logging_0188/tillsyn/A 24577-2024 tillsynsbegäran.docx", "A 24577-2024")</f>
        <v/>
      </c>
      <c r="Y197">
        <f>HYPERLINK("https://klasma.github.io/Logging_0188/tillsynsmail/A 24577-2024 tillsynsbegäran mail.docx", "A 24577-2024")</f>
        <v/>
      </c>
    </row>
    <row r="198" ht="15" customHeight="1">
      <c r="A198" t="inlineStr">
        <is>
          <t>A 24528-2024</t>
        </is>
      </c>
      <c r="B198" s="1" t="n">
        <v>45460</v>
      </c>
      <c r="C198" s="1" t="n">
        <v>45729</v>
      </c>
      <c r="D198" t="inlineStr">
        <is>
          <t>STOCKHOLMS LÄN</t>
        </is>
      </c>
      <c r="E198" t="inlineStr">
        <is>
          <t>NORRTÄLJE</t>
        </is>
      </c>
      <c r="G198" t="n">
        <v>1.4</v>
      </c>
      <c r="H198" t="n">
        <v>1</v>
      </c>
      <c r="I198" t="n">
        <v>0</v>
      </c>
      <c r="J198" t="n">
        <v>0</v>
      </c>
      <c r="K198" t="n">
        <v>1</v>
      </c>
      <c r="L198" t="n">
        <v>0</v>
      </c>
      <c r="M198" t="n">
        <v>0</v>
      </c>
      <c r="N198" t="n">
        <v>0</v>
      </c>
      <c r="O198" t="n">
        <v>1</v>
      </c>
      <c r="P198" t="n">
        <v>1</v>
      </c>
      <c r="Q198" t="n">
        <v>1</v>
      </c>
      <c r="R198" s="2" t="inlineStr">
        <is>
          <t>Hällebräcka</t>
        </is>
      </c>
      <c r="S198">
        <f>HYPERLINK("https://klasma.github.io/Logging_0188/artfynd/A 24528-2024 artfynd.xlsx", "A 24528-2024")</f>
        <v/>
      </c>
      <c r="T198">
        <f>HYPERLINK("https://klasma.github.io/Logging_0188/kartor/A 24528-2024 karta.png", "A 24528-2024")</f>
        <v/>
      </c>
      <c r="V198">
        <f>HYPERLINK("https://klasma.github.io/Logging_0188/klagomål/A 24528-2024 FSC-klagomål.docx", "A 24528-2024")</f>
        <v/>
      </c>
      <c r="W198">
        <f>HYPERLINK("https://klasma.github.io/Logging_0188/klagomålsmail/A 24528-2024 FSC-klagomål mail.docx", "A 24528-2024")</f>
        <v/>
      </c>
      <c r="X198">
        <f>HYPERLINK("https://klasma.github.io/Logging_0188/tillsyn/A 24528-2024 tillsynsbegäran.docx", "A 24528-2024")</f>
        <v/>
      </c>
      <c r="Y198">
        <f>HYPERLINK("https://klasma.github.io/Logging_0188/tillsynsmail/A 24528-2024 tillsynsbegäran mail.docx", "A 24528-2024")</f>
        <v/>
      </c>
    </row>
    <row r="199" ht="15" customHeight="1">
      <c r="A199" t="inlineStr">
        <is>
          <t>A 26120-2024</t>
        </is>
      </c>
      <c r="B199" s="1" t="n">
        <v>45468</v>
      </c>
      <c r="C199" s="1" t="n">
        <v>45729</v>
      </c>
      <c r="D199" t="inlineStr">
        <is>
          <t>STOCKHOLMS LÄN</t>
        </is>
      </c>
      <c r="E199" t="inlineStr">
        <is>
          <t>NORRTÄLJE</t>
        </is>
      </c>
      <c r="G199" t="n">
        <v>1.8</v>
      </c>
      <c r="H199" t="n">
        <v>0</v>
      </c>
      <c r="I199" t="n">
        <v>0</v>
      </c>
      <c r="J199" t="n">
        <v>1</v>
      </c>
      <c r="K199" t="n">
        <v>0</v>
      </c>
      <c r="L199" t="n">
        <v>0</v>
      </c>
      <c r="M199" t="n">
        <v>0</v>
      </c>
      <c r="N199" t="n">
        <v>0</v>
      </c>
      <c r="O199" t="n">
        <v>1</v>
      </c>
      <c r="P199" t="n">
        <v>0</v>
      </c>
      <c r="Q199" t="n">
        <v>1</v>
      </c>
      <c r="R199" s="2" t="inlineStr">
        <is>
          <t>Majviva</t>
        </is>
      </c>
      <c r="S199">
        <f>HYPERLINK("https://klasma.github.io/Logging_0188/artfynd/A 26120-2024 artfynd.xlsx", "A 26120-2024")</f>
        <v/>
      </c>
      <c r="T199">
        <f>HYPERLINK("https://klasma.github.io/Logging_0188/kartor/A 26120-2024 karta.png", "A 26120-2024")</f>
        <v/>
      </c>
      <c r="V199">
        <f>HYPERLINK("https://klasma.github.io/Logging_0188/klagomål/A 26120-2024 FSC-klagomål.docx", "A 26120-2024")</f>
        <v/>
      </c>
      <c r="W199">
        <f>HYPERLINK("https://klasma.github.io/Logging_0188/klagomålsmail/A 26120-2024 FSC-klagomål mail.docx", "A 26120-2024")</f>
        <v/>
      </c>
      <c r="X199">
        <f>HYPERLINK("https://klasma.github.io/Logging_0188/tillsyn/A 26120-2024 tillsynsbegäran.docx", "A 26120-2024")</f>
        <v/>
      </c>
      <c r="Y199">
        <f>HYPERLINK("https://klasma.github.io/Logging_0188/tillsynsmail/A 26120-2024 tillsynsbegäran mail.docx", "A 26120-2024")</f>
        <v/>
      </c>
    </row>
    <row r="200" ht="15" customHeight="1">
      <c r="A200" t="inlineStr">
        <is>
          <t>A 27538-2024</t>
        </is>
      </c>
      <c r="B200" s="1" t="n">
        <v>45474</v>
      </c>
      <c r="C200" s="1" t="n">
        <v>45729</v>
      </c>
      <c r="D200" t="inlineStr">
        <is>
          <t>STOCKHOLMS LÄN</t>
        </is>
      </c>
      <c r="E200" t="inlineStr">
        <is>
          <t>NORRTÄLJE</t>
        </is>
      </c>
      <c r="G200" t="n">
        <v>1.5</v>
      </c>
      <c r="H200" t="n">
        <v>1</v>
      </c>
      <c r="I200" t="n">
        <v>1</v>
      </c>
      <c r="J200" t="n">
        <v>0</v>
      </c>
      <c r="K200" t="n">
        <v>0</v>
      </c>
      <c r="L200" t="n">
        <v>0</v>
      </c>
      <c r="M200" t="n">
        <v>0</v>
      </c>
      <c r="N200" t="n">
        <v>0</v>
      </c>
      <c r="O200" t="n">
        <v>0</v>
      </c>
      <c r="P200" t="n">
        <v>0</v>
      </c>
      <c r="Q200" t="n">
        <v>1</v>
      </c>
      <c r="R200" s="2" t="inlineStr">
        <is>
          <t>Skogsknipprot</t>
        </is>
      </c>
      <c r="S200">
        <f>HYPERLINK("https://klasma.github.io/Logging_0188/artfynd/A 27538-2024 artfynd.xlsx", "A 27538-2024")</f>
        <v/>
      </c>
      <c r="T200">
        <f>HYPERLINK("https://klasma.github.io/Logging_0188/kartor/A 27538-2024 karta.png", "A 27538-2024")</f>
        <v/>
      </c>
      <c r="V200">
        <f>HYPERLINK("https://klasma.github.io/Logging_0188/klagomål/A 27538-2024 FSC-klagomål.docx", "A 27538-2024")</f>
        <v/>
      </c>
      <c r="W200">
        <f>HYPERLINK("https://klasma.github.io/Logging_0188/klagomålsmail/A 27538-2024 FSC-klagomål mail.docx", "A 27538-2024")</f>
        <v/>
      </c>
      <c r="X200">
        <f>HYPERLINK("https://klasma.github.io/Logging_0188/tillsyn/A 27538-2024 tillsynsbegäran.docx", "A 27538-2024")</f>
        <v/>
      </c>
      <c r="Y200">
        <f>HYPERLINK("https://klasma.github.io/Logging_0188/tillsynsmail/A 27538-2024 tillsynsbegäran mail.docx", "A 27538-2024")</f>
        <v/>
      </c>
    </row>
    <row r="201" ht="15" customHeight="1">
      <c r="A201" t="inlineStr">
        <is>
          <t>A 35764-2024</t>
        </is>
      </c>
      <c r="B201" s="1" t="n">
        <v>45532</v>
      </c>
      <c r="C201" s="1" t="n">
        <v>45729</v>
      </c>
      <c r="D201" t="inlineStr">
        <is>
          <t>STOCKHOLMS LÄN</t>
        </is>
      </c>
      <c r="E201" t="inlineStr">
        <is>
          <t>NORRTÄLJE</t>
        </is>
      </c>
      <c r="G201" t="n">
        <v>14.2</v>
      </c>
      <c r="H201" t="n">
        <v>1</v>
      </c>
      <c r="I201" t="n">
        <v>0</v>
      </c>
      <c r="J201" t="n">
        <v>0</v>
      </c>
      <c r="K201" t="n">
        <v>1</v>
      </c>
      <c r="L201" t="n">
        <v>0</v>
      </c>
      <c r="M201" t="n">
        <v>0</v>
      </c>
      <c r="N201" t="n">
        <v>0</v>
      </c>
      <c r="O201" t="n">
        <v>1</v>
      </c>
      <c r="P201" t="n">
        <v>1</v>
      </c>
      <c r="Q201" t="n">
        <v>1</v>
      </c>
      <c r="R201" s="2" t="inlineStr">
        <is>
          <t>Knärot</t>
        </is>
      </c>
      <c r="S201">
        <f>HYPERLINK("https://klasma.github.io/Logging_0188/artfynd/A 35764-2024 artfynd.xlsx", "A 35764-2024")</f>
        <v/>
      </c>
      <c r="T201">
        <f>HYPERLINK("https://klasma.github.io/Logging_0188/kartor/A 35764-2024 karta.png", "A 35764-2024")</f>
        <v/>
      </c>
      <c r="U201">
        <f>HYPERLINK("https://klasma.github.io/Logging_0188/knärot/A 35764-2024 karta knärot.png", "A 35764-2024")</f>
        <v/>
      </c>
      <c r="V201">
        <f>HYPERLINK("https://klasma.github.io/Logging_0188/klagomål/A 35764-2024 FSC-klagomål.docx", "A 35764-2024")</f>
        <v/>
      </c>
      <c r="W201">
        <f>HYPERLINK("https://klasma.github.io/Logging_0188/klagomålsmail/A 35764-2024 FSC-klagomål mail.docx", "A 35764-2024")</f>
        <v/>
      </c>
      <c r="X201">
        <f>HYPERLINK("https://klasma.github.io/Logging_0188/tillsyn/A 35764-2024 tillsynsbegäran.docx", "A 35764-2024")</f>
        <v/>
      </c>
      <c r="Y201">
        <f>HYPERLINK("https://klasma.github.io/Logging_0188/tillsynsmail/A 35764-2024 tillsynsbegäran mail.docx", "A 35764-2024")</f>
        <v/>
      </c>
    </row>
    <row r="202" ht="15" customHeight="1">
      <c r="A202" t="inlineStr">
        <is>
          <t>A 37918-2024</t>
        </is>
      </c>
      <c r="B202" s="1" t="n">
        <v>45544</v>
      </c>
      <c r="C202" s="1" t="n">
        <v>45729</v>
      </c>
      <c r="D202" t="inlineStr">
        <is>
          <t>STOCKHOLMS LÄN</t>
        </is>
      </c>
      <c r="E202" t="inlineStr">
        <is>
          <t>NORRTÄLJE</t>
        </is>
      </c>
      <c r="F202" t="inlineStr">
        <is>
          <t>Holmen skog AB</t>
        </is>
      </c>
      <c r="G202" t="n">
        <v>8.4</v>
      </c>
      <c r="H202" t="n">
        <v>1</v>
      </c>
      <c r="I202" t="n">
        <v>0</v>
      </c>
      <c r="J202" t="n">
        <v>0</v>
      </c>
      <c r="K202" t="n">
        <v>0</v>
      </c>
      <c r="L202" t="n">
        <v>1</v>
      </c>
      <c r="M202" t="n">
        <v>0</v>
      </c>
      <c r="N202" t="n">
        <v>0</v>
      </c>
      <c r="O202" t="n">
        <v>1</v>
      </c>
      <c r="P202" t="n">
        <v>1</v>
      </c>
      <c r="Q202" t="n">
        <v>1</v>
      </c>
      <c r="R202" s="2" t="inlineStr">
        <is>
          <t>Asknätfjäril</t>
        </is>
      </c>
      <c r="S202">
        <f>HYPERLINK("https://klasma.github.io/Logging_0188/artfynd/A 37918-2024 artfynd.xlsx", "A 37918-2024")</f>
        <v/>
      </c>
      <c r="T202">
        <f>HYPERLINK("https://klasma.github.io/Logging_0188/kartor/A 37918-2024 karta.png", "A 37918-2024")</f>
        <v/>
      </c>
      <c r="V202">
        <f>HYPERLINK("https://klasma.github.io/Logging_0188/klagomål/A 37918-2024 FSC-klagomål.docx", "A 37918-2024")</f>
        <v/>
      </c>
      <c r="W202">
        <f>HYPERLINK("https://klasma.github.io/Logging_0188/klagomålsmail/A 37918-2024 FSC-klagomål mail.docx", "A 37918-2024")</f>
        <v/>
      </c>
      <c r="X202">
        <f>HYPERLINK("https://klasma.github.io/Logging_0188/tillsyn/A 37918-2024 tillsynsbegäran.docx", "A 37918-2024")</f>
        <v/>
      </c>
      <c r="Y202">
        <f>HYPERLINK("https://klasma.github.io/Logging_0188/tillsynsmail/A 37918-2024 tillsynsbegäran mail.docx", "A 37918-2024")</f>
        <v/>
      </c>
    </row>
    <row r="203" ht="15" customHeight="1">
      <c r="A203" t="inlineStr">
        <is>
          <t>A 44547-2024</t>
        </is>
      </c>
      <c r="B203" s="1" t="n">
        <v>45574</v>
      </c>
      <c r="C203" s="1" t="n">
        <v>45729</v>
      </c>
      <c r="D203" t="inlineStr">
        <is>
          <t>STOCKHOLMS LÄN</t>
        </is>
      </c>
      <c r="E203" t="inlineStr">
        <is>
          <t>NORRTÄLJE</t>
        </is>
      </c>
      <c r="G203" t="n">
        <v>11.1</v>
      </c>
      <c r="H203" t="n">
        <v>0</v>
      </c>
      <c r="I203" t="n">
        <v>0</v>
      </c>
      <c r="J203" t="n">
        <v>1</v>
      </c>
      <c r="K203" t="n">
        <v>0</v>
      </c>
      <c r="L203" t="n">
        <v>0</v>
      </c>
      <c r="M203" t="n">
        <v>0</v>
      </c>
      <c r="N203" t="n">
        <v>0</v>
      </c>
      <c r="O203" t="n">
        <v>1</v>
      </c>
      <c r="P203" t="n">
        <v>0</v>
      </c>
      <c r="Q203" t="n">
        <v>1</v>
      </c>
      <c r="R203" s="2" t="inlineStr">
        <is>
          <t>Skogsklocka</t>
        </is>
      </c>
      <c r="S203">
        <f>HYPERLINK("https://klasma.github.io/Logging_0188/artfynd/A 44547-2024 artfynd.xlsx", "A 44547-2024")</f>
        <v/>
      </c>
      <c r="T203">
        <f>HYPERLINK("https://klasma.github.io/Logging_0188/kartor/A 44547-2024 karta.png", "A 44547-2024")</f>
        <v/>
      </c>
      <c r="V203">
        <f>HYPERLINK("https://klasma.github.io/Logging_0188/klagomål/A 44547-2024 FSC-klagomål.docx", "A 44547-2024")</f>
        <v/>
      </c>
      <c r="W203">
        <f>HYPERLINK("https://klasma.github.io/Logging_0188/klagomålsmail/A 44547-2024 FSC-klagomål mail.docx", "A 44547-2024")</f>
        <v/>
      </c>
      <c r="X203">
        <f>HYPERLINK("https://klasma.github.io/Logging_0188/tillsyn/A 44547-2024 tillsynsbegäran.docx", "A 44547-2024")</f>
        <v/>
      </c>
      <c r="Y203">
        <f>HYPERLINK("https://klasma.github.io/Logging_0188/tillsynsmail/A 44547-2024 tillsynsbegäran mail.docx", "A 44547-2024")</f>
        <v/>
      </c>
    </row>
    <row r="204" ht="15" customHeight="1">
      <c r="A204" t="inlineStr">
        <is>
          <t>A 52363-2024</t>
        </is>
      </c>
      <c r="B204" s="1" t="n">
        <v>45609</v>
      </c>
      <c r="C204" s="1" t="n">
        <v>45729</v>
      </c>
      <c r="D204" t="inlineStr">
        <is>
          <t>STOCKHOLMS LÄN</t>
        </is>
      </c>
      <c r="E204" t="inlineStr">
        <is>
          <t>NORRTÄLJE</t>
        </is>
      </c>
      <c r="G204" t="n">
        <v>9.199999999999999</v>
      </c>
      <c r="H204" t="n">
        <v>1</v>
      </c>
      <c r="I204" t="n">
        <v>0</v>
      </c>
      <c r="J204" t="n">
        <v>0</v>
      </c>
      <c r="K204" t="n">
        <v>0</v>
      </c>
      <c r="L204" t="n">
        <v>0</v>
      </c>
      <c r="M204" t="n">
        <v>0</v>
      </c>
      <c r="N204" t="n">
        <v>0</v>
      </c>
      <c r="O204" t="n">
        <v>0</v>
      </c>
      <c r="P204" t="n">
        <v>0</v>
      </c>
      <c r="Q204" t="n">
        <v>1</v>
      </c>
      <c r="R204" s="2" t="inlineStr">
        <is>
          <t>Revlummer</t>
        </is>
      </c>
      <c r="S204">
        <f>HYPERLINK("https://klasma.github.io/Logging_0188/artfynd/A 52363-2024 artfynd.xlsx", "A 52363-2024")</f>
        <v/>
      </c>
      <c r="T204">
        <f>HYPERLINK("https://klasma.github.io/Logging_0188/kartor/A 52363-2024 karta.png", "A 52363-2024")</f>
        <v/>
      </c>
      <c r="V204">
        <f>HYPERLINK("https://klasma.github.io/Logging_0188/klagomål/A 52363-2024 FSC-klagomål.docx", "A 52363-2024")</f>
        <v/>
      </c>
      <c r="W204">
        <f>HYPERLINK("https://klasma.github.io/Logging_0188/klagomålsmail/A 52363-2024 FSC-klagomål mail.docx", "A 52363-2024")</f>
        <v/>
      </c>
      <c r="X204">
        <f>HYPERLINK("https://klasma.github.io/Logging_0188/tillsyn/A 52363-2024 tillsynsbegäran.docx", "A 52363-2024")</f>
        <v/>
      </c>
      <c r="Y204">
        <f>HYPERLINK("https://klasma.github.io/Logging_0188/tillsynsmail/A 52363-2024 tillsynsbegäran mail.docx", "A 52363-2024")</f>
        <v/>
      </c>
    </row>
    <row r="205" ht="15" customHeight="1">
      <c r="A205" t="inlineStr">
        <is>
          <t>A 52611-2024</t>
        </is>
      </c>
      <c r="B205" s="1" t="n">
        <v>45609</v>
      </c>
      <c r="C205" s="1" t="n">
        <v>45729</v>
      </c>
      <c r="D205" t="inlineStr">
        <is>
          <t>STOCKHOLMS LÄN</t>
        </is>
      </c>
      <c r="E205" t="inlineStr">
        <is>
          <t>NORRTÄLJE</t>
        </is>
      </c>
      <c r="G205" t="n">
        <v>10.6</v>
      </c>
      <c r="H205" t="n">
        <v>1</v>
      </c>
      <c r="I205" t="n">
        <v>0</v>
      </c>
      <c r="J205" t="n">
        <v>0</v>
      </c>
      <c r="K205" t="n">
        <v>0</v>
      </c>
      <c r="L205" t="n">
        <v>0</v>
      </c>
      <c r="M205" t="n">
        <v>0</v>
      </c>
      <c r="N205" t="n">
        <v>0</v>
      </c>
      <c r="O205" t="n">
        <v>0</v>
      </c>
      <c r="P205" t="n">
        <v>0</v>
      </c>
      <c r="Q205" t="n">
        <v>1</v>
      </c>
      <c r="R205" s="2" t="inlineStr">
        <is>
          <t>Blåsippa</t>
        </is>
      </c>
      <c r="S205">
        <f>HYPERLINK("https://klasma.github.io/Logging_0188/artfynd/A 52611-2024 artfynd.xlsx", "A 52611-2024")</f>
        <v/>
      </c>
      <c r="T205">
        <f>HYPERLINK("https://klasma.github.io/Logging_0188/kartor/A 52611-2024 karta.png", "A 52611-2024")</f>
        <v/>
      </c>
      <c r="V205">
        <f>HYPERLINK("https://klasma.github.io/Logging_0188/klagomål/A 52611-2024 FSC-klagomål.docx", "A 52611-2024")</f>
        <v/>
      </c>
      <c r="W205">
        <f>HYPERLINK("https://klasma.github.io/Logging_0188/klagomålsmail/A 52611-2024 FSC-klagomål mail.docx", "A 52611-2024")</f>
        <v/>
      </c>
      <c r="X205">
        <f>HYPERLINK("https://klasma.github.io/Logging_0188/tillsyn/A 52611-2024 tillsynsbegäran.docx", "A 52611-2024")</f>
        <v/>
      </c>
      <c r="Y205">
        <f>HYPERLINK("https://klasma.github.io/Logging_0188/tillsynsmail/A 52611-2024 tillsynsbegäran mail.docx", "A 52611-2024")</f>
        <v/>
      </c>
    </row>
    <row r="206" ht="15" customHeight="1">
      <c r="A206" t="inlineStr">
        <is>
          <t>A 62129-2024</t>
        </is>
      </c>
      <c r="B206" s="1" t="n">
        <v>45646</v>
      </c>
      <c r="C206" s="1" t="n">
        <v>45729</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45729</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45729</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45729</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45729</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45729</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45729</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45729</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45729</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45729</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45729</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45729</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45729</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45729</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45729</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45729</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45729</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45729</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45729</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45729</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45729</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45729</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45729</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45729</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45729</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45729</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45729</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45729</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45729</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45729</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45729</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45729</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45729</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45729</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45729</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45729</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45729</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45729</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45729</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45729</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45729</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45729</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45729</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45729</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45729</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45729</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45729</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45729</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45729</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45729</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45729</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45729</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45729</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45729</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45729</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45729</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45729</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45729</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45729</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45729</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45729</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45729</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45729</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45729</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45729</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45729</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45729</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45729</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45729</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45729</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45729</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45729</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45729</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45729</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45729</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45729</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45729</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45729</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45729</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45729</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45729</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45729</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45729</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45729</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45729</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45729</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45729</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45729</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45729</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45729</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45729</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45729</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45729</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45729</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45729</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45729</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45729</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45729</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45729</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45729</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45729</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45729</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45729</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45729</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45729</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45729</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45729</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45729</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45729</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45729</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45729</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45729</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45729</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45729</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45729</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45729</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45729</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45729</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45729</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45729</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45729</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45729</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45729</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45729</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45729</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45729</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45729</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45729</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45729</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45729</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45729</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45729</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45729</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45729</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45729</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45729</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45729</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45729</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45729</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45729</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45729</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45729</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45729</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45729</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45729</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45729</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45729</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45729</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45729</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45729</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45729</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45729</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45729</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45729</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45729</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45729</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45729</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45729</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45729</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45729</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45729</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45729</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45729</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45729</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45729</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45729</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45729</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45729</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45729</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45729</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45729</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45729</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45729</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45729</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45729</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45729</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45729</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45729</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45729</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45729</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45729</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45729</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45729</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45729</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45729</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45729</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45729</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45729</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45729</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45729</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45729</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45729</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45729</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45729</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45729</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45729</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45729</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45729</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45729</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45729</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45729</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45729</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45729</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45729</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45729</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45729</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45729</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45729</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45729</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45729</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45729</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45729</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45729</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45729</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45729</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45729</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45729</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45729</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45729</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45729</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45729</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45729</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45729</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45729</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45729</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45729</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45729</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45729</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45729</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45729</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45729</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45729</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45729</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45729</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45729</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45729</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45729</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45729</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45729</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45729</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45729</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45729</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45729</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45729</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45729</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45729</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45729</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45729</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45729</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45729</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45729</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45729</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45729</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45729</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45729</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45729</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45729</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45729</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45729</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45729</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45729</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45729</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45729</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45729</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45729</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45729</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45729</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45729</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45729</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45729</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45729</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45729</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45729</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45729</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45729</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45729</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45729</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45729</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45729</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45729</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45729</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45729</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45729</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45729</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45729</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45729</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45729</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45729</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45729</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45729</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45729</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45729</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45729</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45729</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45729</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45729</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45729</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45729</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45729</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45729</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45729</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45729</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45729</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45729</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45729</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45729</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45729</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45729</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45729</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45729</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45729</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45729</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45729</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45729</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45729</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45729</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45729</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45729</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45729</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45729</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45729</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45729</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45729</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45729</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45729</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45729</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45729</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45729</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45729</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45729</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45729</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45729</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45729</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45729</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45729</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45729</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45729</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45729</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45729</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45729</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45729</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45729</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45729</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45729</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45729</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45729</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45729</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45729</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45729</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45729</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45729</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45729</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45729</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45729</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45729</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45729</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45729</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45729</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45729</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45729</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45729</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45729</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45729</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45729</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45729</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45729</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45729</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45729</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45729</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45729</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45729</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45729</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45729</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45729</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45729</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45729</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45729</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45729</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45729</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45729</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45729</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45729</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45729</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45729</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45729</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45729</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45729</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45729</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45729</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45729</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45729</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45729</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45729</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45729</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45729</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45729</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45729</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45729</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45729</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45729</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45729</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45729</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45729</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45729</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45729</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45729</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45729</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45729</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45729</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45729</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45729</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45729</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45729</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45729</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45729</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45729</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45729</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45729</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45729</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45729</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45729</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45729</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45729</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45729</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45729</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45729</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45729</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45729</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45729</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45729</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45729</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45729</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45729</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45729</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45729</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45729</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45729</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45729</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45729</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45729</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45729</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45729</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45729</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45729</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45729</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45729</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45729</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45729</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45729</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45729</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45729</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45729</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45729</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45729</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45729</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45729</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45729</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45729</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45729</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45729</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45729</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45729</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45729</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45729</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45729</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45729</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45729</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45729</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45729</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45729</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45729</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45729</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45729</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45729</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45729</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45729</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45729</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45729</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45729</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45729</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45729</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45729</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45729</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45729</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45729</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45729</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45729</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45729</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45729</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45729</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45729</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45729</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45729</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45729</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45729</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45729</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45729</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45729</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45729</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45729</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45729</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45729</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45729</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45729</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45729</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45729</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45729</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45729</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45729</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45729</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45729</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45729</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45729</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45729</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45729</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45729</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45729</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45729</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45729</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45729</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45729</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45729</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45729</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45729</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45729</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45729</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45729</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45729</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45729</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45729</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45729</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45729</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45729</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45729</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45729</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45729</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45729</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45729</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45729</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45729</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45729</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45729</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45729</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45729</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45729</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45729</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45729</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45729</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45729</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45729</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45729</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45729</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45729</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45729</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45729</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45729</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45729</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45729</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45729</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45729</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45729</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45729</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45729</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45729</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45729</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45729</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45729</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45729</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45729</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45729</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45729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45729</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45729</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45729</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45729</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45729</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45729</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45729</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45729</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45729</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45729</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45729</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45729</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45729</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45729</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45729</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45729</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45729</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45729</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45729</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45729</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45729</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45729</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45729</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45729</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45729</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45729</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45729</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45729</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45729</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45729</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45729</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45729</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45729</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45729</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45729</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45729</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45729</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45729</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45729</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45729</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45729</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45729</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45729</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45729</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45729</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45729</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45729</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45729</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45729</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45729</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45729</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45729</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45729</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45729</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45729</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45729</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45729</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45729</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45729</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45729</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45729</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45729</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45729</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45729</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45729</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45729</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45729</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45729</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45729</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45729</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45729</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45729</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45729</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45729</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45729</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45729</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45729</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45729</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45729</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45729</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45729</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45729</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45729</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45729</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45729</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45729</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45729</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45729</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45729</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45729</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45729</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45729</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45729</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45729</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45729</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45729</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45729</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45729</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45729</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45729</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45729</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45729</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45729</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45729</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45729</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45729</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45729</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45729</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45729</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45729</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45729</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45729</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45729</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45729</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45729</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45729</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45729</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45729</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45729</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45729</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45729</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45729</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45729</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45729</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45729</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45729</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45729</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45729</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45729</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45729</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45729</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45729</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45729</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45729</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45729</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45729</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45729</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45729</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45729</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45729</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45729</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45729</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45729</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45729</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45729</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45729</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45729</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45729</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45729</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45729</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45729</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45729</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45729</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45729</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45729</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45729</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45729</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45729</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45729</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45729</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45729</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45729</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45729</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45729</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45729</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45729</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45729</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45729</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45729</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45729</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45729</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45729</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45729</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45729</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45729</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45729</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45729</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45729</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45729</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45729</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45729</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45729</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45729</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45729</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45729</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45729</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45729</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45729</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45729</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45729</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45729</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45729</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45729</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45729</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45729</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45729</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45729</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45729</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45729</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45729</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45729</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45729</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45729</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45729</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45729</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45729</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45729</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45729</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45729</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45729</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45729</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45729</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45729</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45729</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45729</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45729</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45729</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45729</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45729</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45729</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45729</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45729</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45729</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45729</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45729</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45729</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45729</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45729</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45729</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45729</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45729</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45729</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45729</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45729</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45729</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45729</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45729</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45729</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45729</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45729</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45729</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45729</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45729</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45729</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45729</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45729</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45729</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45729</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45729</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45729</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45729</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45729</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45729</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45729</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45729</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45729</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45729</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45729</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45729</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45729</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45729</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45729</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45729</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45729</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45729</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45729</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45729</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45729</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45729</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45729</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45729</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45729</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45729</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45729</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45729</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45729</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45729</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45729</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45729</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45729</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45729</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45729</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45729</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45729</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45729</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45729</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45729</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45729</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45729</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45729</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45729</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45729</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45729</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45729</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45729</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45729</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45729</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45729</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45729</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45729</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45729</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45729</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45729</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45729</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45729</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45729</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45729</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45729</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45729</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45729</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45729</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45729</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45729</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45729</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45729</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45729</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45729</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45729</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45729</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45729</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45729</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45729</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45729</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45729</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45729</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45729</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45729</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45729</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45729</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45729</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45729</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45729</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45729</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45729</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45729</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45729</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45729</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45729</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45729</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45729</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45729</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45729</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45729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45729</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45729</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45729</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45729</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45729</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45729</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45729</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45729</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45729</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45729</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45729</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45729</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45729</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45729</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45729</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45729</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45729</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45729</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45729</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45729</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45729</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45729</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45729</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45729</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45729</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45729</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45729</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45729</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45729</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45729</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45729</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45729</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45729</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45729</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45729</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45729</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45729</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45729</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45729</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45729</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45729</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45729</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45729</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45729</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45729</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45729</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45729</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45729</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45729</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45729</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45729</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45729</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45729</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45729</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45729</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45729</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45729</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45729</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45729</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45729</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45729</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45729</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45729</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45729</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45729</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45729</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45729</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45729</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45729</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45729</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45729</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45729</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45729</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45729</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45729</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45729</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45729</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45729</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45729</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45729</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45729</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45729</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45729</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45729</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45729</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45729</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45729</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45729</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45729</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45729</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45729</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45729</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45729</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45729</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45729</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45729</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45729</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45729</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45729</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45729</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45729</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45729</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45729</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45729</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45729</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45729</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45729</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45729</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45729</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45729</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45729</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45729</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45729</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45729</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45729</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45729</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45729</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45729</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45729</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45729</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45729</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45729</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45729</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45729</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45729</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45729</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45729</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45729</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45729</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45729</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45729</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45729</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45729</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45729</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45729</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45729</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45729</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45729</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45729</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45729</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45729</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45729</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45729</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45729</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45729</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45729</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45729</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45729</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45729</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45729</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45729</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45729</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45729</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45729</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45729</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45729</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45729</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45729</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45729</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45729</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45729</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45729</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45729</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45729</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45729</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45729</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45729</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45729</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45729</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45729</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45729</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45729</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45729</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45729</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45729</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45729</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45729</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45729</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45729</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45729</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45729</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45729</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45729</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45729</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45729</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45729</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45729</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45729</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45729</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45729</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45729</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45729</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45729</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45729</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45729</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45729</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45729</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45729</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45729</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45729</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45729</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45729</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45729</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45729</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45729</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45729</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45729</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45729</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45729</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45729</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45729</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45729</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45729</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45729</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45729</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45729</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45729</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45729</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45729</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45729</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45729</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45729</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45729</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45729</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45729</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45729</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45729</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45729</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45729</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45729</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45729</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45729</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45729</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45729</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45729</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45729</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45729</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45729</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45729</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45729</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45729</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45729</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45729</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45729</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45729</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45729</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45729</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45729</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45729</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45729</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45729</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45729</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45729</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45729</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45729</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45729</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45729</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45729</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45729</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45729</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45729</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45729</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45729</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45729</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45729</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45729</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45729</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45729</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45729</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45729</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45729</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45729</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45729</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45729</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45729</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45729</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45729</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45729</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45729</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45729</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45729</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45729</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45729</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45729</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45729</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45729</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45729</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45729</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45729</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45729</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45729</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45729</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45729</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45729</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45729</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45729</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45729</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45729</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45729</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45729</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45729</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45729</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45729</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45729</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45729</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45729</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45729</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45729</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45729</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45729</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45729</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45729</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45729</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45729</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45729</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45729</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45729</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45729</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45729</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45729</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45729</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45729</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45729</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45729</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45729</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45729</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45729</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45729</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45729</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45729</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45729</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45729</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45729</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45729</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45729</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45729</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45729</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45729</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45729</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45729</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45729</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45729</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45729</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45729</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45729</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45729</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45729</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45729</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45729</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45729</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45729</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45729</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45729</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45729</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45729</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45729</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45729</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45729</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45729</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45729</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45729</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45729</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45729</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45729</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45729</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45729</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45729</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45729</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45729</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45729</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45729</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45729</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45729</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45729</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45729</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45729</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45729</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45729</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45729</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45729</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45729</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45729</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45729</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45729</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45729</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45729</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45729</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45729</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45729</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45729</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45729</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45729</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45729</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45729</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45729</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45729</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45729</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45729</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45729</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45729</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45729</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45729</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45729</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45729</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45729</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45729</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45729</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45729</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45729</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45729</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45729</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45729</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45729</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45729</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45729</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45729</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45729</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45729</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45729</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45729</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45729</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45729</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45729</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45729</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45729</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45729</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45729</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45729</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45729</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45729</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45729</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45729</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45729</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45729</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45729</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45729</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45729</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45729</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45729</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45729</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45729</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45729</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45729</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45729</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45729</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45729</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45729</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45729</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45729</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45729</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45729</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45729</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45729</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45729</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45729</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45729</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45729</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45729</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45729</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45729</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45729</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45729</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45729</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45729</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45729</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45729</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45729</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45729</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45729</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45729</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45729</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45729</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45729</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45729</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45729</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45729</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45729</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45729</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45729</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45729</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45729</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45729</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45729</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45729</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45729</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45729</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45729</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45729</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45729</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45729</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45729</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45729</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45729</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45729</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45729</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45729</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45729</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45729</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45729</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45729</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45729</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45729</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45729</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45729</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45729</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45729</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45729</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45729</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45729</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45729</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45729</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45729</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45729</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45729</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45729</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45729</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45729</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45729</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45729</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45729</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45729</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45729</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45729</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45729</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45729</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45729</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45729</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45729</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45729</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45729</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45729</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45729</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45729</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45729</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45729</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45729</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45729</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45729</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45729</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45729</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45729</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45729</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45729</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45729</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45729</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45729</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45729</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45729</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45729</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45729</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45729</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45729</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45729</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45729</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45729</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45729</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45729</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45729</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45729</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45729</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45729</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45729</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45729</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45729</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45729</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45729</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45729</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45729</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45729</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45729</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45729</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45729</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45729</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45729</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45729</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45729</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45729</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45729</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45729</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45729</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45729</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45729</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45729</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45729</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45729</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45729</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45729</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45729</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45729</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45729</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45729</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45729</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45729</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45729</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45729</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45729</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45729</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45729</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45729</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45729</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45729</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45729</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45729</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45729</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45729</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45729</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45729</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45729</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45729</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45729</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45729</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45729</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45729</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45729</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45729</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45729</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45729</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45729</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45729</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45729</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45729</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45729</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45729</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45729</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45729</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45729</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45729</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45729</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45729</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45729</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45729</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45729</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45729</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45729</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45729</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45729</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45729</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45729</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45729</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45729</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45729</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45729</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45729</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45729</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45729</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45729</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45729</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45729</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45729</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45729</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45729</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45729</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45729</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45729</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45729</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45729</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45729</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45729</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45729</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45729</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45729</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45729</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45729</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45729</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45729</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45729</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45729</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45729</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45729</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45729</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45729</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45729</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45729</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45729</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45729</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45729</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45729</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45729</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45729</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45729</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45729</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45729</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45729</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45729</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45729</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45729</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45729</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45729</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45729</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45729</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45729</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45729</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45729</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45729</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45729</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45729</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45729</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45729</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45729</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45729</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45729</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45729</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45729</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45729</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45729</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45729</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45729</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45729</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45729</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45729</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45729</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45729</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45729</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45729</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45729</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45729</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45729</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45729</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45729</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45729</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45729</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45729</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45729</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45729</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45729</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45729</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45729</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45729</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45729</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45729</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45729</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45729</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45729</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45729</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45729</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45729</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45729</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45729</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45729</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45729</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45729</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45729</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45729</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45729</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45729</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45729</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45729</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45729</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45729</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45729</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45729</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45729</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45729</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45729</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45729</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45729</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45729</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45729</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45729</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45729</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45729</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45729</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45729</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45729</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45729</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45729</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45729</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45729</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45729</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45729</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45729</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45729</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45729</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45729</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45729</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45729</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45729</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45729</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45729</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45729</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45729</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45729</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45729</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45729</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45729</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45729</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45729</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6678-2025</t>
        </is>
      </c>
      <c r="B1907" s="1" t="n">
        <v>45700</v>
      </c>
      <c r="C1907" s="1" t="n">
        <v>45729</v>
      </c>
      <c r="D1907" t="inlineStr">
        <is>
          <t>STOCKHOLMS LÄN</t>
        </is>
      </c>
      <c r="E1907" t="inlineStr">
        <is>
          <t>NORRTÄLJE</t>
        </is>
      </c>
      <c r="F1907" t="inlineStr">
        <is>
          <t>Övriga Aktiebolag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45729</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6919-2025</t>
        </is>
      </c>
      <c r="B1909" s="1" t="n">
        <v>45701</v>
      </c>
      <c r="C1909" s="1" t="n">
        <v>45729</v>
      </c>
      <c r="D1909" t="inlineStr">
        <is>
          <t>STOCKHOLMS LÄN</t>
        </is>
      </c>
      <c r="E1909" t="inlineStr">
        <is>
          <t>NORRTÄLJE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6996-2025</t>
        </is>
      </c>
      <c r="B1910" s="1" t="n">
        <v>45701</v>
      </c>
      <c r="C1910" s="1" t="n">
        <v>45729</v>
      </c>
      <c r="D1910" t="inlineStr">
        <is>
          <t>STOCKHOLMS LÄN</t>
        </is>
      </c>
      <c r="E1910" t="inlineStr">
        <is>
          <t>NORRTÄLJE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45729</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45729</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7806-2025</t>
        </is>
      </c>
      <c r="B1913" s="1" t="n">
        <v>45706</v>
      </c>
      <c r="C1913" s="1" t="n">
        <v>45729</v>
      </c>
      <c r="D1913" t="inlineStr">
        <is>
          <t>STOCKHOLMS LÄN</t>
        </is>
      </c>
      <c r="E1913" t="inlineStr">
        <is>
          <t>NORRTÄLJE</t>
        </is>
      </c>
      <c r="F1913" t="inlineStr">
        <is>
          <t>Holmen skog AB</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7784-2025</t>
        </is>
      </c>
      <c r="B1914" s="1" t="n">
        <v>45706</v>
      </c>
      <c r="C1914" s="1" t="n">
        <v>45729</v>
      </c>
      <c r="D1914" t="inlineStr">
        <is>
          <t>STOCKHOLMS LÄN</t>
        </is>
      </c>
      <c r="E1914" t="inlineStr">
        <is>
          <t>NORRTÄLJE</t>
        </is>
      </c>
      <c r="F1914" t="inlineStr">
        <is>
          <t>Holmen skog AB</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7796-2025</t>
        </is>
      </c>
      <c r="B1915" s="1" t="n">
        <v>45706</v>
      </c>
      <c r="C1915" s="1" t="n">
        <v>45729</v>
      </c>
      <c r="D1915" t="inlineStr">
        <is>
          <t>STOCKHOLMS LÄN</t>
        </is>
      </c>
      <c r="E1915" t="inlineStr">
        <is>
          <t>NORRTÄLJE</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7781-2025</t>
        </is>
      </c>
      <c r="B1916" s="1" t="n">
        <v>45706</v>
      </c>
      <c r="C1916" s="1" t="n">
        <v>45729</v>
      </c>
      <c r="D1916" t="inlineStr">
        <is>
          <t>STOCKHOLMS LÄN</t>
        </is>
      </c>
      <c r="E1916" t="inlineStr">
        <is>
          <t>NORRTÄLJE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8071-2025</t>
        </is>
      </c>
      <c r="B1917" s="1" t="n">
        <v>45707</v>
      </c>
      <c r="C1917" s="1" t="n">
        <v>45729</v>
      </c>
      <c r="D1917" t="inlineStr">
        <is>
          <t>STOCKHOLMS LÄN</t>
        </is>
      </c>
      <c r="E1917" t="inlineStr">
        <is>
          <t>NORRTÄLJE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8134-2025</t>
        </is>
      </c>
      <c r="B1918" s="1" t="n">
        <v>45707</v>
      </c>
      <c r="C1918" s="1" t="n">
        <v>45729</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8135-2025</t>
        </is>
      </c>
      <c r="B1919" s="1" t="n">
        <v>45707</v>
      </c>
      <c r="C1919" s="1" t="n">
        <v>45729</v>
      </c>
      <c r="D1919" t="inlineStr">
        <is>
          <t>STOCKHOLMS LÄN</t>
        </is>
      </c>
      <c r="E1919" t="inlineStr">
        <is>
          <t>NORRTÄLJE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8132-2025</t>
        </is>
      </c>
      <c r="B1920" s="1" t="n">
        <v>45707</v>
      </c>
      <c r="C1920" s="1" t="n">
        <v>45729</v>
      </c>
      <c r="D1920" t="inlineStr">
        <is>
          <t>STOCKHOLMS LÄN</t>
        </is>
      </c>
      <c r="E1920" t="inlineStr">
        <is>
          <t>NORRTÄLJE</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8133-2025</t>
        </is>
      </c>
      <c r="B1921" s="1" t="n">
        <v>45707</v>
      </c>
      <c r="C1921" s="1" t="n">
        <v>45729</v>
      </c>
      <c r="D1921" t="inlineStr">
        <is>
          <t>STOCKHOLMS LÄN</t>
        </is>
      </c>
      <c r="E1921" t="inlineStr">
        <is>
          <t>NORRTÄLJE</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45729</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8315-2025</t>
        </is>
      </c>
      <c r="B1923" s="1" t="n">
        <v>45708</v>
      </c>
      <c r="C1923" s="1" t="n">
        <v>45729</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45729</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45729</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45729</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8587-2025</t>
        </is>
      </c>
      <c r="B1927" s="1" t="n">
        <v>45709</v>
      </c>
      <c r="C1927" s="1" t="n">
        <v>45729</v>
      </c>
      <c r="D1927" t="inlineStr">
        <is>
          <t>STOCKHOLMS LÄN</t>
        </is>
      </c>
      <c r="E1927" t="inlineStr">
        <is>
          <t>NORRTÄLJE</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8547-2025</t>
        </is>
      </c>
      <c r="B1928" s="1" t="n">
        <v>45709</v>
      </c>
      <c r="C1928" s="1" t="n">
        <v>45729</v>
      </c>
      <c r="D1928" t="inlineStr">
        <is>
          <t>STOCKHOLMS LÄN</t>
        </is>
      </c>
      <c r="E1928" t="inlineStr">
        <is>
          <t>NORRTÄLJE</t>
        </is>
      </c>
      <c r="F1928" t="inlineStr">
        <is>
          <t>Övriga Aktiebolag</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45729</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45729</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9130-2025</t>
        </is>
      </c>
      <c r="B1931" s="1" t="n">
        <v>45713</v>
      </c>
      <c r="C1931" s="1" t="n">
        <v>45729</v>
      </c>
      <c r="D1931" t="inlineStr">
        <is>
          <t>STOCKHOLMS LÄN</t>
        </is>
      </c>
      <c r="E1931" t="inlineStr">
        <is>
          <t>NORRTÄLJE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45729</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9520-2025</t>
        </is>
      </c>
      <c r="B1933" s="1" t="n">
        <v>45715</v>
      </c>
      <c r="C1933" s="1" t="n">
        <v>45729</v>
      </c>
      <c r="D1933" t="inlineStr">
        <is>
          <t>STOCKHOLMS LÄN</t>
        </is>
      </c>
      <c r="E1933" t="inlineStr">
        <is>
          <t>NORRTÄLJE</t>
        </is>
      </c>
      <c r="G1933" t="n">
        <v>23.2</v>
      </c>
      <c r="H1933" t="n">
        <v>0</v>
      </c>
      <c r="I1933" t="n">
        <v>0</v>
      </c>
      <c r="J1933" t="n">
        <v>0</v>
      </c>
      <c r="K1933" t="n">
        <v>0</v>
      </c>
      <c r="L1933" t="n">
        <v>0</v>
      </c>
      <c r="M1933" t="n">
        <v>0</v>
      </c>
      <c r="N1933" t="n">
        <v>0</v>
      </c>
      <c r="O1933" t="n">
        <v>0</v>
      </c>
      <c r="P1933" t="n">
        <v>0</v>
      </c>
      <c r="Q1933" t="n">
        <v>0</v>
      </c>
      <c r="R1933" s="2" t="inlineStr"/>
    </row>
    <row r="1934" ht="15" customHeight="1">
      <c r="A1934" t="inlineStr">
        <is>
          <t>A 9480-2025</t>
        </is>
      </c>
      <c r="B1934" s="1" t="n">
        <v>45715</v>
      </c>
      <c r="C1934" s="1" t="n">
        <v>45729</v>
      </c>
      <c r="D1934" t="inlineStr">
        <is>
          <t>STOCKHOLMS LÄN</t>
        </is>
      </c>
      <c r="E1934" t="inlineStr">
        <is>
          <t>NORRTÄLJE</t>
        </is>
      </c>
      <c r="F1934" t="inlineStr">
        <is>
          <t>Övriga Aktiebolag</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45729</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10642-2025</t>
        </is>
      </c>
      <c r="B1936" s="1" t="n">
        <v>45721</v>
      </c>
      <c r="C1936" s="1" t="n">
        <v>45729</v>
      </c>
      <c r="D1936" t="inlineStr">
        <is>
          <t>STOCKHOLMS LÄN</t>
        </is>
      </c>
      <c r="E1936" t="inlineStr">
        <is>
          <t>NORRTÄLJE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10676-2025</t>
        </is>
      </c>
      <c r="B1937" s="1" t="n">
        <v>45721</v>
      </c>
      <c r="C1937" s="1" t="n">
        <v>45729</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10557-2025</t>
        </is>
      </c>
      <c r="B1938" s="1" t="n">
        <v>45721</v>
      </c>
      <c r="C1938" s="1" t="n">
        <v>45729</v>
      </c>
      <c r="D1938" t="inlineStr">
        <is>
          <t>STOCKHOLMS LÄN</t>
        </is>
      </c>
      <c r="E1938" t="inlineStr">
        <is>
          <t>NORRTÄLJE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45729</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45729</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45729</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11041-2025</t>
        </is>
      </c>
      <c r="B1942" s="1" t="n">
        <v>45723</v>
      </c>
      <c r="C1942" s="1" t="n">
        <v>45729</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11332-2025</t>
        </is>
      </c>
      <c r="B1943" s="1" t="n">
        <v>45726</v>
      </c>
      <c r="C1943" s="1" t="n">
        <v>45729</v>
      </c>
      <c r="D1943" t="inlineStr">
        <is>
          <t>STOCKHOLMS LÄN</t>
        </is>
      </c>
      <c r="E1943" t="inlineStr">
        <is>
          <t>NORRTÄLJE</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11333-2025</t>
        </is>
      </c>
      <c r="B1944" s="1" t="n">
        <v>45726</v>
      </c>
      <c r="C1944" s="1" t="n">
        <v>45729</v>
      </c>
      <c r="D1944" t="inlineStr">
        <is>
          <t>STOCKHOLMS LÄN</t>
        </is>
      </c>
      <c r="E1944" t="inlineStr">
        <is>
          <t>NORRTÄLJE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11849-2025</t>
        </is>
      </c>
      <c r="B1945" s="1" t="n">
        <v>45728</v>
      </c>
      <c r="C1945" s="1" t="n">
        <v>45729</v>
      </c>
      <c r="D1945" t="inlineStr">
        <is>
          <t>STOCKHOLMS LÄN</t>
        </is>
      </c>
      <c r="E1945" t="inlineStr">
        <is>
          <t>NORRTÄLJE</t>
        </is>
      </c>
      <c r="G1945" t="n">
        <v>1.7</v>
      </c>
      <c r="H1945" t="n">
        <v>0</v>
      </c>
      <c r="I1945" t="n">
        <v>0</v>
      </c>
      <c r="J1945" t="n">
        <v>0</v>
      </c>
      <c r="K1945" t="n">
        <v>0</v>
      </c>
      <c r="L1945" t="n">
        <v>0</v>
      </c>
      <c r="M1945" t="n">
        <v>0</v>
      </c>
      <c r="N1945" t="n">
        <v>0</v>
      </c>
      <c r="O1945" t="n">
        <v>0</v>
      </c>
      <c r="P1945" t="n">
        <v>0</v>
      </c>
      <c r="Q1945" t="n">
        <v>0</v>
      </c>
      <c r="R1945" s="2" t="inlineStr"/>
    </row>
    <row r="1946">
      <c r="A1946" t="inlineStr">
        <is>
          <t>A 11854-2025</t>
        </is>
      </c>
      <c r="B1946" s="1" t="n">
        <v>45728</v>
      </c>
      <c r="C1946" s="1" t="n">
        <v>45729</v>
      </c>
      <c r="D1946" t="inlineStr">
        <is>
          <t>STOCKHOLMS LÄN</t>
        </is>
      </c>
      <c r="E1946" t="inlineStr">
        <is>
          <t>NORRTÄLJE</t>
        </is>
      </c>
      <c r="G1946" t="n">
        <v>1.4</v>
      </c>
      <c r="H1946" t="n">
        <v>0</v>
      </c>
      <c r="I1946" t="n">
        <v>0</v>
      </c>
      <c r="J1946" t="n">
        <v>0</v>
      </c>
      <c r="K1946" t="n">
        <v>0</v>
      </c>
      <c r="L1946" t="n">
        <v>0</v>
      </c>
      <c r="M1946" t="n">
        <v>0</v>
      </c>
      <c r="N1946" t="n">
        <v>0</v>
      </c>
      <c r="O1946" t="n">
        <v>0</v>
      </c>
      <c r="P1946" t="n">
        <v>0</v>
      </c>
      <c r="Q1946" t="n">
        <v>0</v>
      </c>
      <c r="R19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2025-03-13T16:42:22Z</dcterms:created>
  <dcterms:modified xmlns:dcterms="http://purl.org/dc/terms/" xmlns:xsi="http://www.w3.org/2001/XMLSchema-instance" xsi:type="dcterms:W3CDTF">2025-03-13T16:42:24Z</dcterms:modified>
</cp:coreProperties>
</file>