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46189</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46189</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46189</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56024-2025</t>
        </is>
      </c>
      <c r="B12" s="1" t="n">
        <v>45973</v>
      </c>
      <c r="C12" s="1" t="n">
        <v>46189</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46189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46189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639-2026</t>
        </is>
      </c>
      <c r="B15" s="1" t="n">
        <v>46029</v>
      </c>
      <c r="C15" s="1" t="n">
        <v>46189</v>
      </c>
      <c r="D15" t="inlineStr">
        <is>
          <t>STOCKHOLMS LÄN</t>
        </is>
      </c>
      <c r="E15" t="inlineStr">
        <is>
          <t>NORRTÄLJE</t>
        </is>
      </c>
      <c r="G15" t="n">
        <v>24.7</v>
      </c>
      <c r="H15" t="n">
        <v>12</v>
      </c>
      <c r="I15" t="n">
        <v>0</v>
      </c>
      <c r="J15" t="n">
        <v>5</v>
      </c>
      <c r="K15" t="n">
        <v>1</v>
      </c>
      <c r="L15" t="n">
        <v>0</v>
      </c>
      <c r="M15" t="n">
        <v>0</v>
      </c>
      <c r="N15" t="n">
        <v>0</v>
      </c>
      <c r="O15" t="n">
        <v>6</v>
      </c>
      <c r="P15" t="n">
        <v>1</v>
      </c>
      <c r="Q15" t="n">
        <v>12</v>
      </c>
      <c r="R15" s="2" t="inlineStr">
        <is>
          <t>Stare
Entita
Gulsparv
Nordfladdermus
Rödvingetrast
Talltita
Enkelbeckasin
Grönsiska
Järnsparv
Kungsfågel
Större brunfladdermus
Blåsippa</t>
        </is>
      </c>
      <c r="S15">
        <f>HYPERLINK("https://klasma.github.io/Logging_0188/artfynd/A 639-2026 artfynd.xlsx", "A 639-2026")</f>
        <v/>
      </c>
      <c r="T15">
        <f>HYPERLINK("https://klasma.github.io/Logging_0188/kartor/A 639-2026 karta.png", "A 639-2026")</f>
        <v/>
      </c>
      <c r="V15">
        <f>HYPERLINK("https://klasma.github.io/Logging_0188/klagomål/A 639-2026 FSC-klagomål.docx", "A 639-2026")</f>
        <v/>
      </c>
      <c r="W15">
        <f>HYPERLINK("https://klasma.github.io/Logging_0188/klagomålsmail/A 639-2026 FSC-klagomål mail.docx", "A 639-2026")</f>
        <v/>
      </c>
      <c r="X15">
        <f>HYPERLINK("https://klasma.github.io/Logging_0188/tillsyn/A 639-2026 tillsynsbegäran.docx", "A 639-2026")</f>
        <v/>
      </c>
      <c r="Y15">
        <f>HYPERLINK("https://klasma.github.io/Logging_0188/tillsynsmail/A 639-2026 tillsynsbegäran mail.docx", "A 639-2026")</f>
        <v/>
      </c>
      <c r="Z15">
        <f>HYPERLINK("https://klasma.github.io/Logging_0188/fåglar/A 639-2026 prioriterade fågelarter.docx", "A 639-2026")</f>
        <v/>
      </c>
    </row>
    <row r="16" ht="15" customHeight="1">
      <c r="A16" t="inlineStr">
        <is>
          <t>A 17645-2026</t>
        </is>
      </c>
      <c r="B16" s="1" t="n">
        <v>46121.51921296296</v>
      </c>
      <c r="C16" s="1" t="n">
        <v>46189</v>
      </c>
      <c r="D16" t="inlineStr">
        <is>
          <t>STOCKHOLMS LÄN</t>
        </is>
      </c>
      <c r="E16" t="inlineStr">
        <is>
          <t>NORRTÄLJE</t>
        </is>
      </c>
      <c r="G16" t="n">
        <v>8.199999999999999</v>
      </c>
      <c r="H16" t="n">
        <v>7</v>
      </c>
      <c r="I16" t="n">
        <v>1</v>
      </c>
      <c r="J16" t="n">
        <v>5</v>
      </c>
      <c r="K16" t="n">
        <v>1</v>
      </c>
      <c r="L16" t="n">
        <v>0</v>
      </c>
      <c r="M16" t="n">
        <v>0</v>
      </c>
      <c r="N16" t="n">
        <v>0</v>
      </c>
      <c r="O16" t="n">
        <v>6</v>
      </c>
      <c r="P16" t="n">
        <v>1</v>
      </c>
      <c r="Q16" t="n">
        <v>12</v>
      </c>
      <c r="R16" s="2" t="inlineStr">
        <is>
          <t>Knärot
Granticka
Spillkråka
Tallticka
Ullticka
Vit vedfingersvamp
Grönpyrola
Grönsiska
Järnsparv
Kungsfågel
Nattviol
Blåsippa</t>
        </is>
      </c>
      <c r="S16">
        <f>HYPERLINK("https://klasma.github.io/Logging_0188/artfynd/A 17645-2026 artfynd.xlsx", "A 17645-2026")</f>
        <v/>
      </c>
      <c r="T16">
        <f>HYPERLINK("https://klasma.github.io/Logging_0188/kartor/A 17645-2026 karta.png", "A 17645-2026")</f>
        <v/>
      </c>
      <c r="U16">
        <f>HYPERLINK("https://klasma.github.io/Logging_0188/knärot/A 17645-2026 karta knärot.png", "A 17645-2026")</f>
        <v/>
      </c>
      <c r="V16">
        <f>HYPERLINK("https://klasma.github.io/Logging_0188/klagomål/A 17645-2026 FSC-klagomål.docx", "A 17645-2026")</f>
        <v/>
      </c>
      <c r="W16">
        <f>HYPERLINK("https://klasma.github.io/Logging_0188/klagomålsmail/A 17645-2026 FSC-klagomål mail.docx", "A 17645-2026")</f>
        <v/>
      </c>
      <c r="X16">
        <f>HYPERLINK("https://klasma.github.io/Logging_0188/tillsyn/A 17645-2026 tillsynsbegäran.docx", "A 17645-2026")</f>
        <v/>
      </c>
      <c r="Y16">
        <f>HYPERLINK("https://klasma.github.io/Logging_0188/tillsynsmail/A 17645-2026 tillsynsbegäran mail.docx", "A 17645-2026")</f>
        <v/>
      </c>
      <c r="Z16">
        <f>HYPERLINK("https://klasma.github.io/Logging_0188/fåglar/A 17645-2026 prioriterade fågelarter.docx", "A 17645-2026")</f>
        <v/>
      </c>
    </row>
    <row r="17" ht="15" customHeight="1">
      <c r="A17" t="inlineStr">
        <is>
          <t>A 21927-2025</t>
        </is>
      </c>
      <c r="B17" s="1" t="n">
        <v>45784.54878472222</v>
      </c>
      <c r="C17" s="1" t="n">
        <v>46189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46189</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25732-2025</t>
        </is>
      </c>
      <c r="B19" s="1" t="n">
        <v>45800</v>
      </c>
      <c r="C19" s="1" t="n">
        <v>46189</v>
      </c>
      <c r="D19" t="inlineStr">
        <is>
          <t>STOCKHOLMS LÄN</t>
        </is>
      </c>
      <c r="E19" t="inlineStr">
        <is>
          <t>NORRTÄLJE</t>
        </is>
      </c>
      <c r="G19" t="n">
        <v>7.4</v>
      </c>
      <c r="H19" t="n">
        <v>5</v>
      </c>
      <c r="I19" t="n">
        <v>4</v>
      </c>
      <c r="J19" t="n">
        <v>5</v>
      </c>
      <c r="K19" t="n">
        <v>1</v>
      </c>
      <c r="L19" t="n">
        <v>0</v>
      </c>
      <c r="M19" t="n">
        <v>0</v>
      </c>
      <c r="N19" t="n">
        <v>0</v>
      </c>
      <c r="O19" t="n">
        <v>6</v>
      </c>
      <c r="P19" t="n">
        <v>1</v>
      </c>
      <c r="Q19" t="n">
        <v>11</v>
      </c>
      <c r="R19" s="2" t="inlineStr">
        <is>
          <t>Knärot
Blå taggsvamp
Motaggsvamp
Skrovlig taggsvamp
Spillkråka
Talltita
Björksplintborre
Dropptaggsvamp
Grönpyrola
Plattlummer
Kungsfågel</t>
        </is>
      </c>
      <c r="S19">
        <f>HYPERLINK("https://klasma.github.io/Logging_0188/artfynd/A 25732-2025 artfynd.xlsx", "A 25732-2025")</f>
        <v/>
      </c>
      <c r="T19">
        <f>HYPERLINK("https://klasma.github.io/Logging_0188/kartor/A 25732-2025 karta.png", "A 25732-2025")</f>
        <v/>
      </c>
      <c r="U19">
        <f>HYPERLINK("https://klasma.github.io/Logging_0188/knärot/A 25732-2025 karta knärot.png", "A 25732-2025")</f>
        <v/>
      </c>
      <c r="V19">
        <f>HYPERLINK("https://klasma.github.io/Logging_0188/klagomål/A 25732-2025 FSC-klagomål.docx", "A 25732-2025")</f>
        <v/>
      </c>
      <c r="W19">
        <f>HYPERLINK("https://klasma.github.io/Logging_0188/klagomålsmail/A 25732-2025 FSC-klagomål mail.docx", "A 25732-2025")</f>
        <v/>
      </c>
      <c r="X19">
        <f>HYPERLINK("https://klasma.github.io/Logging_0188/tillsyn/A 25732-2025 tillsynsbegäran.docx", "A 25732-2025")</f>
        <v/>
      </c>
      <c r="Y19">
        <f>HYPERLINK("https://klasma.github.io/Logging_0188/tillsynsmail/A 25732-2025 tillsynsbegäran mail.docx", "A 25732-2025")</f>
        <v/>
      </c>
      <c r="Z19">
        <f>HYPERLINK("https://klasma.github.io/Logging_0188/fåglar/A 25732-2025 prioriterade fågelarter.docx", "A 25732-2025")</f>
        <v/>
      </c>
    </row>
    <row r="20" ht="15" customHeight="1">
      <c r="A20" t="inlineStr">
        <is>
          <t>A 20722-2024</t>
        </is>
      </c>
      <c r="B20" s="1" t="n">
        <v>45436</v>
      </c>
      <c r="C20" s="1" t="n">
        <v>46189</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46189</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46189</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46189</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47274-2024</t>
        </is>
      </c>
      <c r="B24" s="1" t="n">
        <v>45586</v>
      </c>
      <c r="C24" s="1" t="n">
        <v>46189</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46189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26081-2026</t>
        </is>
      </c>
      <c r="B26" s="1" t="n">
        <v>46181.62855324074</v>
      </c>
      <c r="C26" s="1" t="n">
        <v>46189</v>
      </c>
      <c r="D26" t="inlineStr">
        <is>
          <t>STOCKHOLMS LÄN</t>
        </is>
      </c>
      <c r="E26" t="inlineStr">
        <is>
          <t>NORRTÄLJE</t>
        </is>
      </c>
      <c r="G26" t="n">
        <v>13.9</v>
      </c>
      <c r="H26" t="n">
        <v>1</v>
      </c>
      <c r="I26" t="n">
        <v>4</v>
      </c>
      <c r="J26" t="n">
        <v>3</v>
      </c>
      <c r="K26" t="n">
        <v>1</v>
      </c>
      <c r="L26" t="n">
        <v>0</v>
      </c>
      <c r="M26" t="n">
        <v>0</v>
      </c>
      <c r="N26" t="n">
        <v>0</v>
      </c>
      <c r="O26" t="n">
        <v>4</v>
      </c>
      <c r="P26" t="n">
        <v>1</v>
      </c>
      <c r="Q26" t="n">
        <v>9</v>
      </c>
      <c r="R26" s="2" t="inlineStr">
        <is>
          <t>Koppartaggsvamp
Dofttaggsvamp
Orange taggsvamp
Ullticka
Fjällig taggsvamp s.str.
Grönpyrola
Kamjordstjärna
Svavelriska
Blåsippa</t>
        </is>
      </c>
      <c r="S26">
        <f>HYPERLINK("https://klasma.github.io/Logging_0188/artfynd/A 26081-2026 artfynd.xlsx", "A 26081-2026")</f>
        <v/>
      </c>
      <c r="T26">
        <f>HYPERLINK("https://klasma.github.io/Logging_0188/kartor/A 26081-2026 karta.png", "A 26081-2026")</f>
        <v/>
      </c>
      <c r="V26">
        <f>HYPERLINK("https://klasma.github.io/Logging_0188/klagomål/A 26081-2026 FSC-klagomål.docx", "A 26081-2026")</f>
        <v/>
      </c>
      <c r="W26">
        <f>HYPERLINK("https://klasma.github.io/Logging_0188/klagomålsmail/A 26081-2026 FSC-klagomål mail.docx", "A 26081-2026")</f>
        <v/>
      </c>
      <c r="X26">
        <f>HYPERLINK("https://klasma.github.io/Logging_0188/tillsyn/A 26081-2026 tillsynsbegäran.docx", "A 26081-2026")</f>
        <v/>
      </c>
      <c r="Y26">
        <f>HYPERLINK("https://klasma.github.io/Logging_0188/tillsynsmail/A 26081-2026 tillsynsbegäran mail.docx", "A 26081-2026")</f>
        <v/>
      </c>
    </row>
    <row r="27" ht="15" customHeight="1">
      <c r="A27" t="inlineStr">
        <is>
          <t>A 61099-2025</t>
        </is>
      </c>
      <c r="B27" s="1" t="n">
        <v>46000.44185185185</v>
      </c>
      <c r="C27" s="1" t="n">
        <v>46189</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46189</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46189</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46189</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15278-2024</t>
        </is>
      </c>
      <c r="B31" s="1" t="n">
        <v>45400.5958912037</v>
      </c>
      <c r="C31" s="1" t="n">
        <v>46189</v>
      </c>
      <c r="D31" t="inlineStr">
        <is>
          <t>STOCKHOLMS LÄN</t>
        </is>
      </c>
      <c r="E31" t="inlineStr">
        <is>
          <t>NORRTÄLJE</t>
        </is>
      </c>
      <c r="G31" t="n">
        <v>7.4</v>
      </c>
      <c r="H31" t="n">
        <v>2</v>
      </c>
      <c r="I31" t="n">
        <v>4</v>
      </c>
      <c r="J31" t="n">
        <v>1</v>
      </c>
      <c r="K31" t="n">
        <v>1</v>
      </c>
      <c r="L31" t="n">
        <v>0</v>
      </c>
      <c r="M31" t="n">
        <v>0</v>
      </c>
      <c r="N31" t="n">
        <v>0</v>
      </c>
      <c r="O31" t="n">
        <v>2</v>
      </c>
      <c r="P31" t="n">
        <v>1</v>
      </c>
      <c r="Q31" t="n">
        <v>7</v>
      </c>
      <c r="R31" s="2" t="inlineStr">
        <is>
          <t>Knärot
Ullticka
Fjällig taggsvamp s.str.
Grönpyrola
Kattfotslav
Vedticka
Blåsippa</t>
        </is>
      </c>
      <c r="S31">
        <f>HYPERLINK("https://klasma.github.io/Logging_0188/artfynd/A 15278-2024 artfynd.xlsx", "A 15278-2024")</f>
        <v/>
      </c>
      <c r="T31">
        <f>HYPERLINK("https://klasma.github.io/Logging_0188/kartor/A 15278-2024 karta.png", "A 15278-2024")</f>
        <v/>
      </c>
      <c r="U31">
        <f>HYPERLINK("https://klasma.github.io/Logging_0188/knärot/A 15278-2024 karta knärot.png", "A 15278-2024")</f>
        <v/>
      </c>
      <c r="V31">
        <f>HYPERLINK("https://klasma.github.io/Logging_0188/klagomål/A 15278-2024 FSC-klagomål.docx", "A 15278-2024")</f>
        <v/>
      </c>
      <c r="W31">
        <f>HYPERLINK("https://klasma.github.io/Logging_0188/klagomålsmail/A 15278-2024 FSC-klagomål mail.docx", "A 15278-2024")</f>
        <v/>
      </c>
      <c r="X31">
        <f>HYPERLINK("https://klasma.github.io/Logging_0188/tillsyn/A 15278-2024 tillsynsbegäran.docx", "A 15278-2024")</f>
        <v/>
      </c>
      <c r="Y31">
        <f>HYPERLINK("https://klasma.github.io/Logging_0188/tillsynsmail/A 15278-2024 tillsynsbegäran mail.docx", "A 15278-2024")</f>
        <v/>
      </c>
    </row>
    <row r="32" ht="15" customHeight="1">
      <c r="A32" t="inlineStr">
        <is>
          <t>A 13933-2022</t>
        </is>
      </c>
      <c r="B32" s="1" t="n">
        <v>44650</v>
      </c>
      <c r="C32" s="1" t="n">
        <v>46189</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10430-2026</t>
        </is>
      </c>
      <c r="B33" s="1" t="n">
        <v>46077</v>
      </c>
      <c r="C33" s="1" t="n">
        <v>46189</v>
      </c>
      <c r="D33" t="inlineStr">
        <is>
          <t>STOCKHOLMS LÄN</t>
        </is>
      </c>
      <c r="E33" t="inlineStr">
        <is>
          <t>NORRTÄLJE</t>
        </is>
      </c>
      <c r="G33" t="n">
        <v>2</v>
      </c>
      <c r="H33" t="n">
        <v>0</v>
      </c>
      <c r="I33" t="n">
        <v>3</v>
      </c>
      <c r="J33" t="n">
        <v>2</v>
      </c>
      <c r="K33" t="n">
        <v>1</v>
      </c>
      <c r="L33" t="n">
        <v>0</v>
      </c>
      <c r="M33" t="n">
        <v>0</v>
      </c>
      <c r="N33" t="n">
        <v>0</v>
      </c>
      <c r="O33" t="n">
        <v>3</v>
      </c>
      <c r="P33" t="n">
        <v>1</v>
      </c>
      <c r="Q33" t="n">
        <v>6</v>
      </c>
      <c r="R33" s="2" t="inlineStr">
        <is>
          <t>Granrotspindling
Bittermusseron
Persiljespindling
Olivspindling
Skarp dropptaggsvamp
Svavelriska</t>
        </is>
      </c>
      <c r="S33">
        <f>HYPERLINK("https://klasma.github.io/Logging_0188/artfynd/A 10430-2026 artfynd.xlsx", "A 10430-2026")</f>
        <v/>
      </c>
      <c r="T33">
        <f>HYPERLINK("https://klasma.github.io/Logging_0188/kartor/A 10430-2026 karta.png", "A 10430-2026")</f>
        <v/>
      </c>
      <c r="V33">
        <f>HYPERLINK("https://klasma.github.io/Logging_0188/klagomål/A 10430-2026 FSC-klagomål.docx", "A 10430-2026")</f>
        <v/>
      </c>
      <c r="W33">
        <f>HYPERLINK("https://klasma.github.io/Logging_0188/klagomålsmail/A 10430-2026 FSC-klagomål mail.docx", "A 10430-2026")</f>
        <v/>
      </c>
      <c r="X33">
        <f>HYPERLINK("https://klasma.github.io/Logging_0188/tillsyn/A 10430-2026 tillsynsbegäran.docx", "A 10430-2026")</f>
        <v/>
      </c>
      <c r="Y33">
        <f>HYPERLINK("https://klasma.github.io/Logging_0188/tillsynsmail/A 10430-2026 tillsynsbegäran mail.docx", "A 10430-2026")</f>
        <v/>
      </c>
    </row>
    <row r="34" ht="15" customHeight="1">
      <c r="A34" t="inlineStr">
        <is>
          <t>A 34528-2025</t>
        </is>
      </c>
      <c r="B34" s="1" t="n">
        <v>45847.48436342592</v>
      </c>
      <c r="C34" s="1" t="n">
        <v>46189</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46189</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21922-2023</t>
        </is>
      </c>
      <c r="B36" s="1" t="n">
        <v>45068</v>
      </c>
      <c r="C36" s="1" t="n">
        <v>46189</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30687-2025</t>
        </is>
      </c>
      <c r="B37" s="1" t="n">
        <v>45831.53390046296</v>
      </c>
      <c r="C37" s="1" t="n">
        <v>46189</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46189</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46189</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15925-2026</t>
        </is>
      </c>
      <c r="B40" s="1" t="n">
        <v>46107</v>
      </c>
      <c r="C40" s="1" t="n">
        <v>46189</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15913-2026</t>
        </is>
      </c>
      <c r="B41" s="1" t="n">
        <v>46107</v>
      </c>
      <c r="C41" s="1" t="n">
        <v>46189</v>
      </c>
      <c r="D41" t="inlineStr">
        <is>
          <t>STOCKHOLMS LÄN</t>
        </is>
      </c>
      <c r="E41" t="inlineStr">
        <is>
          <t>NORRTÄLJE</t>
        </is>
      </c>
      <c r="G41" t="n">
        <v>4.2</v>
      </c>
      <c r="H41" t="n">
        <v>4</v>
      </c>
      <c r="I41" t="n">
        <v>2</v>
      </c>
      <c r="J41" t="n">
        <v>1</v>
      </c>
      <c r="K41" t="n">
        <v>0</v>
      </c>
      <c r="L41" t="n">
        <v>0</v>
      </c>
      <c r="M41" t="n">
        <v>0</v>
      </c>
      <c r="N41" t="n">
        <v>0</v>
      </c>
      <c r="O41" t="n">
        <v>1</v>
      </c>
      <c r="P41" t="n">
        <v>0</v>
      </c>
      <c r="Q41" t="n">
        <v>5</v>
      </c>
      <c r="R41" s="2" t="inlineStr">
        <is>
          <t>Talltita
Fjällig taggsvamp s.str.
Nästrot
Nattviol
Blåsippa</t>
        </is>
      </c>
      <c r="S41">
        <f>HYPERLINK("https://klasma.github.io/Logging_0188/artfynd/A 15913-2026 artfynd.xlsx", "A 15913-2026")</f>
        <v/>
      </c>
      <c r="T41">
        <f>HYPERLINK("https://klasma.github.io/Logging_0188/kartor/A 15913-2026 karta.png", "A 15913-2026")</f>
        <v/>
      </c>
      <c r="U41">
        <f>HYPERLINK("https://klasma.github.io/Logging_0188/knärot/A 15913-2026 karta knärot.png", "A 15913-2026")</f>
        <v/>
      </c>
      <c r="V41">
        <f>HYPERLINK("https://klasma.github.io/Logging_0188/klagomål/A 15913-2026 FSC-klagomål.docx", "A 15913-2026")</f>
        <v/>
      </c>
      <c r="W41">
        <f>HYPERLINK("https://klasma.github.io/Logging_0188/klagomålsmail/A 15913-2026 FSC-klagomål mail.docx", "A 15913-2026")</f>
        <v/>
      </c>
      <c r="X41">
        <f>HYPERLINK("https://klasma.github.io/Logging_0188/tillsyn/A 15913-2026 tillsynsbegäran.docx", "A 15913-2026")</f>
        <v/>
      </c>
      <c r="Y41">
        <f>HYPERLINK("https://klasma.github.io/Logging_0188/tillsynsmail/A 15913-2026 tillsynsbegäran mail.docx", "A 15913-2026")</f>
        <v/>
      </c>
      <c r="Z41">
        <f>HYPERLINK("https://klasma.github.io/Logging_0188/fåglar/A 15913-2026 prioriterade fågelarter.docx", "A 15913-2026")</f>
        <v/>
      </c>
    </row>
    <row r="42" ht="15" customHeight="1">
      <c r="A42" t="inlineStr">
        <is>
          <t>A 22071-2022</t>
        </is>
      </c>
      <c r="B42" s="1" t="n">
        <v>44711</v>
      </c>
      <c r="C42" s="1" t="n">
        <v>46189</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41276-2025</t>
        </is>
      </c>
      <c r="B43" s="1" t="n">
        <v>45898.62723379629</v>
      </c>
      <c r="C43" s="1" t="n">
        <v>46189</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72305-2021</t>
        </is>
      </c>
      <c r="B44" s="1" t="n">
        <v>44545</v>
      </c>
      <c r="C44" s="1" t="n">
        <v>46189</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44709-2022</t>
        </is>
      </c>
      <c r="B45" s="1" t="n">
        <v>44839</v>
      </c>
      <c r="C45" s="1" t="n">
        <v>46189</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21730-2025</t>
        </is>
      </c>
      <c r="B46" s="1" t="n">
        <v>45783.58123842593</v>
      </c>
      <c r="C46" s="1" t="n">
        <v>46189</v>
      </c>
      <c r="D46" t="inlineStr">
        <is>
          <t>STOCKHOLMS LÄN</t>
        </is>
      </c>
      <c r="E46" t="inlineStr">
        <is>
          <t>NORRTÄLJE</t>
        </is>
      </c>
      <c r="G46" t="n">
        <v>4.2</v>
      </c>
      <c r="H46" t="n">
        <v>2</v>
      </c>
      <c r="I46" t="n">
        <v>2</v>
      </c>
      <c r="J46" t="n">
        <v>0</v>
      </c>
      <c r="K46" t="n">
        <v>0</v>
      </c>
      <c r="L46" t="n">
        <v>0</v>
      </c>
      <c r="M46" t="n">
        <v>0</v>
      </c>
      <c r="N46" t="n">
        <v>0</v>
      </c>
      <c r="O46" t="n">
        <v>0</v>
      </c>
      <c r="P46" t="n">
        <v>0</v>
      </c>
      <c r="Q46" t="n">
        <v>4</v>
      </c>
      <c r="R46" s="2" t="inlineStr">
        <is>
          <t>Blåmossa
Brandticka
Blåsippa
Revlummer</t>
        </is>
      </c>
      <c r="S46">
        <f>HYPERLINK("https://klasma.github.io/Logging_0188/artfynd/A 21730-2025 artfynd.xlsx", "A 21730-2025")</f>
        <v/>
      </c>
      <c r="T46">
        <f>HYPERLINK("https://klasma.github.io/Logging_0188/kartor/A 21730-2025 karta.png", "A 21730-2025")</f>
        <v/>
      </c>
      <c r="V46">
        <f>HYPERLINK("https://klasma.github.io/Logging_0188/klagomål/A 21730-2025 FSC-klagomål.docx", "A 21730-2025")</f>
        <v/>
      </c>
      <c r="W46">
        <f>HYPERLINK("https://klasma.github.io/Logging_0188/klagomålsmail/A 21730-2025 FSC-klagomål mail.docx", "A 21730-2025")</f>
        <v/>
      </c>
      <c r="X46">
        <f>HYPERLINK("https://klasma.github.io/Logging_0188/tillsyn/A 21730-2025 tillsynsbegäran.docx", "A 21730-2025")</f>
        <v/>
      </c>
      <c r="Y46">
        <f>HYPERLINK("https://klasma.github.io/Logging_0188/tillsynsmail/A 21730-2025 tillsynsbegäran mail.docx", "A 21730-2025")</f>
        <v/>
      </c>
    </row>
    <row r="47" ht="15" customHeight="1">
      <c r="A47" t="inlineStr">
        <is>
          <t>A 34521-2025</t>
        </is>
      </c>
      <c r="B47" s="1" t="n">
        <v>45847.47052083333</v>
      </c>
      <c r="C47" s="1" t="n">
        <v>46189</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45113-2022</t>
        </is>
      </c>
      <c r="B48" s="1" t="n">
        <v>44843</v>
      </c>
      <c r="C48" s="1" t="n">
        <v>46189</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46189</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40192-2023</t>
        </is>
      </c>
      <c r="B50" s="1" t="n">
        <v>45169</v>
      </c>
      <c r="C50" s="1" t="n">
        <v>46189</v>
      </c>
      <c r="D50" t="inlineStr">
        <is>
          <t>STOCKHOLMS LÄN</t>
        </is>
      </c>
      <c r="E50" t="inlineStr">
        <is>
          <t>NORRTÄLJE</t>
        </is>
      </c>
      <c r="F50" t="inlineStr">
        <is>
          <t>Kyrkan</t>
        </is>
      </c>
      <c r="G50" t="n">
        <v>0.7</v>
      </c>
      <c r="H50" t="n">
        <v>3</v>
      </c>
      <c r="I50" t="n">
        <v>0</v>
      </c>
      <c r="J50" t="n">
        <v>0</v>
      </c>
      <c r="K50" t="n">
        <v>0</v>
      </c>
      <c r="L50" t="n">
        <v>0</v>
      </c>
      <c r="M50" t="n">
        <v>0</v>
      </c>
      <c r="N50" t="n">
        <v>0</v>
      </c>
      <c r="O50" t="n">
        <v>0</v>
      </c>
      <c r="P50" t="n">
        <v>0</v>
      </c>
      <c r="Q50" t="n">
        <v>3</v>
      </c>
      <c r="R50" s="2" t="inlineStr">
        <is>
          <t>Grönsiska
Skogsduva
Törnskata</t>
        </is>
      </c>
      <c r="S50">
        <f>HYPERLINK("https://klasma.github.io/Logging_0188/artfynd/A 40192-2023 artfynd.xlsx", "A 40192-2023")</f>
        <v/>
      </c>
      <c r="T50">
        <f>HYPERLINK("https://klasma.github.io/Logging_0188/kartor/A 40192-2023 karta.png", "A 40192-2023")</f>
        <v/>
      </c>
      <c r="V50">
        <f>HYPERLINK("https://klasma.github.io/Logging_0188/klagomål/A 40192-2023 FSC-klagomål.docx", "A 40192-2023")</f>
        <v/>
      </c>
      <c r="W50">
        <f>HYPERLINK("https://klasma.github.io/Logging_0188/klagomålsmail/A 40192-2023 FSC-klagomål mail.docx", "A 40192-2023")</f>
        <v/>
      </c>
      <c r="X50">
        <f>HYPERLINK("https://klasma.github.io/Logging_0188/tillsyn/A 40192-2023 tillsynsbegäran.docx", "A 40192-2023")</f>
        <v/>
      </c>
      <c r="Y50">
        <f>HYPERLINK("https://klasma.github.io/Logging_0188/tillsynsmail/A 40192-2023 tillsynsbegäran mail.docx", "A 40192-2023")</f>
        <v/>
      </c>
      <c r="Z50">
        <f>HYPERLINK("https://klasma.github.io/Logging_0188/fåglar/A 40192-2023 prioriterade fågelarter.docx", "A 40192-2023")</f>
        <v/>
      </c>
    </row>
    <row r="51" ht="15" customHeight="1">
      <c r="A51" t="inlineStr">
        <is>
          <t>A 20185-2022</t>
        </is>
      </c>
      <c r="B51" s="1" t="n">
        <v>44698</v>
      </c>
      <c r="C51" s="1" t="n">
        <v>46189</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22190-2024</t>
        </is>
      </c>
      <c r="B52" s="1" t="n">
        <v>45446.35888888889</v>
      </c>
      <c r="C52" s="1" t="n">
        <v>46189</v>
      </c>
      <c r="D52" t="inlineStr">
        <is>
          <t>STOCKHOLMS LÄN</t>
        </is>
      </c>
      <c r="E52" t="inlineStr">
        <is>
          <t>NORRTÄLJE</t>
        </is>
      </c>
      <c r="G52" t="n">
        <v>2.8</v>
      </c>
      <c r="H52" t="n">
        <v>3</v>
      </c>
      <c r="I52" t="n">
        <v>1</v>
      </c>
      <c r="J52" t="n">
        <v>0</v>
      </c>
      <c r="K52" t="n">
        <v>0</v>
      </c>
      <c r="L52" t="n">
        <v>0</v>
      </c>
      <c r="M52" t="n">
        <v>0</v>
      </c>
      <c r="N52" t="n">
        <v>0</v>
      </c>
      <c r="O52" t="n">
        <v>0</v>
      </c>
      <c r="P52" t="n">
        <v>0</v>
      </c>
      <c r="Q52" t="n">
        <v>3</v>
      </c>
      <c r="R52" s="2" t="inlineStr">
        <is>
          <t>Skogsknipprot
Åkergroda
Vanlig groda</t>
        </is>
      </c>
      <c r="S52">
        <f>HYPERLINK("https://klasma.github.io/Logging_0188/artfynd/A 22190-2024 artfynd.xlsx", "A 22190-2024")</f>
        <v/>
      </c>
      <c r="T52">
        <f>HYPERLINK("https://klasma.github.io/Logging_0188/kartor/A 22190-2024 karta.png", "A 22190-2024")</f>
        <v/>
      </c>
      <c r="V52">
        <f>HYPERLINK("https://klasma.github.io/Logging_0188/klagomål/A 22190-2024 FSC-klagomål.docx", "A 22190-2024")</f>
        <v/>
      </c>
      <c r="W52">
        <f>HYPERLINK("https://klasma.github.io/Logging_0188/klagomålsmail/A 22190-2024 FSC-klagomål mail.docx", "A 22190-2024")</f>
        <v/>
      </c>
      <c r="X52">
        <f>HYPERLINK("https://klasma.github.io/Logging_0188/tillsyn/A 22190-2024 tillsynsbegäran.docx", "A 22190-2024")</f>
        <v/>
      </c>
      <c r="Y52">
        <f>HYPERLINK("https://klasma.github.io/Logging_0188/tillsynsmail/A 22190-2024 tillsynsbegäran mail.docx", "A 22190-2024")</f>
        <v/>
      </c>
    </row>
    <row r="53" ht="15" customHeight="1">
      <c r="A53" t="inlineStr">
        <is>
          <t>A 50618-2022</t>
        </is>
      </c>
      <c r="B53" s="1" t="n">
        <v>44866</v>
      </c>
      <c r="C53" s="1" t="n">
        <v>46189</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27870-2022</t>
        </is>
      </c>
      <c r="B54" s="1" t="n">
        <v>44743.64592592593</v>
      </c>
      <c r="C54" s="1" t="n">
        <v>46189</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54110-2024</t>
        </is>
      </c>
      <c r="B55" s="1" t="n">
        <v>45616.54866898148</v>
      </c>
      <c r="C55" s="1" t="n">
        <v>46189</v>
      </c>
      <c r="D55" t="inlineStr">
        <is>
          <t>STOCKHOLMS LÄN</t>
        </is>
      </c>
      <c r="E55" t="inlineStr">
        <is>
          <t>NORRTÄLJE</t>
        </is>
      </c>
      <c r="G55" t="n">
        <v>6.7</v>
      </c>
      <c r="H55" t="n">
        <v>2</v>
      </c>
      <c r="I55" t="n">
        <v>0</v>
      </c>
      <c r="J55" t="n">
        <v>1</v>
      </c>
      <c r="K55" t="n">
        <v>0</v>
      </c>
      <c r="L55" t="n">
        <v>0</v>
      </c>
      <c r="M55" t="n">
        <v>0</v>
      </c>
      <c r="N55" t="n">
        <v>0</v>
      </c>
      <c r="O55" t="n">
        <v>1</v>
      </c>
      <c r="P55" t="n">
        <v>0</v>
      </c>
      <c r="Q55" t="n">
        <v>3</v>
      </c>
      <c r="R55" s="2" t="inlineStr">
        <is>
          <t>Klasefibbla
Nattviol
Gullviva</t>
        </is>
      </c>
      <c r="S55">
        <f>HYPERLINK("https://klasma.github.io/Logging_0188/artfynd/A 54110-2024 artfynd.xlsx", "A 54110-2024")</f>
        <v/>
      </c>
      <c r="T55">
        <f>HYPERLINK("https://klasma.github.io/Logging_0188/kartor/A 54110-2024 karta.png", "A 54110-2024")</f>
        <v/>
      </c>
      <c r="V55">
        <f>HYPERLINK("https://klasma.github.io/Logging_0188/klagomål/A 54110-2024 FSC-klagomål.docx", "A 54110-2024")</f>
        <v/>
      </c>
      <c r="W55">
        <f>HYPERLINK("https://klasma.github.io/Logging_0188/klagomålsmail/A 54110-2024 FSC-klagomål mail.docx", "A 54110-2024")</f>
        <v/>
      </c>
      <c r="X55">
        <f>HYPERLINK("https://klasma.github.io/Logging_0188/tillsyn/A 54110-2024 tillsynsbegäran.docx", "A 54110-2024")</f>
        <v/>
      </c>
      <c r="Y55">
        <f>HYPERLINK("https://klasma.github.io/Logging_0188/tillsynsmail/A 54110-2024 tillsynsbegäran mail.docx", "A 54110-2024")</f>
        <v/>
      </c>
    </row>
    <row r="56" ht="15" customHeight="1">
      <c r="A56" t="inlineStr">
        <is>
          <t>A 25913-2026</t>
        </is>
      </c>
      <c r="B56" s="1" t="n">
        <v>46178.72743055555</v>
      </c>
      <c r="C56" s="1" t="n">
        <v>46189</v>
      </c>
      <c r="D56" t="inlineStr">
        <is>
          <t>STOCKHOLMS LÄN</t>
        </is>
      </c>
      <c r="E56" t="inlineStr">
        <is>
          <t>NORRTÄLJE</t>
        </is>
      </c>
      <c r="G56" t="n">
        <v>10.3</v>
      </c>
      <c r="H56" t="n">
        <v>2</v>
      </c>
      <c r="I56" t="n">
        <v>0</v>
      </c>
      <c r="J56" t="n">
        <v>3</v>
      </c>
      <c r="K56" t="n">
        <v>0</v>
      </c>
      <c r="L56" t="n">
        <v>0</v>
      </c>
      <c r="M56" t="n">
        <v>0</v>
      </c>
      <c r="N56" t="n">
        <v>0</v>
      </c>
      <c r="O56" t="n">
        <v>3</v>
      </c>
      <c r="P56" t="n">
        <v>0</v>
      </c>
      <c r="Q56" t="n">
        <v>3</v>
      </c>
      <c r="R56" s="2" t="inlineStr">
        <is>
          <t>Havsörn
Igelkott
Talltita</t>
        </is>
      </c>
      <c r="S56">
        <f>HYPERLINK("https://klasma.github.io/Logging_0188/artfynd/A 25913-2026 artfynd.xlsx", "A 25913-2026")</f>
        <v/>
      </c>
      <c r="T56">
        <f>HYPERLINK("https://klasma.github.io/Logging_0188/kartor/A 25913-2026 karta.png", "A 25913-2026")</f>
        <v/>
      </c>
      <c r="V56">
        <f>HYPERLINK("https://klasma.github.io/Logging_0188/klagomål/A 25913-2026 FSC-klagomål.docx", "A 25913-2026")</f>
        <v/>
      </c>
      <c r="W56">
        <f>HYPERLINK("https://klasma.github.io/Logging_0188/klagomålsmail/A 25913-2026 FSC-klagomål mail.docx", "A 25913-2026")</f>
        <v/>
      </c>
      <c r="X56">
        <f>HYPERLINK("https://klasma.github.io/Logging_0188/tillsyn/A 25913-2026 tillsynsbegäran.docx", "A 25913-2026")</f>
        <v/>
      </c>
      <c r="Y56">
        <f>HYPERLINK("https://klasma.github.io/Logging_0188/tillsynsmail/A 25913-2026 tillsynsbegäran mail.docx", "A 25913-2026")</f>
        <v/>
      </c>
      <c r="Z56">
        <f>HYPERLINK("https://klasma.github.io/Logging_0188/fåglar/A 25913-2026 prioriterade fågelarter.docx", "A 25913-2026")</f>
        <v/>
      </c>
    </row>
    <row r="57" ht="15" customHeight="1">
      <c r="A57" t="inlineStr">
        <is>
          <t>A 29185-2025</t>
        </is>
      </c>
      <c r="B57" s="1" t="n">
        <v>45821</v>
      </c>
      <c r="C57" s="1" t="n">
        <v>46189</v>
      </c>
      <c r="D57" t="inlineStr">
        <is>
          <t>STOCKHOLMS LÄN</t>
        </is>
      </c>
      <c r="E57" t="inlineStr">
        <is>
          <t>NORRTÄLJE</t>
        </is>
      </c>
      <c r="F57" t="inlineStr">
        <is>
          <t>Övriga Aktiebolag</t>
        </is>
      </c>
      <c r="G57" t="n">
        <v>8.5</v>
      </c>
      <c r="H57" t="n">
        <v>2</v>
      </c>
      <c r="I57" t="n">
        <v>1</v>
      </c>
      <c r="J57" t="n">
        <v>0</v>
      </c>
      <c r="K57" t="n">
        <v>0</v>
      </c>
      <c r="L57" t="n">
        <v>0</v>
      </c>
      <c r="M57" t="n">
        <v>0</v>
      </c>
      <c r="N57" t="n">
        <v>0</v>
      </c>
      <c r="O57" t="n">
        <v>0</v>
      </c>
      <c r="P57" t="n">
        <v>0</v>
      </c>
      <c r="Q57" t="n">
        <v>3</v>
      </c>
      <c r="R57" s="2" t="inlineStr">
        <is>
          <t>Vårärt
Fläcknycklar
Blåsippa</t>
        </is>
      </c>
      <c r="S57">
        <f>HYPERLINK("https://klasma.github.io/Logging_0188/artfynd/A 29185-2025 artfynd.xlsx", "A 29185-2025")</f>
        <v/>
      </c>
      <c r="T57">
        <f>HYPERLINK("https://klasma.github.io/Logging_0188/kartor/A 29185-2025 karta.png", "A 29185-2025")</f>
        <v/>
      </c>
      <c r="V57">
        <f>HYPERLINK("https://klasma.github.io/Logging_0188/klagomål/A 29185-2025 FSC-klagomål.docx", "A 29185-2025")</f>
        <v/>
      </c>
      <c r="W57">
        <f>HYPERLINK("https://klasma.github.io/Logging_0188/klagomålsmail/A 29185-2025 FSC-klagomål mail.docx", "A 29185-2025")</f>
        <v/>
      </c>
      <c r="X57">
        <f>HYPERLINK("https://klasma.github.io/Logging_0188/tillsyn/A 29185-2025 tillsynsbegäran.docx", "A 29185-2025")</f>
        <v/>
      </c>
      <c r="Y57">
        <f>HYPERLINK("https://klasma.github.io/Logging_0188/tillsynsmail/A 29185-2025 tillsynsbegäran mail.docx", "A 29185-2025")</f>
        <v/>
      </c>
    </row>
    <row r="58" ht="15" customHeight="1">
      <c r="A58" t="inlineStr">
        <is>
          <t>A 26221-2026</t>
        </is>
      </c>
      <c r="B58" s="1" t="n">
        <v>46182.45509259259</v>
      </c>
      <c r="C58" s="1" t="n">
        <v>46189</v>
      </c>
      <c r="D58" t="inlineStr">
        <is>
          <t>STOCKHOLMS LÄN</t>
        </is>
      </c>
      <c r="E58" t="inlineStr">
        <is>
          <t>NORRTÄLJE</t>
        </is>
      </c>
      <c r="G58" t="n">
        <v>4.1</v>
      </c>
      <c r="H58" t="n">
        <v>3</v>
      </c>
      <c r="I58" t="n">
        <v>0</v>
      </c>
      <c r="J58" t="n">
        <v>3</v>
      </c>
      <c r="K58" t="n">
        <v>0</v>
      </c>
      <c r="L58" t="n">
        <v>0</v>
      </c>
      <c r="M58" t="n">
        <v>0</v>
      </c>
      <c r="N58" t="n">
        <v>0</v>
      </c>
      <c r="O58" t="n">
        <v>3</v>
      </c>
      <c r="P58" t="n">
        <v>0</v>
      </c>
      <c r="Q58" t="n">
        <v>3</v>
      </c>
      <c r="R58" s="2" t="inlineStr">
        <is>
          <t>Duvhök
Havsörn
Kråka</t>
        </is>
      </c>
      <c r="S58">
        <f>HYPERLINK("https://klasma.github.io/Logging_0188/artfynd/A 26221-2026 artfynd.xlsx", "A 26221-2026")</f>
        <v/>
      </c>
      <c r="T58">
        <f>HYPERLINK("https://klasma.github.io/Logging_0188/kartor/A 26221-2026 karta.png", "A 26221-2026")</f>
        <v/>
      </c>
      <c r="V58">
        <f>HYPERLINK("https://klasma.github.io/Logging_0188/klagomål/A 26221-2026 FSC-klagomål.docx", "A 26221-2026")</f>
        <v/>
      </c>
      <c r="W58">
        <f>HYPERLINK("https://klasma.github.io/Logging_0188/klagomålsmail/A 26221-2026 FSC-klagomål mail.docx", "A 26221-2026")</f>
        <v/>
      </c>
      <c r="X58">
        <f>HYPERLINK("https://klasma.github.io/Logging_0188/tillsyn/A 26221-2026 tillsynsbegäran.docx", "A 26221-2026")</f>
        <v/>
      </c>
      <c r="Y58">
        <f>HYPERLINK("https://klasma.github.io/Logging_0188/tillsynsmail/A 26221-2026 tillsynsbegäran mail.docx", "A 26221-2026")</f>
        <v/>
      </c>
      <c r="Z58">
        <f>HYPERLINK("https://klasma.github.io/Logging_0188/fåglar/A 26221-2026 prioriterade fågelarter.docx", "A 26221-2026")</f>
        <v/>
      </c>
    </row>
    <row r="59" ht="15" customHeight="1">
      <c r="A59" t="inlineStr">
        <is>
          <t>A 34524-2025</t>
        </is>
      </c>
      <c r="B59" s="1" t="n">
        <v>45847.47685185185</v>
      </c>
      <c r="C59" s="1" t="n">
        <v>46189</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52133-2022</t>
        </is>
      </c>
      <c r="B60" s="1" t="n">
        <v>44868</v>
      </c>
      <c r="C60" s="1" t="n">
        <v>46189</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46189</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46189</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46189</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51220-2023</t>
        </is>
      </c>
      <c r="B64" s="1" t="n">
        <v>45219</v>
      </c>
      <c r="C64" s="1" t="n">
        <v>46189</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30693-2022</t>
        </is>
      </c>
      <c r="B65" s="1" t="n">
        <v>44763</v>
      </c>
      <c r="C65" s="1" t="n">
        <v>46189</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17952-2022</t>
        </is>
      </c>
      <c r="B66" s="1" t="n">
        <v>44683</v>
      </c>
      <c r="C66" s="1" t="n">
        <v>46189</v>
      </c>
      <c r="D66" t="inlineStr">
        <is>
          <t>STOCKHOLMS LÄN</t>
        </is>
      </c>
      <c r="E66" t="inlineStr">
        <is>
          <t>NORRTÄLJE</t>
        </is>
      </c>
      <c r="G66" t="n">
        <v>51.1</v>
      </c>
      <c r="H66" t="n">
        <v>1</v>
      </c>
      <c r="I66" t="n">
        <v>0</v>
      </c>
      <c r="J66" t="n">
        <v>0</v>
      </c>
      <c r="K66" t="n">
        <v>1</v>
      </c>
      <c r="L66" t="n">
        <v>0</v>
      </c>
      <c r="M66" t="n">
        <v>0</v>
      </c>
      <c r="N66" t="n">
        <v>0</v>
      </c>
      <c r="O66" t="n">
        <v>1</v>
      </c>
      <c r="P66" t="n">
        <v>1</v>
      </c>
      <c r="Q66" t="n">
        <v>2</v>
      </c>
      <c r="R66" s="2" t="inlineStr">
        <is>
          <t>Kattunvisslare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row>
    <row r="67" ht="15" customHeight="1">
      <c r="A67" t="inlineStr">
        <is>
          <t>A 52360-2024</t>
        </is>
      </c>
      <c r="B67" s="1" t="n">
        <v>45609.37094907407</v>
      </c>
      <c r="C67" s="1" t="n">
        <v>46189</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50697-2025</t>
        </is>
      </c>
      <c r="B68" s="1" t="n">
        <v>45945.90854166666</v>
      </c>
      <c r="C68" s="1" t="n">
        <v>46189</v>
      </c>
      <c r="D68" t="inlineStr">
        <is>
          <t>STOCKHOLMS LÄN</t>
        </is>
      </c>
      <c r="E68" t="inlineStr">
        <is>
          <t>NORRTÄLJE</t>
        </is>
      </c>
      <c r="G68" t="n">
        <v>5.5</v>
      </c>
      <c r="H68" t="n">
        <v>0</v>
      </c>
      <c r="I68" t="n">
        <v>0</v>
      </c>
      <c r="J68" t="n">
        <v>2</v>
      </c>
      <c r="K68" t="n">
        <v>0</v>
      </c>
      <c r="L68" t="n">
        <v>0</v>
      </c>
      <c r="M68" t="n">
        <v>0</v>
      </c>
      <c r="N68" t="n">
        <v>0</v>
      </c>
      <c r="O68" t="n">
        <v>2</v>
      </c>
      <c r="P68" t="n">
        <v>0</v>
      </c>
      <c r="Q68" t="n">
        <v>2</v>
      </c>
      <c r="R68" s="2" t="inlineStr">
        <is>
          <t>Skogsklocka
Småflikig brosklav</t>
        </is>
      </c>
      <c r="S68">
        <f>HYPERLINK("https://klasma.github.io/Logging_0188/artfynd/A 50697-2025 artfynd.xlsx", "A 50697-2025")</f>
        <v/>
      </c>
      <c r="T68">
        <f>HYPERLINK("https://klasma.github.io/Logging_0188/kartor/A 50697-2025 karta.png", "A 50697-2025")</f>
        <v/>
      </c>
      <c r="V68">
        <f>HYPERLINK("https://klasma.github.io/Logging_0188/klagomål/A 50697-2025 FSC-klagomål.docx", "A 50697-2025")</f>
        <v/>
      </c>
      <c r="W68">
        <f>HYPERLINK("https://klasma.github.io/Logging_0188/klagomålsmail/A 50697-2025 FSC-klagomål mail.docx", "A 50697-2025")</f>
        <v/>
      </c>
      <c r="X68">
        <f>HYPERLINK("https://klasma.github.io/Logging_0188/tillsyn/A 50697-2025 tillsynsbegäran.docx", "A 50697-2025")</f>
        <v/>
      </c>
      <c r="Y68">
        <f>HYPERLINK("https://klasma.github.io/Logging_0188/tillsynsmail/A 50697-2025 tillsynsbegäran mail.docx", "A 50697-2025")</f>
        <v/>
      </c>
    </row>
    <row r="69" ht="15" customHeight="1">
      <c r="A69" t="inlineStr">
        <is>
          <t>A 52825-2023</t>
        </is>
      </c>
      <c r="B69" s="1" t="n">
        <v>45226</v>
      </c>
      <c r="C69" s="1" t="n">
        <v>46189</v>
      </c>
      <c r="D69" t="inlineStr">
        <is>
          <t>STOCKHOLMS LÄN</t>
        </is>
      </c>
      <c r="E69" t="inlineStr">
        <is>
          <t>NORRTÄLJE</t>
        </is>
      </c>
      <c r="G69" t="n">
        <v>1</v>
      </c>
      <c r="H69" t="n">
        <v>0</v>
      </c>
      <c r="I69" t="n">
        <v>2</v>
      </c>
      <c r="J69" t="n">
        <v>0</v>
      </c>
      <c r="K69" t="n">
        <v>0</v>
      </c>
      <c r="L69" t="n">
        <v>0</v>
      </c>
      <c r="M69" t="n">
        <v>0</v>
      </c>
      <c r="N69" t="n">
        <v>0</v>
      </c>
      <c r="O69" t="n">
        <v>0</v>
      </c>
      <c r="P69" t="n">
        <v>0</v>
      </c>
      <c r="Q69" t="n">
        <v>2</v>
      </c>
      <c r="R69" s="2" t="inlineStr">
        <is>
          <t>Fjällig taggsvamp s.str.
Strimspindling</t>
        </is>
      </c>
      <c r="S69">
        <f>HYPERLINK("https://klasma.github.io/Logging_0188/artfynd/A 52825-2023 artfynd.xlsx", "A 52825-2023")</f>
        <v/>
      </c>
      <c r="T69">
        <f>HYPERLINK("https://klasma.github.io/Logging_0188/kartor/A 52825-2023 karta.png", "A 52825-2023")</f>
        <v/>
      </c>
      <c r="V69">
        <f>HYPERLINK("https://klasma.github.io/Logging_0188/klagomål/A 52825-2023 FSC-klagomål.docx", "A 52825-2023")</f>
        <v/>
      </c>
      <c r="W69">
        <f>HYPERLINK("https://klasma.github.io/Logging_0188/klagomålsmail/A 52825-2023 FSC-klagomål mail.docx", "A 52825-2023")</f>
        <v/>
      </c>
      <c r="X69">
        <f>HYPERLINK("https://klasma.github.io/Logging_0188/tillsyn/A 52825-2023 tillsynsbegäran.docx", "A 52825-2023")</f>
        <v/>
      </c>
      <c r="Y69">
        <f>HYPERLINK("https://klasma.github.io/Logging_0188/tillsynsmail/A 52825-2023 tillsynsbegäran mail.docx", "A 52825-2023")</f>
        <v/>
      </c>
    </row>
    <row r="70" ht="15" customHeight="1">
      <c r="A70" t="inlineStr">
        <is>
          <t>A 52124-2022</t>
        </is>
      </c>
      <c r="B70" s="1" t="n">
        <v>44868</v>
      </c>
      <c r="C70" s="1" t="n">
        <v>46189</v>
      </c>
      <c r="D70" t="inlineStr">
        <is>
          <t>STOCKHOLMS LÄN</t>
        </is>
      </c>
      <c r="E70" t="inlineStr">
        <is>
          <t>NORRTÄLJE</t>
        </is>
      </c>
      <c r="G70" t="n">
        <v>4.8</v>
      </c>
      <c r="H70" t="n">
        <v>1</v>
      </c>
      <c r="I70" t="n">
        <v>0</v>
      </c>
      <c r="J70" t="n">
        <v>1</v>
      </c>
      <c r="K70" t="n">
        <v>0</v>
      </c>
      <c r="L70" t="n">
        <v>0</v>
      </c>
      <c r="M70" t="n">
        <v>0</v>
      </c>
      <c r="N70" t="n">
        <v>0</v>
      </c>
      <c r="O70" t="n">
        <v>1</v>
      </c>
      <c r="P70" t="n">
        <v>0</v>
      </c>
      <c r="Q70" t="n">
        <v>2</v>
      </c>
      <c r="R70" s="2" t="inlineStr">
        <is>
          <t>Kandelabersvamp
Blåsippa</t>
        </is>
      </c>
      <c r="S70">
        <f>HYPERLINK("https://klasma.github.io/Logging_0188/artfynd/A 52124-2022 artfynd.xlsx", "A 52124-2022")</f>
        <v/>
      </c>
      <c r="T70">
        <f>HYPERLINK("https://klasma.github.io/Logging_0188/kartor/A 52124-2022 karta.png", "A 52124-2022")</f>
        <v/>
      </c>
      <c r="V70">
        <f>HYPERLINK("https://klasma.github.io/Logging_0188/klagomål/A 52124-2022 FSC-klagomål.docx", "A 52124-2022")</f>
        <v/>
      </c>
      <c r="W70">
        <f>HYPERLINK("https://klasma.github.io/Logging_0188/klagomålsmail/A 52124-2022 FSC-klagomål mail.docx", "A 52124-2022")</f>
        <v/>
      </c>
      <c r="X70">
        <f>HYPERLINK("https://klasma.github.io/Logging_0188/tillsyn/A 52124-2022 tillsynsbegäran.docx", "A 52124-2022")</f>
        <v/>
      </c>
      <c r="Y70">
        <f>HYPERLINK("https://klasma.github.io/Logging_0188/tillsynsmail/A 52124-2022 tillsynsbegäran mail.docx", "A 52124-2022")</f>
        <v/>
      </c>
    </row>
    <row r="71" ht="15" customHeight="1">
      <c r="A71" t="inlineStr">
        <is>
          <t>A 51980-2022</t>
        </is>
      </c>
      <c r="B71" s="1" t="n">
        <v>44872</v>
      </c>
      <c r="C71" s="1" t="n">
        <v>46189</v>
      </c>
      <c r="D71" t="inlineStr">
        <is>
          <t>STOCKHOLMS LÄN</t>
        </is>
      </c>
      <c r="E71" t="inlineStr">
        <is>
          <t>NORRTÄLJE</t>
        </is>
      </c>
      <c r="G71" t="n">
        <v>7.9</v>
      </c>
      <c r="H71" t="n">
        <v>1</v>
      </c>
      <c r="I71" t="n">
        <v>2</v>
      </c>
      <c r="J71" t="n">
        <v>0</v>
      </c>
      <c r="K71" t="n">
        <v>0</v>
      </c>
      <c r="L71" t="n">
        <v>0</v>
      </c>
      <c r="M71" t="n">
        <v>0</v>
      </c>
      <c r="N71" t="n">
        <v>0</v>
      </c>
      <c r="O71" t="n">
        <v>0</v>
      </c>
      <c r="P71" t="n">
        <v>0</v>
      </c>
      <c r="Q71" t="n">
        <v>2</v>
      </c>
      <c r="R71" s="2" t="inlineStr">
        <is>
          <t>Rödgul trumpetsvamp
Skogsknipprot</t>
        </is>
      </c>
      <c r="S71">
        <f>HYPERLINK("https://klasma.github.io/Logging_0188/artfynd/A 51980-2022 artfynd.xlsx", "A 51980-2022")</f>
        <v/>
      </c>
      <c r="T71">
        <f>HYPERLINK("https://klasma.github.io/Logging_0188/kartor/A 51980-2022 karta.png", "A 51980-2022")</f>
        <v/>
      </c>
      <c r="V71">
        <f>HYPERLINK("https://klasma.github.io/Logging_0188/klagomål/A 51980-2022 FSC-klagomål.docx", "A 51980-2022")</f>
        <v/>
      </c>
      <c r="W71">
        <f>HYPERLINK("https://klasma.github.io/Logging_0188/klagomålsmail/A 51980-2022 FSC-klagomål mail.docx", "A 51980-2022")</f>
        <v/>
      </c>
      <c r="X71">
        <f>HYPERLINK("https://klasma.github.io/Logging_0188/tillsyn/A 51980-2022 tillsynsbegäran.docx", "A 51980-2022")</f>
        <v/>
      </c>
      <c r="Y71">
        <f>HYPERLINK("https://klasma.github.io/Logging_0188/tillsynsmail/A 51980-2022 tillsynsbegäran mail.docx", "A 51980-2022")</f>
        <v/>
      </c>
    </row>
    <row r="72" ht="15" customHeight="1">
      <c r="A72" t="inlineStr">
        <is>
          <t>A 21781-2026</t>
        </is>
      </c>
      <c r="B72" s="1" t="n">
        <v>46150.37699074074</v>
      </c>
      <c r="C72" s="1" t="n">
        <v>46189</v>
      </c>
      <c r="D72" t="inlineStr">
        <is>
          <t>STOCKHOLMS LÄN</t>
        </is>
      </c>
      <c r="E72" t="inlineStr">
        <is>
          <t>NORRTÄLJE</t>
        </is>
      </c>
      <c r="G72" t="n">
        <v>6.2</v>
      </c>
      <c r="H72" t="n">
        <v>1</v>
      </c>
      <c r="I72" t="n">
        <v>0</v>
      </c>
      <c r="J72" t="n">
        <v>1</v>
      </c>
      <c r="K72" t="n">
        <v>1</v>
      </c>
      <c r="L72" t="n">
        <v>0</v>
      </c>
      <c r="M72" t="n">
        <v>0</v>
      </c>
      <c r="N72" t="n">
        <v>0</v>
      </c>
      <c r="O72" t="n">
        <v>2</v>
      </c>
      <c r="P72" t="n">
        <v>1</v>
      </c>
      <c r="Q72" t="n">
        <v>2</v>
      </c>
      <c r="R72" s="2" t="inlineStr">
        <is>
          <t>Hällebräcka
Slåtterfibbla</t>
        </is>
      </c>
      <c r="S72">
        <f>HYPERLINK("https://klasma.github.io/Logging_0188/artfynd/A 21781-2026 artfynd.xlsx", "A 21781-2026")</f>
        <v/>
      </c>
      <c r="T72">
        <f>HYPERLINK("https://klasma.github.io/Logging_0188/kartor/A 21781-2026 karta.png", "A 21781-2026")</f>
        <v/>
      </c>
      <c r="V72">
        <f>HYPERLINK("https://klasma.github.io/Logging_0188/klagomål/A 21781-2026 FSC-klagomål.docx", "A 21781-2026")</f>
        <v/>
      </c>
      <c r="W72">
        <f>HYPERLINK("https://klasma.github.io/Logging_0188/klagomålsmail/A 21781-2026 FSC-klagomål mail.docx", "A 21781-2026")</f>
        <v/>
      </c>
      <c r="X72">
        <f>HYPERLINK("https://klasma.github.io/Logging_0188/tillsyn/A 21781-2026 tillsynsbegäran.docx", "A 21781-2026")</f>
        <v/>
      </c>
      <c r="Y72">
        <f>HYPERLINK("https://klasma.github.io/Logging_0188/tillsynsmail/A 21781-2026 tillsynsbegäran mail.docx", "A 21781-2026")</f>
        <v/>
      </c>
    </row>
    <row r="73" ht="15" customHeight="1">
      <c r="A73" t="inlineStr">
        <is>
          <t>A 23548-2026</t>
        </is>
      </c>
      <c r="B73" s="1" t="n">
        <v>46163.57045138889</v>
      </c>
      <c r="C73" s="1" t="n">
        <v>46189</v>
      </c>
      <c r="D73" t="inlineStr">
        <is>
          <t>STOCKHOLMS LÄN</t>
        </is>
      </c>
      <c r="E73" t="inlineStr">
        <is>
          <t>NORRTÄLJE</t>
        </is>
      </c>
      <c r="G73" t="n">
        <v>2.3</v>
      </c>
      <c r="H73" t="n">
        <v>2</v>
      </c>
      <c r="I73" t="n">
        <v>0</v>
      </c>
      <c r="J73" t="n">
        <v>0</v>
      </c>
      <c r="K73" t="n">
        <v>0</v>
      </c>
      <c r="L73" t="n">
        <v>0</v>
      </c>
      <c r="M73" t="n">
        <v>0</v>
      </c>
      <c r="N73" t="n">
        <v>0</v>
      </c>
      <c r="O73" t="n">
        <v>0</v>
      </c>
      <c r="P73" t="n">
        <v>0</v>
      </c>
      <c r="Q73" t="n">
        <v>2</v>
      </c>
      <c r="R73" s="2" t="inlineStr">
        <is>
          <t>Nattviol × grönvit nattviol
Ängsnattviol × grönvit nattviol</t>
        </is>
      </c>
      <c r="S73">
        <f>HYPERLINK("https://klasma.github.io/Logging_0188/artfynd/A 23548-2026 artfynd.xlsx", "A 23548-2026")</f>
        <v/>
      </c>
      <c r="T73">
        <f>HYPERLINK("https://klasma.github.io/Logging_0188/kartor/A 23548-2026 karta.png", "A 23548-2026")</f>
        <v/>
      </c>
      <c r="V73">
        <f>HYPERLINK("https://klasma.github.io/Logging_0188/klagomål/A 23548-2026 FSC-klagomål.docx", "A 23548-2026")</f>
        <v/>
      </c>
      <c r="W73">
        <f>HYPERLINK("https://klasma.github.io/Logging_0188/klagomålsmail/A 23548-2026 FSC-klagomål mail.docx", "A 23548-2026")</f>
        <v/>
      </c>
      <c r="X73">
        <f>HYPERLINK("https://klasma.github.io/Logging_0188/tillsyn/A 23548-2026 tillsynsbegäran.docx", "A 23548-2026")</f>
        <v/>
      </c>
      <c r="Y73">
        <f>HYPERLINK("https://klasma.github.io/Logging_0188/tillsynsmail/A 23548-2026 tillsynsbegäran mail.docx", "A 23548-2026")</f>
        <v/>
      </c>
    </row>
    <row r="74" ht="15" customHeight="1">
      <c r="A74" t="inlineStr">
        <is>
          <t>A 26207-2026</t>
        </is>
      </c>
      <c r="B74" s="1" t="n">
        <v>46182.42454861111</v>
      </c>
      <c r="C74" s="1" t="n">
        <v>46189</v>
      </c>
      <c r="D74" t="inlineStr">
        <is>
          <t>STOCKHOLMS LÄN</t>
        </is>
      </c>
      <c r="E74" t="inlineStr">
        <is>
          <t>NORRTÄLJE</t>
        </is>
      </c>
      <c r="G74" t="n">
        <v>4.2</v>
      </c>
      <c r="H74" t="n">
        <v>2</v>
      </c>
      <c r="I74" t="n">
        <v>0</v>
      </c>
      <c r="J74" t="n">
        <v>1</v>
      </c>
      <c r="K74" t="n">
        <v>0</v>
      </c>
      <c r="L74" t="n">
        <v>0</v>
      </c>
      <c r="M74" t="n">
        <v>0</v>
      </c>
      <c r="N74" t="n">
        <v>0</v>
      </c>
      <c r="O74" t="n">
        <v>1</v>
      </c>
      <c r="P74" t="n">
        <v>0</v>
      </c>
      <c r="Q74" t="n">
        <v>2</v>
      </c>
      <c r="R74" s="2" t="inlineStr">
        <is>
          <t>Björktrast
Grönsiska</t>
        </is>
      </c>
      <c r="S74">
        <f>HYPERLINK("https://klasma.github.io/Logging_0188/artfynd/A 26207-2026 artfynd.xlsx", "A 26207-2026")</f>
        <v/>
      </c>
      <c r="T74">
        <f>HYPERLINK("https://klasma.github.io/Logging_0188/kartor/A 26207-2026 karta.png", "A 26207-2026")</f>
        <v/>
      </c>
      <c r="V74">
        <f>HYPERLINK("https://klasma.github.io/Logging_0188/klagomål/A 26207-2026 FSC-klagomål.docx", "A 26207-2026")</f>
        <v/>
      </c>
      <c r="W74">
        <f>HYPERLINK("https://klasma.github.io/Logging_0188/klagomålsmail/A 26207-2026 FSC-klagomål mail.docx", "A 26207-2026")</f>
        <v/>
      </c>
      <c r="X74">
        <f>HYPERLINK("https://klasma.github.io/Logging_0188/tillsyn/A 26207-2026 tillsynsbegäran.docx", "A 26207-2026")</f>
        <v/>
      </c>
      <c r="Y74">
        <f>HYPERLINK("https://klasma.github.io/Logging_0188/tillsynsmail/A 26207-2026 tillsynsbegäran mail.docx", "A 26207-2026")</f>
        <v/>
      </c>
      <c r="Z74">
        <f>HYPERLINK("https://klasma.github.io/Logging_0188/fåglar/A 26207-2026 prioriterade fågelarter.docx", "A 26207-2026")</f>
        <v/>
      </c>
    </row>
    <row r="75" ht="15" customHeight="1">
      <c r="A75" t="inlineStr">
        <is>
          <t>A 53608-2025</t>
        </is>
      </c>
      <c r="B75" s="1" t="n">
        <v>45960</v>
      </c>
      <c r="C75" s="1" t="n">
        <v>46189</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1547-2022</t>
        </is>
      </c>
      <c r="B76" s="1" t="n">
        <v>44573</v>
      </c>
      <c r="C76" s="1" t="n">
        <v>46189</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46189</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30138-2021</t>
        </is>
      </c>
      <c r="B78" s="1" t="n">
        <v>44363</v>
      </c>
      <c r="C78" s="1" t="n">
        <v>46189</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46189</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32111-2022</t>
        </is>
      </c>
      <c r="B80" s="1" t="n">
        <v>44778.92797453704</v>
      </c>
      <c r="C80" s="1" t="n">
        <v>46189</v>
      </c>
      <c r="D80" t="inlineStr">
        <is>
          <t>STOCKHOLMS LÄN</t>
        </is>
      </c>
      <c r="E80" t="inlineStr">
        <is>
          <t>NORRTÄLJE</t>
        </is>
      </c>
      <c r="G80" t="n">
        <v>3.1</v>
      </c>
      <c r="H80" t="n">
        <v>0</v>
      </c>
      <c r="I80" t="n">
        <v>0</v>
      </c>
      <c r="J80" t="n">
        <v>1</v>
      </c>
      <c r="K80" t="n">
        <v>0</v>
      </c>
      <c r="L80" t="n">
        <v>0</v>
      </c>
      <c r="M80" t="n">
        <v>0</v>
      </c>
      <c r="N80" t="n">
        <v>0</v>
      </c>
      <c r="O80" t="n">
        <v>1</v>
      </c>
      <c r="P80" t="n">
        <v>0</v>
      </c>
      <c r="Q80" t="n">
        <v>1</v>
      </c>
      <c r="R80" s="2" t="inlineStr">
        <is>
          <t>Orange taggsvamp</t>
        </is>
      </c>
      <c r="S80">
        <f>HYPERLINK("https://klasma.github.io/Logging_0188/artfynd/A 32111-2022 artfynd.xlsx", "A 32111-2022")</f>
        <v/>
      </c>
      <c r="T80">
        <f>HYPERLINK("https://klasma.github.io/Logging_0188/kartor/A 32111-2022 karta.png", "A 32111-2022")</f>
        <v/>
      </c>
      <c r="V80">
        <f>HYPERLINK("https://klasma.github.io/Logging_0188/klagomål/A 32111-2022 FSC-klagomål.docx", "A 32111-2022")</f>
        <v/>
      </c>
      <c r="W80">
        <f>HYPERLINK("https://klasma.github.io/Logging_0188/klagomålsmail/A 32111-2022 FSC-klagomål mail.docx", "A 32111-2022")</f>
        <v/>
      </c>
      <c r="X80">
        <f>HYPERLINK("https://klasma.github.io/Logging_0188/tillsyn/A 32111-2022 tillsynsbegäran.docx", "A 32111-2022")</f>
        <v/>
      </c>
      <c r="Y80">
        <f>HYPERLINK("https://klasma.github.io/Logging_0188/tillsynsmail/A 32111-2022 tillsynsbegäran mail.docx", "A 32111-2022")</f>
        <v/>
      </c>
    </row>
    <row r="81" ht="15" customHeight="1">
      <c r="A81" t="inlineStr">
        <is>
          <t>A 47898-2022</t>
        </is>
      </c>
      <c r="B81" s="1" t="n">
        <v>44855</v>
      </c>
      <c r="C81" s="1" t="n">
        <v>46189</v>
      </c>
      <c r="D81" t="inlineStr">
        <is>
          <t>STOCKHOLMS LÄN</t>
        </is>
      </c>
      <c r="E81" t="inlineStr">
        <is>
          <t>NORRTÄLJE</t>
        </is>
      </c>
      <c r="G81" t="n">
        <v>6.7</v>
      </c>
      <c r="H81" t="n">
        <v>1</v>
      </c>
      <c r="I81" t="n">
        <v>1</v>
      </c>
      <c r="J81" t="n">
        <v>0</v>
      </c>
      <c r="K81" t="n">
        <v>0</v>
      </c>
      <c r="L81" t="n">
        <v>0</v>
      </c>
      <c r="M81" t="n">
        <v>0</v>
      </c>
      <c r="N81" t="n">
        <v>0</v>
      </c>
      <c r="O81" t="n">
        <v>0</v>
      </c>
      <c r="P81" t="n">
        <v>0</v>
      </c>
      <c r="Q81" t="n">
        <v>1</v>
      </c>
      <c r="R81" s="2" t="inlineStr">
        <is>
          <t>Guckusko</t>
        </is>
      </c>
      <c r="S81">
        <f>HYPERLINK("https://klasma.github.io/Logging_0188/artfynd/A 47898-2022 artfynd.xlsx", "A 47898-2022")</f>
        <v/>
      </c>
      <c r="T81">
        <f>HYPERLINK("https://klasma.github.io/Logging_0188/kartor/A 47898-2022 karta.png", "A 47898-2022")</f>
        <v/>
      </c>
      <c r="V81">
        <f>HYPERLINK("https://klasma.github.io/Logging_0188/klagomål/A 47898-2022 FSC-klagomål.docx", "A 47898-2022")</f>
        <v/>
      </c>
      <c r="W81">
        <f>HYPERLINK("https://klasma.github.io/Logging_0188/klagomålsmail/A 47898-2022 FSC-klagomål mail.docx", "A 47898-2022")</f>
        <v/>
      </c>
      <c r="X81">
        <f>HYPERLINK("https://klasma.github.io/Logging_0188/tillsyn/A 47898-2022 tillsynsbegäran.docx", "A 47898-2022")</f>
        <v/>
      </c>
      <c r="Y81">
        <f>HYPERLINK("https://klasma.github.io/Logging_0188/tillsynsmail/A 47898-2022 tillsynsbegäran mail.docx", "A 47898-2022")</f>
        <v/>
      </c>
    </row>
    <row r="82" ht="15" customHeight="1">
      <c r="A82" t="inlineStr">
        <is>
          <t>A 4595-2023</t>
        </is>
      </c>
      <c r="B82" s="1" t="n">
        <v>44956</v>
      </c>
      <c r="C82" s="1" t="n">
        <v>46189</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4860-2022</t>
        </is>
      </c>
      <c r="B83" s="1" t="n">
        <v>44592</v>
      </c>
      <c r="C83" s="1" t="n">
        <v>46189</v>
      </c>
      <c r="D83" t="inlineStr">
        <is>
          <t>STOCKHOLMS LÄN</t>
        </is>
      </c>
      <c r="E83" t="inlineStr">
        <is>
          <t>NORRTÄLJE</t>
        </is>
      </c>
      <c r="G83" t="n">
        <v>22.3</v>
      </c>
      <c r="H83" t="n">
        <v>0</v>
      </c>
      <c r="I83" t="n">
        <v>0</v>
      </c>
      <c r="J83" t="n">
        <v>1</v>
      </c>
      <c r="K83" t="n">
        <v>0</v>
      </c>
      <c r="L83" t="n">
        <v>0</v>
      </c>
      <c r="M83" t="n">
        <v>0</v>
      </c>
      <c r="N83" t="n">
        <v>0</v>
      </c>
      <c r="O83" t="n">
        <v>1</v>
      </c>
      <c r="P83" t="n">
        <v>0</v>
      </c>
      <c r="Q83" t="n">
        <v>1</v>
      </c>
      <c r="R83" s="2" t="inlineStr">
        <is>
          <t>Igelkott</t>
        </is>
      </c>
      <c r="S83">
        <f>HYPERLINK("https://klasma.github.io/Logging_0188/artfynd/A 4860-2022 artfynd.xlsx", "A 4860-2022")</f>
        <v/>
      </c>
      <c r="T83">
        <f>HYPERLINK("https://klasma.github.io/Logging_0188/kartor/A 4860-2022 karta.png", "A 4860-2022")</f>
        <v/>
      </c>
      <c r="V83">
        <f>HYPERLINK("https://klasma.github.io/Logging_0188/klagomål/A 4860-2022 FSC-klagomål.docx", "A 4860-2022")</f>
        <v/>
      </c>
      <c r="W83">
        <f>HYPERLINK("https://klasma.github.io/Logging_0188/klagomålsmail/A 4860-2022 FSC-klagomål mail.docx", "A 4860-2022")</f>
        <v/>
      </c>
      <c r="X83">
        <f>HYPERLINK("https://klasma.github.io/Logging_0188/tillsyn/A 4860-2022 tillsynsbegäran.docx", "A 4860-2022")</f>
        <v/>
      </c>
      <c r="Y83">
        <f>HYPERLINK("https://klasma.github.io/Logging_0188/tillsynsmail/A 4860-2022 tillsynsbegäran mail.docx", "A 4860-2022")</f>
        <v/>
      </c>
    </row>
    <row r="84" ht="15" customHeight="1">
      <c r="A84" t="inlineStr">
        <is>
          <t>A 58888-2021</t>
        </is>
      </c>
      <c r="B84" s="1" t="n">
        <v>44489</v>
      </c>
      <c r="C84" s="1" t="n">
        <v>46189</v>
      </c>
      <c r="D84" t="inlineStr">
        <is>
          <t>STOCKHOLMS LÄN</t>
        </is>
      </c>
      <c r="E84" t="inlineStr">
        <is>
          <t>NORRTÄLJE</t>
        </is>
      </c>
      <c r="F84" t="inlineStr">
        <is>
          <t>Holmen skog AB</t>
        </is>
      </c>
      <c r="G84" t="n">
        <v>2.5</v>
      </c>
      <c r="H84" t="n">
        <v>1</v>
      </c>
      <c r="I84" t="n">
        <v>0</v>
      </c>
      <c r="J84" t="n">
        <v>0</v>
      </c>
      <c r="K84" t="n">
        <v>0</v>
      </c>
      <c r="L84" t="n">
        <v>1</v>
      </c>
      <c r="M84" t="n">
        <v>0</v>
      </c>
      <c r="N84" t="n">
        <v>0</v>
      </c>
      <c r="O84" t="n">
        <v>1</v>
      </c>
      <c r="P84" t="n">
        <v>1</v>
      </c>
      <c r="Q84" t="n">
        <v>1</v>
      </c>
      <c r="R84" s="2" t="inlineStr">
        <is>
          <t>Asknätfjäril</t>
        </is>
      </c>
      <c r="S84">
        <f>HYPERLINK("https://klasma.github.io/Logging_0188/artfynd/A 58888-2021 artfynd.xlsx", "A 58888-2021")</f>
        <v/>
      </c>
      <c r="T84">
        <f>HYPERLINK("https://klasma.github.io/Logging_0188/kartor/A 58888-2021 karta.png", "A 58888-2021")</f>
        <v/>
      </c>
      <c r="V84">
        <f>HYPERLINK("https://klasma.github.io/Logging_0188/klagomål/A 58888-2021 FSC-klagomål.docx", "A 58888-2021")</f>
        <v/>
      </c>
      <c r="W84">
        <f>HYPERLINK("https://klasma.github.io/Logging_0188/klagomålsmail/A 58888-2021 FSC-klagomål mail.docx", "A 58888-2021")</f>
        <v/>
      </c>
      <c r="X84">
        <f>HYPERLINK("https://klasma.github.io/Logging_0188/tillsyn/A 58888-2021 tillsynsbegäran.docx", "A 58888-2021")</f>
        <v/>
      </c>
      <c r="Y84">
        <f>HYPERLINK("https://klasma.github.io/Logging_0188/tillsynsmail/A 58888-2021 tillsynsbegäran mail.docx", "A 58888-2021")</f>
        <v/>
      </c>
    </row>
    <row r="85" ht="15" customHeight="1">
      <c r="A85" t="inlineStr">
        <is>
          <t>A 23146-2024</t>
        </is>
      </c>
      <c r="B85" s="1" t="n">
        <v>45450.63958333333</v>
      </c>
      <c r="C85" s="1" t="n">
        <v>46189</v>
      </c>
      <c r="D85" t="inlineStr">
        <is>
          <t>STOCKHOLMS LÄN</t>
        </is>
      </c>
      <c r="E85" t="inlineStr">
        <is>
          <t>NORRTÄLJE</t>
        </is>
      </c>
      <c r="F85" t="inlineStr">
        <is>
          <t>Kommuner</t>
        </is>
      </c>
      <c r="G85" t="n">
        <v>6</v>
      </c>
      <c r="H85" t="n">
        <v>0</v>
      </c>
      <c r="I85" t="n">
        <v>0</v>
      </c>
      <c r="J85" t="n">
        <v>1</v>
      </c>
      <c r="K85" t="n">
        <v>0</v>
      </c>
      <c r="L85" t="n">
        <v>0</v>
      </c>
      <c r="M85" t="n">
        <v>0</v>
      </c>
      <c r="N85" t="n">
        <v>0</v>
      </c>
      <c r="O85" t="n">
        <v>1</v>
      </c>
      <c r="P85" t="n">
        <v>0</v>
      </c>
      <c r="Q85" t="n">
        <v>1</v>
      </c>
      <c r="R85" s="2" t="inlineStr">
        <is>
          <t>Motaggsvamp</t>
        </is>
      </c>
      <c r="S85">
        <f>HYPERLINK("https://klasma.github.io/Logging_0188/artfynd/A 23146-2024 artfynd.xlsx", "A 23146-2024")</f>
        <v/>
      </c>
      <c r="T85">
        <f>HYPERLINK("https://klasma.github.io/Logging_0188/kartor/A 23146-2024 karta.png", "A 23146-2024")</f>
        <v/>
      </c>
      <c r="V85">
        <f>HYPERLINK("https://klasma.github.io/Logging_0188/klagomål/A 23146-2024 FSC-klagomål.docx", "A 23146-2024")</f>
        <v/>
      </c>
      <c r="W85">
        <f>HYPERLINK("https://klasma.github.io/Logging_0188/klagomålsmail/A 23146-2024 FSC-klagomål mail.docx", "A 23146-2024")</f>
        <v/>
      </c>
      <c r="X85">
        <f>HYPERLINK("https://klasma.github.io/Logging_0188/tillsyn/A 23146-2024 tillsynsbegäran.docx", "A 23146-2024")</f>
        <v/>
      </c>
      <c r="Y85">
        <f>HYPERLINK("https://klasma.github.io/Logging_0188/tillsynsmail/A 23146-2024 tillsynsbegäran mail.docx", "A 23146-2024")</f>
        <v/>
      </c>
    </row>
    <row r="86" ht="15" customHeight="1">
      <c r="A86" t="inlineStr">
        <is>
          <t>A 27538-2024</t>
        </is>
      </c>
      <c r="B86" s="1" t="n">
        <v>45474</v>
      </c>
      <c r="C86" s="1" t="n">
        <v>46189</v>
      </c>
      <c r="D86" t="inlineStr">
        <is>
          <t>STOCKHOLMS LÄN</t>
        </is>
      </c>
      <c r="E86" t="inlineStr">
        <is>
          <t>NORRTÄLJE</t>
        </is>
      </c>
      <c r="G86" t="n">
        <v>1.5</v>
      </c>
      <c r="H86" t="n">
        <v>1</v>
      </c>
      <c r="I86" t="n">
        <v>1</v>
      </c>
      <c r="J86" t="n">
        <v>0</v>
      </c>
      <c r="K86" t="n">
        <v>0</v>
      </c>
      <c r="L86" t="n">
        <v>0</v>
      </c>
      <c r="M86" t="n">
        <v>0</v>
      </c>
      <c r="N86" t="n">
        <v>0</v>
      </c>
      <c r="O86" t="n">
        <v>0</v>
      </c>
      <c r="P86" t="n">
        <v>0</v>
      </c>
      <c r="Q86" t="n">
        <v>1</v>
      </c>
      <c r="R86" s="2" t="inlineStr">
        <is>
          <t>Skogsknipprot</t>
        </is>
      </c>
      <c r="S86">
        <f>HYPERLINK("https://klasma.github.io/Logging_0188/artfynd/A 27538-2024 artfynd.xlsx", "A 27538-2024")</f>
        <v/>
      </c>
      <c r="T86">
        <f>HYPERLINK("https://klasma.github.io/Logging_0188/kartor/A 27538-2024 karta.png", "A 27538-2024")</f>
        <v/>
      </c>
      <c r="V86">
        <f>HYPERLINK("https://klasma.github.io/Logging_0188/klagomål/A 27538-2024 FSC-klagomål.docx", "A 27538-2024")</f>
        <v/>
      </c>
      <c r="W86">
        <f>HYPERLINK("https://klasma.github.io/Logging_0188/klagomålsmail/A 27538-2024 FSC-klagomål mail.docx", "A 27538-2024")</f>
        <v/>
      </c>
      <c r="X86">
        <f>HYPERLINK("https://klasma.github.io/Logging_0188/tillsyn/A 27538-2024 tillsynsbegäran.docx", "A 27538-2024")</f>
        <v/>
      </c>
      <c r="Y86">
        <f>HYPERLINK("https://klasma.github.io/Logging_0188/tillsynsmail/A 27538-2024 tillsynsbegäran mail.docx", "A 27538-2024")</f>
        <v/>
      </c>
    </row>
    <row r="87" ht="15" customHeight="1">
      <c r="A87" t="inlineStr">
        <is>
          <t>A 4385-2023</t>
        </is>
      </c>
      <c r="B87" s="1" t="n">
        <v>44955.71322916666</v>
      </c>
      <c r="C87" s="1" t="n">
        <v>46189</v>
      </c>
      <c r="D87" t="inlineStr">
        <is>
          <t>STOCKHOLMS LÄN</t>
        </is>
      </c>
      <c r="E87" t="inlineStr">
        <is>
          <t>NORRTÄLJE</t>
        </is>
      </c>
      <c r="G87" t="n">
        <v>7.8</v>
      </c>
      <c r="H87" t="n">
        <v>1</v>
      </c>
      <c r="I87" t="n">
        <v>1</v>
      </c>
      <c r="J87" t="n">
        <v>0</v>
      </c>
      <c r="K87" t="n">
        <v>0</v>
      </c>
      <c r="L87" t="n">
        <v>0</v>
      </c>
      <c r="M87" t="n">
        <v>0</v>
      </c>
      <c r="N87" t="n">
        <v>0</v>
      </c>
      <c r="O87" t="n">
        <v>0</v>
      </c>
      <c r="P87" t="n">
        <v>0</v>
      </c>
      <c r="Q87" t="n">
        <v>1</v>
      </c>
      <c r="R87" s="2" t="inlineStr">
        <is>
          <t>Skogsknipprot</t>
        </is>
      </c>
      <c r="S87">
        <f>HYPERLINK("https://klasma.github.io/Logging_0188/artfynd/A 4385-2023 artfynd.xlsx", "A 4385-2023")</f>
        <v/>
      </c>
      <c r="T87">
        <f>HYPERLINK("https://klasma.github.io/Logging_0188/kartor/A 4385-2023 karta.png", "A 4385-2023")</f>
        <v/>
      </c>
      <c r="V87">
        <f>HYPERLINK("https://klasma.github.io/Logging_0188/klagomål/A 4385-2023 FSC-klagomål.docx", "A 4385-2023")</f>
        <v/>
      </c>
      <c r="W87">
        <f>HYPERLINK("https://klasma.github.io/Logging_0188/klagomålsmail/A 4385-2023 FSC-klagomål mail.docx", "A 4385-2023")</f>
        <v/>
      </c>
      <c r="X87">
        <f>HYPERLINK("https://klasma.github.io/Logging_0188/tillsyn/A 4385-2023 tillsynsbegäran.docx", "A 4385-2023")</f>
        <v/>
      </c>
      <c r="Y87">
        <f>HYPERLINK("https://klasma.github.io/Logging_0188/tillsynsmail/A 4385-2023 tillsynsbegäran mail.docx", "A 4385-2023")</f>
        <v/>
      </c>
    </row>
    <row r="88" ht="15" customHeight="1">
      <c r="A88" t="inlineStr">
        <is>
          <t>A 24330-2023</t>
        </is>
      </c>
      <c r="B88" s="1" t="n">
        <v>45081</v>
      </c>
      <c r="C88" s="1" t="n">
        <v>46189</v>
      </c>
      <c r="D88" t="inlineStr">
        <is>
          <t>STOCKHOLMS LÄN</t>
        </is>
      </c>
      <c r="E88" t="inlineStr">
        <is>
          <t>NORRTÄLJE</t>
        </is>
      </c>
      <c r="G88" t="n">
        <v>5</v>
      </c>
      <c r="H88" t="n">
        <v>1</v>
      </c>
      <c r="I88" t="n">
        <v>0</v>
      </c>
      <c r="J88" t="n">
        <v>1</v>
      </c>
      <c r="K88" t="n">
        <v>0</v>
      </c>
      <c r="L88" t="n">
        <v>0</v>
      </c>
      <c r="M88" t="n">
        <v>0</v>
      </c>
      <c r="N88" t="n">
        <v>0</v>
      </c>
      <c r="O88" t="n">
        <v>1</v>
      </c>
      <c r="P88" t="n">
        <v>0</v>
      </c>
      <c r="Q88" t="n">
        <v>1</v>
      </c>
      <c r="R88" s="2" t="inlineStr">
        <is>
          <t>Mindre hackspett</t>
        </is>
      </c>
      <c r="S88">
        <f>HYPERLINK("https://klasma.github.io/Logging_0188/artfynd/A 24330-2023 artfynd.xlsx", "A 24330-2023")</f>
        <v/>
      </c>
      <c r="T88">
        <f>HYPERLINK("https://klasma.github.io/Logging_0188/kartor/A 24330-2023 karta.png", "A 24330-2023")</f>
        <v/>
      </c>
      <c r="V88">
        <f>HYPERLINK("https://klasma.github.io/Logging_0188/klagomål/A 24330-2023 FSC-klagomål.docx", "A 24330-2023")</f>
        <v/>
      </c>
      <c r="W88">
        <f>HYPERLINK("https://klasma.github.io/Logging_0188/klagomålsmail/A 24330-2023 FSC-klagomål mail.docx", "A 24330-2023")</f>
        <v/>
      </c>
      <c r="X88">
        <f>HYPERLINK("https://klasma.github.io/Logging_0188/tillsyn/A 24330-2023 tillsynsbegäran.docx", "A 24330-2023")</f>
        <v/>
      </c>
      <c r="Y88">
        <f>HYPERLINK("https://klasma.github.io/Logging_0188/tillsynsmail/A 24330-2023 tillsynsbegäran mail.docx", "A 24330-2023")</f>
        <v/>
      </c>
      <c r="Z88">
        <f>HYPERLINK("https://klasma.github.io/Logging_0188/fåglar/A 24330-2023 prioriterade fågelarter.docx", "A 24330-2023")</f>
        <v/>
      </c>
    </row>
    <row r="89" ht="15" customHeight="1">
      <c r="A89" t="inlineStr">
        <is>
          <t>A 40861-2025</t>
        </is>
      </c>
      <c r="B89" s="1" t="n">
        <v>45897.56356481482</v>
      </c>
      <c r="C89" s="1" t="n">
        <v>46189</v>
      </c>
      <c r="D89" t="inlineStr">
        <is>
          <t>STOCKHOLMS LÄN</t>
        </is>
      </c>
      <c r="E89" t="inlineStr">
        <is>
          <t>NORRTÄLJE</t>
        </is>
      </c>
      <c r="G89" t="n">
        <v>4</v>
      </c>
      <c r="H89" t="n">
        <v>0</v>
      </c>
      <c r="I89" t="n">
        <v>0</v>
      </c>
      <c r="J89" t="n">
        <v>1</v>
      </c>
      <c r="K89" t="n">
        <v>0</v>
      </c>
      <c r="L89" t="n">
        <v>0</v>
      </c>
      <c r="M89" t="n">
        <v>0</v>
      </c>
      <c r="N89" t="n">
        <v>0</v>
      </c>
      <c r="O89" t="n">
        <v>1</v>
      </c>
      <c r="P89" t="n">
        <v>0</v>
      </c>
      <c r="Q89" t="n">
        <v>1</v>
      </c>
      <c r="R89" s="2" t="inlineStr">
        <is>
          <t>Skogsklocka</t>
        </is>
      </c>
      <c r="S89">
        <f>HYPERLINK("https://klasma.github.io/Logging_0188/artfynd/A 40861-2025 artfynd.xlsx", "A 40861-2025")</f>
        <v/>
      </c>
      <c r="T89">
        <f>HYPERLINK("https://klasma.github.io/Logging_0188/kartor/A 40861-2025 karta.png", "A 40861-2025")</f>
        <v/>
      </c>
      <c r="V89">
        <f>HYPERLINK("https://klasma.github.io/Logging_0188/klagomål/A 40861-2025 FSC-klagomål.docx", "A 40861-2025")</f>
        <v/>
      </c>
      <c r="W89">
        <f>HYPERLINK("https://klasma.github.io/Logging_0188/klagomålsmail/A 40861-2025 FSC-klagomål mail.docx", "A 40861-2025")</f>
        <v/>
      </c>
      <c r="X89">
        <f>HYPERLINK("https://klasma.github.io/Logging_0188/tillsyn/A 40861-2025 tillsynsbegäran.docx", "A 40861-2025")</f>
        <v/>
      </c>
      <c r="Y89">
        <f>HYPERLINK("https://klasma.github.io/Logging_0188/tillsynsmail/A 40861-2025 tillsynsbegäran mail.docx", "A 40861-2025")</f>
        <v/>
      </c>
    </row>
    <row r="90" ht="15" customHeight="1">
      <c r="A90" t="inlineStr">
        <is>
          <t>A 24535-2023</t>
        </is>
      </c>
      <c r="B90" s="1" t="n">
        <v>45082</v>
      </c>
      <c r="C90" s="1" t="n">
        <v>46189</v>
      </c>
      <c r="D90" t="inlineStr">
        <is>
          <t>STOCKHOLMS LÄN</t>
        </is>
      </c>
      <c r="E90" t="inlineStr">
        <is>
          <t>NORRTÄLJE</t>
        </is>
      </c>
      <c r="F90" t="inlineStr">
        <is>
          <t>Kommuner</t>
        </is>
      </c>
      <c r="G90" t="n">
        <v>2</v>
      </c>
      <c r="H90" t="n">
        <v>1</v>
      </c>
      <c r="I90" t="n">
        <v>0</v>
      </c>
      <c r="J90" t="n">
        <v>0</v>
      </c>
      <c r="K90" t="n">
        <v>0</v>
      </c>
      <c r="L90" t="n">
        <v>0</v>
      </c>
      <c r="M90" t="n">
        <v>0</v>
      </c>
      <c r="N90" t="n">
        <v>0</v>
      </c>
      <c r="O90" t="n">
        <v>0</v>
      </c>
      <c r="P90" t="n">
        <v>0</v>
      </c>
      <c r="Q90" t="n">
        <v>1</v>
      </c>
      <c r="R90" s="2" t="inlineStr">
        <is>
          <t>Blåsippa</t>
        </is>
      </c>
      <c r="S90">
        <f>HYPERLINK("https://klasma.github.io/Logging_0188/artfynd/A 24535-2023 artfynd.xlsx", "A 24535-2023")</f>
        <v/>
      </c>
      <c r="T90">
        <f>HYPERLINK("https://klasma.github.io/Logging_0188/kartor/A 24535-2023 karta.png", "A 24535-2023")</f>
        <v/>
      </c>
      <c r="V90">
        <f>HYPERLINK("https://klasma.github.io/Logging_0188/klagomål/A 24535-2023 FSC-klagomål.docx", "A 24535-2023")</f>
        <v/>
      </c>
      <c r="W90">
        <f>HYPERLINK("https://klasma.github.io/Logging_0188/klagomålsmail/A 24535-2023 FSC-klagomål mail.docx", "A 24535-2023")</f>
        <v/>
      </c>
      <c r="X90">
        <f>HYPERLINK("https://klasma.github.io/Logging_0188/tillsyn/A 24535-2023 tillsynsbegäran.docx", "A 24535-2023")</f>
        <v/>
      </c>
      <c r="Y90">
        <f>HYPERLINK("https://klasma.github.io/Logging_0188/tillsynsmail/A 24535-2023 tillsynsbegäran mail.docx", "A 24535-2023")</f>
        <v/>
      </c>
    </row>
    <row r="91" ht="15" customHeight="1">
      <c r="A91" t="inlineStr">
        <is>
          <t>A 42313-2025</t>
        </is>
      </c>
      <c r="B91" s="1" t="n">
        <v>45904.6575</v>
      </c>
      <c r="C91" s="1" t="n">
        <v>46189</v>
      </c>
      <c r="D91" t="inlineStr">
        <is>
          <t>STOCKHOLMS LÄN</t>
        </is>
      </c>
      <c r="E91" t="inlineStr">
        <is>
          <t>NORRTÄLJE</t>
        </is>
      </c>
      <c r="G91" t="n">
        <v>1.7</v>
      </c>
      <c r="H91" t="n">
        <v>1</v>
      </c>
      <c r="I91" t="n">
        <v>0</v>
      </c>
      <c r="J91" t="n">
        <v>0</v>
      </c>
      <c r="K91" t="n">
        <v>0</v>
      </c>
      <c r="L91" t="n">
        <v>0</v>
      </c>
      <c r="M91" t="n">
        <v>0</v>
      </c>
      <c r="N91" t="n">
        <v>0</v>
      </c>
      <c r="O91" t="n">
        <v>0</v>
      </c>
      <c r="P91" t="n">
        <v>0</v>
      </c>
      <c r="Q91" t="n">
        <v>1</v>
      </c>
      <c r="R91" s="2" t="inlineStr">
        <is>
          <t>Vanlig padda</t>
        </is>
      </c>
      <c r="S91">
        <f>HYPERLINK("https://klasma.github.io/Logging_0188/artfynd/A 42313-2025 artfynd.xlsx", "A 42313-2025")</f>
        <v/>
      </c>
      <c r="T91">
        <f>HYPERLINK("https://klasma.github.io/Logging_0188/kartor/A 42313-2025 karta.png", "A 42313-2025")</f>
        <v/>
      </c>
      <c r="V91">
        <f>HYPERLINK("https://klasma.github.io/Logging_0188/klagomål/A 42313-2025 FSC-klagomål.docx", "A 42313-2025")</f>
        <v/>
      </c>
      <c r="W91">
        <f>HYPERLINK("https://klasma.github.io/Logging_0188/klagomålsmail/A 42313-2025 FSC-klagomål mail.docx", "A 42313-2025")</f>
        <v/>
      </c>
      <c r="X91">
        <f>HYPERLINK("https://klasma.github.io/Logging_0188/tillsyn/A 42313-2025 tillsynsbegäran.docx", "A 42313-2025")</f>
        <v/>
      </c>
      <c r="Y91">
        <f>HYPERLINK("https://klasma.github.io/Logging_0188/tillsynsmail/A 42313-2025 tillsynsbegäran mail.docx", "A 42313-2025")</f>
        <v/>
      </c>
    </row>
    <row r="92" ht="15" customHeight="1">
      <c r="A92" t="inlineStr">
        <is>
          <t>A 26635-2023</t>
        </is>
      </c>
      <c r="B92" s="1" t="n">
        <v>45092</v>
      </c>
      <c r="C92" s="1" t="n">
        <v>46189</v>
      </c>
      <c r="D92" t="inlineStr">
        <is>
          <t>STOCKHOLMS LÄN</t>
        </is>
      </c>
      <c r="E92" t="inlineStr">
        <is>
          <t>NORRTÄLJE</t>
        </is>
      </c>
      <c r="G92" t="n">
        <v>3.1</v>
      </c>
      <c r="H92" t="n">
        <v>1</v>
      </c>
      <c r="I92" t="n">
        <v>0</v>
      </c>
      <c r="J92" t="n">
        <v>0</v>
      </c>
      <c r="K92" t="n">
        <v>0</v>
      </c>
      <c r="L92" t="n">
        <v>0</v>
      </c>
      <c r="M92" t="n">
        <v>0</v>
      </c>
      <c r="N92" t="n">
        <v>0</v>
      </c>
      <c r="O92" t="n">
        <v>0</v>
      </c>
      <c r="P92" t="n">
        <v>0</v>
      </c>
      <c r="Q92" t="n">
        <v>1</v>
      </c>
      <c r="R92" s="2" t="inlineStr">
        <is>
          <t>Fläcknycklar</t>
        </is>
      </c>
      <c r="S92">
        <f>HYPERLINK("https://klasma.github.io/Logging_0188/artfynd/A 26635-2023 artfynd.xlsx", "A 26635-2023")</f>
        <v/>
      </c>
      <c r="T92">
        <f>HYPERLINK("https://klasma.github.io/Logging_0188/kartor/A 26635-2023 karta.png", "A 26635-2023")</f>
        <v/>
      </c>
      <c r="V92">
        <f>HYPERLINK("https://klasma.github.io/Logging_0188/klagomål/A 26635-2023 FSC-klagomål.docx", "A 26635-2023")</f>
        <v/>
      </c>
      <c r="W92">
        <f>HYPERLINK("https://klasma.github.io/Logging_0188/klagomålsmail/A 26635-2023 FSC-klagomål mail.docx", "A 26635-2023")</f>
        <v/>
      </c>
      <c r="X92">
        <f>HYPERLINK("https://klasma.github.io/Logging_0188/tillsyn/A 26635-2023 tillsynsbegäran.docx", "A 26635-2023")</f>
        <v/>
      </c>
      <c r="Y92">
        <f>HYPERLINK("https://klasma.github.io/Logging_0188/tillsynsmail/A 26635-2023 tillsynsbegäran mail.docx", "A 26635-2023")</f>
        <v/>
      </c>
    </row>
    <row r="93" ht="15" customHeight="1">
      <c r="A93" t="inlineStr">
        <is>
          <t>A 28816-2023</t>
        </is>
      </c>
      <c r="B93" s="1" t="n">
        <v>45104</v>
      </c>
      <c r="C93" s="1" t="n">
        <v>46189</v>
      </c>
      <c r="D93" t="inlineStr">
        <is>
          <t>STOCKHOLMS LÄN</t>
        </is>
      </c>
      <c r="E93" t="inlineStr">
        <is>
          <t>NORRTÄLJE</t>
        </is>
      </c>
      <c r="F93" t="inlineStr">
        <is>
          <t>Kommuner</t>
        </is>
      </c>
      <c r="G93" t="n">
        <v>0.5</v>
      </c>
      <c r="H93" t="n">
        <v>1</v>
      </c>
      <c r="I93" t="n">
        <v>0</v>
      </c>
      <c r="J93" t="n">
        <v>0</v>
      </c>
      <c r="K93" t="n">
        <v>0</v>
      </c>
      <c r="L93" t="n">
        <v>0</v>
      </c>
      <c r="M93" t="n">
        <v>0</v>
      </c>
      <c r="N93" t="n">
        <v>0</v>
      </c>
      <c r="O93" t="n">
        <v>0</v>
      </c>
      <c r="P93" t="n">
        <v>0</v>
      </c>
      <c r="Q93" t="n">
        <v>1</v>
      </c>
      <c r="R93" s="2" t="inlineStr">
        <is>
          <t>Kungsfågel</t>
        </is>
      </c>
      <c r="S93">
        <f>HYPERLINK("https://klasma.github.io/Logging_0188/artfynd/A 28816-2023 artfynd.xlsx", "A 28816-2023")</f>
        <v/>
      </c>
      <c r="T93">
        <f>HYPERLINK("https://klasma.github.io/Logging_0188/kartor/A 28816-2023 karta.png", "A 28816-2023")</f>
        <v/>
      </c>
      <c r="V93">
        <f>HYPERLINK("https://klasma.github.io/Logging_0188/klagomål/A 28816-2023 FSC-klagomål.docx", "A 28816-2023")</f>
        <v/>
      </c>
      <c r="W93">
        <f>HYPERLINK("https://klasma.github.io/Logging_0188/klagomålsmail/A 28816-2023 FSC-klagomål mail.docx", "A 28816-2023")</f>
        <v/>
      </c>
      <c r="X93">
        <f>HYPERLINK("https://klasma.github.io/Logging_0188/tillsyn/A 28816-2023 tillsynsbegäran.docx", "A 28816-2023")</f>
        <v/>
      </c>
      <c r="Y93">
        <f>HYPERLINK("https://klasma.github.io/Logging_0188/tillsynsmail/A 28816-2023 tillsynsbegäran mail.docx", "A 28816-2023")</f>
        <v/>
      </c>
      <c r="Z93">
        <f>HYPERLINK("https://klasma.github.io/Logging_0188/fåglar/A 28816-2023 prioriterade fågelarter.docx", "A 28816-2023")</f>
        <v/>
      </c>
    </row>
    <row r="94" ht="15" customHeight="1">
      <c r="A94" t="inlineStr">
        <is>
          <t>A 19829-2022</t>
        </is>
      </c>
      <c r="B94" s="1" t="n">
        <v>44695.43527777777</v>
      </c>
      <c r="C94" s="1" t="n">
        <v>46189</v>
      </c>
      <c r="D94" t="inlineStr">
        <is>
          <t>STOCKHOLMS LÄN</t>
        </is>
      </c>
      <c r="E94" t="inlineStr">
        <is>
          <t>NORRTÄLJE</t>
        </is>
      </c>
      <c r="G94" t="n">
        <v>2</v>
      </c>
      <c r="H94" t="n">
        <v>1</v>
      </c>
      <c r="I94" t="n">
        <v>1</v>
      </c>
      <c r="J94" t="n">
        <v>0</v>
      </c>
      <c r="K94" t="n">
        <v>0</v>
      </c>
      <c r="L94" t="n">
        <v>0</v>
      </c>
      <c r="M94" t="n">
        <v>0</v>
      </c>
      <c r="N94" t="n">
        <v>0</v>
      </c>
      <c r="O94" t="n">
        <v>0</v>
      </c>
      <c r="P94" t="n">
        <v>0</v>
      </c>
      <c r="Q94" t="n">
        <v>1</v>
      </c>
      <c r="R94" s="2" t="inlineStr">
        <is>
          <t>Guckusko</t>
        </is>
      </c>
      <c r="S94">
        <f>HYPERLINK("https://klasma.github.io/Logging_0188/artfynd/A 19829-2022 artfynd.xlsx", "A 19829-2022")</f>
        <v/>
      </c>
      <c r="T94">
        <f>HYPERLINK("https://klasma.github.io/Logging_0188/kartor/A 19829-2022 karta.png", "A 19829-2022")</f>
        <v/>
      </c>
      <c r="V94">
        <f>HYPERLINK("https://klasma.github.io/Logging_0188/klagomål/A 19829-2022 FSC-klagomål.docx", "A 19829-2022")</f>
        <v/>
      </c>
      <c r="W94">
        <f>HYPERLINK("https://klasma.github.io/Logging_0188/klagomålsmail/A 19829-2022 FSC-klagomål mail.docx", "A 19829-2022")</f>
        <v/>
      </c>
      <c r="X94">
        <f>HYPERLINK("https://klasma.github.io/Logging_0188/tillsyn/A 19829-2022 tillsynsbegäran.docx", "A 19829-2022")</f>
        <v/>
      </c>
      <c r="Y94">
        <f>HYPERLINK("https://klasma.github.io/Logging_0188/tillsynsmail/A 19829-2022 tillsynsbegäran mail.docx", "A 19829-2022")</f>
        <v/>
      </c>
    </row>
    <row r="95" ht="15" customHeight="1">
      <c r="A95" t="inlineStr">
        <is>
          <t>A 35691-2023</t>
        </is>
      </c>
      <c r="B95" s="1" t="n">
        <v>45147.65222222222</v>
      </c>
      <c r="C95" s="1" t="n">
        <v>46189</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46189</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52775-2025</t>
        </is>
      </c>
      <c r="B97" s="1" t="n">
        <v>45957.41608796296</v>
      </c>
      <c r="C97" s="1" t="n">
        <v>46189</v>
      </c>
      <c r="D97" t="inlineStr">
        <is>
          <t>STOCKHOLMS LÄN</t>
        </is>
      </c>
      <c r="E97" t="inlineStr">
        <is>
          <t>NORRTÄLJE</t>
        </is>
      </c>
      <c r="F97" t="inlineStr">
        <is>
          <t>Sveaskog</t>
        </is>
      </c>
      <c r="G97" t="n">
        <v>5.6</v>
      </c>
      <c r="H97" t="n">
        <v>0</v>
      </c>
      <c r="I97" t="n">
        <v>0</v>
      </c>
      <c r="J97" t="n">
        <v>1</v>
      </c>
      <c r="K97" t="n">
        <v>0</v>
      </c>
      <c r="L97" t="n">
        <v>0</v>
      </c>
      <c r="M97" t="n">
        <v>0</v>
      </c>
      <c r="N97" t="n">
        <v>0</v>
      </c>
      <c r="O97" t="n">
        <v>1</v>
      </c>
      <c r="P97" t="n">
        <v>0</v>
      </c>
      <c r="Q97" t="n">
        <v>1</v>
      </c>
      <c r="R97" s="2" t="inlineStr">
        <is>
          <t>Vedtrappmossa</t>
        </is>
      </c>
      <c r="S97">
        <f>HYPERLINK("https://klasma.github.io/Logging_0188/artfynd/A 52775-2025 artfynd.xlsx", "A 52775-2025")</f>
        <v/>
      </c>
      <c r="T97">
        <f>HYPERLINK("https://klasma.github.io/Logging_0188/kartor/A 52775-2025 karta.png", "A 52775-2025")</f>
        <v/>
      </c>
      <c r="V97">
        <f>HYPERLINK("https://klasma.github.io/Logging_0188/klagomål/A 52775-2025 FSC-klagomål.docx", "A 52775-2025")</f>
        <v/>
      </c>
      <c r="W97">
        <f>HYPERLINK("https://klasma.github.io/Logging_0188/klagomålsmail/A 52775-2025 FSC-klagomål mail.docx", "A 52775-2025")</f>
        <v/>
      </c>
      <c r="X97">
        <f>HYPERLINK("https://klasma.github.io/Logging_0188/tillsyn/A 52775-2025 tillsynsbegäran.docx", "A 52775-2025")</f>
        <v/>
      </c>
      <c r="Y97">
        <f>HYPERLINK("https://klasma.github.io/Logging_0188/tillsynsmail/A 52775-2025 tillsynsbegäran mail.docx", "A 52775-2025")</f>
        <v/>
      </c>
    </row>
    <row r="98" ht="15" customHeight="1">
      <c r="A98" t="inlineStr">
        <is>
          <t>A 53716-2025</t>
        </is>
      </c>
      <c r="B98" s="1" t="n">
        <v>45960.61782407408</v>
      </c>
      <c r="C98" s="1" t="n">
        <v>46189</v>
      </c>
      <c r="D98" t="inlineStr">
        <is>
          <t>STOCKHOLMS LÄN</t>
        </is>
      </c>
      <c r="E98" t="inlineStr">
        <is>
          <t>NORRTÄLJE</t>
        </is>
      </c>
      <c r="G98" t="n">
        <v>3.4</v>
      </c>
      <c r="H98" t="n">
        <v>0</v>
      </c>
      <c r="I98" t="n">
        <v>0</v>
      </c>
      <c r="J98" t="n">
        <v>0</v>
      </c>
      <c r="K98" t="n">
        <v>0</v>
      </c>
      <c r="L98" t="n">
        <v>1</v>
      </c>
      <c r="M98" t="n">
        <v>0</v>
      </c>
      <c r="N98" t="n">
        <v>0</v>
      </c>
      <c r="O98" t="n">
        <v>1</v>
      </c>
      <c r="P98" t="n">
        <v>1</v>
      </c>
      <c r="Q98" t="n">
        <v>1</v>
      </c>
      <c r="R98" s="2" t="inlineStr">
        <is>
          <t>Fältgentiana</t>
        </is>
      </c>
      <c r="S98">
        <f>HYPERLINK("https://klasma.github.io/Logging_0188/artfynd/A 53716-2025 artfynd.xlsx", "A 53716-2025")</f>
        <v/>
      </c>
      <c r="T98">
        <f>HYPERLINK("https://klasma.github.io/Logging_0188/kartor/A 53716-2025 karta.png", "A 53716-2025")</f>
        <v/>
      </c>
      <c r="V98">
        <f>HYPERLINK("https://klasma.github.io/Logging_0188/klagomål/A 53716-2025 FSC-klagomål.docx", "A 53716-2025")</f>
        <v/>
      </c>
      <c r="W98">
        <f>HYPERLINK("https://klasma.github.io/Logging_0188/klagomålsmail/A 53716-2025 FSC-klagomål mail.docx", "A 53716-2025")</f>
        <v/>
      </c>
      <c r="X98">
        <f>HYPERLINK("https://klasma.github.io/Logging_0188/tillsyn/A 53716-2025 tillsynsbegäran.docx", "A 53716-2025")</f>
        <v/>
      </c>
      <c r="Y98">
        <f>HYPERLINK("https://klasma.github.io/Logging_0188/tillsynsmail/A 53716-2025 tillsynsbegäran mail.docx", "A 53716-2025")</f>
        <v/>
      </c>
    </row>
    <row r="99" ht="15" customHeight="1">
      <c r="A99" t="inlineStr">
        <is>
          <t>A 4532-2025</t>
        </is>
      </c>
      <c r="B99" s="1" t="n">
        <v>45687.34177083334</v>
      </c>
      <c r="C99" s="1" t="n">
        <v>46189</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59682-2025</t>
        </is>
      </c>
      <c r="B100" s="1" t="n">
        <v>45992.47116898148</v>
      </c>
      <c r="C100" s="1" t="n">
        <v>46189</v>
      </c>
      <c r="D100" t="inlineStr">
        <is>
          <t>STOCKHOLMS LÄN</t>
        </is>
      </c>
      <c r="E100" t="inlineStr">
        <is>
          <t>NORRTÄLJE</t>
        </is>
      </c>
      <c r="G100" t="n">
        <v>1.6</v>
      </c>
      <c r="H100" t="n">
        <v>0</v>
      </c>
      <c r="I100" t="n">
        <v>1</v>
      </c>
      <c r="J100" t="n">
        <v>0</v>
      </c>
      <c r="K100" t="n">
        <v>0</v>
      </c>
      <c r="L100" t="n">
        <v>0</v>
      </c>
      <c r="M100" t="n">
        <v>0</v>
      </c>
      <c r="N100" t="n">
        <v>0</v>
      </c>
      <c r="O100" t="n">
        <v>0</v>
      </c>
      <c r="P100" t="n">
        <v>0</v>
      </c>
      <c r="Q100" t="n">
        <v>1</v>
      </c>
      <c r="R100" s="2" t="inlineStr">
        <is>
          <t>Grönpyrola</t>
        </is>
      </c>
      <c r="S100">
        <f>HYPERLINK("https://klasma.github.io/Logging_0188/artfynd/A 59682-2025 artfynd.xlsx", "A 59682-2025")</f>
        <v/>
      </c>
      <c r="T100">
        <f>HYPERLINK("https://klasma.github.io/Logging_0188/kartor/A 59682-2025 karta.png", "A 59682-2025")</f>
        <v/>
      </c>
      <c r="V100">
        <f>HYPERLINK("https://klasma.github.io/Logging_0188/klagomål/A 59682-2025 FSC-klagomål.docx", "A 59682-2025")</f>
        <v/>
      </c>
      <c r="W100">
        <f>HYPERLINK("https://klasma.github.io/Logging_0188/klagomålsmail/A 59682-2025 FSC-klagomål mail.docx", "A 59682-2025")</f>
        <v/>
      </c>
      <c r="X100">
        <f>HYPERLINK("https://klasma.github.io/Logging_0188/tillsyn/A 59682-2025 tillsynsbegäran.docx", "A 59682-2025")</f>
        <v/>
      </c>
      <c r="Y100">
        <f>HYPERLINK("https://klasma.github.io/Logging_0188/tillsynsmail/A 59682-2025 tillsynsbegäran mail.docx", "A 59682-2025")</f>
        <v/>
      </c>
    </row>
    <row r="101" ht="15" customHeight="1">
      <c r="A101" t="inlineStr">
        <is>
          <t>A 62715-2025</t>
        </is>
      </c>
      <c r="B101" s="1" t="n">
        <v>46008.52034722222</v>
      </c>
      <c r="C101" s="1" t="n">
        <v>46189</v>
      </c>
      <c r="D101" t="inlineStr">
        <is>
          <t>STOCKHOLMS LÄN</t>
        </is>
      </c>
      <c r="E101" t="inlineStr">
        <is>
          <t>NORRTÄLJE</t>
        </is>
      </c>
      <c r="G101" t="n">
        <v>0.8</v>
      </c>
      <c r="H101" t="n">
        <v>0</v>
      </c>
      <c r="I101" t="n">
        <v>1</v>
      </c>
      <c r="J101" t="n">
        <v>0</v>
      </c>
      <c r="K101" t="n">
        <v>0</v>
      </c>
      <c r="L101" t="n">
        <v>0</v>
      </c>
      <c r="M101" t="n">
        <v>0</v>
      </c>
      <c r="N101" t="n">
        <v>0</v>
      </c>
      <c r="O101" t="n">
        <v>0</v>
      </c>
      <c r="P101" t="n">
        <v>0</v>
      </c>
      <c r="Q101" t="n">
        <v>1</v>
      </c>
      <c r="R101" s="2" t="inlineStr">
        <is>
          <t>Granbarkgnagare</t>
        </is>
      </c>
      <c r="S101">
        <f>HYPERLINK("https://klasma.github.io/Logging_0188/artfynd/A 62715-2025 artfynd.xlsx", "A 62715-2025")</f>
        <v/>
      </c>
      <c r="T101">
        <f>HYPERLINK("https://klasma.github.io/Logging_0188/kartor/A 62715-2025 karta.png", "A 62715-2025")</f>
        <v/>
      </c>
      <c r="V101">
        <f>HYPERLINK("https://klasma.github.io/Logging_0188/klagomål/A 62715-2025 FSC-klagomål.docx", "A 62715-2025")</f>
        <v/>
      </c>
      <c r="W101">
        <f>HYPERLINK("https://klasma.github.io/Logging_0188/klagomålsmail/A 62715-2025 FSC-klagomål mail.docx", "A 62715-2025")</f>
        <v/>
      </c>
      <c r="X101">
        <f>HYPERLINK("https://klasma.github.io/Logging_0188/tillsyn/A 62715-2025 tillsynsbegäran.docx", "A 62715-2025")</f>
        <v/>
      </c>
      <c r="Y101">
        <f>HYPERLINK("https://klasma.github.io/Logging_0188/tillsynsmail/A 62715-2025 tillsynsbegäran mail.docx", "A 62715-2025")</f>
        <v/>
      </c>
    </row>
    <row r="102" ht="15" customHeight="1">
      <c r="A102" t="inlineStr">
        <is>
          <t>A 14365-2025</t>
        </is>
      </c>
      <c r="B102" s="1" t="n">
        <v>45741.38688657407</v>
      </c>
      <c r="C102" s="1" t="n">
        <v>46189</v>
      </c>
      <c r="D102" t="inlineStr">
        <is>
          <t>STOCKHOLMS LÄN</t>
        </is>
      </c>
      <c r="E102" t="inlineStr">
        <is>
          <t>NORRTÄLJE</t>
        </is>
      </c>
      <c r="G102" t="n">
        <v>2.4</v>
      </c>
      <c r="H102" t="n">
        <v>0</v>
      </c>
      <c r="I102" t="n">
        <v>0</v>
      </c>
      <c r="J102" t="n">
        <v>1</v>
      </c>
      <c r="K102" t="n">
        <v>0</v>
      </c>
      <c r="L102" t="n">
        <v>0</v>
      </c>
      <c r="M102" t="n">
        <v>0</v>
      </c>
      <c r="N102" t="n">
        <v>0</v>
      </c>
      <c r="O102" t="n">
        <v>1</v>
      </c>
      <c r="P102" t="n">
        <v>0</v>
      </c>
      <c r="Q102" t="n">
        <v>1</v>
      </c>
      <c r="R102" s="2" t="inlineStr">
        <is>
          <t>Granticka</t>
        </is>
      </c>
      <c r="S102">
        <f>HYPERLINK("https://klasma.github.io/Logging_0188/artfynd/A 14365-2025 artfynd.xlsx", "A 14365-2025")</f>
        <v/>
      </c>
      <c r="T102">
        <f>HYPERLINK("https://klasma.github.io/Logging_0188/kartor/A 14365-2025 karta.png", "A 14365-2025")</f>
        <v/>
      </c>
      <c r="V102">
        <f>HYPERLINK("https://klasma.github.io/Logging_0188/klagomål/A 14365-2025 FSC-klagomål.docx", "A 14365-2025")</f>
        <v/>
      </c>
      <c r="W102">
        <f>HYPERLINK("https://klasma.github.io/Logging_0188/klagomålsmail/A 14365-2025 FSC-klagomål mail.docx", "A 14365-2025")</f>
        <v/>
      </c>
      <c r="X102">
        <f>HYPERLINK("https://klasma.github.io/Logging_0188/tillsyn/A 14365-2025 tillsynsbegäran.docx", "A 14365-2025")</f>
        <v/>
      </c>
      <c r="Y102">
        <f>HYPERLINK("https://klasma.github.io/Logging_0188/tillsynsmail/A 14365-2025 tillsynsbegäran mail.docx", "A 14365-2025")</f>
        <v/>
      </c>
    </row>
    <row r="103" ht="15" customHeight="1">
      <c r="A103" t="inlineStr">
        <is>
          <t>A 21150-2022</t>
        </is>
      </c>
      <c r="B103" s="1" t="n">
        <v>44704</v>
      </c>
      <c r="C103" s="1" t="n">
        <v>46189</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21150-2022 artfynd.xlsx", "A 21150-2022")</f>
        <v/>
      </c>
      <c r="T103">
        <f>HYPERLINK("https://klasma.github.io/Logging_0188/kartor/A 21150-2022 karta.png", "A 21150-2022")</f>
        <v/>
      </c>
      <c r="V103">
        <f>HYPERLINK("https://klasma.github.io/Logging_0188/klagomål/A 21150-2022 FSC-klagomål.docx", "A 21150-2022")</f>
        <v/>
      </c>
      <c r="W103">
        <f>HYPERLINK("https://klasma.github.io/Logging_0188/klagomålsmail/A 21150-2022 FSC-klagomål mail.docx", "A 21150-2022")</f>
        <v/>
      </c>
      <c r="X103">
        <f>HYPERLINK("https://klasma.github.io/Logging_0188/tillsyn/A 21150-2022 tillsynsbegäran.docx", "A 21150-2022")</f>
        <v/>
      </c>
      <c r="Y103">
        <f>HYPERLINK("https://klasma.github.io/Logging_0188/tillsynsmail/A 21150-2022 tillsynsbegäran mail.docx", "A 21150-2022")</f>
        <v/>
      </c>
    </row>
    <row r="104" ht="15" customHeight="1">
      <c r="A104" t="inlineStr">
        <is>
          <t>A 364-2026</t>
        </is>
      </c>
      <c r="B104" s="1" t="n">
        <v>46027.67134259259</v>
      </c>
      <c r="C104" s="1" t="n">
        <v>46189</v>
      </c>
      <c r="D104" t="inlineStr">
        <is>
          <t>STOCKHOLMS LÄN</t>
        </is>
      </c>
      <c r="E104" t="inlineStr">
        <is>
          <t>NORRTÄLJE</t>
        </is>
      </c>
      <c r="F104" t="inlineStr">
        <is>
          <t>Holmen skog AB</t>
        </is>
      </c>
      <c r="G104" t="n">
        <v>4.3</v>
      </c>
      <c r="H104" t="n">
        <v>1</v>
      </c>
      <c r="I104" t="n">
        <v>0</v>
      </c>
      <c r="J104" t="n">
        <v>0</v>
      </c>
      <c r="K104" t="n">
        <v>0</v>
      </c>
      <c r="L104" t="n">
        <v>1</v>
      </c>
      <c r="M104" t="n">
        <v>0</v>
      </c>
      <c r="N104" t="n">
        <v>0</v>
      </c>
      <c r="O104" t="n">
        <v>1</v>
      </c>
      <c r="P104" t="n">
        <v>1</v>
      </c>
      <c r="Q104" t="n">
        <v>1</v>
      </c>
      <c r="R104" s="2" t="inlineStr">
        <is>
          <t>Asknätfjäril</t>
        </is>
      </c>
      <c r="S104">
        <f>HYPERLINK("https://klasma.github.io/Logging_0188/artfynd/A 364-2026 artfynd.xlsx", "A 364-2026")</f>
        <v/>
      </c>
      <c r="T104">
        <f>HYPERLINK("https://klasma.github.io/Logging_0188/kartor/A 364-2026 karta.png", "A 364-2026")</f>
        <v/>
      </c>
      <c r="V104">
        <f>HYPERLINK("https://klasma.github.io/Logging_0188/klagomål/A 364-2026 FSC-klagomål.docx", "A 364-2026")</f>
        <v/>
      </c>
      <c r="W104">
        <f>HYPERLINK("https://klasma.github.io/Logging_0188/klagomålsmail/A 364-2026 FSC-klagomål mail.docx", "A 364-2026")</f>
        <v/>
      </c>
      <c r="X104">
        <f>HYPERLINK("https://klasma.github.io/Logging_0188/tillsyn/A 364-2026 tillsynsbegäran.docx", "A 364-2026")</f>
        <v/>
      </c>
      <c r="Y104">
        <f>HYPERLINK("https://klasma.github.io/Logging_0188/tillsynsmail/A 364-2026 tillsynsbegäran mail.docx", "A 364-2026")</f>
        <v/>
      </c>
    </row>
    <row r="105" ht="15" customHeight="1">
      <c r="A105" t="inlineStr">
        <is>
          <t>A 26120-2024</t>
        </is>
      </c>
      <c r="B105" s="1" t="n">
        <v>45468.45995370371</v>
      </c>
      <c r="C105" s="1" t="n">
        <v>46189</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11429-2023</t>
        </is>
      </c>
      <c r="B106" s="1" t="n">
        <v>44993</v>
      </c>
      <c r="C106" s="1" t="n">
        <v>46189</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50854-2022</t>
        </is>
      </c>
      <c r="B107" s="1" t="n">
        <v>44863</v>
      </c>
      <c r="C107" s="1" t="n">
        <v>46189</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64456-2023</t>
        </is>
      </c>
      <c r="B108" s="1" t="n">
        <v>45280</v>
      </c>
      <c r="C108" s="1" t="n">
        <v>46189</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31281-2022</t>
        </is>
      </c>
      <c r="B109" s="1" t="n">
        <v>44771</v>
      </c>
      <c r="C109" s="1" t="n">
        <v>46189</v>
      </c>
      <c r="D109" t="inlineStr">
        <is>
          <t>STOCKHOLMS LÄN</t>
        </is>
      </c>
      <c r="E109" t="inlineStr">
        <is>
          <t>NORRTÄLJE</t>
        </is>
      </c>
      <c r="F109" t="inlineStr">
        <is>
          <t>Holmen skog AB</t>
        </is>
      </c>
      <c r="G109" t="n">
        <v>5.2</v>
      </c>
      <c r="H109" t="n">
        <v>1</v>
      </c>
      <c r="I109" t="n">
        <v>0</v>
      </c>
      <c r="J109" t="n">
        <v>1</v>
      </c>
      <c r="K109" t="n">
        <v>0</v>
      </c>
      <c r="L109" t="n">
        <v>0</v>
      </c>
      <c r="M109" t="n">
        <v>0</v>
      </c>
      <c r="N109" t="n">
        <v>0</v>
      </c>
      <c r="O109" t="n">
        <v>1</v>
      </c>
      <c r="P109" t="n">
        <v>0</v>
      </c>
      <c r="Q109" t="n">
        <v>1</v>
      </c>
      <c r="R109" s="2" t="inlineStr">
        <is>
          <t>Kråka</t>
        </is>
      </c>
      <c r="S109">
        <f>HYPERLINK("https://klasma.github.io/Logging_0188/artfynd/A 31281-2022 artfynd.xlsx", "A 31281-2022")</f>
        <v/>
      </c>
      <c r="T109">
        <f>HYPERLINK("https://klasma.github.io/Logging_0188/kartor/A 31281-2022 karta.png", "A 31281-2022")</f>
        <v/>
      </c>
      <c r="V109">
        <f>HYPERLINK("https://klasma.github.io/Logging_0188/klagomål/A 31281-2022 FSC-klagomål.docx", "A 31281-2022")</f>
        <v/>
      </c>
      <c r="W109">
        <f>HYPERLINK("https://klasma.github.io/Logging_0188/klagomålsmail/A 31281-2022 FSC-klagomål mail.docx", "A 31281-2022")</f>
        <v/>
      </c>
      <c r="X109">
        <f>HYPERLINK("https://klasma.github.io/Logging_0188/tillsyn/A 31281-2022 tillsynsbegäran.docx", "A 31281-2022")</f>
        <v/>
      </c>
      <c r="Y109">
        <f>HYPERLINK("https://klasma.github.io/Logging_0188/tillsynsmail/A 31281-2022 tillsynsbegäran mail.docx", "A 31281-2022")</f>
        <v/>
      </c>
      <c r="Z109">
        <f>HYPERLINK("https://klasma.github.io/Logging_0188/fåglar/A 31281-2022 prioriterade fågelarter.docx", "A 31281-2022")</f>
        <v/>
      </c>
    </row>
    <row r="110" ht="15" customHeight="1">
      <c r="A110" t="inlineStr">
        <is>
          <t>A 52611-2024</t>
        </is>
      </c>
      <c r="B110" s="1" t="n">
        <v>45609.83747685186</v>
      </c>
      <c r="C110" s="1" t="n">
        <v>46189</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52508-2023</t>
        </is>
      </c>
      <c r="B111" s="1" t="n">
        <v>45225</v>
      </c>
      <c r="C111" s="1" t="n">
        <v>46189</v>
      </c>
      <c r="D111" t="inlineStr">
        <is>
          <t>STOCKHOLMS LÄN</t>
        </is>
      </c>
      <c r="E111" t="inlineStr">
        <is>
          <t>NORRTÄLJE</t>
        </is>
      </c>
      <c r="G111" t="n">
        <v>19.7</v>
      </c>
      <c r="H111" t="n">
        <v>1</v>
      </c>
      <c r="I111" t="n">
        <v>0</v>
      </c>
      <c r="J111" t="n">
        <v>0</v>
      </c>
      <c r="K111" t="n">
        <v>1</v>
      </c>
      <c r="L111" t="n">
        <v>0</v>
      </c>
      <c r="M111" t="n">
        <v>0</v>
      </c>
      <c r="N111" t="n">
        <v>0</v>
      </c>
      <c r="O111" t="n">
        <v>1</v>
      </c>
      <c r="P111" t="n">
        <v>1</v>
      </c>
      <c r="Q111" t="n">
        <v>1</v>
      </c>
      <c r="R111" s="2" t="inlineStr">
        <is>
          <t>Svärta</t>
        </is>
      </c>
      <c r="S111">
        <f>HYPERLINK("https://klasma.github.io/Logging_0188/artfynd/A 52508-2023 artfynd.xlsx", "A 52508-2023")</f>
        <v/>
      </c>
      <c r="T111">
        <f>HYPERLINK("https://klasma.github.io/Logging_0188/kartor/A 52508-2023 karta.png", "A 52508-2023")</f>
        <v/>
      </c>
      <c r="V111">
        <f>HYPERLINK("https://klasma.github.io/Logging_0188/klagomål/A 52508-2023 FSC-klagomål.docx", "A 52508-2023")</f>
        <v/>
      </c>
      <c r="W111">
        <f>HYPERLINK("https://klasma.github.io/Logging_0188/klagomålsmail/A 52508-2023 FSC-klagomål mail.docx", "A 52508-2023")</f>
        <v/>
      </c>
      <c r="X111">
        <f>HYPERLINK("https://klasma.github.io/Logging_0188/tillsyn/A 52508-2023 tillsynsbegäran.docx", "A 52508-2023")</f>
        <v/>
      </c>
      <c r="Y111">
        <f>HYPERLINK("https://klasma.github.io/Logging_0188/tillsynsmail/A 52508-2023 tillsynsbegäran mail.docx", "A 52508-2023")</f>
        <v/>
      </c>
    </row>
    <row r="112" ht="15" customHeight="1">
      <c r="A112" t="inlineStr">
        <is>
          <t>A 15886-2026</t>
        </is>
      </c>
      <c r="B112" s="1" t="n">
        <v>46107</v>
      </c>
      <c r="C112" s="1" t="n">
        <v>46189</v>
      </c>
      <c r="D112" t="inlineStr">
        <is>
          <t>STOCKHOLMS LÄN</t>
        </is>
      </c>
      <c r="E112" t="inlineStr">
        <is>
          <t>NORRTÄLJE</t>
        </is>
      </c>
      <c r="G112" t="n">
        <v>1.3</v>
      </c>
      <c r="H112" t="n">
        <v>1</v>
      </c>
      <c r="I112" t="n">
        <v>0</v>
      </c>
      <c r="J112" t="n">
        <v>0</v>
      </c>
      <c r="K112" t="n">
        <v>0</v>
      </c>
      <c r="L112" t="n">
        <v>1</v>
      </c>
      <c r="M112" t="n">
        <v>0</v>
      </c>
      <c r="N112" t="n">
        <v>0</v>
      </c>
      <c r="O112" t="n">
        <v>1</v>
      </c>
      <c r="P112" t="n">
        <v>1</v>
      </c>
      <c r="Q112" t="n">
        <v>1</v>
      </c>
      <c r="R112" s="2" t="inlineStr">
        <is>
          <t>Grönfink</t>
        </is>
      </c>
      <c r="S112">
        <f>HYPERLINK("https://klasma.github.io/Logging_0188/artfynd/A 15886-2026 artfynd.xlsx", "A 15886-2026")</f>
        <v/>
      </c>
      <c r="T112">
        <f>HYPERLINK("https://klasma.github.io/Logging_0188/kartor/A 15886-2026 karta.png", "A 15886-2026")</f>
        <v/>
      </c>
      <c r="V112">
        <f>HYPERLINK("https://klasma.github.io/Logging_0188/klagomål/A 15886-2026 FSC-klagomål.docx", "A 15886-2026")</f>
        <v/>
      </c>
      <c r="W112">
        <f>HYPERLINK("https://klasma.github.io/Logging_0188/klagomålsmail/A 15886-2026 FSC-klagomål mail.docx", "A 15886-2026")</f>
        <v/>
      </c>
      <c r="X112">
        <f>HYPERLINK("https://klasma.github.io/Logging_0188/tillsyn/A 15886-2026 tillsynsbegäran.docx", "A 15886-2026")</f>
        <v/>
      </c>
      <c r="Y112">
        <f>HYPERLINK("https://klasma.github.io/Logging_0188/tillsynsmail/A 15886-2026 tillsynsbegäran mail.docx", "A 15886-2026")</f>
        <v/>
      </c>
      <c r="Z112">
        <f>HYPERLINK("https://klasma.github.io/Logging_0188/fåglar/A 15886-2026 prioriterade fågelarter.docx", "A 15886-2026")</f>
        <v/>
      </c>
    </row>
    <row r="113" ht="15" customHeight="1">
      <c r="A113" t="inlineStr">
        <is>
          <t>A 21821-2026</t>
        </is>
      </c>
      <c r="B113" s="1" t="n">
        <v>46150.48150462963</v>
      </c>
      <c r="C113" s="1" t="n">
        <v>46189</v>
      </c>
      <c r="D113" t="inlineStr">
        <is>
          <t>STOCKHOLMS LÄN</t>
        </is>
      </c>
      <c r="E113" t="inlineStr">
        <is>
          <t>NORRTÄLJE</t>
        </is>
      </c>
      <c r="G113" t="n">
        <v>2.6</v>
      </c>
      <c r="H113" t="n">
        <v>1</v>
      </c>
      <c r="I113" t="n">
        <v>0</v>
      </c>
      <c r="J113" t="n">
        <v>0</v>
      </c>
      <c r="K113" t="n">
        <v>0</v>
      </c>
      <c r="L113" t="n">
        <v>1</v>
      </c>
      <c r="M113" t="n">
        <v>0</v>
      </c>
      <c r="N113" t="n">
        <v>0</v>
      </c>
      <c r="O113" t="n">
        <v>1</v>
      </c>
      <c r="P113" t="n">
        <v>1</v>
      </c>
      <c r="Q113" t="n">
        <v>1</v>
      </c>
      <c r="R113" s="2" t="inlineStr">
        <is>
          <t>Bredgentiana</t>
        </is>
      </c>
      <c r="S113">
        <f>HYPERLINK("https://klasma.github.io/Logging_0188/artfynd/A 21821-2026 artfynd.xlsx", "A 21821-2026")</f>
        <v/>
      </c>
      <c r="T113">
        <f>HYPERLINK("https://klasma.github.io/Logging_0188/kartor/A 21821-2026 karta.png", "A 21821-2026")</f>
        <v/>
      </c>
      <c r="V113">
        <f>HYPERLINK("https://klasma.github.io/Logging_0188/klagomål/A 21821-2026 FSC-klagomål.docx", "A 21821-2026")</f>
        <v/>
      </c>
      <c r="W113">
        <f>HYPERLINK("https://klasma.github.io/Logging_0188/klagomålsmail/A 21821-2026 FSC-klagomål mail.docx", "A 21821-2026")</f>
        <v/>
      </c>
      <c r="X113">
        <f>HYPERLINK("https://klasma.github.io/Logging_0188/tillsyn/A 21821-2026 tillsynsbegäran.docx", "A 21821-2026")</f>
        <v/>
      </c>
      <c r="Y113">
        <f>HYPERLINK("https://klasma.github.io/Logging_0188/tillsynsmail/A 21821-2026 tillsynsbegäran mail.docx", "A 21821-2026")</f>
        <v/>
      </c>
    </row>
    <row r="114" ht="15" customHeight="1">
      <c r="A114" t="inlineStr">
        <is>
          <t>A 48131-2023</t>
        </is>
      </c>
      <c r="B114" s="1" t="n">
        <v>45205</v>
      </c>
      <c r="C114" s="1" t="n">
        <v>46189</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27827-2022</t>
        </is>
      </c>
      <c r="B115" s="1" t="n">
        <v>44743.59504629629</v>
      </c>
      <c r="C115" s="1" t="n">
        <v>46189</v>
      </c>
      <c r="D115" t="inlineStr">
        <is>
          <t>STOCKHOLMS LÄN</t>
        </is>
      </c>
      <c r="E115" t="inlineStr">
        <is>
          <t>NORRTÄLJE</t>
        </is>
      </c>
      <c r="F115" t="inlineStr">
        <is>
          <t>Holmen skog AB</t>
        </is>
      </c>
      <c r="G115" t="n">
        <v>4.7</v>
      </c>
      <c r="H115" t="n">
        <v>1</v>
      </c>
      <c r="I115" t="n">
        <v>0</v>
      </c>
      <c r="J115" t="n">
        <v>1</v>
      </c>
      <c r="K115" t="n">
        <v>0</v>
      </c>
      <c r="L115" t="n">
        <v>0</v>
      </c>
      <c r="M115" t="n">
        <v>0</v>
      </c>
      <c r="N115" t="n">
        <v>0</v>
      </c>
      <c r="O115" t="n">
        <v>1</v>
      </c>
      <c r="P115" t="n">
        <v>0</v>
      </c>
      <c r="Q115" t="n">
        <v>1</v>
      </c>
      <c r="R115" s="2" t="inlineStr">
        <is>
          <t>Nordfladdermus</t>
        </is>
      </c>
      <c r="S115">
        <f>HYPERLINK("https://klasma.github.io/Logging_0188/artfynd/A 27827-2022 artfynd.xlsx", "A 27827-2022")</f>
        <v/>
      </c>
      <c r="T115">
        <f>HYPERLINK("https://klasma.github.io/Logging_0188/kartor/A 27827-2022 karta.png", "A 27827-2022")</f>
        <v/>
      </c>
      <c r="V115">
        <f>HYPERLINK("https://klasma.github.io/Logging_0188/klagomål/A 27827-2022 FSC-klagomål.docx", "A 27827-2022")</f>
        <v/>
      </c>
      <c r="W115">
        <f>HYPERLINK("https://klasma.github.io/Logging_0188/klagomålsmail/A 27827-2022 FSC-klagomål mail.docx", "A 27827-2022")</f>
        <v/>
      </c>
      <c r="X115">
        <f>HYPERLINK("https://klasma.github.io/Logging_0188/tillsyn/A 27827-2022 tillsynsbegäran.docx", "A 27827-2022")</f>
        <v/>
      </c>
      <c r="Y115">
        <f>HYPERLINK("https://klasma.github.io/Logging_0188/tillsynsmail/A 27827-2022 tillsynsbegäran mail.docx", "A 27827-2022")</f>
        <v/>
      </c>
    </row>
    <row r="116" ht="15" customHeight="1">
      <c r="A116" t="inlineStr">
        <is>
          <t>A 9955-2022</t>
        </is>
      </c>
      <c r="B116" s="1" t="n">
        <v>44620</v>
      </c>
      <c r="C116" s="1" t="n">
        <v>46189</v>
      </c>
      <c r="D116" t="inlineStr">
        <is>
          <t>STOCKHOLMS LÄN</t>
        </is>
      </c>
      <c r="E116" t="inlineStr">
        <is>
          <t>NORRTÄLJE</t>
        </is>
      </c>
      <c r="G116" t="n">
        <v>7.8</v>
      </c>
      <c r="H116" t="n">
        <v>1</v>
      </c>
      <c r="I116" t="n">
        <v>0</v>
      </c>
      <c r="J116" t="n">
        <v>0</v>
      </c>
      <c r="K116" t="n">
        <v>0</v>
      </c>
      <c r="L116" t="n">
        <v>0</v>
      </c>
      <c r="M116" t="n">
        <v>0</v>
      </c>
      <c r="N116" t="n">
        <v>0</v>
      </c>
      <c r="O116" t="n">
        <v>0</v>
      </c>
      <c r="P116" t="n">
        <v>0</v>
      </c>
      <c r="Q116" t="n">
        <v>1</v>
      </c>
      <c r="R116" s="2" t="inlineStr">
        <is>
          <t>Åkergroda</t>
        </is>
      </c>
      <c r="S116">
        <f>HYPERLINK("https://klasma.github.io/Logging_0188/artfynd/A 9955-2022 artfynd.xlsx", "A 9955-2022")</f>
        <v/>
      </c>
      <c r="T116">
        <f>HYPERLINK("https://klasma.github.io/Logging_0188/kartor/A 9955-2022 karta.png", "A 9955-2022")</f>
        <v/>
      </c>
      <c r="V116">
        <f>HYPERLINK("https://klasma.github.io/Logging_0188/klagomål/A 9955-2022 FSC-klagomål.docx", "A 9955-2022")</f>
        <v/>
      </c>
      <c r="W116">
        <f>HYPERLINK("https://klasma.github.io/Logging_0188/klagomålsmail/A 9955-2022 FSC-klagomål mail.docx", "A 9955-2022")</f>
        <v/>
      </c>
      <c r="X116">
        <f>HYPERLINK("https://klasma.github.io/Logging_0188/tillsyn/A 9955-2022 tillsynsbegäran.docx", "A 9955-2022")</f>
        <v/>
      </c>
      <c r="Y116">
        <f>HYPERLINK("https://klasma.github.io/Logging_0188/tillsynsmail/A 9955-2022 tillsynsbegäran mail.docx", "A 9955-2022")</f>
        <v/>
      </c>
    </row>
    <row r="117" ht="15" customHeight="1">
      <c r="A117" t="inlineStr">
        <is>
          <t>A 19355-2026</t>
        </is>
      </c>
      <c r="B117" s="1" t="n">
        <v>46133.49074074074</v>
      </c>
      <c r="C117" s="1" t="n">
        <v>46189</v>
      </c>
      <c r="D117" t="inlineStr">
        <is>
          <t>STOCKHOLMS LÄN</t>
        </is>
      </c>
      <c r="E117" t="inlineStr">
        <is>
          <t>NORRTÄLJE</t>
        </is>
      </c>
      <c r="G117" t="n">
        <v>22.5</v>
      </c>
      <c r="H117" t="n">
        <v>0</v>
      </c>
      <c r="I117" t="n">
        <v>1</v>
      </c>
      <c r="J117" t="n">
        <v>0</v>
      </c>
      <c r="K117" t="n">
        <v>0</v>
      </c>
      <c r="L117" t="n">
        <v>0</v>
      </c>
      <c r="M117" t="n">
        <v>0</v>
      </c>
      <c r="N117" t="n">
        <v>0</v>
      </c>
      <c r="O117" t="n">
        <v>0</v>
      </c>
      <c r="P117" t="n">
        <v>0</v>
      </c>
      <c r="Q117" t="n">
        <v>1</v>
      </c>
      <c r="R117" s="2" t="inlineStr">
        <is>
          <t>Mönjevaxing</t>
        </is>
      </c>
      <c r="S117">
        <f>HYPERLINK("https://klasma.github.io/Logging_0188/artfynd/A 19355-2026 artfynd.xlsx", "A 19355-2026")</f>
        <v/>
      </c>
      <c r="T117">
        <f>HYPERLINK("https://klasma.github.io/Logging_0188/kartor/A 19355-2026 karta.png", "A 19355-2026")</f>
        <v/>
      </c>
      <c r="V117">
        <f>HYPERLINK("https://klasma.github.io/Logging_0188/klagomål/A 19355-2026 FSC-klagomål.docx", "A 19355-2026")</f>
        <v/>
      </c>
      <c r="W117">
        <f>HYPERLINK("https://klasma.github.io/Logging_0188/klagomålsmail/A 19355-2026 FSC-klagomål mail.docx", "A 19355-2026")</f>
        <v/>
      </c>
      <c r="X117">
        <f>HYPERLINK("https://klasma.github.io/Logging_0188/tillsyn/A 19355-2026 tillsynsbegäran.docx", "A 19355-2026")</f>
        <v/>
      </c>
      <c r="Y117">
        <f>HYPERLINK("https://klasma.github.io/Logging_0188/tillsynsmail/A 19355-2026 tillsynsbegäran mail.docx", "A 19355-2026")</f>
        <v/>
      </c>
    </row>
    <row r="118" ht="15" customHeight="1">
      <c r="A118" t="inlineStr">
        <is>
          <t>A 23905-2025</t>
        </is>
      </c>
      <c r="B118" s="1" t="n">
        <v>45794.63298611111</v>
      </c>
      <c r="C118" s="1" t="n">
        <v>46189</v>
      </c>
      <c r="D118" t="inlineStr">
        <is>
          <t>STOCKHOLMS LÄN</t>
        </is>
      </c>
      <c r="E118" t="inlineStr">
        <is>
          <t>NORRTÄLJE</t>
        </is>
      </c>
      <c r="G118" t="n">
        <v>8.4</v>
      </c>
      <c r="H118" t="n">
        <v>1</v>
      </c>
      <c r="I118" t="n">
        <v>0</v>
      </c>
      <c r="J118" t="n">
        <v>0</v>
      </c>
      <c r="K118" t="n">
        <v>0</v>
      </c>
      <c r="L118" t="n">
        <v>0</v>
      </c>
      <c r="M118" t="n">
        <v>0</v>
      </c>
      <c r="N118" t="n">
        <v>0</v>
      </c>
      <c r="O118" t="n">
        <v>0</v>
      </c>
      <c r="P118" t="n">
        <v>0</v>
      </c>
      <c r="Q118" t="n">
        <v>1</v>
      </c>
      <c r="R118" s="2" t="inlineStr">
        <is>
          <t>Blåsippa</t>
        </is>
      </c>
      <c r="S118">
        <f>HYPERLINK("https://klasma.github.io/Logging_0188/artfynd/A 23905-2025 artfynd.xlsx", "A 23905-2025")</f>
        <v/>
      </c>
      <c r="T118">
        <f>HYPERLINK("https://klasma.github.io/Logging_0188/kartor/A 23905-2025 karta.png", "A 23905-2025")</f>
        <v/>
      </c>
      <c r="V118">
        <f>HYPERLINK("https://klasma.github.io/Logging_0188/klagomål/A 23905-2025 FSC-klagomål.docx", "A 23905-2025")</f>
        <v/>
      </c>
      <c r="W118">
        <f>HYPERLINK("https://klasma.github.io/Logging_0188/klagomålsmail/A 23905-2025 FSC-klagomål mail.docx", "A 23905-2025")</f>
        <v/>
      </c>
      <c r="X118">
        <f>HYPERLINK("https://klasma.github.io/Logging_0188/tillsyn/A 23905-2025 tillsynsbegäran.docx", "A 23905-2025")</f>
        <v/>
      </c>
      <c r="Y118">
        <f>HYPERLINK("https://klasma.github.io/Logging_0188/tillsynsmail/A 23905-2025 tillsynsbegäran mail.docx", "A 23905-2025")</f>
        <v/>
      </c>
    </row>
    <row r="119" ht="15" customHeight="1">
      <c r="A119" t="inlineStr">
        <is>
          <t>A 16870-2025</t>
        </is>
      </c>
      <c r="B119" s="1" t="n">
        <v>45754</v>
      </c>
      <c r="C119" s="1" t="n">
        <v>46189</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35649-2023</t>
        </is>
      </c>
      <c r="B120" s="1" t="n">
        <v>45146</v>
      </c>
      <c r="C120" s="1" t="n">
        <v>46189</v>
      </c>
      <c r="D120" t="inlineStr">
        <is>
          <t>STOCKHOLMS LÄN</t>
        </is>
      </c>
      <c r="E120" t="inlineStr">
        <is>
          <t>NORRTÄLJE</t>
        </is>
      </c>
      <c r="G120" t="n">
        <v>25.1</v>
      </c>
      <c r="H120" t="n">
        <v>0</v>
      </c>
      <c r="I120" t="n">
        <v>0</v>
      </c>
      <c r="J120" t="n">
        <v>1</v>
      </c>
      <c r="K120" t="n">
        <v>0</v>
      </c>
      <c r="L120" t="n">
        <v>0</v>
      </c>
      <c r="M120" t="n">
        <v>0</v>
      </c>
      <c r="N120" t="n">
        <v>0</v>
      </c>
      <c r="O120" t="n">
        <v>1</v>
      </c>
      <c r="P120" t="n">
        <v>0</v>
      </c>
      <c r="Q120" t="n">
        <v>1</v>
      </c>
      <c r="R120" s="2" t="inlineStr">
        <is>
          <t>Månlåsbräken</t>
        </is>
      </c>
      <c r="S120">
        <f>HYPERLINK("https://klasma.github.io/Logging_0188/artfynd/A 35649-2023 artfynd.xlsx", "A 35649-2023")</f>
        <v/>
      </c>
      <c r="T120">
        <f>HYPERLINK("https://klasma.github.io/Logging_0188/kartor/A 35649-2023 karta.png", "A 35649-2023")</f>
        <v/>
      </c>
      <c r="V120">
        <f>HYPERLINK("https://klasma.github.io/Logging_0188/klagomål/A 35649-2023 FSC-klagomål.docx", "A 35649-2023")</f>
        <v/>
      </c>
      <c r="W120">
        <f>HYPERLINK("https://klasma.github.io/Logging_0188/klagomålsmail/A 35649-2023 FSC-klagomål mail.docx", "A 35649-2023")</f>
        <v/>
      </c>
      <c r="X120">
        <f>HYPERLINK("https://klasma.github.io/Logging_0188/tillsyn/A 35649-2023 tillsynsbegäran.docx", "A 35649-2023")</f>
        <v/>
      </c>
      <c r="Y120">
        <f>HYPERLINK("https://klasma.github.io/Logging_0188/tillsynsmail/A 35649-2023 tillsynsbegäran mail.docx", "A 35649-2023")</f>
        <v/>
      </c>
    </row>
    <row r="121" ht="15" customHeight="1">
      <c r="A121" t="inlineStr">
        <is>
          <t>A 25911-2026</t>
        </is>
      </c>
      <c r="B121" s="1" t="n">
        <v>46178.71341435185</v>
      </c>
      <c r="C121" s="1" t="n">
        <v>46189</v>
      </c>
      <c r="D121" t="inlineStr">
        <is>
          <t>STOCKHOLMS LÄN</t>
        </is>
      </c>
      <c r="E121" t="inlineStr">
        <is>
          <t>NORRTÄLJE</t>
        </is>
      </c>
      <c r="G121" t="n">
        <v>11.3</v>
      </c>
      <c r="H121" t="n">
        <v>1</v>
      </c>
      <c r="I121" t="n">
        <v>0</v>
      </c>
      <c r="J121" t="n">
        <v>1</v>
      </c>
      <c r="K121" t="n">
        <v>0</v>
      </c>
      <c r="L121" t="n">
        <v>0</v>
      </c>
      <c r="M121" t="n">
        <v>0</v>
      </c>
      <c r="N121" t="n">
        <v>0</v>
      </c>
      <c r="O121" t="n">
        <v>1</v>
      </c>
      <c r="P121" t="n">
        <v>0</v>
      </c>
      <c r="Q121" t="n">
        <v>1</v>
      </c>
      <c r="R121" s="2" t="inlineStr">
        <is>
          <t>Talltita</t>
        </is>
      </c>
      <c r="S121">
        <f>HYPERLINK("https://klasma.github.io/Logging_0188/artfynd/A 25911-2026 artfynd.xlsx", "A 25911-2026")</f>
        <v/>
      </c>
      <c r="T121">
        <f>HYPERLINK("https://klasma.github.io/Logging_0188/kartor/A 25911-2026 karta.png", "A 25911-2026")</f>
        <v/>
      </c>
      <c r="V121">
        <f>HYPERLINK("https://klasma.github.io/Logging_0188/klagomål/A 25911-2026 FSC-klagomål.docx", "A 25911-2026")</f>
        <v/>
      </c>
      <c r="W121">
        <f>HYPERLINK("https://klasma.github.io/Logging_0188/klagomålsmail/A 25911-2026 FSC-klagomål mail.docx", "A 25911-2026")</f>
        <v/>
      </c>
      <c r="X121">
        <f>HYPERLINK("https://klasma.github.io/Logging_0188/tillsyn/A 25911-2026 tillsynsbegäran.docx", "A 25911-2026")</f>
        <v/>
      </c>
      <c r="Y121">
        <f>HYPERLINK("https://klasma.github.io/Logging_0188/tillsynsmail/A 25911-2026 tillsynsbegäran mail.docx", "A 25911-2026")</f>
        <v/>
      </c>
      <c r="Z121">
        <f>HYPERLINK("https://klasma.github.io/Logging_0188/fåglar/A 25911-2026 prioriterade fågelarter.docx", "A 25911-2026")</f>
        <v/>
      </c>
    </row>
    <row r="122" ht="15" customHeight="1">
      <c r="A122" t="inlineStr">
        <is>
          <t>A 35764-2024</t>
        </is>
      </c>
      <c r="B122" s="1" t="n">
        <v>45532</v>
      </c>
      <c r="C122" s="1" t="n">
        <v>46189</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46189</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25916-2026</t>
        </is>
      </c>
      <c r="B124" s="1" t="n">
        <v>46178.73321759259</v>
      </c>
      <c r="C124" s="1" t="n">
        <v>46189</v>
      </c>
      <c r="D124" t="inlineStr">
        <is>
          <t>STOCKHOLMS LÄN</t>
        </is>
      </c>
      <c r="E124" t="inlineStr">
        <is>
          <t>NORRTÄLJE</t>
        </is>
      </c>
      <c r="G124" t="n">
        <v>9.5</v>
      </c>
      <c r="H124" t="n">
        <v>0</v>
      </c>
      <c r="I124" t="n">
        <v>0</v>
      </c>
      <c r="J124" t="n">
        <v>0</v>
      </c>
      <c r="K124" t="n">
        <v>1</v>
      </c>
      <c r="L124" t="n">
        <v>0</v>
      </c>
      <c r="M124" t="n">
        <v>0</v>
      </c>
      <c r="N124" t="n">
        <v>0</v>
      </c>
      <c r="O124" t="n">
        <v>1</v>
      </c>
      <c r="P124" t="n">
        <v>1</v>
      </c>
      <c r="Q124" t="n">
        <v>1</v>
      </c>
      <c r="R124" s="2" t="inlineStr">
        <is>
          <t>Violgubbe</t>
        </is>
      </c>
      <c r="S124">
        <f>HYPERLINK("https://klasma.github.io/Logging_0188/artfynd/A 25916-2026 artfynd.xlsx", "A 25916-2026")</f>
        <v/>
      </c>
      <c r="T124">
        <f>HYPERLINK("https://klasma.github.io/Logging_0188/kartor/A 25916-2026 karta.png", "A 25916-2026")</f>
        <v/>
      </c>
      <c r="V124">
        <f>HYPERLINK("https://klasma.github.io/Logging_0188/klagomål/A 25916-2026 FSC-klagomål.docx", "A 25916-2026")</f>
        <v/>
      </c>
      <c r="W124">
        <f>HYPERLINK("https://klasma.github.io/Logging_0188/klagomålsmail/A 25916-2026 FSC-klagomål mail.docx", "A 25916-2026")</f>
        <v/>
      </c>
      <c r="X124">
        <f>HYPERLINK("https://klasma.github.io/Logging_0188/tillsyn/A 25916-2026 tillsynsbegäran.docx", "A 25916-2026")</f>
        <v/>
      </c>
      <c r="Y124">
        <f>HYPERLINK("https://klasma.github.io/Logging_0188/tillsynsmail/A 25916-2026 tillsynsbegäran mail.docx", "A 25916-2026")</f>
        <v/>
      </c>
    </row>
    <row r="125" ht="15" customHeight="1">
      <c r="A125" t="inlineStr">
        <is>
          <t>A 6381-2023</t>
        </is>
      </c>
      <c r="B125" s="1" t="n">
        <v>44965</v>
      </c>
      <c r="C125" s="1" t="n">
        <v>46189</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29946-2025</t>
        </is>
      </c>
      <c r="B126" s="1" t="n">
        <v>45826.46392361111</v>
      </c>
      <c r="C126" s="1" t="n">
        <v>46189</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63292-2025</t>
        </is>
      </c>
      <c r="B127" s="1" t="n">
        <v>46010.59232638889</v>
      </c>
      <c r="C127" s="1" t="n">
        <v>46189</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33546-2025</t>
        </is>
      </c>
      <c r="B128" s="1" t="n">
        <v>45841.56996527778</v>
      </c>
      <c r="C128" s="1" t="n">
        <v>46189</v>
      </c>
      <c r="D128" t="inlineStr">
        <is>
          <t>STOCKHOLMS LÄN</t>
        </is>
      </c>
      <c r="E128" t="inlineStr">
        <is>
          <t>NORRTÄLJE</t>
        </is>
      </c>
      <c r="G128" t="n">
        <v>7.2</v>
      </c>
      <c r="H128" t="n">
        <v>1</v>
      </c>
      <c r="I128" t="n">
        <v>1</v>
      </c>
      <c r="J128" t="n">
        <v>0</v>
      </c>
      <c r="K128" t="n">
        <v>0</v>
      </c>
      <c r="L128" t="n">
        <v>0</v>
      </c>
      <c r="M128" t="n">
        <v>0</v>
      </c>
      <c r="N128" t="n">
        <v>0</v>
      </c>
      <c r="O128" t="n">
        <v>0</v>
      </c>
      <c r="P128" t="n">
        <v>0</v>
      </c>
      <c r="Q128" t="n">
        <v>1</v>
      </c>
      <c r="R128" s="2" t="inlineStr">
        <is>
          <t>Nästrot</t>
        </is>
      </c>
      <c r="S128">
        <f>HYPERLINK("https://klasma.github.io/Logging_0188/artfynd/A 33546-2025 artfynd.xlsx", "A 33546-2025")</f>
        <v/>
      </c>
      <c r="T128">
        <f>HYPERLINK("https://klasma.github.io/Logging_0188/kartor/A 33546-2025 karta.png", "A 33546-2025")</f>
        <v/>
      </c>
      <c r="V128">
        <f>HYPERLINK("https://klasma.github.io/Logging_0188/klagomål/A 33546-2025 FSC-klagomål.docx", "A 33546-2025")</f>
        <v/>
      </c>
      <c r="W128">
        <f>HYPERLINK("https://klasma.github.io/Logging_0188/klagomålsmail/A 33546-2025 FSC-klagomål mail.docx", "A 33546-2025")</f>
        <v/>
      </c>
      <c r="X128">
        <f>HYPERLINK("https://klasma.github.io/Logging_0188/tillsyn/A 33546-2025 tillsynsbegäran.docx", "A 33546-2025")</f>
        <v/>
      </c>
      <c r="Y128">
        <f>HYPERLINK("https://klasma.github.io/Logging_0188/tillsynsmail/A 33546-2025 tillsynsbegäran mail.docx", "A 33546-2025")</f>
        <v/>
      </c>
    </row>
    <row r="129" ht="15" customHeight="1">
      <c r="A129" t="inlineStr">
        <is>
          <t>A 7734-2026</t>
        </is>
      </c>
      <c r="B129" s="1" t="n">
        <v>46062.52902777777</v>
      </c>
      <c r="C129" s="1" t="n">
        <v>46189</v>
      </c>
      <c r="D129" t="inlineStr">
        <is>
          <t>STOCKHOLMS LÄN</t>
        </is>
      </c>
      <c r="E129" t="inlineStr">
        <is>
          <t>NORRTÄLJE</t>
        </is>
      </c>
      <c r="G129" t="n">
        <v>6.6</v>
      </c>
      <c r="H129" t="n">
        <v>0</v>
      </c>
      <c r="I129" t="n">
        <v>1</v>
      </c>
      <c r="J129" t="n">
        <v>0</v>
      </c>
      <c r="K129" t="n">
        <v>0</v>
      </c>
      <c r="L129" t="n">
        <v>0</v>
      </c>
      <c r="M129" t="n">
        <v>0</v>
      </c>
      <c r="N129" t="n">
        <v>0</v>
      </c>
      <c r="O129" t="n">
        <v>0</v>
      </c>
      <c r="P129" t="n">
        <v>0</v>
      </c>
      <c r="Q129" t="n">
        <v>1</v>
      </c>
      <c r="R129" s="2" t="inlineStr">
        <is>
          <t>Kastanjefjällskivling</t>
        </is>
      </c>
      <c r="S129">
        <f>HYPERLINK("https://klasma.github.io/Logging_0188/artfynd/A 7734-2026 artfynd.xlsx", "A 7734-2026")</f>
        <v/>
      </c>
      <c r="T129">
        <f>HYPERLINK("https://klasma.github.io/Logging_0188/kartor/A 7734-2026 karta.png", "A 7734-2026")</f>
        <v/>
      </c>
      <c r="V129">
        <f>HYPERLINK("https://klasma.github.io/Logging_0188/klagomål/A 7734-2026 FSC-klagomål.docx", "A 7734-2026")</f>
        <v/>
      </c>
      <c r="W129">
        <f>HYPERLINK("https://klasma.github.io/Logging_0188/klagomålsmail/A 7734-2026 FSC-klagomål mail.docx", "A 7734-2026")</f>
        <v/>
      </c>
      <c r="X129">
        <f>HYPERLINK("https://klasma.github.io/Logging_0188/tillsyn/A 7734-2026 tillsynsbegäran.docx", "A 7734-2026")</f>
        <v/>
      </c>
      <c r="Y129">
        <f>HYPERLINK("https://klasma.github.io/Logging_0188/tillsynsmail/A 7734-2026 tillsynsbegäran mail.docx", "A 7734-2026")</f>
        <v/>
      </c>
    </row>
    <row r="130" ht="15" customHeight="1">
      <c r="A130" t="inlineStr">
        <is>
          <t>A 26399-2026</t>
        </is>
      </c>
      <c r="B130" s="1" t="n">
        <v>46183</v>
      </c>
      <c r="C130" s="1" t="n">
        <v>46189</v>
      </c>
      <c r="D130" t="inlineStr">
        <is>
          <t>STOCKHOLMS LÄN</t>
        </is>
      </c>
      <c r="E130" t="inlineStr">
        <is>
          <t>NORRTÄLJE</t>
        </is>
      </c>
      <c r="G130" t="n">
        <v>7.4</v>
      </c>
      <c r="H130" t="n">
        <v>0</v>
      </c>
      <c r="I130" t="n">
        <v>1</v>
      </c>
      <c r="J130" t="n">
        <v>0</v>
      </c>
      <c r="K130" t="n">
        <v>0</v>
      </c>
      <c r="L130" t="n">
        <v>0</v>
      </c>
      <c r="M130" t="n">
        <v>0</v>
      </c>
      <c r="N130" t="n">
        <v>0</v>
      </c>
      <c r="O130" t="n">
        <v>0</v>
      </c>
      <c r="P130" t="n">
        <v>0</v>
      </c>
      <c r="Q130" t="n">
        <v>1</v>
      </c>
      <c r="R130" s="2" t="inlineStr">
        <is>
          <t>Stor aspticka</t>
        </is>
      </c>
      <c r="S130">
        <f>HYPERLINK("https://klasma.github.io/Logging_0188/artfynd/A 26399-2026 artfynd.xlsx", "A 26399-2026")</f>
        <v/>
      </c>
      <c r="T130">
        <f>HYPERLINK("https://klasma.github.io/Logging_0188/kartor/A 26399-2026 karta.png", "A 26399-2026")</f>
        <v/>
      </c>
      <c r="V130">
        <f>HYPERLINK("https://klasma.github.io/Logging_0188/klagomål/A 26399-2026 FSC-klagomål.docx", "A 26399-2026")</f>
        <v/>
      </c>
      <c r="W130">
        <f>HYPERLINK("https://klasma.github.io/Logging_0188/klagomålsmail/A 26399-2026 FSC-klagomål mail.docx", "A 26399-2026")</f>
        <v/>
      </c>
      <c r="X130">
        <f>HYPERLINK("https://klasma.github.io/Logging_0188/tillsyn/A 26399-2026 tillsynsbegäran.docx", "A 26399-2026")</f>
        <v/>
      </c>
      <c r="Y130">
        <f>HYPERLINK("https://klasma.github.io/Logging_0188/tillsynsmail/A 26399-2026 tillsynsbegäran mail.docx", "A 26399-2026")</f>
        <v/>
      </c>
    </row>
    <row r="131" ht="15" customHeight="1">
      <c r="A131" t="inlineStr">
        <is>
          <t>A 26415-2026</t>
        </is>
      </c>
      <c r="B131" s="1" t="n">
        <v>46183.41864583334</v>
      </c>
      <c r="C131" s="1" t="n">
        <v>46189</v>
      </c>
      <c r="D131" t="inlineStr">
        <is>
          <t>STOCKHOLMS LÄN</t>
        </is>
      </c>
      <c r="E131" t="inlineStr">
        <is>
          <t>NORRTÄLJE</t>
        </is>
      </c>
      <c r="G131" t="n">
        <v>2.3</v>
      </c>
      <c r="H131" t="n">
        <v>1</v>
      </c>
      <c r="I131" t="n">
        <v>1</v>
      </c>
      <c r="J131" t="n">
        <v>0</v>
      </c>
      <c r="K131" t="n">
        <v>0</v>
      </c>
      <c r="L131" t="n">
        <v>0</v>
      </c>
      <c r="M131" t="n">
        <v>0</v>
      </c>
      <c r="N131" t="n">
        <v>0</v>
      </c>
      <c r="O131" t="n">
        <v>0</v>
      </c>
      <c r="P131" t="n">
        <v>0</v>
      </c>
      <c r="Q131" t="n">
        <v>1</v>
      </c>
      <c r="R131" s="2" t="inlineStr">
        <is>
          <t>Korallrot</t>
        </is>
      </c>
      <c r="S131">
        <f>HYPERLINK("https://klasma.github.io/Logging_0188/artfynd/A 26415-2026 artfynd.xlsx", "A 26415-2026")</f>
        <v/>
      </c>
      <c r="T131">
        <f>HYPERLINK("https://klasma.github.io/Logging_0188/kartor/A 26415-2026 karta.png", "A 26415-2026")</f>
        <v/>
      </c>
      <c r="V131">
        <f>HYPERLINK("https://klasma.github.io/Logging_0188/klagomål/A 26415-2026 FSC-klagomål.docx", "A 26415-2026")</f>
        <v/>
      </c>
      <c r="W131">
        <f>HYPERLINK("https://klasma.github.io/Logging_0188/klagomålsmail/A 26415-2026 FSC-klagomål mail.docx", "A 26415-2026")</f>
        <v/>
      </c>
      <c r="X131">
        <f>HYPERLINK("https://klasma.github.io/Logging_0188/tillsyn/A 26415-2026 tillsynsbegäran.docx", "A 26415-2026")</f>
        <v/>
      </c>
      <c r="Y131">
        <f>HYPERLINK("https://klasma.github.io/Logging_0188/tillsynsmail/A 26415-2026 tillsynsbegäran mail.docx", "A 26415-2026")</f>
        <v/>
      </c>
    </row>
    <row r="132" ht="15" customHeight="1">
      <c r="A132" t="inlineStr">
        <is>
          <t>A 8371-2025</t>
        </is>
      </c>
      <c r="B132" s="1" t="n">
        <v>45708</v>
      </c>
      <c r="C132" s="1" t="n">
        <v>46189</v>
      </c>
      <c r="D132" t="inlineStr">
        <is>
          <t>STOCKHOLMS LÄN</t>
        </is>
      </c>
      <c r="E132" t="inlineStr">
        <is>
          <t>NORRTÄLJE</t>
        </is>
      </c>
      <c r="F132" t="inlineStr">
        <is>
          <t>Övriga Aktiebolag</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HYPERLINK("https://klasma.github.io/Logging_0188/artfynd/A 8371-2025 artfynd.xlsx", "A 8371-2025")</f>
        <v/>
      </c>
      <c r="T132">
        <f>HYPERLINK("https://klasma.github.io/Logging_0188/kartor/A 8371-2025 karta.png", "A 8371-2025")</f>
        <v/>
      </c>
      <c r="V132">
        <f>HYPERLINK("https://klasma.github.io/Logging_0188/klagomål/A 8371-2025 FSC-klagomål.docx", "A 8371-2025")</f>
        <v/>
      </c>
      <c r="W132">
        <f>HYPERLINK("https://klasma.github.io/Logging_0188/klagomålsmail/A 8371-2025 FSC-klagomål mail.docx", "A 8371-2025")</f>
        <v/>
      </c>
      <c r="X132">
        <f>HYPERLINK("https://klasma.github.io/Logging_0188/tillsyn/A 8371-2025 tillsynsbegäran.docx", "A 8371-2025")</f>
        <v/>
      </c>
      <c r="Y132">
        <f>HYPERLINK("https://klasma.github.io/Logging_0188/tillsynsmail/A 8371-2025 tillsynsbegäran mail.docx", "A 8371-2025")</f>
        <v/>
      </c>
      <c r="Z132">
        <f>HYPERLINK("https://klasma.github.io/Logging_0188/fåglar/A 8371-2025 prioriterade fågelarter.docx", "A 8371-2025")</f>
        <v/>
      </c>
    </row>
    <row r="133" ht="15" customHeight="1">
      <c r="A133" t="inlineStr">
        <is>
          <t>A 12877-2022</t>
        </is>
      </c>
      <c r="B133" s="1" t="n">
        <v>44642</v>
      </c>
      <c r="C133" s="1" t="n">
        <v>46189</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71543-2021</t>
        </is>
      </c>
      <c r="B134" s="1" t="n">
        <v>44540</v>
      </c>
      <c r="C134" s="1" t="n">
        <v>46189</v>
      </c>
      <c r="D134" t="inlineStr">
        <is>
          <t>STOCKHOLMS LÄN</t>
        </is>
      </c>
      <c r="E134" t="inlineStr">
        <is>
          <t>NORRTÄLJE</t>
        </is>
      </c>
      <c r="G134" t="n">
        <v>1.8</v>
      </c>
      <c r="H134" t="n">
        <v>0</v>
      </c>
      <c r="I134" t="n">
        <v>0</v>
      </c>
      <c r="J134" t="n">
        <v>0</v>
      </c>
      <c r="K134" t="n">
        <v>0</v>
      </c>
      <c r="L134" t="n">
        <v>0</v>
      </c>
      <c r="M134" t="n">
        <v>0</v>
      </c>
      <c r="N134" t="n">
        <v>0</v>
      </c>
      <c r="O134" t="n">
        <v>0</v>
      </c>
      <c r="P134" t="n">
        <v>0</v>
      </c>
      <c r="Q134" t="n">
        <v>0</v>
      </c>
      <c r="R134" s="2" t="inlineStr"/>
    </row>
    <row r="135" ht="15" customHeight="1">
      <c r="A135" t="inlineStr">
        <is>
          <t>A 14036-2022</t>
        </is>
      </c>
      <c r="B135" s="1" t="n">
        <v>44650.8699537037</v>
      </c>
      <c r="C135" s="1" t="n">
        <v>46189</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47344-2021</t>
        </is>
      </c>
      <c r="B136" s="1" t="n">
        <v>44447</v>
      </c>
      <c r="C136" s="1" t="n">
        <v>46189</v>
      </c>
      <c r="D136" t="inlineStr">
        <is>
          <t>STOCKHOLMS LÄN</t>
        </is>
      </c>
      <c r="E136" t="inlineStr">
        <is>
          <t>NORRTÄLJE</t>
        </is>
      </c>
      <c r="G136" t="n">
        <v>3.3</v>
      </c>
      <c r="H136" t="n">
        <v>0</v>
      </c>
      <c r="I136" t="n">
        <v>0</v>
      </c>
      <c r="J136" t="n">
        <v>0</v>
      </c>
      <c r="K136" t="n">
        <v>0</v>
      </c>
      <c r="L136" t="n">
        <v>0</v>
      </c>
      <c r="M136" t="n">
        <v>0</v>
      </c>
      <c r="N136" t="n">
        <v>0</v>
      </c>
      <c r="O136" t="n">
        <v>0</v>
      </c>
      <c r="P136" t="n">
        <v>0</v>
      </c>
      <c r="Q136" t="n">
        <v>0</v>
      </c>
      <c r="R136" s="2" t="inlineStr"/>
    </row>
    <row r="137" ht="15" customHeight="1">
      <c r="A137" t="inlineStr">
        <is>
          <t>A 43036-2022</t>
        </is>
      </c>
      <c r="B137" s="1" t="n">
        <v>44833</v>
      </c>
      <c r="C137" s="1" t="n">
        <v>46189</v>
      </c>
      <c r="D137" t="inlineStr">
        <is>
          <t>STOCKHOLMS LÄN</t>
        </is>
      </c>
      <c r="E137" t="inlineStr">
        <is>
          <t>NORRTÄLJE</t>
        </is>
      </c>
      <c r="F137" t="inlineStr">
        <is>
          <t>Kyrkan</t>
        </is>
      </c>
      <c r="G137" t="n">
        <v>1.7</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46189</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46189</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46189</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24977-2022</t>
        </is>
      </c>
      <c r="B141" s="1" t="n">
        <v>44728.73465277778</v>
      </c>
      <c r="C141" s="1" t="n">
        <v>46189</v>
      </c>
      <c r="D141" t="inlineStr">
        <is>
          <t>STOCKHOLMS LÄN</t>
        </is>
      </c>
      <c r="E141" t="inlineStr">
        <is>
          <t>NORRTÄLJE</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37815-2022</t>
        </is>
      </c>
      <c r="B142" s="1" t="n">
        <v>44810.85092592592</v>
      </c>
      <c r="C142" s="1" t="n">
        <v>46189</v>
      </c>
      <c r="D142" t="inlineStr">
        <is>
          <t>STOCKHOLMS LÄN</t>
        </is>
      </c>
      <c r="E142" t="inlineStr">
        <is>
          <t>NORRTÄLJE</t>
        </is>
      </c>
      <c r="G142" t="n">
        <v>1.3</v>
      </c>
      <c r="H142" t="n">
        <v>0</v>
      </c>
      <c r="I142" t="n">
        <v>0</v>
      </c>
      <c r="J142" t="n">
        <v>0</v>
      </c>
      <c r="K142" t="n">
        <v>0</v>
      </c>
      <c r="L142" t="n">
        <v>0</v>
      </c>
      <c r="M142" t="n">
        <v>0</v>
      </c>
      <c r="N142" t="n">
        <v>0</v>
      </c>
      <c r="O142" t="n">
        <v>0</v>
      </c>
      <c r="P142" t="n">
        <v>0</v>
      </c>
      <c r="Q142" t="n">
        <v>0</v>
      </c>
      <c r="R142" s="2" t="inlineStr"/>
    </row>
    <row r="143" ht="15" customHeight="1">
      <c r="A143" t="inlineStr">
        <is>
          <t>A 73855-2021</t>
        </is>
      </c>
      <c r="B143" s="1" t="n">
        <v>44552</v>
      </c>
      <c r="C143" s="1" t="n">
        <v>46189</v>
      </c>
      <c r="D143" t="inlineStr">
        <is>
          <t>STOCKHOLMS LÄN</t>
        </is>
      </c>
      <c r="E143" t="inlineStr">
        <is>
          <t>NORRTÄLJE</t>
        </is>
      </c>
      <c r="F143" t="inlineStr">
        <is>
          <t>Övriga Aktiebolag</t>
        </is>
      </c>
      <c r="G143" t="n">
        <v>4</v>
      </c>
      <c r="H143" t="n">
        <v>0</v>
      </c>
      <c r="I143" t="n">
        <v>0</v>
      </c>
      <c r="J143" t="n">
        <v>0</v>
      </c>
      <c r="K143" t="n">
        <v>0</v>
      </c>
      <c r="L143" t="n">
        <v>0</v>
      </c>
      <c r="M143" t="n">
        <v>0</v>
      </c>
      <c r="N143" t="n">
        <v>0</v>
      </c>
      <c r="O143" t="n">
        <v>0</v>
      </c>
      <c r="P143" t="n">
        <v>0</v>
      </c>
      <c r="Q143" t="n">
        <v>0</v>
      </c>
      <c r="R143" s="2" t="inlineStr"/>
    </row>
    <row r="144" ht="15" customHeight="1">
      <c r="A144" t="inlineStr">
        <is>
          <t>A 11821-2022</t>
        </is>
      </c>
      <c r="B144" s="1" t="n">
        <v>44634</v>
      </c>
      <c r="C144" s="1" t="n">
        <v>46189</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2977-2022</t>
        </is>
      </c>
      <c r="B145" s="1" t="n">
        <v>44581.75819444445</v>
      </c>
      <c r="C145" s="1" t="n">
        <v>46189</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74468-2021</t>
        </is>
      </c>
      <c r="B146" s="1" t="n">
        <v>44560</v>
      </c>
      <c r="C146" s="1" t="n">
        <v>46189</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31283-2022</t>
        </is>
      </c>
      <c r="B147" s="1" t="n">
        <v>44771</v>
      </c>
      <c r="C147" s="1" t="n">
        <v>46189</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56225-2021</t>
        </is>
      </c>
      <c r="B148" s="1" t="n">
        <v>44477.94327546296</v>
      </c>
      <c r="C148" s="1" t="n">
        <v>46189</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34436-2021</t>
        </is>
      </c>
      <c r="B149" s="1" t="n">
        <v>44380</v>
      </c>
      <c r="C149" s="1" t="n">
        <v>46189</v>
      </c>
      <c r="D149" t="inlineStr">
        <is>
          <t>STOCKHOLMS LÄN</t>
        </is>
      </c>
      <c r="E149" t="inlineStr">
        <is>
          <t>NORRTÄLJE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67525-2021</t>
        </is>
      </c>
      <c r="B150" s="1" t="n">
        <v>44524</v>
      </c>
      <c r="C150" s="1" t="n">
        <v>46189</v>
      </c>
      <c r="D150" t="inlineStr">
        <is>
          <t>STOCKHOLMS LÄN</t>
        </is>
      </c>
      <c r="E150" t="inlineStr">
        <is>
          <t>NORRTÄLJE</t>
        </is>
      </c>
      <c r="G150" t="n">
        <v>0.8</v>
      </c>
      <c r="H150" t="n">
        <v>0</v>
      </c>
      <c r="I150" t="n">
        <v>0</v>
      </c>
      <c r="J150" t="n">
        <v>0</v>
      </c>
      <c r="K150" t="n">
        <v>0</v>
      </c>
      <c r="L150" t="n">
        <v>0</v>
      </c>
      <c r="M150" t="n">
        <v>0</v>
      </c>
      <c r="N150" t="n">
        <v>0</v>
      </c>
      <c r="O150" t="n">
        <v>0</v>
      </c>
      <c r="P150" t="n">
        <v>0</v>
      </c>
      <c r="Q150" t="n">
        <v>0</v>
      </c>
      <c r="R150" s="2" t="inlineStr"/>
    </row>
    <row r="151" ht="15" customHeight="1">
      <c r="A151" t="inlineStr">
        <is>
          <t>A 65737-2021</t>
        </is>
      </c>
      <c r="B151" s="1" t="n">
        <v>44516.72827546296</v>
      </c>
      <c r="C151" s="1" t="n">
        <v>46189</v>
      </c>
      <c r="D151" t="inlineStr">
        <is>
          <t>STOCKHOLMS LÄN</t>
        </is>
      </c>
      <c r="E151" t="inlineStr">
        <is>
          <t>NORRTÄLJE</t>
        </is>
      </c>
      <c r="G151" t="n">
        <v>3</v>
      </c>
      <c r="H151" t="n">
        <v>0</v>
      </c>
      <c r="I151" t="n">
        <v>0</v>
      </c>
      <c r="J151" t="n">
        <v>0</v>
      </c>
      <c r="K151" t="n">
        <v>0</v>
      </c>
      <c r="L151" t="n">
        <v>0</v>
      </c>
      <c r="M151" t="n">
        <v>0</v>
      </c>
      <c r="N151" t="n">
        <v>0</v>
      </c>
      <c r="O151" t="n">
        <v>0</v>
      </c>
      <c r="P151" t="n">
        <v>0</v>
      </c>
      <c r="Q151" t="n">
        <v>0</v>
      </c>
      <c r="R151" s="2" t="inlineStr"/>
    </row>
    <row r="152" ht="15" customHeight="1">
      <c r="A152" t="inlineStr">
        <is>
          <t>A 1704-2022</t>
        </is>
      </c>
      <c r="B152" s="1" t="n">
        <v>44574.42978009259</v>
      </c>
      <c r="C152" s="1" t="n">
        <v>46189</v>
      </c>
      <c r="D152" t="inlineStr">
        <is>
          <t>STOCKHOLMS LÄN</t>
        </is>
      </c>
      <c r="E152" t="inlineStr">
        <is>
          <t>NORRTÄLJE</t>
        </is>
      </c>
      <c r="G152" t="n">
        <v>6.2</v>
      </c>
      <c r="H152" t="n">
        <v>0</v>
      </c>
      <c r="I152" t="n">
        <v>0</v>
      </c>
      <c r="J152" t="n">
        <v>0</v>
      </c>
      <c r="K152" t="n">
        <v>0</v>
      </c>
      <c r="L152" t="n">
        <v>0</v>
      </c>
      <c r="M152" t="n">
        <v>0</v>
      </c>
      <c r="N152" t="n">
        <v>0</v>
      </c>
      <c r="O152" t="n">
        <v>0</v>
      </c>
      <c r="P152" t="n">
        <v>0</v>
      </c>
      <c r="Q152" t="n">
        <v>0</v>
      </c>
      <c r="R152" s="2" t="inlineStr"/>
    </row>
    <row r="153" ht="15" customHeight="1">
      <c r="A153" t="inlineStr">
        <is>
          <t>A 43374-2022</t>
        </is>
      </c>
      <c r="B153" s="1" t="n">
        <v>44834</v>
      </c>
      <c r="C153" s="1" t="n">
        <v>46189</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37712-2021</t>
        </is>
      </c>
      <c r="B154" s="1" t="n">
        <v>44400</v>
      </c>
      <c r="C154" s="1" t="n">
        <v>46189</v>
      </c>
      <c r="D154" t="inlineStr">
        <is>
          <t>STOCKHOLMS LÄN</t>
        </is>
      </c>
      <c r="E154" t="inlineStr">
        <is>
          <t>NORRTÄLJE</t>
        </is>
      </c>
      <c r="G154" t="n">
        <v>22.9</v>
      </c>
      <c r="H154" t="n">
        <v>0</v>
      </c>
      <c r="I154" t="n">
        <v>0</v>
      </c>
      <c r="J154" t="n">
        <v>0</v>
      </c>
      <c r="K154" t="n">
        <v>0</v>
      </c>
      <c r="L154" t="n">
        <v>0</v>
      </c>
      <c r="M154" t="n">
        <v>0</v>
      </c>
      <c r="N154" t="n">
        <v>0</v>
      </c>
      <c r="O154" t="n">
        <v>0</v>
      </c>
      <c r="P154" t="n">
        <v>0</v>
      </c>
      <c r="Q154" t="n">
        <v>0</v>
      </c>
      <c r="R154" s="2" t="inlineStr"/>
    </row>
    <row r="155" ht="15" customHeight="1">
      <c r="A155" t="inlineStr">
        <is>
          <t>A 48384-2021</t>
        </is>
      </c>
      <c r="B155" s="1" t="n">
        <v>44451</v>
      </c>
      <c r="C155" s="1" t="n">
        <v>46189</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48492-2022</t>
        </is>
      </c>
      <c r="B156" s="1" t="n">
        <v>44858</v>
      </c>
      <c r="C156" s="1" t="n">
        <v>46189</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46189</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10711-2022</t>
        </is>
      </c>
      <c r="B158" s="1" t="n">
        <v>44626</v>
      </c>
      <c r="C158" s="1" t="n">
        <v>46189</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60822-2021</t>
        </is>
      </c>
      <c r="B159" s="1" t="n">
        <v>44496</v>
      </c>
      <c r="C159" s="1" t="n">
        <v>46189</v>
      </c>
      <c r="D159" t="inlineStr">
        <is>
          <t>STOCKHOLMS LÄN</t>
        </is>
      </c>
      <c r="E159" t="inlineStr">
        <is>
          <t>NORRTÄLJE</t>
        </is>
      </c>
      <c r="G159" t="n">
        <v>7.6</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46189</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21723-2022</t>
        </is>
      </c>
      <c r="B161" s="1" t="n">
        <v>44708</v>
      </c>
      <c r="C161" s="1" t="n">
        <v>46189</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12816-2022</t>
        </is>
      </c>
      <c r="B162" s="1" t="n">
        <v>44642</v>
      </c>
      <c r="C162" s="1" t="n">
        <v>46189</v>
      </c>
      <c r="D162" t="inlineStr">
        <is>
          <t>STOCKHOLMS LÄN</t>
        </is>
      </c>
      <c r="E162" t="inlineStr">
        <is>
          <t>NORRTÄLJE</t>
        </is>
      </c>
      <c r="G162" t="n">
        <v>4.4</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46189</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46189</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46189</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71876-2021</t>
        </is>
      </c>
      <c r="B166" s="1" t="n">
        <v>44543</v>
      </c>
      <c r="C166" s="1" t="n">
        <v>46189</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71878-2021</t>
        </is>
      </c>
      <c r="B167" s="1" t="n">
        <v>44543</v>
      </c>
      <c r="C167" s="1" t="n">
        <v>46189</v>
      </c>
      <c r="D167" t="inlineStr">
        <is>
          <t>STOCKHOLMS LÄN</t>
        </is>
      </c>
      <c r="E167" t="inlineStr">
        <is>
          <t>NORRTÄLJE</t>
        </is>
      </c>
      <c r="G167" t="n">
        <v>1.2</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46189</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60186-2021</t>
        </is>
      </c>
      <c r="B169" s="1" t="n">
        <v>44495</v>
      </c>
      <c r="C169" s="1" t="n">
        <v>46189</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28959-2022</t>
        </is>
      </c>
      <c r="B170" s="1" t="n">
        <v>44749.61980324074</v>
      </c>
      <c r="C170" s="1" t="n">
        <v>46189</v>
      </c>
      <c r="D170" t="inlineStr">
        <is>
          <t>STOCKHOLMS LÄN</t>
        </is>
      </c>
      <c r="E170" t="inlineStr">
        <is>
          <t>NORRTÄLJE</t>
        </is>
      </c>
      <c r="G170" t="n">
        <v>5.2</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46189</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46189</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23770-2022</t>
        </is>
      </c>
      <c r="B173" s="1" t="n">
        <v>44722</v>
      </c>
      <c r="C173" s="1" t="n">
        <v>46189</v>
      </c>
      <c r="D173" t="inlineStr">
        <is>
          <t>STOCKHOLMS LÄN</t>
        </is>
      </c>
      <c r="E173" t="inlineStr">
        <is>
          <t>NORRTÄLJE</t>
        </is>
      </c>
      <c r="G173" t="n">
        <v>1.6</v>
      </c>
      <c r="H173" t="n">
        <v>0</v>
      </c>
      <c r="I173" t="n">
        <v>0</v>
      </c>
      <c r="J173" t="n">
        <v>0</v>
      </c>
      <c r="K173" t="n">
        <v>0</v>
      </c>
      <c r="L173" t="n">
        <v>0</v>
      </c>
      <c r="M173" t="n">
        <v>0</v>
      </c>
      <c r="N173" t="n">
        <v>0</v>
      </c>
      <c r="O173" t="n">
        <v>0</v>
      </c>
      <c r="P173" t="n">
        <v>0</v>
      </c>
      <c r="Q173" t="n">
        <v>0</v>
      </c>
      <c r="R173" s="2" t="inlineStr"/>
    </row>
    <row r="174" ht="15" customHeight="1">
      <c r="A174" t="inlineStr">
        <is>
          <t>A 27538-2022</t>
        </is>
      </c>
      <c r="B174" s="1" t="n">
        <v>44742</v>
      </c>
      <c r="C174" s="1" t="n">
        <v>46189</v>
      </c>
      <c r="D174" t="inlineStr">
        <is>
          <t>STOCKHOLMS LÄN</t>
        </is>
      </c>
      <c r="E174" t="inlineStr">
        <is>
          <t>NORRTÄLJE</t>
        </is>
      </c>
      <c r="G174" t="n">
        <v>2.2</v>
      </c>
      <c r="H174" t="n">
        <v>0</v>
      </c>
      <c r="I174" t="n">
        <v>0</v>
      </c>
      <c r="J174" t="n">
        <v>0</v>
      </c>
      <c r="K174" t="n">
        <v>0</v>
      </c>
      <c r="L174" t="n">
        <v>0</v>
      </c>
      <c r="M174" t="n">
        <v>0</v>
      </c>
      <c r="N174" t="n">
        <v>0</v>
      </c>
      <c r="O174" t="n">
        <v>0</v>
      </c>
      <c r="P174" t="n">
        <v>0</v>
      </c>
      <c r="Q174" t="n">
        <v>0</v>
      </c>
      <c r="R174" s="2" t="inlineStr"/>
    </row>
    <row r="175" ht="15" customHeight="1">
      <c r="A175" t="inlineStr">
        <is>
          <t>A 36975-2022</t>
        </is>
      </c>
      <c r="B175" s="1" t="n">
        <v>44806.34577546296</v>
      </c>
      <c r="C175" s="1" t="n">
        <v>46189</v>
      </c>
      <c r="D175" t="inlineStr">
        <is>
          <t>STOCKHOLMS LÄN</t>
        </is>
      </c>
      <c r="E175" t="inlineStr">
        <is>
          <t>NORRTÄLJE</t>
        </is>
      </c>
      <c r="G175" t="n">
        <v>4.7</v>
      </c>
      <c r="H175" t="n">
        <v>0</v>
      </c>
      <c r="I175" t="n">
        <v>0</v>
      </c>
      <c r="J175" t="n">
        <v>0</v>
      </c>
      <c r="K175" t="n">
        <v>0</v>
      </c>
      <c r="L175" t="n">
        <v>0</v>
      </c>
      <c r="M175" t="n">
        <v>0</v>
      </c>
      <c r="N175" t="n">
        <v>0</v>
      </c>
      <c r="O175" t="n">
        <v>0</v>
      </c>
      <c r="P175" t="n">
        <v>0</v>
      </c>
      <c r="Q175" t="n">
        <v>0</v>
      </c>
      <c r="R175" s="2" t="inlineStr"/>
    </row>
    <row r="176" ht="15" customHeight="1">
      <c r="A176" t="inlineStr">
        <is>
          <t>A 29868-2022</t>
        </is>
      </c>
      <c r="B176" s="1" t="n">
        <v>44756.40881944444</v>
      </c>
      <c r="C176" s="1" t="n">
        <v>46189</v>
      </c>
      <c r="D176" t="inlineStr">
        <is>
          <t>STOCKHOLMS LÄN</t>
        </is>
      </c>
      <c r="E176" t="inlineStr">
        <is>
          <t>NORRTÄLJE</t>
        </is>
      </c>
      <c r="G176" t="n">
        <v>1.8</v>
      </c>
      <c r="H176" t="n">
        <v>0</v>
      </c>
      <c r="I176" t="n">
        <v>0</v>
      </c>
      <c r="J176" t="n">
        <v>0</v>
      </c>
      <c r="K176" t="n">
        <v>0</v>
      </c>
      <c r="L176" t="n">
        <v>0</v>
      </c>
      <c r="M176" t="n">
        <v>0</v>
      </c>
      <c r="N176" t="n">
        <v>0</v>
      </c>
      <c r="O176" t="n">
        <v>0</v>
      </c>
      <c r="P176" t="n">
        <v>0</v>
      </c>
      <c r="Q176" t="n">
        <v>0</v>
      </c>
      <c r="R176" s="2" t="inlineStr"/>
    </row>
    <row r="177" ht="15" customHeight="1">
      <c r="A177" t="inlineStr">
        <is>
          <t>A 64599-2021</t>
        </is>
      </c>
      <c r="B177" s="1" t="n">
        <v>44511.69885416667</v>
      </c>
      <c r="C177" s="1" t="n">
        <v>46189</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64212-2021</t>
        </is>
      </c>
      <c r="B178" s="1" t="n">
        <v>44510</v>
      </c>
      <c r="C178" s="1" t="n">
        <v>46189</v>
      </c>
      <c r="D178" t="inlineStr">
        <is>
          <t>STOCKHOLMS LÄN</t>
        </is>
      </c>
      <c r="E178" t="inlineStr">
        <is>
          <t>NORRTÄLJE</t>
        </is>
      </c>
      <c r="G178" t="n">
        <v>28.7</v>
      </c>
      <c r="H178" t="n">
        <v>0</v>
      </c>
      <c r="I178" t="n">
        <v>0</v>
      </c>
      <c r="J178" t="n">
        <v>0</v>
      </c>
      <c r="K178" t="n">
        <v>0</v>
      </c>
      <c r="L178" t="n">
        <v>0</v>
      </c>
      <c r="M178" t="n">
        <v>0</v>
      </c>
      <c r="N178" t="n">
        <v>0</v>
      </c>
      <c r="O178" t="n">
        <v>0</v>
      </c>
      <c r="P178" t="n">
        <v>0</v>
      </c>
      <c r="Q178" t="n">
        <v>0</v>
      </c>
      <c r="R178" s="2" t="inlineStr"/>
    </row>
    <row r="179" ht="15" customHeight="1">
      <c r="A179" t="inlineStr">
        <is>
          <t>A 47349-2021</t>
        </is>
      </c>
      <c r="B179" s="1" t="n">
        <v>44447</v>
      </c>
      <c r="C179" s="1" t="n">
        <v>46189</v>
      </c>
      <c r="D179" t="inlineStr">
        <is>
          <t>STOCKHOLMS LÄN</t>
        </is>
      </c>
      <c r="E179" t="inlineStr">
        <is>
          <t>NORRTÄLJE</t>
        </is>
      </c>
      <c r="G179" t="n">
        <v>3.3</v>
      </c>
      <c r="H179" t="n">
        <v>0</v>
      </c>
      <c r="I179" t="n">
        <v>0</v>
      </c>
      <c r="J179" t="n">
        <v>0</v>
      </c>
      <c r="K179" t="n">
        <v>0</v>
      </c>
      <c r="L179" t="n">
        <v>0</v>
      </c>
      <c r="M179" t="n">
        <v>0</v>
      </c>
      <c r="N179" t="n">
        <v>0</v>
      </c>
      <c r="O179" t="n">
        <v>0</v>
      </c>
      <c r="P179" t="n">
        <v>0</v>
      </c>
      <c r="Q179" t="n">
        <v>0</v>
      </c>
      <c r="R179" s="2" t="inlineStr"/>
    </row>
    <row r="180" ht="15" customHeight="1">
      <c r="A180" t="inlineStr">
        <is>
          <t>A 36565-2021</t>
        </is>
      </c>
      <c r="B180" s="1" t="n">
        <v>44391.5580787037</v>
      </c>
      <c r="C180" s="1" t="n">
        <v>46189</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44274-2021</t>
        </is>
      </c>
      <c r="B181" s="1" t="n">
        <v>44435</v>
      </c>
      <c r="C181" s="1" t="n">
        <v>46189</v>
      </c>
      <c r="D181" t="inlineStr">
        <is>
          <t>STOCKHOLMS LÄN</t>
        </is>
      </c>
      <c r="E181" t="inlineStr">
        <is>
          <t>NORRTÄLJE</t>
        </is>
      </c>
      <c r="G181" t="n">
        <v>1</v>
      </c>
      <c r="H181" t="n">
        <v>0</v>
      </c>
      <c r="I181" t="n">
        <v>0</v>
      </c>
      <c r="J181" t="n">
        <v>0</v>
      </c>
      <c r="K181" t="n">
        <v>0</v>
      </c>
      <c r="L181" t="n">
        <v>0</v>
      </c>
      <c r="M181" t="n">
        <v>0</v>
      </c>
      <c r="N181" t="n">
        <v>0</v>
      </c>
      <c r="O181" t="n">
        <v>0</v>
      </c>
      <c r="P181" t="n">
        <v>0</v>
      </c>
      <c r="Q181" t="n">
        <v>0</v>
      </c>
      <c r="R181" s="2" t="inlineStr"/>
    </row>
    <row r="182" ht="15" customHeight="1">
      <c r="A182" t="inlineStr">
        <is>
          <t>A 50970-2022</t>
        </is>
      </c>
      <c r="B182" s="1" t="n">
        <v>44867</v>
      </c>
      <c r="C182" s="1" t="n">
        <v>46189</v>
      </c>
      <c r="D182" t="inlineStr">
        <is>
          <t>STOCKHOLMS LÄN</t>
        </is>
      </c>
      <c r="E182" t="inlineStr">
        <is>
          <t>NORRTÄLJE</t>
        </is>
      </c>
      <c r="G182" t="n">
        <v>9</v>
      </c>
      <c r="H182" t="n">
        <v>0</v>
      </c>
      <c r="I182" t="n">
        <v>0</v>
      </c>
      <c r="J182" t="n">
        <v>0</v>
      </c>
      <c r="K182" t="n">
        <v>0</v>
      </c>
      <c r="L182" t="n">
        <v>0</v>
      </c>
      <c r="M182" t="n">
        <v>0</v>
      </c>
      <c r="N182" t="n">
        <v>0</v>
      </c>
      <c r="O182" t="n">
        <v>0</v>
      </c>
      <c r="P182" t="n">
        <v>0</v>
      </c>
      <c r="Q182" t="n">
        <v>0</v>
      </c>
      <c r="R182" s="2" t="inlineStr"/>
    </row>
    <row r="183" ht="15" customHeight="1">
      <c r="A183" t="inlineStr">
        <is>
          <t>A 49113-2021</t>
        </is>
      </c>
      <c r="B183" s="1" t="n">
        <v>44453</v>
      </c>
      <c r="C183" s="1" t="n">
        <v>46189</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64628-2021</t>
        </is>
      </c>
      <c r="B184" s="1" t="n">
        <v>44511</v>
      </c>
      <c r="C184" s="1" t="n">
        <v>46189</v>
      </c>
      <c r="D184" t="inlineStr">
        <is>
          <t>STOCKHOLMS LÄN</t>
        </is>
      </c>
      <c r="E184" t="inlineStr">
        <is>
          <t>NORRTÄLJE</t>
        </is>
      </c>
      <c r="G184" t="n">
        <v>0.7</v>
      </c>
      <c r="H184" t="n">
        <v>0</v>
      </c>
      <c r="I184" t="n">
        <v>0</v>
      </c>
      <c r="J184" t="n">
        <v>0</v>
      </c>
      <c r="K184" t="n">
        <v>0</v>
      </c>
      <c r="L184" t="n">
        <v>0</v>
      </c>
      <c r="M184" t="n">
        <v>0</v>
      </c>
      <c r="N184" t="n">
        <v>0</v>
      </c>
      <c r="O184" t="n">
        <v>0</v>
      </c>
      <c r="P184" t="n">
        <v>0</v>
      </c>
      <c r="Q184" t="n">
        <v>0</v>
      </c>
      <c r="R184" s="2" t="inlineStr"/>
    </row>
    <row r="185" ht="15" customHeight="1">
      <c r="A185" t="inlineStr">
        <is>
          <t>A 60209-2021</t>
        </is>
      </c>
      <c r="B185" s="1" t="n">
        <v>44495</v>
      </c>
      <c r="C185" s="1" t="n">
        <v>46189</v>
      </c>
      <c r="D185" t="inlineStr">
        <is>
          <t>STOCKHOLMS LÄN</t>
        </is>
      </c>
      <c r="E185" t="inlineStr">
        <is>
          <t>NORRTÄLJE</t>
        </is>
      </c>
      <c r="G185" t="n">
        <v>4.3</v>
      </c>
      <c r="H185" t="n">
        <v>0</v>
      </c>
      <c r="I185" t="n">
        <v>0</v>
      </c>
      <c r="J185" t="n">
        <v>0</v>
      </c>
      <c r="K185" t="n">
        <v>0</v>
      </c>
      <c r="L185" t="n">
        <v>0</v>
      </c>
      <c r="M185" t="n">
        <v>0</v>
      </c>
      <c r="N185" t="n">
        <v>0</v>
      </c>
      <c r="O185" t="n">
        <v>0</v>
      </c>
      <c r="P185" t="n">
        <v>0</v>
      </c>
      <c r="Q185" t="n">
        <v>0</v>
      </c>
      <c r="R185" s="2" t="inlineStr"/>
    </row>
    <row r="186" ht="15" customHeight="1">
      <c r="A186" t="inlineStr">
        <is>
          <t>A 32561-2021</t>
        </is>
      </c>
      <c r="B186" s="1" t="n">
        <v>44375</v>
      </c>
      <c r="C186" s="1" t="n">
        <v>46189</v>
      </c>
      <c r="D186" t="inlineStr">
        <is>
          <t>STOCKHOLMS LÄN</t>
        </is>
      </c>
      <c r="E186" t="inlineStr">
        <is>
          <t>NORRTÄLJE</t>
        </is>
      </c>
      <c r="G186" t="n">
        <v>3.4</v>
      </c>
      <c r="H186" t="n">
        <v>0</v>
      </c>
      <c r="I186" t="n">
        <v>0</v>
      </c>
      <c r="J186" t="n">
        <v>0</v>
      </c>
      <c r="K186" t="n">
        <v>0</v>
      </c>
      <c r="L186" t="n">
        <v>0</v>
      </c>
      <c r="M186" t="n">
        <v>0</v>
      </c>
      <c r="N186" t="n">
        <v>0</v>
      </c>
      <c r="O186" t="n">
        <v>0</v>
      </c>
      <c r="P186" t="n">
        <v>0</v>
      </c>
      <c r="Q186" t="n">
        <v>0</v>
      </c>
      <c r="R186" s="2" t="inlineStr"/>
    </row>
    <row r="187" ht="15" customHeight="1">
      <c r="A187" t="inlineStr">
        <is>
          <t>A 17803-2022</t>
        </is>
      </c>
      <c r="B187" s="1" t="n">
        <v>44683</v>
      </c>
      <c r="C187" s="1" t="n">
        <v>46189</v>
      </c>
      <c r="D187" t="inlineStr">
        <is>
          <t>STOCKHOLMS LÄN</t>
        </is>
      </c>
      <c r="E187" t="inlineStr">
        <is>
          <t>NORRTÄLJE</t>
        </is>
      </c>
      <c r="G187" t="n">
        <v>1.4</v>
      </c>
      <c r="H187" t="n">
        <v>0</v>
      </c>
      <c r="I187" t="n">
        <v>0</v>
      </c>
      <c r="J187" t="n">
        <v>0</v>
      </c>
      <c r="K187" t="n">
        <v>0</v>
      </c>
      <c r="L187" t="n">
        <v>0</v>
      </c>
      <c r="M187" t="n">
        <v>0</v>
      </c>
      <c r="N187" t="n">
        <v>0</v>
      </c>
      <c r="O187" t="n">
        <v>0</v>
      </c>
      <c r="P187" t="n">
        <v>0</v>
      </c>
      <c r="Q187" t="n">
        <v>0</v>
      </c>
      <c r="R187" s="2" t="inlineStr"/>
    </row>
    <row r="188" ht="15" customHeight="1">
      <c r="A188" t="inlineStr">
        <is>
          <t>A 71325-2021</t>
        </is>
      </c>
      <c r="B188" s="1" t="n">
        <v>44539</v>
      </c>
      <c r="C188" s="1" t="n">
        <v>46189</v>
      </c>
      <c r="D188" t="inlineStr">
        <is>
          <t>STOCKHOLMS LÄN</t>
        </is>
      </c>
      <c r="E188" t="inlineStr">
        <is>
          <t>NORRTÄLJE</t>
        </is>
      </c>
      <c r="G188" t="n">
        <v>2.1</v>
      </c>
      <c r="H188" t="n">
        <v>0</v>
      </c>
      <c r="I188" t="n">
        <v>0</v>
      </c>
      <c r="J188" t="n">
        <v>0</v>
      </c>
      <c r="K188" t="n">
        <v>0</v>
      </c>
      <c r="L188" t="n">
        <v>0</v>
      </c>
      <c r="M188" t="n">
        <v>0</v>
      </c>
      <c r="N188" t="n">
        <v>0</v>
      </c>
      <c r="O188" t="n">
        <v>0</v>
      </c>
      <c r="P188" t="n">
        <v>0</v>
      </c>
      <c r="Q188" t="n">
        <v>0</v>
      </c>
      <c r="R188" s="2" t="inlineStr"/>
    </row>
    <row r="189" ht="15" customHeight="1">
      <c r="A189" t="inlineStr">
        <is>
          <t>A 65611-2021</t>
        </is>
      </c>
      <c r="B189" s="1" t="n">
        <v>44516.5275462963</v>
      </c>
      <c r="C189" s="1" t="n">
        <v>46189</v>
      </c>
      <c r="D189" t="inlineStr">
        <is>
          <t>STOCKHOLMS LÄN</t>
        </is>
      </c>
      <c r="E189" t="inlineStr">
        <is>
          <t>NORRTÄLJE</t>
        </is>
      </c>
      <c r="G189" t="n">
        <v>2.5</v>
      </c>
      <c r="H189" t="n">
        <v>0</v>
      </c>
      <c r="I189" t="n">
        <v>0</v>
      </c>
      <c r="J189" t="n">
        <v>0</v>
      </c>
      <c r="K189" t="n">
        <v>0</v>
      </c>
      <c r="L189" t="n">
        <v>0</v>
      </c>
      <c r="M189" t="n">
        <v>0</v>
      </c>
      <c r="N189" t="n">
        <v>0</v>
      </c>
      <c r="O189" t="n">
        <v>0</v>
      </c>
      <c r="P189" t="n">
        <v>0</v>
      </c>
      <c r="Q189" t="n">
        <v>0</v>
      </c>
      <c r="R189" s="2" t="inlineStr"/>
    </row>
    <row r="190" ht="15" customHeight="1">
      <c r="A190" t="inlineStr">
        <is>
          <t>A 60813-2021</t>
        </is>
      </c>
      <c r="B190" s="1" t="n">
        <v>44496</v>
      </c>
      <c r="C190" s="1" t="n">
        <v>46189</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39497-2021</t>
        </is>
      </c>
      <c r="B191" s="1" t="n">
        <v>44414.81494212963</v>
      </c>
      <c r="C191" s="1" t="n">
        <v>46189</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34431-2021</t>
        </is>
      </c>
      <c r="B192" s="1" t="n">
        <v>44380</v>
      </c>
      <c r="C192" s="1" t="n">
        <v>46189</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5351-2022</t>
        </is>
      </c>
      <c r="B193" s="1" t="n">
        <v>44594.75950231482</v>
      </c>
      <c r="C193" s="1" t="n">
        <v>46189</v>
      </c>
      <c r="D193" t="inlineStr">
        <is>
          <t>STOCKHOLMS LÄN</t>
        </is>
      </c>
      <c r="E193" t="inlineStr">
        <is>
          <t>NORRTÄLJE</t>
        </is>
      </c>
      <c r="G193" t="n">
        <v>4</v>
      </c>
      <c r="H193" t="n">
        <v>0</v>
      </c>
      <c r="I193" t="n">
        <v>0</v>
      </c>
      <c r="J193" t="n">
        <v>0</v>
      </c>
      <c r="K193" t="n">
        <v>0</v>
      </c>
      <c r="L193" t="n">
        <v>0</v>
      </c>
      <c r="M193" t="n">
        <v>0</v>
      </c>
      <c r="N193" t="n">
        <v>0</v>
      </c>
      <c r="O193" t="n">
        <v>0</v>
      </c>
      <c r="P193" t="n">
        <v>0</v>
      </c>
      <c r="Q193" t="n">
        <v>0</v>
      </c>
      <c r="R193" s="2" t="inlineStr"/>
    </row>
    <row r="194" ht="15" customHeight="1">
      <c r="A194" t="inlineStr">
        <is>
          <t>A 30129-2021</t>
        </is>
      </c>
      <c r="B194" s="1" t="n">
        <v>44363.5784375</v>
      </c>
      <c r="C194" s="1" t="n">
        <v>46189</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22316-2022</t>
        </is>
      </c>
      <c r="B195" s="1" t="n">
        <v>44712.83118055556</v>
      </c>
      <c r="C195" s="1" t="n">
        <v>46189</v>
      </c>
      <c r="D195" t="inlineStr">
        <is>
          <t>STOCKHOLMS LÄN</t>
        </is>
      </c>
      <c r="E195" t="inlineStr">
        <is>
          <t>NORRTÄLJE</t>
        </is>
      </c>
      <c r="G195" t="n">
        <v>6.3</v>
      </c>
      <c r="H195" t="n">
        <v>0</v>
      </c>
      <c r="I195" t="n">
        <v>0</v>
      </c>
      <c r="J195" t="n">
        <v>0</v>
      </c>
      <c r="K195" t="n">
        <v>0</v>
      </c>
      <c r="L195" t="n">
        <v>0</v>
      </c>
      <c r="M195" t="n">
        <v>0</v>
      </c>
      <c r="N195" t="n">
        <v>0</v>
      </c>
      <c r="O195" t="n">
        <v>0</v>
      </c>
      <c r="P195" t="n">
        <v>0</v>
      </c>
      <c r="Q195" t="n">
        <v>0</v>
      </c>
      <c r="R195" s="2" t="inlineStr"/>
    </row>
    <row r="196" ht="15" customHeight="1">
      <c r="A196" t="inlineStr">
        <is>
          <t>A 31092-2022</t>
        </is>
      </c>
      <c r="B196" s="1" t="n">
        <v>44769.62320601852</v>
      </c>
      <c r="C196" s="1" t="n">
        <v>46189</v>
      </c>
      <c r="D196" t="inlineStr">
        <is>
          <t>STOCKHOLMS LÄN</t>
        </is>
      </c>
      <c r="E196" t="inlineStr">
        <is>
          <t>NORRTÄLJE</t>
        </is>
      </c>
      <c r="G196" t="n">
        <v>1.6</v>
      </c>
      <c r="H196" t="n">
        <v>0</v>
      </c>
      <c r="I196" t="n">
        <v>0</v>
      </c>
      <c r="J196" t="n">
        <v>0</v>
      </c>
      <c r="K196" t="n">
        <v>0</v>
      </c>
      <c r="L196" t="n">
        <v>0</v>
      </c>
      <c r="M196" t="n">
        <v>0</v>
      </c>
      <c r="N196" t="n">
        <v>0</v>
      </c>
      <c r="O196" t="n">
        <v>0</v>
      </c>
      <c r="P196" t="n">
        <v>0</v>
      </c>
      <c r="Q196" t="n">
        <v>0</v>
      </c>
      <c r="R196" s="2" t="inlineStr"/>
    </row>
    <row r="197" ht="15" customHeight="1">
      <c r="A197" t="inlineStr">
        <is>
          <t>A 71871-2021</t>
        </is>
      </c>
      <c r="B197" s="1" t="n">
        <v>44543</v>
      </c>
      <c r="C197" s="1" t="n">
        <v>46189</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71873-2021</t>
        </is>
      </c>
      <c r="B198" s="1" t="n">
        <v>44543</v>
      </c>
      <c r="C198" s="1" t="n">
        <v>46189</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72355-2021</t>
        </is>
      </c>
      <c r="B199" s="1" t="n">
        <v>44545</v>
      </c>
      <c r="C199" s="1" t="n">
        <v>46189</v>
      </c>
      <c r="D199" t="inlineStr">
        <is>
          <t>STOCKHOLMS LÄN</t>
        </is>
      </c>
      <c r="E199" t="inlineStr">
        <is>
          <t>NORRTÄLJE</t>
        </is>
      </c>
      <c r="G199" t="n">
        <v>3.6</v>
      </c>
      <c r="H199" t="n">
        <v>0</v>
      </c>
      <c r="I199" t="n">
        <v>0</v>
      </c>
      <c r="J199" t="n">
        <v>0</v>
      </c>
      <c r="K199" t="n">
        <v>0</v>
      </c>
      <c r="L199" t="n">
        <v>0</v>
      </c>
      <c r="M199" t="n">
        <v>0</v>
      </c>
      <c r="N199" t="n">
        <v>0</v>
      </c>
      <c r="O199" t="n">
        <v>0</v>
      </c>
      <c r="P199" t="n">
        <v>0</v>
      </c>
      <c r="Q199" t="n">
        <v>0</v>
      </c>
      <c r="R199" s="2" t="inlineStr"/>
    </row>
    <row r="200" ht="15" customHeight="1">
      <c r="A200" t="inlineStr">
        <is>
          <t>A 72357-2021</t>
        </is>
      </c>
      <c r="B200" s="1" t="n">
        <v>44545</v>
      </c>
      <c r="C200" s="1" t="n">
        <v>46189</v>
      </c>
      <c r="D200" t="inlineStr">
        <is>
          <t>STOCKHOLMS LÄN</t>
        </is>
      </c>
      <c r="E200" t="inlineStr">
        <is>
          <t>NORRTÄLJE</t>
        </is>
      </c>
      <c r="G200" t="n">
        <v>5.1</v>
      </c>
      <c r="H200" t="n">
        <v>0</v>
      </c>
      <c r="I200" t="n">
        <v>0</v>
      </c>
      <c r="J200" t="n">
        <v>0</v>
      </c>
      <c r="K200" t="n">
        <v>0</v>
      </c>
      <c r="L200" t="n">
        <v>0</v>
      </c>
      <c r="M200" t="n">
        <v>0</v>
      </c>
      <c r="N200" t="n">
        <v>0</v>
      </c>
      <c r="O200" t="n">
        <v>0</v>
      </c>
      <c r="P200" t="n">
        <v>0</v>
      </c>
      <c r="Q200" t="n">
        <v>0</v>
      </c>
      <c r="R200" s="2" t="inlineStr"/>
    </row>
    <row r="201" ht="15" customHeight="1">
      <c r="A201" t="inlineStr">
        <is>
          <t>A 9988-2022</t>
        </is>
      </c>
      <c r="B201" s="1" t="n">
        <v>44621</v>
      </c>
      <c r="C201" s="1" t="n">
        <v>46189</v>
      </c>
      <c r="D201" t="inlineStr">
        <is>
          <t>STOCKHOLMS LÄN</t>
        </is>
      </c>
      <c r="E201" t="inlineStr">
        <is>
          <t>NORRTÄLJE</t>
        </is>
      </c>
      <c r="G201" t="n">
        <v>1.3</v>
      </c>
      <c r="H201" t="n">
        <v>0</v>
      </c>
      <c r="I201" t="n">
        <v>0</v>
      </c>
      <c r="J201" t="n">
        <v>0</v>
      </c>
      <c r="K201" t="n">
        <v>0</v>
      </c>
      <c r="L201" t="n">
        <v>0</v>
      </c>
      <c r="M201" t="n">
        <v>0</v>
      </c>
      <c r="N201" t="n">
        <v>0</v>
      </c>
      <c r="O201" t="n">
        <v>0</v>
      </c>
      <c r="P201" t="n">
        <v>0</v>
      </c>
      <c r="Q201" t="n">
        <v>0</v>
      </c>
      <c r="R201" s="2" t="inlineStr"/>
    </row>
    <row r="202" ht="15" customHeight="1">
      <c r="A202" t="inlineStr">
        <is>
          <t>A 60733-2021</t>
        </is>
      </c>
      <c r="B202" s="1" t="n">
        <v>44496.77542824074</v>
      </c>
      <c r="C202" s="1" t="n">
        <v>46189</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53884-2022</t>
        </is>
      </c>
      <c r="B203" s="1" t="n">
        <v>44880.68423611111</v>
      </c>
      <c r="C203" s="1" t="n">
        <v>46189</v>
      </c>
      <c r="D203" t="inlineStr">
        <is>
          <t>STOCKHOLMS LÄN</t>
        </is>
      </c>
      <c r="E203" t="inlineStr">
        <is>
          <t>NORRTÄLJE</t>
        </is>
      </c>
      <c r="G203" t="n">
        <v>0.6</v>
      </c>
      <c r="H203" t="n">
        <v>0</v>
      </c>
      <c r="I203" t="n">
        <v>0</v>
      </c>
      <c r="J203" t="n">
        <v>0</v>
      </c>
      <c r="K203" t="n">
        <v>0</v>
      </c>
      <c r="L203" t="n">
        <v>0</v>
      </c>
      <c r="M203" t="n">
        <v>0</v>
      </c>
      <c r="N203" t="n">
        <v>0</v>
      </c>
      <c r="O203" t="n">
        <v>0</v>
      </c>
      <c r="P203" t="n">
        <v>0</v>
      </c>
      <c r="Q203" t="n">
        <v>0</v>
      </c>
      <c r="R203" s="2" t="inlineStr"/>
    </row>
    <row r="204" ht="15" customHeight="1">
      <c r="A204" t="inlineStr">
        <is>
          <t>A 12357-2022</t>
        </is>
      </c>
      <c r="B204" s="1" t="n">
        <v>44637</v>
      </c>
      <c r="C204" s="1" t="n">
        <v>46189</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26335-2022</t>
        </is>
      </c>
      <c r="B205" s="1" t="n">
        <v>44735</v>
      </c>
      <c r="C205" s="1" t="n">
        <v>46189</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46189</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33046-2021</t>
        </is>
      </c>
      <c r="B207" s="1" t="n">
        <v>44376</v>
      </c>
      <c r="C207" s="1" t="n">
        <v>46189</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26328-2022</t>
        </is>
      </c>
      <c r="B208" s="1" t="n">
        <v>44735</v>
      </c>
      <c r="C208" s="1" t="n">
        <v>46189</v>
      </c>
      <c r="D208" t="inlineStr">
        <is>
          <t>STOCKHOLMS LÄN</t>
        </is>
      </c>
      <c r="E208" t="inlineStr">
        <is>
          <t>NORRTÄLJE</t>
        </is>
      </c>
      <c r="G208" t="n">
        <v>2.8</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46189</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34520-2021</t>
        </is>
      </c>
      <c r="B210" s="1" t="n">
        <v>44379</v>
      </c>
      <c r="C210" s="1" t="n">
        <v>46189</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1968-2022</t>
        </is>
      </c>
      <c r="B211" s="1" t="n">
        <v>44575.52831018518</v>
      </c>
      <c r="C211" s="1" t="n">
        <v>46189</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46189</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14051-2022</t>
        </is>
      </c>
      <c r="B213" s="1" t="n">
        <v>44650.92714120371</v>
      </c>
      <c r="C213" s="1" t="n">
        <v>46189</v>
      </c>
      <c r="D213" t="inlineStr">
        <is>
          <t>STOCKHOLMS LÄN</t>
        </is>
      </c>
      <c r="E213" t="inlineStr">
        <is>
          <t>NORRTÄLJE</t>
        </is>
      </c>
      <c r="G213" t="n">
        <v>2.3</v>
      </c>
      <c r="H213" t="n">
        <v>0</v>
      </c>
      <c r="I213" t="n">
        <v>0</v>
      </c>
      <c r="J213" t="n">
        <v>0</v>
      </c>
      <c r="K213" t="n">
        <v>0</v>
      </c>
      <c r="L213" t="n">
        <v>0</v>
      </c>
      <c r="M213" t="n">
        <v>0</v>
      </c>
      <c r="N213" t="n">
        <v>0</v>
      </c>
      <c r="O213" t="n">
        <v>0</v>
      </c>
      <c r="P213" t="n">
        <v>0</v>
      </c>
      <c r="Q213" t="n">
        <v>0</v>
      </c>
      <c r="R213" s="2" t="inlineStr"/>
    </row>
    <row r="214" ht="15" customHeight="1">
      <c r="A214" t="inlineStr">
        <is>
          <t>A 24167-2022</t>
        </is>
      </c>
      <c r="B214" s="1" t="n">
        <v>44725.49491898148</v>
      </c>
      <c r="C214" s="1" t="n">
        <v>46189</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42396-2021</t>
        </is>
      </c>
      <c r="B215" s="1" t="n">
        <v>44427</v>
      </c>
      <c r="C215" s="1" t="n">
        <v>46189</v>
      </c>
      <c r="D215" t="inlineStr">
        <is>
          <t>STOCKHOLMS LÄN</t>
        </is>
      </c>
      <c r="E215" t="inlineStr">
        <is>
          <t>NORRTÄLJE</t>
        </is>
      </c>
      <c r="G215" t="n">
        <v>2</v>
      </c>
      <c r="H215" t="n">
        <v>0</v>
      </c>
      <c r="I215" t="n">
        <v>0</v>
      </c>
      <c r="J215" t="n">
        <v>0</v>
      </c>
      <c r="K215" t="n">
        <v>0</v>
      </c>
      <c r="L215" t="n">
        <v>0</v>
      </c>
      <c r="M215" t="n">
        <v>0</v>
      </c>
      <c r="N215" t="n">
        <v>0</v>
      </c>
      <c r="O215" t="n">
        <v>0</v>
      </c>
      <c r="P215" t="n">
        <v>0</v>
      </c>
      <c r="Q215" t="n">
        <v>0</v>
      </c>
      <c r="R215" s="2" t="inlineStr"/>
    </row>
    <row r="216" ht="15" customHeight="1">
      <c r="A216" t="inlineStr">
        <is>
          <t>A 2732-2022</t>
        </is>
      </c>
      <c r="B216" s="1" t="n">
        <v>44580</v>
      </c>
      <c r="C216" s="1" t="n">
        <v>46189</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31924-2022</t>
        </is>
      </c>
      <c r="B217" s="1" t="n">
        <v>44777</v>
      </c>
      <c r="C217" s="1" t="n">
        <v>46189</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16119-2022</t>
        </is>
      </c>
      <c r="B218" s="1" t="n">
        <v>44665.66407407408</v>
      </c>
      <c r="C218" s="1" t="n">
        <v>46189</v>
      </c>
      <c r="D218" t="inlineStr">
        <is>
          <t>STOCKHOLMS LÄN</t>
        </is>
      </c>
      <c r="E218" t="inlineStr">
        <is>
          <t>NORRTÄLJE</t>
        </is>
      </c>
      <c r="G218" t="n">
        <v>3.9</v>
      </c>
      <c r="H218" t="n">
        <v>0</v>
      </c>
      <c r="I218" t="n">
        <v>0</v>
      </c>
      <c r="J218" t="n">
        <v>0</v>
      </c>
      <c r="K218" t="n">
        <v>0</v>
      </c>
      <c r="L218" t="n">
        <v>0</v>
      </c>
      <c r="M218" t="n">
        <v>0</v>
      </c>
      <c r="N218" t="n">
        <v>0</v>
      </c>
      <c r="O218" t="n">
        <v>0</v>
      </c>
      <c r="P218" t="n">
        <v>0</v>
      </c>
      <c r="Q218" t="n">
        <v>0</v>
      </c>
      <c r="R218" s="2" t="inlineStr"/>
    </row>
    <row r="219" ht="15" customHeight="1">
      <c r="A219" t="inlineStr">
        <is>
          <t>A 12270-2022</t>
        </is>
      </c>
      <c r="B219" s="1" t="n">
        <v>44637</v>
      </c>
      <c r="C219" s="1" t="n">
        <v>46189</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14543-2022</t>
        </is>
      </c>
      <c r="B220" s="1" t="n">
        <v>44655.45373842592</v>
      </c>
      <c r="C220" s="1" t="n">
        <v>46189</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5513-2022</t>
        </is>
      </c>
      <c r="B221" s="1" t="n">
        <v>44595</v>
      </c>
      <c r="C221" s="1" t="n">
        <v>46189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46189</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41398-2022</t>
        </is>
      </c>
      <c r="B223" s="1" t="n">
        <v>44826</v>
      </c>
      <c r="C223" s="1" t="n">
        <v>46189</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45541-2022</t>
        </is>
      </c>
      <c r="B224" s="1" t="n">
        <v>44845.47672453704</v>
      </c>
      <c r="C224" s="1" t="n">
        <v>46189</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46189</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52139-2022</t>
        </is>
      </c>
      <c r="B226" s="1" t="n">
        <v>44868</v>
      </c>
      <c r="C226" s="1" t="n">
        <v>46189</v>
      </c>
      <c r="D226" t="inlineStr">
        <is>
          <t>STOCKHOLMS LÄN</t>
        </is>
      </c>
      <c r="E226" t="inlineStr">
        <is>
          <t>NORRTÄLJE</t>
        </is>
      </c>
      <c r="G226" t="n">
        <v>3.2</v>
      </c>
      <c r="H226" t="n">
        <v>0</v>
      </c>
      <c r="I226" t="n">
        <v>0</v>
      </c>
      <c r="J226" t="n">
        <v>0</v>
      </c>
      <c r="K226" t="n">
        <v>0</v>
      </c>
      <c r="L226" t="n">
        <v>0</v>
      </c>
      <c r="M226" t="n">
        <v>0</v>
      </c>
      <c r="N226" t="n">
        <v>0</v>
      </c>
      <c r="O226" t="n">
        <v>0</v>
      </c>
      <c r="P226" t="n">
        <v>0</v>
      </c>
      <c r="Q226" t="n">
        <v>0</v>
      </c>
      <c r="R226" s="2" t="inlineStr"/>
      <c r="U226">
        <f>HYPERLINK("https://klasma.github.io/Logging_0188/knärot/A 52139-2022 karta knärot.png", "A 52139-2022")</f>
        <v/>
      </c>
      <c r="V226">
        <f>HYPERLINK("https://klasma.github.io/Logging_0188/klagomål/A 52139-2022 FSC-klagomål.docx", "A 52139-2022")</f>
        <v/>
      </c>
      <c r="W226">
        <f>HYPERLINK("https://klasma.github.io/Logging_0188/klagomålsmail/A 52139-2022 FSC-klagomål mail.docx", "A 52139-2022")</f>
        <v/>
      </c>
      <c r="X226">
        <f>HYPERLINK("https://klasma.github.io/Logging_0188/tillsyn/A 52139-2022 tillsynsbegäran.docx", "A 52139-2022")</f>
        <v/>
      </c>
      <c r="Y226">
        <f>HYPERLINK("https://klasma.github.io/Logging_0188/tillsynsmail/A 52139-2022 tillsynsbegäran mail.docx", "A 52139-2022")</f>
        <v/>
      </c>
    </row>
    <row r="227" ht="15" customHeight="1">
      <c r="A227" t="inlineStr">
        <is>
          <t>A 62030-2021</t>
        </is>
      </c>
      <c r="B227" s="1" t="n">
        <v>44502</v>
      </c>
      <c r="C227" s="1" t="n">
        <v>46189</v>
      </c>
      <c r="D227" t="inlineStr">
        <is>
          <t>STOCKHOLMS LÄN</t>
        </is>
      </c>
      <c r="E227" t="inlineStr">
        <is>
          <t>NORRTÄLJE</t>
        </is>
      </c>
      <c r="G227" t="n">
        <v>4.7</v>
      </c>
      <c r="H227" t="n">
        <v>0</v>
      </c>
      <c r="I227" t="n">
        <v>0</v>
      </c>
      <c r="J227" t="n">
        <v>0</v>
      </c>
      <c r="K227" t="n">
        <v>0</v>
      </c>
      <c r="L227" t="n">
        <v>0</v>
      </c>
      <c r="M227" t="n">
        <v>0</v>
      </c>
      <c r="N227" t="n">
        <v>0</v>
      </c>
      <c r="O227" t="n">
        <v>0</v>
      </c>
      <c r="P227" t="n">
        <v>0</v>
      </c>
      <c r="Q227" t="n">
        <v>0</v>
      </c>
      <c r="R227" s="2" t="inlineStr"/>
    </row>
    <row r="228" ht="15" customHeight="1">
      <c r="A228" t="inlineStr">
        <is>
          <t>A 12875-2022</t>
        </is>
      </c>
      <c r="B228" s="1" t="n">
        <v>44642.55565972222</v>
      </c>
      <c r="C228" s="1" t="n">
        <v>46189</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46189</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41822-2021</t>
        </is>
      </c>
      <c r="B230" s="1" t="n">
        <v>44425</v>
      </c>
      <c r="C230" s="1" t="n">
        <v>46189</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41823-2021</t>
        </is>
      </c>
      <c r="B231" s="1" t="n">
        <v>44425</v>
      </c>
      <c r="C231" s="1" t="n">
        <v>46189</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7565-2022</t>
        </is>
      </c>
      <c r="B232" s="1" t="n">
        <v>44607</v>
      </c>
      <c r="C232" s="1" t="n">
        <v>46189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20295-2022</t>
        </is>
      </c>
      <c r="B233" s="1" t="n">
        <v>44698</v>
      </c>
      <c r="C233" s="1" t="n">
        <v>46189</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37415-2021</t>
        </is>
      </c>
      <c r="B234" s="1" t="n">
        <v>44397</v>
      </c>
      <c r="C234" s="1" t="n">
        <v>46189</v>
      </c>
      <c r="D234" t="inlineStr">
        <is>
          <t>STOCKHOLMS LÄN</t>
        </is>
      </c>
      <c r="E234" t="inlineStr">
        <is>
          <t>NORRTÄLJE</t>
        </is>
      </c>
      <c r="F234" t="inlineStr">
        <is>
          <t>Övriga Aktiebolag</t>
        </is>
      </c>
      <c r="G234" t="n">
        <v>3</v>
      </c>
      <c r="H234" t="n">
        <v>0</v>
      </c>
      <c r="I234" t="n">
        <v>0</v>
      </c>
      <c r="J234" t="n">
        <v>0</v>
      </c>
      <c r="K234" t="n">
        <v>0</v>
      </c>
      <c r="L234" t="n">
        <v>0</v>
      </c>
      <c r="M234" t="n">
        <v>0</v>
      </c>
      <c r="N234" t="n">
        <v>0</v>
      </c>
      <c r="O234" t="n">
        <v>0</v>
      </c>
      <c r="P234" t="n">
        <v>0</v>
      </c>
      <c r="Q234" t="n">
        <v>0</v>
      </c>
      <c r="R234" s="2" t="inlineStr"/>
    </row>
    <row r="235" ht="15" customHeight="1">
      <c r="A235" t="inlineStr">
        <is>
          <t>A 8160-2022</t>
        </is>
      </c>
      <c r="B235" s="1" t="n">
        <v>44609</v>
      </c>
      <c r="C235" s="1" t="n">
        <v>46189</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30286-2022</t>
        </is>
      </c>
      <c r="B236" s="1" t="n">
        <v>44760</v>
      </c>
      <c r="C236" s="1" t="n">
        <v>46189</v>
      </c>
      <c r="D236" t="inlineStr">
        <is>
          <t>STOCKHOLMS LÄN</t>
        </is>
      </c>
      <c r="E236" t="inlineStr">
        <is>
          <t>NORRTÄLJE</t>
        </is>
      </c>
      <c r="G236" t="n">
        <v>0.3</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46189</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56219-2021</t>
        </is>
      </c>
      <c r="B238" s="1" t="n">
        <v>44477</v>
      </c>
      <c r="C238" s="1" t="n">
        <v>46189</v>
      </c>
      <c r="D238" t="inlineStr">
        <is>
          <t>STOCKHOLMS LÄN</t>
        </is>
      </c>
      <c r="E238" t="inlineStr">
        <is>
          <t>NORRTÄLJE</t>
        </is>
      </c>
      <c r="F238" t="inlineStr">
        <is>
          <t>Kommuner</t>
        </is>
      </c>
      <c r="G238" t="n">
        <v>2.3</v>
      </c>
      <c r="H238" t="n">
        <v>0</v>
      </c>
      <c r="I238" t="n">
        <v>0</v>
      </c>
      <c r="J238" t="n">
        <v>0</v>
      </c>
      <c r="K238" t="n">
        <v>0</v>
      </c>
      <c r="L238" t="n">
        <v>0</v>
      </c>
      <c r="M238" t="n">
        <v>0</v>
      </c>
      <c r="N238" t="n">
        <v>0</v>
      </c>
      <c r="O238" t="n">
        <v>0</v>
      </c>
      <c r="P238" t="n">
        <v>0</v>
      </c>
      <c r="Q238" t="n">
        <v>0</v>
      </c>
      <c r="R238" s="2" t="inlineStr"/>
    </row>
    <row r="239" ht="15" customHeight="1">
      <c r="A239" t="inlineStr">
        <is>
          <t>A 15226-2022</t>
        </is>
      </c>
      <c r="B239" s="1" t="n">
        <v>44658</v>
      </c>
      <c r="C239" s="1" t="n">
        <v>46189</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3300-2022</t>
        </is>
      </c>
      <c r="B240" s="1" t="n">
        <v>44584.91538194445</v>
      </c>
      <c r="C240" s="1" t="n">
        <v>46189</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17388-2022</t>
        </is>
      </c>
      <c r="B241" s="1" t="n">
        <v>44678</v>
      </c>
      <c r="C241" s="1" t="n">
        <v>46189</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10521-2022</t>
        </is>
      </c>
      <c r="B242" s="1" t="n">
        <v>44623</v>
      </c>
      <c r="C242" s="1" t="n">
        <v>46189</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17771-2022</t>
        </is>
      </c>
      <c r="B243" s="1" t="n">
        <v>44682.75924768519</v>
      </c>
      <c r="C243" s="1" t="n">
        <v>46189</v>
      </c>
      <c r="D243" t="inlineStr">
        <is>
          <t>STOCKHOLMS LÄN</t>
        </is>
      </c>
      <c r="E243" t="inlineStr">
        <is>
          <t>NORRTÄLJE</t>
        </is>
      </c>
      <c r="G243" t="n">
        <v>13.3</v>
      </c>
      <c r="H243" t="n">
        <v>0</v>
      </c>
      <c r="I243" t="n">
        <v>0</v>
      </c>
      <c r="J243" t="n">
        <v>0</v>
      </c>
      <c r="K243" t="n">
        <v>0</v>
      </c>
      <c r="L243" t="n">
        <v>0</v>
      </c>
      <c r="M243" t="n">
        <v>0</v>
      </c>
      <c r="N243" t="n">
        <v>0</v>
      </c>
      <c r="O243" t="n">
        <v>0</v>
      </c>
      <c r="P243" t="n">
        <v>0</v>
      </c>
      <c r="Q243" t="n">
        <v>0</v>
      </c>
      <c r="R243" s="2" t="inlineStr"/>
    </row>
    <row r="244" ht="15" customHeight="1">
      <c r="A244" t="inlineStr">
        <is>
          <t>A 17773-2022</t>
        </is>
      </c>
      <c r="B244" s="1" t="n">
        <v>44682.77616898148</v>
      </c>
      <c r="C244" s="1" t="n">
        <v>46189</v>
      </c>
      <c r="D244" t="inlineStr">
        <is>
          <t>STOCKHOLMS LÄN</t>
        </is>
      </c>
      <c r="E244" t="inlineStr">
        <is>
          <t>NORRTÄLJE</t>
        </is>
      </c>
      <c r="G244" t="n">
        <v>10.8</v>
      </c>
      <c r="H244" t="n">
        <v>0</v>
      </c>
      <c r="I244" t="n">
        <v>0</v>
      </c>
      <c r="J244" t="n">
        <v>0</v>
      </c>
      <c r="K244" t="n">
        <v>0</v>
      </c>
      <c r="L244" t="n">
        <v>0</v>
      </c>
      <c r="M244" t="n">
        <v>0</v>
      </c>
      <c r="N244" t="n">
        <v>0</v>
      </c>
      <c r="O244" t="n">
        <v>0</v>
      </c>
      <c r="P244" t="n">
        <v>0</v>
      </c>
      <c r="Q244" t="n">
        <v>0</v>
      </c>
      <c r="R244" s="2" t="inlineStr"/>
    </row>
    <row r="245" ht="15" customHeight="1">
      <c r="A245" t="inlineStr">
        <is>
          <t>A 16117-2022</t>
        </is>
      </c>
      <c r="B245" s="1" t="n">
        <v>44665.65474537037</v>
      </c>
      <c r="C245" s="1" t="n">
        <v>46189</v>
      </c>
      <c r="D245" t="inlineStr">
        <is>
          <t>STOCKHOLMS LÄN</t>
        </is>
      </c>
      <c r="E245" t="inlineStr">
        <is>
          <t>NORRTÄLJE</t>
        </is>
      </c>
      <c r="G245" t="n">
        <v>8.1</v>
      </c>
      <c r="H245" t="n">
        <v>0</v>
      </c>
      <c r="I245" t="n">
        <v>0</v>
      </c>
      <c r="J245" t="n">
        <v>0</v>
      </c>
      <c r="K245" t="n">
        <v>0</v>
      </c>
      <c r="L245" t="n">
        <v>0</v>
      </c>
      <c r="M245" t="n">
        <v>0</v>
      </c>
      <c r="N245" t="n">
        <v>0</v>
      </c>
      <c r="O245" t="n">
        <v>0</v>
      </c>
      <c r="P245" t="n">
        <v>0</v>
      </c>
      <c r="Q245" t="n">
        <v>0</v>
      </c>
      <c r="R245" s="2" t="inlineStr"/>
    </row>
    <row r="246" ht="15" customHeight="1">
      <c r="A246" t="inlineStr">
        <is>
          <t>A 16132-2022</t>
        </is>
      </c>
      <c r="B246" s="1" t="n">
        <v>44665.78351851852</v>
      </c>
      <c r="C246" s="1" t="n">
        <v>46189</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70170-2021</t>
        </is>
      </c>
      <c r="B247" s="1" t="n">
        <v>44533</v>
      </c>
      <c r="C247" s="1" t="n">
        <v>46189</v>
      </c>
      <c r="D247" t="inlineStr">
        <is>
          <t>STOCKHOLMS LÄN</t>
        </is>
      </c>
      <c r="E247" t="inlineStr">
        <is>
          <t>NORRTÄLJE</t>
        </is>
      </c>
      <c r="G247" t="n">
        <v>2.7</v>
      </c>
      <c r="H247" t="n">
        <v>0</v>
      </c>
      <c r="I247" t="n">
        <v>0</v>
      </c>
      <c r="J247" t="n">
        <v>0</v>
      </c>
      <c r="K247" t="n">
        <v>0</v>
      </c>
      <c r="L247" t="n">
        <v>0</v>
      </c>
      <c r="M247" t="n">
        <v>0</v>
      </c>
      <c r="N247" t="n">
        <v>0</v>
      </c>
      <c r="O247" t="n">
        <v>0</v>
      </c>
      <c r="P247" t="n">
        <v>0</v>
      </c>
      <c r="Q247" t="n">
        <v>0</v>
      </c>
      <c r="R247" s="2" t="inlineStr"/>
    </row>
    <row r="248" ht="15" customHeight="1">
      <c r="A248" t="inlineStr">
        <is>
          <t>A 71880-2021</t>
        </is>
      </c>
      <c r="B248" s="1" t="n">
        <v>44543</v>
      </c>
      <c r="C248" s="1" t="n">
        <v>46189</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17772-2022</t>
        </is>
      </c>
      <c r="B249" s="1" t="n">
        <v>44682.76528935185</v>
      </c>
      <c r="C249" s="1" t="n">
        <v>46189</v>
      </c>
      <c r="D249" t="inlineStr">
        <is>
          <t>STOCKHOLMS LÄN</t>
        </is>
      </c>
      <c r="E249" t="inlineStr">
        <is>
          <t>NORRTÄLJE</t>
        </is>
      </c>
      <c r="G249" t="n">
        <v>4</v>
      </c>
      <c r="H249" t="n">
        <v>0</v>
      </c>
      <c r="I249" t="n">
        <v>0</v>
      </c>
      <c r="J249" t="n">
        <v>0</v>
      </c>
      <c r="K249" t="n">
        <v>0</v>
      </c>
      <c r="L249" t="n">
        <v>0</v>
      </c>
      <c r="M249" t="n">
        <v>0</v>
      </c>
      <c r="N249" t="n">
        <v>0</v>
      </c>
      <c r="O249" t="n">
        <v>0</v>
      </c>
      <c r="P249" t="n">
        <v>0</v>
      </c>
      <c r="Q249" t="n">
        <v>0</v>
      </c>
      <c r="R249" s="2" t="inlineStr"/>
    </row>
    <row r="250" ht="15" customHeight="1">
      <c r="A250" t="inlineStr">
        <is>
          <t>A 24101-2022</t>
        </is>
      </c>
      <c r="B250" s="1" t="n">
        <v>44725</v>
      </c>
      <c r="C250" s="1" t="n">
        <v>46189</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21102-2022</t>
        </is>
      </c>
      <c r="B251" s="1" t="n">
        <v>44704</v>
      </c>
      <c r="C251" s="1" t="n">
        <v>46189</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67285-2021</t>
        </is>
      </c>
      <c r="B252" s="1" t="n">
        <v>44523.61635416667</v>
      </c>
      <c r="C252" s="1" t="n">
        <v>46189</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5611-2022</t>
        </is>
      </c>
      <c r="B253" s="1" t="n">
        <v>44595</v>
      </c>
      <c r="C253" s="1" t="n">
        <v>46189</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32055-2021</t>
        </is>
      </c>
      <c r="B254" s="1" t="n">
        <v>44370.72197916666</v>
      </c>
      <c r="C254" s="1" t="n">
        <v>46189</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38721-2022</t>
        </is>
      </c>
      <c r="B255" s="1" t="n">
        <v>44815</v>
      </c>
      <c r="C255" s="1" t="n">
        <v>46189</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46189</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55012-2024</t>
        </is>
      </c>
      <c r="B257" s="1" t="n">
        <v>45621.34813657407</v>
      </c>
      <c r="C257" s="1" t="n">
        <v>46189</v>
      </c>
      <c r="D257" t="inlineStr">
        <is>
          <t>STOCKHOLMS LÄN</t>
        </is>
      </c>
      <c r="E257" t="inlineStr">
        <is>
          <t>NORRTÄLJE</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12348-2025</t>
        </is>
      </c>
      <c r="B258" s="1" t="n">
        <v>45730.35026620371</v>
      </c>
      <c r="C258" s="1" t="n">
        <v>46189</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33053-2021</t>
        </is>
      </c>
      <c r="B259" s="1" t="n">
        <v>44376</v>
      </c>
      <c r="C259" s="1" t="n">
        <v>46189</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63161-2023</t>
        </is>
      </c>
      <c r="B260" s="1" t="n">
        <v>45273</v>
      </c>
      <c r="C260" s="1" t="n">
        <v>46189</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27715-2022</t>
        </is>
      </c>
      <c r="B261" s="1" t="n">
        <v>44743.47407407407</v>
      </c>
      <c r="C261" s="1" t="n">
        <v>46189</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23271-2023</t>
        </is>
      </c>
      <c r="B262" s="1" t="n">
        <v>45075.91362268518</v>
      </c>
      <c r="C262" s="1" t="n">
        <v>46189</v>
      </c>
      <c r="D262" t="inlineStr">
        <is>
          <t>STOCKHOLMS LÄN</t>
        </is>
      </c>
      <c r="E262" t="inlineStr">
        <is>
          <t>NORRTÄLJE</t>
        </is>
      </c>
      <c r="G262" t="n">
        <v>5.1</v>
      </c>
      <c r="H262" t="n">
        <v>0</v>
      </c>
      <c r="I262" t="n">
        <v>0</v>
      </c>
      <c r="J262" t="n">
        <v>0</v>
      </c>
      <c r="K262" t="n">
        <v>0</v>
      </c>
      <c r="L262" t="n">
        <v>0</v>
      </c>
      <c r="M262" t="n">
        <v>0</v>
      </c>
      <c r="N262" t="n">
        <v>0</v>
      </c>
      <c r="O262" t="n">
        <v>0</v>
      </c>
      <c r="P262" t="n">
        <v>0</v>
      </c>
      <c r="Q262" t="n">
        <v>0</v>
      </c>
      <c r="R262" s="2" t="inlineStr"/>
    </row>
    <row r="263" ht="15" customHeight="1">
      <c r="A263" t="inlineStr">
        <is>
          <t>A 23273-2023</t>
        </is>
      </c>
      <c r="B263" s="1" t="n">
        <v>45075.91971064815</v>
      </c>
      <c r="C263" s="1" t="n">
        <v>46189</v>
      </c>
      <c r="D263" t="inlineStr">
        <is>
          <t>STOCKHOLMS LÄN</t>
        </is>
      </c>
      <c r="E263" t="inlineStr">
        <is>
          <t>NORRTÄLJE</t>
        </is>
      </c>
      <c r="G263" t="n">
        <v>7.5</v>
      </c>
      <c r="H263" t="n">
        <v>0</v>
      </c>
      <c r="I263" t="n">
        <v>0</v>
      </c>
      <c r="J263" t="n">
        <v>0</v>
      </c>
      <c r="K263" t="n">
        <v>0</v>
      </c>
      <c r="L263" t="n">
        <v>0</v>
      </c>
      <c r="M263" t="n">
        <v>0</v>
      </c>
      <c r="N263" t="n">
        <v>0</v>
      </c>
      <c r="O263" t="n">
        <v>0</v>
      </c>
      <c r="P263" t="n">
        <v>0</v>
      </c>
      <c r="Q263" t="n">
        <v>0</v>
      </c>
      <c r="R263" s="2" t="inlineStr"/>
    </row>
    <row r="264" ht="15" customHeight="1">
      <c r="A264" t="inlineStr">
        <is>
          <t>A 30802-2022</t>
        </is>
      </c>
      <c r="B264" s="1" t="n">
        <v>44764</v>
      </c>
      <c r="C264" s="1" t="n">
        <v>46189</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19706-2023</t>
        </is>
      </c>
      <c r="B265" s="1" t="n">
        <v>45051.455</v>
      </c>
      <c r="C265" s="1" t="n">
        <v>46189</v>
      </c>
      <c r="D265" t="inlineStr">
        <is>
          <t>STOCKHOLMS LÄN</t>
        </is>
      </c>
      <c r="E265" t="inlineStr">
        <is>
          <t>NORRTÄLJE</t>
        </is>
      </c>
      <c r="G265" t="n">
        <v>0.2</v>
      </c>
      <c r="H265" t="n">
        <v>0</v>
      </c>
      <c r="I265" t="n">
        <v>0</v>
      </c>
      <c r="J265" t="n">
        <v>0</v>
      </c>
      <c r="K265" t="n">
        <v>0</v>
      </c>
      <c r="L265" t="n">
        <v>0</v>
      </c>
      <c r="M265" t="n">
        <v>0</v>
      </c>
      <c r="N265" t="n">
        <v>0</v>
      </c>
      <c r="O265" t="n">
        <v>0</v>
      </c>
      <c r="P265" t="n">
        <v>0</v>
      </c>
      <c r="Q265" t="n">
        <v>0</v>
      </c>
      <c r="R265" s="2" t="inlineStr"/>
    </row>
    <row r="266" ht="15" customHeight="1">
      <c r="A266" t="inlineStr">
        <is>
          <t>A 16008-2025</t>
        </is>
      </c>
      <c r="B266" s="1" t="n">
        <v>45749</v>
      </c>
      <c r="C266" s="1" t="n">
        <v>46189</v>
      </c>
      <c r="D266" t="inlineStr">
        <is>
          <t>STOCKHOLMS LÄN</t>
        </is>
      </c>
      <c r="E266" t="inlineStr">
        <is>
          <t>NORRTÄLJE</t>
        </is>
      </c>
      <c r="F266" t="inlineStr">
        <is>
          <t>Holmen skog AB</t>
        </is>
      </c>
      <c r="G266" t="n">
        <v>0.9</v>
      </c>
      <c r="H266" t="n">
        <v>0</v>
      </c>
      <c r="I266" t="n">
        <v>0</v>
      </c>
      <c r="J266" t="n">
        <v>0</v>
      </c>
      <c r="K266" t="n">
        <v>0</v>
      </c>
      <c r="L266" t="n">
        <v>0</v>
      </c>
      <c r="M266" t="n">
        <v>0</v>
      </c>
      <c r="N266" t="n">
        <v>0</v>
      </c>
      <c r="O266" t="n">
        <v>0</v>
      </c>
      <c r="P266" t="n">
        <v>0</v>
      </c>
      <c r="Q266" t="n">
        <v>0</v>
      </c>
      <c r="R266" s="2" t="inlineStr"/>
    </row>
    <row r="267" ht="15" customHeight="1">
      <c r="A267" t="inlineStr">
        <is>
          <t>A 9765-2024</t>
        </is>
      </c>
      <c r="B267" s="1" t="n">
        <v>45362.62811342593</v>
      </c>
      <c r="C267" s="1" t="n">
        <v>46189</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47694-2023</t>
        </is>
      </c>
      <c r="B268" s="1" t="n">
        <v>45203.63303240741</v>
      </c>
      <c r="C268" s="1" t="n">
        <v>46189</v>
      </c>
      <c r="D268" t="inlineStr">
        <is>
          <t>STOCKHOLMS LÄN</t>
        </is>
      </c>
      <c r="E268" t="inlineStr">
        <is>
          <t>NORRTÄLJE</t>
        </is>
      </c>
      <c r="G268" t="n">
        <v>5.2</v>
      </c>
      <c r="H268" t="n">
        <v>0</v>
      </c>
      <c r="I268" t="n">
        <v>0</v>
      </c>
      <c r="J268" t="n">
        <v>0</v>
      </c>
      <c r="K268" t="n">
        <v>0</v>
      </c>
      <c r="L268" t="n">
        <v>0</v>
      </c>
      <c r="M268" t="n">
        <v>0</v>
      </c>
      <c r="N268" t="n">
        <v>0</v>
      </c>
      <c r="O268" t="n">
        <v>0</v>
      </c>
      <c r="P268" t="n">
        <v>0</v>
      </c>
      <c r="Q268" t="n">
        <v>0</v>
      </c>
      <c r="R268" s="2" t="inlineStr"/>
    </row>
    <row r="269" ht="15" customHeight="1">
      <c r="A269" t="inlineStr">
        <is>
          <t>A 40425-2021</t>
        </is>
      </c>
      <c r="B269" s="1" t="n">
        <v>44419</v>
      </c>
      <c r="C269" s="1" t="n">
        <v>46189</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40656-2022</t>
        </is>
      </c>
      <c r="B270" s="1" t="n">
        <v>44824.36069444445</v>
      </c>
      <c r="C270" s="1" t="n">
        <v>46189</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42955-2022</t>
        </is>
      </c>
      <c r="B271" s="1" t="n">
        <v>44833.40876157407</v>
      </c>
      <c r="C271" s="1" t="n">
        <v>46189</v>
      </c>
      <c r="D271" t="inlineStr">
        <is>
          <t>STOCKHOLMS LÄN</t>
        </is>
      </c>
      <c r="E271" t="inlineStr">
        <is>
          <t>NORRTÄLJE</t>
        </is>
      </c>
      <c r="G271" t="n">
        <v>13.1</v>
      </c>
      <c r="H271" t="n">
        <v>0</v>
      </c>
      <c r="I271" t="n">
        <v>0</v>
      </c>
      <c r="J271" t="n">
        <v>0</v>
      </c>
      <c r="K271" t="n">
        <v>0</v>
      </c>
      <c r="L271" t="n">
        <v>0</v>
      </c>
      <c r="M271" t="n">
        <v>0</v>
      </c>
      <c r="N271" t="n">
        <v>0</v>
      </c>
      <c r="O271" t="n">
        <v>0</v>
      </c>
      <c r="P271" t="n">
        <v>0</v>
      </c>
      <c r="Q271" t="n">
        <v>0</v>
      </c>
      <c r="R271" s="2" t="inlineStr"/>
    </row>
    <row r="272" ht="15" customHeight="1">
      <c r="A272" t="inlineStr">
        <is>
          <t>A 56631-2024</t>
        </is>
      </c>
      <c r="B272" s="1" t="n">
        <v>45625</v>
      </c>
      <c r="C272" s="1" t="n">
        <v>46189</v>
      </c>
      <c r="D272" t="inlineStr">
        <is>
          <t>STOCKHOLMS LÄN</t>
        </is>
      </c>
      <c r="E272" t="inlineStr">
        <is>
          <t>NORRTÄLJE</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48587-2023</t>
        </is>
      </c>
      <c r="B273" s="1" t="n">
        <v>45208</v>
      </c>
      <c r="C273" s="1" t="n">
        <v>46189</v>
      </c>
      <c r="D273" t="inlineStr">
        <is>
          <t>STOCKHOLMS LÄN</t>
        </is>
      </c>
      <c r="E273" t="inlineStr">
        <is>
          <t>NORRTÄLJE</t>
        </is>
      </c>
      <c r="G273" t="n">
        <v>7</v>
      </c>
      <c r="H273" t="n">
        <v>0</v>
      </c>
      <c r="I273" t="n">
        <v>0</v>
      </c>
      <c r="J273" t="n">
        <v>0</v>
      </c>
      <c r="K273" t="n">
        <v>0</v>
      </c>
      <c r="L273" t="n">
        <v>0</v>
      </c>
      <c r="M273" t="n">
        <v>0</v>
      </c>
      <c r="N273" t="n">
        <v>0</v>
      </c>
      <c r="O273" t="n">
        <v>0</v>
      </c>
      <c r="P273" t="n">
        <v>0</v>
      </c>
      <c r="Q273" t="n">
        <v>0</v>
      </c>
      <c r="R273" s="2" t="inlineStr"/>
    </row>
    <row r="274" ht="15" customHeight="1">
      <c r="A274" t="inlineStr">
        <is>
          <t>A 53600-2022</t>
        </is>
      </c>
      <c r="B274" s="1" t="n">
        <v>44879.70518518519</v>
      </c>
      <c r="C274" s="1" t="n">
        <v>46189</v>
      </c>
      <c r="D274" t="inlineStr">
        <is>
          <t>STOCKHOLMS LÄN</t>
        </is>
      </c>
      <c r="E274" t="inlineStr">
        <is>
          <t>NORRTÄLJE</t>
        </is>
      </c>
      <c r="G274" t="n">
        <v>4.3</v>
      </c>
      <c r="H274" t="n">
        <v>0</v>
      </c>
      <c r="I274" t="n">
        <v>0</v>
      </c>
      <c r="J274" t="n">
        <v>0</v>
      </c>
      <c r="K274" t="n">
        <v>0</v>
      </c>
      <c r="L274" t="n">
        <v>0</v>
      </c>
      <c r="M274" t="n">
        <v>0</v>
      </c>
      <c r="N274" t="n">
        <v>0</v>
      </c>
      <c r="O274" t="n">
        <v>0</v>
      </c>
      <c r="P274" t="n">
        <v>0</v>
      </c>
      <c r="Q274" t="n">
        <v>0</v>
      </c>
      <c r="R274" s="2" t="inlineStr"/>
    </row>
    <row r="275" ht="15" customHeight="1">
      <c r="A275" t="inlineStr">
        <is>
          <t>A 5158-2024</t>
        </is>
      </c>
      <c r="B275" s="1" t="n">
        <v>45330.50098379629</v>
      </c>
      <c r="C275" s="1" t="n">
        <v>46189</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51046-2023</t>
        </is>
      </c>
      <c r="B276" s="1" t="n">
        <v>45218</v>
      </c>
      <c r="C276" s="1" t="n">
        <v>46189</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8736-2024</t>
        </is>
      </c>
      <c r="B277" s="1" t="n">
        <v>45356.4722800926</v>
      </c>
      <c r="C277" s="1" t="n">
        <v>46189</v>
      </c>
      <c r="D277" t="inlineStr">
        <is>
          <t>STOCKHOLMS LÄN</t>
        </is>
      </c>
      <c r="E277" t="inlineStr">
        <is>
          <t>NORRTÄLJE</t>
        </is>
      </c>
      <c r="G277" t="n">
        <v>8.9</v>
      </c>
      <c r="H277" t="n">
        <v>0</v>
      </c>
      <c r="I277" t="n">
        <v>0</v>
      </c>
      <c r="J277" t="n">
        <v>0</v>
      </c>
      <c r="K277" t="n">
        <v>0</v>
      </c>
      <c r="L277" t="n">
        <v>0</v>
      </c>
      <c r="M277" t="n">
        <v>0</v>
      </c>
      <c r="N277" t="n">
        <v>0</v>
      </c>
      <c r="O277" t="n">
        <v>0</v>
      </c>
      <c r="P277" t="n">
        <v>0</v>
      </c>
      <c r="Q277" t="n">
        <v>0</v>
      </c>
      <c r="R277" s="2" t="inlineStr"/>
    </row>
    <row r="278" ht="15" customHeight="1">
      <c r="A278" t="inlineStr">
        <is>
          <t>A 45255-2022</t>
        </is>
      </c>
      <c r="B278" s="1" t="n">
        <v>44840</v>
      </c>
      <c r="C278" s="1" t="n">
        <v>46189</v>
      </c>
      <c r="D278" t="inlineStr">
        <is>
          <t>STOCKHOLMS LÄN</t>
        </is>
      </c>
      <c r="E278" t="inlineStr">
        <is>
          <t>NORRTÄLJE</t>
        </is>
      </c>
      <c r="G278" t="n">
        <v>4.1</v>
      </c>
      <c r="H278" t="n">
        <v>0</v>
      </c>
      <c r="I278" t="n">
        <v>0</v>
      </c>
      <c r="J278" t="n">
        <v>0</v>
      </c>
      <c r="K278" t="n">
        <v>0</v>
      </c>
      <c r="L278" t="n">
        <v>0</v>
      </c>
      <c r="M278" t="n">
        <v>0</v>
      </c>
      <c r="N278" t="n">
        <v>0</v>
      </c>
      <c r="O278" t="n">
        <v>0</v>
      </c>
      <c r="P278" t="n">
        <v>0</v>
      </c>
      <c r="Q278" t="n">
        <v>0</v>
      </c>
      <c r="R278" s="2" t="inlineStr"/>
    </row>
    <row r="279" ht="15" customHeight="1">
      <c r="A279" t="inlineStr">
        <is>
          <t>A 19915-2024</t>
        </is>
      </c>
      <c r="B279" s="1" t="n">
        <v>45433.58431712963</v>
      </c>
      <c r="C279" s="1" t="n">
        <v>46189</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12629-2024</t>
        </is>
      </c>
      <c r="B280" s="1" t="n">
        <v>45383</v>
      </c>
      <c r="C280" s="1" t="n">
        <v>46189</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20428-2024</t>
        </is>
      </c>
      <c r="B281" s="1" t="n">
        <v>45435</v>
      </c>
      <c r="C281" s="1" t="n">
        <v>46189</v>
      </c>
      <c r="D281" t="inlineStr">
        <is>
          <t>STOCKHOLMS LÄN</t>
        </is>
      </c>
      <c r="E281" t="inlineStr">
        <is>
          <t>NORRTÄLJE</t>
        </is>
      </c>
      <c r="G281" t="n">
        <v>3.7</v>
      </c>
      <c r="H281" t="n">
        <v>0</v>
      </c>
      <c r="I281" t="n">
        <v>0</v>
      </c>
      <c r="J281" t="n">
        <v>0</v>
      </c>
      <c r="K281" t="n">
        <v>0</v>
      </c>
      <c r="L281" t="n">
        <v>0</v>
      </c>
      <c r="M281" t="n">
        <v>0</v>
      </c>
      <c r="N281" t="n">
        <v>0</v>
      </c>
      <c r="O281" t="n">
        <v>0</v>
      </c>
      <c r="P281" t="n">
        <v>0</v>
      </c>
      <c r="Q281" t="n">
        <v>0</v>
      </c>
      <c r="R281" s="2" t="inlineStr"/>
    </row>
    <row r="282" ht="15" customHeight="1">
      <c r="A282" t="inlineStr">
        <is>
          <t>A 57037-2022</t>
        </is>
      </c>
      <c r="B282" s="1" t="n">
        <v>44895</v>
      </c>
      <c r="C282" s="1" t="n">
        <v>46189</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23149-2024</t>
        </is>
      </c>
      <c r="B283" s="1" t="n">
        <v>45450.64208333333</v>
      </c>
      <c r="C283" s="1" t="n">
        <v>46189</v>
      </c>
      <c r="D283" t="inlineStr">
        <is>
          <t>STOCKHOLMS LÄN</t>
        </is>
      </c>
      <c r="E283" t="inlineStr">
        <is>
          <t>NORRTÄLJE</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23151-2024</t>
        </is>
      </c>
      <c r="B284" s="1" t="n">
        <v>45450</v>
      </c>
      <c r="C284" s="1" t="n">
        <v>46189</v>
      </c>
      <c r="D284" t="inlineStr">
        <is>
          <t>STOCKHOLMS LÄN</t>
        </is>
      </c>
      <c r="E284" t="inlineStr">
        <is>
          <t>NORRTÄLJE</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55755-2023</t>
        </is>
      </c>
      <c r="B285" s="1" t="n">
        <v>45239</v>
      </c>
      <c r="C285" s="1" t="n">
        <v>46189</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16913-2025</t>
        </is>
      </c>
      <c r="B286" s="1" t="n">
        <v>45755.36583333334</v>
      </c>
      <c r="C286" s="1" t="n">
        <v>46189</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45549-2022</t>
        </is>
      </c>
      <c r="B287" s="1" t="n">
        <v>44845.48064814815</v>
      </c>
      <c r="C287" s="1" t="n">
        <v>46189</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51978-2023</t>
        </is>
      </c>
      <c r="B288" s="1" t="n">
        <v>45223</v>
      </c>
      <c r="C288" s="1" t="n">
        <v>46189</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40761-2024</t>
        </is>
      </c>
      <c r="B289" s="1" t="n">
        <v>45558.46283564815</v>
      </c>
      <c r="C289" s="1" t="n">
        <v>46189</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47431-2023</t>
        </is>
      </c>
      <c r="B290" s="1" t="n">
        <v>45202</v>
      </c>
      <c r="C290" s="1" t="n">
        <v>46189</v>
      </c>
      <c r="D290" t="inlineStr">
        <is>
          <t>STOCKHOLMS LÄN</t>
        </is>
      </c>
      <c r="E290" t="inlineStr">
        <is>
          <t>NORRTÄLJE</t>
        </is>
      </c>
      <c r="F290" t="inlineStr">
        <is>
          <t>Naturvårdsverket</t>
        </is>
      </c>
      <c r="G290" t="n">
        <v>1.2</v>
      </c>
      <c r="H290" t="n">
        <v>0</v>
      </c>
      <c r="I290" t="n">
        <v>0</v>
      </c>
      <c r="J290" t="n">
        <v>0</v>
      </c>
      <c r="K290" t="n">
        <v>0</v>
      </c>
      <c r="L290" t="n">
        <v>0</v>
      </c>
      <c r="M290" t="n">
        <v>0</v>
      </c>
      <c r="N290" t="n">
        <v>0</v>
      </c>
      <c r="O290" t="n">
        <v>0</v>
      </c>
      <c r="P290" t="n">
        <v>0</v>
      </c>
      <c r="Q290" t="n">
        <v>0</v>
      </c>
      <c r="R290" s="2" t="inlineStr"/>
    </row>
    <row r="291" ht="15" customHeight="1">
      <c r="A291" t="inlineStr">
        <is>
          <t>A 23692-2024</t>
        </is>
      </c>
      <c r="B291" s="1" t="n">
        <v>45454.65774305556</v>
      </c>
      <c r="C291" s="1" t="n">
        <v>46189</v>
      </c>
      <c r="D291" t="inlineStr">
        <is>
          <t>STOCKHOLMS LÄN</t>
        </is>
      </c>
      <c r="E291" t="inlineStr">
        <is>
          <t>NORRTÄLJE</t>
        </is>
      </c>
      <c r="G291" t="n">
        <v>3.7</v>
      </c>
      <c r="H291" t="n">
        <v>0</v>
      </c>
      <c r="I291" t="n">
        <v>0</v>
      </c>
      <c r="J291" t="n">
        <v>0</v>
      </c>
      <c r="K291" t="n">
        <v>0</v>
      </c>
      <c r="L291" t="n">
        <v>0</v>
      </c>
      <c r="M291" t="n">
        <v>0</v>
      </c>
      <c r="N291" t="n">
        <v>0</v>
      </c>
      <c r="O291" t="n">
        <v>0</v>
      </c>
      <c r="P291" t="n">
        <v>0</v>
      </c>
      <c r="Q291" t="n">
        <v>0</v>
      </c>
      <c r="R291" s="2" t="inlineStr"/>
    </row>
    <row r="292" ht="15" customHeight="1">
      <c r="A292" t="inlineStr">
        <is>
          <t>A 23262-2023</t>
        </is>
      </c>
      <c r="B292" s="1" t="n">
        <v>45075.90270833333</v>
      </c>
      <c r="C292" s="1" t="n">
        <v>46189</v>
      </c>
      <c r="D292" t="inlineStr">
        <is>
          <t>STOCKHOLMS LÄN</t>
        </is>
      </c>
      <c r="E292" t="inlineStr">
        <is>
          <t>NORRTÄLJE</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23268-2023</t>
        </is>
      </c>
      <c r="B293" s="1" t="n">
        <v>45075.91042824074</v>
      </c>
      <c r="C293" s="1" t="n">
        <v>46189</v>
      </c>
      <c r="D293" t="inlineStr">
        <is>
          <t>STOCKHOLMS LÄN</t>
        </is>
      </c>
      <c r="E293" t="inlineStr">
        <is>
          <t>NORRTÄLJE</t>
        </is>
      </c>
      <c r="G293" t="n">
        <v>3.3</v>
      </c>
      <c r="H293" t="n">
        <v>0</v>
      </c>
      <c r="I293" t="n">
        <v>0</v>
      </c>
      <c r="J293" t="n">
        <v>0</v>
      </c>
      <c r="K293" t="n">
        <v>0</v>
      </c>
      <c r="L293" t="n">
        <v>0</v>
      </c>
      <c r="M293" t="n">
        <v>0</v>
      </c>
      <c r="N293" t="n">
        <v>0</v>
      </c>
      <c r="O293" t="n">
        <v>0</v>
      </c>
      <c r="P293" t="n">
        <v>0</v>
      </c>
      <c r="Q293" t="n">
        <v>0</v>
      </c>
      <c r="R293" s="2" t="inlineStr"/>
    </row>
    <row r="294" ht="15" customHeight="1">
      <c r="A294" t="inlineStr">
        <is>
          <t>A 23270-2023</t>
        </is>
      </c>
      <c r="B294" s="1" t="n">
        <v>45075.91265046296</v>
      </c>
      <c r="C294" s="1" t="n">
        <v>46189</v>
      </c>
      <c r="D294" t="inlineStr">
        <is>
          <t>STOCKHOLMS LÄN</t>
        </is>
      </c>
      <c r="E294" t="inlineStr">
        <is>
          <t>NORRTÄLJE</t>
        </is>
      </c>
      <c r="G294" t="n">
        <v>12.3</v>
      </c>
      <c r="H294" t="n">
        <v>0</v>
      </c>
      <c r="I294" t="n">
        <v>0</v>
      </c>
      <c r="J294" t="n">
        <v>0</v>
      </c>
      <c r="K294" t="n">
        <v>0</v>
      </c>
      <c r="L294" t="n">
        <v>0</v>
      </c>
      <c r="M294" t="n">
        <v>0</v>
      </c>
      <c r="N294" t="n">
        <v>0</v>
      </c>
      <c r="O294" t="n">
        <v>0</v>
      </c>
      <c r="P294" t="n">
        <v>0</v>
      </c>
      <c r="Q294" t="n">
        <v>0</v>
      </c>
      <c r="R294" s="2" t="inlineStr"/>
    </row>
    <row r="295" ht="15" customHeight="1">
      <c r="A295" t="inlineStr">
        <is>
          <t>A 23274-2023</t>
        </is>
      </c>
      <c r="B295" s="1" t="n">
        <v>45075.92153935185</v>
      </c>
      <c r="C295" s="1" t="n">
        <v>46189</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5732-2023</t>
        </is>
      </c>
      <c r="B296" s="1" t="n">
        <v>44962</v>
      </c>
      <c r="C296" s="1" t="n">
        <v>46189</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37550-2022</t>
        </is>
      </c>
      <c r="B297" s="1" t="n">
        <v>44809</v>
      </c>
      <c r="C297" s="1" t="n">
        <v>46189</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50569-2022</t>
        </is>
      </c>
      <c r="B298" s="1" t="n">
        <v>44866.63775462963</v>
      </c>
      <c r="C298" s="1" t="n">
        <v>46189</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25609-2023</t>
        </is>
      </c>
      <c r="B299" s="1" t="n">
        <v>45089</v>
      </c>
      <c r="C299" s="1" t="n">
        <v>46189</v>
      </c>
      <c r="D299" t="inlineStr">
        <is>
          <t>STOCKHOLMS LÄN</t>
        </is>
      </c>
      <c r="E299" t="inlineStr">
        <is>
          <t>NORRTÄLJE</t>
        </is>
      </c>
      <c r="G299" t="n">
        <v>2.5</v>
      </c>
      <c r="H299" t="n">
        <v>0</v>
      </c>
      <c r="I299" t="n">
        <v>0</v>
      </c>
      <c r="J299" t="n">
        <v>0</v>
      </c>
      <c r="K299" t="n">
        <v>0</v>
      </c>
      <c r="L299" t="n">
        <v>0</v>
      </c>
      <c r="M299" t="n">
        <v>0</v>
      </c>
      <c r="N299" t="n">
        <v>0</v>
      </c>
      <c r="O299" t="n">
        <v>0</v>
      </c>
      <c r="P299" t="n">
        <v>0</v>
      </c>
      <c r="Q299" t="n">
        <v>0</v>
      </c>
      <c r="R299" s="2" t="inlineStr"/>
    </row>
    <row r="300" ht="15" customHeight="1">
      <c r="A300" t="inlineStr">
        <is>
          <t>A 60224-2023</t>
        </is>
      </c>
      <c r="B300" s="1" t="n">
        <v>45257</v>
      </c>
      <c r="C300" s="1" t="n">
        <v>46189</v>
      </c>
      <c r="D300" t="inlineStr">
        <is>
          <t>STOCKHOLMS LÄN</t>
        </is>
      </c>
      <c r="E300" t="inlineStr">
        <is>
          <t>NORRTÄLJE</t>
        </is>
      </c>
      <c r="G300" t="n">
        <v>8.1</v>
      </c>
      <c r="H300" t="n">
        <v>0</v>
      </c>
      <c r="I300" t="n">
        <v>0</v>
      </c>
      <c r="J300" t="n">
        <v>0</v>
      </c>
      <c r="K300" t="n">
        <v>0</v>
      </c>
      <c r="L300" t="n">
        <v>0</v>
      </c>
      <c r="M300" t="n">
        <v>0</v>
      </c>
      <c r="N300" t="n">
        <v>0</v>
      </c>
      <c r="O300" t="n">
        <v>0</v>
      </c>
      <c r="P300" t="n">
        <v>0</v>
      </c>
      <c r="Q300" t="n">
        <v>0</v>
      </c>
      <c r="R300" s="2" t="inlineStr"/>
    </row>
    <row r="301" ht="15" customHeight="1">
      <c r="A301" t="inlineStr">
        <is>
          <t>A 17785-2024</t>
        </is>
      </c>
      <c r="B301" s="1" t="n">
        <v>45418.6968287037</v>
      </c>
      <c r="C301" s="1" t="n">
        <v>46189</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22833-2024</t>
        </is>
      </c>
      <c r="B302" s="1" t="n">
        <v>45448.56746527777</v>
      </c>
      <c r="C302" s="1" t="n">
        <v>46189</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21386-2023</t>
        </is>
      </c>
      <c r="B303" s="1" t="n">
        <v>45063.35880787037</v>
      </c>
      <c r="C303" s="1" t="n">
        <v>46189</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4593-2023</t>
        </is>
      </c>
      <c r="B304" s="1" t="n">
        <v>44956</v>
      </c>
      <c r="C304" s="1" t="n">
        <v>46189</v>
      </c>
      <c r="D304" t="inlineStr">
        <is>
          <t>STOCKHOLMS LÄN</t>
        </is>
      </c>
      <c r="E304" t="inlineStr">
        <is>
          <t>NORRTÄLJE</t>
        </is>
      </c>
      <c r="G304" t="n">
        <v>0.4</v>
      </c>
      <c r="H304" t="n">
        <v>0</v>
      </c>
      <c r="I304" t="n">
        <v>0</v>
      </c>
      <c r="J304" t="n">
        <v>0</v>
      </c>
      <c r="K304" t="n">
        <v>0</v>
      </c>
      <c r="L304" t="n">
        <v>0</v>
      </c>
      <c r="M304" t="n">
        <v>0</v>
      </c>
      <c r="N304" t="n">
        <v>0</v>
      </c>
      <c r="O304" t="n">
        <v>0</v>
      </c>
      <c r="P304" t="n">
        <v>0</v>
      </c>
      <c r="Q304" t="n">
        <v>0</v>
      </c>
      <c r="R304" s="2" t="inlineStr"/>
    </row>
    <row r="305" ht="15" customHeight="1">
      <c r="A305" t="inlineStr">
        <is>
          <t>A 26115-2024</t>
        </is>
      </c>
      <c r="B305" s="1" t="n">
        <v>45468.45628472222</v>
      </c>
      <c r="C305" s="1" t="n">
        <v>46189</v>
      </c>
      <c r="D305" t="inlineStr">
        <is>
          <t>STOCKHOLMS LÄN</t>
        </is>
      </c>
      <c r="E305" t="inlineStr">
        <is>
          <t>NORRTÄLJE</t>
        </is>
      </c>
      <c r="G305" t="n">
        <v>0.3</v>
      </c>
      <c r="H305" t="n">
        <v>0</v>
      </c>
      <c r="I305" t="n">
        <v>0</v>
      </c>
      <c r="J305" t="n">
        <v>0</v>
      </c>
      <c r="K305" t="n">
        <v>0</v>
      </c>
      <c r="L305" t="n">
        <v>0</v>
      </c>
      <c r="M305" t="n">
        <v>0</v>
      </c>
      <c r="N305" t="n">
        <v>0</v>
      </c>
      <c r="O305" t="n">
        <v>0</v>
      </c>
      <c r="P305" t="n">
        <v>0</v>
      </c>
      <c r="Q305" t="n">
        <v>0</v>
      </c>
      <c r="R305" s="2" t="inlineStr"/>
    </row>
    <row r="306" ht="15" customHeight="1">
      <c r="A306" t="inlineStr">
        <is>
          <t>A 54396-2021</t>
        </is>
      </c>
      <c r="B306" s="1" t="n">
        <v>44472</v>
      </c>
      <c r="C306" s="1" t="n">
        <v>46189</v>
      </c>
      <c r="D306" t="inlineStr">
        <is>
          <t>STOCKHOLMS LÄN</t>
        </is>
      </c>
      <c r="E306" t="inlineStr">
        <is>
          <t>NORRTÄLJE</t>
        </is>
      </c>
      <c r="G306" t="n">
        <v>2.6</v>
      </c>
      <c r="H306" t="n">
        <v>0</v>
      </c>
      <c r="I306" t="n">
        <v>0</v>
      </c>
      <c r="J306" t="n">
        <v>0</v>
      </c>
      <c r="K306" t="n">
        <v>0</v>
      </c>
      <c r="L306" t="n">
        <v>0</v>
      </c>
      <c r="M306" t="n">
        <v>0</v>
      </c>
      <c r="N306" t="n">
        <v>0</v>
      </c>
      <c r="O306" t="n">
        <v>0</v>
      </c>
      <c r="P306" t="n">
        <v>0</v>
      </c>
      <c r="Q306" t="n">
        <v>0</v>
      </c>
      <c r="R306" s="2" t="inlineStr"/>
    </row>
    <row r="307" ht="15" customHeight="1">
      <c r="A307" t="inlineStr">
        <is>
          <t>A 54273-2021</t>
        </is>
      </c>
      <c r="B307" s="1" t="n">
        <v>44470.72987268519</v>
      </c>
      <c r="C307" s="1" t="n">
        <v>46189</v>
      </c>
      <c r="D307" t="inlineStr">
        <is>
          <t>STOCKHOLMS LÄN</t>
        </is>
      </c>
      <c r="E307" t="inlineStr">
        <is>
          <t>NORRTÄLJE</t>
        </is>
      </c>
      <c r="G307" t="n">
        <v>2.7</v>
      </c>
      <c r="H307" t="n">
        <v>0</v>
      </c>
      <c r="I307" t="n">
        <v>0</v>
      </c>
      <c r="J307" t="n">
        <v>0</v>
      </c>
      <c r="K307" t="n">
        <v>0</v>
      </c>
      <c r="L307" t="n">
        <v>0</v>
      </c>
      <c r="M307" t="n">
        <v>0</v>
      </c>
      <c r="N307" t="n">
        <v>0</v>
      </c>
      <c r="O307" t="n">
        <v>0</v>
      </c>
      <c r="P307" t="n">
        <v>0</v>
      </c>
      <c r="Q307" t="n">
        <v>0</v>
      </c>
      <c r="R307" s="2" t="inlineStr"/>
    </row>
    <row r="308" ht="15" customHeight="1">
      <c r="A308" t="inlineStr">
        <is>
          <t>A 43212-2022</t>
        </is>
      </c>
      <c r="B308" s="1" t="n">
        <v>44834.38636574074</v>
      </c>
      <c r="C308" s="1" t="n">
        <v>46189</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32071-2023</t>
        </is>
      </c>
      <c r="B309" s="1" t="n">
        <v>45119.57728009259</v>
      </c>
      <c r="C309" s="1" t="n">
        <v>46189</v>
      </c>
      <c r="D309" t="inlineStr">
        <is>
          <t>STOCKHOLMS LÄN</t>
        </is>
      </c>
      <c r="E309" t="inlineStr">
        <is>
          <t>NORRTÄLJE</t>
        </is>
      </c>
      <c r="G309" t="n">
        <v>6.5</v>
      </c>
      <c r="H309" t="n">
        <v>0</v>
      </c>
      <c r="I309" t="n">
        <v>0</v>
      </c>
      <c r="J309" t="n">
        <v>0</v>
      </c>
      <c r="K309" t="n">
        <v>0</v>
      </c>
      <c r="L309" t="n">
        <v>0</v>
      </c>
      <c r="M309" t="n">
        <v>0</v>
      </c>
      <c r="N309" t="n">
        <v>0</v>
      </c>
      <c r="O309" t="n">
        <v>0</v>
      </c>
      <c r="P309" t="n">
        <v>0</v>
      </c>
      <c r="Q309" t="n">
        <v>0</v>
      </c>
      <c r="R309" s="2" t="inlineStr"/>
    </row>
    <row r="310" ht="15" customHeight="1">
      <c r="A310" t="inlineStr">
        <is>
          <t>A 25681-2024</t>
        </is>
      </c>
      <c r="B310" s="1" t="n">
        <v>45463.80486111111</v>
      </c>
      <c r="C310" s="1" t="n">
        <v>46189</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6537-2024</t>
        </is>
      </c>
      <c r="B311" s="1" t="n">
        <v>45341.39853009259</v>
      </c>
      <c r="C311" s="1" t="n">
        <v>46189</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55058-2021</t>
        </is>
      </c>
      <c r="B312" s="1" t="n">
        <v>44474.62141203704</v>
      </c>
      <c r="C312" s="1" t="n">
        <v>46189</v>
      </c>
      <c r="D312" t="inlineStr">
        <is>
          <t>STOCKHOLMS LÄN</t>
        </is>
      </c>
      <c r="E312" t="inlineStr">
        <is>
          <t>NORRTÄLJE</t>
        </is>
      </c>
      <c r="G312" t="n">
        <v>1.9</v>
      </c>
      <c r="H312" t="n">
        <v>0</v>
      </c>
      <c r="I312" t="n">
        <v>0</v>
      </c>
      <c r="J312" t="n">
        <v>0</v>
      </c>
      <c r="K312" t="n">
        <v>0</v>
      </c>
      <c r="L312" t="n">
        <v>0</v>
      </c>
      <c r="M312" t="n">
        <v>0</v>
      </c>
      <c r="N312" t="n">
        <v>0</v>
      </c>
      <c r="O312" t="n">
        <v>0</v>
      </c>
      <c r="P312" t="n">
        <v>0</v>
      </c>
      <c r="Q312" t="n">
        <v>0</v>
      </c>
      <c r="R312" s="2" t="inlineStr"/>
    </row>
    <row r="313" ht="15" customHeight="1">
      <c r="A313" t="inlineStr">
        <is>
          <t>A 52260-2022</t>
        </is>
      </c>
      <c r="B313" s="1" t="n">
        <v>44869</v>
      </c>
      <c r="C313" s="1" t="n">
        <v>46189</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34295-2024</t>
        </is>
      </c>
      <c r="B314" s="1" t="n">
        <v>45524</v>
      </c>
      <c r="C314" s="1" t="n">
        <v>46189</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4035-2023</t>
        </is>
      </c>
      <c r="B315" s="1" t="n">
        <v>44952.57989583333</v>
      </c>
      <c r="C315" s="1" t="n">
        <v>46189</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26644-2024</t>
        </is>
      </c>
      <c r="B316" s="1" t="n">
        <v>45469</v>
      </c>
      <c r="C316" s="1" t="n">
        <v>46189</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26668-2024</t>
        </is>
      </c>
      <c r="B317" s="1" t="n">
        <v>45469</v>
      </c>
      <c r="C317" s="1" t="n">
        <v>46189</v>
      </c>
      <c r="D317" t="inlineStr">
        <is>
          <t>STOCKHOLMS LÄN</t>
        </is>
      </c>
      <c r="E317" t="inlineStr">
        <is>
          <t>NORRTÄLJE</t>
        </is>
      </c>
      <c r="G317" t="n">
        <v>4.8</v>
      </c>
      <c r="H317" t="n">
        <v>0</v>
      </c>
      <c r="I317" t="n">
        <v>0</v>
      </c>
      <c r="J317" t="n">
        <v>0</v>
      </c>
      <c r="K317" t="n">
        <v>0</v>
      </c>
      <c r="L317" t="n">
        <v>0</v>
      </c>
      <c r="M317" t="n">
        <v>0</v>
      </c>
      <c r="N317" t="n">
        <v>0</v>
      </c>
      <c r="O317" t="n">
        <v>0</v>
      </c>
      <c r="P317" t="n">
        <v>0</v>
      </c>
      <c r="Q317" t="n">
        <v>0</v>
      </c>
      <c r="R317" s="2" t="inlineStr"/>
    </row>
    <row r="318" ht="15" customHeight="1">
      <c r="A318" t="inlineStr">
        <is>
          <t>A 46988-2024</t>
        </is>
      </c>
      <c r="B318" s="1" t="n">
        <v>45586</v>
      </c>
      <c r="C318" s="1" t="n">
        <v>46189</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37085-2021</t>
        </is>
      </c>
      <c r="B319" s="1" t="n">
        <v>44395</v>
      </c>
      <c r="C319" s="1" t="n">
        <v>46189</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24245-2024</t>
        </is>
      </c>
      <c r="B320" s="1" t="n">
        <v>45457</v>
      </c>
      <c r="C320" s="1" t="n">
        <v>46189</v>
      </c>
      <c r="D320" t="inlineStr">
        <is>
          <t>STOCKHOLMS LÄN</t>
        </is>
      </c>
      <c r="E320" t="inlineStr">
        <is>
          <t>NORRTÄLJE</t>
        </is>
      </c>
      <c r="F320" t="inlineStr">
        <is>
          <t>Holmen skog AB</t>
        </is>
      </c>
      <c r="G320" t="n">
        <v>3.4</v>
      </c>
      <c r="H320" t="n">
        <v>0</v>
      </c>
      <c r="I320" t="n">
        <v>0</v>
      </c>
      <c r="J320" t="n">
        <v>0</v>
      </c>
      <c r="K320" t="n">
        <v>0</v>
      </c>
      <c r="L320" t="n">
        <v>0</v>
      </c>
      <c r="M320" t="n">
        <v>0</v>
      </c>
      <c r="N320" t="n">
        <v>0</v>
      </c>
      <c r="O320" t="n">
        <v>0</v>
      </c>
      <c r="P320" t="n">
        <v>0</v>
      </c>
      <c r="Q320" t="n">
        <v>0</v>
      </c>
      <c r="R320" s="2" t="inlineStr"/>
    </row>
    <row r="321" ht="15" customHeight="1">
      <c r="A321" t="inlineStr">
        <is>
          <t>A 71552-2021</t>
        </is>
      </c>
      <c r="B321" s="1" t="n">
        <v>44540</v>
      </c>
      <c r="C321" s="1" t="n">
        <v>46189</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17382-2024</t>
        </is>
      </c>
      <c r="B322" s="1" t="n">
        <v>45414.65855324074</v>
      </c>
      <c r="C322" s="1" t="n">
        <v>46189</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9914-2023</t>
        </is>
      </c>
      <c r="B323" s="1" t="n">
        <v>44985</v>
      </c>
      <c r="C323" s="1" t="n">
        <v>46189</v>
      </c>
      <c r="D323" t="inlineStr">
        <is>
          <t>STOCKHOLMS LÄN</t>
        </is>
      </c>
      <c r="E323" t="inlineStr">
        <is>
          <t>NORRTÄLJE</t>
        </is>
      </c>
      <c r="G323" t="n">
        <v>4.2</v>
      </c>
      <c r="H323" t="n">
        <v>0</v>
      </c>
      <c r="I323" t="n">
        <v>0</v>
      </c>
      <c r="J323" t="n">
        <v>0</v>
      </c>
      <c r="K323" t="n">
        <v>0</v>
      </c>
      <c r="L323" t="n">
        <v>0</v>
      </c>
      <c r="M323" t="n">
        <v>0</v>
      </c>
      <c r="N323" t="n">
        <v>0</v>
      </c>
      <c r="O323" t="n">
        <v>0</v>
      </c>
      <c r="P323" t="n">
        <v>0</v>
      </c>
      <c r="Q323" t="n">
        <v>0</v>
      </c>
      <c r="R323" s="2" t="inlineStr"/>
    </row>
    <row r="324" ht="15" customHeight="1">
      <c r="A324" t="inlineStr">
        <is>
          <t>A 25557-2023</t>
        </is>
      </c>
      <c r="B324" s="1" t="n">
        <v>45089</v>
      </c>
      <c r="C324" s="1" t="n">
        <v>46189</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60525-2022</t>
        </is>
      </c>
      <c r="B325" s="1" t="n">
        <v>44904</v>
      </c>
      <c r="C325" s="1" t="n">
        <v>46189</v>
      </c>
      <c r="D325" t="inlineStr">
        <is>
          <t>STOCKHOLMS LÄN</t>
        </is>
      </c>
      <c r="E325" t="inlineStr">
        <is>
          <t>NORRTÄLJE</t>
        </is>
      </c>
      <c r="G325" t="n">
        <v>13.4</v>
      </c>
      <c r="H325" t="n">
        <v>0</v>
      </c>
      <c r="I325" t="n">
        <v>0</v>
      </c>
      <c r="J325" t="n">
        <v>0</v>
      </c>
      <c r="K325" t="n">
        <v>0</v>
      </c>
      <c r="L325" t="n">
        <v>0</v>
      </c>
      <c r="M325" t="n">
        <v>0</v>
      </c>
      <c r="N325" t="n">
        <v>0</v>
      </c>
      <c r="O325" t="n">
        <v>0</v>
      </c>
      <c r="P325" t="n">
        <v>0</v>
      </c>
      <c r="Q325" t="n">
        <v>0</v>
      </c>
      <c r="R325" s="2" t="inlineStr"/>
    </row>
    <row r="326" ht="15" customHeight="1">
      <c r="A326" t="inlineStr">
        <is>
          <t>A 23060-2023</t>
        </is>
      </c>
      <c r="B326" s="1" t="n">
        <v>45075</v>
      </c>
      <c r="C326" s="1" t="n">
        <v>46189</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23269-2023</t>
        </is>
      </c>
      <c r="B327" s="1" t="n">
        <v>45075.91148148148</v>
      </c>
      <c r="C327" s="1" t="n">
        <v>46189</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58302-2022</t>
        </is>
      </c>
      <c r="B328" s="1" t="n">
        <v>44901</v>
      </c>
      <c r="C328" s="1" t="n">
        <v>46189</v>
      </c>
      <c r="D328" t="inlineStr">
        <is>
          <t>STOCKHOLMS LÄN</t>
        </is>
      </c>
      <c r="E328" t="inlineStr">
        <is>
          <t>NORRTÄLJE</t>
        </is>
      </c>
      <c r="G328" t="n">
        <v>3.9</v>
      </c>
      <c r="H328" t="n">
        <v>0</v>
      </c>
      <c r="I328" t="n">
        <v>0</v>
      </c>
      <c r="J328" t="n">
        <v>0</v>
      </c>
      <c r="K328" t="n">
        <v>0</v>
      </c>
      <c r="L328" t="n">
        <v>0</v>
      </c>
      <c r="M328" t="n">
        <v>0</v>
      </c>
      <c r="N328" t="n">
        <v>0</v>
      </c>
      <c r="O328" t="n">
        <v>0</v>
      </c>
      <c r="P328" t="n">
        <v>0</v>
      </c>
      <c r="Q328" t="n">
        <v>0</v>
      </c>
      <c r="R328" s="2" t="inlineStr"/>
    </row>
    <row r="329" ht="15" customHeight="1">
      <c r="A329" t="inlineStr">
        <is>
          <t>A 67990-2021</t>
        </is>
      </c>
      <c r="B329" s="1" t="n">
        <v>44525</v>
      </c>
      <c r="C329" s="1" t="n">
        <v>46189</v>
      </c>
      <c r="D329" t="inlineStr">
        <is>
          <t>STOCKHOLMS LÄN</t>
        </is>
      </c>
      <c r="E329" t="inlineStr">
        <is>
          <t>NORRTÄLJE</t>
        </is>
      </c>
      <c r="F329" t="inlineStr">
        <is>
          <t>Sveaskog</t>
        </is>
      </c>
      <c r="G329" t="n">
        <v>7.8</v>
      </c>
      <c r="H329" t="n">
        <v>0</v>
      </c>
      <c r="I329" t="n">
        <v>0</v>
      </c>
      <c r="J329" t="n">
        <v>0</v>
      </c>
      <c r="K329" t="n">
        <v>0</v>
      </c>
      <c r="L329" t="n">
        <v>0</v>
      </c>
      <c r="M329" t="n">
        <v>0</v>
      </c>
      <c r="N329" t="n">
        <v>0</v>
      </c>
      <c r="O329" t="n">
        <v>0</v>
      </c>
      <c r="P329" t="n">
        <v>0</v>
      </c>
      <c r="Q329" t="n">
        <v>0</v>
      </c>
      <c r="R329" s="2" t="inlineStr"/>
    </row>
    <row r="330" ht="15" customHeight="1">
      <c r="A330" t="inlineStr">
        <is>
          <t>A 52743-2024</t>
        </is>
      </c>
      <c r="B330" s="1" t="n">
        <v>45610.47414351852</v>
      </c>
      <c r="C330" s="1" t="n">
        <v>46189</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11499-2023</t>
        </is>
      </c>
      <c r="B331" s="1" t="n">
        <v>44993.66707175926</v>
      </c>
      <c r="C331" s="1" t="n">
        <v>46189</v>
      </c>
      <c r="D331" t="inlineStr">
        <is>
          <t>STOCKHOLMS LÄN</t>
        </is>
      </c>
      <c r="E331" t="inlineStr">
        <is>
          <t>NORRTÄLJE</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35640-2024</t>
        </is>
      </c>
      <c r="B332" s="1" t="n">
        <v>45531</v>
      </c>
      <c r="C332" s="1" t="n">
        <v>46189</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21696-2024</t>
        </is>
      </c>
      <c r="B333" s="1" t="n">
        <v>45442.45686342593</v>
      </c>
      <c r="C333" s="1" t="n">
        <v>46189</v>
      </c>
      <c r="D333" t="inlineStr">
        <is>
          <t>STOCKHOLMS LÄN</t>
        </is>
      </c>
      <c r="E333" t="inlineStr">
        <is>
          <t>NORRTÄLJE</t>
        </is>
      </c>
      <c r="G333" t="n">
        <v>2.9</v>
      </c>
      <c r="H333" t="n">
        <v>0</v>
      </c>
      <c r="I333" t="n">
        <v>0</v>
      </c>
      <c r="J333" t="n">
        <v>0</v>
      </c>
      <c r="K333" t="n">
        <v>0</v>
      </c>
      <c r="L333" t="n">
        <v>0</v>
      </c>
      <c r="M333" t="n">
        <v>0</v>
      </c>
      <c r="N333" t="n">
        <v>0</v>
      </c>
      <c r="O333" t="n">
        <v>0</v>
      </c>
      <c r="P333" t="n">
        <v>0</v>
      </c>
      <c r="Q333" t="n">
        <v>0</v>
      </c>
      <c r="R333" s="2" t="inlineStr"/>
    </row>
    <row r="334" ht="15" customHeight="1">
      <c r="A334" t="inlineStr">
        <is>
          <t>A 37136-2023</t>
        </is>
      </c>
      <c r="B334" s="1" t="n">
        <v>45155</v>
      </c>
      <c r="C334" s="1" t="n">
        <v>46189</v>
      </c>
      <c r="D334" t="inlineStr">
        <is>
          <t>STOCKHOLMS LÄN</t>
        </is>
      </c>
      <c r="E334" t="inlineStr">
        <is>
          <t>NORRTÄLJE</t>
        </is>
      </c>
      <c r="G334" t="n">
        <v>2.5</v>
      </c>
      <c r="H334" t="n">
        <v>0</v>
      </c>
      <c r="I334" t="n">
        <v>0</v>
      </c>
      <c r="J334" t="n">
        <v>0</v>
      </c>
      <c r="K334" t="n">
        <v>0</v>
      </c>
      <c r="L334" t="n">
        <v>0</v>
      </c>
      <c r="M334" t="n">
        <v>0</v>
      </c>
      <c r="N334" t="n">
        <v>0</v>
      </c>
      <c r="O334" t="n">
        <v>0</v>
      </c>
      <c r="P334" t="n">
        <v>0</v>
      </c>
      <c r="Q334" t="n">
        <v>0</v>
      </c>
      <c r="R334" s="2" t="inlineStr"/>
    </row>
    <row r="335" ht="15" customHeight="1">
      <c r="A335" t="inlineStr">
        <is>
          <t>A 1740-2023</t>
        </is>
      </c>
      <c r="B335" s="1" t="n">
        <v>44938</v>
      </c>
      <c r="C335" s="1" t="n">
        <v>46189</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58492-2022</t>
        </is>
      </c>
      <c r="B336" s="1" t="n">
        <v>44902</v>
      </c>
      <c r="C336" s="1" t="n">
        <v>46189</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4581-2025</t>
        </is>
      </c>
      <c r="B337" s="1" t="n">
        <v>45687</v>
      </c>
      <c r="C337" s="1" t="n">
        <v>46189</v>
      </c>
      <c r="D337" t="inlineStr">
        <is>
          <t>STOCKHOLMS LÄN</t>
        </is>
      </c>
      <c r="E337" t="inlineStr">
        <is>
          <t>NORRTÄLJE</t>
        </is>
      </c>
      <c r="F337" t="inlineStr">
        <is>
          <t>Holmen skog AB</t>
        </is>
      </c>
      <c r="G337" t="n">
        <v>2.8</v>
      </c>
      <c r="H337" t="n">
        <v>0</v>
      </c>
      <c r="I337" t="n">
        <v>0</v>
      </c>
      <c r="J337" t="n">
        <v>0</v>
      </c>
      <c r="K337" t="n">
        <v>0</v>
      </c>
      <c r="L337" t="n">
        <v>0</v>
      </c>
      <c r="M337" t="n">
        <v>0</v>
      </c>
      <c r="N337" t="n">
        <v>0</v>
      </c>
      <c r="O337" t="n">
        <v>0</v>
      </c>
      <c r="P337" t="n">
        <v>0</v>
      </c>
      <c r="Q337" t="n">
        <v>0</v>
      </c>
      <c r="R337" s="2" t="inlineStr"/>
    </row>
    <row r="338" ht="15" customHeight="1">
      <c r="A338" t="inlineStr">
        <is>
          <t>A 62398-2022</t>
        </is>
      </c>
      <c r="B338" s="1" t="n">
        <v>44923.90159722222</v>
      </c>
      <c r="C338" s="1" t="n">
        <v>46189</v>
      </c>
      <c r="D338" t="inlineStr">
        <is>
          <t>STOCKHOLMS LÄN</t>
        </is>
      </c>
      <c r="E338" t="inlineStr">
        <is>
          <t>NORRTÄLJE</t>
        </is>
      </c>
      <c r="G338" t="n">
        <v>4</v>
      </c>
      <c r="H338" t="n">
        <v>0</v>
      </c>
      <c r="I338" t="n">
        <v>0</v>
      </c>
      <c r="J338" t="n">
        <v>0</v>
      </c>
      <c r="K338" t="n">
        <v>0</v>
      </c>
      <c r="L338" t="n">
        <v>0</v>
      </c>
      <c r="M338" t="n">
        <v>0</v>
      </c>
      <c r="N338" t="n">
        <v>0</v>
      </c>
      <c r="O338" t="n">
        <v>0</v>
      </c>
      <c r="P338" t="n">
        <v>0</v>
      </c>
      <c r="Q338" t="n">
        <v>0</v>
      </c>
      <c r="R338" s="2" t="inlineStr"/>
    </row>
    <row r="339" ht="15" customHeight="1">
      <c r="A339" t="inlineStr">
        <is>
          <t>A 17039-2024</t>
        </is>
      </c>
      <c r="B339" s="1" t="n">
        <v>45412.4104050926</v>
      </c>
      <c r="C339" s="1" t="n">
        <v>46189</v>
      </c>
      <c r="D339" t="inlineStr">
        <is>
          <t>STOCKHOLMS LÄN</t>
        </is>
      </c>
      <c r="E339" t="inlineStr">
        <is>
          <t>NORRTÄLJE</t>
        </is>
      </c>
      <c r="G339" t="n">
        <v>5.9</v>
      </c>
      <c r="H339" t="n">
        <v>0</v>
      </c>
      <c r="I339" t="n">
        <v>0</v>
      </c>
      <c r="J339" t="n">
        <v>0</v>
      </c>
      <c r="K339" t="n">
        <v>0</v>
      </c>
      <c r="L339" t="n">
        <v>0</v>
      </c>
      <c r="M339" t="n">
        <v>0</v>
      </c>
      <c r="N339" t="n">
        <v>0</v>
      </c>
      <c r="O339" t="n">
        <v>0</v>
      </c>
      <c r="P339" t="n">
        <v>0</v>
      </c>
      <c r="Q339" t="n">
        <v>0</v>
      </c>
      <c r="R339" s="2" t="inlineStr"/>
    </row>
    <row r="340" ht="15" customHeight="1">
      <c r="A340" t="inlineStr">
        <is>
          <t>A 2982-2023</t>
        </is>
      </c>
      <c r="B340" s="1" t="n">
        <v>44945.67409722223</v>
      </c>
      <c r="C340" s="1" t="n">
        <v>46189</v>
      </c>
      <c r="D340" t="inlineStr">
        <is>
          <t>STOCKHOLMS LÄN</t>
        </is>
      </c>
      <c r="E340" t="inlineStr">
        <is>
          <t>NORRTÄLJE</t>
        </is>
      </c>
      <c r="G340" t="n">
        <v>3.3</v>
      </c>
      <c r="H340" t="n">
        <v>0</v>
      </c>
      <c r="I340" t="n">
        <v>0</v>
      </c>
      <c r="J340" t="n">
        <v>0</v>
      </c>
      <c r="K340" t="n">
        <v>0</v>
      </c>
      <c r="L340" t="n">
        <v>0</v>
      </c>
      <c r="M340" t="n">
        <v>0</v>
      </c>
      <c r="N340" t="n">
        <v>0</v>
      </c>
      <c r="O340" t="n">
        <v>0</v>
      </c>
      <c r="P340" t="n">
        <v>0</v>
      </c>
      <c r="Q340" t="n">
        <v>0</v>
      </c>
      <c r="R340" s="2" t="inlineStr"/>
    </row>
    <row r="341" ht="15" customHeight="1">
      <c r="A341" t="inlineStr">
        <is>
          <t>A 1448-2023</t>
        </is>
      </c>
      <c r="B341" s="1" t="n">
        <v>44937</v>
      </c>
      <c r="C341" s="1" t="n">
        <v>46189</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3509-2022</t>
        </is>
      </c>
      <c r="B342" s="1" t="n">
        <v>44585</v>
      </c>
      <c r="C342" s="1" t="n">
        <v>46189</v>
      </c>
      <c r="D342" t="inlineStr">
        <is>
          <t>STOCKHOLMS LÄN</t>
        </is>
      </c>
      <c r="E342" t="inlineStr">
        <is>
          <t>NORRTÄLJE</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9654-2022</t>
        </is>
      </c>
      <c r="B343" s="1" t="n">
        <v>44617</v>
      </c>
      <c r="C343" s="1" t="n">
        <v>46189</v>
      </c>
      <c r="D343" t="inlineStr">
        <is>
          <t>STOCKHOLMS LÄN</t>
        </is>
      </c>
      <c r="E343" t="inlineStr">
        <is>
          <t>NORRTÄLJE</t>
        </is>
      </c>
      <c r="G343" t="n">
        <v>6.4</v>
      </c>
      <c r="H343" t="n">
        <v>0</v>
      </c>
      <c r="I343" t="n">
        <v>0</v>
      </c>
      <c r="J343" t="n">
        <v>0</v>
      </c>
      <c r="K343" t="n">
        <v>0</v>
      </c>
      <c r="L343" t="n">
        <v>0</v>
      </c>
      <c r="M343" t="n">
        <v>0</v>
      </c>
      <c r="N343" t="n">
        <v>0</v>
      </c>
      <c r="O343" t="n">
        <v>0</v>
      </c>
      <c r="P343" t="n">
        <v>0</v>
      </c>
      <c r="Q343" t="n">
        <v>0</v>
      </c>
      <c r="R343" s="2" t="inlineStr"/>
    </row>
    <row r="344" ht="15" customHeight="1">
      <c r="A344" t="inlineStr">
        <is>
          <t>A 39669-2024</t>
        </is>
      </c>
      <c r="B344" s="1" t="n">
        <v>45552.52827546297</v>
      </c>
      <c r="C344" s="1" t="n">
        <v>46189</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37147-2023</t>
        </is>
      </c>
      <c r="B345" s="1" t="n">
        <v>45155</v>
      </c>
      <c r="C345" s="1" t="n">
        <v>46189</v>
      </c>
      <c r="D345" t="inlineStr">
        <is>
          <t>STOCKHOLMS LÄN</t>
        </is>
      </c>
      <c r="E345" t="inlineStr">
        <is>
          <t>NORRTÄLJE</t>
        </is>
      </c>
      <c r="G345" t="n">
        <v>8</v>
      </c>
      <c r="H345" t="n">
        <v>0</v>
      </c>
      <c r="I345" t="n">
        <v>0</v>
      </c>
      <c r="J345" t="n">
        <v>0</v>
      </c>
      <c r="K345" t="n">
        <v>0</v>
      </c>
      <c r="L345" t="n">
        <v>0</v>
      </c>
      <c r="M345" t="n">
        <v>0</v>
      </c>
      <c r="N345" t="n">
        <v>0</v>
      </c>
      <c r="O345" t="n">
        <v>0</v>
      </c>
      <c r="P345" t="n">
        <v>0</v>
      </c>
      <c r="Q345" t="n">
        <v>0</v>
      </c>
      <c r="R345" s="2" t="inlineStr"/>
    </row>
    <row r="346" ht="15" customHeight="1">
      <c r="A346" t="inlineStr">
        <is>
          <t>A 59499-2023</t>
        </is>
      </c>
      <c r="B346" s="1" t="n">
        <v>45254</v>
      </c>
      <c r="C346" s="1" t="n">
        <v>46189</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60654-2023</t>
        </is>
      </c>
      <c r="B347" s="1" t="n">
        <v>45260.43225694444</v>
      </c>
      <c r="C347" s="1" t="n">
        <v>46189</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60656-2023</t>
        </is>
      </c>
      <c r="B348" s="1" t="n">
        <v>45260.4333449074</v>
      </c>
      <c r="C348" s="1" t="n">
        <v>46189</v>
      </c>
      <c r="D348" t="inlineStr">
        <is>
          <t>STOCKHOLMS LÄN</t>
        </is>
      </c>
      <c r="E348" t="inlineStr">
        <is>
          <t>NORRTÄLJE</t>
        </is>
      </c>
      <c r="G348" t="n">
        <v>4.8</v>
      </c>
      <c r="H348" t="n">
        <v>0</v>
      </c>
      <c r="I348" t="n">
        <v>0</v>
      </c>
      <c r="J348" t="n">
        <v>0</v>
      </c>
      <c r="K348" t="n">
        <v>0</v>
      </c>
      <c r="L348" t="n">
        <v>0</v>
      </c>
      <c r="M348" t="n">
        <v>0</v>
      </c>
      <c r="N348" t="n">
        <v>0</v>
      </c>
      <c r="O348" t="n">
        <v>0</v>
      </c>
      <c r="P348" t="n">
        <v>0</v>
      </c>
      <c r="Q348" t="n">
        <v>0</v>
      </c>
      <c r="R348" s="2" t="inlineStr"/>
    </row>
    <row r="349" ht="15" customHeight="1">
      <c r="A349" t="inlineStr">
        <is>
          <t>A 35127-2023</t>
        </is>
      </c>
      <c r="B349" s="1" t="n">
        <v>45145.51</v>
      </c>
      <c r="C349" s="1" t="n">
        <v>46189</v>
      </c>
      <c r="D349" t="inlineStr">
        <is>
          <t>STOCKHOLMS LÄN</t>
        </is>
      </c>
      <c r="E349" t="inlineStr">
        <is>
          <t>NORRTÄLJE</t>
        </is>
      </c>
      <c r="G349" t="n">
        <v>4.7</v>
      </c>
      <c r="H349" t="n">
        <v>0</v>
      </c>
      <c r="I349" t="n">
        <v>0</v>
      </c>
      <c r="J349" t="n">
        <v>0</v>
      </c>
      <c r="K349" t="n">
        <v>0</v>
      </c>
      <c r="L349" t="n">
        <v>0</v>
      </c>
      <c r="M349" t="n">
        <v>0</v>
      </c>
      <c r="N349" t="n">
        <v>0</v>
      </c>
      <c r="O349" t="n">
        <v>0</v>
      </c>
      <c r="P349" t="n">
        <v>0</v>
      </c>
      <c r="Q349" t="n">
        <v>0</v>
      </c>
      <c r="R349" s="2" t="inlineStr"/>
    </row>
    <row r="350" ht="15" customHeight="1">
      <c r="A350" t="inlineStr">
        <is>
          <t>A 22697-2022</t>
        </is>
      </c>
      <c r="B350" s="1" t="n">
        <v>44714.56040509259</v>
      </c>
      <c r="C350" s="1" t="n">
        <v>46189</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50136-2023</t>
        </is>
      </c>
      <c r="B351" s="1" t="n">
        <v>45215</v>
      </c>
      <c r="C351" s="1" t="n">
        <v>46189</v>
      </c>
      <c r="D351" t="inlineStr">
        <is>
          <t>STOCKHOLMS LÄN</t>
        </is>
      </c>
      <c r="E351" t="inlineStr">
        <is>
          <t>NORRTÄLJE</t>
        </is>
      </c>
      <c r="G351" t="n">
        <v>5.2</v>
      </c>
      <c r="H351" t="n">
        <v>0</v>
      </c>
      <c r="I351" t="n">
        <v>0</v>
      </c>
      <c r="J351" t="n">
        <v>0</v>
      </c>
      <c r="K351" t="n">
        <v>0</v>
      </c>
      <c r="L351" t="n">
        <v>0</v>
      </c>
      <c r="M351" t="n">
        <v>0</v>
      </c>
      <c r="N351" t="n">
        <v>0</v>
      </c>
      <c r="O351" t="n">
        <v>0</v>
      </c>
      <c r="P351" t="n">
        <v>0</v>
      </c>
      <c r="Q351" t="n">
        <v>0</v>
      </c>
      <c r="R351" s="2" t="inlineStr"/>
    </row>
    <row r="352" ht="15" customHeight="1">
      <c r="A352" t="inlineStr">
        <is>
          <t>A 50907-2022</t>
        </is>
      </c>
      <c r="B352" s="1" t="n">
        <v>44867.62090277778</v>
      </c>
      <c r="C352" s="1" t="n">
        <v>46189</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6919-2025</t>
        </is>
      </c>
      <c r="B353" s="1" t="n">
        <v>45701.44372685185</v>
      </c>
      <c r="C353" s="1" t="n">
        <v>46189</v>
      </c>
      <c r="D353" t="inlineStr">
        <is>
          <t>STOCKHOLMS LÄN</t>
        </is>
      </c>
      <c r="E353" t="inlineStr">
        <is>
          <t>NORRTÄLJE</t>
        </is>
      </c>
      <c r="G353" t="n">
        <v>3.5</v>
      </c>
      <c r="H353" t="n">
        <v>0</v>
      </c>
      <c r="I353" t="n">
        <v>0</v>
      </c>
      <c r="J353" t="n">
        <v>0</v>
      </c>
      <c r="K353" t="n">
        <v>0</v>
      </c>
      <c r="L353" t="n">
        <v>0</v>
      </c>
      <c r="M353" t="n">
        <v>0</v>
      </c>
      <c r="N353" t="n">
        <v>0</v>
      </c>
      <c r="O353" t="n">
        <v>0</v>
      </c>
      <c r="P353" t="n">
        <v>0</v>
      </c>
      <c r="Q353" t="n">
        <v>0</v>
      </c>
      <c r="R353" s="2" t="inlineStr"/>
    </row>
    <row r="354" ht="15" customHeight="1">
      <c r="A354" t="inlineStr">
        <is>
          <t>A 8433-2022</t>
        </is>
      </c>
      <c r="B354" s="1" t="n">
        <v>44611</v>
      </c>
      <c r="C354" s="1" t="n">
        <v>46189</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48180-2023</t>
        </is>
      </c>
      <c r="B355" s="1" t="n">
        <v>45205</v>
      </c>
      <c r="C355" s="1" t="n">
        <v>46189</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57353-2024</t>
        </is>
      </c>
      <c r="B356" s="1" t="n">
        <v>45629.65143518519</v>
      </c>
      <c r="C356" s="1" t="n">
        <v>46189</v>
      </c>
      <c r="D356" t="inlineStr">
        <is>
          <t>STOCKHOLMS LÄN</t>
        </is>
      </c>
      <c r="E356" t="inlineStr">
        <is>
          <t>NORRTÄLJE</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10215-2023</t>
        </is>
      </c>
      <c r="B357" s="1" t="n">
        <v>44986.5887962963</v>
      </c>
      <c r="C357" s="1" t="n">
        <v>46189</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52001-2023</t>
        </is>
      </c>
      <c r="B358" s="1" t="n">
        <v>45223</v>
      </c>
      <c r="C358" s="1" t="n">
        <v>46189</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22456-2023</t>
        </is>
      </c>
      <c r="B359" s="1" t="n">
        <v>45070</v>
      </c>
      <c r="C359" s="1" t="n">
        <v>46189</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31559-2022</t>
        </is>
      </c>
      <c r="B360" s="1" t="n">
        <v>44775</v>
      </c>
      <c r="C360" s="1" t="n">
        <v>46189</v>
      </c>
      <c r="D360" t="inlineStr">
        <is>
          <t>STOCKHOLMS LÄN</t>
        </is>
      </c>
      <c r="E360" t="inlineStr">
        <is>
          <t>NORRTÄLJE</t>
        </is>
      </c>
      <c r="G360" t="n">
        <v>5.6</v>
      </c>
      <c r="H360" t="n">
        <v>0</v>
      </c>
      <c r="I360" t="n">
        <v>0</v>
      </c>
      <c r="J360" t="n">
        <v>0</v>
      </c>
      <c r="K360" t="n">
        <v>0</v>
      </c>
      <c r="L360" t="n">
        <v>0</v>
      </c>
      <c r="M360" t="n">
        <v>0</v>
      </c>
      <c r="N360" t="n">
        <v>0</v>
      </c>
      <c r="O360" t="n">
        <v>0</v>
      </c>
      <c r="P360" t="n">
        <v>0</v>
      </c>
      <c r="Q360" t="n">
        <v>0</v>
      </c>
      <c r="R360" s="2" t="inlineStr"/>
    </row>
    <row r="361" ht="15" customHeight="1">
      <c r="A361" t="inlineStr">
        <is>
          <t>A 19580-2022</t>
        </is>
      </c>
      <c r="B361" s="1" t="n">
        <v>44693</v>
      </c>
      <c r="C361" s="1" t="n">
        <v>46189</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51653-2022</t>
        </is>
      </c>
      <c r="B362" s="1" t="n">
        <v>44867</v>
      </c>
      <c r="C362" s="1" t="n">
        <v>46189</v>
      </c>
      <c r="D362" t="inlineStr">
        <is>
          <t>STOCKHOLMS LÄN</t>
        </is>
      </c>
      <c r="E362" t="inlineStr">
        <is>
          <t>NORRTÄLJE</t>
        </is>
      </c>
      <c r="G362" t="n">
        <v>6.6</v>
      </c>
      <c r="H362" t="n">
        <v>0</v>
      </c>
      <c r="I362" t="n">
        <v>0</v>
      </c>
      <c r="J362" t="n">
        <v>0</v>
      </c>
      <c r="K362" t="n">
        <v>0</v>
      </c>
      <c r="L362" t="n">
        <v>0</v>
      </c>
      <c r="M362" t="n">
        <v>0</v>
      </c>
      <c r="N362" t="n">
        <v>0</v>
      </c>
      <c r="O362" t="n">
        <v>0</v>
      </c>
      <c r="P362" t="n">
        <v>0</v>
      </c>
      <c r="Q362" t="n">
        <v>0</v>
      </c>
      <c r="R362" s="2" t="inlineStr"/>
    </row>
    <row r="363" ht="15" customHeight="1">
      <c r="A363" t="inlineStr">
        <is>
          <t>A 32103-2022</t>
        </is>
      </c>
      <c r="B363" s="1" t="n">
        <v>44778</v>
      </c>
      <c r="C363" s="1" t="n">
        <v>46189</v>
      </c>
      <c r="D363" t="inlineStr">
        <is>
          <t>STOCKHOLMS LÄN</t>
        </is>
      </c>
      <c r="E363" t="inlineStr">
        <is>
          <t>NORRTÄLJE</t>
        </is>
      </c>
      <c r="G363" t="n">
        <v>3.4</v>
      </c>
      <c r="H363" t="n">
        <v>0</v>
      </c>
      <c r="I363" t="n">
        <v>0</v>
      </c>
      <c r="J363" t="n">
        <v>0</v>
      </c>
      <c r="K363" t="n">
        <v>0</v>
      </c>
      <c r="L363" t="n">
        <v>0</v>
      </c>
      <c r="M363" t="n">
        <v>0</v>
      </c>
      <c r="N363" t="n">
        <v>0</v>
      </c>
      <c r="O363" t="n">
        <v>0</v>
      </c>
      <c r="P363" t="n">
        <v>0</v>
      </c>
      <c r="Q363" t="n">
        <v>0</v>
      </c>
      <c r="R363" s="2" t="inlineStr"/>
    </row>
    <row r="364" ht="15" customHeight="1">
      <c r="A364" t="inlineStr">
        <is>
          <t>A 55952-2024</t>
        </is>
      </c>
      <c r="B364" s="1" t="n">
        <v>45623.62563657408</v>
      </c>
      <c r="C364" s="1" t="n">
        <v>46189</v>
      </c>
      <c r="D364" t="inlineStr">
        <is>
          <t>STOCKHOLMS LÄN</t>
        </is>
      </c>
      <c r="E364" t="inlineStr">
        <is>
          <t>NORRTÄLJE</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23070-2023</t>
        </is>
      </c>
      <c r="B365" s="1" t="n">
        <v>45075</v>
      </c>
      <c r="C365" s="1" t="n">
        <v>46189</v>
      </c>
      <c r="D365" t="inlineStr">
        <is>
          <t>STOCKHOLMS LÄN</t>
        </is>
      </c>
      <c r="E365" t="inlineStr">
        <is>
          <t>NORRTÄLJE</t>
        </is>
      </c>
      <c r="G365" t="n">
        <v>1.5</v>
      </c>
      <c r="H365" t="n">
        <v>0</v>
      </c>
      <c r="I365" t="n">
        <v>0</v>
      </c>
      <c r="J365" t="n">
        <v>0</v>
      </c>
      <c r="K365" t="n">
        <v>0</v>
      </c>
      <c r="L365" t="n">
        <v>0</v>
      </c>
      <c r="M365" t="n">
        <v>0</v>
      </c>
      <c r="N365" t="n">
        <v>0</v>
      </c>
      <c r="O365" t="n">
        <v>0</v>
      </c>
      <c r="P365" t="n">
        <v>0</v>
      </c>
      <c r="Q365" t="n">
        <v>0</v>
      </c>
      <c r="R365" s="2" t="inlineStr"/>
    </row>
    <row r="366" ht="15" customHeight="1">
      <c r="A366" t="inlineStr">
        <is>
          <t>A 5823-2023</t>
        </is>
      </c>
      <c r="B366" s="1" t="n">
        <v>44963</v>
      </c>
      <c r="C366" s="1" t="n">
        <v>46189</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30731-2023</t>
        </is>
      </c>
      <c r="B367" s="1" t="n">
        <v>45112</v>
      </c>
      <c r="C367" s="1" t="n">
        <v>46189</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36269-2022</t>
        </is>
      </c>
      <c r="B368" s="1" t="n">
        <v>44803</v>
      </c>
      <c r="C368" s="1" t="n">
        <v>46189</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7571-2024</t>
        </is>
      </c>
      <c r="B369" s="1" t="n">
        <v>45348.46300925926</v>
      </c>
      <c r="C369" s="1" t="n">
        <v>46189</v>
      </c>
      <c r="D369" t="inlineStr">
        <is>
          <t>STOCKHOLMS LÄN</t>
        </is>
      </c>
      <c r="E369" t="inlineStr">
        <is>
          <t>NORRTÄLJE</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26636-2023</t>
        </is>
      </c>
      <c r="B370" s="1" t="n">
        <v>45092</v>
      </c>
      <c r="C370" s="1" t="n">
        <v>46189</v>
      </c>
      <c r="D370" t="inlineStr">
        <is>
          <t>STOCKHOLMS LÄN</t>
        </is>
      </c>
      <c r="E370" t="inlineStr">
        <is>
          <t>NORRTÄLJE</t>
        </is>
      </c>
      <c r="G370" t="n">
        <v>1.7</v>
      </c>
      <c r="H370" t="n">
        <v>0</v>
      </c>
      <c r="I370" t="n">
        <v>0</v>
      </c>
      <c r="J370" t="n">
        <v>0</v>
      </c>
      <c r="K370" t="n">
        <v>0</v>
      </c>
      <c r="L370" t="n">
        <v>0</v>
      </c>
      <c r="M370" t="n">
        <v>0</v>
      </c>
      <c r="N370" t="n">
        <v>0</v>
      </c>
      <c r="O370" t="n">
        <v>0</v>
      </c>
      <c r="P370" t="n">
        <v>0</v>
      </c>
      <c r="Q370" t="n">
        <v>0</v>
      </c>
      <c r="R370" s="2" t="inlineStr"/>
    </row>
    <row r="371" ht="15" customHeight="1">
      <c r="A371" t="inlineStr">
        <is>
          <t>A 26637-2023</t>
        </is>
      </c>
      <c r="B371" s="1" t="n">
        <v>45092</v>
      </c>
      <c r="C371" s="1" t="n">
        <v>46189</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5665-2025</t>
        </is>
      </c>
      <c r="B372" s="1" t="n">
        <v>45693</v>
      </c>
      <c r="C372" s="1" t="n">
        <v>46189</v>
      </c>
      <c r="D372" t="inlineStr">
        <is>
          <t>STOCKHOLMS LÄN</t>
        </is>
      </c>
      <c r="E372" t="inlineStr">
        <is>
          <t>NORRTÄLJE</t>
        </is>
      </c>
      <c r="G372" t="n">
        <v>4</v>
      </c>
      <c r="H372" t="n">
        <v>0</v>
      </c>
      <c r="I372" t="n">
        <v>0</v>
      </c>
      <c r="J372" t="n">
        <v>0</v>
      </c>
      <c r="K372" t="n">
        <v>0</v>
      </c>
      <c r="L372" t="n">
        <v>0</v>
      </c>
      <c r="M372" t="n">
        <v>0</v>
      </c>
      <c r="N372" t="n">
        <v>0</v>
      </c>
      <c r="O372" t="n">
        <v>0</v>
      </c>
      <c r="P372" t="n">
        <v>0</v>
      </c>
      <c r="Q372" t="n">
        <v>0</v>
      </c>
      <c r="R372" s="2" t="inlineStr"/>
    </row>
    <row r="373" ht="15" customHeight="1">
      <c r="A373" t="inlineStr">
        <is>
          <t>A 23266-2023</t>
        </is>
      </c>
      <c r="B373" s="1" t="n">
        <v>45075.90817129629</v>
      </c>
      <c r="C373" s="1" t="n">
        <v>46189</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58863-2024</t>
        </is>
      </c>
      <c r="B374" s="1" t="n">
        <v>45636.41572916666</v>
      </c>
      <c r="C374" s="1" t="n">
        <v>46189</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15447-2023</t>
        </is>
      </c>
      <c r="B375" s="1" t="n">
        <v>45020</v>
      </c>
      <c r="C375" s="1" t="n">
        <v>46189</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34391-2023</t>
        </is>
      </c>
      <c r="B376" s="1" t="n">
        <v>45139.51457175926</v>
      </c>
      <c r="C376" s="1" t="n">
        <v>46189</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35161-2022</t>
        </is>
      </c>
      <c r="B377" s="1" t="n">
        <v>44797</v>
      </c>
      <c r="C377" s="1" t="n">
        <v>46189</v>
      </c>
      <c r="D377" t="inlineStr">
        <is>
          <t>STOCKHOLMS LÄN</t>
        </is>
      </c>
      <c r="E377" t="inlineStr">
        <is>
          <t>NORRTÄLJE</t>
        </is>
      </c>
      <c r="G377" t="n">
        <v>6</v>
      </c>
      <c r="H377" t="n">
        <v>0</v>
      </c>
      <c r="I377" t="n">
        <v>0</v>
      </c>
      <c r="J377" t="n">
        <v>0</v>
      </c>
      <c r="K377" t="n">
        <v>0</v>
      </c>
      <c r="L377" t="n">
        <v>0</v>
      </c>
      <c r="M377" t="n">
        <v>0</v>
      </c>
      <c r="N377" t="n">
        <v>0</v>
      </c>
      <c r="O377" t="n">
        <v>0</v>
      </c>
      <c r="P377" t="n">
        <v>0</v>
      </c>
      <c r="Q377" t="n">
        <v>0</v>
      </c>
      <c r="R377" s="2" t="inlineStr"/>
    </row>
    <row r="378" ht="15" customHeight="1">
      <c r="A378" t="inlineStr">
        <is>
          <t>A 39905-2023</t>
        </is>
      </c>
      <c r="B378" s="1" t="n">
        <v>45168.44489583333</v>
      </c>
      <c r="C378" s="1" t="n">
        <v>46189</v>
      </c>
      <c r="D378" t="inlineStr">
        <is>
          <t>STOCKHOLMS LÄN</t>
        </is>
      </c>
      <c r="E378" t="inlineStr">
        <is>
          <t>NORRTÄLJE</t>
        </is>
      </c>
      <c r="F378" t="inlineStr">
        <is>
          <t>Holmen skog AB</t>
        </is>
      </c>
      <c r="G378" t="n">
        <v>1.5</v>
      </c>
      <c r="H378" t="n">
        <v>0</v>
      </c>
      <c r="I378" t="n">
        <v>0</v>
      </c>
      <c r="J378" t="n">
        <v>0</v>
      </c>
      <c r="K378" t="n">
        <v>0</v>
      </c>
      <c r="L378" t="n">
        <v>0</v>
      </c>
      <c r="M378" t="n">
        <v>0</v>
      </c>
      <c r="N378" t="n">
        <v>0</v>
      </c>
      <c r="O378" t="n">
        <v>0</v>
      </c>
      <c r="P378" t="n">
        <v>0</v>
      </c>
      <c r="Q378" t="n">
        <v>0</v>
      </c>
      <c r="R378" s="2" t="inlineStr"/>
    </row>
    <row r="379" ht="15" customHeight="1">
      <c r="A379" t="inlineStr">
        <is>
          <t>A 53312-2024</t>
        </is>
      </c>
      <c r="B379" s="1" t="n">
        <v>45614.39627314815</v>
      </c>
      <c r="C379" s="1" t="n">
        <v>46189</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21158-2022</t>
        </is>
      </c>
      <c r="B380" s="1" t="n">
        <v>44704</v>
      </c>
      <c r="C380" s="1" t="n">
        <v>46189</v>
      </c>
      <c r="D380" t="inlineStr">
        <is>
          <t>STOCKHOLMS LÄN</t>
        </is>
      </c>
      <c r="E380" t="inlineStr">
        <is>
          <t>NORRTÄLJE</t>
        </is>
      </c>
      <c r="G380" t="n">
        <v>17.8</v>
      </c>
      <c r="H380" t="n">
        <v>0</v>
      </c>
      <c r="I380" t="n">
        <v>0</v>
      </c>
      <c r="J380" t="n">
        <v>0</v>
      </c>
      <c r="K380" t="n">
        <v>0</v>
      </c>
      <c r="L380" t="n">
        <v>0</v>
      </c>
      <c r="M380" t="n">
        <v>0</v>
      </c>
      <c r="N380" t="n">
        <v>0</v>
      </c>
      <c r="O380" t="n">
        <v>0</v>
      </c>
      <c r="P380" t="n">
        <v>0</v>
      </c>
      <c r="Q380" t="n">
        <v>0</v>
      </c>
      <c r="R380" s="2" t="inlineStr"/>
    </row>
    <row r="381" ht="15" customHeight="1">
      <c r="A381" t="inlineStr">
        <is>
          <t>A 33793-2022</t>
        </is>
      </c>
      <c r="B381" s="1" t="n">
        <v>44790</v>
      </c>
      <c r="C381" s="1" t="n">
        <v>46189</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15915-2023</t>
        </is>
      </c>
      <c r="B382" s="1" t="n">
        <v>45022</v>
      </c>
      <c r="C382" s="1" t="n">
        <v>46189</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58993-2022</t>
        </is>
      </c>
      <c r="B383" s="1" t="n">
        <v>44903</v>
      </c>
      <c r="C383" s="1" t="n">
        <v>46189</v>
      </c>
      <c r="D383" t="inlineStr">
        <is>
          <t>STOCKHOLMS LÄN</t>
        </is>
      </c>
      <c r="E383" t="inlineStr">
        <is>
          <t>NORRTÄLJE</t>
        </is>
      </c>
      <c r="G383" t="n">
        <v>2.3</v>
      </c>
      <c r="H383" t="n">
        <v>0</v>
      </c>
      <c r="I383" t="n">
        <v>0</v>
      </c>
      <c r="J383" t="n">
        <v>0</v>
      </c>
      <c r="K383" t="n">
        <v>0</v>
      </c>
      <c r="L383" t="n">
        <v>0</v>
      </c>
      <c r="M383" t="n">
        <v>0</v>
      </c>
      <c r="N383" t="n">
        <v>0</v>
      </c>
      <c r="O383" t="n">
        <v>0</v>
      </c>
      <c r="P383" t="n">
        <v>0</v>
      </c>
      <c r="Q383" t="n">
        <v>0</v>
      </c>
      <c r="R383" s="2" t="inlineStr"/>
    </row>
    <row r="384" ht="15" customHeight="1">
      <c r="A384" t="inlineStr">
        <is>
          <t>A 16852-2024</t>
        </is>
      </c>
      <c r="B384" s="1" t="n">
        <v>45411.54768518519</v>
      </c>
      <c r="C384" s="1" t="n">
        <v>46189</v>
      </c>
      <c r="D384" t="inlineStr">
        <is>
          <t>STOCKHOLMS LÄN</t>
        </is>
      </c>
      <c r="E384" t="inlineStr">
        <is>
          <t>NORRTÄLJE</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17304-2024</t>
        </is>
      </c>
      <c r="B385" s="1" t="n">
        <v>45414</v>
      </c>
      <c r="C385" s="1" t="n">
        <v>46189</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4326-2023</t>
        </is>
      </c>
      <c r="B386" s="1" t="n">
        <v>44953.70481481482</v>
      </c>
      <c r="C386" s="1" t="n">
        <v>46189</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33385-2024</t>
        </is>
      </c>
      <c r="B387" s="1" t="n">
        <v>45519</v>
      </c>
      <c r="C387" s="1" t="n">
        <v>46189</v>
      </c>
      <c r="D387" t="inlineStr">
        <is>
          <t>STOCKHOLMS LÄN</t>
        </is>
      </c>
      <c r="E387" t="inlineStr">
        <is>
          <t>NORRTÄLJE</t>
        </is>
      </c>
      <c r="G387" t="n">
        <v>1.7</v>
      </c>
      <c r="H387" t="n">
        <v>0</v>
      </c>
      <c r="I387" t="n">
        <v>0</v>
      </c>
      <c r="J387" t="n">
        <v>0</v>
      </c>
      <c r="K387" t="n">
        <v>0</v>
      </c>
      <c r="L387" t="n">
        <v>0</v>
      </c>
      <c r="M387" t="n">
        <v>0</v>
      </c>
      <c r="N387" t="n">
        <v>0</v>
      </c>
      <c r="O387" t="n">
        <v>0</v>
      </c>
      <c r="P387" t="n">
        <v>0</v>
      </c>
      <c r="Q387" t="n">
        <v>0</v>
      </c>
      <c r="R387" s="2" t="inlineStr"/>
    </row>
    <row r="388" ht="15" customHeight="1">
      <c r="A388" t="inlineStr">
        <is>
          <t>A 29714-2023</t>
        </is>
      </c>
      <c r="B388" s="1" t="n">
        <v>45107.42538194444</v>
      </c>
      <c r="C388" s="1" t="n">
        <v>46189</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30508-2023</t>
        </is>
      </c>
      <c r="B389" s="1" t="n">
        <v>45111</v>
      </c>
      <c r="C389" s="1" t="n">
        <v>46189</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31236-2022</t>
        </is>
      </c>
      <c r="B390" s="1" t="n">
        <v>44771</v>
      </c>
      <c r="C390" s="1" t="n">
        <v>46189</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8296-2023</t>
        </is>
      </c>
      <c r="B391" s="1" t="n">
        <v>44974</v>
      </c>
      <c r="C391" s="1" t="n">
        <v>46189</v>
      </c>
      <c r="D391" t="inlineStr">
        <is>
          <t>STOCKHOLMS LÄN</t>
        </is>
      </c>
      <c r="E391" t="inlineStr">
        <is>
          <t>NORRTÄLJE</t>
        </is>
      </c>
      <c r="G391" t="n">
        <v>3.8</v>
      </c>
      <c r="H391" t="n">
        <v>0</v>
      </c>
      <c r="I391" t="n">
        <v>0</v>
      </c>
      <c r="J391" t="n">
        <v>0</v>
      </c>
      <c r="K391" t="n">
        <v>0</v>
      </c>
      <c r="L391" t="n">
        <v>0</v>
      </c>
      <c r="M391" t="n">
        <v>0</v>
      </c>
      <c r="N391" t="n">
        <v>0</v>
      </c>
      <c r="O391" t="n">
        <v>0</v>
      </c>
      <c r="P391" t="n">
        <v>0</v>
      </c>
      <c r="Q391" t="n">
        <v>0</v>
      </c>
      <c r="R391" s="2" t="inlineStr"/>
    </row>
    <row r="392" ht="15" customHeight="1">
      <c r="A392" t="inlineStr">
        <is>
          <t>A 52593-2024</t>
        </is>
      </c>
      <c r="B392" s="1" t="n">
        <v>45609.70778935185</v>
      </c>
      <c r="C392" s="1" t="n">
        <v>46189</v>
      </c>
      <c r="D392" t="inlineStr">
        <is>
          <t>STOCKHOLMS LÄN</t>
        </is>
      </c>
      <c r="E392" t="inlineStr">
        <is>
          <t>NORRTÄLJE</t>
        </is>
      </c>
      <c r="F392" t="inlineStr">
        <is>
          <t>Holmen skog AB</t>
        </is>
      </c>
      <c r="G392" t="n">
        <v>2.4</v>
      </c>
      <c r="H392" t="n">
        <v>0</v>
      </c>
      <c r="I392" t="n">
        <v>0</v>
      </c>
      <c r="J392" t="n">
        <v>0</v>
      </c>
      <c r="K392" t="n">
        <v>0</v>
      </c>
      <c r="L392" t="n">
        <v>0</v>
      </c>
      <c r="M392" t="n">
        <v>0</v>
      </c>
      <c r="N392" t="n">
        <v>0</v>
      </c>
      <c r="O392" t="n">
        <v>0</v>
      </c>
      <c r="P392" t="n">
        <v>0</v>
      </c>
      <c r="Q392" t="n">
        <v>0</v>
      </c>
      <c r="R392" s="2" t="inlineStr"/>
    </row>
    <row r="393" ht="15" customHeight="1">
      <c r="A393" t="inlineStr">
        <is>
          <t>A 52617-2024</t>
        </is>
      </c>
      <c r="B393" s="1" t="n">
        <v>45609.85146990741</v>
      </c>
      <c r="C393" s="1" t="n">
        <v>46189</v>
      </c>
      <c r="D393" t="inlineStr">
        <is>
          <t>STOCKHOLMS LÄN</t>
        </is>
      </c>
      <c r="E393" t="inlineStr">
        <is>
          <t>NORRTÄLJE</t>
        </is>
      </c>
      <c r="G393" t="n">
        <v>0.8</v>
      </c>
      <c r="H393" t="n">
        <v>0</v>
      </c>
      <c r="I393" t="n">
        <v>0</v>
      </c>
      <c r="J393" t="n">
        <v>0</v>
      </c>
      <c r="K393" t="n">
        <v>0</v>
      </c>
      <c r="L393" t="n">
        <v>0</v>
      </c>
      <c r="M393" t="n">
        <v>0</v>
      </c>
      <c r="N393" t="n">
        <v>0</v>
      </c>
      <c r="O393" t="n">
        <v>0</v>
      </c>
      <c r="P393" t="n">
        <v>0</v>
      </c>
      <c r="Q393" t="n">
        <v>0</v>
      </c>
      <c r="R393" s="2" t="inlineStr"/>
    </row>
    <row r="394" ht="15" customHeight="1">
      <c r="A394" t="inlineStr">
        <is>
          <t>A 27824-2022</t>
        </is>
      </c>
      <c r="B394" s="1" t="n">
        <v>44743.59331018518</v>
      </c>
      <c r="C394" s="1" t="n">
        <v>46189</v>
      </c>
      <c r="D394" t="inlineStr">
        <is>
          <t>STOCKHOLMS LÄN</t>
        </is>
      </c>
      <c r="E394" t="inlineStr">
        <is>
          <t>NORRTÄLJE</t>
        </is>
      </c>
      <c r="F394" t="inlineStr">
        <is>
          <t>Kommuner</t>
        </is>
      </c>
      <c r="G394" t="n">
        <v>3.1</v>
      </c>
      <c r="H394" t="n">
        <v>0</v>
      </c>
      <c r="I394" t="n">
        <v>0</v>
      </c>
      <c r="J394" t="n">
        <v>0</v>
      </c>
      <c r="K394" t="n">
        <v>0</v>
      </c>
      <c r="L394" t="n">
        <v>0</v>
      </c>
      <c r="M394" t="n">
        <v>0</v>
      </c>
      <c r="N394" t="n">
        <v>0</v>
      </c>
      <c r="O394" t="n">
        <v>0</v>
      </c>
      <c r="P394" t="n">
        <v>0</v>
      </c>
      <c r="Q394" t="n">
        <v>0</v>
      </c>
      <c r="R394" s="2" t="inlineStr"/>
    </row>
    <row r="395" ht="15" customHeight="1">
      <c r="A395" t="inlineStr">
        <is>
          <t>A 30620-2022</t>
        </is>
      </c>
      <c r="B395" s="1" t="n">
        <v>44763.40914351852</v>
      </c>
      <c r="C395" s="1" t="n">
        <v>46189</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50534-2024</t>
        </is>
      </c>
      <c r="B396" s="1" t="n">
        <v>45601.56726851852</v>
      </c>
      <c r="C396" s="1" t="n">
        <v>46189</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60217-2021</t>
        </is>
      </c>
      <c r="B397" s="1" t="n">
        <v>44495.5893287037</v>
      </c>
      <c r="C397" s="1" t="n">
        <v>46189</v>
      </c>
      <c r="D397" t="inlineStr">
        <is>
          <t>STOCKHOLMS LÄN</t>
        </is>
      </c>
      <c r="E397" t="inlineStr">
        <is>
          <t>NORRTÄLJE</t>
        </is>
      </c>
      <c r="G397" t="n">
        <v>4.3</v>
      </c>
      <c r="H397" t="n">
        <v>0</v>
      </c>
      <c r="I397" t="n">
        <v>0</v>
      </c>
      <c r="J397" t="n">
        <v>0</v>
      </c>
      <c r="K397" t="n">
        <v>0</v>
      </c>
      <c r="L397" t="n">
        <v>0</v>
      </c>
      <c r="M397" t="n">
        <v>0</v>
      </c>
      <c r="N397" t="n">
        <v>0</v>
      </c>
      <c r="O397" t="n">
        <v>0</v>
      </c>
      <c r="P397" t="n">
        <v>0</v>
      </c>
      <c r="Q397" t="n">
        <v>0</v>
      </c>
      <c r="R397" s="2" t="inlineStr"/>
    </row>
    <row r="398" ht="15" customHeight="1">
      <c r="A398" t="inlineStr">
        <is>
          <t>A 28900-2022</t>
        </is>
      </c>
      <c r="B398" s="1" t="n">
        <v>44749.55258101852</v>
      </c>
      <c r="C398" s="1" t="n">
        <v>46189</v>
      </c>
      <c r="D398" t="inlineStr">
        <is>
          <t>STOCKHOLMS LÄN</t>
        </is>
      </c>
      <c r="E398" t="inlineStr">
        <is>
          <t>NORRTÄLJE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42094-2023</t>
        </is>
      </c>
      <c r="B399" s="1" t="n">
        <v>45177.61498842593</v>
      </c>
      <c r="C399" s="1" t="n">
        <v>46189</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32514-2022</t>
        </is>
      </c>
      <c r="B400" s="1" t="n">
        <v>44782</v>
      </c>
      <c r="C400" s="1" t="n">
        <v>46189</v>
      </c>
      <c r="D400" t="inlineStr">
        <is>
          <t>STOCKHOLMS LÄN</t>
        </is>
      </c>
      <c r="E400" t="inlineStr">
        <is>
          <t>NORRTÄLJE</t>
        </is>
      </c>
      <c r="G400" t="n">
        <v>5.1</v>
      </c>
      <c r="H400" t="n">
        <v>0</v>
      </c>
      <c r="I400" t="n">
        <v>0</v>
      </c>
      <c r="J400" t="n">
        <v>0</v>
      </c>
      <c r="K400" t="n">
        <v>0</v>
      </c>
      <c r="L400" t="n">
        <v>0</v>
      </c>
      <c r="M400" t="n">
        <v>0</v>
      </c>
      <c r="N400" t="n">
        <v>0</v>
      </c>
      <c r="O400" t="n">
        <v>0</v>
      </c>
      <c r="P400" t="n">
        <v>0</v>
      </c>
      <c r="Q400" t="n">
        <v>0</v>
      </c>
      <c r="R400" s="2" t="inlineStr"/>
    </row>
    <row r="401" ht="15" customHeight="1">
      <c r="A401" t="inlineStr">
        <is>
          <t>A 23125-2022</t>
        </is>
      </c>
      <c r="B401" s="1" t="n">
        <v>44719</v>
      </c>
      <c r="C401" s="1" t="n">
        <v>46189</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9329-2023</t>
        </is>
      </c>
      <c r="B402" s="1" t="n">
        <v>44980</v>
      </c>
      <c r="C402" s="1" t="n">
        <v>46189</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31936-2022</t>
        </is>
      </c>
      <c r="B403" s="1" t="n">
        <v>44777</v>
      </c>
      <c r="C403" s="1" t="n">
        <v>46189</v>
      </c>
      <c r="D403" t="inlineStr">
        <is>
          <t>STOCKHOLMS LÄN</t>
        </is>
      </c>
      <c r="E403" t="inlineStr">
        <is>
          <t>NORRTÄLJE</t>
        </is>
      </c>
      <c r="G403" t="n">
        <v>5.2</v>
      </c>
      <c r="H403" t="n">
        <v>0</v>
      </c>
      <c r="I403" t="n">
        <v>0</v>
      </c>
      <c r="J403" t="n">
        <v>0</v>
      </c>
      <c r="K403" t="n">
        <v>0</v>
      </c>
      <c r="L403" t="n">
        <v>0</v>
      </c>
      <c r="M403" t="n">
        <v>0</v>
      </c>
      <c r="N403" t="n">
        <v>0</v>
      </c>
      <c r="O403" t="n">
        <v>0</v>
      </c>
      <c r="P403" t="n">
        <v>0</v>
      </c>
      <c r="Q403" t="n">
        <v>0</v>
      </c>
      <c r="R403" s="2" t="inlineStr"/>
    </row>
    <row r="404" ht="15" customHeight="1">
      <c r="A404" t="inlineStr">
        <is>
          <t>A 6855-2025</t>
        </is>
      </c>
      <c r="B404" s="1" t="n">
        <v>45700</v>
      </c>
      <c r="C404" s="1" t="n">
        <v>46189</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24887-2023</t>
        </is>
      </c>
      <c r="B405" s="1" t="n">
        <v>45085</v>
      </c>
      <c r="C405" s="1" t="n">
        <v>46189</v>
      </c>
      <c r="D405" t="inlineStr">
        <is>
          <t>STOCKHOLMS LÄN</t>
        </is>
      </c>
      <c r="E405" t="inlineStr">
        <is>
          <t>NORRTÄLJE</t>
        </is>
      </c>
      <c r="G405" t="n">
        <v>13.9</v>
      </c>
      <c r="H405" t="n">
        <v>0</v>
      </c>
      <c r="I405" t="n">
        <v>0</v>
      </c>
      <c r="J405" t="n">
        <v>0</v>
      </c>
      <c r="K405" t="n">
        <v>0</v>
      </c>
      <c r="L405" t="n">
        <v>0</v>
      </c>
      <c r="M405" t="n">
        <v>0</v>
      </c>
      <c r="N405" t="n">
        <v>0</v>
      </c>
      <c r="O405" t="n">
        <v>0</v>
      </c>
      <c r="P405" t="n">
        <v>0</v>
      </c>
      <c r="Q405" t="n">
        <v>0</v>
      </c>
      <c r="R405" s="2" t="inlineStr"/>
    </row>
    <row r="406" ht="15" customHeight="1">
      <c r="A406" t="inlineStr">
        <is>
          <t>A 8135-2025</t>
        </is>
      </c>
      <c r="B406" s="1" t="n">
        <v>45707.84997685185</v>
      </c>
      <c r="C406" s="1" t="n">
        <v>46189</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21894-2023</t>
        </is>
      </c>
      <c r="B407" s="1" t="n">
        <v>45068.51783564815</v>
      </c>
      <c r="C407" s="1" t="n">
        <v>46189</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56428-2023</t>
        </is>
      </c>
      <c r="B408" s="1" t="n">
        <v>45243.45289351852</v>
      </c>
      <c r="C408" s="1" t="n">
        <v>46189</v>
      </c>
      <c r="D408" t="inlineStr">
        <is>
          <t>STOCKHOLMS LÄN</t>
        </is>
      </c>
      <c r="E408" t="inlineStr">
        <is>
          <t>NORRTÄLJE</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21732-2023</t>
        </is>
      </c>
      <c r="B409" s="1" t="n">
        <v>45063</v>
      </c>
      <c r="C409" s="1" t="n">
        <v>46189</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30338-2022</t>
        </is>
      </c>
      <c r="B410" s="1" t="n">
        <v>44760</v>
      </c>
      <c r="C410" s="1" t="n">
        <v>46189</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45173-2023</t>
        </is>
      </c>
      <c r="B411" s="1" t="n">
        <v>45191</v>
      </c>
      <c r="C411" s="1" t="n">
        <v>46189</v>
      </c>
      <c r="D411" t="inlineStr">
        <is>
          <t>STOCKHOLMS LÄN</t>
        </is>
      </c>
      <c r="E411" t="inlineStr">
        <is>
          <t>NORRTÄLJE</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64137-2021</t>
        </is>
      </c>
      <c r="B412" s="1" t="n">
        <v>44510.51422453704</v>
      </c>
      <c r="C412" s="1" t="n">
        <v>46189</v>
      </c>
      <c r="D412" t="inlineStr">
        <is>
          <t>STOCKHOLMS LÄN</t>
        </is>
      </c>
      <c r="E412" t="inlineStr">
        <is>
          <t>NORRTÄLJE</t>
        </is>
      </c>
      <c r="F412" t="inlineStr">
        <is>
          <t>Holmen skog AB</t>
        </is>
      </c>
      <c r="G412" t="n">
        <v>1.5</v>
      </c>
      <c r="H412" t="n">
        <v>0</v>
      </c>
      <c r="I412" t="n">
        <v>0</v>
      </c>
      <c r="J412" t="n">
        <v>0</v>
      </c>
      <c r="K412" t="n">
        <v>0</v>
      </c>
      <c r="L412" t="n">
        <v>0</v>
      </c>
      <c r="M412" t="n">
        <v>0</v>
      </c>
      <c r="N412" t="n">
        <v>0</v>
      </c>
      <c r="O412" t="n">
        <v>0</v>
      </c>
      <c r="P412" t="n">
        <v>0</v>
      </c>
      <c r="Q412" t="n">
        <v>0</v>
      </c>
      <c r="R412" s="2" t="inlineStr"/>
    </row>
    <row r="413" ht="15" customHeight="1">
      <c r="A413" t="inlineStr">
        <is>
          <t>A 37444-2021</t>
        </is>
      </c>
      <c r="B413" s="1" t="n">
        <v>44398</v>
      </c>
      <c r="C413" s="1" t="n">
        <v>46189</v>
      </c>
      <c r="D413" t="inlineStr">
        <is>
          <t>STOCKHOLMS LÄN</t>
        </is>
      </c>
      <c r="E413" t="inlineStr">
        <is>
          <t>NORRTÄLJE</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38720-2022</t>
        </is>
      </c>
      <c r="B414" s="1" t="n">
        <v>44815.74539351852</v>
      </c>
      <c r="C414" s="1" t="n">
        <v>46189</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34432-2021</t>
        </is>
      </c>
      <c r="B415" s="1" t="n">
        <v>44380.77346064815</v>
      </c>
      <c r="C415" s="1" t="n">
        <v>46189</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18541-2023</t>
        </is>
      </c>
      <c r="B416" s="1" t="n">
        <v>45042.74291666667</v>
      </c>
      <c r="C416" s="1" t="n">
        <v>46189</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32857-2021</t>
        </is>
      </c>
      <c r="B417" s="1" t="n">
        <v>44375</v>
      </c>
      <c r="C417" s="1" t="n">
        <v>46189</v>
      </c>
      <c r="D417" t="inlineStr">
        <is>
          <t>STOCKHOLMS LÄN</t>
        </is>
      </c>
      <c r="E417" t="inlineStr">
        <is>
          <t>NORRTÄLJE</t>
        </is>
      </c>
      <c r="G417" t="n">
        <v>2.9</v>
      </c>
      <c r="H417" t="n">
        <v>0</v>
      </c>
      <c r="I417" t="n">
        <v>0</v>
      </c>
      <c r="J417" t="n">
        <v>0</v>
      </c>
      <c r="K417" t="n">
        <v>0</v>
      </c>
      <c r="L417" t="n">
        <v>0</v>
      </c>
      <c r="M417" t="n">
        <v>0</v>
      </c>
      <c r="N417" t="n">
        <v>0</v>
      </c>
      <c r="O417" t="n">
        <v>0</v>
      </c>
      <c r="P417" t="n">
        <v>0</v>
      </c>
      <c r="Q417" t="n">
        <v>0</v>
      </c>
      <c r="R417" s="2" t="inlineStr"/>
    </row>
    <row r="418" ht="15" customHeight="1">
      <c r="A418" t="inlineStr">
        <is>
          <t>A 19911-2025</t>
        </is>
      </c>
      <c r="B418" s="1" t="n">
        <v>45771</v>
      </c>
      <c r="C418" s="1" t="n">
        <v>46189</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51325-2023</t>
        </is>
      </c>
      <c r="B419" s="1" t="n">
        <v>45219</v>
      </c>
      <c r="C419" s="1" t="n">
        <v>46189</v>
      </c>
      <c r="D419" t="inlineStr">
        <is>
          <t>STOCKHOLMS LÄN</t>
        </is>
      </c>
      <c r="E419" t="inlineStr">
        <is>
          <t>NORRTÄLJE</t>
        </is>
      </c>
      <c r="G419" t="n">
        <v>2.2</v>
      </c>
      <c r="H419" t="n">
        <v>0</v>
      </c>
      <c r="I419" t="n">
        <v>0</v>
      </c>
      <c r="J419" t="n">
        <v>0</v>
      </c>
      <c r="K419" t="n">
        <v>0</v>
      </c>
      <c r="L419" t="n">
        <v>0</v>
      </c>
      <c r="M419" t="n">
        <v>0</v>
      </c>
      <c r="N419" t="n">
        <v>0</v>
      </c>
      <c r="O419" t="n">
        <v>0</v>
      </c>
      <c r="P419" t="n">
        <v>0</v>
      </c>
      <c r="Q419" t="n">
        <v>0</v>
      </c>
      <c r="R419" s="2" t="inlineStr"/>
    </row>
    <row r="420" ht="15" customHeight="1">
      <c r="A420" t="inlineStr">
        <is>
          <t>A 21729-2024</t>
        </is>
      </c>
      <c r="B420" s="1" t="n">
        <v>45442</v>
      </c>
      <c r="C420" s="1" t="n">
        <v>46189</v>
      </c>
      <c r="D420" t="inlineStr">
        <is>
          <t>STOCKHOLMS LÄN</t>
        </is>
      </c>
      <c r="E420" t="inlineStr">
        <is>
          <t>NORRTÄLJE</t>
        </is>
      </c>
      <c r="G420" t="n">
        <v>2.2</v>
      </c>
      <c r="H420" t="n">
        <v>0</v>
      </c>
      <c r="I420" t="n">
        <v>0</v>
      </c>
      <c r="J420" t="n">
        <v>0</v>
      </c>
      <c r="K420" t="n">
        <v>0</v>
      </c>
      <c r="L420" t="n">
        <v>0</v>
      </c>
      <c r="M420" t="n">
        <v>0</v>
      </c>
      <c r="N420" t="n">
        <v>0</v>
      </c>
      <c r="O420" t="n">
        <v>0</v>
      </c>
      <c r="P420" t="n">
        <v>0</v>
      </c>
      <c r="Q420" t="n">
        <v>0</v>
      </c>
      <c r="R420" s="2" t="inlineStr"/>
    </row>
    <row r="421" ht="15" customHeight="1">
      <c r="A421" t="inlineStr">
        <is>
          <t>A 12532-2025</t>
        </is>
      </c>
      <c r="B421" s="1" t="n">
        <v>45730.69143518519</v>
      </c>
      <c r="C421" s="1" t="n">
        <v>46189</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40175-2024</t>
        </is>
      </c>
      <c r="B422" s="1" t="n">
        <v>45554.55707175926</v>
      </c>
      <c r="C422" s="1" t="n">
        <v>46189</v>
      </c>
      <c r="D422" t="inlineStr">
        <is>
          <t>STOCKHOLMS LÄN</t>
        </is>
      </c>
      <c r="E422" t="inlineStr">
        <is>
          <t>NORRTÄLJE</t>
        </is>
      </c>
      <c r="G422" t="n">
        <v>7.7</v>
      </c>
      <c r="H422" t="n">
        <v>0</v>
      </c>
      <c r="I422" t="n">
        <v>0</v>
      </c>
      <c r="J422" t="n">
        <v>0</v>
      </c>
      <c r="K422" t="n">
        <v>0</v>
      </c>
      <c r="L422" t="n">
        <v>0</v>
      </c>
      <c r="M422" t="n">
        <v>0</v>
      </c>
      <c r="N422" t="n">
        <v>0</v>
      </c>
      <c r="O422" t="n">
        <v>0</v>
      </c>
      <c r="P422" t="n">
        <v>0</v>
      </c>
      <c r="Q422" t="n">
        <v>0</v>
      </c>
      <c r="R422" s="2" t="inlineStr"/>
    </row>
    <row r="423" ht="15" customHeight="1">
      <c r="A423" t="inlineStr">
        <is>
          <t>A 16229-2022</t>
        </is>
      </c>
      <c r="B423" s="1" t="n">
        <v>44670.4190162037</v>
      </c>
      <c r="C423" s="1" t="n">
        <v>46189</v>
      </c>
      <c r="D423" t="inlineStr">
        <is>
          <t>STOCKHOLMS LÄN</t>
        </is>
      </c>
      <c r="E423" t="inlineStr">
        <is>
          <t>NORRTÄLJE</t>
        </is>
      </c>
      <c r="G423" t="n">
        <v>7.4</v>
      </c>
      <c r="H423" t="n">
        <v>0</v>
      </c>
      <c r="I423" t="n">
        <v>0</v>
      </c>
      <c r="J423" t="n">
        <v>0</v>
      </c>
      <c r="K423" t="n">
        <v>0</v>
      </c>
      <c r="L423" t="n">
        <v>0</v>
      </c>
      <c r="M423" t="n">
        <v>0</v>
      </c>
      <c r="N423" t="n">
        <v>0</v>
      </c>
      <c r="O423" t="n">
        <v>0</v>
      </c>
      <c r="P423" t="n">
        <v>0</v>
      </c>
      <c r="Q423" t="n">
        <v>0</v>
      </c>
      <c r="R423" s="2" t="inlineStr"/>
    </row>
    <row r="424" ht="15" customHeight="1">
      <c r="A424" t="inlineStr">
        <is>
          <t>A 46914-2022</t>
        </is>
      </c>
      <c r="B424" s="1" t="n">
        <v>44851</v>
      </c>
      <c r="C424" s="1" t="n">
        <v>46189</v>
      </c>
      <c r="D424" t="inlineStr">
        <is>
          <t>STOCKHOLMS LÄN</t>
        </is>
      </c>
      <c r="E424" t="inlineStr">
        <is>
          <t>NORRTÄLJE</t>
        </is>
      </c>
      <c r="G424" t="n">
        <v>2.4</v>
      </c>
      <c r="H424" t="n">
        <v>0</v>
      </c>
      <c r="I424" t="n">
        <v>0</v>
      </c>
      <c r="J424" t="n">
        <v>0</v>
      </c>
      <c r="K424" t="n">
        <v>0</v>
      </c>
      <c r="L424" t="n">
        <v>0</v>
      </c>
      <c r="M424" t="n">
        <v>0</v>
      </c>
      <c r="N424" t="n">
        <v>0</v>
      </c>
      <c r="O424" t="n">
        <v>0</v>
      </c>
      <c r="P424" t="n">
        <v>0</v>
      </c>
      <c r="Q424" t="n">
        <v>0</v>
      </c>
      <c r="R424" s="2" t="inlineStr"/>
    </row>
    <row r="425" ht="15" customHeight="1">
      <c r="A425" t="inlineStr">
        <is>
          <t>A 20015-2023</t>
        </is>
      </c>
      <c r="B425" s="1" t="n">
        <v>45054</v>
      </c>
      <c r="C425" s="1" t="n">
        <v>46189</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5027-2025</t>
        </is>
      </c>
      <c r="B426" s="1" t="n">
        <v>45691.41101851852</v>
      </c>
      <c r="C426" s="1" t="n">
        <v>46189</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38720-2025</t>
        </is>
      </c>
      <c r="B427" s="1" t="n">
        <v>45886</v>
      </c>
      <c r="C427" s="1" t="n">
        <v>46189</v>
      </c>
      <c r="D427" t="inlineStr">
        <is>
          <t>STOCKHOLMS LÄN</t>
        </is>
      </c>
      <c r="E427" t="inlineStr">
        <is>
          <t>NORRTÄLJE</t>
        </is>
      </c>
      <c r="G427" t="n">
        <v>1.6</v>
      </c>
      <c r="H427" t="n">
        <v>0</v>
      </c>
      <c r="I427" t="n">
        <v>0</v>
      </c>
      <c r="J427" t="n">
        <v>0</v>
      </c>
      <c r="K427" t="n">
        <v>0</v>
      </c>
      <c r="L427" t="n">
        <v>0</v>
      </c>
      <c r="M427" t="n">
        <v>0</v>
      </c>
      <c r="N427" t="n">
        <v>0</v>
      </c>
      <c r="O427" t="n">
        <v>0</v>
      </c>
      <c r="P427" t="n">
        <v>0</v>
      </c>
      <c r="Q427" t="n">
        <v>0</v>
      </c>
      <c r="R427" s="2" t="inlineStr"/>
    </row>
    <row r="428" ht="15" customHeight="1">
      <c r="A428" t="inlineStr">
        <is>
          <t>A 39152-2025</t>
        </is>
      </c>
      <c r="B428" s="1" t="n">
        <v>45888</v>
      </c>
      <c r="C428" s="1" t="n">
        <v>46189</v>
      </c>
      <c r="D428" t="inlineStr">
        <is>
          <t>STOCKHOLMS LÄN</t>
        </is>
      </c>
      <c r="E428" t="inlineStr">
        <is>
          <t>NORRTÄLJE</t>
        </is>
      </c>
      <c r="G428" t="n">
        <v>4.6</v>
      </c>
      <c r="H428" t="n">
        <v>0</v>
      </c>
      <c r="I428" t="n">
        <v>0</v>
      </c>
      <c r="J428" t="n">
        <v>0</v>
      </c>
      <c r="K428" t="n">
        <v>0</v>
      </c>
      <c r="L428" t="n">
        <v>0</v>
      </c>
      <c r="M428" t="n">
        <v>0</v>
      </c>
      <c r="N428" t="n">
        <v>0</v>
      </c>
      <c r="O428" t="n">
        <v>0</v>
      </c>
      <c r="P428" t="n">
        <v>0</v>
      </c>
      <c r="Q428" t="n">
        <v>0</v>
      </c>
      <c r="R428" s="2" t="inlineStr"/>
    </row>
    <row r="429" ht="15" customHeight="1">
      <c r="A429" t="inlineStr">
        <is>
          <t>A 67921-2021</t>
        </is>
      </c>
      <c r="B429" s="1" t="n">
        <v>44525</v>
      </c>
      <c r="C429" s="1" t="n">
        <v>46189</v>
      </c>
      <c r="D429" t="inlineStr">
        <is>
          <t>STOCKHOLMS LÄN</t>
        </is>
      </c>
      <c r="E429" t="inlineStr">
        <is>
          <t>NORRTÄLJE</t>
        </is>
      </c>
      <c r="G429" t="n">
        <v>6.3</v>
      </c>
      <c r="H429" t="n">
        <v>0</v>
      </c>
      <c r="I429" t="n">
        <v>0</v>
      </c>
      <c r="J429" t="n">
        <v>0</v>
      </c>
      <c r="K429" t="n">
        <v>0</v>
      </c>
      <c r="L429" t="n">
        <v>0</v>
      </c>
      <c r="M429" t="n">
        <v>0</v>
      </c>
      <c r="N429" t="n">
        <v>0</v>
      </c>
      <c r="O429" t="n">
        <v>0</v>
      </c>
      <c r="P429" t="n">
        <v>0</v>
      </c>
      <c r="Q429" t="n">
        <v>0</v>
      </c>
      <c r="R429" s="2" t="inlineStr"/>
    </row>
    <row r="430" ht="15" customHeight="1">
      <c r="A430" t="inlineStr">
        <is>
          <t>A 39692-2025</t>
        </is>
      </c>
      <c r="B430" s="1" t="n">
        <v>45890.68083333333</v>
      </c>
      <c r="C430" s="1" t="n">
        <v>46189</v>
      </c>
      <c r="D430" t="inlineStr">
        <is>
          <t>STOCKHOLMS LÄN</t>
        </is>
      </c>
      <c r="E430" t="inlineStr">
        <is>
          <t>NORRTÄLJE</t>
        </is>
      </c>
      <c r="G430" t="n">
        <v>10.5</v>
      </c>
      <c r="H430" t="n">
        <v>0</v>
      </c>
      <c r="I430" t="n">
        <v>0</v>
      </c>
      <c r="J430" t="n">
        <v>0</v>
      </c>
      <c r="K430" t="n">
        <v>0</v>
      </c>
      <c r="L430" t="n">
        <v>0</v>
      </c>
      <c r="M430" t="n">
        <v>0</v>
      </c>
      <c r="N430" t="n">
        <v>0</v>
      </c>
      <c r="O430" t="n">
        <v>0</v>
      </c>
      <c r="P430" t="n">
        <v>0</v>
      </c>
      <c r="Q430" t="n">
        <v>0</v>
      </c>
      <c r="R430" s="2" t="inlineStr"/>
    </row>
    <row r="431" ht="15" customHeight="1">
      <c r="A431" t="inlineStr">
        <is>
          <t>A 54776-2023</t>
        </is>
      </c>
      <c r="B431" s="1" t="n">
        <v>45236.46369212963</v>
      </c>
      <c r="C431" s="1" t="n">
        <v>46189</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20144-2023</t>
        </is>
      </c>
      <c r="B432" s="1" t="n">
        <v>45055.43509259259</v>
      </c>
      <c r="C432" s="1" t="n">
        <v>46189</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27677-2025</t>
        </is>
      </c>
      <c r="B433" s="1" t="n">
        <v>45813.63650462963</v>
      </c>
      <c r="C433" s="1" t="n">
        <v>46189</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23056-2023</t>
        </is>
      </c>
      <c r="B434" s="1" t="n">
        <v>45075</v>
      </c>
      <c r="C434" s="1" t="n">
        <v>46189</v>
      </c>
      <c r="D434" t="inlineStr">
        <is>
          <t>STOCKHOLMS LÄN</t>
        </is>
      </c>
      <c r="E434" t="inlineStr">
        <is>
          <t>NORRTÄLJE</t>
        </is>
      </c>
      <c r="G434" t="n">
        <v>1.7</v>
      </c>
      <c r="H434" t="n">
        <v>0</v>
      </c>
      <c r="I434" t="n">
        <v>0</v>
      </c>
      <c r="J434" t="n">
        <v>0</v>
      </c>
      <c r="K434" t="n">
        <v>0</v>
      </c>
      <c r="L434" t="n">
        <v>0</v>
      </c>
      <c r="M434" t="n">
        <v>0</v>
      </c>
      <c r="N434" t="n">
        <v>0</v>
      </c>
      <c r="O434" t="n">
        <v>0</v>
      </c>
      <c r="P434" t="n">
        <v>0</v>
      </c>
      <c r="Q434" t="n">
        <v>0</v>
      </c>
      <c r="R434" s="2" t="inlineStr"/>
    </row>
    <row r="435" ht="15" customHeight="1">
      <c r="A435" t="inlineStr">
        <is>
          <t>A 40230-2025</t>
        </is>
      </c>
      <c r="B435" s="1" t="n">
        <v>45894.71101851852</v>
      </c>
      <c r="C435" s="1" t="n">
        <v>46189</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40228-2025</t>
        </is>
      </c>
      <c r="B436" s="1" t="n">
        <v>45894.70854166667</v>
      </c>
      <c r="C436" s="1" t="n">
        <v>46189</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35636-2025</t>
        </is>
      </c>
      <c r="B437" s="1" t="n">
        <v>45859</v>
      </c>
      <c r="C437" s="1" t="n">
        <v>46189</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40033-2025</t>
        </is>
      </c>
      <c r="B438" s="1" t="n">
        <v>45893</v>
      </c>
      <c r="C438" s="1" t="n">
        <v>46189</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40217-2025</t>
        </is>
      </c>
      <c r="B439" s="1" t="n">
        <v>45894.68864583333</v>
      </c>
      <c r="C439" s="1" t="n">
        <v>46189</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35639-2025</t>
        </is>
      </c>
      <c r="B440" s="1" t="n">
        <v>45859</v>
      </c>
      <c r="C440" s="1" t="n">
        <v>46189</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40032-2025</t>
        </is>
      </c>
      <c r="B441" s="1" t="n">
        <v>45893</v>
      </c>
      <c r="C441" s="1" t="n">
        <v>46189</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40097-2025</t>
        </is>
      </c>
      <c r="B442" s="1" t="n">
        <v>45894.48322916667</v>
      </c>
      <c r="C442" s="1" t="n">
        <v>46189</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19025-2025</t>
        </is>
      </c>
      <c r="B443" s="1" t="n">
        <v>45764.6359837963</v>
      </c>
      <c r="C443" s="1" t="n">
        <v>46189</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40529-2025</t>
        </is>
      </c>
      <c r="B444" s="1" t="n">
        <v>45896.38466435186</v>
      </c>
      <c r="C444" s="1" t="n">
        <v>46189</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5867-2022</t>
        </is>
      </c>
      <c r="B445" s="1" t="n">
        <v>44596.66335648148</v>
      </c>
      <c r="C445" s="1" t="n">
        <v>46189</v>
      </c>
      <c r="D445" t="inlineStr">
        <is>
          <t>STOCKHOLMS LÄN</t>
        </is>
      </c>
      <c r="E445" t="inlineStr">
        <is>
          <t>NORRTÄLJE</t>
        </is>
      </c>
      <c r="F445" t="inlineStr">
        <is>
          <t>Naturvårdsverket</t>
        </is>
      </c>
      <c r="G445" t="n">
        <v>1.6</v>
      </c>
      <c r="H445" t="n">
        <v>0</v>
      </c>
      <c r="I445" t="n">
        <v>0</v>
      </c>
      <c r="J445" t="n">
        <v>0</v>
      </c>
      <c r="K445" t="n">
        <v>0</v>
      </c>
      <c r="L445" t="n">
        <v>0</v>
      </c>
      <c r="M445" t="n">
        <v>0</v>
      </c>
      <c r="N445" t="n">
        <v>0</v>
      </c>
      <c r="O445" t="n">
        <v>0</v>
      </c>
      <c r="P445" t="n">
        <v>0</v>
      </c>
      <c r="Q445" t="n">
        <v>0</v>
      </c>
      <c r="R445" s="2" t="inlineStr"/>
    </row>
    <row r="446" ht="15" customHeight="1">
      <c r="A446" t="inlineStr">
        <is>
          <t>A 40292-2025</t>
        </is>
      </c>
      <c r="B446" s="1" t="n">
        <v>45895.3867824074</v>
      </c>
      <c r="C446" s="1" t="n">
        <v>46189</v>
      </c>
      <c r="D446" t="inlineStr">
        <is>
          <t>STOCKHOLMS LÄN</t>
        </is>
      </c>
      <c r="E446" t="inlineStr">
        <is>
          <t>NORRTÄLJE</t>
        </is>
      </c>
      <c r="G446" t="n">
        <v>3.5</v>
      </c>
      <c r="H446" t="n">
        <v>0</v>
      </c>
      <c r="I446" t="n">
        <v>0</v>
      </c>
      <c r="J446" t="n">
        <v>0</v>
      </c>
      <c r="K446" t="n">
        <v>0</v>
      </c>
      <c r="L446" t="n">
        <v>0</v>
      </c>
      <c r="M446" t="n">
        <v>0</v>
      </c>
      <c r="N446" t="n">
        <v>0</v>
      </c>
      <c r="O446" t="n">
        <v>0</v>
      </c>
      <c r="P446" t="n">
        <v>0</v>
      </c>
      <c r="Q446" t="n">
        <v>0</v>
      </c>
      <c r="R446" s="2" t="inlineStr"/>
    </row>
    <row r="447" ht="15" customHeight="1">
      <c r="A447" t="inlineStr">
        <is>
          <t>A 73307-2021</t>
        </is>
      </c>
      <c r="B447" s="1" t="n">
        <v>44549</v>
      </c>
      <c r="C447" s="1" t="n">
        <v>46189</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40837-2025</t>
        </is>
      </c>
      <c r="B448" s="1" t="n">
        <v>45897.51328703704</v>
      </c>
      <c r="C448" s="1" t="n">
        <v>46189</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41158-2025</t>
        </is>
      </c>
      <c r="B449" s="1" t="n">
        <v>45898.5315625</v>
      </c>
      <c r="C449" s="1" t="n">
        <v>46189</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21731-2023</t>
        </is>
      </c>
      <c r="B450" s="1" t="n">
        <v>45063</v>
      </c>
      <c r="C450" s="1" t="n">
        <v>46189</v>
      </c>
      <c r="D450" t="inlineStr">
        <is>
          <t>STOCKHOLMS LÄN</t>
        </is>
      </c>
      <c r="E450" t="inlineStr">
        <is>
          <t>NORRTÄLJE</t>
        </is>
      </c>
      <c r="G450" t="n">
        <v>2.3</v>
      </c>
      <c r="H450" t="n">
        <v>0</v>
      </c>
      <c r="I450" t="n">
        <v>0</v>
      </c>
      <c r="J450" t="n">
        <v>0</v>
      </c>
      <c r="K450" t="n">
        <v>0</v>
      </c>
      <c r="L450" t="n">
        <v>0</v>
      </c>
      <c r="M450" t="n">
        <v>0</v>
      </c>
      <c r="N450" t="n">
        <v>0</v>
      </c>
      <c r="O450" t="n">
        <v>0</v>
      </c>
      <c r="P450" t="n">
        <v>0</v>
      </c>
      <c r="Q450" t="n">
        <v>0</v>
      </c>
      <c r="R450" s="2" t="inlineStr"/>
    </row>
    <row r="451" ht="15" customHeight="1">
      <c r="A451" t="inlineStr">
        <is>
          <t>A 21745-2023</t>
        </is>
      </c>
      <c r="B451" s="1" t="n">
        <v>45065.55917824074</v>
      </c>
      <c r="C451" s="1" t="n">
        <v>46189</v>
      </c>
      <c r="D451" t="inlineStr">
        <is>
          <t>STOCKHOLMS LÄN</t>
        </is>
      </c>
      <c r="E451" t="inlineStr">
        <is>
          <t>NORRTÄLJE</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41174-2025</t>
        </is>
      </c>
      <c r="B452" s="1" t="n">
        <v>45898.54921296296</v>
      </c>
      <c r="C452" s="1" t="n">
        <v>46189</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41110-2025</t>
        </is>
      </c>
      <c r="B453" s="1" t="n">
        <v>45898.45976851852</v>
      </c>
      <c r="C453" s="1" t="n">
        <v>46189</v>
      </c>
      <c r="D453" t="inlineStr">
        <is>
          <t>STOCKHOLMS LÄN</t>
        </is>
      </c>
      <c r="E453" t="inlineStr">
        <is>
          <t>NORRTÄLJE</t>
        </is>
      </c>
      <c r="F453" t="inlineStr">
        <is>
          <t>Holmen skog AB</t>
        </is>
      </c>
      <c r="G453" t="n">
        <v>6.7</v>
      </c>
      <c r="H453" t="n">
        <v>0</v>
      </c>
      <c r="I453" t="n">
        <v>0</v>
      </c>
      <c r="J453" t="n">
        <v>0</v>
      </c>
      <c r="K453" t="n">
        <v>0</v>
      </c>
      <c r="L453" t="n">
        <v>0</v>
      </c>
      <c r="M453" t="n">
        <v>0</v>
      </c>
      <c r="N453" t="n">
        <v>0</v>
      </c>
      <c r="O453" t="n">
        <v>0</v>
      </c>
      <c r="P453" t="n">
        <v>0</v>
      </c>
      <c r="Q453" t="n">
        <v>0</v>
      </c>
      <c r="R453" s="2" t="inlineStr"/>
    </row>
    <row r="454" ht="15" customHeight="1">
      <c r="A454" t="inlineStr">
        <is>
          <t>A 40829-2025</t>
        </is>
      </c>
      <c r="B454" s="1" t="n">
        <v>45897.50802083333</v>
      </c>
      <c r="C454" s="1" t="n">
        <v>46189</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40831-2025</t>
        </is>
      </c>
      <c r="B455" s="1" t="n">
        <v>45897.51077546296</v>
      </c>
      <c r="C455" s="1" t="n">
        <v>46189</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26365-2024</t>
        </is>
      </c>
      <c r="B456" s="1" t="n">
        <v>45469</v>
      </c>
      <c r="C456" s="1" t="n">
        <v>46189</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50602-2021</t>
        </is>
      </c>
      <c r="B457" s="1" t="n">
        <v>44459</v>
      </c>
      <c r="C457" s="1" t="n">
        <v>46189</v>
      </c>
      <c r="D457" t="inlineStr">
        <is>
          <t>STOCKHOLMS LÄN</t>
        </is>
      </c>
      <c r="E457" t="inlineStr">
        <is>
          <t>NORRTÄLJE</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19058-2024</t>
        </is>
      </c>
      <c r="B458" s="1" t="n">
        <v>45427.89121527778</v>
      </c>
      <c r="C458" s="1" t="n">
        <v>46189</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48798-2021</t>
        </is>
      </c>
      <c r="B459" s="1" t="n">
        <v>44452</v>
      </c>
      <c r="C459" s="1" t="n">
        <v>46189</v>
      </c>
      <c r="D459" t="inlineStr">
        <is>
          <t>STOCKHOLMS LÄN</t>
        </is>
      </c>
      <c r="E459" t="inlineStr">
        <is>
          <t>NORRTÄLJE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10511-2025</t>
        </is>
      </c>
      <c r="B460" s="1" t="n">
        <v>45721.40780092592</v>
      </c>
      <c r="C460" s="1" t="n">
        <v>46189</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30283-2022</t>
        </is>
      </c>
      <c r="B461" s="1" t="n">
        <v>44760</v>
      </c>
      <c r="C461" s="1" t="n">
        <v>46189</v>
      </c>
      <c r="D461" t="inlineStr">
        <is>
          <t>STOCKHOLMS LÄN</t>
        </is>
      </c>
      <c r="E461" t="inlineStr">
        <is>
          <t>NORRTÄLJE</t>
        </is>
      </c>
      <c r="G461" t="n">
        <v>6.2</v>
      </c>
      <c r="H461" t="n">
        <v>0</v>
      </c>
      <c r="I461" t="n">
        <v>0</v>
      </c>
      <c r="J461" t="n">
        <v>0</v>
      </c>
      <c r="K461" t="n">
        <v>0</v>
      </c>
      <c r="L461" t="n">
        <v>0</v>
      </c>
      <c r="M461" t="n">
        <v>0</v>
      </c>
      <c r="N461" t="n">
        <v>0</v>
      </c>
      <c r="O461" t="n">
        <v>0</v>
      </c>
      <c r="P461" t="n">
        <v>0</v>
      </c>
      <c r="Q461" t="n">
        <v>0</v>
      </c>
      <c r="R461" s="2" t="inlineStr"/>
    </row>
    <row r="462" ht="15" customHeight="1">
      <c r="A462" t="inlineStr">
        <is>
          <t>A 30290-2022</t>
        </is>
      </c>
      <c r="B462" s="1" t="n">
        <v>44760</v>
      </c>
      <c r="C462" s="1" t="n">
        <v>46189</v>
      </c>
      <c r="D462" t="inlineStr">
        <is>
          <t>STOCKHOLMS LÄN</t>
        </is>
      </c>
      <c r="E462" t="inlineStr">
        <is>
          <t>NORRTÄLJE</t>
        </is>
      </c>
      <c r="G462" t="n">
        <v>4.8</v>
      </c>
      <c r="H462" t="n">
        <v>0</v>
      </c>
      <c r="I462" t="n">
        <v>0</v>
      </c>
      <c r="J462" t="n">
        <v>0</v>
      </c>
      <c r="K462" t="n">
        <v>0</v>
      </c>
      <c r="L462" t="n">
        <v>0</v>
      </c>
      <c r="M462" t="n">
        <v>0</v>
      </c>
      <c r="N462" t="n">
        <v>0</v>
      </c>
      <c r="O462" t="n">
        <v>0</v>
      </c>
      <c r="P462" t="n">
        <v>0</v>
      </c>
      <c r="Q462" t="n">
        <v>0</v>
      </c>
      <c r="R462" s="2" t="inlineStr"/>
    </row>
    <row r="463" ht="15" customHeight="1">
      <c r="A463" t="inlineStr">
        <is>
          <t>A 38985-2022</t>
        </is>
      </c>
      <c r="B463" s="1" t="n">
        <v>44816</v>
      </c>
      <c r="C463" s="1" t="n">
        <v>46189</v>
      </c>
      <c r="D463" t="inlineStr">
        <is>
          <t>STOCKHOLMS LÄN</t>
        </is>
      </c>
      <c r="E463" t="inlineStr">
        <is>
          <t>NORRTÄLJE</t>
        </is>
      </c>
      <c r="G463" t="n">
        <v>10.1</v>
      </c>
      <c r="H463" t="n">
        <v>0</v>
      </c>
      <c r="I463" t="n">
        <v>0</v>
      </c>
      <c r="J463" t="n">
        <v>0</v>
      </c>
      <c r="K463" t="n">
        <v>0</v>
      </c>
      <c r="L463" t="n">
        <v>0</v>
      </c>
      <c r="M463" t="n">
        <v>0</v>
      </c>
      <c r="N463" t="n">
        <v>0</v>
      </c>
      <c r="O463" t="n">
        <v>0</v>
      </c>
      <c r="P463" t="n">
        <v>0</v>
      </c>
      <c r="Q463" t="n">
        <v>0</v>
      </c>
      <c r="R463" s="2" t="inlineStr"/>
    </row>
    <row r="464" ht="15" customHeight="1">
      <c r="A464" t="inlineStr">
        <is>
          <t>A 25625-2023</t>
        </is>
      </c>
      <c r="B464" s="1" t="n">
        <v>45089</v>
      </c>
      <c r="C464" s="1" t="n">
        <v>46189</v>
      </c>
      <c r="D464" t="inlineStr">
        <is>
          <t>STOCKHOLMS LÄN</t>
        </is>
      </c>
      <c r="E464" t="inlineStr">
        <is>
          <t>NORRTÄLJE</t>
        </is>
      </c>
      <c r="G464" t="n">
        <v>5.5</v>
      </c>
      <c r="H464" t="n">
        <v>0</v>
      </c>
      <c r="I464" t="n">
        <v>0</v>
      </c>
      <c r="J464" t="n">
        <v>0</v>
      </c>
      <c r="K464" t="n">
        <v>0</v>
      </c>
      <c r="L464" t="n">
        <v>0</v>
      </c>
      <c r="M464" t="n">
        <v>0</v>
      </c>
      <c r="N464" t="n">
        <v>0</v>
      </c>
      <c r="O464" t="n">
        <v>0</v>
      </c>
      <c r="P464" t="n">
        <v>0</v>
      </c>
      <c r="Q464" t="n">
        <v>0</v>
      </c>
      <c r="R464" s="2" t="inlineStr"/>
    </row>
    <row r="465" ht="15" customHeight="1">
      <c r="A465" t="inlineStr">
        <is>
          <t>A 30699-2025</t>
        </is>
      </c>
      <c r="B465" s="1" t="n">
        <v>45831.54618055555</v>
      </c>
      <c r="C465" s="1" t="n">
        <v>46189</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42856-2025</t>
        </is>
      </c>
      <c r="B466" s="1" t="n">
        <v>45908</v>
      </c>
      <c r="C466" s="1" t="n">
        <v>46189</v>
      </c>
      <c r="D466" t="inlineStr">
        <is>
          <t>STOCKHOLMS LÄN</t>
        </is>
      </c>
      <c r="E466" t="inlineStr">
        <is>
          <t>NORRTÄLJE</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20011-2025</t>
        </is>
      </c>
      <c r="B467" s="1" t="n">
        <v>45772.29622685185</v>
      </c>
      <c r="C467" s="1" t="n">
        <v>46189</v>
      </c>
      <c r="D467" t="inlineStr">
        <is>
          <t>STOCKHOLMS LÄN</t>
        </is>
      </c>
      <c r="E467" t="inlineStr">
        <is>
          <t>NORRTÄLJE</t>
        </is>
      </c>
      <c r="G467" t="n">
        <v>3.5</v>
      </c>
      <c r="H467" t="n">
        <v>0</v>
      </c>
      <c r="I467" t="n">
        <v>0</v>
      </c>
      <c r="J467" t="n">
        <v>0</v>
      </c>
      <c r="K467" t="n">
        <v>0</v>
      </c>
      <c r="L467" t="n">
        <v>0</v>
      </c>
      <c r="M467" t="n">
        <v>0</v>
      </c>
      <c r="N467" t="n">
        <v>0</v>
      </c>
      <c r="O467" t="n">
        <v>0</v>
      </c>
      <c r="P467" t="n">
        <v>0</v>
      </c>
      <c r="Q467" t="n">
        <v>0</v>
      </c>
      <c r="R467" s="2" t="inlineStr"/>
    </row>
    <row r="468" ht="15" customHeight="1">
      <c r="A468" t="inlineStr">
        <is>
          <t>A 65499-2021</t>
        </is>
      </c>
      <c r="B468" s="1" t="n">
        <v>44516</v>
      </c>
      <c r="C468" s="1" t="n">
        <v>46189</v>
      </c>
      <c r="D468" t="inlineStr">
        <is>
          <t>STOCKHOLMS LÄN</t>
        </is>
      </c>
      <c r="E468" t="inlineStr">
        <is>
          <t>NORRTÄLJE</t>
        </is>
      </c>
      <c r="F468" t="inlineStr">
        <is>
          <t>Kommuner</t>
        </is>
      </c>
      <c r="G468" t="n">
        <v>5.2</v>
      </c>
      <c r="H468" t="n">
        <v>0</v>
      </c>
      <c r="I468" t="n">
        <v>0</v>
      </c>
      <c r="J468" t="n">
        <v>0</v>
      </c>
      <c r="K468" t="n">
        <v>0</v>
      </c>
      <c r="L468" t="n">
        <v>0</v>
      </c>
      <c r="M468" t="n">
        <v>0</v>
      </c>
      <c r="N468" t="n">
        <v>0</v>
      </c>
      <c r="O468" t="n">
        <v>0</v>
      </c>
      <c r="P468" t="n">
        <v>0</v>
      </c>
      <c r="Q468" t="n">
        <v>0</v>
      </c>
      <c r="R468" s="2" t="inlineStr"/>
    </row>
    <row r="469" ht="15" customHeight="1">
      <c r="A469" t="inlineStr">
        <is>
          <t>A 14132-2025</t>
        </is>
      </c>
      <c r="B469" s="1" t="n">
        <v>45740.47550925926</v>
      </c>
      <c r="C469" s="1" t="n">
        <v>46189</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14133-2025</t>
        </is>
      </c>
      <c r="B470" s="1" t="n">
        <v>45740.47724537037</v>
      </c>
      <c r="C470" s="1" t="n">
        <v>46189</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7186-2024</t>
        </is>
      </c>
      <c r="B471" s="1" t="n">
        <v>45344</v>
      </c>
      <c r="C471" s="1" t="n">
        <v>46189</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39202-2024</t>
        </is>
      </c>
      <c r="B472" s="1" t="n">
        <v>45548.72306712963</v>
      </c>
      <c r="C472" s="1" t="n">
        <v>46189</v>
      </c>
      <c r="D472" t="inlineStr">
        <is>
          <t>STOCKHOLMS LÄN</t>
        </is>
      </c>
      <c r="E472" t="inlineStr">
        <is>
          <t>NORRTÄLJE</t>
        </is>
      </c>
      <c r="G472" t="n">
        <v>1.9</v>
      </c>
      <c r="H472" t="n">
        <v>0</v>
      </c>
      <c r="I472" t="n">
        <v>0</v>
      </c>
      <c r="J472" t="n">
        <v>0</v>
      </c>
      <c r="K472" t="n">
        <v>0</v>
      </c>
      <c r="L472" t="n">
        <v>0</v>
      </c>
      <c r="M472" t="n">
        <v>0</v>
      </c>
      <c r="N472" t="n">
        <v>0</v>
      </c>
      <c r="O472" t="n">
        <v>0</v>
      </c>
      <c r="P472" t="n">
        <v>0</v>
      </c>
      <c r="Q472" t="n">
        <v>0</v>
      </c>
      <c r="R472" s="2" t="inlineStr"/>
    </row>
    <row r="473" ht="15" customHeight="1">
      <c r="A473" t="inlineStr">
        <is>
          <t>A 43269-2025</t>
        </is>
      </c>
      <c r="B473" s="1" t="n">
        <v>45910.5819212963</v>
      </c>
      <c r="C473" s="1" t="n">
        <v>46189</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53792-2023</t>
        </is>
      </c>
      <c r="B474" s="1" t="n">
        <v>45231.34144675926</v>
      </c>
      <c r="C474" s="1" t="n">
        <v>46189</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11280-2023</t>
        </is>
      </c>
      <c r="B475" s="1" t="n">
        <v>44992</v>
      </c>
      <c r="C475" s="1" t="n">
        <v>46189</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30719-2025</t>
        </is>
      </c>
      <c r="B476" s="1" t="n">
        <v>45831</v>
      </c>
      <c r="C476" s="1" t="n">
        <v>46189</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57442-2021</t>
        </is>
      </c>
      <c r="B477" s="1" t="n">
        <v>44483</v>
      </c>
      <c r="C477" s="1" t="n">
        <v>46189</v>
      </c>
      <c r="D477" t="inlineStr">
        <is>
          <t>STOCKHOLMS LÄN</t>
        </is>
      </c>
      <c r="E477" t="inlineStr">
        <is>
          <t>NORRTÄLJE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19952-2023</t>
        </is>
      </c>
      <c r="B478" s="1" t="n">
        <v>45054.54091435186</v>
      </c>
      <c r="C478" s="1" t="n">
        <v>46189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19994-2023</t>
        </is>
      </c>
      <c r="B479" s="1" t="n">
        <v>45054</v>
      </c>
      <c r="C479" s="1" t="n">
        <v>46189</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29003-2023</t>
        </is>
      </c>
      <c r="B480" s="1" t="n">
        <v>45104</v>
      </c>
      <c r="C480" s="1" t="n">
        <v>46189</v>
      </c>
      <c r="D480" t="inlineStr">
        <is>
          <t>STOCKHOLMS LÄN</t>
        </is>
      </c>
      <c r="E480" t="inlineStr">
        <is>
          <t>NORRTÄLJE</t>
        </is>
      </c>
      <c r="G480" t="n">
        <v>1.3</v>
      </c>
      <c r="H480" t="n">
        <v>0</v>
      </c>
      <c r="I480" t="n">
        <v>0</v>
      </c>
      <c r="J480" t="n">
        <v>0</v>
      </c>
      <c r="K480" t="n">
        <v>0</v>
      </c>
      <c r="L480" t="n">
        <v>0</v>
      </c>
      <c r="M480" t="n">
        <v>0</v>
      </c>
      <c r="N480" t="n">
        <v>0</v>
      </c>
      <c r="O480" t="n">
        <v>0</v>
      </c>
      <c r="P480" t="n">
        <v>0</v>
      </c>
      <c r="Q480" t="n">
        <v>0</v>
      </c>
      <c r="R480" s="2" t="inlineStr"/>
    </row>
    <row r="481" ht="15" customHeight="1">
      <c r="A481" t="inlineStr">
        <is>
          <t>A 44311-2025</t>
        </is>
      </c>
      <c r="B481" s="1" t="n">
        <v>45916.38394675926</v>
      </c>
      <c r="C481" s="1" t="n">
        <v>46189</v>
      </c>
      <c r="D481" t="inlineStr">
        <is>
          <t>STOCKHOLMS LÄN</t>
        </is>
      </c>
      <c r="E481" t="inlineStr">
        <is>
          <t>NORRTÄLJE</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15956-2023</t>
        </is>
      </c>
      <c r="B482" s="1" t="n">
        <v>45022.61003472222</v>
      </c>
      <c r="C482" s="1" t="n">
        <v>46189</v>
      </c>
      <c r="D482" t="inlineStr">
        <is>
          <t>STOCKHOLMS LÄN</t>
        </is>
      </c>
      <c r="E482" t="inlineStr">
        <is>
          <t>NORRTÄLJE</t>
        </is>
      </c>
      <c r="G482" t="n">
        <v>2.3</v>
      </c>
      <c r="H482" t="n">
        <v>0</v>
      </c>
      <c r="I482" t="n">
        <v>0</v>
      </c>
      <c r="J482" t="n">
        <v>0</v>
      </c>
      <c r="K482" t="n">
        <v>0</v>
      </c>
      <c r="L482" t="n">
        <v>0</v>
      </c>
      <c r="M482" t="n">
        <v>0</v>
      </c>
      <c r="N482" t="n">
        <v>0</v>
      </c>
      <c r="O482" t="n">
        <v>0</v>
      </c>
      <c r="P482" t="n">
        <v>0</v>
      </c>
      <c r="Q482" t="n">
        <v>0</v>
      </c>
      <c r="R482" s="2" t="inlineStr"/>
    </row>
    <row r="483" ht="15" customHeight="1">
      <c r="A483" t="inlineStr">
        <is>
          <t>A 13053-2022</t>
        </is>
      </c>
      <c r="B483" s="1" t="n">
        <v>44643</v>
      </c>
      <c r="C483" s="1" t="n">
        <v>46189</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44937-2025</t>
        </is>
      </c>
      <c r="B484" s="1" t="n">
        <v>45918</v>
      </c>
      <c r="C484" s="1" t="n">
        <v>46189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3383-2023</t>
        </is>
      </c>
      <c r="B485" s="1" t="n">
        <v>44949</v>
      </c>
      <c r="C485" s="1" t="n">
        <v>46189</v>
      </c>
      <c r="D485" t="inlineStr">
        <is>
          <t>STOCKHOLMS LÄN</t>
        </is>
      </c>
      <c r="E485" t="inlineStr">
        <is>
          <t>NORRTÄLJE</t>
        </is>
      </c>
      <c r="G485" t="n">
        <v>14.6</v>
      </c>
      <c r="H485" t="n">
        <v>0</v>
      </c>
      <c r="I485" t="n">
        <v>0</v>
      </c>
      <c r="J485" t="n">
        <v>0</v>
      </c>
      <c r="K485" t="n">
        <v>0</v>
      </c>
      <c r="L485" t="n">
        <v>0</v>
      </c>
      <c r="M485" t="n">
        <v>0</v>
      </c>
      <c r="N485" t="n">
        <v>0</v>
      </c>
      <c r="O485" t="n">
        <v>0</v>
      </c>
      <c r="P485" t="n">
        <v>0</v>
      </c>
      <c r="Q485" t="n">
        <v>0</v>
      </c>
      <c r="R485" s="2" t="inlineStr"/>
    </row>
    <row r="486" ht="15" customHeight="1">
      <c r="A486" t="inlineStr">
        <is>
          <t>A 4316-2023</t>
        </is>
      </c>
      <c r="B486" s="1" t="n">
        <v>44953.67443287037</v>
      </c>
      <c r="C486" s="1" t="n">
        <v>46189</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22359-2025</t>
        </is>
      </c>
      <c r="B487" s="1" t="n">
        <v>45786</v>
      </c>
      <c r="C487" s="1" t="n">
        <v>46189</v>
      </c>
      <c r="D487" t="inlineStr">
        <is>
          <t>STOCKHOLMS LÄN</t>
        </is>
      </c>
      <c r="E487" t="inlineStr">
        <is>
          <t>NORRTÄLJE</t>
        </is>
      </c>
      <c r="G487" t="n">
        <v>5</v>
      </c>
      <c r="H487" t="n">
        <v>0</v>
      </c>
      <c r="I487" t="n">
        <v>0</v>
      </c>
      <c r="J487" t="n">
        <v>0</v>
      </c>
      <c r="K487" t="n">
        <v>0</v>
      </c>
      <c r="L487" t="n">
        <v>0</v>
      </c>
      <c r="M487" t="n">
        <v>0</v>
      </c>
      <c r="N487" t="n">
        <v>0</v>
      </c>
      <c r="O487" t="n">
        <v>0</v>
      </c>
      <c r="P487" t="n">
        <v>0</v>
      </c>
      <c r="Q487" t="n">
        <v>0</v>
      </c>
      <c r="R487" s="2" t="inlineStr"/>
    </row>
    <row r="488" ht="15" customHeight="1">
      <c r="A488" t="inlineStr">
        <is>
          <t>A 5839-2023</t>
        </is>
      </c>
      <c r="B488" s="1" t="n">
        <v>44963</v>
      </c>
      <c r="C488" s="1" t="n">
        <v>46189</v>
      </c>
      <c r="D488" t="inlineStr">
        <is>
          <t>STOCKHOLMS LÄN</t>
        </is>
      </c>
      <c r="E488" t="inlineStr">
        <is>
          <t>NORRTÄLJE</t>
        </is>
      </c>
      <c r="G488" t="n">
        <v>3.6</v>
      </c>
      <c r="H488" t="n">
        <v>0</v>
      </c>
      <c r="I488" t="n">
        <v>0</v>
      </c>
      <c r="J488" t="n">
        <v>0</v>
      </c>
      <c r="K488" t="n">
        <v>0</v>
      </c>
      <c r="L488" t="n">
        <v>0</v>
      </c>
      <c r="M488" t="n">
        <v>0</v>
      </c>
      <c r="N488" t="n">
        <v>0</v>
      </c>
      <c r="O488" t="n">
        <v>0</v>
      </c>
      <c r="P488" t="n">
        <v>0</v>
      </c>
      <c r="Q488" t="n">
        <v>0</v>
      </c>
      <c r="R488" s="2" t="inlineStr"/>
    </row>
    <row r="489" ht="15" customHeight="1">
      <c r="A489" t="inlineStr">
        <is>
          <t>A 24705-2023</t>
        </is>
      </c>
      <c r="B489" s="1" t="n">
        <v>45084.54459490741</v>
      </c>
      <c r="C489" s="1" t="n">
        <v>46189</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45697-2025</t>
        </is>
      </c>
      <c r="B490" s="1" t="n">
        <v>45923.39877314815</v>
      </c>
      <c r="C490" s="1" t="n">
        <v>46189</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54358-2022</t>
        </is>
      </c>
      <c r="B491" s="1" t="n">
        <v>44882</v>
      </c>
      <c r="C491" s="1" t="n">
        <v>46189</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35256-2025</t>
        </is>
      </c>
      <c r="B492" s="1" t="n">
        <v>45853</v>
      </c>
      <c r="C492" s="1" t="n">
        <v>46189</v>
      </c>
      <c r="D492" t="inlineStr">
        <is>
          <t>STOCKHOLMS LÄN</t>
        </is>
      </c>
      <c r="E492" t="inlineStr">
        <is>
          <t>NORRTÄLJE</t>
        </is>
      </c>
      <c r="G492" t="n">
        <v>6.4</v>
      </c>
      <c r="H492" t="n">
        <v>0</v>
      </c>
      <c r="I492" t="n">
        <v>0</v>
      </c>
      <c r="J492" t="n">
        <v>0</v>
      </c>
      <c r="K492" t="n">
        <v>0</v>
      </c>
      <c r="L492" t="n">
        <v>0</v>
      </c>
      <c r="M492" t="n">
        <v>0</v>
      </c>
      <c r="N492" t="n">
        <v>0</v>
      </c>
      <c r="O492" t="n">
        <v>0</v>
      </c>
      <c r="P492" t="n">
        <v>0</v>
      </c>
      <c r="Q492" t="n">
        <v>0</v>
      </c>
      <c r="R492" s="2" t="inlineStr"/>
    </row>
    <row r="493" ht="15" customHeight="1">
      <c r="A493" t="inlineStr">
        <is>
          <t>A 23749-2024</t>
        </is>
      </c>
      <c r="B493" s="1" t="n">
        <v>45455.33037037037</v>
      </c>
      <c r="C493" s="1" t="n">
        <v>46189</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35698-2023</t>
        </is>
      </c>
      <c r="B494" s="1" t="n">
        <v>45147</v>
      </c>
      <c r="C494" s="1" t="n">
        <v>46189</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73992-2021</t>
        </is>
      </c>
      <c r="B495" s="1" t="n">
        <v>44556</v>
      </c>
      <c r="C495" s="1" t="n">
        <v>46189</v>
      </c>
      <c r="D495" t="inlineStr">
        <is>
          <t>STOCKHOLMS LÄN</t>
        </is>
      </c>
      <c r="E495" t="inlineStr">
        <is>
          <t>NORRTÄLJE</t>
        </is>
      </c>
      <c r="G495" t="n">
        <v>12.5</v>
      </c>
      <c r="H495" t="n">
        <v>0</v>
      </c>
      <c r="I495" t="n">
        <v>0</v>
      </c>
      <c r="J495" t="n">
        <v>0</v>
      </c>
      <c r="K495" t="n">
        <v>0</v>
      </c>
      <c r="L495" t="n">
        <v>0</v>
      </c>
      <c r="M495" t="n">
        <v>0</v>
      </c>
      <c r="N495" t="n">
        <v>0</v>
      </c>
      <c r="O495" t="n">
        <v>0</v>
      </c>
      <c r="P495" t="n">
        <v>0</v>
      </c>
      <c r="Q495" t="n">
        <v>0</v>
      </c>
      <c r="R495" s="2" t="inlineStr"/>
    </row>
    <row r="496" ht="15" customHeight="1">
      <c r="A496" t="inlineStr">
        <is>
          <t>A 21329-2022</t>
        </is>
      </c>
      <c r="B496" s="1" t="n">
        <v>44705.60626157407</v>
      </c>
      <c r="C496" s="1" t="n">
        <v>46189</v>
      </c>
      <c r="D496" t="inlineStr">
        <is>
          <t>STOCKHOLMS LÄN</t>
        </is>
      </c>
      <c r="E496" t="inlineStr">
        <is>
          <t>NORRTÄLJE</t>
        </is>
      </c>
      <c r="G496" t="n">
        <v>4.1</v>
      </c>
      <c r="H496" t="n">
        <v>0</v>
      </c>
      <c r="I496" t="n">
        <v>0</v>
      </c>
      <c r="J496" t="n">
        <v>0</v>
      </c>
      <c r="K496" t="n">
        <v>0</v>
      </c>
      <c r="L496" t="n">
        <v>0</v>
      </c>
      <c r="M496" t="n">
        <v>0</v>
      </c>
      <c r="N496" t="n">
        <v>0</v>
      </c>
      <c r="O496" t="n">
        <v>0</v>
      </c>
      <c r="P496" t="n">
        <v>0</v>
      </c>
      <c r="Q496" t="n">
        <v>0</v>
      </c>
      <c r="R496" s="2" t="inlineStr"/>
    </row>
    <row r="497" ht="15" customHeight="1">
      <c r="A497" t="inlineStr">
        <is>
          <t>A 54276-2021</t>
        </is>
      </c>
      <c r="B497" s="1" t="n">
        <v>44470</v>
      </c>
      <c r="C497" s="1" t="n">
        <v>46189</v>
      </c>
      <c r="D497" t="inlineStr">
        <is>
          <t>STOCKHOLMS LÄN</t>
        </is>
      </c>
      <c r="E497" t="inlineStr">
        <is>
          <t>NORRTÄLJE</t>
        </is>
      </c>
      <c r="G497" t="n">
        <v>7.3</v>
      </c>
      <c r="H497" t="n">
        <v>0</v>
      </c>
      <c r="I497" t="n">
        <v>0</v>
      </c>
      <c r="J497" t="n">
        <v>0</v>
      </c>
      <c r="K497" t="n">
        <v>0</v>
      </c>
      <c r="L497" t="n">
        <v>0</v>
      </c>
      <c r="M497" t="n">
        <v>0</v>
      </c>
      <c r="N497" t="n">
        <v>0</v>
      </c>
      <c r="O497" t="n">
        <v>0</v>
      </c>
      <c r="P497" t="n">
        <v>0</v>
      </c>
      <c r="Q497" t="n">
        <v>0</v>
      </c>
      <c r="R497" s="2" t="inlineStr"/>
    </row>
    <row r="498" ht="15" customHeight="1">
      <c r="A498" t="inlineStr">
        <is>
          <t>A 10090-2022</t>
        </is>
      </c>
      <c r="B498" s="1" t="n">
        <v>44621</v>
      </c>
      <c r="C498" s="1" t="n">
        <v>46189</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51116-2022</t>
        </is>
      </c>
      <c r="B499" s="1" t="n">
        <v>44868.45741898148</v>
      </c>
      <c r="C499" s="1" t="n">
        <v>46189</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29972-2024</t>
        </is>
      </c>
      <c r="B500" s="1" t="n">
        <v>45485</v>
      </c>
      <c r="C500" s="1" t="n">
        <v>46189</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47498-2025</t>
        </is>
      </c>
      <c r="B501" s="1" t="n">
        <v>45930.8134375</v>
      </c>
      <c r="C501" s="1" t="n">
        <v>46189</v>
      </c>
      <c r="D501" t="inlineStr">
        <is>
          <t>STOCKHOLMS LÄN</t>
        </is>
      </c>
      <c r="E501" t="inlineStr">
        <is>
          <t>NORRTÄLJE</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47496-2025</t>
        </is>
      </c>
      <c r="B502" s="1" t="n">
        <v>45930.79252314815</v>
      </c>
      <c r="C502" s="1" t="n">
        <v>46189</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47497-2025</t>
        </is>
      </c>
      <c r="B503" s="1" t="n">
        <v>45930.80217592593</v>
      </c>
      <c r="C503" s="1" t="n">
        <v>46189</v>
      </c>
      <c r="D503" t="inlineStr">
        <is>
          <t>STOCKHOLMS LÄN</t>
        </is>
      </c>
      <c r="E503" t="inlineStr">
        <is>
          <t>NORRTÄLJE</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28809-2023</t>
        </is>
      </c>
      <c r="B504" s="1" t="n">
        <v>45104</v>
      </c>
      <c r="C504" s="1" t="n">
        <v>46189</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28813-2023</t>
        </is>
      </c>
      <c r="B505" s="1" t="n">
        <v>45104</v>
      </c>
      <c r="C505" s="1" t="n">
        <v>46189</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48718-2025</t>
        </is>
      </c>
      <c r="B506" s="1" t="n">
        <v>45936</v>
      </c>
      <c r="C506" s="1" t="n">
        <v>46189</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11929-2024</t>
        </is>
      </c>
      <c r="B507" s="1" t="n">
        <v>45376.64532407407</v>
      </c>
      <c r="C507" s="1" t="n">
        <v>46189</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48370-2025</t>
        </is>
      </c>
      <c r="B508" s="1" t="n">
        <v>45933.67854166667</v>
      </c>
      <c r="C508" s="1" t="n">
        <v>46189</v>
      </c>
      <c r="D508" t="inlineStr">
        <is>
          <t>STOCKHOLMS LÄN</t>
        </is>
      </c>
      <c r="E508" t="inlineStr">
        <is>
          <t>NORRTÄLJE</t>
        </is>
      </c>
      <c r="G508" t="n">
        <v>4.5</v>
      </c>
      <c r="H508" t="n">
        <v>0</v>
      </c>
      <c r="I508" t="n">
        <v>0</v>
      </c>
      <c r="J508" t="n">
        <v>0</v>
      </c>
      <c r="K508" t="n">
        <v>0</v>
      </c>
      <c r="L508" t="n">
        <v>0</v>
      </c>
      <c r="M508" t="n">
        <v>0</v>
      </c>
      <c r="N508" t="n">
        <v>0</v>
      </c>
      <c r="O508" t="n">
        <v>0</v>
      </c>
      <c r="P508" t="n">
        <v>0</v>
      </c>
      <c r="Q508" t="n">
        <v>0</v>
      </c>
      <c r="R508" s="2" t="inlineStr"/>
    </row>
    <row r="509" ht="15" customHeight="1">
      <c r="A509" t="inlineStr">
        <is>
          <t>A 64145-2021</t>
        </is>
      </c>
      <c r="B509" s="1" t="n">
        <v>44510</v>
      </c>
      <c r="C509" s="1" t="n">
        <v>46189</v>
      </c>
      <c r="D509" t="inlineStr">
        <is>
          <t>STOCKHOLMS LÄN</t>
        </is>
      </c>
      <c r="E509" t="inlineStr">
        <is>
          <t>NORRTÄLJE</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48443-2025</t>
        </is>
      </c>
      <c r="B510" s="1" t="n">
        <v>45935.55326388889</v>
      </c>
      <c r="C510" s="1" t="n">
        <v>46189</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45451-2024</t>
        </is>
      </c>
      <c r="B511" s="1" t="n">
        <v>45576</v>
      </c>
      <c r="C511" s="1" t="n">
        <v>46189</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48364-2025</t>
        </is>
      </c>
      <c r="B512" s="1" t="n">
        <v>45933.66796296297</v>
      </c>
      <c r="C512" s="1" t="n">
        <v>46189</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48174-2025</t>
        </is>
      </c>
      <c r="B513" s="1" t="n">
        <v>45933.44230324074</v>
      </c>
      <c r="C513" s="1" t="n">
        <v>46189</v>
      </c>
      <c r="D513" t="inlineStr">
        <is>
          <t>STOCKHOLMS LÄN</t>
        </is>
      </c>
      <c r="E513" t="inlineStr">
        <is>
          <t>NORRTÄLJE</t>
        </is>
      </c>
      <c r="G513" t="n">
        <v>2.6</v>
      </c>
      <c r="H513" t="n">
        <v>0</v>
      </c>
      <c r="I513" t="n">
        <v>0</v>
      </c>
      <c r="J513" t="n">
        <v>0</v>
      </c>
      <c r="K513" t="n">
        <v>0</v>
      </c>
      <c r="L513" t="n">
        <v>0</v>
      </c>
      <c r="M513" t="n">
        <v>0</v>
      </c>
      <c r="N513" t="n">
        <v>0</v>
      </c>
      <c r="O513" t="n">
        <v>0</v>
      </c>
      <c r="P513" t="n">
        <v>0</v>
      </c>
      <c r="Q513" t="n">
        <v>0</v>
      </c>
      <c r="R513" s="2" t="inlineStr"/>
    </row>
    <row r="514" ht="15" customHeight="1">
      <c r="A514" t="inlineStr">
        <is>
          <t>A 49129-2025</t>
        </is>
      </c>
      <c r="B514" s="1" t="n">
        <v>45937.89517361111</v>
      </c>
      <c r="C514" s="1" t="n">
        <v>46189</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17843-2024</t>
        </is>
      </c>
      <c r="B515" s="1" t="n">
        <v>45418</v>
      </c>
      <c r="C515" s="1" t="n">
        <v>46189</v>
      </c>
      <c r="D515" t="inlineStr">
        <is>
          <t>STOCKHOLMS LÄN</t>
        </is>
      </c>
      <c r="E515" t="inlineStr">
        <is>
          <t>NORRTÄLJE</t>
        </is>
      </c>
      <c r="G515" t="n">
        <v>5.4</v>
      </c>
      <c r="H515" t="n">
        <v>0</v>
      </c>
      <c r="I515" t="n">
        <v>0</v>
      </c>
      <c r="J515" t="n">
        <v>0</v>
      </c>
      <c r="K515" t="n">
        <v>0</v>
      </c>
      <c r="L515" t="n">
        <v>0</v>
      </c>
      <c r="M515" t="n">
        <v>0</v>
      </c>
      <c r="N515" t="n">
        <v>0</v>
      </c>
      <c r="O515" t="n">
        <v>0</v>
      </c>
      <c r="P515" t="n">
        <v>0</v>
      </c>
      <c r="Q515" t="n">
        <v>0</v>
      </c>
      <c r="R515" s="2" t="inlineStr"/>
    </row>
    <row r="516" ht="15" customHeight="1">
      <c r="A516" t="inlineStr">
        <is>
          <t>A 48780-2025</t>
        </is>
      </c>
      <c r="B516" s="1" t="n">
        <v>45937.30377314815</v>
      </c>
      <c r="C516" s="1" t="n">
        <v>46189</v>
      </c>
      <c r="D516" t="inlineStr">
        <is>
          <t>STOCKHOLMS LÄN</t>
        </is>
      </c>
      <c r="E516" t="inlineStr">
        <is>
          <t>NORRTÄLJE</t>
        </is>
      </c>
      <c r="G516" t="n">
        <v>7.7</v>
      </c>
      <c r="H516" t="n">
        <v>0</v>
      </c>
      <c r="I516" t="n">
        <v>0</v>
      </c>
      <c r="J516" t="n">
        <v>0</v>
      </c>
      <c r="K516" t="n">
        <v>0</v>
      </c>
      <c r="L516" t="n">
        <v>0</v>
      </c>
      <c r="M516" t="n">
        <v>0</v>
      </c>
      <c r="N516" t="n">
        <v>0</v>
      </c>
      <c r="O516" t="n">
        <v>0</v>
      </c>
      <c r="P516" t="n">
        <v>0</v>
      </c>
      <c r="Q516" t="n">
        <v>0</v>
      </c>
      <c r="R516" s="2" t="inlineStr"/>
    </row>
    <row r="517" ht="15" customHeight="1">
      <c r="A517" t="inlineStr">
        <is>
          <t>A 12890-2024</t>
        </is>
      </c>
      <c r="B517" s="1" t="n">
        <v>45385.36243055556</v>
      </c>
      <c r="C517" s="1" t="n">
        <v>46189</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36430-2024</t>
        </is>
      </c>
      <c r="B518" s="1" t="n">
        <v>45536</v>
      </c>
      <c r="C518" s="1" t="n">
        <v>46189</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41172-2023</t>
        </is>
      </c>
      <c r="B519" s="1" t="n">
        <v>45170</v>
      </c>
      <c r="C519" s="1" t="n">
        <v>46189</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67921-2021</t>
        </is>
      </c>
      <c r="B520" s="1" t="n">
        <v>44525</v>
      </c>
      <c r="C520" s="1" t="n">
        <v>46189</v>
      </c>
      <c r="D520" t="inlineStr">
        <is>
          <t>STOCKHOLMS LÄN</t>
        </is>
      </c>
      <c r="E520" t="inlineStr">
        <is>
          <t>NORRTÄLJE</t>
        </is>
      </c>
      <c r="G520" t="n">
        <v>6.3</v>
      </c>
      <c r="H520" t="n">
        <v>0</v>
      </c>
      <c r="I520" t="n">
        <v>0</v>
      </c>
      <c r="J520" t="n">
        <v>0</v>
      </c>
      <c r="K520" t="n">
        <v>0</v>
      </c>
      <c r="L520" t="n">
        <v>0</v>
      </c>
      <c r="M520" t="n">
        <v>0</v>
      </c>
      <c r="N520" t="n">
        <v>0</v>
      </c>
      <c r="O520" t="n">
        <v>0</v>
      </c>
      <c r="P520" t="n">
        <v>0</v>
      </c>
      <c r="Q520" t="n">
        <v>0</v>
      </c>
      <c r="R520" s="2" t="inlineStr"/>
    </row>
    <row r="521" ht="15" customHeight="1">
      <c r="A521" t="inlineStr">
        <is>
          <t>A 72704-2021</t>
        </is>
      </c>
      <c r="B521" s="1" t="n">
        <v>44546</v>
      </c>
      <c r="C521" s="1" t="n">
        <v>46189</v>
      </c>
      <c r="D521" t="inlineStr">
        <is>
          <t>STOCKHOLMS LÄN</t>
        </is>
      </c>
      <c r="E521" t="inlineStr">
        <is>
          <t>NORRTÄLJE</t>
        </is>
      </c>
      <c r="G521" t="n">
        <v>1.3</v>
      </c>
      <c r="H521" t="n">
        <v>0</v>
      </c>
      <c r="I521" t="n">
        <v>0</v>
      </c>
      <c r="J521" t="n">
        <v>0</v>
      </c>
      <c r="K521" t="n">
        <v>0</v>
      </c>
      <c r="L521" t="n">
        <v>0</v>
      </c>
      <c r="M521" t="n">
        <v>0</v>
      </c>
      <c r="N521" t="n">
        <v>0</v>
      </c>
      <c r="O521" t="n">
        <v>0</v>
      </c>
      <c r="P521" t="n">
        <v>0</v>
      </c>
      <c r="Q521" t="n">
        <v>0</v>
      </c>
      <c r="R521" s="2" t="inlineStr"/>
    </row>
    <row r="522" ht="15" customHeight="1">
      <c r="A522" t="inlineStr">
        <is>
          <t>A 65499-2021</t>
        </is>
      </c>
      <c r="B522" s="1" t="n">
        <v>44516</v>
      </c>
      <c r="C522" s="1" t="n">
        <v>46189</v>
      </c>
      <c r="D522" t="inlineStr">
        <is>
          <t>STOCKHOLMS LÄN</t>
        </is>
      </c>
      <c r="E522" t="inlineStr">
        <is>
          <t>NORRTÄLJE</t>
        </is>
      </c>
      <c r="F522" t="inlineStr">
        <is>
          <t>Kommuner</t>
        </is>
      </c>
      <c r="G522" t="n">
        <v>5.2</v>
      </c>
      <c r="H522" t="n">
        <v>0</v>
      </c>
      <c r="I522" t="n">
        <v>0</v>
      </c>
      <c r="J522" t="n">
        <v>0</v>
      </c>
      <c r="K522" t="n">
        <v>0</v>
      </c>
      <c r="L522" t="n">
        <v>0</v>
      </c>
      <c r="M522" t="n">
        <v>0</v>
      </c>
      <c r="N522" t="n">
        <v>0</v>
      </c>
      <c r="O522" t="n">
        <v>0</v>
      </c>
      <c r="P522" t="n">
        <v>0</v>
      </c>
      <c r="Q522" t="n">
        <v>0</v>
      </c>
      <c r="R522" s="2" t="inlineStr"/>
    </row>
    <row r="523" ht="15" customHeight="1">
      <c r="A523" t="inlineStr">
        <is>
          <t>A 65511-2021</t>
        </is>
      </c>
      <c r="B523" s="1" t="n">
        <v>44516.40674768519</v>
      </c>
      <c r="C523" s="1" t="n">
        <v>46189</v>
      </c>
      <c r="D523" t="inlineStr">
        <is>
          <t>STOCKHOLMS LÄN</t>
        </is>
      </c>
      <c r="E523" t="inlineStr">
        <is>
          <t>NORRTÄLJE</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26113-2024</t>
        </is>
      </c>
      <c r="B524" s="1" t="n">
        <v>45468.45541666666</v>
      </c>
      <c r="C524" s="1" t="n">
        <v>46189</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26116-2024</t>
        </is>
      </c>
      <c r="B525" s="1" t="n">
        <v>45468.45747685185</v>
      </c>
      <c r="C525" s="1" t="n">
        <v>46189</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52686-2024</t>
        </is>
      </c>
      <c r="B526" s="1" t="n">
        <v>45610.39271990741</v>
      </c>
      <c r="C526" s="1" t="n">
        <v>46189</v>
      </c>
      <c r="D526" t="inlineStr">
        <is>
          <t>STOCKHOLMS LÄN</t>
        </is>
      </c>
      <c r="E526" t="inlineStr">
        <is>
          <t>NORRTÄLJE</t>
        </is>
      </c>
      <c r="G526" t="n">
        <v>5.7</v>
      </c>
      <c r="H526" t="n">
        <v>0</v>
      </c>
      <c r="I526" t="n">
        <v>0</v>
      </c>
      <c r="J526" t="n">
        <v>0</v>
      </c>
      <c r="K526" t="n">
        <v>0</v>
      </c>
      <c r="L526" t="n">
        <v>0</v>
      </c>
      <c r="M526" t="n">
        <v>0</v>
      </c>
      <c r="N526" t="n">
        <v>0</v>
      </c>
      <c r="O526" t="n">
        <v>0</v>
      </c>
      <c r="P526" t="n">
        <v>0</v>
      </c>
      <c r="Q526" t="n">
        <v>0</v>
      </c>
      <c r="R526" s="2" t="inlineStr"/>
    </row>
    <row r="527" ht="15" customHeight="1">
      <c r="A527" t="inlineStr">
        <is>
          <t>A 31105-2022</t>
        </is>
      </c>
      <c r="B527" s="1" t="n">
        <v>44769.66039351852</v>
      </c>
      <c r="C527" s="1" t="n">
        <v>46189</v>
      </c>
      <c r="D527" t="inlineStr">
        <is>
          <t>STOCKHOLMS LÄN</t>
        </is>
      </c>
      <c r="E527" t="inlineStr">
        <is>
          <t>NORRTÄLJE</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50097-2025</t>
        </is>
      </c>
      <c r="B528" s="1" t="n">
        <v>45943.50207175926</v>
      </c>
      <c r="C528" s="1" t="n">
        <v>46189</v>
      </c>
      <c r="D528" t="inlineStr">
        <is>
          <t>STOCKHOLMS LÄN</t>
        </is>
      </c>
      <c r="E528" t="inlineStr">
        <is>
          <t>NORRTÄLJE</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62644-2023</t>
        </is>
      </c>
      <c r="B529" s="1" t="n">
        <v>45271</v>
      </c>
      <c r="C529" s="1" t="n">
        <v>46189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60185-2024</t>
        </is>
      </c>
      <c r="B530" s="1" t="n">
        <v>45642.64634259259</v>
      </c>
      <c r="C530" s="1" t="n">
        <v>46189</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60765-2023</t>
        </is>
      </c>
      <c r="B531" s="1" t="n">
        <v>45260</v>
      </c>
      <c r="C531" s="1" t="n">
        <v>46189</v>
      </c>
      <c r="D531" t="inlineStr">
        <is>
          <t>STOCKHOLMS LÄN</t>
        </is>
      </c>
      <c r="E531" t="inlineStr">
        <is>
          <t>NORRTÄLJE</t>
        </is>
      </c>
      <c r="G531" t="n">
        <v>3.7</v>
      </c>
      <c r="H531" t="n">
        <v>0</v>
      </c>
      <c r="I531" t="n">
        <v>0</v>
      </c>
      <c r="J531" t="n">
        <v>0</v>
      </c>
      <c r="K531" t="n">
        <v>0</v>
      </c>
      <c r="L531" t="n">
        <v>0</v>
      </c>
      <c r="M531" t="n">
        <v>0</v>
      </c>
      <c r="N531" t="n">
        <v>0</v>
      </c>
      <c r="O531" t="n">
        <v>0</v>
      </c>
      <c r="P531" t="n">
        <v>0</v>
      </c>
      <c r="Q531" t="n">
        <v>0</v>
      </c>
      <c r="R531" s="2" t="inlineStr"/>
    </row>
    <row r="532" ht="15" customHeight="1">
      <c r="A532" t="inlineStr">
        <is>
          <t>A 50563-2025</t>
        </is>
      </c>
      <c r="B532" s="1" t="n">
        <v>45944</v>
      </c>
      <c r="C532" s="1" t="n">
        <v>46189</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12268-2022</t>
        </is>
      </c>
      <c r="B533" s="1" t="n">
        <v>44637</v>
      </c>
      <c r="C533" s="1" t="n">
        <v>46189</v>
      </c>
      <c r="D533" t="inlineStr">
        <is>
          <t>STOCKHOLMS LÄN</t>
        </is>
      </c>
      <c r="E533" t="inlineStr">
        <is>
          <t>NORRTÄLJE</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50327-2025</t>
        </is>
      </c>
      <c r="B534" s="1" t="n">
        <v>45944.46387731482</v>
      </c>
      <c r="C534" s="1" t="n">
        <v>46189</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51315-2021</t>
        </is>
      </c>
      <c r="B535" s="1" t="n">
        <v>44461</v>
      </c>
      <c r="C535" s="1" t="n">
        <v>46189</v>
      </c>
      <c r="D535" t="inlineStr">
        <is>
          <t>STOCKHOLMS LÄN</t>
        </is>
      </c>
      <c r="E535" t="inlineStr">
        <is>
          <t>NORRTÄLJE</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22008-2024</t>
        </is>
      </c>
      <c r="B536" s="1" t="n">
        <v>45443</v>
      </c>
      <c r="C536" s="1" t="n">
        <v>46189</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51240-2025</t>
        </is>
      </c>
      <c r="B537" s="1" t="n">
        <v>45947.70420138889</v>
      </c>
      <c r="C537" s="1" t="n">
        <v>46189</v>
      </c>
      <c r="D537" t="inlineStr">
        <is>
          <t>STOCKHOLMS LÄN</t>
        </is>
      </c>
      <c r="E537" t="inlineStr">
        <is>
          <t>NORRTÄLJE</t>
        </is>
      </c>
      <c r="F537" t="inlineStr">
        <is>
          <t>Naturvårdsverket</t>
        </is>
      </c>
      <c r="G537" t="n">
        <v>3</v>
      </c>
      <c r="H537" t="n">
        <v>0</v>
      </c>
      <c r="I537" t="n">
        <v>0</v>
      </c>
      <c r="J537" t="n">
        <v>0</v>
      </c>
      <c r="K537" t="n">
        <v>0</v>
      </c>
      <c r="L537" t="n">
        <v>0</v>
      </c>
      <c r="M537" t="n">
        <v>0</v>
      </c>
      <c r="N537" t="n">
        <v>0</v>
      </c>
      <c r="O537" t="n">
        <v>0</v>
      </c>
      <c r="P537" t="n">
        <v>0</v>
      </c>
      <c r="Q537" t="n">
        <v>0</v>
      </c>
      <c r="R537" s="2" t="inlineStr"/>
    </row>
    <row r="538" ht="15" customHeight="1">
      <c r="A538" t="inlineStr">
        <is>
          <t>A 58277-2023</t>
        </is>
      </c>
      <c r="B538" s="1" t="n">
        <v>45245</v>
      </c>
      <c r="C538" s="1" t="n">
        <v>46189</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51121-2025</t>
        </is>
      </c>
      <c r="B539" s="1" t="n">
        <v>45947.53293981482</v>
      </c>
      <c r="C539" s="1" t="n">
        <v>46189</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51532-2025</t>
        </is>
      </c>
      <c r="B540" s="1" t="n">
        <v>45950.68297453703</v>
      </c>
      <c r="C540" s="1" t="n">
        <v>46189</v>
      </c>
      <c r="D540" t="inlineStr">
        <is>
          <t>STOCKHOLMS LÄN</t>
        </is>
      </c>
      <c r="E540" t="inlineStr">
        <is>
          <t>NORRTÄLJE</t>
        </is>
      </c>
      <c r="F540" t="inlineStr">
        <is>
          <t>Naturvårdsverket</t>
        </is>
      </c>
      <c r="G540" t="n">
        <v>17.3</v>
      </c>
      <c r="H540" t="n">
        <v>0</v>
      </c>
      <c r="I540" t="n">
        <v>0</v>
      </c>
      <c r="J540" t="n">
        <v>0</v>
      </c>
      <c r="K540" t="n">
        <v>0</v>
      </c>
      <c r="L540" t="n">
        <v>0</v>
      </c>
      <c r="M540" t="n">
        <v>0</v>
      </c>
      <c r="N540" t="n">
        <v>0</v>
      </c>
      <c r="O540" t="n">
        <v>0</v>
      </c>
      <c r="P540" t="n">
        <v>0</v>
      </c>
      <c r="Q540" t="n">
        <v>0</v>
      </c>
      <c r="R540" s="2" t="inlineStr"/>
    </row>
    <row r="541" ht="15" customHeight="1">
      <c r="A541" t="inlineStr">
        <is>
          <t>A 51233-2025</t>
        </is>
      </c>
      <c r="B541" s="1" t="n">
        <v>45947.68232638889</v>
      </c>
      <c r="C541" s="1" t="n">
        <v>46189</v>
      </c>
      <c r="D541" t="inlineStr">
        <is>
          <t>STOCKHOLMS LÄN</t>
        </is>
      </c>
      <c r="E541" t="inlineStr">
        <is>
          <t>NORRTÄLJE</t>
        </is>
      </c>
      <c r="F541" t="inlineStr">
        <is>
          <t>Naturvårdsverket</t>
        </is>
      </c>
      <c r="G541" t="n">
        <v>8.1</v>
      </c>
      <c r="H541" t="n">
        <v>0</v>
      </c>
      <c r="I541" t="n">
        <v>0</v>
      </c>
      <c r="J541" t="n">
        <v>0</v>
      </c>
      <c r="K541" t="n">
        <v>0</v>
      </c>
      <c r="L541" t="n">
        <v>0</v>
      </c>
      <c r="M541" t="n">
        <v>0</v>
      </c>
      <c r="N541" t="n">
        <v>0</v>
      </c>
      <c r="O541" t="n">
        <v>0</v>
      </c>
      <c r="P541" t="n">
        <v>0</v>
      </c>
      <c r="Q541" t="n">
        <v>0</v>
      </c>
      <c r="R541" s="2" t="inlineStr"/>
    </row>
    <row r="542" ht="15" customHeight="1">
      <c r="A542" t="inlineStr">
        <is>
          <t>A 51236-2025</t>
        </is>
      </c>
      <c r="B542" s="1" t="n">
        <v>45947.69078703703</v>
      </c>
      <c r="C542" s="1" t="n">
        <v>46189</v>
      </c>
      <c r="D542" t="inlineStr">
        <is>
          <t>STOCKHOLMS LÄN</t>
        </is>
      </c>
      <c r="E542" t="inlineStr">
        <is>
          <t>NORRTÄLJE</t>
        </is>
      </c>
      <c r="F542" t="inlineStr">
        <is>
          <t>Naturvårdsverket</t>
        </is>
      </c>
      <c r="G542" t="n">
        <v>6.3</v>
      </c>
      <c r="H542" t="n">
        <v>0</v>
      </c>
      <c r="I542" t="n">
        <v>0</v>
      </c>
      <c r="J542" t="n">
        <v>0</v>
      </c>
      <c r="K542" t="n">
        <v>0</v>
      </c>
      <c r="L542" t="n">
        <v>0</v>
      </c>
      <c r="M542" t="n">
        <v>0</v>
      </c>
      <c r="N542" t="n">
        <v>0</v>
      </c>
      <c r="O542" t="n">
        <v>0</v>
      </c>
      <c r="P542" t="n">
        <v>0</v>
      </c>
      <c r="Q542" t="n">
        <v>0</v>
      </c>
      <c r="R542" s="2" t="inlineStr"/>
    </row>
    <row r="543" ht="15" customHeight="1">
      <c r="A543" t="inlineStr">
        <is>
          <t>A 51241-2025</t>
        </is>
      </c>
      <c r="B543" s="1" t="n">
        <v>45947.71726851852</v>
      </c>
      <c r="C543" s="1" t="n">
        <v>46189</v>
      </c>
      <c r="D543" t="inlineStr">
        <is>
          <t>STOCKHOLMS LÄN</t>
        </is>
      </c>
      <c r="E543" t="inlineStr">
        <is>
          <t>NORRTÄLJE</t>
        </is>
      </c>
      <c r="F543" t="inlineStr">
        <is>
          <t>Naturvårdsverket</t>
        </is>
      </c>
      <c r="G543" t="n">
        <v>6.4</v>
      </c>
      <c r="H543" t="n">
        <v>0</v>
      </c>
      <c r="I543" t="n">
        <v>0</v>
      </c>
      <c r="J543" t="n">
        <v>0</v>
      </c>
      <c r="K543" t="n">
        <v>0</v>
      </c>
      <c r="L543" t="n">
        <v>0</v>
      </c>
      <c r="M543" t="n">
        <v>0</v>
      </c>
      <c r="N543" t="n">
        <v>0</v>
      </c>
      <c r="O543" t="n">
        <v>0</v>
      </c>
      <c r="P543" t="n">
        <v>0</v>
      </c>
      <c r="Q543" t="n">
        <v>0</v>
      </c>
      <c r="R543" s="2" t="inlineStr"/>
    </row>
    <row r="544" ht="15" customHeight="1">
      <c r="A544" t="inlineStr">
        <is>
          <t>A 4322-2023</t>
        </is>
      </c>
      <c r="B544" s="1" t="n">
        <v>44953.69298611111</v>
      </c>
      <c r="C544" s="1" t="n">
        <v>46189</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35916-2024</t>
        </is>
      </c>
      <c r="B545" s="1" t="n">
        <v>45533</v>
      </c>
      <c r="C545" s="1" t="n">
        <v>46189</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51945-2025</t>
        </is>
      </c>
      <c r="B546" s="1" t="n">
        <v>45952.52679398148</v>
      </c>
      <c r="C546" s="1" t="n">
        <v>46189</v>
      </c>
      <c r="D546" t="inlineStr">
        <is>
          <t>STOCKHOLMS LÄN</t>
        </is>
      </c>
      <c r="E546" t="inlineStr">
        <is>
          <t>NORRTÄLJE</t>
        </is>
      </c>
      <c r="G546" t="n">
        <v>7</v>
      </c>
      <c r="H546" t="n">
        <v>0</v>
      </c>
      <c r="I546" t="n">
        <v>0</v>
      </c>
      <c r="J546" t="n">
        <v>0</v>
      </c>
      <c r="K546" t="n">
        <v>0</v>
      </c>
      <c r="L546" t="n">
        <v>0</v>
      </c>
      <c r="M546" t="n">
        <v>0</v>
      </c>
      <c r="N546" t="n">
        <v>0</v>
      </c>
      <c r="O546" t="n">
        <v>0</v>
      </c>
      <c r="P546" t="n">
        <v>0</v>
      </c>
      <c r="Q546" t="n">
        <v>0</v>
      </c>
      <c r="R546" s="2" t="inlineStr"/>
    </row>
    <row r="547" ht="15" customHeight="1">
      <c r="A547" t="inlineStr">
        <is>
          <t>A 38889-2024</t>
        </is>
      </c>
      <c r="B547" s="1" t="n">
        <v>45547</v>
      </c>
      <c r="C547" s="1" t="n">
        <v>46189</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52061-2025</t>
        </is>
      </c>
      <c r="B548" s="1" t="n">
        <v>45952.63679398148</v>
      </c>
      <c r="C548" s="1" t="n">
        <v>46189</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51960-2025</t>
        </is>
      </c>
      <c r="B549" s="1" t="n">
        <v>45952.54755787037</v>
      </c>
      <c r="C549" s="1" t="n">
        <v>46189</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51789-2025</t>
        </is>
      </c>
      <c r="B550" s="1" t="n">
        <v>45951.68046296296</v>
      </c>
      <c r="C550" s="1" t="n">
        <v>46189</v>
      </c>
      <c r="D550" t="inlineStr">
        <is>
          <t>STOCKHOLMS LÄN</t>
        </is>
      </c>
      <c r="E550" t="inlineStr">
        <is>
          <t>NORRTÄLJE</t>
        </is>
      </c>
      <c r="F550" t="inlineStr">
        <is>
          <t>Naturvårdsverket</t>
        </is>
      </c>
      <c r="G550" t="n">
        <v>8.9</v>
      </c>
      <c r="H550" t="n">
        <v>0</v>
      </c>
      <c r="I550" t="n">
        <v>0</v>
      </c>
      <c r="J550" t="n">
        <v>0</v>
      </c>
      <c r="K550" t="n">
        <v>0</v>
      </c>
      <c r="L550" t="n">
        <v>0</v>
      </c>
      <c r="M550" t="n">
        <v>0</v>
      </c>
      <c r="N550" t="n">
        <v>0</v>
      </c>
      <c r="O550" t="n">
        <v>0</v>
      </c>
      <c r="P550" t="n">
        <v>0</v>
      </c>
      <c r="Q550" t="n">
        <v>0</v>
      </c>
      <c r="R550" s="2" t="inlineStr"/>
    </row>
    <row r="551" ht="15" customHeight="1">
      <c r="A551" t="inlineStr">
        <is>
          <t>A 52529-2025</t>
        </is>
      </c>
      <c r="B551" s="1" t="n">
        <v>45954.53229166667</v>
      </c>
      <c r="C551" s="1" t="n">
        <v>46189</v>
      </c>
      <c r="D551" t="inlineStr">
        <is>
          <t>STOCKHOLMS LÄN</t>
        </is>
      </c>
      <c r="E551" t="inlineStr">
        <is>
          <t>NORRTÄLJE</t>
        </is>
      </c>
      <c r="F551" t="inlineStr">
        <is>
          <t>Sveaskog</t>
        </is>
      </c>
      <c r="G551" t="n">
        <v>7.8</v>
      </c>
      <c r="H551" t="n">
        <v>0</v>
      </c>
      <c r="I551" t="n">
        <v>0</v>
      </c>
      <c r="J551" t="n">
        <v>0</v>
      </c>
      <c r="K551" t="n">
        <v>0</v>
      </c>
      <c r="L551" t="n">
        <v>0</v>
      </c>
      <c r="M551" t="n">
        <v>0</v>
      </c>
      <c r="N551" t="n">
        <v>0</v>
      </c>
      <c r="O551" t="n">
        <v>0</v>
      </c>
      <c r="P551" t="n">
        <v>0</v>
      </c>
      <c r="Q551" t="n">
        <v>0</v>
      </c>
      <c r="R551" s="2" t="inlineStr"/>
    </row>
    <row r="552" ht="15" customHeight="1">
      <c r="A552" t="inlineStr">
        <is>
          <t>A 52526-2025</t>
        </is>
      </c>
      <c r="B552" s="1" t="n">
        <v>45954.53061342592</v>
      </c>
      <c r="C552" s="1" t="n">
        <v>46189</v>
      </c>
      <c r="D552" t="inlineStr">
        <is>
          <t>STOCKHOLMS LÄN</t>
        </is>
      </c>
      <c r="E552" t="inlineStr">
        <is>
          <t>NORRTÄLJE</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3299-2022</t>
        </is>
      </c>
      <c r="B553" s="1" t="n">
        <v>44584.91001157407</v>
      </c>
      <c r="C553" s="1" t="n">
        <v>46189</v>
      </c>
      <c r="D553" t="inlineStr">
        <is>
          <t>STOCKHOLMS LÄN</t>
        </is>
      </c>
      <c r="E553" t="inlineStr">
        <is>
          <t>NORRTÄLJE</t>
        </is>
      </c>
      <c r="G553" t="n">
        <v>2.7</v>
      </c>
      <c r="H553" t="n">
        <v>0</v>
      </c>
      <c r="I553" t="n">
        <v>0</v>
      </c>
      <c r="J553" t="n">
        <v>0</v>
      </c>
      <c r="K553" t="n">
        <v>0</v>
      </c>
      <c r="L553" t="n">
        <v>0</v>
      </c>
      <c r="M553" t="n">
        <v>0</v>
      </c>
      <c r="N553" t="n">
        <v>0</v>
      </c>
      <c r="O553" t="n">
        <v>0</v>
      </c>
      <c r="P553" t="n">
        <v>0</v>
      </c>
      <c r="Q553" t="n">
        <v>0</v>
      </c>
      <c r="R553" s="2" t="inlineStr"/>
    </row>
    <row r="554" ht="15" customHeight="1">
      <c r="A554" t="inlineStr">
        <is>
          <t>A 42075-2023</t>
        </is>
      </c>
      <c r="B554" s="1" t="n">
        <v>45177</v>
      </c>
      <c r="C554" s="1" t="n">
        <v>46189</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10676-2025</t>
        </is>
      </c>
      <c r="B555" s="1" t="n">
        <v>45721.88684027778</v>
      </c>
      <c r="C555" s="1" t="n">
        <v>46189</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52729-2025</t>
        </is>
      </c>
      <c r="B556" s="1" t="n">
        <v>45957.3636574074</v>
      </c>
      <c r="C556" s="1" t="n">
        <v>46189</v>
      </c>
      <c r="D556" t="inlineStr">
        <is>
          <t>STOCKHOLMS LÄN</t>
        </is>
      </c>
      <c r="E556" t="inlineStr">
        <is>
          <t>NORRTÄLJE</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52777-2025</t>
        </is>
      </c>
      <c r="B557" s="1" t="n">
        <v>45957.41832175926</v>
      </c>
      <c r="C557" s="1" t="n">
        <v>46189</v>
      </c>
      <c r="D557" t="inlineStr">
        <is>
          <t>STOCKHOLMS LÄN</t>
        </is>
      </c>
      <c r="E557" t="inlineStr">
        <is>
          <t>NORRTÄLJE</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52553-2025</t>
        </is>
      </c>
      <c r="B558" s="1" t="n">
        <v>45954.5624537037</v>
      </c>
      <c r="C558" s="1" t="n">
        <v>46189</v>
      </c>
      <c r="D558" t="inlineStr">
        <is>
          <t>STOCKHOLMS LÄN</t>
        </is>
      </c>
      <c r="E558" t="inlineStr">
        <is>
          <t>NORRTÄLJE</t>
        </is>
      </c>
      <c r="G558" t="n">
        <v>4.4</v>
      </c>
      <c r="H558" t="n">
        <v>0</v>
      </c>
      <c r="I558" t="n">
        <v>0</v>
      </c>
      <c r="J558" t="n">
        <v>0</v>
      </c>
      <c r="K558" t="n">
        <v>0</v>
      </c>
      <c r="L558" t="n">
        <v>0</v>
      </c>
      <c r="M558" t="n">
        <v>0</v>
      </c>
      <c r="N558" t="n">
        <v>0</v>
      </c>
      <c r="O558" t="n">
        <v>0</v>
      </c>
      <c r="P558" t="n">
        <v>0</v>
      </c>
      <c r="Q558" t="n">
        <v>0</v>
      </c>
      <c r="R558" s="2" t="inlineStr"/>
    </row>
    <row r="559" ht="15" customHeight="1">
      <c r="A559" t="inlineStr">
        <is>
          <t>A 52704-2025</t>
        </is>
      </c>
      <c r="B559" s="1" t="n">
        <v>45956.89097222222</v>
      </c>
      <c r="C559" s="1" t="n">
        <v>46189</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52734-2025</t>
        </is>
      </c>
      <c r="B560" s="1" t="n">
        <v>45957.3710300926</v>
      </c>
      <c r="C560" s="1" t="n">
        <v>46189</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52773-2025</t>
        </is>
      </c>
      <c r="B561" s="1" t="n">
        <v>45957.41457175926</v>
      </c>
      <c r="C561" s="1" t="n">
        <v>46189</v>
      </c>
      <c r="D561" t="inlineStr">
        <is>
          <t>STOCKHOLMS LÄN</t>
        </is>
      </c>
      <c r="E561" t="inlineStr">
        <is>
          <t>NORRTÄLJE</t>
        </is>
      </c>
      <c r="F561" t="inlineStr">
        <is>
          <t>Sveaskog</t>
        </is>
      </c>
      <c r="G561" t="n">
        <v>10.5</v>
      </c>
      <c r="H561" t="n">
        <v>0</v>
      </c>
      <c r="I561" t="n">
        <v>0</v>
      </c>
      <c r="J561" t="n">
        <v>0</v>
      </c>
      <c r="K561" t="n">
        <v>0</v>
      </c>
      <c r="L561" t="n">
        <v>0</v>
      </c>
      <c r="M561" t="n">
        <v>0</v>
      </c>
      <c r="N561" t="n">
        <v>0</v>
      </c>
      <c r="O561" t="n">
        <v>0</v>
      </c>
      <c r="P561" t="n">
        <v>0</v>
      </c>
      <c r="Q561" t="n">
        <v>0</v>
      </c>
      <c r="R561" s="2" t="inlineStr"/>
    </row>
    <row r="562" ht="15" customHeight="1">
      <c r="A562" t="inlineStr">
        <is>
          <t>A 52776-2025</t>
        </is>
      </c>
      <c r="B562" s="1" t="n">
        <v>45957.41724537037</v>
      </c>
      <c r="C562" s="1" t="n">
        <v>46189</v>
      </c>
      <c r="D562" t="inlineStr">
        <is>
          <t>STOCKHOLMS LÄN</t>
        </is>
      </c>
      <c r="E562" t="inlineStr">
        <is>
          <t>NORRTÄLJE</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52703-2025</t>
        </is>
      </c>
      <c r="B563" s="1" t="n">
        <v>45956.88643518519</v>
      </c>
      <c r="C563" s="1" t="n">
        <v>46189</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34773-2022</t>
        </is>
      </c>
      <c r="B564" s="1" t="n">
        <v>44795</v>
      </c>
      <c r="C564" s="1" t="n">
        <v>46189</v>
      </c>
      <c r="D564" t="inlineStr">
        <is>
          <t>STOCKHOLMS LÄN</t>
        </is>
      </c>
      <c r="E564" t="inlineStr">
        <is>
          <t>NORRTÄLJE</t>
        </is>
      </c>
      <c r="G564" t="n">
        <v>3.9</v>
      </c>
      <c r="H564" t="n">
        <v>0</v>
      </c>
      <c r="I564" t="n">
        <v>0</v>
      </c>
      <c r="J564" t="n">
        <v>0</v>
      </c>
      <c r="K564" t="n">
        <v>0</v>
      </c>
      <c r="L564" t="n">
        <v>0</v>
      </c>
      <c r="M564" t="n">
        <v>0</v>
      </c>
      <c r="N564" t="n">
        <v>0</v>
      </c>
      <c r="O564" t="n">
        <v>0</v>
      </c>
      <c r="P564" t="n">
        <v>0</v>
      </c>
      <c r="Q564" t="n">
        <v>0</v>
      </c>
      <c r="R564" s="2" t="inlineStr"/>
    </row>
    <row r="565" ht="15" customHeight="1">
      <c r="A565" t="inlineStr">
        <is>
          <t>A 23263-2023</t>
        </is>
      </c>
      <c r="B565" s="1" t="n">
        <v>45075</v>
      </c>
      <c r="C565" s="1" t="n">
        <v>46189</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23264-2023</t>
        </is>
      </c>
      <c r="B566" s="1" t="n">
        <v>45075</v>
      </c>
      <c r="C566" s="1" t="n">
        <v>46189</v>
      </c>
      <c r="D566" t="inlineStr">
        <is>
          <t>STOCKHOLMS LÄN</t>
        </is>
      </c>
      <c r="E566" t="inlineStr">
        <is>
          <t>NORRTÄLJE</t>
        </is>
      </c>
      <c r="G566" t="n">
        <v>2.9</v>
      </c>
      <c r="H566" t="n">
        <v>0</v>
      </c>
      <c r="I566" t="n">
        <v>0</v>
      </c>
      <c r="J566" t="n">
        <v>0</v>
      </c>
      <c r="K566" t="n">
        <v>0</v>
      </c>
      <c r="L566" t="n">
        <v>0</v>
      </c>
      <c r="M566" t="n">
        <v>0</v>
      </c>
      <c r="N566" t="n">
        <v>0</v>
      </c>
      <c r="O566" t="n">
        <v>0</v>
      </c>
      <c r="P566" t="n">
        <v>0</v>
      </c>
      <c r="Q566" t="n">
        <v>0</v>
      </c>
      <c r="R566" s="2" t="inlineStr"/>
    </row>
    <row r="567" ht="15" customHeight="1">
      <c r="A567" t="inlineStr">
        <is>
          <t>A 23267-2023</t>
        </is>
      </c>
      <c r="B567" s="1" t="n">
        <v>45075.90934027778</v>
      </c>
      <c r="C567" s="1" t="n">
        <v>46189</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25654-2023</t>
        </is>
      </c>
      <c r="B568" s="1" t="n">
        <v>45089</v>
      </c>
      <c r="C568" s="1" t="n">
        <v>46189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47758-2023</t>
        </is>
      </c>
      <c r="B569" s="1" t="n">
        <v>45203.83891203703</v>
      </c>
      <c r="C569" s="1" t="n">
        <v>46189</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5831-2022</t>
        </is>
      </c>
      <c r="B570" s="1" t="n">
        <v>44596</v>
      </c>
      <c r="C570" s="1" t="n">
        <v>46189</v>
      </c>
      <c r="D570" t="inlineStr">
        <is>
          <t>STOCKHOLMS LÄN</t>
        </is>
      </c>
      <c r="E570" t="inlineStr">
        <is>
          <t>NORRTÄLJE</t>
        </is>
      </c>
      <c r="G570" t="n">
        <v>4.8</v>
      </c>
      <c r="H570" t="n">
        <v>0</v>
      </c>
      <c r="I570" t="n">
        <v>0</v>
      </c>
      <c r="J570" t="n">
        <v>0</v>
      </c>
      <c r="K570" t="n">
        <v>0</v>
      </c>
      <c r="L570" t="n">
        <v>0</v>
      </c>
      <c r="M570" t="n">
        <v>0</v>
      </c>
      <c r="N570" t="n">
        <v>0</v>
      </c>
      <c r="O570" t="n">
        <v>0</v>
      </c>
      <c r="P570" t="n">
        <v>0</v>
      </c>
      <c r="Q570" t="n">
        <v>0</v>
      </c>
      <c r="R570" s="2" t="inlineStr"/>
    </row>
    <row r="571" ht="15" customHeight="1">
      <c r="A571" t="inlineStr">
        <is>
          <t>A 58853-2024</t>
        </is>
      </c>
      <c r="B571" s="1" t="n">
        <v>45636.38974537037</v>
      </c>
      <c r="C571" s="1" t="n">
        <v>46189</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59712-2024</t>
        </is>
      </c>
      <c r="B572" s="1" t="n">
        <v>45639.45166666667</v>
      </c>
      <c r="C572" s="1" t="n">
        <v>46189</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53000-2025</t>
        </is>
      </c>
      <c r="B573" s="1" t="n">
        <v>45957.74357638889</v>
      </c>
      <c r="C573" s="1" t="n">
        <v>46189</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53629-2025</t>
        </is>
      </c>
      <c r="B574" s="1" t="n">
        <v>45960.49570601852</v>
      </c>
      <c r="C574" s="1" t="n">
        <v>46189</v>
      </c>
      <c r="D574" t="inlineStr">
        <is>
          <t>STOCKHOLMS LÄN</t>
        </is>
      </c>
      <c r="E574" t="inlineStr">
        <is>
          <t>NORRTÄLJE</t>
        </is>
      </c>
      <c r="F574" t="inlineStr">
        <is>
          <t>Naturvårdsverket</t>
        </is>
      </c>
      <c r="G574" t="n">
        <v>7.9</v>
      </c>
      <c r="H574" t="n">
        <v>0</v>
      </c>
      <c r="I574" t="n">
        <v>0</v>
      </c>
      <c r="J574" t="n">
        <v>0</v>
      </c>
      <c r="K574" t="n">
        <v>0</v>
      </c>
      <c r="L574" t="n">
        <v>0</v>
      </c>
      <c r="M574" t="n">
        <v>0</v>
      </c>
      <c r="N574" t="n">
        <v>0</v>
      </c>
      <c r="O574" t="n">
        <v>0</v>
      </c>
      <c r="P574" t="n">
        <v>0</v>
      </c>
      <c r="Q574" t="n">
        <v>0</v>
      </c>
      <c r="R574" s="2" t="inlineStr"/>
    </row>
    <row r="575" ht="15" customHeight="1">
      <c r="A575" t="inlineStr">
        <is>
          <t>A 60884-2024</t>
        </is>
      </c>
      <c r="B575" s="1" t="n">
        <v>45644.90815972222</v>
      </c>
      <c r="C575" s="1" t="n">
        <v>46189</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23150-2024</t>
        </is>
      </c>
      <c r="B576" s="1" t="n">
        <v>45450.64643518518</v>
      </c>
      <c r="C576" s="1" t="n">
        <v>46189</v>
      </c>
      <c r="D576" t="inlineStr">
        <is>
          <t>STOCKHOLMS LÄN</t>
        </is>
      </c>
      <c r="E576" t="inlineStr">
        <is>
          <t>NORRTÄLJE</t>
        </is>
      </c>
      <c r="F576" t="inlineStr">
        <is>
          <t>Kommuner</t>
        </is>
      </c>
      <c r="G576" t="n">
        <v>2.7</v>
      </c>
      <c r="H576" t="n">
        <v>0</v>
      </c>
      <c r="I576" t="n">
        <v>0</v>
      </c>
      <c r="J576" t="n">
        <v>0</v>
      </c>
      <c r="K576" t="n">
        <v>0</v>
      </c>
      <c r="L576" t="n">
        <v>0</v>
      </c>
      <c r="M576" t="n">
        <v>0</v>
      </c>
      <c r="N576" t="n">
        <v>0</v>
      </c>
      <c r="O576" t="n">
        <v>0</v>
      </c>
      <c r="P576" t="n">
        <v>0</v>
      </c>
      <c r="Q576" t="n">
        <v>0</v>
      </c>
      <c r="R576" s="2" t="inlineStr"/>
    </row>
    <row r="577" ht="15" customHeight="1">
      <c r="A577" t="inlineStr">
        <is>
          <t>A 53747-2025</t>
        </is>
      </c>
      <c r="B577" s="1" t="n">
        <v>45960.65415509259</v>
      </c>
      <c r="C577" s="1" t="n">
        <v>46189</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2549-2022</t>
        </is>
      </c>
      <c r="B578" s="1" t="n">
        <v>44580</v>
      </c>
      <c r="C578" s="1" t="n">
        <v>46189</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31140-2023</t>
        </is>
      </c>
      <c r="B579" s="1" t="n">
        <v>45113</v>
      </c>
      <c r="C579" s="1" t="n">
        <v>46189</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31149-2023</t>
        </is>
      </c>
      <c r="B580" s="1" t="n">
        <v>45113</v>
      </c>
      <c r="C580" s="1" t="n">
        <v>46189</v>
      </c>
      <c r="D580" t="inlineStr">
        <is>
          <t>STOCKHOLMS LÄN</t>
        </is>
      </c>
      <c r="E580" t="inlineStr">
        <is>
          <t>NORRTÄLJE</t>
        </is>
      </c>
      <c r="G580" t="n">
        <v>7.1</v>
      </c>
      <c r="H580" t="n">
        <v>0</v>
      </c>
      <c r="I580" t="n">
        <v>0</v>
      </c>
      <c r="J580" t="n">
        <v>0</v>
      </c>
      <c r="K580" t="n">
        <v>0</v>
      </c>
      <c r="L580" t="n">
        <v>0</v>
      </c>
      <c r="M580" t="n">
        <v>0</v>
      </c>
      <c r="N580" t="n">
        <v>0</v>
      </c>
      <c r="O580" t="n">
        <v>0</v>
      </c>
      <c r="P580" t="n">
        <v>0</v>
      </c>
      <c r="Q580" t="n">
        <v>0</v>
      </c>
      <c r="R580" s="2" t="inlineStr"/>
    </row>
    <row r="581" ht="15" customHeight="1">
      <c r="A581" t="inlineStr">
        <is>
          <t>A 16835-2022</t>
        </is>
      </c>
      <c r="B581" s="1" t="n">
        <v>44673</v>
      </c>
      <c r="C581" s="1" t="n">
        <v>46189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13701-2022</t>
        </is>
      </c>
      <c r="B582" s="1" t="n">
        <v>44648</v>
      </c>
      <c r="C582" s="1" t="n">
        <v>46189</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13089-2022</t>
        </is>
      </c>
      <c r="B583" s="1" t="n">
        <v>44643</v>
      </c>
      <c r="C583" s="1" t="n">
        <v>46189</v>
      </c>
      <c r="D583" t="inlineStr">
        <is>
          <t>STOCKHOLMS LÄN</t>
        </is>
      </c>
      <c r="E583" t="inlineStr">
        <is>
          <t>NORRTÄLJE</t>
        </is>
      </c>
      <c r="G583" t="n">
        <v>4.5</v>
      </c>
      <c r="H583" t="n">
        <v>0</v>
      </c>
      <c r="I583" t="n">
        <v>0</v>
      </c>
      <c r="J583" t="n">
        <v>0</v>
      </c>
      <c r="K583" t="n">
        <v>0</v>
      </c>
      <c r="L583" t="n">
        <v>0</v>
      </c>
      <c r="M583" t="n">
        <v>0</v>
      </c>
      <c r="N583" t="n">
        <v>0</v>
      </c>
      <c r="O583" t="n">
        <v>0</v>
      </c>
      <c r="P583" t="n">
        <v>0</v>
      </c>
      <c r="Q583" t="n">
        <v>0</v>
      </c>
      <c r="R583" s="2" t="inlineStr"/>
    </row>
    <row r="584" ht="15" customHeight="1">
      <c r="A584" t="inlineStr">
        <is>
          <t>A 38759-2022</t>
        </is>
      </c>
      <c r="B584" s="1" t="n">
        <v>44816</v>
      </c>
      <c r="C584" s="1" t="n">
        <v>46189</v>
      </c>
      <c r="D584" t="inlineStr">
        <is>
          <t>STOCKHOLMS LÄN</t>
        </is>
      </c>
      <c r="E584" t="inlineStr">
        <is>
          <t>NORRTÄLJE</t>
        </is>
      </c>
      <c r="G584" t="n">
        <v>2.8</v>
      </c>
      <c r="H584" t="n">
        <v>0</v>
      </c>
      <c r="I584" t="n">
        <v>0</v>
      </c>
      <c r="J584" t="n">
        <v>0</v>
      </c>
      <c r="K584" t="n">
        <v>0</v>
      </c>
      <c r="L584" t="n">
        <v>0</v>
      </c>
      <c r="M584" t="n">
        <v>0</v>
      </c>
      <c r="N584" t="n">
        <v>0</v>
      </c>
      <c r="O584" t="n">
        <v>0</v>
      </c>
      <c r="P584" t="n">
        <v>0</v>
      </c>
      <c r="Q584" t="n">
        <v>0</v>
      </c>
      <c r="R584" s="2" t="inlineStr"/>
    </row>
    <row r="585" ht="15" customHeight="1">
      <c r="A585" t="inlineStr">
        <is>
          <t>A 23998-2024</t>
        </is>
      </c>
      <c r="B585" s="1" t="n">
        <v>45456</v>
      </c>
      <c r="C585" s="1" t="n">
        <v>46189</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54504-2024</t>
        </is>
      </c>
      <c r="B586" s="1" t="n">
        <v>45617.58453703704</v>
      </c>
      <c r="C586" s="1" t="n">
        <v>46189</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32595-2023</t>
        </is>
      </c>
      <c r="B587" s="1" t="n">
        <v>45121</v>
      </c>
      <c r="C587" s="1" t="n">
        <v>46189</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54907-2025</t>
        </is>
      </c>
      <c r="B588" s="1" t="n">
        <v>45967.37137731481</v>
      </c>
      <c r="C588" s="1" t="n">
        <v>46189</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13718-2022</t>
        </is>
      </c>
      <c r="B589" s="1" t="n">
        <v>44649</v>
      </c>
      <c r="C589" s="1" t="n">
        <v>46189</v>
      </c>
      <c r="D589" t="inlineStr">
        <is>
          <t>STOCKHOLMS LÄN</t>
        </is>
      </c>
      <c r="E589" t="inlineStr">
        <is>
          <t>NORRTÄLJE</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55599-2025</t>
        </is>
      </c>
      <c r="B590" s="1" t="n">
        <v>45971.76810185185</v>
      </c>
      <c r="C590" s="1" t="n">
        <v>46189</v>
      </c>
      <c r="D590" t="inlineStr">
        <is>
          <t>STOCKHOLMS LÄN</t>
        </is>
      </c>
      <c r="E590" t="inlineStr">
        <is>
          <t>NORRTÄLJE</t>
        </is>
      </c>
      <c r="F590" t="inlineStr">
        <is>
          <t>Holmen skog AB</t>
        </is>
      </c>
      <c r="G590" t="n">
        <v>6.4</v>
      </c>
      <c r="H590" t="n">
        <v>0</v>
      </c>
      <c r="I590" t="n">
        <v>0</v>
      </c>
      <c r="J590" t="n">
        <v>0</v>
      </c>
      <c r="K590" t="n">
        <v>0</v>
      </c>
      <c r="L590" t="n">
        <v>0</v>
      </c>
      <c r="M590" t="n">
        <v>0</v>
      </c>
      <c r="N590" t="n">
        <v>0</v>
      </c>
      <c r="O590" t="n">
        <v>0</v>
      </c>
      <c r="P590" t="n">
        <v>0</v>
      </c>
      <c r="Q590" t="n">
        <v>0</v>
      </c>
      <c r="R590" s="2" t="inlineStr"/>
    </row>
    <row r="591" ht="15" customHeight="1">
      <c r="A591" t="inlineStr">
        <is>
          <t>A 54259-2023</t>
        </is>
      </c>
      <c r="B591" s="1" t="n">
        <v>45232</v>
      </c>
      <c r="C591" s="1" t="n">
        <v>46189</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56207-2025</t>
        </is>
      </c>
      <c r="B592" s="1" t="n">
        <v>45974.47329861111</v>
      </c>
      <c r="C592" s="1" t="n">
        <v>46189</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11900-2024</t>
        </is>
      </c>
      <c r="B593" s="1" t="n">
        <v>45376.55484953704</v>
      </c>
      <c r="C593" s="1" t="n">
        <v>46189</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43300-2023</t>
        </is>
      </c>
      <c r="B594" s="1" t="n">
        <v>45183</v>
      </c>
      <c r="C594" s="1" t="n">
        <v>46189</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13276-2022</t>
        </is>
      </c>
      <c r="B595" s="1" t="n">
        <v>44644</v>
      </c>
      <c r="C595" s="1" t="n">
        <v>46189</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56114-2025</t>
        </is>
      </c>
      <c r="B596" s="1" t="n">
        <v>45973.74474537037</v>
      </c>
      <c r="C596" s="1" t="n">
        <v>46189</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11900-2022</t>
        </is>
      </c>
      <c r="B597" s="1" t="n">
        <v>44635</v>
      </c>
      <c r="C597" s="1" t="n">
        <v>46189</v>
      </c>
      <c r="D597" t="inlineStr">
        <is>
          <t>STOCKHOLMS LÄN</t>
        </is>
      </c>
      <c r="E597" t="inlineStr">
        <is>
          <t>NORRTÄLJE</t>
        </is>
      </c>
      <c r="G597" t="n">
        <v>2.4</v>
      </c>
      <c r="H597" t="n">
        <v>0</v>
      </c>
      <c r="I597" t="n">
        <v>0</v>
      </c>
      <c r="J597" t="n">
        <v>0</v>
      </c>
      <c r="K597" t="n">
        <v>0</v>
      </c>
      <c r="L597" t="n">
        <v>0</v>
      </c>
      <c r="M597" t="n">
        <v>0</v>
      </c>
      <c r="N597" t="n">
        <v>0</v>
      </c>
      <c r="O597" t="n">
        <v>0</v>
      </c>
      <c r="P597" t="n">
        <v>0</v>
      </c>
      <c r="Q597" t="n">
        <v>0</v>
      </c>
      <c r="R597" s="2" t="inlineStr"/>
    </row>
    <row r="598" ht="15" customHeight="1">
      <c r="A598" t="inlineStr">
        <is>
          <t>A 4580-2025</t>
        </is>
      </c>
      <c r="B598" s="1" t="n">
        <v>45687.5038425926</v>
      </c>
      <c r="C598" s="1" t="n">
        <v>46189</v>
      </c>
      <c r="D598" t="inlineStr">
        <is>
          <t>STOCKHOLMS LÄN</t>
        </is>
      </c>
      <c r="E598" t="inlineStr">
        <is>
          <t>NORRTÄLJE</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16202-2022</t>
        </is>
      </c>
      <c r="B599" s="1" t="n">
        <v>44670</v>
      </c>
      <c r="C599" s="1" t="n">
        <v>46189</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6003-2025</t>
        </is>
      </c>
      <c r="B600" s="1" t="n">
        <v>45695.57881944445</v>
      </c>
      <c r="C600" s="1" t="n">
        <v>46189</v>
      </c>
      <c r="D600" t="inlineStr">
        <is>
          <t>STOCKHOLMS LÄN</t>
        </is>
      </c>
      <c r="E600" t="inlineStr">
        <is>
          <t>NORRTÄLJE</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52321-2024</t>
        </is>
      </c>
      <c r="B601" s="1" t="n">
        <v>45608</v>
      </c>
      <c r="C601" s="1" t="n">
        <v>46189</v>
      </c>
      <c r="D601" t="inlineStr">
        <is>
          <t>STOCKHOLMS LÄN</t>
        </is>
      </c>
      <c r="E601" t="inlineStr">
        <is>
          <t>NORRTÄLJE</t>
        </is>
      </c>
      <c r="G601" t="n">
        <v>18.1</v>
      </c>
      <c r="H601" t="n">
        <v>0</v>
      </c>
      <c r="I601" t="n">
        <v>0</v>
      </c>
      <c r="J601" t="n">
        <v>0</v>
      </c>
      <c r="K601" t="n">
        <v>0</v>
      </c>
      <c r="L601" t="n">
        <v>0</v>
      </c>
      <c r="M601" t="n">
        <v>0</v>
      </c>
      <c r="N601" t="n">
        <v>0</v>
      </c>
      <c r="O601" t="n">
        <v>0</v>
      </c>
      <c r="P601" t="n">
        <v>0</v>
      </c>
      <c r="Q601" t="n">
        <v>0</v>
      </c>
      <c r="R601" s="2" t="inlineStr"/>
    </row>
    <row r="602" ht="15" customHeight="1">
      <c r="A602" t="inlineStr">
        <is>
          <t>A 22157-2023</t>
        </is>
      </c>
      <c r="B602" s="1" t="n">
        <v>45069</v>
      </c>
      <c r="C602" s="1" t="n">
        <v>46189</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c r="U602">
        <f>HYPERLINK("https://klasma.github.io/Logging_0188/knärot/A 22157-2023 karta knärot.png", "A 22157-2023")</f>
        <v/>
      </c>
      <c r="V602">
        <f>HYPERLINK("https://klasma.github.io/Logging_0188/klagomål/A 22157-2023 FSC-klagomål.docx", "A 22157-2023")</f>
        <v/>
      </c>
      <c r="W602">
        <f>HYPERLINK("https://klasma.github.io/Logging_0188/klagomålsmail/A 22157-2023 FSC-klagomål mail.docx", "A 22157-2023")</f>
        <v/>
      </c>
      <c r="X602">
        <f>HYPERLINK("https://klasma.github.io/Logging_0188/tillsyn/A 22157-2023 tillsynsbegäran.docx", "A 22157-2023")</f>
        <v/>
      </c>
      <c r="Y602">
        <f>HYPERLINK("https://klasma.github.io/Logging_0188/tillsynsmail/A 22157-2023 tillsynsbegäran mail.docx", "A 22157-2023")</f>
        <v/>
      </c>
    </row>
    <row r="603" ht="15" customHeight="1">
      <c r="A603" t="inlineStr">
        <is>
          <t>A 48633-2023</t>
        </is>
      </c>
      <c r="B603" s="1" t="n">
        <v>45208.58004629629</v>
      </c>
      <c r="C603" s="1" t="n">
        <v>46189</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47419-2023</t>
        </is>
      </c>
      <c r="B604" s="1" t="n">
        <v>45202.65660879629</v>
      </c>
      <c r="C604" s="1" t="n">
        <v>46189</v>
      </c>
      <c r="D604" t="inlineStr">
        <is>
          <t>STOCKHOLMS LÄN</t>
        </is>
      </c>
      <c r="E604" t="inlineStr">
        <is>
          <t>NORRTÄLJE</t>
        </is>
      </c>
      <c r="G604" t="n">
        <v>11.4</v>
      </c>
      <c r="H604" t="n">
        <v>0</v>
      </c>
      <c r="I604" t="n">
        <v>0</v>
      </c>
      <c r="J604" t="n">
        <v>0</v>
      </c>
      <c r="K604" t="n">
        <v>0</v>
      </c>
      <c r="L604" t="n">
        <v>0</v>
      </c>
      <c r="M604" t="n">
        <v>0</v>
      </c>
      <c r="N604" t="n">
        <v>0</v>
      </c>
      <c r="O604" t="n">
        <v>0</v>
      </c>
      <c r="P604" t="n">
        <v>0</v>
      </c>
      <c r="Q604" t="n">
        <v>0</v>
      </c>
      <c r="R604" s="2" t="inlineStr"/>
    </row>
    <row r="605" ht="15" customHeight="1">
      <c r="A605" t="inlineStr">
        <is>
          <t>A 652-2025</t>
        </is>
      </c>
      <c r="B605" s="1" t="n">
        <v>45664</v>
      </c>
      <c r="C605" s="1" t="n">
        <v>46189</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10653-2022</t>
        </is>
      </c>
      <c r="B606" s="1" t="n">
        <v>44624.59434027778</v>
      </c>
      <c r="C606" s="1" t="n">
        <v>46189</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35695-2023</t>
        </is>
      </c>
      <c r="B607" s="1" t="n">
        <v>45147.65407407407</v>
      </c>
      <c r="C607" s="1" t="n">
        <v>46189</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18665-2022</t>
        </is>
      </c>
      <c r="B608" s="1" t="n">
        <v>44687</v>
      </c>
      <c r="C608" s="1" t="n">
        <v>46189</v>
      </c>
      <c r="D608" t="inlineStr">
        <is>
          <t>STOCKHOLMS LÄN</t>
        </is>
      </c>
      <c r="E608" t="inlineStr">
        <is>
          <t>NORRTÄLJE</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20370-2025</t>
        </is>
      </c>
      <c r="B609" s="1" t="n">
        <v>45775.41451388889</v>
      </c>
      <c r="C609" s="1" t="n">
        <v>46189</v>
      </c>
      <c r="D609" t="inlineStr">
        <is>
          <t>STOCKHOLMS LÄN</t>
        </is>
      </c>
      <c r="E609" t="inlineStr">
        <is>
          <t>NORRTÄLJE</t>
        </is>
      </c>
      <c r="G609" t="n">
        <v>2.9</v>
      </c>
      <c r="H609" t="n">
        <v>0</v>
      </c>
      <c r="I609" t="n">
        <v>0</v>
      </c>
      <c r="J609" t="n">
        <v>0</v>
      </c>
      <c r="K609" t="n">
        <v>0</v>
      </c>
      <c r="L609" t="n">
        <v>0</v>
      </c>
      <c r="M609" t="n">
        <v>0</v>
      </c>
      <c r="N609" t="n">
        <v>0</v>
      </c>
      <c r="O609" t="n">
        <v>0</v>
      </c>
      <c r="P609" t="n">
        <v>0</v>
      </c>
      <c r="Q609" t="n">
        <v>0</v>
      </c>
      <c r="R609" s="2" t="inlineStr"/>
    </row>
    <row r="610" ht="15" customHeight="1">
      <c r="A610" t="inlineStr">
        <is>
          <t>A 19982-2022</t>
        </is>
      </c>
      <c r="B610" s="1" t="n">
        <v>44697</v>
      </c>
      <c r="C610" s="1" t="n">
        <v>46189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57953-2025</t>
        </is>
      </c>
      <c r="B611" s="1" t="n">
        <v>45982.35016203704</v>
      </c>
      <c r="C611" s="1" t="n">
        <v>46189</v>
      </c>
      <c r="D611" t="inlineStr">
        <is>
          <t>STOCKHOLMS LÄN</t>
        </is>
      </c>
      <c r="E611" t="inlineStr">
        <is>
          <t>NORRTÄLJE</t>
        </is>
      </c>
      <c r="F611" t="inlineStr">
        <is>
          <t>Sveaskog</t>
        </is>
      </c>
      <c r="G611" t="n">
        <v>3</v>
      </c>
      <c r="H611" t="n">
        <v>0</v>
      </c>
      <c r="I611" t="n">
        <v>0</v>
      </c>
      <c r="J611" t="n">
        <v>0</v>
      </c>
      <c r="K611" t="n">
        <v>0</v>
      </c>
      <c r="L611" t="n">
        <v>0</v>
      </c>
      <c r="M611" t="n">
        <v>0</v>
      </c>
      <c r="N611" t="n">
        <v>0</v>
      </c>
      <c r="O611" t="n">
        <v>0</v>
      </c>
      <c r="P611" t="n">
        <v>0</v>
      </c>
      <c r="Q611" t="n">
        <v>0</v>
      </c>
      <c r="R611" s="2" t="inlineStr"/>
    </row>
    <row r="612" ht="15" customHeight="1">
      <c r="A612" t="inlineStr">
        <is>
          <t>A 35438-2023</t>
        </is>
      </c>
      <c r="B612" s="1" t="n">
        <v>45146</v>
      </c>
      <c r="C612" s="1" t="n">
        <v>46189</v>
      </c>
      <c r="D612" t="inlineStr">
        <is>
          <t>STOCKHOLMS LÄN</t>
        </is>
      </c>
      <c r="E612" t="inlineStr">
        <is>
          <t>NORRTÄLJE</t>
        </is>
      </c>
      <c r="F612" t="inlineStr">
        <is>
          <t>Kommuner</t>
        </is>
      </c>
      <c r="G612" t="n">
        <v>1.9</v>
      </c>
      <c r="H612" t="n">
        <v>0</v>
      </c>
      <c r="I612" t="n">
        <v>0</v>
      </c>
      <c r="J612" t="n">
        <v>0</v>
      </c>
      <c r="K612" t="n">
        <v>0</v>
      </c>
      <c r="L612" t="n">
        <v>0</v>
      </c>
      <c r="M612" t="n">
        <v>0</v>
      </c>
      <c r="N612" t="n">
        <v>0</v>
      </c>
      <c r="O612" t="n">
        <v>0</v>
      </c>
      <c r="P612" t="n">
        <v>0</v>
      </c>
      <c r="Q612" t="n">
        <v>0</v>
      </c>
      <c r="R612" s="2" t="inlineStr"/>
    </row>
    <row r="613" ht="15" customHeight="1">
      <c r="A613" t="inlineStr">
        <is>
          <t>A 33878-2024</t>
        </is>
      </c>
      <c r="B613" s="1" t="n">
        <v>45522.44414351852</v>
      </c>
      <c r="C613" s="1" t="n">
        <v>46189</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4183-2025</t>
        </is>
      </c>
      <c r="B614" s="1" t="n">
        <v>45685.44592592592</v>
      </c>
      <c r="C614" s="1" t="n">
        <v>46189</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17556-2025</t>
        </is>
      </c>
      <c r="B615" s="1" t="n">
        <v>45757.62482638889</v>
      </c>
      <c r="C615" s="1" t="n">
        <v>46189</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41335-2023</t>
        </is>
      </c>
      <c r="B616" s="1" t="n">
        <v>45174.68702546296</v>
      </c>
      <c r="C616" s="1" t="n">
        <v>46189</v>
      </c>
      <c r="D616" t="inlineStr">
        <is>
          <t>STOCKHOLMS LÄN</t>
        </is>
      </c>
      <c r="E616" t="inlineStr">
        <is>
          <t>NORRTÄLJE</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4484-2025</t>
        </is>
      </c>
      <c r="B617" s="1" t="n">
        <v>45686.65545138889</v>
      </c>
      <c r="C617" s="1" t="n">
        <v>46189</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58403-2025</t>
        </is>
      </c>
      <c r="B618" s="1" t="n">
        <v>45985.56777777777</v>
      </c>
      <c r="C618" s="1" t="n">
        <v>46189</v>
      </c>
      <c r="D618" t="inlineStr">
        <is>
          <t>STOCKHOLMS LÄN</t>
        </is>
      </c>
      <c r="E618" t="inlineStr">
        <is>
          <t>NORRTÄLJE</t>
        </is>
      </c>
      <c r="F618" t="inlineStr">
        <is>
          <t>Naturvårdsverket</t>
        </is>
      </c>
      <c r="G618" t="n">
        <v>13.5</v>
      </c>
      <c r="H618" t="n">
        <v>0</v>
      </c>
      <c r="I618" t="n">
        <v>0</v>
      </c>
      <c r="J618" t="n">
        <v>0</v>
      </c>
      <c r="K618" t="n">
        <v>0</v>
      </c>
      <c r="L618" t="n">
        <v>0</v>
      </c>
      <c r="M618" t="n">
        <v>0</v>
      </c>
      <c r="N618" t="n">
        <v>0</v>
      </c>
      <c r="O618" t="n">
        <v>0</v>
      </c>
      <c r="P618" t="n">
        <v>0</v>
      </c>
      <c r="Q618" t="n">
        <v>0</v>
      </c>
      <c r="R618" s="2" t="inlineStr"/>
    </row>
    <row r="619" ht="15" customHeight="1">
      <c r="A619" t="inlineStr">
        <is>
          <t>A 21480-2022</t>
        </is>
      </c>
      <c r="B619" s="1" t="n">
        <v>44704</v>
      </c>
      <c r="C619" s="1" t="n">
        <v>46189</v>
      </c>
      <c r="D619" t="inlineStr">
        <is>
          <t>STOCKHOLMS LÄN</t>
        </is>
      </c>
      <c r="E619" t="inlineStr">
        <is>
          <t>NORRTÄLJE</t>
        </is>
      </c>
      <c r="G619" t="n">
        <v>2.8</v>
      </c>
      <c r="H619" t="n">
        <v>0</v>
      </c>
      <c r="I619" t="n">
        <v>0</v>
      </c>
      <c r="J619" t="n">
        <v>0</v>
      </c>
      <c r="K619" t="n">
        <v>0</v>
      </c>
      <c r="L619" t="n">
        <v>0</v>
      </c>
      <c r="M619" t="n">
        <v>0</v>
      </c>
      <c r="N619" t="n">
        <v>0</v>
      </c>
      <c r="O619" t="n">
        <v>0</v>
      </c>
      <c r="P619" t="n">
        <v>0</v>
      </c>
      <c r="Q619" t="n">
        <v>0</v>
      </c>
      <c r="R619" s="2" t="inlineStr"/>
    </row>
    <row r="620" ht="15" customHeight="1">
      <c r="A620" t="inlineStr">
        <is>
          <t>A 58939-2025</t>
        </is>
      </c>
      <c r="B620" s="1" t="n">
        <v>45987.5681712963</v>
      </c>
      <c r="C620" s="1" t="n">
        <v>46189</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48686-2023</t>
        </is>
      </c>
      <c r="B621" s="1" t="n">
        <v>45208</v>
      </c>
      <c r="C621" s="1" t="n">
        <v>46189</v>
      </c>
      <c r="D621" t="inlineStr">
        <is>
          <t>STOCKHOLMS LÄN</t>
        </is>
      </c>
      <c r="E621" t="inlineStr">
        <is>
          <t>NORRTÄLJE</t>
        </is>
      </c>
      <c r="G621" t="n">
        <v>6</v>
      </c>
      <c r="H621" t="n">
        <v>0</v>
      </c>
      <c r="I621" t="n">
        <v>0</v>
      </c>
      <c r="J621" t="n">
        <v>0</v>
      </c>
      <c r="K621" t="n">
        <v>0</v>
      </c>
      <c r="L621" t="n">
        <v>0</v>
      </c>
      <c r="M621" t="n">
        <v>0</v>
      </c>
      <c r="N621" t="n">
        <v>0</v>
      </c>
      <c r="O621" t="n">
        <v>0</v>
      </c>
      <c r="P621" t="n">
        <v>0</v>
      </c>
      <c r="Q621" t="n">
        <v>0</v>
      </c>
      <c r="R621" s="2" t="inlineStr"/>
    </row>
    <row r="622" ht="15" customHeight="1">
      <c r="A622" t="inlineStr">
        <is>
          <t>A 48691-2023</t>
        </is>
      </c>
      <c r="B622" s="1" t="n">
        <v>45208</v>
      </c>
      <c r="C622" s="1" t="n">
        <v>46189</v>
      </c>
      <c r="D622" t="inlineStr">
        <is>
          <t>STOCKHOLMS LÄN</t>
        </is>
      </c>
      <c r="E622" t="inlineStr">
        <is>
          <t>NORRTÄLJE</t>
        </is>
      </c>
      <c r="G622" t="n">
        <v>5.8</v>
      </c>
      <c r="H622" t="n">
        <v>0</v>
      </c>
      <c r="I622" t="n">
        <v>0</v>
      </c>
      <c r="J622" t="n">
        <v>0</v>
      </c>
      <c r="K622" t="n">
        <v>0</v>
      </c>
      <c r="L622" t="n">
        <v>0</v>
      </c>
      <c r="M622" t="n">
        <v>0</v>
      </c>
      <c r="N622" t="n">
        <v>0</v>
      </c>
      <c r="O622" t="n">
        <v>0</v>
      </c>
      <c r="P622" t="n">
        <v>0</v>
      </c>
      <c r="Q622" t="n">
        <v>0</v>
      </c>
      <c r="R622" s="2" t="inlineStr"/>
    </row>
    <row r="623" ht="15" customHeight="1">
      <c r="A623" t="inlineStr">
        <is>
          <t>A 55243-2023</t>
        </is>
      </c>
      <c r="B623" s="1" t="n">
        <v>45237</v>
      </c>
      <c r="C623" s="1" t="n">
        <v>46189</v>
      </c>
      <c r="D623" t="inlineStr">
        <is>
          <t>STOCKHOLMS LÄN</t>
        </is>
      </c>
      <c r="E623" t="inlineStr">
        <is>
          <t>NORRTÄLJE</t>
        </is>
      </c>
      <c r="G623" t="n">
        <v>6.5</v>
      </c>
      <c r="H623" t="n">
        <v>0</v>
      </c>
      <c r="I623" t="n">
        <v>0</v>
      </c>
      <c r="J623" t="n">
        <v>0</v>
      </c>
      <c r="K623" t="n">
        <v>0</v>
      </c>
      <c r="L623" t="n">
        <v>0</v>
      </c>
      <c r="M623" t="n">
        <v>0</v>
      </c>
      <c r="N623" t="n">
        <v>0</v>
      </c>
      <c r="O623" t="n">
        <v>0</v>
      </c>
      <c r="P623" t="n">
        <v>0</v>
      </c>
      <c r="Q623" t="n">
        <v>0</v>
      </c>
      <c r="R623" s="2" t="inlineStr"/>
    </row>
    <row r="624" ht="15" customHeight="1">
      <c r="A624" t="inlineStr">
        <is>
          <t>A 35210-2023</t>
        </is>
      </c>
      <c r="B624" s="1" t="n">
        <v>45145.63584490741</v>
      </c>
      <c r="C624" s="1" t="n">
        <v>46189</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59672-2025</t>
        </is>
      </c>
      <c r="B625" s="1" t="n">
        <v>45992.45884259259</v>
      </c>
      <c r="C625" s="1" t="n">
        <v>46189</v>
      </c>
      <c r="D625" t="inlineStr">
        <is>
          <t>STOCKHOLMS LÄN</t>
        </is>
      </c>
      <c r="E625" t="inlineStr">
        <is>
          <t>NORRTÄLJE</t>
        </is>
      </c>
      <c r="G625" t="n">
        <v>4</v>
      </c>
      <c r="H625" t="n">
        <v>0</v>
      </c>
      <c r="I625" t="n">
        <v>0</v>
      </c>
      <c r="J625" t="n">
        <v>0</v>
      </c>
      <c r="K625" t="n">
        <v>0</v>
      </c>
      <c r="L625" t="n">
        <v>0</v>
      </c>
      <c r="M625" t="n">
        <v>0</v>
      </c>
      <c r="N625" t="n">
        <v>0</v>
      </c>
      <c r="O625" t="n">
        <v>0</v>
      </c>
      <c r="P625" t="n">
        <v>0</v>
      </c>
      <c r="Q625" t="n">
        <v>0</v>
      </c>
      <c r="R625" s="2" t="inlineStr"/>
    </row>
    <row r="626" ht="15" customHeight="1">
      <c r="A626" t="inlineStr">
        <is>
          <t>A 58297-2023</t>
        </is>
      </c>
      <c r="B626" s="1" t="n">
        <v>45245</v>
      </c>
      <c r="C626" s="1" t="n">
        <v>46189</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60223-2025</t>
        </is>
      </c>
      <c r="B627" s="1" t="n">
        <v>45994.54497685185</v>
      </c>
      <c r="C627" s="1" t="n">
        <v>46189</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59914-2025</t>
        </is>
      </c>
      <c r="B628" s="1" t="n">
        <v>45993.37056712963</v>
      </c>
      <c r="C628" s="1" t="n">
        <v>46189</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21726-2022</t>
        </is>
      </c>
      <c r="B629" s="1" t="n">
        <v>44708</v>
      </c>
      <c r="C629" s="1" t="n">
        <v>46189</v>
      </c>
      <c r="D629" t="inlineStr">
        <is>
          <t>STOCKHOLMS LÄN</t>
        </is>
      </c>
      <c r="E629" t="inlineStr">
        <is>
          <t>NORRTÄLJE</t>
        </is>
      </c>
      <c r="G629" t="n">
        <v>0.2</v>
      </c>
      <c r="H629" t="n">
        <v>0</v>
      </c>
      <c r="I629" t="n">
        <v>0</v>
      </c>
      <c r="J629" t="n">
        <v>0</v>
      </c>
      <c r="K629" t="n">
        <v>0</v>
      </c>
      <c r="L629" t="n">
        <v>0</v>
      </c>
      <c r="M629" t="n">
        <v>0</v>
      </c>
      <c r="N629" t="n">
        <v>0</v>
      </c>
      <c r="O629" t="n">
        <v>0</v>
      </c>
      <c r="P629" t="n">
        <v>0</v>
      </c>
      <c r="Q629" t="n">
        <v>0</v>
      </c>
      <c r="R629" s="2" t="inlineStr"/>
    </row>
    <row r="630" ht="15" customHeight="1">
      <c r="A630" t="inlineStr">
        <is>
          <t>A 21739-2022</t>
        </is>
      </c>
      <c r="B630" s="1" t="n">
        <v>44708.36708333333</v>
      </c>
      <c r="C630" s="1" t="n">
        <v>46189</v>
      </c>
      <c r="D630" t="inlineStr">
        <is>
          <t>STOCKHOLMS LÄN</t>
        </is>
      </c>
      <c r="E630" t="inlineStr">
        <is>
          <t>NORRTÄLJE</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28182-2022</t>
        </is>
      </c>
      <c r="B631" s="1" t="n">
        <v>44746.58530092592</v>
      </c>
      <c r="C631" s="1" t="n">
        <v>46189</v>
      </c>
      <c r="D631" t="inlineStr">
        <is>
          <t>STOCKHOLMS LÄN</t>
        </is>
      </c>
      <c r="E631" t="inlineStr">
        <is>
          <t>NORRTÄLJE</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60214-2025</t>
        </is>
      </c>
      <c r="B632" s="1" t="n">
        <v>45994.53761574074</v>
      </c>
      <c r="C632" s="1" t="n">
        <v>46189</v>
      </c>
      <c r="D632" t="inlineStr">
        <is>
          <t>STOCKHOLMS LÄN</t>
        </is>
      </c>
      <c r="E632" t="inlineStr">
        <is>
          <t>NORRTÄLJE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60253-2025</t>
        </is>
      </c>
      <c r="B633" s="1" t="n">
        <v>45994.59827546297</v>
      </c>
      <c r="C633" s="1" t="n">
        <v>46189</v>
      </c>
      <c r="D633" t="inlineStr">
        <is>
          <t>STOCKHOLMS LÄN</t>
        </is>
      </c>
      <c r="E633" t="inlineStr">
        <is>
          <t>NORRTÄLJE</t>
        </is>
      </c>
      <c r="F633" t="inlineStr">
        <is>
          <t>Holmen skog AB</t>
        </is>
      </c>
      <c r="G633" t="n">
        <v>3.6</v>
      </c>
      <c r="H633" t="n">
        <v>0</v>
      </c>
      <c r="I633" t="n">
        <v>0</v>
      </c>
      <c r="J633" t="n">
        <v>0</v>
      </c>
      <c r="K633" t="n">
        <v>0</v>
      </c>
      <c r="L633" t="n">
        <v>0</v>
      </c>
      <c r="M633" t="n">
        <v>0</v>
      </c>
      <c r="N633" t="n">
        <v>0</v>
      </c>
      <c r="O633" t="n">
        <v>0</v>
      </c>
      <c r="P633" t="n">
        <v>0</v>
      </c>
      <c r="Q633" t="n">
        <v>0</v>
      </c>
      <c r="R633" s="2" t="inlineStr"/>
    </row>
    <row r="634" ht="15" customHeight="1">
      <c r="A634" t="inlineStr">
        <is>
          <t>A 59907-2025</t>
        </is>
      </c>
      <c r="B634" s="1" t="n">
        <v>45993.35350694445</v>
      </c>
      <c r="C634" s="1" t="n">
        <v>46189</v>
      </c>
      <c r="D634" t="inlineStr">
        <is>
          <t>STOCKHOLMS LÄN</t>
        </is>
      </c>
      <c r="E634" t="inlineStr">
        <is>
          <t>NORRTÄLJE</t>
        </is>
      </c>
      <c r="G634" t="n">
        <v>1.2</v>
      </c>
      <c r="H634" t="n">
        <v>0</v>
      </c>
      <c r="I634" t="n">
        <v>0</v>
      </c>
      <c r="J634" t="n">
        <v>0</v>
      </c>
      <c r="K634" t="n">
        <v>0</v>
      </c>
      <c r="L634" t="n">
        <v>0</v>
      </c>
      <c r="M634" t="n">
        <v>0</v>
      </c>
      <c r="N634" t="n">
        <v>0</v>
      </c>
      <c r="O634" t="n">
        <v>0</v>
      </c>
      <c r="P634" t="n">
        <v>0</v>
      </c>
      <c r="Q634" t="n">
        <v>0</v>
      </c>
      <c r="R634" s="2" t="inlineStr"/>
    </row>
    <row r="635" ht="15" customHeight="1">
      <c r="A635" t="inlineStr">
        <is>
          <t>A 18092-2022</t>
        </is>
      </c>
      <c r="B635" s="1" t="n">
        <v>44684</v>
      </c>
      <c r="C635" s="1" t="n">
        <v>46189</v>
      </c>
      <c r="D635" t="inlineStr">
        <is>
          <t>STOCKHOLMS LÄN</t>
        </is>
      </c>
      <c r="E635" t="inlineStr">
        <is>
          <t>NORRTÄLJE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33295-2023</t>
        </is>
      </c>
      <c r="B636" s="1" t="n">
        <v>45127.69371527778</v>
      </c>
      <c r="C636" s="1" t="n">
        <v>46189</v>
      </c>
      <c r="D636" t="inlineStr">
        <is>
          <t>STOCKHOLMS LÄN</t>
        </is>
      </c>
      <c r="E636" t="inlineStr">
        <is>
          <t>NORRTÄLJE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59924-2025</t>
        </is>
      </c>
      <c r="B637" s="1" t="n">
        <v>45993.38928240741</v>
      </c>
      <c r="C637" s="1" t="n">
        <v>46189</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58404-2023</t>
        </is>
      </c>
      <c r="B638" s="1" t="n">
        <v>45245</v>
      </c>
      <c r="C638" s="1" t="n">
        <v>46189</v>
      </c>
      <c r="D638" t="inlineStr">
        <is>
          <t>STOCKHOLMS LÄN</t>
        </is>
      </c>
      <c r="E638" t="inlineStr">
        <is>
          <t>NORRTÄLJE</t>
        </is>
      </c>
      <c r="G638" t="n">
        <v>53.5</v>
      </c>
      <c r="H638" t="n">
        <v>0</v>
      </c>
      <c r="I638" t="n">
        <v>0</v>
      </c>
      <c r="J638" t="n">
        <v>0</v>
      </c>
      <c r="K638" t="n">
        <v>0</v>
      </c>
      <c r="L638" t="n">
        <v>0</v>
      </c>
      <c r="M638" t="n">
        <v>0</v>
      </c>
      <c r="N638" t="n">
        <v>0</v>
      </c>
      <c r="O638" t="n">
        <v>0</v>
      </c>
      <c r="P638" t="n">
        <v>0</v>
      </c>
      <c r="Q638" t="n">
        <v>0</v>
      </c>
      <c r="R638" s="2" t="inlineStr"/>
    </row>
    <row r="639" ht="15" customHeight="1">
      <c r="A639" t="inlineStr">
        <is>
          <t>A 27885-2022</t>
        </is>
      </c>
      <c r="B639" s="1" t="n">
        <v>44743.67418981482</v>
      </c>
      <c r="C639" s="1" t="n">
        <v>46189</v>
      </c>
      <c r="D639" t="inlineStr">
        <is>
          <t>STOCKHOLMS LÄN</t>
        </is>
      </c>
      <c r="E639" t="inlineStr">
        <is>
          <t>NORRTÄLJE</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60649-2025</t>
        </is>
      </c>
      <c r="B640" s="1" t="n">
        <v>45996.4560300926</v>
      </c>
      <c r="C640" s="1" t="n">
        <v>46189</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25525-2022</t>
        </is>
      </c>
      <c r="B641" s="1" t="n">
        <v>44732</v>
      </c>
      <c r="C641" s="1" t="n">
        <v>46189</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48722-2023</t>
        </is>
      </c>
      <c r="B642" s="1" t="n">
        <v>45208.70996527778</v>
      </c>
      <c r="C642" s="1" t="n">
        <v>46189</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60948-2025</t>
        </is>
      </c>
      <c r="B643" s="1" t="n">
        <v>45999.650625</v>
      </c>
      <c r="C643" s="1" t="n">
        <v>46189</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61160-2025</t>
        </is>
      </c>
      <c r="B644" s="1" t="n">
        <v>46000.55262731481</v>
      </c>
      <c r="C644" s="1" t="n">
        <v>46189</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61769-2025</t>
        </is>
      </c>
      <c r="B645" s="1" t="n">
        <v>46002.64556712963</v>
      </c>
      <c r="C645" s="1" t="n">
        <v>46189</v>
      </c>
      <c r="D645" t="inlineStr">
        <is>
          <t>STOCKHOLMS LÄN</t>
        </is>
      </c>
      <c r="E645" t="inlineStr">
        <is>
          <t>NORRTÄLJE</t>
        </is>
      </c>
      <c r="G645" t="n">
        <v>2.9</v>
      </c>
      <c r="H645" t="n">
        <v>0</v>
      </c>
      <c r="I645" t="n">
        <v>0</v>
      </c>
      <c r="J645" t="n">
        <v>0</v>
      </c>
      <c r="K645" t="n">
        <v>0</v>
      </c>
      <c r="L645" t="n">
        <v>0</v>
      </c>
      <c r="M645" t="n">
        <v>0</v>
      </c>
      <c r="N645" t="n">
        <v>0</v>
      </c>
      <c r="O645" t="n">
        <v>0</v>
      </c>
      <c r="P645" t="n">
        <v>0</v>
      </c>
      <c r="Q645" t="n">
        <v>0</v>
      </c>
      <c r="R645" s="2" t="inlineStr"/>
    </row>
    <row r="646" ht="15" customHeight="1">
      <c r="A646" t="inlineStr">
        <is>
          <t>A 61764-2025</t>
        </is>
      </c>
      <c r="B646" s="1" t="n">
        <v>46002.62763888889</v>
      </c>
      <c r="C646" s="1" t="n">
        <v>46189</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33353-2023</t>
        </is>
      </c>
      <c r="B647" s="1" t="n">
        <v>45128</v>
      </c>
      <c r="C647" s="1" t="n">
        <v>46189</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61289-2025</t>
        </is>
      </c>
      <c r="B648" s="1" t="n">
        <v>46000.73659722223</v>
      </c>
      <c r="C648" s="1" t="n">
        <v>46189</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61430-2025</t>
        </is>
      </c>
      <c r="B649" s="1" t="n">
        <v>46001.55583333333</v>
      </c>
      <c r="C649" s="1" t="n">
        <v>46189</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53499-2025</t>
        </is>
      </c>
      <c r="B650" s="1" t="n">
        <v>45960</v>
      </c>
      <c r="C650" s="1" t="n">
        <v>46189</v>
      </c>
      <c r="D650" t="inlineStr">
        <is>
          <t>STOCKHOLMS LÄN</t>
        </is>
      </c>
      <c r="E650" t="inlineStr">
        <is>
          <t>NORRTÄLJE</t>
        </is>
      </c>
      <c r="G650" t="n">
        <v>23.8</v>
      </c>
      <c r="H650" t="n">
        <v>0</v>
      </c>
      <c r="I650" t="n">
        <v>0</v>
      </c>
      <c r="J650" t="n">
        <v>0</v>
      </c>
      <c r="K650" t="n">
        <v>0</v>
      </c>
      <c r="L650" t="n">
        <v>0</v>
      </c>
      <c r="M650" t="n">
        <v>0</v>
      </c>
      <c r="N650" t="n">
        <v>0</v>
      </c>
      <c r="O650" t="n">
        <v>0</v>
      </c>
      <c r="P650" t="n">
        <v>0</v>
      </c>
      <c r="Q650" t="n">
        <v>0</v>
      </c>
      <c r="R650" s="2" t="inlineStr"/>
    </row>
    <row r="651" ht="15" customHeight="1">
      <c r="A651" t="inlineStr">
        <is>
          <t>A 35708-2022</t>
        </is>
      </c>
      <c r="B651" s="1" t="n">
        <v>44799.65013888889</v>
      </c>
      <c r="C651" s="1" t="n">
        <v>46189</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62708-2025</t>
        </is>
      </c>
      <c r="B652" s="1" t="n">
        <v>46008.50986111111</v>
      </c>
      <c r="C652" s="1" t="n">
        <v>46189</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9-2024</t>
        </is>
      </c>
      <c r="B653" s="1" t="n">
        <v>45293</v>
      </c>
      <c r="C653" s="1" t="n">
        <v>46189</v>
      </c>
      <c r="D653" t="inlineStr">
        <is>
          <t>STOCKHOLMS LÄN</t>
        </is>
      </c>
      <c r="E653" t="inlineStr">
        <is>
          <t>NORRTÄLJE</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51312-2023</t>
        </is>
      </c>
      <c r="B654" s="1" t="n">
        <v>45219.56697916667</v>
      </c>
      <c r="C654" s="1" t="n">
        <v>46189</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62689-2025</t>
        </is>
      </c>
      <c r="B655" s="1" t="n">
        <v>46008.47171296296</v>
      </c>
      <c r="C655" s="1" t="n">
        <v>46189</v>
      </c>
      <c r="D655" t="inlineStr">
        <is>
          <t>STOCKHOLMS LÄN</t>
        </is>
      </c>
      <c r="E655" t="inlineStr">
        <is>
          <t>NORRTÄLJE</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11849-2025</t>
        </is>
      </c>
      <c r="B656" s="1" t="n">
        <v>45728.38409722222</v>
      </c>
      <c r="C656" s="1" t="n">
        <v>46189</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33279-2025</t>
        </is>
      </c>
      <c r="B657" s="1" t="n">
        <v>45840</v>
      </c>
      <c r="C657" s="1" t="n">
        <v>46189</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38610-2022</t>
        </is>
      </c>
      <c r="B658" s="1" t="n">
        <v>44813.59915509259</v>
      </c>
      <c r="C658" s="1" t="n">
        <v>46189</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62681-2025</t>
        </is>
      </c>
      <c r="B659" s="1" t="n">
        <v>46008.45534722223</v>
      </c>
      <c r="C659" s="1" t="n">
        <v>46189</v>
      </c>
      <c r="D659" t="inlineStr">
        <is>
          <t>STOCKHOLMS LÄN</t>
        </is>
      </c>
      <c r="E659" t="inlineStr">
        <is>
          <t>NORRTÄLJE</t>
        </is>
      </c>
      <c r="G659" t="n">
        <v>2.4</v>
      </c>
      <c r="H659" t="n">
        <v>0</v>
      </c>
      <c r="I659" t="n">
        <v>0</v>
      </c>
      <c r="J659" t="n">
        <v>0</v>
      </c>
      <c r="K659" t="n">
        <v>0</v>
      </c>
      <c r="L659" t="n">
        <v>0</v>
      </c>
      <c r="M659" t="n">
        <v>0</v>
      </c>
      <c r="N659" t="n">
        <v>0</v>
      </c>
      <c r="O659" t="n">
        <v>0</v>
      </c>
      <c r="P659" t="n">
        <v>0</v>
      </c>
      <c r="Q659" t="n">
        <v>0</v>
      </c>
      <c r="R659" s="2" t="inlineStr"/>
    </row>
    <row r="660" ht="15" customHeight="1">
      <c r="A660" t="inlineStr">
        <is>
          <t>A 34478-2025</t>
        </is>
      </c>
      <c r="B660" s="1" t="n">
        <v>45847</v>
      </c>
      <c r="C660" s="1" t="n">
        <v>46189</v>
      </c>
      <c r="D660" t="inlineStr">
        <is>
          <t>STOCKHOLMS LÄN</t>
        </is>
      </c>
      <c r="E660" t="inlineStr">
        <is>
          <t>NORRTÄLJE</t>
        </is>
      </c>
      <c r="F660" t="inlineStr">
        <is>
          <t>Övriga Aktiebolag</t>
        </is>
      </c>
      <c r="G660" t="n">
        <v>10.8</v>
      </c>
      <c r="H660" t="n">
        <v>0</v>
      </c>
      <c r="I660" t="n">
        <v>0</v>
      </c>
      <c r="J660" t="n">
        <v>0</v>
      </c>
      <c r="K660" t="n">
        <v>0</v>
      </c>
      <c r="L660" t="n">
        <v>0</v>
      </c>
      <c r="M660" t="n">
        <v>0</v>
      </c>
      <c r="N660" t="n">
        <v>0</v>
      </c>
      <c r="O660" t="n">
        <v>0</v>
      </c>
      <c r="P660" t="n">
        <v>0</v>
      </c>
      <c r="Q660" t="n">
        <v>0</v>
      </c>
      <c r="R660" s="2" t="inlineStr"/>
    </row>
    <row r="661" ht="15" customHeight="1">
      <c r="A661" t="inlineStr">
        <is>
          <t>A 62922-2025</t>
        </is>
      </c>
      <c r="B661" s="1" t="n">
        <v>46009.38064814815</v>
      </c>
      <c r="C661" s="1" t="n">
        <v>46189</v>
      </c>
      <c r="D661" t="inlineStr">
        <is>
          <t>STOCKHOLMS LÄN</t>
        </is>
      </c>
      <c r="E661" t="inlineStr">
        <is>
          <t>NORRTÄLJE</t>
        </is>
      </c>
      <c r="G661" t="n">
        <v>0.5</v>
      </c>
      <c r="H661" t="n">
        <v>0</v>
      </c>
      <c r="I661" t="n">
        <v>0</v>
      </c>
      <c r="J661" t="n">
        <v>0</v>
      </c>
      <c r="K661" t="n">
        <v>0</v>
      </c>
      <c r="L661" t="n">
        <v>0</v>
      </c>
      <c r="M661" t="n">
        <v>0</v>
      </c>
      <c r="N661" t="n">
        <v>0</v>
      </c>
      <c r="O661" t="n">
        <v>0</v>
      </c>
      <c r="P661" t="n">
        <v>0</v>
      </c>
      <c r="Q661" t="n">
        <v>0</v>
      </c>
      <c r="R661" s="2" t="inlineStr"/>
    </row>
    <row r="662" ht="15" customHeight="1">
      <c r="A662" t="inlineStr">
        <is>
          <t>A 59468-2023</t>
        </is>
      </c>
      <c r="B662" s="1" t="n">
        <v>45254.41509259259</v>
      </c>
      <c r="C662" s="1" t="n">
        <v>46189</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574-2023</t>
        </is>
      </c>
      <c r="B663" s="1" t="n">
        <v>44925</v>
      </c>
      <c r="C663" s="1" t="n">
        <v>46189</v>
      </c>
      <c r="D663" t="inlineStr">
        <is>
          <t>STOCKHOLMS LÄN</t>
        </is>
      </c>
      <c r="E663" t="inlineStr">
        <is>
          <t>NORRTÄLJE</t>
        </is>
      </c>
      <c r="G663" t="n">
        <v>5</v>
      </c>
      <c r="H663" t="n">
        <v>0</v>
      </c>
      <c r="I663" t="n">
        <v>0</v>
      </c>
      <c r="J663" t="n">
        <v>0</v>
      </c>
      <c r="K663" t="n">
        <v>0</v>
      </c>
      <c r="L663" t="n">
        <v>0</v>
      </c>
      <c r="M663" t="n">
        <v>0</v>
      </c>
      <c r="N663" t="n">
        <v>0</v>
      </c>
      <c r="O663" t="n">
        <v>0</v>
      </c>
      <c r="P663" t="n">
        <v>0</v>
      </c>
      <c r="Q663" t="n">
        <v>0</v>
      </c>
      <c r="R663" s="2" t="inlineStr"/>
    </row>
    <row r="664" ht="15" customHeight="1">
      <c r="A664" t="inlineStr">
        <is>
          <t>A 37010-2022</t>
        </is>
      </c>
      <c r="B664" s="1" t="n">
        <v>44806.41576388889</v>
      </c>
      <c r="C664" s="1" t="n">
        <v>46189</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718-2026</t>
        </is>
      </c>
      <c r="B665" s="1" t="n">
        <v>46029.63174768518</v>
      </c>
      <c r="C665" s="1" t="n">
        <v>46189</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694-2026</t>
        </is>
      </c>
      <c r="B666" s="1" t="n">
        <v>46029.61375</v>
      </c>
      <c r="C666" s="1" t="n">
        <v>46189</v>
      </c>
      <c r="D666" t="inlineStr">
        <is>
          <t>STOCKHOLMS LÄN</t>
        </is>
      </c>
      <c r="E666" t="inlineStr">
        <is>
          <t>NORRTÄLJE</t>
        </is>
      </c>
      <c r="G666" t="n">
        <v>9.6</v>
      </c>
      <c r="H666" t="n">
        <v>0</v>
      </c>
      <c r="I666" t="n">
        <v>0</v>
      </c>
      <c r="J666" t="n">
        <v>0</v>
      </c>
      <c r="K666" t="n">
        <v>0</v>
      </c>
      <c r="L666" t="n">
        <v>0</v>
      </c>
      <c r="M666" t="n">
        <v>0</v>
      </c>
      <c r="N666" t="n">
        <v>0</v>
      </c>
      <c r="O666" t="n">
        <v>0</v>
      </c>
      <c r="P666" t="n">
        <v>0</v>
      </c>
      <c r="Q666" t="n">
        <v>0</v>
      </c>
      <c r="R666" s="2" t="inlineStr"/>
    </row>
    <row r="667" ht="15" customHeight="1">
      <c r="A667" t="inlineStr">
        <is>
          <t>A 32705-2022</t>
        </is>
      </c>
      <c r="B667" s="1" t="n">
        <v>44783</v>
      </c>
      <c r="C667" s="1" t="n">
        <v>46189</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33149-2022</t>
        </is>
      </c>
      <c r="B668" s="1" t="n">
        <v>44785</v>
      </c>
      <c r="C668" s="1" t="n">
        <v>46189</v>
      </c>
      <c r="D668" t="inlineStr">
        <is>
          <t>STOCKHOLMS LÄN</t>
        </is>
      </c>
      <c r="E668" t="inlineStr">
        <is>
          <t>NORRTÄLJE</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14559-2024</t>
        </is>
      </c>
      <c r="B669" s="1" t="n">
        <v>45394.72869212963</v>
      </c>
      <c r="C669" s="1" t="n">
        <v>46189</v>
      </c>
      <c r="D669" t="inlineStr">
        <is>
          <t>STOCKHOLMS LÄN</t>
        </is>
      </c>
      <c r="E669" t="inlineStr">
        <is>
          <t>NORRTÄLJE</t>
        </is>
      </c>
      <c r="G669" t="n">
        <v>4.2</v>
      </c>
      <c r="H669" t="n">
        <v>0</v>
      </c>
      <c r="I669" t="n">
        <v>0</v>
      </c>
      <c r="J669" t="n">
        <v>0</v>
      </c>
      <c r="K669" t="n">
        <v>0</v>
      </c>
      <c r="L669" t="n">
        <v>0</v>
      </c>
      <c r="M669" t="n">
        <v>0</v>
      </c>
      <c r="N669" t="n">
        <v>0</v>
      </c>
      <c r="O669" t="n">
        <v>0</v>
      </c>
      <c r="P669" t="n">
        <v>0</v>
      </c>
      <c r="Q669" t="n">
        <v>0</v>
      </c>
      <c r="R669" s="2" t="inlineStr"/>
    </row>
    <row r="670" ht="15" customHeight="1">
      <c r="A670" t="inlineStr">
        <is>
          <t>A 693-2026</t>
        </is>
      </c>
      <c r="B670" s="1" t="n">
        <v>46029.6133449074</v>
      </c>
      <c r="C670" s="1" t="n">
        <v>46189</v>
      </c>
      <c r="D670" t="inlineStr">
        <is>
          <t>STOCKHOLMS LÄN</t>
        </is>
      </c>
      <c r="E670" t="inlineStr">
        <is>
          <t>NORRTÄLJE</t>
        </is>
      </c>
      <c r="G670" t="n">
        <v>9.6</v>
      </c>
      <c r="H670" t="n">
        <v>0</v>
      </c>
      <c r="I670" t="n">
        <v>0</v>
      </c>
      <c r="J670" t="n">
        <v>0</v>
      </c>
      <c r="K670" t="n">
        <v>0</v>
      </c>
      <c r="L670" t="n">
        <v>0</v>
      </c>
      <c r="M670" t="n">
        <v>0</v>
      </c>
      <c r="N670" t="n">
        <v>0</v>
      </c>
      <c r="O670" t="n">
        <v>0</v>
      </c>
      <c r="P670" t="n">
        <v>0</v>
      </c>
      <c r="Q670" t="n">
        <v>0</v>
      </c>
      <c r="R670" s="2" t="inlineStr"/>
    </row>
    <row r="671" ht="15" customHeight="1">
      <c r="A671" t="inlineStr">
        <is>
          <t>A 812-2026</t>
        </is>
      </c>
      <c r="B671" s="1" t="n">
        <v>46030.33358796296</v>
      </c>
      <c r="C671" s="1" t="n">
        <v>46189</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717-2026</t>
        </is>
      </c>
      <c r="B672" s="1" t="n">
        <v>46029.63028935185</v>
      </c>
      <c r="C672" s="1" t="n">
        <v>46189</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475-2026</t>
        </is>
      </c>
      <c r="B673" s="1" t="n">
        <v>46029.39351851852</v>
      </c>
      <c r="C673" s="1" t="n">
        <v>46189</v>
      </c>
      <c r="D673" t="inlineStr">
        <is>
          <t>STOCKHOLMS LÄN</t>
        </is>
      </c>
      <c r="E673" t="inlineStr">
        <is>
          <t>NORRTÄLJE</t>
        </is>
      </c>
      <c r="G673" t="n">
        <v>4.6</v>
      </c>
      <c r="H673" t="n">
        <v>0</v>
      </c>
      <c r="I673" t="n">
        <v>0</v>
      </c>
      <c r="J673" t="n">
        <v>0</v>
      </c>
      <c r="K673" t="n">
        <v>0</v>
      </c>
      <c r="L673" t="n">
        <v>0</v>
      </c>
      <c r="M673" t="n">
        <v>0</v>
      </c>
      <c r="N673" t="n">
        <v>0</v>
      </c>
      <c r="O673" t="n">
        <v>0</v>
      </c>
      <c r="P673" t="n">
        <v>0</v>
      </c>
      <c r="Q673" t="n">
        <v>0</v>
      </c>
      <c r="R673" s="2" t="inlineStr"/>
    </row>
    <row r="674" ht="15" customHeight="1">
      <c r="A674" t="inlineStr">
        <is>
          <t>A 11-2024</t>
        </is>
      </c>
      <c r="B674" s="1" t="n">
        <v>45293</v>
      </c>
      <c r="C674" s="1" t="n">
        <v>46189</v>
      </c>
      <c r="D674" t="inlineStr">
        <is>
          <t>STOCKHOLMS LÄN</t>
        </is>
      </c>
      <c r="E674" t="inlineStr">
        <is>
          <t>NORRTÄLJE</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15256-2023</t>
        </is>
      </c>
      <c r="B675" s="1" t="n">
        <v>45019.3959837963</v>
      </c>
      <c r="C675" s="1" t="n">
        <v>46189</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58041-2024</t>
        </is>
      </c>
      <c r="B676" s="1" t="n">
        <v>45631.74673611111</v>
      </c>
      <c r="C676" s="1" t="n">
        <v>46189</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31057-2022</t>
        </is>
      </c>
      <c r="B677" s="1" t="n">
        <v>44769</v>
      </c>
      <c r="C677" s="1" t="n">
        <v>46189</v>
      </c>
      <c r="D677" t="inlineStr">
        <is>
          <t>STOCKHOLMS LÄN</t>
        </is>
      </c>
      <c r="E677" t="inlineStr">
        <is>
          <t>NORRTÄLJE</t>
        </is>
      </c>
      <c r="G677" t="n">
        <v>6.5</v>
      </c>
      <c r="H677" t="n">
        <v>0</v>
      </c>
      <c r="I677" t="n">
        <v>0</v>
      </c>
      <c r="J677" t="n">
        <v>0</v>
      </c>
      <c r="K677" t="n">
        <v>0</v>
      </c>
      <c r="L677" t="n">
        <v>0</v>
      </c>
      <c r="M677" t="n">
        <v>0</v>
      </c>
      <c r="N677" t="n">
        <v>0</v>
      </c>
      <c r="O677" t="n">
        <v>0</v>
      </c>
      <c r="P677" t="n">
        <v>0</v>
      </c>
      <c r="Q677" t="n">
        <v>0</v>
      </c>
      <c r="R677" s="2" t="inlineStr"/>
    </row>
    <row r="678" ht="15" customHeight="1">
      <c r="A678" t="inlineStr">
        <is>
          <t>A 1789-2026</t>
        </is>
      </c>
      <c r="B678" s="1" t="n">
        <v>46034</v>
      </c>
      <c r="C678" s="1" t="n">
        <v>46189</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1755-2026</t>
        </is>
      </c>
      <c r="B679" s="1" t="n">
        <v>46034.66230324074</v>
      </c>
      <c r="C679" s="1" t="n">
        <v>46189</v>
      </c>
      <c r="D679" t="inlineStr">
        <is>
          <t>STOCKHOLMS LÄN</t>
        </is>
      </c>
      <c r="E679" t="inlineStr">
        <is>
          <t>NORRTÄLJE</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2088-2026</t>
        </is>
      </c>
      <c r="B680" s="1" t="n">
        <v>46036.35909722222</v>
      </c>
      <c r="C680" s="1" t="n">
        <v>46189</v>
      </c>
      <c r="D680" t="inlineStr">
        <is>
          <t>STOCKHOLMS LÄN</t>
        </is>
      </c>
      <c r="E680" t="inlineStr">
        <is>
          <t>NORRTÄLJE</t>
        </is>
      </c>
      <c r="G680" t="n">
        <v>7</v>
      </c>
      <c r="H680" t="n">
        <v>0</v>
      </c>
      <c r="I680" t="n">
        <v>0</v>
      </c>
      <c r="J680" t="n">
        <v>0</v>
      </c>
      <c r="K680" t="n">
        <v>0</v>
      </c>
      <c r="L680" t="n">
        <v>0</v>
      </c>
      <c r="M680" t="n">
        <v>0</v>
      </c>
      <c r="N680" t="n">
        <v>0</v>
      </c>
      <c r="O680" t="n">
        <v>0</v>
      </c>
      <c r="P680" t="n">
        <v>0</v>
      </c>
      <c r="Q680" t="n">
        <v>0</v>
      </c>
      <c r="R680" s="2" t="inlineStr"/>
    </row>
    <row r="681" ht="15" customHeight="1">
      <c r="A681" t="inlineStr">
        <is>
          <t>A 2116-2026</t>
        </is>
      </c>
      <c r="B681" s="1" t="n">
        <v>46036.38108796296</v>
      </c>
      <c r="C681" s="1" t="n">
        <v>46189</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25619-2022</t>
        </is>
      </c>
      <c r="B682" s="1" t="n">
        <v>44732</v>
      </c>
      <c r="C682" s="1" t="n">
        <v>46189</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15422-2024</t>
        </is>
      </c>
      <c r="B683" s="1" t="n">
        <v>45401.3653125</v>
      </c>
      <c r="C683" s="1" t="n">
        <v>46189</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48716-2023</t>
        </is>
      </c>
      <c r="B684" s="1" t="n">
        <v>45208.69671296296</v>
      </c>
      <c r="C684" s="1" t="n">
        <v>46189</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55369-2023</t>
        </is>
      </c>
      <c r="B685" s="1" t="n">
        <v>45238</v>
      </c>
      <c r="C685" s="1" t="n">
        <v>46189</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20121-2022</t>
        </is>
      </c>
      <c r="B686" s="1" t="n">
        <v>44698</v>
      </c>
      <c r="C686" s="1" t="n">
        <v>46189</v>
      </c>
      <c r="D686" t="inlineStr">
        <is>
          <t>STOCKHOLMS LÄN</t>
        </is>
      </c>
      <c r="E686" t="inlineStr">
        <is>
          <t>NORRTÄLJE</t>
        </is>
      </c>
      <c r="G686" t="n">
        <v>4.2</v>
      </c>
      <c r="H686" t="n">
        <v>0</v>
      </c>
      <c r="I686" t="n">
        <v>0</v>
      </c>
      <c r="J686" t="n">
        <v>0</v>
      </c>
      <c r="K686" t="n">
        <v>0</v>
      </c>
      <c r="L686" t="n">
        <v>0</v>
      </c>
      <c r="M686" t="n">
        <v>0</v>
      </c>
      <c r="N686" t="n">
        <v>0</v>
      </c>
      <c r="O686" t="n">
        <v>0</v>
      </c>
      <c r="P686" t="n">
        <v>0</v>
      </c>
      <c r="Q686" t="n">
        <v>0</v>
      </c>
      <c r="R686" s="2" t="inlineStr"/>
    </row>
    <row r="687" ht="15" customHeight="1">
      <c r="A687" t="inlineStr">
        <is>
          <t>A 26407-2024</t>
        </is>
      </c>
      <c r="B687" s="1" t="n">
        <v>45469</v>
      </c>
      <c r="C687" s="1" t="n">
        <v>46189</v>
      </c>
      <c r="D687" t="inlineStr">
        <is>
          <t>STOCKHOLMS LÄN</t>
        </is>
      </c>
      <c r="E687" t="inlineStr">
        <is>
          <t>NORRTÄLJE</t>
        </is>
      </c>
      <c r="G687" t="n">
        <v>3.5</v>
      </c>
      <c r="H687" t="n">
        <v>0</v>
      </c>
      <c r="I687" t="n">
        <v>0</v>
      </c>
      <c r="J687" t="n">
        <v>0</v>
      </c>
      <c r="K687" t="n">
        <v>0</v>
      </c>
      <c r="L687" t="n">
        <v>0</v>
      </c>
      <c r="M687" t="n">
        <v>0</v>
      </c>
      <c r="N687" t="n">
        <v>0</v>
      </c>
      <c r="O687" t="n">
        <v>0</v>
      </c>
      <c r="P687" t="n">
        <v>0</v>
      </c>
      <c r="Q687" t="n">
        <v>0</v>
      </c>
      <c r="R687" s="2" t="inlineStr"/>
    </row>
    <row r="688" ht="15" customHeight="1">
      <c r="A688" t="inlineStr">
        <is>
          <t>A 10098-2022</t>
        </is>
      </c>
      <c r="B688" s="1" t="n">
        <v>44621</v>
      </c>
      <c r="C688" s="1" t="n">
        <v>46189</v>
      </c>
      <c r="D688" t="inlineStr">
        <is>
          <t>STOCKHOLMS LÄN</t>
        </is>
      </c>
      <c r="E688" t="inlineStr">
        <is>
          <t>NORRTÄLJE</t>
        </is>
      </c>
      <c r="G688" t="n">
        <v>2.2</v>
      </c>
      <c r="H688" t="n">
        <v>0</v>
      </c>
      <c r="I688" t="n">
        <v>0</v>
      </c>
      <c r="J688" t="n">
        <v>0</v>
      </c>
      <c r="K688" t="n">
        <v>0</v>
      </c>
      <c r="L688" t="n">
        <v>0</v>
      </c>
      <c r="M688" t="n">
        <v>0</v>
      </c>
      <c r="N688" t="n">
        <v>0</v>
      </c>
      <c r="O688" t="n">
        <v>0</v>
      </c>
      <c r="P688" t="n">
        <v>0</v>
      </c>
      <c r="Q688" t="n">
        <v>0</v>
      </c>
      <c r="R688" s="2" t="inlineStr"/>
    </row>
    <row r="689" ht="15" customHeight="1">
      <c r="A689" t="inlineStr">
        <is>
          <t>A 49700-2023</t>
        </is>
      </c>
      <c r="B689" s="1" t="n">
        <v>45212</v>
      </c>
      <c r="C689" s="1" t="n">
        <v>46189</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59875-2024</t>
        </is>
      </c>
      <c r="B690" s="1" t="n">
        <v>45640.58716435185</v>
      </c>
      <c r="C690" s="1" t="n">
        <v>46189</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3549-2026</t>
        </is>
      </c>
      <c r="B691" s="1" t="n">
        <v>46042</v>
      </c>
      <c r="C691" s="1" t="n">
        <v>46189</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4658-2024</t>
        </is>
      </c>
      <c r="B692" s="1" t="n">
        <v>45328.46336805556</v>
      </c>
      <c r="C692" s="1" t="n">
        <v>46189</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10642-2025</t>
        </is>
      </c>
      <c r="B693" s="1" t="n">
        <v>45721.65858796296</v>
      </c>
      <c r="C693" s="1" t="n">
        <v>46189</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24024-2024</t>
        </is>
      </c>
      <c r="B694" s="1" t="n">
        <v>45456</v>
      </c>
      <c r="C694" s="1" t="n">
        <v>46189</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3933-2026</t>
        </is>
      </c>
      <c r="B695" s="1" t="n">
        <v>46043.79916666666</v>
      </c>
      <c r="C695" s="1" t="n">
        <v>46189</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35532-2024</t>
        </is>
      </c>
      <c r="B696" s="1" t="n">
        <v>45531</v>
      </c>
      <c r="C696" s="1" t="n">
        <v>46189</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4549-2026</t>
        </is>
      </c>
      <c r="B697" s="1" t="n">
        <v>46047</v>
      </c>
      <c r="C697" s="1" t="n">
        <v>46189</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19118-2022</t>
        </is>
      </c>
      <c r="B698" s="1" t="n">
        <v>44691.5652662037</v>
      </c>
      <c r="C698" s="1" t="n">
        <v>46189</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4886-2026</t>
        </is>
      </c>
      <c r="B699" s="1" t="n">
        <v>46048.66328703704</v>
      </c>
      <c r="C699" s="1" t="n">
        <v>46189</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4230-2026</t>
        </is>
      </c>
      <c r="B700" s="1" t="n">
        <v>46044.89366898148</v>
      </c>
      <c r="C700" s="1" t="n">
        <v>46189</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4232-2026</t>
        </is>
      </c>
      <c r="B701" s="1" t="n">
        <v>46044.89594907407</v>
      </c>
      <c r="C701" s="1" t="n">
        <v>46189</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59893-2022</t>
        </is>
      </c>
      <c r="B702" s="1" t="n">
        <v>44908.77368055555</v>
      </c>
      <c r="C702" s="1" t="n">
        <v>46189</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5241-2026</t>
        </is>
      </c>
      <c r="B703" s="1" t="n">
        <v>46049.86471064815</v>
      </c>
      <c r="C703" s="1" t="n">
        <v>46189</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5224-2026</t>
        </is>
      </c>
      <c r="B704" s="1" t="n">
        <v>46049.79521990741</v>
      </c>
      <c r="C704" s="1" t="n">
        <v>46189</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5227-2026</t>
        </is>
      </c>
      <c r="B705" s="1" t="n">
        <v>46049.80460648148</v>
      </c>
      <c r="C705" s="1" t="n">
        <v>46189</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5226-2026</t>
        </is>
      </c>
      <c r="B706" s="1" t="n">
        <v>46049.79961805556</v>
      </c>
      <c r="C706" s="1" t="n">
        <v>46189</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33226-2024</t>
        </is>
      </c>
      <c r="B707" s="1" t="n">
        <v>45518</v>
      </c>
      <c r="C707" s="1" t="n">
        <v>46189</v>
      </c>
      <c r="D707" t="inlineStr">
        <is>
          <t>STOCKHOLMS LÄN</t>
        </is>
      </c>
      <c r="E707" t="inlineStr">
        <is>
          <t>NORRTÄLJE</t>
        </is>
      </c>
      <c r="G707" t="n">
        <v>13.8</v>
      </c>
      <c r="H707" t="n">
        <v>0</v>
      </c>
      <c r="I707" t="n">
        <v>0</v>
      </c>
      <c r="J707" t="n">
        <v>0</v>
      </c>
      <c r="K707" t="n">
        <v>0</v>
      </c>
      <c r="L707" t="n">
        <v>0</v>
      </c>
      <c r="M707" t="n">
        <v>0</v>
      </c>
      <c r="N707" t="n">
        <v>0</v>
      </c>
      <c r="O707" t="n">
        <v>0</v>
      </c>
      <c r="P707" t="n">
        <v>0</v>
      </c>
      <c r="Q707" t="n">
        <v>0</v>
      </c>
      <c r="R707" s="2" t="inlineStr"/>
    </row>
    <row r="708" ht="15" customHeight="1">
      <c r="A708" t="inlineStr">
        <is>
          <t>A 5934-2026</t>
        </is>
      </c>
      <c r="B708" s="1" t="n">
        <v>46052.47082175926</v>
      </c>
      <c r="C708" s="1" t="n">
        <v>46189</v>
      </c>
      <c r="D708" t="inlineStr">
        <is>
          <t>STOCKHOLMS LÄN</t>
        </is>
      </c>
      <c r="E708" t="inlineStr">
        <is>
          <t>NORRTÄLJE</t>
        </is>
      </c>
      <c r="F708" t="inlineStr">
        <is>
          <t>Holmen skog AB</t>
        </is>
      </c>
      <c r="G708" t="n">
        <v>5.5</v>
      </c>
      <c r="H708" t="n">
        <v>0</v>
      </c>
      <c r="I708" t="n">
        <v>0</v>
      </c>
      <c r="J708" t="n">
        <v>0</v>
      </c>
      <c r="K708" t="n">
        <v>0</v>
      </c>
      <c r="L708" t="n">
        <v>0</v>
      </c>
      <c r="M708" t="n">
        <v>0</v>
      </c>
      <c r="N708" t="n">
        <v>0</v>
      </c>
      <c r="O708" t="n">
        <v>0</v>
      </c>
      <c r="P708" t="n">
        <v>0</v>
      </c>
      <c r="Q708" t="n">
        <v>0</v>
      </c>
      <c r="R708" s="2" t="inlineStr"/>
    </row>
    <row r="709" ht="15" customHeight="1">
      <c r="A709" t="inlineStr">
        <is>
          <t>A 16980-2023</t>
        </is>
      </c>
      <c r="B709" s="1" t="n">
        <v>45033</v>
      </c>
      <c r="C709" s="1" t="n">
        <v>46189</v>
      </c>
      <c r="D709" t="inlineStr">
        <is>
          <t>STOCKHOLMS LÄN</t>
        </is>
      </c>
      <c r="E709" t="inlineStr">
        <is>
          <t>NORRTÄLJE</t>
        </is>
      </c>
      <c r="G709" t="n">
        <v>2.3</v>
      </c>
      <c r="H709" t="n">
        <v>0</v>
      </c>
      <c r="I709" t="n">
        <v>0</v>
      </c>
      <c r="J709" t="n">
        <v>0</v>
      </c>
      <c r="K709" t="n">
        <v>0</v>
      </c>
      <c r="L709" t="n">
        <v>0</v>
      </c>
      <c r="M709" t="n">
        <v>0</v>
      </c>
      <c r="N709" t="n">
        <v>0</v>
      </c>
      <c r="O709" t="n">
        <v>0</v>
      </c>
      <c r="P709" t="n">
        <v>0</v>
      </c>
      <c r="Q709" t="n">
        <v>0</v>
      </c>
      <c r="R709" s="2" t="inlineStr"/>
    </row>
    <row r="710" ht="15" customHeight="1">
      <c r="A710" t="inlineStr">
        <is>
          <t>A 39610-2025</t>
        </is>
      </c>
      <c r="B710" s="1" t="n">
        <v>45890</v>
      </c>
      <c r="C710" s="1" t="n">
        <v>46189</v>
      </c>
      <c r="D710" t="inlineStr">
        <is>
          <t>STOCKHOLMS LÄN</t>
        </is>
      </c>
      <c r="E710" t="inlineStr">
        <is>
          <t>NORRTÄLJE</t>
        </is>
      </c>
      <c r="G710" t="n">
        <v>28.6</v>
      </c>
      <c r="H710" t="n">
        <v>0</v>
      </c>
      <c r="I710" t="n">
        <v>0</v>
      </c>
      <c r="J710" t="n">
        <v>0</v>
      </c>
      <c r="K710" t="n">
        <v>0</v>
      </c>
      <c r="L710" t="n">
        <v>0</v>
      </c>
      <c r="M710" t="n">
        <v>0</v>
      </c>
      <c r="N710" t="n">
        <v>0</v>
      </c>
      <c r="O710" t="n">
        <v>0</v>
      </c>
      <c r="P710" t="n">
        <v>0</v>
      </c>
      <c r="Q710" t="n">
        <v>0</v>
      </c>
      <c r="R710" s="2" t="inlineStr"/>
    </row>
    <row r="711" ht="15" customHeight="1">
      <c r="A711" t="inlineStr">
        <is>
          <t>A 31107-2022</t>
        </is>
      </c>
      <c r="B711" s="1" t="n">
        <v>44769.66864583334</v>
      </c>
      <c r="C711" s="1" t="n">
        <v>46189</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43170-2023</t>
        </is>
      </c>
      <c r="B712" s="1" t="n">
        <v>45183</v>
      </c>
      <c r="C712" s="1" t="n">
        <v>46189</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6724-2026</t>
        </is>
      </c>
      <c r="B713" s="1" t="n">
        <v>46056.67717592593</v>
      </c>
      <c r="C713" s="1" t="n">
        <v>46189</v>
      </c>
      <c r="D713" t="inlineStr">
        <is>
          <t>STOCKHOLMS LÄN</t>
        </is>
      </c>
      <c r="E713" t="inlineStr">
        <is>
          <t>NORRTÄLJE</t>
        </is>
      </c>
      <c r="F713" t="inlineStr">
        <is>
          <t>Holmen skog AB</t>
        </is>
      </c>
      <c r="G713" t="n">
        <v>16.2</v>
      </c>
      <c r="H713" t="n">
        <v>0</v>
      </c>
      <c r="I713" t="n">
        <v>0</v>
      </c>
      <c r="J713" t="n">
        <v>0</v>
      </c>
      <c r="K713" t="n">
        <v>0</v>
      </c>
      <c r="L713" t="n">
        <v>0</v>
      </c>
      <c r="M713" t="n">
        <v>0</v>
      </c>
      <c r="N713" t="n">
        <v>0</v>
      </c>
      <c r="O713" t="n">
        <v>0</v>
      </c>
      <c r="P713" t="n">
        <v>0</v>
      </c>
      <c r="Q713" t="n">
        <v>0</v>
      </c>
      <c r="R713" s="2" t="inlineStr"/>
    </row>
    <row r="714" ht="15" customHeight="1">
      <c r="A714" t="inlineStr">
        <is>
          <t>A 47626-2022</t>
        </is>
      </c>
      <c r="B714" s="1" t="n">
        <v>44854</v>
      </c>
      <c r="C714" s="1" t="n">
        <v>46189</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32101-2022</t>
        </is>
      </c>
      <c r="B715" s="1" t="n">
        <v>44778.69210648148</v>
      </c>
      <c r="C715" s="1" t="n">
        <v>46189</v>
      </c>
      <c r="D715" t="inlineStr">
        <is>
          <t>STOCKHOLMS LÄN</t>
        </is>
      </c>
      <c r="E715" t="inlineStr">
        <is>
          <t>NORRTÄLJE</t>
        </is>
      </c>
      <c r="G715" t="n">
        <v>4.4</v>
      </c>
      <c r="H715" t="n">
        <v>0</v>
      </c>
      <c r="I715" t="n">
        <v>0</v>
      </c>
      <c r="J715" t="n">
        <v>0</v>
      </c>
      <c r="K715" t="n">
        <v>0</v>
      </c>
      <c r="L715" t="n">
        <v>0</v>
      </c>
      <c r="M715" t="n">
        <v>0</v>
      </c>
      <c r="N715" t="n">
        <v>0</v>
      </c>
      <c r="O715" t="n">
        <v>0</v>
      </c>
      <c r="P715" t="n">
        <v>0</v>
      </c>
      <c r="Q715" t="n">
        <v>0</v>
      </c>
      <c r="R715" s="2" t="inlineStr"/>
    </row>
    <row r="716" ht="15" customHeight="1">
      <c r="A716" t="inlineStr">
        <is>
          <t>A 28365-2022</t>
        </is>
      </c>
      <c r="B716" s="1" t="n">
        <v>44747</v>
      </c>
      <c r="C716" s="1" t="n">
        <v>46189</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42867-2022</t>
        </is>
      </c>
      <c r="B717" s="1" t="n">
        <v>44832</v>
      </c>
      <c r="C717" s="1" t="n">
        <v>46189</v>
      </c>
      <c r="D717" t="inlineStr">
        <is>
          <t>STOCKHOLMS LÄN</t>
        </is>
      </c>
      <c r="E717" t="inlineStr">
        <is>
          <t>NORRTÄLJE</t>
        </is>
      </c>
      <c r="G717" t="n">
        <v>6.4</v>
      </c>
      <c r="H717" t="n">
        <v>0</v>
      </c>
      <c r="I717" t="n">
        <v>0</v>
      </c>
      <c r="J717" t="n">
        <v>0</v>
      </c>
      <c r="K717" t="n">
        <v>0</v>
      </c>
      <c r="L717" t="n">
        <v>0</v>
      </c>
      <c r="M717" t="n">
        <v>0</v>
      </c>
      <c r="N717" t="n">
        <v>0</v>
      </c>
      <c r="O717" t="n">
        <v>0</v>
      </c>
      <c r="P717" t="n">
        <v>0</v>
      </c>
      <c r="Q717" t="n">
        <v>0</v>
      </c>
      <c r="R717" s="2" t="inlineStr"/>
    </row>
    <row r="718" ht="15" customHeight="1">
      <c r="A718" t="inlineStr">
        <is>
          <t>A 7308-2026</t>
        </is>
      </c>
      <c r="B718" s="1" t="n">
        <v>46058.66025462963</v>
      </c>
      <c r="C718" s="1" t="n">
        <v>46189</v>
      </c>
      <c r="D718" t="inlineStr">
        <is>
          <t>STOCKHOLMS LÄN</t>
        </is>
      </c>
      <c r="E718" t="inlineStr">
        <is>
          <t>NORRTÄLJE</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6838-2026</t>
        </is>
      </c>
      <c r="B719" s="1" t="n">
        <v>46057.41151620371</v>
      </c>
      <c r="C719" s="1" t="n">
        <v>46189</v>
      </c>
      <c r="D719" t="inlineStr">
        <is>
          <t>STOCKHOLMS LÄN</t>
        </is>
      </c>
      <c r="E719" t="inlineStr">
        <is>
          <t>NORRTÄLJE</t>
        </is>
      </c>
      <c r="F719" t="inlineStr">
        <is>
          <t>Holmen skog AB</t>
        </is>
      </c>
      <c r="G719" t="n">
        <v>1.7</v>
      </c>
      <c r="H719" t="n">
        <v>0</v>
      </c>
      <c r="I719" t="n">
        <v>0</v>
      </c>
      <c r="J719" t="n">
        <v>0</v>
      </c>
      <c r="K719" t="n">
        <v>0</v>
      </c>
      <c r="L719" t="n">
        <v>0</v>
      </c>
      <c r="M719" t="n">
        <v>0</v>
      </c>
      <c r="N719" t="n">
        <v>0</v>
      </c>
      <c r="O719" t="n">
        <v>0</v>
      </c>
      <c r="P719" t="n">
        <v>0</v>
      </c>
      <c r="Q719" t="n">
        <v>0</v>
      </c>
      <c r="R719" s="2" t="inlineStr"/>
    </row>
    <row r="720" ht="15" customHeight="1">
      <c r="A720" t="inlineStr">
        <is>
          <t>A 6874-2026</t>
        </is>
      </c>
      <c r="B720" s="1" t="n">
        <v>46057.45295138889</v>
      </c>
      <c r="C720" s="1" t="n">
        <v>46189</v>
      </c>
      <c r="D720" t="inlineStr">
        <is>
          <t>STOCKHOLMS LÄN</t>
        </is>
      </c>
      <c r="E720" t="inlineStr">
        <is>
          <t>NORRTÄLJE</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6828-2026</t>
        </is>
      </c>
      <c r="B721" s="1" t="n">
        <v>46057</v>
      </c>
      <c r="C721" s="1" t="n">
        <v>46189</v>
      </c>
      <c r="D721" t="inlineStr">
        <is>
          <t>STOCKHOLMS LÄN</t>
        </is>
      </c>
      <c r="E721" t="inlineStr">
        <is>
          <t>NORRTÄLJE</t>
        </is>
      </c>
      <c r="F721" t="inlineStr">
        <is>
          <t>Holmen skog AB</t>
        </is>
      </c>
      <c r="G721" t="n">
        <v>2.8</v>
      </c>
      <c r="H721" t="n">
        <v>0</v>
      </c>
      <c r="I721" t="n">
        <v>0</v>
      </c>
      <c r="J721" t="n">
        <v>0</v>
      </c>
      <c r="K721" t="n">
        <v>0</v>
      </c>
      <c r="L721" t="n">
        <v>0</v>
      </c>
      <c r="M721" t="n">
        <v>0</v>
      </c>
      <c r="N721" t="n">
        <v>0</v>
      </c>
      <c r="O721" t="n">
        <v>0</v>
      </c>
      <c r="P721" t="n">
        <v>0</v>
      </c>
      <c r="Q721" t="n">
        <v>0</v>
      </c>
      <c r="R721" s="2" t="inlineStr"/>
    </row>
    <row r="722" ht="15" customHeight="1">
      <c r="A722" t="inlineStr">
        <is>
          <t>A 7532-2026</t>
        </is>
      </c>
      <c r="B722" s="1" t="n">
        <v>46059</v>
      </c>
      <c r="C722" s="1" t="n">
        <v>46189</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17775-2022</t>
        </is>
      </c>
      <c r="B723" s="1" t="n">
        <v>44682.78430555556</v>
      </c>
      <c r="C723" s="1" t="n">
        <v>46189</v>
      </c>
      <c r="D723" t="inlineStr">
        <is>
          <t>STOCKHOLMS LÄN</t>
        </is>
      </c>
      <c r="E723" t="inlineStr">
        <is>
          <t>NORRTÄLJE</t>
        </is>
      </c>
      <c r="G723" t="n">
        <v>4.7</v>
      </c>
      <c r="H723" t="n">
        <v>0</v>
      </c>
      <c r="I723" t="n">
        <v>0</v>
      </c>
      <c r="J723" t="n">
        <v>0</v>
      </c>
      <c r="K723" t="n">
        <v>0</v>
      </c>
      <c r="L723" t="n">
        <v>0</v>
      </c>
      <c r="M723" t="n">
        <v>0</v>
      </c>
      <c r="N723" t="n">
        <v>0</v>
      </c>
      <c r="O723" t="n">
        <v>0</v>
      </c>
      <c r="P723" t="n">
        <v>0</v>
      </c>
      <c r="Q723" t="n">
        <v>0</v>
      </c>
      <c r="R723" s="2" t="inlineStr"/>
    </row>
    <row r="724" ht="15" customHeight="1">
      <c r="A724" t="inlineStr">
        <is>
          <t>A 47481-2024</t>
        </is>
      </c>
      <c r="B724" s="1" t="n">
        <v>45587</v>
      </c>
      <c r="C724" s="1" t="n">
        <v>46189</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7582-2026</t>
        </is>
      </c>
      <c r="B725" s="1" t="n">
        <v>46061</v>
      </c>
      <c r="C725" s="1" t="n">
        <v>46189</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24933-2023</t>
        </is>
      </c>
      <c r="B726" s="1" t="n">
        <v>45085.5309375</v>
      </c>
      <c r="C726" s="1" t="n">
        <v>46189</v>
      </c>
      <c r="D726" t="inlineStr">
        <is>
          <t>STOCKHOLMS LÄN</t>
        </is>
      </c>
      <c r="E726" t="inlineStr">
        <is>
          <t>NORRTÄLJE</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7793-2026</t>
        </is>
      </c>
      <c r="B727" s="1" t="n">
        <v>46062.59496527778</v>
      </c>
      <c r="C727" s="1" t="n">
        <v>46189</v>
      </c>
      <c r="D727" t="inlineStr">
        <is>
          <t>STOCKHOLMS LÄN</t>
        </is>
      </c>
      <c r="E727" t="inlineStr">
        <is>
          <t>NORRTÄLJE</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8091-2026</t>
        </is>
      </c>
      <c r="B728" s="1" t="n">
        <v>46063.70944444444</v>
      </c>
      <c r="C728" s="1" t="n">
        <v>46189</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8096-2026</t>
        </is>
      </c>
      <c r="B729" s="1" t="n">
        <v>46063.714375</v>
      </c>
      <c r="C729" s="1" t="n">
        <v>46189</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8055-2026</t>
        </is>
      </c>
      <c r="B730" s="1" t="n">
        <v>46063.62002314815</v>
      </c>
      <c r="C730" s="1" t="n">
        <v>46189</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576-2023</t>
        </is>
      </c>
      <c r="B731" s="1" t="n">
        <v>44925</v>
      </c>
      <c r="C731" s="1" t="n">
        <v>46189</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50469-2022</t>
        </is>
      </c>
      <c r="B732" s="1" t="n">
        <v>44866.49827546296</v>
      </c>
      <c r="C732" s="1" t="n">
        <v>46189</v>
      </c>
      <c r="D732" t="inlineStr">
        <is>
          <t>STOCKHOLMS LÄN</t>
        </is>
      </c>
      <c r="E732" t="inlineStr">
        <is>
          <t>NORRTÄLJE</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8454-2026</t>
        </is>
      </c>
      <c r="B733" s="1" t="n">
        <v>46065.42506944444</v>
      </c>
      <c r="C733" s="1" t="n">
        <v>46189</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8465-2026</t>
        </is>
      </c>
      <c r="B734" s="1" t="n">
        <v>46065.44141203703</v>
      </c>
      <c r="C734" s="1" t="n">
        <v>46189</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41976-2024</t>
        </is>
      </c>
      <c r="B735" s="1" t="n">
        <v>45561.62141203704</v>
      </c>
      <c r="C735" s="1" t="n">
        <v>46189</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8489-2026</t>
        </is>
      </c>
      <c r="B736" s="1" t="n">
        <v>46065.48268518518</v>
      </c>
      <c r="C736" s="1" t="n">
        <v>46189</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8985-2026</t>
        </is>
      </c>
      <c r="B737" s="1" t="n">
        <v>46069.45234953704</v>
      </c>
      <c r="C737" s="1" t="n">
        <v>46189</v>
      </c>
      <c r="D737" t="inlineStr">
        <is>
          <t>STOCKHOLMS LÄN</t>
        </is>
      </c>
      <c r="E737" t="inlineStr">
        <is>
          <t>NORRTÄLJE</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8989-2026</t>
        </is>
      </c>
      <c r="B738" s="1" t="n">
        <v>46069.45789351852</v>
      </c>
      <c r="C738" s="1" t="n">
        <v>46189</v>
      </c>
      <c r="D738" t="inlineStr">
        <is>
          <t>STOCKHOLMS LÄN</t>
        </is>
      </c>
      <c r="E738" t="inlineStr">
        <is>
          <t>NORRTÄLJE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62206-2022</t>
        </is>
      </c>
      <c r="B739" s="1" t="n">
        <v>44922</v>
      </c>
      <c r="C739" s="1" t="n">
        <v>46189</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30886-2022</t>
        </is>
      </c>
      <c r="B740" s="1" t="n">
        <v>44767.60601851852</v>
      </c>
      <c r="C740" s="1" t="n">
        <v>46189</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58989-2021</t>
        </is>
      </c>
      <c r="B741" s="1" t="n">
        <v>44490.02482638889</v>
      </c>
      <c r="C741" s="1" t="n">
        <v>46189</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58990-2021</t>
        </is>
      </c>
      <c r="B742" s="1" t="n">
        <v>44490.03621527777</v>
      </c>
      <c r="C742" s="1" t="n">
        <v>46189</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11940-2023</t>
        </is>
      </c>
      <c r="B743" s="1" t="n">
        <v>44995</v>
      </c>
      <c r="C743" s="1" t="n">
        <v>46189</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8962-2026</t>
        </is>
      </c>
      <c r="B744" s="1" t="n">
        <v>46069.41644675926</v>
      </c>
      <c r="C744" s="1" t="n">
        <v>46189</v>
      </c>
      <c r="D744" t="inlineStr">
        <is>
          <t>STOCKHOLMS LÄN</t>
        </is>
      </c>
      <c r="E744" t="inlineStr">
        <is>
          <t>NORRTÄLJE</t>
        </is>
      </c>
      <c r="F744" t="inlineStr">
        <is>
          <t>Holmen skog AB</t>
        </is>
      </c>
      <c r="G744" t="n">
        <v>4.1</v>
      </c>
      <c r="H744" t="n">
        <v>0</v>
      </c>
      <c r="I744" t="n">
        <v>0</v>
      </c>
      <c r="J744" t="n">
        <v>0</v>
      </c>
      <c r="K744" t="n">
        <v>0</v>
      </c>
      <c r="L744" t="n">
        <v>0</v>
      </c>
      <c r="M744" t="n">
        <v>0</v>
      </c>
      <c r="N744" t="n">
        <v>0</v>
      </c>
      <c r="O744" t="n">
        <v>0</v>
      </c>
      <c r="P744" t="n">
        <v>0</v>
      </c>
      <c r="Q744" t="n">
        <v>0</v>
      </c>
      <c r="R744" s="2" t="inlineStr"/>
    </row>
    <row r="745" ht="15" customHeight="1">
      <c r="A745" t="inlineStr">
        <is>
          <t>A 29266-2022</t>
        </is>
      </c>
      <c r="B745" s="1" t="n">
        <v>44750.66068287037</v>
      </c>
      <c r="C745" s="1" t="n">
        <v>46189</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29278-2022</t>
        </is>
      </c>
      <c r="B746" s="1" t="n">
        <v>44750</v>
      </c>
      <c r="C746" s="1" t="n">
        <v>46189</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6401-2024</t>
        </is>
      </c>
      <c r="B747" s="1" t="n">
        <v>45338</v>
      </c>
      <c r="C747" s="1" t="n">
        <v>46189</v>
      </c>
      <c r="D747" t="inlineStr">
        <is>
          <t>STOCKHOLMS LÄN</t>
        </is>
      </c>
      <c r="E747" t="inlineStr">
        <is>
          <t>NORRTÄLJE</t>
        </is>
      </c>
      <c r="G747" t="n">
        <v>2.2</v>
      </c>
      <c r="H747" t="n">
        <v>0</v>
      </c>
      <c r="I747" t="n">
        <v>0</v>
      </c>
      <c r="J747" t="n">
        <v>0</v>
      </c>
      <c r="K747" t="n">
        <v>0</v>
      </c>
      <c r="L747" t="n">
        <v>0</v>
      </c>
      <c r="M747" t="n">
        <v>0</v>
      </c>
      <c r="N747" t="n">
        <v>0</v>
      </c>
      <c r="O747" t="n">
        <v>0</v>
      </c>
      <c r="P747" t="n">
        <v>0</v>
      </c>
      <c r="Q747" t="n">
        <v>0</v>
      </c>
      <c r="R747" s="2" t="inlineStr"/>
    </row>
    <row r="748" ht="15" customHeight="1">
      <c r="A748" t="inlineStr">
        <is>
          <t>A 24501-2023</t>
        </is>
      </c>
      <c r="B748" s="1" t="n">
        <v>45082</v>
      </c>
      <c r="C748" s="1" t="n">
        <v>46189</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24520-2023</t>
        </is>
      </c>
      <c r="B749" s="1" t="n">
        <v>45082.68922453704</v>
      </c>
      <c r="C749" s="1" t="n">
        <v>46189</v>
      </c>
      <c r="D749" t="inlineStr">
        <is>
          <t>STOCKHOLMS LÄN</t>
        </is>
      </c>
      <c r="E749" t="inlineStr">
        <is>
          <t>NORRTÄLJE</t>
        </is>
      </c>
      <c r="G749" t="n">
        <v>4.3</v>
      </c>
      <c r="H749" t="n">
        <v>0</v>
      </c>
      <c r="I749" t="n">
        <v>0</v>
      </c>
      <c r="J749" t="n">
        <v>0</v>
      </c>
      <c r="K749" t="n">
        <v>0</v>
      </c>
      <c r="L749" t="n">
        <v>0</v>
      </c>
      <c r="M749" t="n">
        <v>0</v>
      </c>
      <c r="N749" t="n">
        <v>0</v>
      </c>
      <c r="O749" t="n">
        <v>0</v>
      </c>
      <c r="P749" t="n">
        <v>0</v>
      </c>
      <c r="Q749" t="n">
        <v>0</v>
      </c>
      <c r="R749" s="2" t="inlineStr"/>
    </row>
    <row r="750" ht="15" customHeight="1">
      <c r="A750" t="inlineStr">
        <is>
          <t>A 9720-2026</t>
        </is>
      </c>
      <c r="B750" s="1" t="n">
        <v>46072.45061342593</v>
      </c>
      <c r="C750" s="1" t="n">
        <v>46189</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10399-2026</t>
        </is>
      </c>
      <c r="B751" s="1" t="n">
        <v>46077</v>
      </c>
      <c r="C751" s="1" t="n">
        <v>46189</v>
      </c>
      <c r="D751" t="inlineStr">
        <is>
          <t>STOCKHOLMS LÄN</t>
        </is>
      </c>
      <c r="E751" t="inlineStr">
        <is>
          <t>NORRTÄLJE</t>
        </is>
      </c>
      <c r="F751" t="inlineStr">
        <is>
          <t>Övriga Aktiebolag</t>
        </is>
      </c>
      <c r="G751" t="n">
        <v>0.2</v>
      </c>
      <c r="H751" t="n">
        <v>0</v>
      </c>
      <c r="I751" t="n">
        <v>0</v>
      </c>
      <c r="J751" t="n">
        <v>0</v>
      </c>
      <c r="K751" t="n">
        <v>0</v>
      </c>
      <c r="L751" t="n">
        <v>0</v>
      </c>
      <c r="M751" t="n">
        <v>0</v>
      </c>
      <c r="N751" t="n">
        <v>0</v>
      </c>
      <c r="O751" t="n">
        <v>0</v>
      </c>
      <c r="P751" t="n">
        <v>0</v>
      </c>
      <c r="Q751" t="n">
        <v>0</v>
      </c>
      <c r="R751" s="2" t="inlineStr"/>
    </row>
    <row r="752" ht="15" customHeight="1">
      <c r="A752" t="inlineStr">
        <is>
          <t>A 10429-2026</t>
        </is>
      </c>
      <c r="B752" s="1" t="n">
        <v>46077.3822337963</v>
      </c>
      <c r="C752" s="1" t="n">
        <v>46189</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10586-2026</t>
        </is>
      </c>
      <c r="B753" s="1" t="n">
        <v>46077.68192129629</v>
      </c>
      <c r="C753" s="1" t="n">
        <v>46189</v>
      </c>
      <c r="D753" t="inlineStr">
        <is>
          <t>STOCKHOLMS LÄN</t>
        </is>
      </c>
      <c r="E753" t="inlineStr">
        <is>
          <t>NORRTÄLJE</t>
        </is>
      </c>
      <c r="F753" t="inlineStr">
        <is>
          <t>Holmen skog AB</t>
        </is>
      </c>
      <c r="G753" t="n">
        <v>3.3</v>
      </c>
      <c r="H753" t="n">
        <v>0</v>
      </c>
      <c r="I753" t="n">
        <v>0</v>
      </c>
      <c r="J753" t="n">
        <v>0</v>
      </c>
      <c r="K753" t="n">
        <v>0</v>
      </c>
      <c r="L753" t="n">
        <v>0</v>
      </c>
      <c r="M753" t="n">
        <v>0</v>
      </c>
      <c r="N753" t="n">
        <v>0</v>
      </c>
      <c r="O753" t="n">
        <v>0</v>
      </c>
      <c r="P753" t="n">
        <v>0</v>
      </c>
      <c r="Q753" t="n">
        <v>0</v>
      </c>
      <c r="R753" s="2" t="inlineStr"/>
    </row>
    <row r="754" ht="15" customHeight="1">
      <c r="A754" t="inlineStr">
        <is>
          <t>A 10444-2026</t>
        </is>
      </c>
      <c r="B754" s="1" t="n">
        <v>46077.42230324074</v>
      </c>
      <c r="C754" s="1" t="n">
        <v>46189</v>
      </c>
      <c r="D754" t="inlineStr">
        <is>
          <t>STOCKHOLMS LÄN</t>
        </is>
      </c>
      <c r="E754" t="inlineStr">
        <is>
          <t>NORRTÄLJE</t>
        </is>
      </c>
      <c r="F754" t="inlineStr">
        <is>
          <t>Holmen skog AB</t>
        </is>
      </c>
      <c r="G754" t="n">
        <v>4.9</v>
      </c>
      <c r="H754" t="n">
        <v>0</v>
      </c>
      <c r="I754" t="n">
        <v>0</v>
      </c>
      <c r="J754" t="n">
        <v>0</v>
      </c>
      <c r="K754" t="n">
        <v>0</v>
      </c>
      <c r="L754" t="n">
        <v>0</v>
      </c>
      <c r="M754" t="n">
        <v>0</v>
      </c>
      <c r="N754" t="n">
        <v>0</v>
      </c>
      <c r="O754" t="n">
        <v>0</v>
      </c>
      <c r="P754" t="n">
        <v>0</v>
      </c>
      <c r="Q754" t="n">
        <v>0</v>
      </c>
      <c r="R754" s="2" t="inlineStr"/>
    </row>
    <row r="755" ht="15" customHeight="1">
      <c r="A755" t="inlineStr">
        <is>
          <t>A 10553-2026</t>
        </is>
      </c>
      <c r="B755" s="1" t="n">
        <v>46077.62944444444</v>
      </c>
      <c r="C755" s="1" t="n">
        <v>46189</v>
      </c>
      <c r="D755" t="inlineStr">
        <is>
          <t>STOCKHOLMS LÄN</t>
        </is>
      </c>
      <c r="E755" t="inlineStr">
        <is>
          <t>NORRTÄLJE</t>
        </is>
      </c>
      <c r="G755" t="n">
        <v>4.9</v>
      </c>
      <c r="H755" t="n">
        <v>0</v>
      </c>
      <c r="I755" t="n">
        <v>0</v>
      </c>
      <c r="J755" t="n">
        <v>0</v>
      </c>
      <c r="K755" t="n">
        <v>0</v>
      </c>
      <c r="L755" t="n">
        <v>0</v>
      </c>
      <c r="M755" t="n">
        <v>0</v>
      </c>
      <c r="N755" t="n">
        <v>0</v>
      </c>
      <c r="O755" t="n">
        <v>0</v>
      </c>
      <c r="P755" t="n">
        <v>0</v>
      </c>
      <c r="Q755" t="n">
        <v>0</v>
      </c>
      <c r="R755" s="2" t="inlineStr"/>
    </row>
    <row r="756" ht="15" customHeight="1">
      <c r="A756" t="inlineStr">
        <is>
          <t>A 38612-2022</t>
        </is>
      </c>
      <c r="B756" s="1" t="n">
        <v>44813</v>
      </c>
      <c r="C756" s="1" t="n">
        <v>46189</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33040-2021</t>
        </is>
      </c>
      <c r="B757" s="1" t="n">
        <v>44376.50728009259</v>
      </c>
      <c r="C757" s="1" t="n">
        <v>46189</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26117-2024</t>
        </is>
      </c>
      <c r="B758" s="1" t="n">
        <v>45468.45877314815</v>
      </c>
      <c r="C758" s="1" t="n">
        <v>46189</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61113-2023</t>
        </is>
      </c>
      <c r="B759" s="1" t="n">
        <v>45261</v>
      </c>
      <c r="C759" s="1" t="n">
        <v>46189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59310-2023</t>
        </is>
      </c>
      <c r="B760" s="1" t="n">
        <v>45253.61146990741</v>
      </c>
      <c r="C760" s="1" t="n">
        <v>46189</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55010-2024</t>
        </is>
      </c>
      <c r="B761" s="1" t="n">
        <v>45621.34425925926</v>
      </c>
      <c r="C761" s="1" t="n">
        <v>46189</v>
      </c>
      <c r="D761" t="inlineStr">
        <is>
          <t>STOCKHOLMS LÄN</t>
        </is>
      </c>
      <c r="E761" t="inlineStr">
        <is>
          <t>NORRTÄLJE</t>
        </is>
      </c>
      <c r="F761" t="inlineStr">
        <is>
          <t>Sveaskog</t>
        </is>
      </c>
      <c r="G761" t="n">
        <v>5.7</v>
      </c>
      <c r="H761" t="n">
        <v>0</v>
      </c>
      <c r="I761" t="n">
        <v>0</v>
      </c>
      <c r="J761" t="n">
        <v>0</v>
      </c>
      <c r="K761" t="n">
        <v>0</v>
      </c>
      <c r="L761" t="n">
        <v>0</v>
      </c>
      <c r="M761" t="n">
        <v>0</v>
      </c>
      <c r="N761" t="n">
        <v>0</v>
      </c>
      <c r="O761" t="n">
        <v>0</v>
      </c>
      <c r="P761" t="n">
        <v>0</v>
      </c>
      <c r="Q761" t="n">
        <v>0</v>
      </c>
      <c r="R761" s="2" t="inlineStr"/>
    </row>
    <row r="762" ht="15" customHeight="1">
      <c r="A762" t="inlineStr">
        <is>
          <t>A 55018-2024</t>
        </is>
      </c>
      <c r="B762" s="1" t="n">
        <v>45621.35712962963</v>
      </c>
      <c r="C762" s="1" t="n">
        <v>46189</v>
      </c>
      <c r="D762" t="inlineStr">
        <is>
          <t>STOCKHOLMS LÄN</t>
        </is>
      </c>
      <c r="E762" t="inlineStr">
        <is>
          <t>NORRTÄLJE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10646-2026</t>
        </is>
      </c>
      <c r="B763" s="1" t="n">
        <v>46078.34157407407</v>
      </c>
      <c r="C763" s="1" t="n">
        <v>46189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1847-2023</t>
        </is>
      </c>
      <c r="B764" s="1" t="n">
        <v>44938</v>
      </c>
      <c r="C764" s="1" t="n">
        <v>46189</v>
      </c>
      <c r="D764" t="inlineStr">
        <is>
          <t>STOCKHOLMS LÄN</t>
        </is>
      </c>
      <c r="E764" t="inlineStr">
        <is>
          <t>NORRTÄLJE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29362-2022</t>
        </is>
      </c>
      <c r="B765" s="1" t="n">
        <v>44753</v>
      </c>
      <c r="C765" s="1" t="n">
        <v>46189</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20291-2022</t>
        </is>
      </c>
      <c r="B766" s="1" t="n">
        <v>44698</v>
      </c>
      <c r="C766" s="1" t="n">
        <v>46189</v>
      </c>
      <c r="D766" t="inlineStr">
        <is>
          <t>STOCKHOLMS LÄN</t>
        </is>
      </c>
      <c r="E766" t="inlineStr">
        <is>
          <t>NORRTÄLJE</t>
        </is>
      </c>
      <c r="F766" t="inlineStr">
        <is>
          <t>Naturvårdsverket</t>
        </is>
      </c>
      <c r="G766" t="n">
        <v>2</v>
      </c>
      <c r="H766" t="n">
        <v>0</v>
      </c>
      <c r="I766" t="n">
        <v>0</v>
      </c>
      <c r="J766" t="n">
        <v>0</v>
      </c>
      <c r="K766" t="n">
        <v>0</v>
      </c>
      <c r="L766" t="n">
        <v>0</v>
      </c>
      <c r="M766" t="n">
        <v>0</v>
      </c>
      <c r="N766" t="n">
        <v>0</v>
      </c>
      <c r="O766" t="n">
        <v>0</v>
      </c>
      <c r="P766" t="n">
        <v>0</v>
      </c>
      <c r="Q766" t="n">
        <v>0</v>
      </c>
      <c r="R766" s="2" t="inlineStr"/>
    </row>
    <row r="767" ht="15" customHeight="1">
      <c r="A767" t="inlineStr">
        <is>
          <t>A 31926-2022</t>
        </is>
      </c>
      <c r="B767" s="1" t="n">
        <v>44777</v>
      </c>
      <c r="C767" s="1" t="n">
        <v>46189</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1425-2025</t>
        </is>
      </c>
      <c r="B768" s="1" t="n">
        <v>45668.67446759259</v>
      </c>
      <c r="C768" s="1" t="n">
        <v>46189</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1453-2025</t>
        </is>
      </c>
      <c r="B769" s="1" t="n">
        <v>45670.3079050926</v>
      </c>
      <c r="C769" s="1" t="n">
        <v>46189</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13860-2023</t>
        </is>
      </c>
      <c r="B770" s="1" t="n">
        <v>45007</v>
      </c>
      <c r="C770" s="1" t="n">
        <v>46189</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6070-2022</t>
        </is>
      </c>
      <c r="B771" s="1" t="n">
        <v>44599.58428240741</v>
      </c>
      <c r="C771" s="1" t="n">
        <v>46189</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27828-2022</t>
        </is>
      </c>
      <c r="B772" s="1" t="n">
        <v>44743.59765046297</v>
      </c>
      <c r="C772" s="1" t="n">
        <v>46189</v>
      </c>
      <c r="D772" t="inlineStr">
        <is>
          <t>STOCKHOLMS LÄN</t>
        </is>
      </c>
      <c r="E772" t="inlineStr">
        <is>
          <t>NORRTÄLJE</t>
        </is>
      </c>
      <c r="F772" t="inlineStr">
        <is>
          <t>Kommuner</t>
        </is>
      </c>
      <c r="G772" t="n">
        <v>1.6</v>
      </c>
      <c r="H772" t="n">
        <v>0</v>
      </c>
      <c r="I772" t="n">
        <v>0</v>
      </c>
      <c r="J772" t="n">
        <v>0</v>
      </c>
      <c r="K772" t="n">
        <v>0</v>
      </c>
      <c r="L772" t="n">
        <v>0</v>
      </c>
      <c r="M772" t="n">
        <v>0</v>
      </c>
      <c r="N772" t="n">
        <v>0</v>
      </c>
      <c r="O772" t="n">
        <v>0</v>
      </c>
      <c r="P772" t="n">
        <v>0</v>
      </c>
      <c r="Q772" t="n">
        <v>0</v>
      </c>
      <c r="R772" s="2" t="inlineStr"/>
    </row>
    <row r="773" ht="15" customHeight="1">
      <c r="A773" t="inlineStr">
        <is>
          <t>A 11648-2026</t>
        </is>
      </c>
      <c r="B773" s="1" t="n">
        <v>46084.51575231482</v>
      </c>
      <c r="C773" s="1" t="n">
        <v>46189</v>
      </c>
      <c r="D773" t="inlineStr">
        <is>
          <t>STOCKHOLMS LÄN</t>
        </is>
      </c>
      <c r="E773" t="inlineStr">
        <is>
          <t>NORRTÄLJE</t>
        </is>
      </c>
      <c r="G773" t="n">
        <v>4.1</v>
      </c>
      <c r="H773" t="n">
        <v>0</v>
      </c>
      <c r="I773" t="n">
        <v>0</v>
      </c>
      <c r="J773" t="n">
        <v>0</v>
      </c>
      <c r="K773" t="n">
        <v>0</v>
      </c>
      <c r="L773" t="n">
        <v>0</v>
      </c>
      <c r="M773" t="n">
        <v>0</v>
      </c>
      <c r="N773" t="n">
        <v>0</v>
      </c>
      <c r="O773" t="n">
        <v>0</v>
      </c>
      <c r="P773" t="n">
        <v>0</v>
      </c>
      <c r="Q773" t="n">
        <v>0</v>
      </c>
      <c r="R773" s="2" t="inlineStr"/>
    </row>
    <row r="774" ht="15" customHeight="1">
      <c r="A774" t="inlineStr">
        <is>
          <t>A 59873-2024</t>
        </is>
      </c>
      <c r="B774" s="1" t="n">
        <v>45640.57305555556</v>
      </c>
      <c r="C774" s="1" t="n">
        <v>46189</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12234-2026</t>
        </is>
      </c>
      <c r="B775" s="1" t="n">
        <v>46087.4091087963</v>
      </c>
      <c r="C775" s="1" t="n">
        <v>46189</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48161-2022</t>
        </is>
      </c>
      <c r="B776" s="1" t="n">
        <v>44858</v>
      </c>
      <c r="C776" s="1" t="n">
        <v>46189</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43150-2023</t>
        </is>
      </c>
      <c r="B777" s="1" t="n">
        <v>45183</v>
      </c>
      <c r="C777" s="1" t="n">
        <v>46189</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23307-2024</t>
        </is>
      </c>
      <c r="B778" s="1" t="n">
        <v>45453</v>
      </c>
      <c r="C778" s="1" t="n">
        <v>46189</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2281-2024</t>
        </is>
      </c>
      <c r="B779" s="1" t="n">
        <v>45310.40628472222</v>
      </c>
      <c r="C779" s="1" t="n">
        <v>46189</v>
      </c>
      <c r="D779" t="inlineStr">
        <is>
          <t>STOCKHOLMS LÄN</t>
        </is>
      </c>
      <c r="E779" t="inlineStr">
        <is>
          <t>NORRTÄLJE</t>
        </is>
      </c>
      <c r="G779" t="n">
        <v>2.7</v>
      </c>
      <c r="H779" t="n">
        <v>0</v>
      </c>
      <c r="I779" t="n">
        <v>0</v>
      </c>
      <c r="J779" t="n">
        <v>0</v>
      </c>
      <c r="K779" t="n">
        <v>0</v>
      </c>
      <c r="L779" t="n">
        <v>0</v>
      </c>
      <c r="M779" t="n">
        <v>0</v>
      </c>
      <c r="N779" t="n">
        <v>0</v>
      </c>
      <c r="O779" t="n">
        <v>0</v>
      </c>
      <c r="P779" t="n">
        <v>0</v>
      </c>
      <c r="Q779" t="n">
        <v>0</v>
      </c>
      <c r="R779" s="2" t="inlineStr"/>
    </row>
    <row r="780" ht="15" customHeight="1">
      <c r="A780" t="inlineStr">
        <is>
          <t>A 2287-2024</t>
        </is>
      </c>
      <c r="B780" s="1" t="n">
        <v>45310</v>
      </c>
      <c r="C780" s="1" t="n">
        <v>46189</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20618-2022</t>
        </is>
      </c>
      <c r="B781" s="1" t="n">
        <v>44700.50659722222</v>
      </c>
      <c r="C781" s="1" t="n">
        <v>46189</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59504-2023</t>
        </is>
      </c>
      <c r="B782" s="1" t="n">
        <v>45254</v>
      </c>
      <c r="C782" s="1" t="n">
        <v>46189</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13109-2026</t>
        </is>
      </c>
      <c r="B783" s="1" t="n">
        <v>46093.42730324074</v>
      </c>
      <c r="C783" s="1" t="n">
        <v>46189</v>
      </c>
      <c r="D783" t="inlineStr">
        <is>
          <t>STOCKHOLMS LÄN</t>
        </is>
      </c>
      <c r="E783" t="inlineStr">
        <is>
          <t>NORRTÄLJE</t>
        </is>
      </c>
      <c r="G783" t="n">
        <v>4</v>
      </c>
      <c r="H783" t="n">
        <v>0</v>
      </c>
      <c r="I783" t="n">
        <v>0</v>
      </c>
      <c r="J783" t="n">
        <v>0</v>
      </c>
      <c r="K783" t="n">
        <v>0</v>
      </c>
      <c r="L783" t="n">
        <v>0</v>
      </c>
      <c r="M783" t="n">
        <v>0</v>
      </c>
      <c r="N783" t="n">
        <v>0</v>
      </c>
      <c r="O783" t="n">
        <v>0</v>
      </c>
      <c r="P783" t="n">
        <v>0</v>
      </c>
      <c r="Q783" t="n">
        <v>0</v>
      </c>
      <c r="R783" s="2" t="inlineStr"/>
    </row>
    <row r="784" ht="15" customHeight="1">
      <c r="A784" t="inlineStr">
        <is>
          <t>A 25656-2023</t>
        </is>
      </c>
      <c r="B784" s="1" t="n">
        <v>45089</v>
      </c>
      <c r="C784" s="1" t="n">
        <v>46189</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38049-2023</t>
        </is>
      </c>
      <c r="B785" s="1" t="n">
        <v>45159</v>
      </c>
      <c r="C785" s="1" t="n">
        <v>46189</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13204-2026</t>
        </is>
      </c>
      <c r="B786" s="1" t="n">
        <v>46093.60788194444</v>
      </c>
      <c r="C786" s="1" t="n">
        <v>46189</v>
      </c>
      <c r="D786" t="inlineStr">
        <is>
          <t>STOCKHOLMS LÄN</t>
        </is>
      </c>
      <c r="E786" t="inlineStr">
        <is>
          <t>NORRTÄLJE</t>
        </is>
      </c>
      <c r="G786" t="n">
        <v>3.5</v>
      </c>
      <c r="H786" t="n">
        <v>0</v>
      </c>
      <c r="I786" t="n">
        <v>0</v>
      </c>
      <c r="J786" t="n">
        <v>0</v>
      </c>
      <c r="K786" t="n">
        <v>0</v>
      </c>
      <c r="L786" t="n">
        <v>0</v>
      </c>
      <c r="M786" t="n">
        <v>0</v>
      </c>
      <c r="N786" t="n">
        <v>0</v>
      </c>
      <c r="O786" t="n">
        <v>0</v>
      </c>
      <c r="P786" t="n">
        <v>0</v>
      </c>
      <c r="Q786" t="n">
        <v>0</v>
      </c>
      <c r="R786" s="2" t="inlineStr"/>
    </row>
    <row r="787" ht="15" customHeight="1">
      <c r="A787" t="inlineStr">
        <is>
          <t>A 3966-2024</t>
        </is>
      </c>
      <c r="B787" s="1" t="n">
        <v>45322</v>
      </c>
      <c r="C787" s="1" t="n">
        <v>46189</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13544-2026</t>
        </is>
      </c>
      <c r="B788" s="1" t="n">
        <v>46094.68538194444</v>
      </c>
      <c r="C788" s="1" t="n">
        <v>46189</v>
      </c>
      <c r="D788" t="inlineStr">
        <is>
          <t>STOCKHOLMS LÄN</t>
        </is>
      </c>
      <c r="E788" t="inlineStr">
        <is>
          <t>NORRTÄLJE</t>
        </is>
      </c>
      <c r="F788" t="inlineStr">
        <is>
          <t>Holmen skog AB</t>
        </is>
      </c>
      <c r="G788" t="n">
        <v>3.2</v>
      </c>
      <c r="H788" t="n">
        <v>0</v>
      </c>
      <c r="I788" t="n">
        <v>0</v>
      </c>
      <c r="J788" t="n">
        <v>0</v>
      </c>
      <c r="K788" t="n">
        <v>0</v>
      </c>
      <c r="L788" t="n">
        <v>0</v>
      </c>
      <c r="M788" t="n">
        <v>0</v>
      </c>
      <c r="N788" t="n">
        <v>0</v>
      </c>
      <c r="O788" t="n">
        <v>0</v>
      </c>
      <c r="P788" t="n">
        <v>0</v>
      </c>
      <c r="Q788" t="n">
        <v>0</v>
      </c>
      <c r="R788" s="2" t="inlineStr"/>
    </row>
    <row r="789" ht="15" customHeight="1">
      <c r="A789" t="inlineStr">
        <is>
          <t>A 17348-2024</t>
        </is>
      </c>
      <c r="B789" s="1" t="n">
        <v>45414.58650462963</v>
      </c>
      <c r="C789" s="1" t="n">
        <v>46189</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13545-2026</t>
        </is>
      </c>
      <c r="B790" s="1" t="n">
        <v>46094.6911574074</v>
      </c>
      <c r="C790" s="1" t="n">
        <v>46189</v>
      </c>
      <c r="D790" t="inlineStr">
        <is>
          <t>STOCKHOLMS LÄN</t>
        </is>
      </c>
      <c r="E790" t="inlineStr">
        <is>
          <t>NORRTÄLJE</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38591-2023</t>
        </is>
      </c>
      <c r="B791" s="1" t="n">
        <v>45162</v>
      </c>
      <c r="C791" s="1" t="n">
        <v>46189</v>
      </c>
      <c r="D791" t="inlineStr">
        <is>
          <t>STOCKHOLMS LÄN</t>
        </is>
      </c>
      <c r="E791" t="inlineStr">
        <is>
          <t>NORRTÄLJE</t>
        </is>
      </c>
      <c r="F791" t="inlineStr">
        <is>
          <t>Övriga Aktiebolag</t>
        </is>
      </c>
      <c r="G791" t="n">
        <v>3.1</v>
      </c>
      <c r="H791" t="n">
        <v>0</v>
      </c>
      <c r="I791" t="n">
        <v>0</v>
      </c>
      <c r="J791" t="n">
        <v>0</v>
      </c>
      <c r="K791" t="n">
        <v>0</v>
      </c>
      <c r="L791" t="n">
        <v>0</v>
      </c>
      <c r="M791" t="n">
        <v>0</v>
      </c>
      <c r="N791" t="n">
        <v>0</v>
      </c>
      <c r="O791" t="n">
        <v>0</v>
      </c>
      <c r="P791" t="n">
        <v>0</v>
      </c>
      <c r="Q791" t="n">
        <v>0</v>
      </c>
      <c r="R791" s="2" t="inlineStr"/>
    </row>
    <row r="792" ht="15" customHeight="1">
      <c r="A792" t="inlineStr">
        <is>
          <t>A 13546-2026</t>
        </is>
      </c>
      <c r="B792" s="1" t="n">
        <v>46094.69196759259</v>
      </c>
      <c r="C792" s="1" t="n">
        <v>46189</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34461-2023</t>
        </is>
      </c>
      <c r="B793" s="1" t="n">
        <v>45139</v>
      </c>
      <c r="C793" s="1" t="n">
        <v>46189</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24522-2023</t>
        </is>
      </c>
      <c r="B794" s="1" t="n">
        <v>45082.69179398148</v>
      </c>
      <c r="C794" s="1" t="n">
        <v>46189</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14348-2026</t>
        </is>
      </c>
      <c r="B795" s="1" t="n">
        <v>46100.34112268518</v>
      </c>
      <c r="C795" s="1" t="n">
        <v>46189</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29176-2024</t>
        </is>
      </c>
      <c r="B796" s="1" t="n">
        <v>45482.53388888889</v>
      </c>
      <c r="C796" s="1" t="n">
        <v>46189</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14475-2026</t>
        </is>
      </c>
      <c r="B797" s="1" t="n">
        <v>46100.57251157407</v>
      </c>
      <c r="C797" s="1" t="n">
        <v>46189</v>
      </c>
      <c r="D797" t="inlineStr">
        <is>
          <t>STOCKHOLMS LÄN</t>
        </is>
      </c>
      <c r="E797" t="inlineStr">
        <is>
          <t>NORRTÄLJE</t>
        </is>
      </c>
      <c r="G797" t="n">
        <v>12.3</v>
      </c>
      <c r="H797" t="n">
        <v>0</v>
      </c>
      <c r="I797" t="n">
        <v>0</v>
      </c>
      <c r="J797" t="n">
        <v>0</v>
      </c>
      <c r="K797" t="n">
        <v>0</v>
      </c>
      <c r="L797" t="n">
        <v>0</v>
      </c>
      <c r="M797" t="n">
        <v>0</v>
      </c>
      <c r="N797" t="n">
        <v>0</v>
      </c>
      <c r="O797" t="n">
        <v>0</v>
      </c>
      <c r="P797" t="n">
        <v>0</v>
      </c>
      <c r="Q797" t="n">
        <v>0</v>
      </c>
      <c r="R797" s="2" t="inlineStr"/>
    </row>
    <row r="798" ht="15" customHeight="1">
      <c r="A798" t="inlineStr">
        <is>
          <t>A 4596-2023</t>
        </is>
      </c>
      <c r="B798" s="1" t="n">
        <v>44956</v>
      </c>
      <c r="C798" s="1" t="n">
        <v>46189</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4438-2023</t>
        </is>
      </c>
      <c r="B799" s="1" t="n">
        <v>44956</v>
      </c>
      <c r="C799" s="1" t="n">
        <v>46189</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24727-2023</t>
        </is>
      </c>
      <c r="B800" s="1" t="n">
        <v>45084.57695601852</v>
      </c>
      <c r="C800" s="1" t="n">
        <v>46189</v>
      </c>
      <c r="D800" t="inlineStr">
        <is>
          <t>STOCKHOLMS LÄN</t>
        </is>
      </c>
      <c r="E800" t="inlineStr">
        <is>
          <t>NORRTÄLJE</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59904-2023</t>
        </is>
      </c>
      <c r="B801" s="1" t="n">
        <v>45257</v>
      </c>
      <c r="C801" s="1" t="n">
        <v>46189</v>
      </c>
      <c r="D801" t="inlineStr">
        <is>
          <t>STOCKHOLMS LÄN</t>
        </is>
      </c>
      <c r="E801" t="inlineStr">
        <is>
          <t>NORRTÄLJE</t>
        </is>
      </c>
      <c r="G801" t="n">
        <v>17.4</v>
      </c>
      <c r="H801" t="n">
        <v>0</v>
      </c>
      <c r="I801" t="n">
        <v>0</v>
      </c>
      <c r="J801" t="n">
        <v>0</v>
      </c>
      <c r="K801" t="n">
        <v>0</v>
      </c>
      <c r="L801" t="n">
        <v>0</v>
      </c>
      <c r="M801" t="n">
        <v>0</v>
      </c>
      <c r="N801" t="n">
        <v>0</v>
      </c>
      <c r="O801" t="n">
        <v>0</v>
      </c>
      <c r="P801" t="n">
        <v>0</v>
      </c>
      <c r="Q801" t="n">
        <v>0</v>
      </c>
      <c r="R801" s="2" t="inlineStr"/>
    </row>
    <row r="802" ht="15" customHeight="1">
      <c r="A802" t="inlineStr">
        <is>
          <t>A 36308-2022</t>
        </is>
      </c>
      <c r="B802" s="1" t="n">
        <v>44803</v>
      </c>
      <c r="C802" s="1" t="n">
        <v>46189</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46189</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21818-2026</t>
        </is>
      </c>
      <c r="B804" s="1" t="n">
        <v>46150.47383101852</v>
      </c>
      <c r="C804" s="1" t="n">
        <v>46189</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21786-2026</t>
        </is>
      </c>
      <c r="B805" s="1" t="n">
        <v>46150.3862037037</v>
      </c>
      <c r="C805" s="1" t="n">
        <v>46189</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21820-2026</t>
        </is>
      </c>
      <c r="B806" s="1" t="n">
        <v>46150.4799537037</v>
      </c>
      <c r="C806" s="1" t="n">
        <v>46189</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50108-2021</t>
        </is>
      </c>
      <c r="B807" s="1" t="n">
        <v>44456</v>
      </c>
      <c r="C807" s="1" t="n">
        <v>46189</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16243-2026</t>
        </is>
      </c>
      <c r="B808" s="1" t="n">
        <v>46111.45902777778</v>
      </c>
      <c r="C808" s="1" t="n">
        <v>46189</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20304-2023</t>
        </is>
      </c>
      <c r="B809" s="1" t="n">
        <v>45056</v>
      </c>
      <c r="C809" s="1" t="n">
        <v>46189</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16229-2026</t>
        </is>
      </c>
      <c r="B810" s="1" t="n">
        <v>46111.45084490741</v>
      </c>
      <c r="C810" s="1" t="n">
        <v>46189</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35235-2024</t>
        </is>
      </c>
      <c r="B811" s="1" t="n">
        <v>45530</v>
      </c>
      <c r="C811" s="1" t="n">
        <v>46189</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21780-2026</t>
        </is>
      </c>
      <c r="B812" s="1" t="n">
        <v>46150.37418981481</v>
      </c>
      <c r="C812" s="1" t="n">
        <v>46189</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21815-2026</t>
        </is>
      </c>
      <c r="B813" s="1" t="n">
        <v>46150.47024305556</v>
      </c>
      <c r="C813" s="1" t="n">
        <v>46189</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51061-2023</t>
        </is>
      </c>
      <c r="B814" s="1" t="n">
        <v>45218.65849537037</v>
      </c>
      <c r="C814" s="1" t="n">
        <v>46189</v>
      </c>
      <c r="D814" t="inlineStr">
        <is>
          <t>STOCKHOLMS LÄN</t>
        </is>
      </c>
      <c r="E814" t="inlineStr">
        <is>
          <t>NORRTÄLJE</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39213-2022</t>
        </is>
      </c>
      <c r="B815" s="1" t="n">
        <v>44817.56120370371</v>
      </c>
      <c r="C815" s="1" t="n">
        <v>46189</v>
      </c>
      <c r="D815" t="inlineStr">
        <is>
          <t>STOCKHOLMS LÄN</t>
        </is>
      </c>
      <c r="E815" t="inlineStr">
        <is>
          <t>NORRTÄLJE</t>
        </is>
      </c>
      <c r="G815" t="n">
        <v>3.4</v>
      </c>
      <c r="H815" t="n">
        <v>0</v>
      </c>
      <c r="I815" t="n">
        <v>0</v>
      </c>
      <c r="J815" t="n">
        <v>0</v>
      </c>
      <c r="K815" t="n">
        <v>0</v>
      </c>
      <c r="L815" t="n">
        <v>0</v>
      </c>
      <c r="M815" t="n">
        <v>0</v>
      </c>
      <c r="N815" t="n">
        <v>0</v>
      </c>
      <c r="O815" t="n">
        <v>0</v>
      </c>
      <c r="P815" t="n">
        <v>0</v>
      </c>
      <c r="Q815" t="n">
        <v>0</v>
      </c>
      <c r="R815" s="2" t="inlineStr"/>
    </row>
    <row r="816" ht="15" customHeight="1">
      <c r="A816" t="inlineStr">
        <is>
          <t>A 36246-2021</t>
        </is>
      </c>
      <c r="B816" s="1" t="n">
        <v>44390</v>
      </c>
      <c r="C816" s="1" t="n">
        <v>46189</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15905-2023</t>
        </is>
      </c>
      <c r="B817" s="1" t="n">
        <v>45022</v>
      </c>
      <c r="C817" s="1" t="n">
        <v>46189</v>
      </c>
      <c r="D817" t="inlineStr">
        <is>
          <t>STOCKHOLMS LÄN</t>
        </is>
      </c>
      <c r="E817" t="inlineStr">
        <is>
          <t>NORRTÄLJE</t>
        </is>
      </c>
      <c r="G817" t="n">
        <v>3.2</v>
      </c>
      <c r="H817" t="n">
        <v>0</v>
      </c>
      <c r="I817" t="n">
        <v>0</v>
      </c>
      <c r="J817" t="n">
        <v>0</v>
      </c>
      <c r="K817" t="n">
        <v>0</v>
      </c>
      <c r="L817" t="n">
        <v>0</v>
      </c>
      <c r="M817" t="n">
        <v>0</v>
      </c>
      <c r="N817" t="n">
        <v>0</v>
      </c>
      <c r="O817" t="n">
        <v>0</v>
      </c>
      <c r="P817" t="n">
        <v>0</v>
      </c>
      <c r="Q817" t="n">
        <v>0</v>
      </c>
      <c r="R817" s="2" t="inlineStr"/>
    </row>
    <row r="818" ht="15" customHeight="1">
      <c r="A818" t="inlineStr">
        <is>
          <t>A 17025-2026</t>
        </is>
      </c>
      <c r="B818" s="1" t="n">
        <v>46113</v>
      </c>
      <c r="C818" s="1" t="n">
        <v>46189</v>
      </c>
      <c r="D818" t="inlineStr">
        <is>
          <t>STOCKHOLMS LÄN</t>
        </is>
      </c>
      <c r="E818" t="inlineStr">
        <is>
          <t>NORRTÄLJE</t>
        </is>
      </c>
      <c r="G818" t="n">
        <v>5.4</v>
      </c>
      <c r="H818" t="n">
        <v>0</v>
      </c>
      <c r="I818" t="n">
        <v>0</v>
      </c>
      <c r="J818" t="n">
        <v>0</v>
      </c>
      <c r="K818" t="n">
        <v>0</v>
      </c>
      <c r="L818" t="n">
        <v>0</v>
      </c>
      <c r="M818" t="n">
        <v>0</v>
      </c>
      <c r="N818" t="n">
        <v>0</v>
      </c>
      <c r="O818" t="n">
        <v>0</v>
      </c>
      <c r="P818" t="n">
        <v>0</v>
      </c>
      <c r="Q818" t="n">
        <v>0</v>
      </c>
      <c r="R818" s="2" t="inlineStr"/>
    </row>
    <row r="819" ht="15" customHeight="1">
      <c r="A819" t="inlineStr">
        <is>
          <t>A 22618-2026</t>
        </is>
      </c>
      <c r="B819" s="1" t="n">
        <v>46155.61440972222</v>
      </c>
      <c r="C819" s="1" t="n">
        <v>46189</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44917-2022</t>
        </is>
      </c>
      <c r="B820" s="1" t="n">
        <v>44841.52804398148</v>
      </c>
      <c r="C820" s="1" t="n">
        <v>46189</v>
      </c>
      <c r="D820" t="inlineStr">
        <is>
          <t>STOCKHOLMS LÄN</t>
        </is>
      </c>
      <c r="E820" t="inlineStr">
        <is>
          <t>NORRTÄLJE</t>
        </is>
      </c>
      <c r="F820" t="inlineStr">
        <is>
          <t>Holmen skog AB</t>
        </is>
      </c>
      <c r="G820" t="n">
        <v>3.3</v>
      </c>
      <c r="H820" t="n">
        <v>0</v>
      </c>
      <c r="I820" t="n">
        <v>0</v>
      </c>
      <c r="J820" t="n">
        <v>0</v>
      </c>
      <c r="K820" t="n">
        <v>0</v>
      </c>
      <c r="L820" t="n">
        <v>0</v>
      </c>
      <c r="M820" t="n">
        <v>0</v>
      </c>
      <c r="N820" t="n">
        <v>0</v>
      </c>
      <c r="O820" t="n">
        <v>0</v>
      </c>
      <c r="P820" t="n">
        <v>0</v>
      </c>
      <c r="Q820" t="n">
        <v>0</v>
      </c>
      <c r="R820" s="2" t="inlineStr"/>
    </row>
    <row r="821" ht="15" customHeight="1">
      <c r="A821" t="inlineStr">
        <is>
          <t>A 33173-2024</t>
        </is>
      </c>
      <c r="B821" s="1" t="n">
        <v>45518</v>
      </c>
      <c r="C821" s="1" t="n">
        <v>46189</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17551-2025</t>
        </is>
      </c>
      <c r="B822" s="1" t="n">
        <v>45757.61421296297</v>
      </c>
      <c r="C822" s="1" t="n">
        <v>46189</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10678-2025</t>
        </is>
      </c>
      <c r="B823" s="1" t="n">
        <v>45721.89123842592</v>
      </c>
      <c r="C823" s="1" t="n">
        <v>46189</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8370-2025</t>
        </is>
      </c>
      <c r="B824" s="1" t="n">
        <v>45708</v>
      </c>
      <c r="C824" s="1" t="n">
        <v>46189</v>
      </c>
      <c r="D824" t="inlineStr">
        <is>
          <t>STOCKHOLMS LÄN</t>
        </is>
      </c>
      <c r="E824" t="inlineStr">
        <is>
          <t>NORRTÄLJE</t>
        </is>
      </c>
      <c r="F824" t="inlineStr">
        <is>
          <t>Övriga Aktiebolag</t>
        </is>
      </c>
      <c r="G824" t="n">
        <v>5.6</v>
      </c>
      <c r="H824" t="n">
        <v>0</v>
      </c>
      <c r="I824" t="n">
        <v>0</v>
      </c>
      <c r="J824" t="n">
        <v>0</v>
      </c>
      <c r="K824" t="n">
        <v>0</v>
      </c>
      <c r="L824" t="n">
        <v>0</v>
      </c>
      <c r="M824" t="n">
        <v>0</v>
      </c>
      <c r="N824" t="n">
        <v>0</v>
      </c>
      <c r="O824" t="n">
        <v>0</v>
      </c>
      <c r="P824" t="n">
        <v>0</v>
      </c>
      <c r="Q824" t="n">
        <v>0</v>
      </c>
      <c r="R824" s="2" t="inlineStr"/>
    </row>
    <row r="825" ht="15" customHeight="1">
      <c r="A825" t="inlineStr">
        <is>
          <t>A 951-2023</t>
        </is>
      </c>
      <c r="B825" s="1" t="n">
        <v>44934</v>
      </c>
      <c r="C825" s="1" t="n">
        <v>46189</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32100-2022</t>
        </is>
      </c>
      <c r="B826" s="1" t="n">
        <v>44778</v>
      </c>
      <c r="C826" s="1" t="n">
        <v>46189</v>
      </c>
      <c r="D826" t="inlineStr">
        <is>
          <t>STOCKHOLMS LÄN</t>
        </is>
      </c>
      <c r="E826" t="inlineStr">
        <is>
          <t>NORRTÄLJE</t>
        </is>
      </c>
      <c r="G826" t="n">
        <v>3.3</v>
      </c>
      <c r="H826" t="n">
        <v>0</v>
      </c>
      <c r="I826" t="n">
        <v>0</v>
      </c>
      <c r="J826" t="n">
        <v>0</v>
      </c>
      <c r="K826" t="n">
        <v>0</v>
      </c>
      <c r="L826" t="n">
        <v>0</v>
      </c>
      <c r="M826" t="n">
        <v>0</v>
      </c>
      <c r="N826" t="n">
        <v>0</v>
      </c>
      <c r="O826" t="n">
        <v>0</v>
      </c>
      <c r="P826" t="n">
        <v>0</v>
      </c>
      <c r="Q826" t="n">
        <v>0</v>
      </c>
      <c r="R826" s="2" t="inlineStr"/>
    </row>
    <row r="827" ht="15" customHeight="1">
      <c r="A827" t="inlineStr">
        <is>
          <t>A 17345-2026</t>
        </is>
      </c>
      <c r="B827" s="1" t="n">
        <v>46119</v>
      </c>
      <c r="C827" s="1" t="n">
        <v>46189</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2888-2022</t>
        </is>
      </c>
      <c r="B828" s="1" t="n">
        <v>44581</v>
      </c>
      <c r="C828" s="1" t="n">
        <v>46189</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11902-2024</t>
        </is>
      </c>
      <c r="B829" s="1" t="n">
        <v>45376.55704861111</v>
      </c>
      <c r="C829" s="1" t="n">
        <v>46189</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17207-2026</t>
        </is>
      </c>
      <c r="B830" s="1" t="n">
        <v>46119.31914351852</v>
      </c>
      <c r="C830" s="1" t="n">
        <v>46189</v>
      </c>
      <c r="D830" t="inlineStr">
        <is>
          <t>STOCKHOLMS LÄN</t>
        </is>
      </c>
      <c r="E830" t="inlineStr">
        <is>
          <t>NORRTÄLJE</t>
        </is>
      </c>
      <c r="F830" t="inlineStr">
        <is>
          <t>Holmen skog AB</t>
        </is>
      </c>
      <c r="G830" t="n">
        <v>0.6</v>
      </c>
      <c r="H830" t="n">
        <v>0</v>
      </c>
      <c r="I830" t="n">
        <v>0</v>
      </c>
      <c r="J830" t="n">
        <v>0</v>
      </c>
      <c r="K830" t="n">
        <v>0</v>
      </c>
      <c r="L830" t="n">
        <v>0</v>
      </c>
      <c r="M830" t="n">
        <v>0</v>
      </c>
      <c r="N830" t="n">
        <v>0</v>
      </c>
      <c r="O830" t="n">
        <v>0</v>
      </c>
      <c r="P830" t="n">
        <v>0</v>
      </c>
      <c r="Q830" t="n">
        <v>0</v>
      </c>
      <c r="R830" s="2" t="inlineStr"/>
    </row>
    <row r="831" ht="15" customHeight="1">
      <c r="A831" t="inlineStr">
        <is>
          <t>A 13-2024</t>
        </is>
      </c>
      <c r="B831" s="1" t="n">
        <v>45293.37263888889</v>
      </c>
      <c r="C831" s="1" t="n">
        <v>46189</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58260-2023</t>
        </is>
      </c>
      <c r="B832" s="1" t="n">
        <v>45245</v>
      </c>
      <c r="C832" s="1" t="n">
        <v>46189</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58261-2023</t>
        </is>
      </c>
      <c r="B833" s="1" t="n">
        <v>45245</v>
      </c>
      <c r="C833" s="1" t="n">
        <v>46189</v>
      </c>
      <c r="D833" t="inlineStr">
        <is>
          <t>STOCKHOLMS LÄN</t>
        </is>
      </c>
      <c r="E833" t="inlineStr">
        <is>
          <t>NORRTÄLJE</t>
        </is>
      </c>
      <c r="G833" t="n">
        <v>53.5</v>
      </c>
      <c r="H833" t="n">
        <v>0</v>
      </c>
      <c r="I833" t="n">
        <v>0</v>
      </c>
      <c r="J833" t="n">
        <v>0</v>
      </c>
      <c r="K833" t="n">
        <v>0</v>
      </c>
      <c r="L833" t="n">
        <v>0</v>
      </c>
      <c r="M833" t="n">
        <v>0</v>
      </c>
      <c r="N833" t="n">
        <v>0</v>
      </c>
      <c r="O833" t="n">
        <v>0</v>
      </c>
      <c r="P833" t="n">
        <v>0</v>
      </c>
      <c r="Q833" t="n">
        <v>0</v>
      </c>
      <c r="R833" s="2" t="inlineStr"/>
    </row>
    <row r="834" ht="15" customHeight="1">
      <c r="A834" t="inlineStr">
        <is>
          <t>A 4553-2023</t>
        </is>
      </c>
      <c r="B834" s="1" t="n">
        <v>44956.65920138889</v>
      </c>
      <c r="C834" s="1" t="n">
        <v>46189</v>
      </c>
      <c r="D834" t="inlineStr">
        <is>
          <t>STOCKHOLMS LÄN</t>
        </is>
      </c>
      <c r="E834" t="inlineStr">
        <is>
          <t>NORRTÄLJE</t>
        </is>
      </c>
      <c r="G834" t="n">
        <v>7.5</v>
      </c>
      <c r="H834" t="n">
        <v>0</v>
      </c>
      <c r="I834" t="n">
        <v>0</v>
      </c>
      <c r="J834" t="n">
        <v>0</v>
      </c>
      <c r="K834" t="n">
        <v>0</v>
      </c>
      <c r="L834" t="n">
        <v>0</v>
      </c>
      <c r="M834" t="n">
        <v>0</v>
      </c>
      <c r="N834" t="n">
        <v>0</v>
      </c>
      <c r="O834" t="n">
        <v>0</v>
      </c>
      <c r="P834" t="n">
        <v>0</v>
      </c>
      <c r="Q834" t="n">
        <v>0</v>
      </c>
      <c r="R834" s="2" t="inlineStr"/>
    </row>
    <row r="835" ht="15" customHeight="1">
      <c r="A835" t="inlineStr">
        <is>
          <t>A 875-2023</t>
        </is>
      </c>
      <c r="B835" s="1" t="n">
        <v>44931.65626157408</v>
      </c>
      <c r="C835" s="1" t="n">
        <v>46189</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17215-2026</t>
        </is>
      </c>
      <c r="B836" s="1" t="n">
        <v>46119.36524305555</v>
      </c>
      <c r="C836" s="1" t="n">
        <v>46189</v>
      </c>
      <c r="D836" t="inlineStr">
        <is>
          <t>STOCKHOLMS LÄN</t>
        </is>
      </c>
      <c r="E836" t="inlineStr">
        <is>
          <t>NORRTÄLJE</t>
        </is>
      </c>
      <c r="F836" t="inlineStr">
        <is>
          <t>Holmen skog AB</t>
        </is>
      </c>
      <c r="G836" t="n">
        <v>3.8</v>
      </c>
      <c r="H836" t="n">
        <v>0</v>
      </c>
      <c r="I836" t="n">
        <v>0</v>
      </c>
      <c r="J836" t="n">
        <v>0</v>
      </c>
      <c r="K836" t="n">
        <v>0</v>
      </c>
      <c r="L836" t="n">
        <v>0</v>
      </c>
      <c r="M836" t="n">
        <v>0</v>
      </c>
      <c r="N836" t="n">
        <v>0</v>
      </c>
      <c r="O836" t="n">
        <v>0</v>
      </c>
      <c r="P836" t="n">
        <v>0</v>
      </c>
      <c r="Q836" t="n">
        <v>0</v>
      </c>
      <c r="R836" s="2" t="inlineStr"/>
    </row>
    <row r="837" ht="15" customHeight="1">
      <c r="A837" t="inlineStr">
        <is>
          <t>A 24575-2024</t>
        </is>
      </c>
      <c r="B837" s="1" t="n">
        <v>45460.45523148148</v>
      </c>
      <c r="C837" s="1" t="n">
        <v>46189</v>
      </c>
      <c r="D837" t="inlineStr">
        <is>
          <t>STOCKHOLMS LÄN</t>
        </is>
      </c>
      <c r="E837" t="inlineStr">
        <is>
          <t>NORRTÄLJE</t>
        </is>
      </c>
      <c r="G837" t="n">
        <v>2.6</v>
      </c>
      <c r="H837" t="n">
        <v>0</v>
      </c>
      <c r="I837" t="n">
        <v>0</v>
      </c>
      <c r="J837" t="n">
        <v>0</v>
      </c>
      <c r="K837" t="n">
        <v>0</v>
      </c>
      <c r="L837" t="n">
        <v>0</v>
      </c>
      <c r="M837" t="n">
        <v>0</v>
      </c>
      <c r="N837" t="n">
        <v>0</v>
      </c>
      <c r="O837" t="n">
        <v>0</v>
      </c>
      <c r="P837" t="n">
        <v>0</v>
      </c>
      <c r="Q837" t="n">
        <v>0</v>
      </c>
      <c r="R837" s="2" t="inlineStr"/>
    </row>
    <row r="838" ht="15" customHeight="1">
      <c r="A838" t="inlineStr">
        <is>
          <t>A 19-2024</t>
        </is>
      </c>
      <c r="B838" s="1" t="n">
        <v>45293</v>
      </c>
      <c r="C838" s="1" t="n">
        <v>46189</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17347-2026</t>
        </is>
      </c>
      <c r="B839" s="1" t="n">
        <v>46119</v>
      </c>
      <c r="C839" s="1" t="n">
        <v>46189</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31827-2023</t>
        </is>
      </c>
      <c r="B840" s="1" t="n">
        <v>45118</v>
      </c>
      <c r="C840" s="1" t="n">
        <v>46189</v>
      </c>
      <c r="D840" t="inlineStr">
        <is>
          <t>STOCKHOLMS LÄN</t>
        </is>
      </c>
      <c r="E840" t="inlineStr">
        <is>
          <t>NORRTÄLJE</t>
        </is>
      </c>
      <c r="F840" t="inlineStr">
        <is>
          <t>Kyrkan</t>
        </is>
      </c>
      <c r="G840" t="n">
        <v>4.9</v>
      </c>
      <c r="H840" t="n">
        <v>0</v>
      </c>
      <c r="I840" t="n">
        <v>0</v>
      </c>
      <c r="J840" t="n">
        <v>0</v>
      </c>
      <c r="K840" t="n">
        <v>0</v>
      </c>
      <c r="L840" t="n">
        <v>0</v>
      </c>
      <c r="M840" t="n">
        <v>0</v>
      </c>
      <c r="N840" t="n">
        <v>0</v>
      </c>
      <c r="O840" t="n">
        <v>0</v>
      </c>
      <c r="P840" t="n">
        <v>0</v>
      </c>
      <c r="Q840" t="n">
        <v>0</v>
      </c>
      <c r="R840" s="2" t="inlineStr"/>
    </row>
    <row r="841" ht="15" customHeight="1">
      <c r="A841" t="inlineStr">
        <is>
          <t>A 54496-2024</t>
        </is>
      </c>
      <c r="B841" s="1" t="n">
        <v>45617.57439814815</v>
      </c>
      <c r="C841" s="1" t="n">
        <v>46189</v>
      </c>
      <c r="D841" t="inlineStr">
        <is>
          <t>STOCKHOLMS LÄN</t>
        </is>
      </c>
      <c r="E841" t="inlineStr">
        <is>
          <t>NORRTÄLJE</t>
        </is>
      </c>
      <c r="G841" t="n">
        <v>2.2</v>
      </c>
      <c r="H841" t="n">
        <v>0</v>
      </c>
      <c r="I841" t="n">
        <v>0</v>
      </c>
      <c r="J841" t="n">
        <v>0</v>
      </c>
      <c r="K841" t="n">
        <v>0</v>
      </c>
      <c r="L841" t="n">
        <v>0</v>
      </c>
      <c r="M841" t="n">
        <v>0</v>
      </c>
      <c r="N841" t="n">
        <v>0</v>
      </c>
      <c r="O841" t="n">
        <v>0</v>
      </c>
      <c r="P841" t="n">
        <v>0</v>
      </c>
      <c r="Q841" t="n">
        <v>0</v>
      </c>
      <c r="R841" s="2" t="inlineStr"/>
    </row>
    <row r="842" ht="15" customHeight="1">
      <c r="A842" t="inlineStr">
        <is>
          <t>A 17651-2026</t>
        </is>
      </c>
      <c r="B842" s="1" t="n">
        <v>46121.55334490741</v>
      </c>
      <c r="C842" s="1" t="n">
        <v>46189</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59767-2022</t>
        </is>
      </c>
      <c r="B843" s="1" t="n">
        <v>44900</v>
      </c>
      <c r="C843" s="1" t="n">
        <v>46189</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22756-2022</t>
        </is>
      </c>
      <c r="B844" s="1" t="n">
        <v>44714.92253472222</v>
      </c>
      <c r="C844" s="1" t="n">
        <v>46189</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58311-2023</t>
        </is>
      </c>
      <c r="B845" s="1" t="n">
        <v>45245</v>
      </c>
      <c r="C845" s="1" t="n">
        <v>46189</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8739-2024</t>
        </is>
      </c>
      <c r="B846" s="1" t="n">
        <v>45356.47784722222</v>
      </c>
      <c r="C846" s="1" t="n">
        <v>46189</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26640-2023</t>
        </is>
      </c>
      <c r="B847" s="1" t="n">
        <v>45092</v>
      </c>
      <c r="C847" s="1" t="n">
        <v>46189</v>
      </c>
      <c r="D847" t="inlineStr">
        <is>
          <t>STOCKHOLMS LÄN</t>
        </is>
      </c>
      <c r="E847" t="inlineStr">
        <is>
          <t>NORRTÄLJE</t>
        </is>
      </c>
      <c r="G847" t="n">
        <v>5.7</v>
      </c>
      <c r="H847" t="n">
        <v>0</v>
      </c>
      <c r="I847" t="n">
        <v>0</v>
      </c>
      <c r="J847" t="n">
        <v>0</v>
      </c>
      <c r="K847" t="n">
        <v>0</v>
      </c>
      <c r="L847" t="n">
        <v>0</v>
      </c>
      <c r="M847" t="n">
        <v>0</v>
      </c>
      <c r="N847" t="n">
        <v>0</v>
      </c>
      <c r="O847" t="n">
        <v>0</v>
      </c>
      <c r="P847" t="n">
        <v>0</v>
      </c>
      <c r="Q847" t="n">
        <v>0</v>
      </c>
      <c r="R847" s="2" t="inlineStr"/>
    </row>
    <row r="848" ht="15" customHeight="1">
      <c r="A848" t="inlineStr">
        <is>
          <t>A 62765-2022</t>
        </is>
      </c>
      <c r="B848" s="1" t="n">
        <v>44637</v>
      </c>
      <c r="C848" s="1" t="n">
        <v>46189</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38990-2022</t>
        </is>
      </c>
      <c r="B849" s="1" t="n">
        <v>44816</v>
      </c>
      <c r="C849" s="1" t="n">
        <v>46189</v>
      </c>
      <c r="D849" t="inlineStr">
        <is>
          <t>STOCKHOLMS LÄN</t>
        </is>
      </c>
      <c r="E849" t="inlineStr">
        <is>
          <t>NORRTÄLJE</t>
        </is>
      </c>
      <c r="G849" t="n">
        <v>5.7</v>
      </c>
      <c r="H849" t="n">
        <v>0</v>
      </c>
      <c r="I849" t="n">
        <v>0</v>
      </c>
      <c r="J849" t="n">
        <v>0</v>
      </c>
      <c r="K849" t="n">
        <v>0</v>
      </c>
      <c r="L849" t="n">
        <v>0</v>
      </c>
      <c r="M849" t="n">
        <v>0</v>
      </c>
      <c r="N849" t="n">
        <v>0</v>
      </c>
      <c r="O849" t="n">
        <v>0</v>
      </c>
      <c r="P849" t="n">
        <v>0</v>
      </c>
      <c r="Q849" t="n">
        <v>0</v>
      </c>
      <c r="R849" s="2" t="inlineStr"/>
    </row>
    <row r="850" ht="15" customHeight="1">
      <c r="A850" t="inlineStr">
        <is>
          <t>A 17956-2025</t>
        </is>
      </c>
      <c r="B850" s="1" t="n">
        <v>45760.91174768518</v>
      </c>
      <c r="C850" s="1" t="n">
        <v>46189</v>
      </c>
      <c r="D850" t="inlineStr">
        <is>
          <t>STOCKHOLMS LÄN</t>
        </is>
      </c>
      <c r="E850" t="inlineStr">
        <is>
          <t>NORRTÄLJE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23265-2023</t>
        </is>
      </c>
      <c r="B851" s="1" t="n">
        <v>45075.90703703704</v>
      </c>
      <c r="C851" s="1" t="n">
        <v>46189</v>
      </c>
      <c r="D851" t="inlineStr">
        <is>
          <t>STOCKHOLMS LÄN</t>
        </is>
      </c>
      <c r="E851" t="inlineStr">
        <is>
          <t>NORRTÄLJE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30268-2024</t>
        </is>
      </c>
      <c r="B852" s="1" t="n">
        <v>45490.60572916667</v>
      </c>
      <c r="C852" s="1" t="n">
        <v>46189</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9246-2024</t>
        </is>
      </c>
      <c r="B853" s="1" t="n">
        <v>45357</v>
      </c>
      <c r="C853" s="1" t="n">
        <v>46189</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23855-2026</t>
        </is>
      </c>
      <c r="B854" s="1" t="n">
        <v>46167.38663194444</v>
      </c>
      <c r="C854" s="1" t="n">
        <v>46189</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50355-2024</t>
        </is>
      </c>
      <c r="B855" s="1" t="n">
        <v>45600.86128472222</v>
      </c>
      <c r="C855" s="1" t="n">
        <v>46189</v>
      </c>
      <c r="D855" t="inlineStr">
        <is>
          <t>STOCKHOLMS LÄN</t>
        </is>
      </c>
      <c r="E855" t="inlineStr">
        <is>
          <t>NORRTÄLJE</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60694-2024</t>
        </is>
      </c>
      <c r="B856" s="1" t="n">
        <v>45644.47878472223</v>
      </c>
      <c r="C856" s="1" t="n">
        <v>46189</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25094-2023</t>
        </is>
      </c>
      <c r="B857" s="1" t="n">
        <v>45086.3629050926</v>
      </c>
      <c r="C857" s="1" t="n">
        <v>46189</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59276-2023</t>
        </is>
      </c>
      <c r="B858" s="1" t="n">
        <v>45253.55641203704</v>
      </c>
      <c r="C858" s="1" t="n">
        <v>46189</v>
      </c>
      <c r="D858" t="inlineStr">
        <is>
          <t>STOCKHOLMS LÄN</t>
        </is>
      </c>
      <c r="E858" t="inlineStr">
        <is>
          <t>NORRTÄLJE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13767-2025</t>
        </is>
      </c>
      <c r="B859" s="1" t="n">
        <v>45737.43347222222</v>
      </c>
      <c r="C859" s="1" t="n">
        <v>46189</v>
      </c>
      <c r="D859" t="inlineStr">
        <is>
          <t>STOCKHOLMS LÄN</t>
        </is>
      </c>
      <c r="E859" t="inlineStr">
        <is>
          <t>NORRTÄLJE</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41587-2023</t>
        </is>
      </c>
      <c r="B860" s="1" t="n">
        <v>45175</v>
      </c>
      <c r="C860" s="1" t="n">
        <v>46189</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14937-2026</t>
        </is>
      </c>
      <c r="B861" s="1" t="n">
        <v>46104</v>
      </c>
      <c r="C861" s="1" t="n">
        <v>46189</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27381-2024</t>
        </is>
      </c>
      <c r="B862" s="1" t="n">
        <v>45473.94501157408</v>
      </c>
      <c r="C862" s="1" t="n">
        <v>46189</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60529-2023</t>
        </is>
      </c>
      <c r="B863" s="1" t="n">
        <v>45259</v>
      </c>
      <c r="C863" s="1" t="n">
        <v>46189</v>
      </c>
      <c r="D863" t="inlineStr">
        <is>
          <t>STOCKHOLMS LÄN</t>
        </is>
      </c>
      <c r="E863" t="inlineStr">
        <is>
          <t>NORRTÄLJE</t>
        </is>
      </c>
      <c r="G863" t="n">
        <v>2.6</v>
      </c>
      <c r="H863" t="n">
        <v>0</v>
      </c>
      <c r="I863" t="n">
        <v>0</v>
      </c>
      <c r="J863" t="n">
        <v>0</v>
      </c>
      <c r="K863" t="n">
        <v>0</v>
      </c>
      <c r="L863" t="n">
        <v>0</v>
      </c>
      <c r="M863" t="n">
        <v>0</v>
      </c>
      <c r="N863" t="n">
        <v>0</v>
      </c>
      <c r="O863" t="n">
        <v>0</v>
      </c>
      <c r="P863" t="n">
        <v>0</v>
      </c>
      <c r="Q863" t="n">
        <v>0</v>
      </c>
      <c r="R863" s="2" t="inlineStr"/>
    </row>
    <row r="864" ht="15" customHeight="1">
      <c r="A864" t="inlineStr">
        <is>
          <t>A 59326-2023</t>
        </is>
      </c>
      <c r="B864" s="1" t="n">
        <v>45253.63089120371</v>
      </c>
      <c r="C864" s="1" t="n">
        <v>46189</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21753-2026</t>
        </is>
      </c>
      <c r="B865" s="1" t="n">
        <v>46149</v>
      </c>
      <c r="C865" s="1" t="n">
        <v>46189</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3152-2024</t>
        </is>
      </c>
      <c r="B866" s="1" t="n">
        <v>45316.60306712963</v>
      </c>
      <c r="C866" s="1" t="n">
        <v>46189</v>
      </c>
      <c r="D866" t="inlineStr">
        <is>
          <t>STOCKHOLMS LÄN</t>
        </is>
      </c>
      <c r="E866" t="inlineStr">
        <is>
          <t>NORRTÄLJE</t>
        </is>
      </c>
      <c r="G866" t="n">
        <v>7.9</v>
      </c>
      <c r="H866" t="n">
        <v>0</v>
      </c>
      <c r="I866" t="n">
        <v>0</v>
      </c>
      <c r="J866" t="n">
        <v>0</v>
      </c>
      <c r="K866" t="n">
        <v>0</v>
      </c>
      <c r="L866" t="n">
        <v>0</v>
      </c>
      <c r="M866" t="n">
        <v>0</v>
      </c>
      <c r="N866" t="n">
        <v>0</v>
      </c>
      <c r="O866" t="n">
        <v>0</v>
      </c>
      <c r="P866" t="n">
        <v>0</v>
      </c>
      <c r="Q866" t="n">
        <v>0</v>
      </c>
      <c r="R866" s="2" t="inlineStr"/>
    </row>
    <row r="867" ht="15" customHeight="1">
      <c r="A867" t="inlineStr">
        <is>
          <t>A 20699-2025</t>
        </is>
      </c>
      <c r="B867" s="1" t="n">
        <v>45776.47346064815</v>
      </c>
      <c r="C867" s="1" t="n">
        <v>46189</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44836-2023</t>
        </is>
      </c>
      <c r="B868" s="1" t="n">
        <v>45190.55609953704</v>
      </c>
      <c r="C868" s="1" t="n">
        <v>46189</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24891-2026</t>
        </is>
      </c>
      <c r="B869" s="1" t="n">
        <v>46174.45833333334</v>
      </c>
      <c r="C869" s="1" t="n">
        <v>46189</v>
      </c>
      <c r="D869" t="inlineStr">
        <is>
          <t>STOCKHOLMS LÄN</t>
        </is>
      </c>
      <c r="E869" t="inlineStr">
        <is>
          <t>NORRTÄLJE</t>
        </is>
      </c>
      <c r="G869" t="n">
        <v>4</v>
      </c>
      <c r="H869" t="n">
        <v>0</v>
      </c>
      <c r="I869" t="n">
        <v>0</v>
      </c>
      <c r="J869" t="n">
        <v>0</v>
      </c>
      <c r="K869" t="n">
        <v>0</v>
      </c>
      <c r="L869" t="n">
        <v>0</v>
      </c>
      <c r="M869" t="n">
        <v>0</v>
      </c>
      <c r="N869" t="n">
        <v>0</v>
      </c>
      <c r="O869" t="n">
        <v>0</v>
      </c>
      <c r="P869" t="n">
        <v>0</v>
      </c>
      <c r="Q869" t="n">
        <v>0</v>
      </c>
      <c r="R869" s="2" t="inlineStr"/>
    </row>
    <row r="870" ht="15" customHeight="1">
      <c r="A870" t="inlineStr">
        <is>
          <t>A 15836-2026</t>
        </is>
      </c>
      <c r="B870" s="1" t="n">
        <v>46107</v>
      </c>
      <c r="C870" s="1" t="n">
        <v>46189</v>
      </c>
      <c r="D870" t="inlineStr">
        <is>
          <t>STOCKHOLMS LÄN</t>
        </is>
      </c>
      <c r="E870" t="inlineStr">
        <is>
          <t>NORRTÄLJE</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19129-2026</t>
        </is>
      </c>
      <c r="B871" s="1" t="n">
        <v>46132.48601851852</v>
      </c>
      <c r="C871" s="1" t="n">
        <v>46189</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19170-2026</t>
        </is>
      </c>
      <c r="B872" s="1" t="n">
        <v>46132.5859837963</v>
      </c>
      <c r="C872" s="1" t="n">
        <v>46189</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21771-2025</t>
        </is>
      </c>
      <c r="B873" s="1" t="n">
        <v>45783</v>
      </c>
      <c r="C873" s="1" t="n">
        <v>46189</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21778-2025</t>
        </is>
      </c>
      <c r="B874" s="1" t="n">
        <v>45783.66429398148</v>
      </c>
      <c r="C874" s="1" t="n">
        <v>46189</v>
      </c>
      <c r="D874" t="inlineStr">
        <is>
          <t>STOCKHOLMS LÄN</t>
        </is>
      </c>
      <c r="E874" t="inlineStr">
        <is>
          <t>NORRTÄLJE</t>
        </is>
      </c>
      <c r="G874" t="n">
        <v>2</v>
      </c>
      <c r="H874" t="n">
        <v>0</v>
      </c>
      <c r="I874" t="n">
        <v>0</v>
      </c>
      <c r="J874" t="n">
        <v>0</v>
      </c>
      <c r="K874" t="n">
        <v>0</v>
      </c>
      <c r="L874" t="n">
        <v>0</v>
      </c>
      <c r="M874" t="n">
        <v>0</v>
      </c>
      <c r="N874" t="n">
        <v>0</v>
      </c>
      <c r="O874" t="n">
        <v>0</v>
      </c>
      <c r="P874" t="n">
        <v>0</v>
      </c>
      <c r="Q874" t="n">
        <v>0</v>
      </c>
      <c r="R874" s="2" t="inlineStr"/>
    </row>
    <row r="875" ht="15" customHeight="1">
      <c r="A875" t="inlineStr">
        <is>
          <t>A 12902-2024</t>
        </is>
      </c>
      <c r="B875" s="1" t="n">
        <v>45385.38146990741</v>
      </c>
      <c r="C875" s="1" t="n">
        <v>46189</v>
      </c>
      <c r="D875" t="inlineStr">
        <is>
          <t>STOCKHOLMS LÄN</t>
        </is>
      </c>
      <c r="E875" t="inlineStr">
        <is>
          <t>NORRTÄLJE</t>
        </is>
      </c>
      <c r="G875" t="n">
        <v>3.7</v>
      </c>
      <c r="H875" t="n">
        <v>0</v>
      </c>
      <c r="I875" t="n">
        <v>0</v>
      </c>
      <c r="J875" t="n">
        <v>0</v>
      </c>
      <c r="K875" t="n">
        <v>0</v>
      </c>
      <c r="L875" t="n">
        <v>0</v>
      </c>
      <c r="M875" t="n">
        <v>0</v>
      </c>
      <c r="N875" t="n">
        <v>0</v>
      </c>
      <c r="O875" t="n">
        <v>0</v>
      </c>
      <c r="P875" t="n">
        <v>0</v>
      </c>
      <c r="Q875" t="n">
        <v>0</v>
      </c>
      <c r="R875" s="2" t="inlineStr"/>
    </row>
    <row r="876" ht="15" customHeight="1">
      <c r="A876" t="inlineStr">
        <is>
          <t>A 39237-2024</t>
        </is>
      </c>
      <c r="B876" s="1" t="n">
        <v>45549</v>
      </c>
      <c r="C876" s="1" t="n">
        <v>46189</v>
      </c>
      <c r="D876" t="inlineStr">
        <is>
          <t>STOCKHOLMS LÄN</t>
        </is>
      </c>
      <c r="E876" t="inlineStr">
        <is>
          <t>NORRTÄLJE</t>
        </is>
      </c>
      <c r="G876" t="n">
        <v>13.3</v>
      </c>
      <c r="H876" t="n">
        <v>0</v>
      </c>
      <c r="I876" t="n">
        <v>0</v>
      </c>
      <c r="J876" t="n">
        <v>0</v>
      </c>
      <c r="K876" t="n">
        <v>0</v>
      </c>
      <c r="L876" t="n">
        <v>0</v>
      </c>
      <c r="M876" t="n">
        <v>0</v>
      </c>
      <c r="N876" t="n">
        <v>0</v>
      </c>
      <c r="O876" t="n">
        <v>0</v>
      </c>
      <c r="P876" t="n">
        <v>0</v>
      </c>
      <c r="Q876" t="n">
        <v>0</v>
      </c>
      <c r="R876" s="2" t="inlineStr"/>
    </row>
    <row r="877" ht="15" customHeight="1">
      <c r="A877" t="inlineStr">
        <is>
          <t>A 44891-2023</t>
        </is>
      </c>
      <c r="B877" s="1" t="n">
        <v>45187</v>
      </c>
      <c r="C877" s="1" t="n">
        <v>46189</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13268-2025</t>
        </is>
      </c>
      <c r="B878" s="1" t="n">
        <v>45735</v>
      </c>
      <c r="C878" s="1" t="n">
        <v>46189</v>
      </c>
      <c r="D878" t="inlineStr">
        <is>
          <t>STOCKHOLMS LÄN</t>
        </is>
      </c>
      <c r="E878" t="inlineStr">
        <is>
          <t>NORRTÄLJE</t>
        </is>
      </c>
      <c r="G878" t="n">
        <v>11.4</v>
      </c>
      <c r="H878" t="n">
        <v>0</v>
      </c>
      <c r="I878" t="n">
        <v>0</v>
      </c>
      <c r="J878" t="n">
        <v>0</v>
      </c>
      <c r="K878" t="n">
        <v>0</v>
      </c>
      <c r="L878" t="n">
        <v>0</v>
      </c>
      <c r="M878" t="n">
        <v>0</v>
      </c>
      <c r="N878" t="n">
        <v>0</v>
      </c>
      <c r="O878" t="n">
        <v>0</v>
      </c>
      <c r="P878" t="n">
        <v>0</v>
      </c>
      <c r="Q878" t="n">
        <v>0</v>
      </c>
      <c r="R878" s="2" t="inlineStr"/>
    </row>
    <row r="879" ht="15" customHeight="1">
      <c r="A879" t="inlineStr">
        <is>
          <t>A 8414-2025</t>
        </is>
      </c>
      <c r="B879" s="1" t="n">
        <v>45709.39361111111</v>
      </c>
      <c r="C879" s="1" t="n">
        <v>46189</v>
      </c>
      <c r="D879" t="inlineStr">
        <is>
          <t>STOCKHOLMS LÄN</t>
        </is>
      </c>
      <c r="E879" t="inlineStr">
        <is>
          <t>NORRTÄLJE</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24835-2025</t>
        </is>
      </c>
      <c r="B880" s="1" t="n">
        <v>45799</v>
      </c>
      <c r="C880" s="1" t="n">
        <v>46189</v>
      </c>
      <c r="D880" t="inlineStr">
        <is>
          <t>STOCKHOLMS LÄN</t>
        </is>
      </c>
      <c r="E880" t="inlineStr">
        <is>
          <t>NORRTÄLJE</t>
        </is>
      </c>
      <c r="G880" t="n">
        <v>2.5</v>
      </c>
      <c r="H880" t="n">
        <v>0</v>
      </c>
      <c r="I880" t="n">
        <v>0</v>
      </c>
      <c r="J880" t="n">
        <v>0</v>
      </c>
      <c r="K880" t="n">
        <v>0</v>
      </c>
      <c r="L880" t="n">
        <v>0</v>
      </c>
      <c r="M880" t="n">
        <v>0</v>
      </c>
      <c r="N880" t="n">
        <v>0</v>
      </c>
      <c r="O880" t="n">
        <v>0</v>
      </c>
      <c r="P880" t="n">
        <v>0</v>
      </c>
      <c r="Q880" t="n">
        <v>0</v>
      </c>
      <c r="R880" s="2" t="inlineStr"/>
    </row>
    <row r="881" ht="15" customHeight="1">
      <c r="A881" t="inlineStr">
        <is>
          <t>A 44032-2024</t>
        </is>
      </c>
      <c r="B881" s="1" t="n">
        <v>45572.57828703704</v>
      </c>
      <c r="C881" s="1" t="n">
        <v>46189</v>
      </c>
      <c r="D881" t="inlineStr">
        <is>
          <t>STOCKHOLMS LÄN</t>
        </is>
      </c>
      <c r="E881" t="inlineStr">
        <is>
          <t>NORRTÄLJE</t>
        </is>
      </c>
      <c r="G881" t="n">
        <v>8.6</v>
      </c>
      <c r="H881" t="n">
        <v>0</v>
      </c>
      <c r="I881" t="n">
        <v>0</v>
      </c>
      <c r="J881" t="n">
        <v>0</v>
      </c>
      <c r="K881" t="n">
        <v>0</v>
      </c>
      <c r="L881" t="n">
        <v>0</v>
      </c>
      <c r="M881" t="n">
        <v>0</v>
      </c>
      <c r="N881" t="n">
        <v>0</v>
      </c>
      <c r="O881" t="n">
        <v>0</v>
      </c>
      <c r="P881" t="n">
        <v>0</v>
      </c>
      <c r="Q881" t="n">
        <v>0</v>
      </c>
      <c r="R881" s="2" t="inlineStr"/>
    </row>
    <row r="882" ht="15" customHeight="1">
      <c r="A882" t="inlineStr">
        <is>
          <t>A 24563-2024</t>
        </is>
      </c>
      <c r="B882" s="1" t="n">
        <v>45460.44347222222</v>
      </c>
      <c r="C882" s="1" t="n">
        <v>46189</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22202-2025</t>
        </is>
      </c>
      <c r="B883" s="1" t="n">
        <v>45785.65300925926</v>
      </c>
      <c r="C883" s="1" t="n">
        <v>46189</v>
      </c>
      <c r="D883" t="inlineStr">
        <is>
          <t>STOCKHOLMS LÄN</t>
        </is>
      </c>
      <c r="E883" t="inlineStr">
        <is>
          <t>NORRTÄLJE</t>
        </is>
      </c>
      <c r="G883" t="n">
        <v>10.2</v>
      </c>
      <c r="H883" t="n">
        <v>0</v>
      </c>
      <c r="I883" t="n">
        <v>0</v>
      </c>
      <c r="J883" t="n">
        <v>0</v>
      </c>
      <c r="K883" t="n">
        <v>0</v>
      </c>
      <c r="L883" t="n">
        <v>0</v>
      </c>
      <c r="M883" t="n">
        <v>0</v>
      </c>
      <c r="N883" t="n">
        <v>0</v>
      </c>
      <c r="O883" t="n">
        <v>0</v>
      </c>
      <c r="P883" t="n">
        <v>0</v>
      </c>
      <c r="Q883" t="n">
        <v>0</v>
      </c>
      <c r="R883" s="2" t="inlineStr"/>
    </row>
    <row r="884" ht="15" customHeight="1">
      <c r="A884" t="inlineStr">
        <is>
          <t>A 19688-2026</t>
        </is>
      </c>
      <c r="B884" s="1" t="n">
        <v>46134.67685185185</v>
      </c>
      <c r="C884" s="1" t="n">
        <v>46189</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36625-2024</t>
        </is>
      </c>
      <c r="B885" s="1" t="n">
        <v>45537</v>
      </c>
      <c r="C885" s="1" t="n">
        <v>46189</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19352-2026</t>
        </is>
      </c>
      <c r="B886" s="1" t="n">
        <v>46133.47344907407</v>
      </c>
      <c r="C886" s="1" t="n">
        <v>46189</v>
      </c>
      <c r="D886" t="inlineStr">
        <is>
          <t>STOCKHOLMS LÄN</t>
        </is>
      </c>
      <c r="E886" t="inlineStr">
        <is>
          <t>NORRTÄLJE</t>
        </is>
      </c>
      <c r="G886" t="n">
        <v>5.5</v>
      </c>
      <c r="H886" t="n">
        <v>0</v>
      </c>
      <c r="I886" t="n">
        <v>0</v>
      </c>
      <c r="J886" t="n">
        <v>0</v>
      </c>
      <c r="K886" t="n">
        <v>0</v>
      </c>
      <c r="L886" t="n">
        <v>0</v>
      </c>
      <c r="M886" t="n">
        <v>0</v>
      </c>
      <c r="N886" t="n">
        <v>0</v>
      </c>
      <c r="O886" t="n">
        <v>0</v>
      </c>
      <c r="P886" t="n">
        <v>0</v>
      </c>
      <c r="Q886" t="n">
        <v>0</v>
      </c>
      <c r="R886" s="2" t="inlineStr"/>
    </row>
    <row r="887" ht="15" customHeight="1">
      <c r="A887" t="inlineStr">
        <is>
          <t>A 45746-2024</t>
        </is>
      </c>
      <c r="B887" s="1" t="n">
        <v>45579</v>
      </c>
      <c r="C887" s="1" t="n">
        <v>46189</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19358-2026</t>
        </is>
      </c>
      <c r="B888" s="1" t="n">
        <v>46133.4978125</v>
      </c>
      <c r="C888" s="1" t="n">
        <v>46189</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8400-2024</t>
        </is>
      </c>
      <c r="B889" s="1" t="n">
        <v>45352.74090277778</v>
      </c>
      <c r="C889" s="1" t="n">
        <v>46189</v>
      </c>
      <c r="D889" t="inlineStr">
        <is>
          <t>STOCKHOLMS LÄN</t>
        </is>
      </c>
      <c r="E889" t="inlineStr">
        <is>
          <t>NORRTÄLJE</t>
        </is>
      </c>
      <c r="G889" t="n">
        <v>4.7</v>
      </c>
      <c r="H889" t="n">
        <v>0</v>
      </c>
      <c r="I889" t="n">
        <v>0</v>
      </c>
      <c r="J889" t="n">
        <v>0</v>
      </c>
      <c r="K889" t="n">
        <v>0</v>
      </c>
      <c r="L889" t="n">
        <v>0</v>
      </c>
      <c r="M889" t="n">
        <v>0</v>
      </c>
      <c r="N889" t="n">
        <v>0</v>
      </c>
      <c r="O889" t="n">
        <v>0</v>
      </c>
      <c r="P889" t="n">
        <v>0</v>
      </c>
      <c r="Q889" t="n">
        <v>0</v>
      </c>
      <c r="R889" s="2" t="inlineStr"/>
    </row>
    <row r="890" ht="15" customHeight="1">
      <c r="A890" t="inlineStr">
        <is>
          <t>A 2182-2022</t>
        </is>
      </c>
      <c r="B890" s="1" t="n">
        <v>44578</v>
      </c>
      <c r="C890" s="1" t="n">
        <v>46189</v>
      </c>
      <c r="D890" t="inlineStr">
        <is>
          <t>STOCKHOLMS LÄN</t>
        </is>
      </c>
      <c r="E890" t="inlineStr">
        <is>
          <t>NORRTÄLJE</t>
        </is>
      </c>
      <c r="G890" t="n">
        <v>7.2</v>
      </c>
      <c r="H890" t="n">
        <v>0</v>
      </c>
      <c r="I890" t="n">
        <v>0</v>
      </c>
      <c r="J890" t="n">
        <v>0</v>
      </c>
      <c r="K890" t="n">
        <v>0</v>
      </c>
      <c r="L890" t="n">
        <v>0</v>
      </c>
      <c r="M890" t="n">
        <v>0</v>
      </c>
      <c r="N890" t="n">
        <v>0</v>
      </c>
      <c r="O890" t="n">
        <v>0</v>
      </c>
      <c r="P890" t="n">
        <v>0</v>
      </c>
      <c r="Q890" t="n">
        <v>0</v>
      </c>
      <c r="R890" s="2" t="inlineStr"/>
    </row>
    <row r="891" ht="15" customHeight="1">
      <c r="A891" t="inlineStr">
        <is>
          <t>A 16620-2024</t>
        </is>
      </c>
      <c r="B891" s="1" t="n">
        <v>45408.57707175926</v>
      </c>
      <c r="C891" s="1" t="n">
        <v>46189</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58785-2024</t>
        </is>
      </c>
      <c r="B892" s="1" t="n">
        <v>45635.88849537037</v>
      </c>
      <c r="C892" s="1" t="n">
        <v>46189</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62998-2023</t>
        </is>
      </c>
      <c r="B893" s="1" t="n">
        <v>45272.64479166667</v>
      </c>
      <c r="C893" s="1" t="n">
        <v>46189</v>
      </c>
      <c r="D893" t="inlineStr">
        <is>
          <t>STOCKHOLMS LÄN</t>
        </is>
      </c>
      <c r="E893" t="inlineStr">
        <is>
          <t>NORRTÄLJE</t>
        </is>
      </c>
      <c r="G893" t="n">
        <v>16.3</v>
      </c>
      <c r="H893" t="n">
        <v>0</v>
      </c>
      <c r="I893" t="n">
        <v>0</v>
      </c>
      <c r="J893" t="n">
        <v>0</v>
      </c>
      <c r="K893" t="n">
        <v>0</v>
      </c>
      <c r="L893" t="n">
        <v>0</v>
      </c>
      <c r="M893" t="n">
        <v>0</v>
      </c>
      <c r="N893" t="n">
        <v>0</v>
      </c>
      <c r="O893" t="n">
        <v>0</v>
      </c>
      <c r="P893" t="n">
        <v>0</v>
      </c>
      <c r="Q893" t="n">
        <v>0</v>
      </c>
      <c r="R893" s="2" t="inlineStr"/>
    </row>
    <row r="894" ht="15" customHeight="1">
      <c r="A894" t="inlineStr">
        <is>
          <t>A 63015-2023</t>
        </is>
      </c>
      <c r="B894" s="1" t="n">
        <v>45272</v>
      </c>
      <c r="C894" s="1" t="n">
        <v>46189</v>
      </c>
      <c r="D894" t="inlineStr">
        <is>
          <t>STOCKHOLMS LÄN</t>
        </is>
      </c>
      <c r="E894" t="inlineStr">
        <is>
          <t>NORRTÄLJE</t>
        </is>
      </c>
      <c r="G894" t="n">
        <v>13.1</v>
      </c>
      <c r="H894" t="n">
        <v>0</v>
      </c>
      <c r="I894" t="n">
        <v>0</v>
      </c>
      <c r="J894" t="n">
        <v>0</v>
      </c>
      <c r="K894" t="n">
        <v>0</v>
      </c>
      <c r="L894" t="n">
        <v>0</v>
      </c>
      <c r="M894" t="n">
        <v>0</v>
      </c>
      <c r="N894" t="n">
        <v>0</v>
      </c>
      <c r="O894" t="n">
        <v>0</v>
      </c>
      <c r="P894" t="n">
        <v>0</v>
      </c>
      <c r="Q894" t="n">
        <v>0</v>
      </c>
      <c r="R894" s="2" t="inlineStr"/>
    </row>
    <row r="895" ht="15" customHeight="1">
      <c r="A895" t="inlineStr">
        <is>
          <t>A 25697-2026</t>
        </is>
      </c>
      <c r="B895" s="1" t="n">
        <v>46178.35802083334</v>
      </c>
      <c r="C895" s="1" t="n">
        <v>46189</v>
      </c>
      <c r="D895" t="inlineStr">
        <is>
          <t>STOCKHOLMS LÄN</t>
        </is>
      </c>
      <c r="E895" t="inlineStr">
        <is>
          <t>NORRTÄLJE</t>
        </is>
      </c>
      <c r="G895" t="n">
        <v>4.6</v>
      </c>
      <c r="H895" t="n">
        <v>0</v>
      </c>
      <c r="I895" t="n">
        <v>0</v>
      </c>
      <c r="J895" t="n">
        <v>0</v>
      </c>
      <c r="K895" t="n">
        <v>0</v>
      </c>
      <c r="L895" t="n">
        <v>0</v>
      </c>
      <c r="M895" t="n">
        <v>0</v>
      </c>
      <c r="N895" t="n">
        <v>0</v>
      </c>
      <c r="O895" t="n">
        <v>0</v>
      </c>
      <c r="P895" t="n">
        <v>0</v>
      </c>
      <c r="Q895" t="n">
        <v>0</v>
      </c>
      <c r="R895" s="2" t="inlineStr"/>
    </row>
    <row r="896" ht="15" customHeight="1">
      <c r="A896" t="inlineStr">
        <is>
          <t>A 12901-2024</t>
        </is>
      </c>
      <c r="B896" s="1" t="n">
        <v>45385.37922453704</v>
      </c>
      <c r="C896" s="1" t="n">
        <v>46189</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12301-2025</t>
        </is>
      </c>
      <c r="B897" s="1" t="n">
        <v>45729.7271875</v>
      </c>
      <c r="C897" s="1" t="n">
        <v>46189</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8950-2025</t>
        </is>
      </c>
      <c r="B898" s="1" t="n">
        <v>45713</v>
      </c>
      <c r="C898" s="1" t="n">
        <v>46189</v>
      </c>
      <c r="D898" t="inlineStr">
        <is>
          <t>STOCKHOLMS LÄN</t>
        </is>
      </c>
      <c r="E898" t="inlineStr">
        <is>
          <t>NORRTÄLJE</t>
        </is>
      </c>
      <c r="F898" t="inlineStr">
        <is>
          <t>Övriga Aktiebolag</t>
        </is>
      </c>
      <c r="G898" t="n">
        <v>3.6</v>
      </c>
      <c r="H898" t="n">
        <v>0</v>
      </c>
      <c r="I898" t="n">
        <v>0</v>
      </c>
      <c r="J898" t="n">
        <v>0</v>
      </c>
      <c r="K898" t="n">
        <v>0</v>
      </c>
      <c r="L898" t="n">
        <v>0</v>
      </c>
      <c r="M898" t="n">
        <v>0</v>
      </c>
      <c r="N898" t="n">
        <v>0</v>
      </c>
      <c r="O898" t="n">
        <v>0</v>
      </c>
      <c r="P898" t="n">
        <v>0</v>
      </c>
      <c r="Q898" t="n">
        <v>0</v>
      </c>
      <c r="R898" s="2" t="inlineStr"/>
    </row>
    <row r="899" ht="15" customHeight="1">
      <c r="A899" t="inlineStr">
        <is>
          <t>A 20730-2024</t>
        </is>
      </c>
      <c r="B899" s="1" t="n">
        <v>45436</v>
      </c>
      <c r="C899" s="1" t="n">
        <v>46189</v>
      </c>
      <c r="D899" t="inlineStr">
        <is>
          <t>STOCKHOLMS LÄN</t>
        </is>
      </c>
      <c r="E899" t="inlineStr">
        <is>
          <t>NORRTÄLJE</t>
        </is>
      </c>
      <c r="G899" t="n">
        <v>7.3</v>
      </c>
      <c r="H899" t="n">
        <v>0</v>
      </c>
      <c r="I899" t="n">
        <v>0</v>
      </c>
      <c r="J899" t="n">
        <v>0</v>
      </c>
      <c r="K899" t="n">
        <v>0</v>
      </c>
      <c r="L899" t="n">
        <v>0</v>
      </c>
      <c r="M899" t="n">
        <v>0</v>
      </c>
      <c r="N899" t="n">
        <v>0</v>
      </c>
      <c r="O899" t="n">
        <v>0</v>
      </c>
      <c r="P899" t="n">
        <v>0</v>
      </c>
      <c r="Q899" t="n">
        <v>0</v>
      </c>
      <c r="R899" s="2" t="inlineStr"/>
    </row>
    <row r="900" ht="15" customHeight="1">
      <c r="A900" t="inlineStr">
        <is>
          <t>A 25529-2026</t>
        </is>
      </c>
      <c r="B900" s="1" t="n">
        <v>46177.53180555555</v>
      </c>
      <c r="C900" s="1" t="n">
        <v>46189</v>
      </c>
      <c r="D900" t="inlineStr">
        <is>
          <t>STOCKHOLMS LÄN</t>
        </is>
      </c>
      <c r="E900" t="inlineStr">
        <is>
          <t>NORRTÄLJE</t>
        </is>
      </c>
      <c r="G900" t="n">
        <v>6.3</v>
      </c>
      <c r="H900" t="n">
        <v>0</v>
      </c>
      <c r="I900" t="n">
        <v>0</v>
      </c>
      <c r="J900" t="n">
        <v>0</v>
      </c>
      <c r="K900" t="n">
        <v>0</v>
      </c>
      <c r="L900" t="n">
        <v>0</v>
      </c>
      <c r="M900" t="n">
        <v>0</v>
      </c>
      <c r="N900" t="n">
        <v>0</v>
      </c>
      <c r="O900" t="n">
        <v>0</v>
      </c>
      <c r="P900" t="n">
        <v>0</v>
      </c>
      <c r="Q900" t="n">
        <v>0</v>
      </c>
      <c r="R900" s="2" t="inlineStr"/>
    </row>
    <row r="901" ht="15" customHeight="1">
      <c r="A901" t="inlineStr">
        <is>
          <t>A 33175-2024</t>
        </is>
      </c>
      <c r="B901" s="1" t="n">
        <v>45518</v>
      </c>
      <c r="C901" s="1" t="n">
        <v>46189</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13283-2025</t>
        </is>
      </c>
      <c r="B902" s="1" t="n">
        <v>45735</v>
      </c>
      <c r="C902" s="1" t="n">
        <v>46189</v>
      </c>
      <c r="D902" t="inlineStr">
        <is>
          <t>STOCKHOLMS LÄN</t>
        </is>
      </c>
      <c r="E902" t="inlineStr">
        <is>
          <t>NORRTÄLJE</t>
        </is>
      </c>
      <c r="G902" t="n">
        <v>4.9</v>
      </c>
      <c r="H902" t="n">
        <v>0</v>
      </c>
      <c r="I902" t="n">
        <v>0</v>
      </c>
      <c r="J902" t="n">
        <v>0</v>
      </c>
      <c r="K902" t="n">
        <v>0</v>
      </c>
      <c r="L902" t="n">
        <v>0</v>
      </c>
      <c r="M902" t="n">
        <v>0</v>
      </c>
      <c r="N902" t="n">
        <v>0</v>
      </c>
      <c r="O902" t="n">
        <v>0</v>
      </c>
      <c r="P902" t="n">
        <v>0</v>
      </c>
      <c r="Q902" t="n">
        <v>0</v>
      </c>
      <c r="R902" s="2" t="inlineStr"/>
    </row>
    <row r="903" ht="15" customHeight="1">
      <c r="A903" t="inlineStr">
        <is>
          <t>A 25507-2026</t>
        </is>
      </c>
      <c r="B903" s="1" t="n">
        <v>46177.4653587963</v>
      </c>
      <c r="C903" s="1" t="n">
        <v>46189</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27831-2024</t>
        </is>
      </c>
      <c r="B904" s="1" t="n">
        <v>45475.61896990741</v>
      </c>
      <c r="C904" s="1" t="n">
        <v>46189</v>
      </c>
      <c r="D904" t="inlineStr">
        <is>
          <t>STOCKHOLMS LÄN</t>
        </is>
      </c>
      <c r="E904" t="inlineStr">
        <is>
          <t>NORRTÄLJE</t>
        </is>
      </c>
      <c r="G904" t="n">
        <v>3.8</v>
      </c>
      <c r="H904" t="n">
        <v>0</v>
      </c>
      <c r="I904" t="n">
        <v>0</v>
      </c>
      <c r="J904" t="n">
        <v>0</v>
      </c>
      <c r="K904" t="n">
        <v>0</v>
      </c>
      <c r="L904" t="n">
        <v>0</v>
      </c>
      <c r="M904" t="n">
        <v>0</v>
      </c>
      <c r="N904" t="n">
        <v>0</v>
      </c>
      <c r="O904" t="n">
        <v>0</v>
      </c>
      <c r="P904" t="n">
        <v>0</v>
      </c>
      <c r="Q904" t="n">
        <v>0</v>
      </c>
      <c r="R904" s="2" t="inlineStr"/>
    </row>
    <row r="905" ht="15" customHeight="1">
      <c r="A905" t="inlineStr">
        <is>
          <t>A 59534-2024</t>
        </is>
      </c>
      <c r="B905" s="1" t="n">
        <v>45638.5987037037</v>
      </c>
      <c r="C905" s="1" t="n">
        <v>46189</v>
      </c>
      <c r="D905" t="inlineStr">
        <is>
          <t>STOCKHOLMS LÄN</t>
        </is>
      </c>
      <c r="E905" t="inlineStr">
        <is>
          <t>NORRTÄLJE</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21803-2022</t>
        </is>
      </c>
      <c r="B906" s="1" t="n">
        <v>44708.67822916667</v>
      </c>
      <c r="C906" s="1" t="n">
        <v>46189</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8792-2025</t>
        </is>
      </c>
      <c r="B907" s="1" t="n">
        <v>45712</v>
      </c>
      <c r="C907" s="1" t="n">
        <v>46189</v>
      </c>
      <c r="D907" t="inlineStr">
        <is>
          <t>STOCKHOLMS LÄN</t>
        </is>
      </c>
      <c r="E907" t="inlineStr">
        <is>
          <t>NORRTÄLJE</t>
        </is>
      </c>
      <c r="F907" t="inlineStr">
        <is>
          <t>Övriga Aktiebolag</t>
        </is>
      </c>
      <c r="G907" t="n">
        <v>6.6</v>
      </c>
      <c r="H907" t="n">
        <v>0</v>
      </c>
      <c r="I907" t="n">
        <v>0</v>
      </c>
      <c r="J907" t="n">
        <v>0</v>
      </c>
      <c r="K907" t="n">
        <v>0</v>
      </c>
      <c r="L907" t="n">
        <v>0</v>
      </c>
      <c r="M907" t="n">
        <v>0</v>
      </c>
      <c r="N907" t="n">
        <v>0</v>
      </c>
      <c r="O907" t="n">
        <v>0</v>
      </c>
      <c r="P907" t="n">
        <v>0</v>
      </c>
      <c r="Q907" t="n">
        <v>0</v>
      </c>
      <c r="R907" s="2" t="inlineStr"/>
    </row>
    <row r="908" ht="15" customHeight="1">
      <c r="A908" t="inlineStr">
        <is>
          <t>A 24687-2025</t>
        </is>
      </c>
      <c r="B908" s="1" t="n">
        <v>45798.66767361111</v>
      </c>
      <c r="C908" s="1" t="n">
        <v>46189</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41301-2025</t>
        </is>
      </c>
      <c r="B909" s="1" t="n">
        <v>45898.68826388889</v>
      </c>
      <c r="C909" s="1" t="n">
        <v>46189</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24690-2025</t>
        </is>
      </c>
      <c r="B910" s="1" t="n">
        <v>45798.67082175926</v>
      </c>
      <c r="C910" s="1" t="n">
        <v>46189</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24638-2025</t>
        </is>
      </c>
      <c r="B911" s="1" t="n">
        <v>45798</v>
      </c>
      <c r="C911" s="1" t="n">
        <v>46189</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6678-2025</t>
        </is>
      </c>
      <c r="B912" s="1" t="n">
        <v>45700</v>
      </c>
      <c r="C912" s="1" t="n">
        <v>46189</v>
      </c>
      <c r="D912" t="inlineStr">
        <is>
          <t>STOCKHOLMS LÄN</t>
        </is>
      </c>
      <c r="E912" t="inlineStr">
        <is>
          <t>NORRTÄLJE</t>
        </is>
      </c>
      <c r="F912" t="inlineStr">
        <is>
          <t>Övriga Aktiebolag</t>
        </is>
      </c>
      <c r="G912" t="n">
        <v>6.6</v>
      </c>
      <c r="H912" t="n">
        <v>0</v>
      </c>
      <c r="I912" t="n">
        <v>0</v>
      </c>
      <c r="J912" t="n">
        <v>0</v>
      </c>
      <c r="K912" t="n">
        <v>0</v>
      </c>
      <c r="L912" t="n">
        <v>0</v>
      </c>
      <c r="M912" t="n">
        <v>0</v>
      </c>
      <c r="N912" t="n">
        <v>0</v>
      </c>
      <c r="O912" t="n">
        <v>0</v>
      </c>
      <c r="P912" t="n">
        <v>0</v>
      </c>
      <c r="Q912" t="n">
        <v>0</v>
      </c>
      <c r="R912" s="2" t="inlineStr"/>
    </row>
    <row r="913" ht="15" customHeight="1">
      <c r="A913" t="inlineStr">
        <is>
          <t>A 17209-2026</t>
        </is>
      </c>
      <c r="B913" s="1" t="n">
        <v>46119.33341435185</v>
      </c>
      <c r="C913" s="1" t="n">
        <v>46189</v>
      </c>
      <c r="D913" t="inlineStr">
        <is>
          <t>STOCKHOLMS LÄN</t>
        </is>
      </c>
      <c r="E913" t="inlineStr">
        <is>
          <t>NORRTÄLJE</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13314-2025</t>
        </is>
      </c>
      <c r="B914" s="1" t="n">
        <v>45735.59287037037</v>
      </c>
      <c r="C914" s="1" t="n">
        <v>46189</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28603-2024</t>
        </is>
      </c>
      <c r="B915" s="1" t="n">
        <v>45478.42887731481</v>
      </c>
      <c r="C915" s="1" t="n">
        <v>46189</v>
      </c>
      <c r="D915" t="inlineStr">
        <is>
          <t>STOCKHOLMS LÄN</t>
        </is>
      </c>
      <c r="E915" t="inlineStr">
        <is>
          <t>NORRTÄLJE</t>
        </is>
      </c>
      <c r="G915" t="n">
        <v>5.6</v>
      </c>
      <c r="H915" t="n">
        <v>0</v>
      </c>
      <c r="I915" t="n">
        <v>0</v>
      </c>
      <c r="J915" t="n">
        <v>0</v>
      </c>
      <c r="K915" t="n">
        <v>0</v>
      </c>
      <c r="L915" t="n">
        <v>0</v>
      </c>
      <c r="M915" t="n">
        <v>0</v>
      </c>
      <c r="N915" t="n">
        <v>0</v>
      </c>
      <c r="O915" t="n">
        <v>0</v>
      </c>
      <c r="P915" t="n">
        <v>0</v>
      </c>
      <c r="Q915" t="n">
        <v>0</v>
      </c>
      <c r="R915" s="2" t="inlineStr"/>
    </row>
    <row r="916" ht="15" customHeight="1">
      <c r="A916" t="inlineStr">
        <is>
          <t>A 19759-2026</t>
        </is>
      </c>
      <c r="B916" s="1" t="n">
        <v>46135.41234953704</v>
      </c>
      <c r="C916" s="1" t="n">
        <v>46189</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25721-2025</t>
        </is>
      </c>
      <c r="B917" s="1" t="n">
        <v>45800</v>
      </c>
      <c r="C917" s="1" t="n">
        <v>46189</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32122-2025</t>
        </is>
      </c>
      <c r="B918" s="1" t="n">
        <v>45835.4928125</v>
      </c>
      <c r="C918" s="1" t="n">
        <v>46189</v>
      </c>
      <c r="D918" t="inlineStr">
        <is>
          <t>STOCKHOLMS LÄN</t>
        </is>
      </c>
      <c r="E918" t="inlineStr">
        <is>
          <t>NORRTÄLJE</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8315-2025</t>
        </is>
      </c>
      <c r="B919" s="1" t="n">
        <v>45708.61761574074</v>
      </c>
      <c r="C919" s="1" t="n">
        <v>46189</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25696-2026</t>
        </is>
      </c>
      <c r="B920" s="1" t="n">
        <v>46178.35767361111</v>
      </c>
      <c r="C920" s="1" t="n">
        <v>46189</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25571-2025</t>
        </is>
      </c>
      <c r="B921" s="1" t="n">
        <v>45803.4675</v>
      </c>
      <c r="C921" s="1" t="n">
        <v>46189</v>
      </c>
      <c r="D921" t="inlineStr">
        <is>
          <t>STOCKHOLMS LÄN</t>
        </is>
      </c>
      <c r="E921" t="inlineStr">
        <is>
          <t>NORRTÄLJE</t>
        </is>
      </c>
      <c r="G921" t="n">
        <v>5.4</v>
      </c>
      <c r="H921" t="n">
        <v>0</v>
      </c>
      <c r="I921" t="n">
        <v>0</v>
      </c>
      <c r="J921" t="n">
        <v>0</v>
      </c>
      <c r="K921" t="n">
        <v>0</v>
      </c>
      <c r="L921" t="n">
        <v>0</v>
      </c>
      <c r="M921" t="n">
        <v>0</v>
      </c>
      <c r="N921" t="n">
        <v>0</v>
      </c>
      <c r="O921" t="n">
        <v>0</v>
      </c>
      <c r="P921" t="n">
        <v>0</v>
      </c>
      <c r="Q921" t="n">
        <v>0</v>
      </c>
      <c r="R921" s="2" t="inlineStr"/>
    </row>
    <row r="922" ht="15" customHeight="1">
      <c r="A922" t="inlineStr">
        <is>
          <t>A 20336-2024</t>
        </is>
      </c>
      <c r="B922" s="1" t="n">
        <v>45435.43123842592</v>
      </c>
      <c r="C922" s="1" t="n">
        <v>46189</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53561-2023</t>
        </is>
      </c>
      <c r="B923" s="1" t="n">
        <v>45224</v>
      </c>
      <c r="C923" s="1" t="n">
        <v>46189</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25712-2025</t>
        </is>
      </c>
      <c r="B924" s="1" t="n">
        <v>45803.69228009259</v>
      </c>
      <c r="C924" s="1" t="n">
        <v>46189</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41218-2024</t>
        </is>
      </c>
      <c r="B925" s="1" t="n">
        <v>45559.54706018518</v>
      </c>
      <c r="C925" s="1" t="n">
        <v>46189</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39238-2024</t>
        </is>
      </c>
      <c r="B926" s="1" t="n">
        <v>45549</v>
      </c>
      <c r="C926" s="1" t="n">
        <v>46189</v>
      </c>
      <c r="D926" t="inlineStr">
        <is>
          <t>STOCKHOLMS LÄN</t>
        </is>
      </c>
      <c r="E926" t="inlineStr">
        <is>
          <t>NORRTÄLJE</t>
        </is>
      </c>
      <c r="G926" t="n">
        <v>3.6</v>
      </c>
      <c r="H926" t="n">
        <v>0</v>
      </c>
      <c r="I926" t="n">
        <v>0</v>
      </c>
      <c r="J926" t="n">
        <v>0</v>
      </c>
      <c r="K926" t="n">
        <v>0</v>
      </c>
      <c r="L926" t="n">
        <v>0</v>
      </c>
      <c r="M926" t="n">
        <v>0</v>
      </c>
      <c r="N926" t="n">
        <v>0</v>
      </c>
      <c r="O926" t="n">
        <v>0</v>
      </c>
      <c r="P926" t="n">
        <v>0</v>
      </c>
      <c r="Q926" t="n">
        <v>0</v>
      </c>
      <c r="R926" s="2" t="inlineStr"/>
    </row>
    <row r="927" ht="15" customHeight="1">
      <c r="A927" t="inlineStr">
        <is>
          <t>A 38449-2022</t>
        </is>
      </c>
      <c r="B927" s="1" t="n">
        <v>44813</v>
      </c>
      <c r="C927" s="1" t="n">
        <v>46189</v>
      </c>
      <c r="D927" t="inlineStr">
        <is>
          <t>STOCKHOLMS LÄN</t>
        </is>
      </c>
      <c r="E927" t="inlineStr">
        <is>
          <t>NORRTÄLJE</t>
        </is>
      </c>
      <c r="G927" t="n">
        <v>4.2</v>
      </c>
      <c r="H927" t="n">
        <v>0</v>
      </c>
      <c r="I927" t="n">
        <v>0</v>
      </c>
      <c r="J927" t="n">
        <v>0</v>
      </c>
      <c r="K927" t="n">
        <v>0</v>
      </c>
      <c r="L927" t="n">
        <v>0</v>
      </c>
      <c r="M927" t="n">
        <v>0</v>
      </c>
      <c r="N927" t="n">
        <v>0</v>
      </c>
      <c r="O927" t="n">
        <v>0</v>
      </c>
      <c r="P927" t="n">
        <v>0</v>
      </c>
      <c r="Q927" t="n">
        <v>0</v>
      </c>
      <c r="R927" s="2" t="inlineStr"/>
    </row>
    <row r="928" ht="15" customHeight="1">
      <c r="A928" t="inlineStr">
        <is>
          <t>A 47259-2024</t>
        </is>
      </c>
      <c r="B928" s="1" t="n">
        <v>45586</v>
      </c>
      <c r="C928" s="1" t="n">
        <v>46189</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41966-2025</t>
        </is>
      </c>
      <c r="B929" s="1" t="n">
        <v>45903.47456018518</v>
      </c>
      <c r="C929" s="1" t="n">
        <v>46189</v>
      </c>
      <c r="D929" t="inlineStr">
        <is>
          <t>STOCKHOLMS LÄN</t>
        </is>
      </c>
      <c r="E929" t="inlineStr">
        <is>
          <t>NORRTÄLJE</t>
        </is>
      </c>
      <c r="F929" t="inlineStr">
        <is>
          <t>Sveaskog</t>
        </is>
      </c>
      <c r="G929" t="n">
        <v>3.7</v>
      </c>
      <c r="H929" t="n">
        <v>0</v>
      </c>
      <c r="I929" t="n">
        <v>0</v>
      </c>
      <c r="J929" t="n">
        <v>0</v>
      </c>
      <c r="K929" t="n">
        <v>0</v>
      </c>
      <c r="L929" t="n">
        <v>0</v>
      </c>
      <c r="M929" t="n">
        <v>0</v>
      </c>
      <c r="N929" t="n">
        <v>0</v>
      </c>
      <c r="O929" t="n">
        <v>0</v>
      </c>
      <c r="P929" t="n">
        <v>0</v>
      </c>
      <c r="Q929" t="n">
        <v>0</v>
      </c>
      <c r="R929" s="2" t="inlineStr"/>
    </row>
    <row r="930" ht="15" customHeight="1">
      <c r="A930" t="inlineStr">
        <is>
          <t>A 23061-2025</t>
        </is>
      </c>
      <c r="B930" s="1" t="n">
        <v>45790.81410879629</v>
      </c>
      <c r="C930" s="1" t="n">
        <v>46189</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26747-2025</t>
        </is>
      </c>
      <c r="B931" s="1" t="n">
        <v>45810.5333912037</v>
      </c>
      <c r="C931" s="1" t="n">
        <v>46189</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26702-2025</t>
        </is>
      </c>
      <c r="B932" s="1" t="n">
        <v>45810.45236111111</v>
      </c>
      <c r="C932" s="1" t="n">
        <v>46189</v>
      </c>
      <c r="D932" t="inlineStr">
        <is>
          <t>STOCKHOLMS LÄN</t>
        </is>
      </c>
      <c r="E932" t="inlineStr">
        <is>
          <t>NORRTÄLJE</t>
        </is>
      </c>
      <c r="G932" t="n">
        <v>7.3</v>
      </c>
      <c r="H932" t="n">
        <v>0</v>
      </c>
      <c r="I932" t="n">
        <v>0</v>
      </c>
      <c r="J932" t="n">
        <v>0</v>
      </c>
      <c r="K932" t="n">
        <v>0</v>
      </c>
      <c r="L932" t="n">
        <v>0</v>
      </c>
      <c r="M932" t="n">
        <v>0</v>
      </c>
      <c r="N932" t="n">
        <v>0</v>
      </c>
      <c r="O932" t="n">
        <v>0</v>
      </c>
      <c r="P932" t="n">
        <v>0</v>
      </c>
      <c r="Q932" t="n">
        <v>0</v>
      </c>
      <c r="R932" s="2" t="inlineStr"/>
    </row>
    <row r="933" ht="15" customHeight="1">
      <c r="A933" t="inlineStr">
        <is>
          <t>A 30221-2024</t>
        </is>
      </c>
      <c r="B933" s="1" t="n">
        <v>45490.45342592592</v>
      </c>
      <c r="C933" s="1" t="n">
        <v>46189</v>
      </c>
      <c r="D933" t="inlineStr">
        <is>
          <t>STOCKHOLMS LÄN</t>
        </is>
      </c>
      <c r="E933" t="inlineStr">
        <is>
          <t>NORRTÄLJE</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26708-2025</t>
        </is>
      </c>
      <c r="B934" s="1" t="n">
        <v>45810.45633101852</v>
      </c>
      <c r="C934" s="1" t="n">
        <v>46189</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1283-2025</t>
        </is>
      </c>
      <c r="B935" s="1" t="n">
        <v>45667.49878472222</v>
      </c>
      <c r="C935" s="1" t="n">
        <v>46189</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35254-2025</t>
        </is>
      </c>
      <c r="B936" s="1" t="n">
        <v>45853</v>
      </c>
      <c r="C936" s="1" t="n">
        <v>46189</v>
      </c>
      <c r="D936" t="inlineStr">
        <is>
          <t>STOCKHOLMS LÄN</t>
        </is>
      </c>
      <c r="E936" t="inlineStr">
        <is>
          <t>NORRTÄLJE</t>
        </is>
      </c>
      <c r="G936" t="n">
        <v>6.5</v>
      </c>
      <c r="H936" t="n">
        <v>0</v>
      </c>
      <c r="I936" t="n">
        <v>0</v>
      </c>
      <c r="J936" t="n">
        <v>0</v>
      </c>
      <c r="K936" t="n">
        <v>0</v>
      </c>
      <c r="L936" t="n">
        <v>0</v>
      </c>
      <c r="M936" t="n">
        <v>0</v>
      </c>
      <c r="N936" t="n">
        <v>0</v>
      </c>
      <c r="O936" t="n">
        <v>0</v>
      </c>
      <c r="P936" t="n">
        <v>0</v>
      </c>
      <c r="Q936" t="n">
        <v>0</v>
      </c>
      <c r="R936" s="2" t="inlineStr"/>
    </row>
    <row r="937" ht="15" customHeight="1">
      <c r="A937" t="inlineStr">
        <is>
          <t>A 27040-2025</t>
        </is>
      </c>
      <c r="B937" s="1" t="n">
        <v>45811.60451388889</v>
      </c>
      <c r="C937" s="1" t="n">
        <v>46189</v>
      </c>
      <c r="D937" t="inlineStr">
        <is>
          <t>STOCKHOLMS LÄN</t>
        </is>
      </c>
      <c r="E937" t="inlineStr">
        <is>
          <t>NORRTÄLJE</t>
        </is>
      </c>
      <c r="G937" t="n">
        <v>4.3</v>
      </c>
      <c r="H937" t="n">
        <v>0</v>
      </c>
      <c r="I937" t="n">
        <v>0</v>
      </c>
      <c r="J937" t="n">
        <v>0</v>
      </c>
      <c r="K937" t="n">
        <v>0</v>
      </c>
      <c r="L937" t="n">
        <v>0</v>
      </c>
      <c r="M937" t="n">
        <v>0</v>
      </c>
      <c r="N937" t="n">
        <v>0</v>
      </c>
      <c r="O937" t="n">
        <v>0</v>
      </c>
      <c r="P937" t="n">
        <v>0</v>
      </c>
      <c r="Q937" t="n">
        <v>0</v>
      </c>
      <c r="R937" s="2" t="inlineStr"/>
    </row>
    <row r="938" ht="15" customHeight="1">
      <c r="A938" t="inlineStr">
        <is>
          <t>A 52254-2025</t>
        </is>
      </c>
      <c r="B938" s="1" t="n">
        <v>45953.49519675926</v>
      </c>
      <c r="C938" s="1" t="n">
        <v>46189</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27806-2025</t>
        </is>
      </c>
      <c r="B939" s="1" t="n">
        <v>45817.30329861111</v>
      </c>
      <c r="C939" s="1" t="n">
        <v>46189</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27700-2025</t>
        </is>
      </c>
      <c r="B940" s="1" t="n">
        <v>45813.6799537037</v>
      </c>
      <c r="C940" s="1" t="n">
        <v>46189</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11901-2024</t>
        </is>
      </c>
      <c r="B941" s="1" t="n">
        <v>45376.55638888889</v>
      </c>
      <c r="C941" s="1" t="n">
        <v>46189</v>
      </c>
      <c r="D941" t="inlineStr">
        <is>
          <t>STOCKHOLMS LÄN</t>
        </is>
      </c>
      <c r="E941" t="inlineStr">
        <is>
          <t>NORRTÄLJE</t>
        </is>
      </c>
      <c r="F941" t="inlineStr">
        <is>
          <t>Holmen skog AB</t>
        </is>
      </c>
      <c r="G941" t="n">
        <v>3.5</v>
      </c>
      <c r="H941" t="n">
        <v>0</v>
      </c>
      <c r="I941" t="n">
        <v>0</v>
      </c>
      <c r="J941" t="n">
        <v>0</v>
      </c>
      <c r="K941" t="n">
        <v>0</v>
      </c>
      <c r="L941" t="n">
        <v>0</v>
      </c>
      <c r="M941" t="n">
        <v>0</v>
      </c>
      <c r="N941" t="n">
        <v>0</v>
      </c>
      <c r="O941" t="n">
        <v>0</v>
      </c>
      <c r="P941" t="n">
        <v>0</v>
      </c>
      <c r="Q941" t="n">
        <v>0</v>
      </c>
      <c r="R941" s="2" t="inlineStr"/>
    </row>
    <row r="942" ht="15" customHeight="1">
      <c r="A942" t="inlineStr">
        <is>
          <t>A 27808-2025</t>
        </is>
      </c>
      <c r="B942" s="1" t="n">
        <v>45817.31085648148</v>
      </c>
      <c r="C942" s="1" t="n">
        <v>46189</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27818-2025</t>
        </is>
      </c>
      <c r="B943" s="1" t="n">
        <v>45817.33503472222</v>
      </c>
      <c r="C943" s="1" t="n">
        <v>46189</v>
      </c>
      <c r="D943" t="inlineStr">
        <is>
          <t>STOCKHOLMS LÄN</t>
        </is>
      </c>
      <c r="E943" t="inlineStr">
        <is>
          <t>NORRTÄLJE</t>
        </is>
      </c>
      <c r="F943" t="inlineStr">
        <is>
          <t>Sveaskog</t>
        </is>
      </c>
      <c r="G943" t="n">
        <v>0.3</v>
      </c>
      <c r="H943" t="n">
        <v>0</v>
      </c>
      <c r="I943" t="n">
        <v>0</v>
      </c>
      <c r="J943" t="n">
        <v>0</v>
      </c>
      <c r="K943" t="n">
        <v>0</v>
      </c>
      <c r="L943" t="n">
        <v>0</v>
      </c>
      <c r="M943" t="n">
        <v>0</v>
      </c>
      <c r="N943" t="n">
        <v>0</v>
      </c>
      <c r="O943" t="n">
        <v>0</v>
      </c>
      <c r="P943" t="n">
        <v>0</v>
      </c>
      <c r="Q943" t="n">
        <v>0</v>
      </c>
      <c r="R943" s="2" t="inlineStr"/>
    </row>
    <row r="944" ht="15" customHeight="1">
      <c r="A944" t="inlineStr">
        <is>
          <t>A 24351-2025</t>
        </is>
      </c>
      <c r="B944" s="1" t="n">
        <v>45797.58399305555</v>
      </c>
      <c r="C944" s="1" t="n">
        <v>46189</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15528-2025</t>
        </is>
      </c>
      <c r="B945" s="1" t="n">
        <v>45747.63471064815</v>
      </c>
      <c r="C945" s="1" t="n">
        <v>46189</v>
      </c>
      <c r="D945" t="inlineStr">
        <is>
          <t>STOCKHOLMS LÄN</t>
        </is>
      </c>
      <c r="E945" t="inlineStr">
        <is>
          <t>NORRTÄLJE</t>
        </is>
      </c>
      <c r="G945" t="n">
        <v>10</v>
      </c>
      <c r="H945" t="n">
        <v>0</v>
      </c>
      <c r="I945" t="n">
        <v>0</v>
      </c>
      <c r="J945" t="n">
        <v>0</v>
      </c>
      <c r="K945" t="n">
        <v>0</v>
      </c>
      <c r="L945" t="n">
        <v>0</v>
      </c>
      <c r="M945" t="n">
        <v>0</v>
      </c>
      <c r="N945" t="n">
        <v>0</v>
      </c>
      <c r="O945" t="n">
        <v>0</v>
      </c>
      <c r="P945" t="n">
        <v>0</v>
      </c>
      <c r="Q945" t="n">
        <v>0</v>
      </c>
      <c r="R945" s="2" t="inlineStr"/>
    </row>
    <row r="946" ht="15" customHeight="1">
      <c r="A946" t="inlineStr">
        <is>
          <t>A 27821-2025</t>
        </is>
      </c>
      <c r="B946" s="1" t="n">
        <v>45817.34083333334</v>
      </c>
      <c r="C946" s="1" t="n">
        <v>46189</v>
      </c>
      <c r="D946" t="inlineStr">
        <is>
          <t>STOCKHOLMS LÄN</t>
        </is>
      </c>
      <c r="E946" t="inlineStr">
        <is>
          <t>NORRTÄLJE</t>
        </is>
      </c>
      <c r="G946" t="n">
        <v>3.2</v>
      </c>
      <c r="H946" t="n">
        <v>0</v>
      </c>
      <c r="I946" t="n">
        <v>0</v>
      </c>
      <c r="J946" t="n">
        <v>0</v>
      </c>
      <c r="K946" t="n">
        <v>0</v>
      </c>
      <c r="L946" t="n">
        <v>0</v>
      </c>
      <c r="M946" t="n">
        <v>0</v>
      </c>
      <c r="N946" t="n">
        <v>0</v>
      </c>
      <c r="O946" t="n">
        <v>0</v>
      </c>
      <c r="P946" t="n">
        <v>0</v>
      </c>
      <c r="Q946" t="n">
        <v>0</v>
      </c>
      <c r="R946" s="2" t="inlineStr"/>
    </row>
    <row r="947" ht="15" customHeight="1">
      <c r="A947" t="inlineStr">
        <is>
          <t>A 52251-2025</t>
        </is>
      </c>
      <c r="B947" s="1" t="n">
        <v>45953.49185185185</v>
      </c>
      <c r="C947" s="1" t="n">
        <v>46189</v>
      </c>
      <c r="D947" t="inlineStr">
        <is>
          <t>STOCKHOLMS LÄN</t>
        </is>
      </c>
      <c r="E947" t="inlineStr">
        <is>
          <t>NORRTÄLJE</t>
        </is>
      </c>
      <c r="G947" t="n">
        <v>6.2</v>
      </c>
      <c r="H947" t="n">
        <v>0</v>
      </c>
      <c r="I947" t="n">
        <v>0</v>
      </c>
      <c r="J947" t="n">
        <v>0</v>
      </c>
      <c r="K947" t="n">
        <v>0</v>
      </c>
      <c r="L947" t="n">
        <v>0</v>
      </c>
      <c r="M947" t="n">
        <v>0</v>
      </c>
      <c r="N947" t="n">
        <v>0</v>
      </c>
      <c r="O947" t="n">
        <v>0</v>
      </c>
      <c r="P947" t="n">
        <v>0</v>
      </c>
      <c r="Q947" t="n">
        <v>0</v>
      </c>
      <c r="R947" s="2" t="inlineStr"/>
    </row>
    <row r="948" ht="15" customHeight="1">
      <c r="A948" t="inlineStr">
        <is>
          <t>A 32094-2025</t>
        </is>
      </c>
      <c r="B948" s="1" t="n">
        <v>45835.46034722222</v>
      </c>
      <c r="C948" s="1" t="n">
        <v>46189</v>
      </c>
      <c r="D948" t="inlineStr">
        <is>
          <t>STOCKHOLMS LÄN</t>
        </is>
      </c>
      <c r="E948" t="inlineStr">
        <is>
          <t>NORRTÄLJE</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27813-2025</t>
        </is>
      </c>
      <c r="B949" s="1" t="n">
        <v>45817.32538194444</v>
      </c>
      <c r="C949" s="1" t="n">
        <v>46189</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29250-2025</t>
        </is>
      </c>
      <c r="B950" s="1" t="n">
        <v>45824.37275462963</v>
      </c>
      <c r="C950" s="1" t="n">
        <v>46189</v>
      </c>
      <c r="D950" t="inlineStr">
        <is>
          <t>STOCKHOLMS LÄN</t>
        </is>
      </c>
      <c r="E950" t="inlineStr">
        <is>
          <t>NORRTÄLJE</t>
        </is>
      </c>
      <c r="F950" t="inlineStr">
        <is>
          <t>Sveaskog</t>
        </is>
      </c>
      <c r="G950" t="n">
        <v>6.4</v>
      </c>
      <c r="H950" t="n">
        <v>0</v>
      </c>
      <c r="I950" t="n">
        <v>0</v>
      </c>
      <c r="J950" t="n">
        <v>0</v>
      </c>
      <c r="K950" t="n">
        <v>0</v>
      </c>
      <c r="L950" t="n">
        <v>0</v>
      </c>
      <c r="M950" t="n">
        <v>0</v>
      </c>
      <c r="N950" t="n">
        <v>0</v>
      </c>
      <c r="O950" t="n">
        <v>0</v>
      </c>
      <c r="P950" t="n">
        <v>0</v>
      </c>
      <c r="Q950" t="n">
        <v>0</v>
      </c>
      <c r="R950" s="2" t="inlineStr"/>
    </row>
    <row r="951" ht="15" customHeight="1">
      <c r="A951" t="inlineStr">
        <is>
          <t>A 37628-2025</t>
        </is>
      </c>
      <c r="B951" s="1" t="n">
        <v>45880.46189814815</v>
      </c>
      <c r="C951" s="1" t="n">
        <v>46189</v>
      </c>
      <c r="D951" t="inlineStr">
        <is>
          <t>STOCKHOLMS LÄN</t>
        </is>
      </c>
      <c r="E951" t="inlineStr">
        <is>
          <t>NORRTÄLJE</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26210-2026</t>
        </is>
      </c>
      <c r="B952" s="1" t="n">
        <v>46182.43133101852</v>
      </c>
      <c r="C952" s="1" t="n">
        <v>46189</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13785-2024</t>
        </is>
      </c>
      <c r="B953" s="1" t="n">
        <v>45391.3395949074</v>
      </c>
      <c r="C953" s="1" t="n">
        <v>46189</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1654-2025</t>
        </is>
      </c>
      <c r="B954" s="1" t="n">
        <v>45670.65921296296</v>
      </c>
      <c r="C954" s="1" t="n">
        <v>46189</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30668-2025</t>
        </is>
      </c>
      <c r="B955" s="1" t="n">
        <v>45831.51659722222</v>
      </c>
      <c r="C955" s="1" t="n">
        <v>46189</v>
      </c>
      <c r="D955" t="inlineStr">
        <is>
          <t>STOCKHOLMS LÄN</t>
        </is>
      </c>
      <c r="E955" t="inlineStr">
        <is>
          <t>NORRTÄLJE</t>
        </is>
      </c>
      <c r="G955" t="n">
        <v>4.9</v>
      </c>
      <c r="H955" t="n">
        <v>0</v>
      </c>
      <c r="I955" t="n">
        <v>0</v>
      </c>
      <c r="J955" t="n">
        <v>0</v>
      </c>
      <c r="K955" t="n">
        <v>0</v>
      </c>
      <c r="L955" t="n">
        <v>0</v>
      </c>
      <c r="M955" t="n">
        <v>0</v>
      </c>
      <c r="N955" t="n">
        <v>0</v>
      </c>
      <c r="O955" t="n">
        <v>0</v>
      </c>
      <c r="P955" t="n">
        <v>0</v>
      </c>
      <c r="Q955" t="n">
        <v>0</v>
      </c>
      <c r="R955" s="2" t="inlineStr"/>
    </row>
    <row r="956" ht="15" customHeight="1">
      <c r="A956" t="inlineStr">
        <is>
          <t>A 37273-2024</t>
        </is>
      </c>
      <c r="B956" s="1" t="n">
        <v>45540</v>
      </c>
      <c r="C956" s="1" t="n">
        <v>46189</v>
      </c>
      <c r="D956" t="inlineStr">
        <is>
          <t>STOCKHOLMS LÄN</t>
        </is>
      </c>
      <c r="E956" t="inlineStr">
        <is>
          <t>NORRTÄLJE</t>
        </is>
      </c>
      <c r="F956" t="inlineStr">
        <is>
          <t>Sveaskog</t>
        </is>
      </c>
      <c r="G956" t="n">
        <v>12.5</v>
      </c>
      <c r="H956" t="n">
        <v>0</v>
      </c>
      <c r="I956" t="n">
        <v>0</v>
      </c>
      <c r="J956" t="n">
        <v>0</v>
      </c>
      <c r="K956" t="n">
        <v>0</v>
      </c>
      <c r="L956" t="n">
        <v>0</v>
      </c>
      <c r="M956" t="n">
        <v>0</v>
      </c>
      <c r="N956" t="n">
        <v>0</v>
      </c>
      <c r="O956" t="n">
        <v>0</v>
      </c>
      <c r="P956" t="n">
        <v>0</v>
      </c>
      <c r="Q956" t="n">
        <v>0</v>
      </c>
      <c r="R956" s="2" t="inlineStr"/>
    </row>
    <row r="957" ht="15" customHeight="1">
      <c r="A957" t="inlineStr">
        <is>
          <t>A 30639-2025</t>
        </is>
      </c>
      <c r="B957" s="1" t="n">
        <v>45831.4844212963</v>
      </c>
      <c r="C957" s="1" t="n">
        <v>46189</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25968-2026</t>
        </is>
      </c>
      <c r="B958" s="1" t="n">
        <v>46181.37493055555</v>
      </c>
      <c r="C958" s="1" t="n">
        <v>46189</v>
      </c>
      <c r="D958" t="inlineStr">
        <is>
          <t>STOCKHOLMS LÄN</t>
        </is>
      </c>
      <c r="E958" t="inlineStr">
        <is>
          <t>NORRTÄLJE</t>
        </is>
      </c>
      <c r="F958" t="inlineStr">
        <is>
          <t>Kyrkan</t>
        </is>
      </c>
      <c r="G958" t="n">
        <v>3.6</v>
      </c>
      <c r="H958" t="n">
        <v>0</v>
      </c>
      <c r="I958" t="n">
        <v>0</v>
      </c>
      <c r="J958" t="n">
        <v>0</v>
      </c>
      <c r="K958" t="n">
        <v>0</v>
      </c>
      <c r="L958" t="n">
        <v>0</v>
      </c>
      <c r="M958" t="n">
        <v>0</v>
      </c>
      <c r="N958" t="n">
        <v>0</v>
      </c>
      <c r="O958" t="n">
        <v>0</v>
      </c>
      <c r="P958" t="n">
        <v>0</v>
      </c>
      <c r="Q958" t="n">
        <v>0</v>
      </c>
      <c r="R958" s="2" t="inlineStr"/>
    </row>
    <row r="959" ht="15" customHeight="1">
      <c r="A959" t="inlineStr">
        <is>
          <t>A 47521-2024</t>
        </is>
      </c>
      <c r="B959" s="1" t="n">
        <v>45587.62565972222</v>
      </c>
      <c r="C959" s="1" t="n">
        <v>46189</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31874-2025</t>
        </is>
      </c>
      <c r="B960" s="1" t="n">
        <v>45834</v>
      </c>
      <c r="C960" s="1" t="n">
        <v>46189</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31868-2025</t>
        </is>
      </c>
      <c r="B961" s="1" t="n">
        <v>45834.6447337963</v>
      </c>
      <c r="C961" s="1" t="n">
        <v>46189</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7806-2025</t>
        </is>
      </c>
      <c r="B962" s="1" t="n">
        <v>45706.61178240741</v>
      </c>
      <c r="C962" s="1" t="n">
        <v>46189</v>
      </c>
      <c r="D962" t="inlineStr">
        <is>
          <t>STOCKHOLMS LÄN</t>
        </is>
      </c>
      <c r="E962" t="inlineStr">
        <is>
          <t>NORRTÄLJE</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31880-2025</t>
        </is>
      </c>
      <c r="B963" s="1" t="n">
        <v>45834.65538194445</v>
      </c>
      <c r="C963" s="1" t="n">
        <v>46189</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32283-2025</t>
        </is>
      </c>
      <c r="B964" s="1" t="n">
        <v>45835.68076388889</v>
      </c>
      <c r="C964" s="1" t="n">
        <v>46189</v>
      </c>
      <c r="D964" t="inlineStr">
        <is>
          <t>STOCKHOLMS LÄN</t>
        </is>
      </c>
      <c r="E964" t="inlineStr">
        <is>
          <t>NORRTÄLJE</t>
        </is>
      </c>
      <c r="G964" t="n">
        <v>1.8</v>
      </c>
      <c r="H964" t="n">
        <v>0</v>
      </c>
      <c r="I964" t="n">
        <v>0</v>
      </c>
      <c r="J964" t="n">
        <v>0</v>
      </c>
      <c r="K964" t="n">
        <v>0</v>
      </c>
      <c r="L964" t="n">
        <v>0</v>
      </c>
      <c r="M964" t="n">
        <v>0</v>
      </c>
      <c r="N964" t="n">
        <v>0</v>
      </c>
      <c r="O964" t="n">
        <v>0</v>
      </c>
      <c r="P964" t="n">
        <v>0</v>
      </c>
      <c r="Q964" t="n">
        <v>0</v>
      </c>
      <c r="R964" s="2" t="inlineStr"/>
    </row>
    <row r="965" ht="15" customHeight="1">
      <c r="A965" t="inlineStr">
        <is>
          <t>A 11041-2025</t>
        </is>
      </c>
      <c r="B965" s="1" t="n">
        <v>45723</v>
      </c>
      <c r="C965" s="1" t="n">
        <v>46189</v>
      </c>
      <c r="D965" t="inlineStr">
        <is>
          <t>STOCKHOLMS LÄN</t>
        </is>
      </c>
      <c r="E965" t="inlineStr">
        <is>
          <t>NORRTÄLJE</t>
        </is>
      </c>
      <c r="F965" t="inlineStr">
        <is>
          <t>Övriga Aktiebolag</t>
        </is>
      </c>
      <c r="G965" t="n">
        <v>1.8</v>
      </c>
      <c r="H965" t="n">
        <v>0</v>
      </c>
      <c r="I965" t="n">
        <v>0</v>
      </c>
      <c r="J965" t="n">
        <v>0</v>
      </c>
      <c r="K965" t="n">
        <v>0</v>
      </c>
      <c r="L965" t="n">
        <v>0</v>
      </c>
      <c r="M965" t="n">
        <v>0</v>
      </c>
      <c r="N965" t="n">
        <v>0</v>
      </c>
      <c r="O965" t="n">
        <v>0</v>
      </c>
      <c r="P965" t="n">
        <v>0</v>
      </c>
      <c r="Q965" t="n">
        <v>0</v>
      </c>
      <c r="R965" s="2" t="inlineStr"/>
    </row>
    <row r="966" ht="15" customHeight="1">
      <c r="A966" t="inlineStr">
        <is>
          <t>A 26083-2026</t>
        </is>
      </c>
      <c r="B966" s="1" t="n">
        <v>46181.63171296296</v>
      </c>
      <c r="C966" s="1" t="n">
        <v>46189</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32480-2025</t>
        </is>
      </c>
      <c r="B967" s="1" t="n">
        <v>45838.43261574074</v>
      </c>
      <c r="C967" s="1" t="n">
        <v>46189</v>
      </c>
      <c r="D967" t="inlineStr">
        <is>
          <t>STOCKHOLMS LÄN</t>
        </is>
      </c>
      <c r="E967" t="inlineStr">
        <is>
          <t>NORRTÄLJE</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55503-2025</t>
        </is>
      </c>
      <c r="B968" s="1" t="n">
        <v>45971</v>
      </c>
      <c r="C968" s="1" t="n">
        <v>46189</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33211-2025</t>
        </is>
      </c>
      <c r="B969" s="1" t="n">
        <v>45840.62755787037</v>
      </c>
      <c r="C969" s="1" t="n">
        <v>46189</v>
      </c>
      <c r="D969" t="inlineStr">
        <is>
          <t>STOCKHOLMS LÄN</t>
        </is>
      </c>
      <c r="E969" t="inlineStr">
        <is>
          <t>NORRTÄLJE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32872-2025</t>
        </is>
      </c>
      <c r="B970" s="1" t="n">
        <v>45839</v>
      </c>
      <c r="C970" s="1" t="n">
        <v>46189</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33336-2025</t>
        </is>
      </c>
      <c r="B971" s="1" t="n">
        <v>45841.35611111111</v>
      </c>
      <c r="C971" s="1" t="n">
        <v>46189</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25917-2026</t>
        </is>
      </c>
      <c r="B972" s="1" t="n">
        <v>46178.74501157407</v>
      </c>
      <c r="C972" s="1" t="n">
        <v>46189</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25919-2026</t>
        </is>
      </c>
      <c r="B973" s="1" t="n">
        <v>46178.7539699074</v>
      </c>
      <c r="C973" s="1" t="n">
        <v>46189</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33552-2025</t>
        </is>
      </c>
      <c r="B974" s="1" t="n">
        <v>45841.5737962963</v>
      </c>
      <c r="C974" s="1" t="n">
        <v>46189</v>
      </c>
      <c r="D974" t="inlineStr">
        <is>
          <t>STOCKHOLMS LÄN</t>
        </is>
      </c>
      <c r="E974" t="inlineStr">
        <is>
          <t>NORRTÄLJE</t>
        </is>
      </c>
      <c r="G974" t="n">
        <v>8.9</v>
      </c>
      <c r="H974" t="n">
        <v>0</v>
      </c>
      <c r="I974" t="n">
        <v>0</v>
      </c>
      <c r="J974" t="n">
        <v>0</v>
      </c>
      <c r="K974" t="n">
        <v>0</v>
      </c>
      <c r="L974" t="n">
        <v>0</v>
      </c>
      <c r="M974" t="n">
        <v>0</v>
      </c>
      <c r="N974" t="n">
        <v>0</v>
      </c>
      <c r="O974" t="n">
        <v>0</v>
      </c>
      <c r="P974" t="n">
        <v>0</v>
      </c>
      <c r="Q974" t="n">
        <v>0</v>
      </c>
      <c r="R974" s="2" t="inlineStr"/>
    </row>
    <row r="975" ht="15" customHeight="1">
      <c r="A975" t="inlineStr">
        <is>
          <t>A 33824-2025</t>
        </is>
      </c>
      <c r="B975" s="1" t="n">
        <v>45842.46885416667</v>
      </c>
      <c r="C975" s="1" t="n">
        <v>46189</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46073-2024</t>
        </is>
      </c>
      <c r="B976" s="1" t="n">
        <v>45581</v>
      </c>
      <c r="C976" s="1" t="n">
        <v>46189</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36689-2023</t>
        </is>
      </c>
      <c r="B977" s="1" t="n">
        <v>45152</v>
      </c>
      <c r="C977" s="1" t="n">
        <v>46189</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34139-2025</t>
        </is>
      </c>
      <c r="B978" s="1" t="n">
        <v>45845</v>
      </c>
      <c r="C978" s="1" t="n">
        <v>46189</v>
      </c>
      <c r="D978" t="inlineStr">
        <is>
          <t>STOCKHOLMS LÄN</t>
        </is>
      </c>
      <c r="E978" t="inlineStr">
        <is>
          <t>NORRTÄLJE</t>
        </is>
      </c>
      <c r="G978" t="n">
        <v>5.5</v>
      </c>
      <c r="H978" t="n">
        <v>0</v>
      </c>
      <c r="I978" t="n">
        <v>0</v>
      </c>
      <c r="J978" t="n">
        <v>0</v>
      </c>
      <c r="K978" t="n">
        <v>0</v>
      </c>
      <c r="L978" t="n">
        <v>0</v>
      </c>
      <c r="M978" t="n">
        <v>0</v>
      </c>
      <c r="N978" t="n">
        <v>0</v>
      </c>
      <c r="O978" t="n">
        <v>0</v>
      </c>
      <c r="P978" t="n">
        <v>0</v>
      </c>
      <c r="Q978" t="n">
        <v>0</v>
      </c>
      <c r="R978" s="2" t="inlineStr"/>
    </row>
    <row r="979" ht="15" customHeight="1">
      <c r="A979" t="inlineStr">
        <is>
          <t>A 34010-2025</t>
        </is>
      </c>
      <c r="B979" s="1" t="n">
        <v>45844.91234953704</v>
      </c>
      <c r="C979" s="1" t="n">
        <v>46189</v>
      </c>
      <c r="D979" t="inlineStr">
        <is>
          <t>STOCKHOLMS LÄN</t>
        </is>
      </c>
      <c r="E979" t="inlineStr">
        <is>
          <t>NORRTÄLJE</t>
        </is>
      </c>
      <c r="F979" t="inlineStr">
        <is>
          <t>Övriga Aktiebolag</t>
        </is>
      </c>
      <c r="G979" t="n">
        <v>1.1</v>
      </c>
      <c r="H979" t="n">
        <v>0</v>
      </c>
      <c r="I979" t="n">
        <v>0</v>
      </c>
      <c r="J979" t="n">
        <v>0</v>
      </c>
      <c r="K979" t="n">
        <v>0</v>
      </c>
      <c r="L979" t="n">
        <v>0</v>
      </c>
      <c r="M979" t="n">
        <v>0</v>
      </c>
      <c r="N979" t="n">
        <v>0</v>
      </c>
      <c r="O979" t="n">
        <v>0</v>
      </c>
      <c r="P979" t="n">
        <v>0</v>
      </c>
      <c r="Q979" t="n">
        <v>0</v>
      </c>
      <c r="R979" s="2" t="inlineStr"/>
    </row>
    <row r="980" ht="15" customHeight="1">
      <c r="A980" t="inlineStr">
        <is>
          <t>A 35110-2025</t>
        </is>
      </c>
      <c r="B980" s="1" t="n">
        <v>45852.58030092593</v>
      </c>
      <c r="C980" s="1" t="n">
        <v>46189</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26525-2026</t>
        </is>
      </c>
      <c r="B981" s="1" t="n">
        <v>46183.591875</v>
      </c>
      <c r="C981" s="1" t="n">
        <v>46189</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26416-2026</t>
        </is>
      </c>
      <c r="B982" s="1" t="n">
        <v>46183.42100694445</v>
      </c>
      <c r="C982" s="1" t="n">
        <v>46189</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26418-2026</t>
        </is>
      </c>
      <c r="B983" s="1" t="n">
        <v>46183.4243287037</v>
      </c>
      <c r="C983" s="1" t="n">
        <v>46189</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25733-2025</t>
        </is>
      </c>
      <c r="B984" s="1" t="n">
        <v>45800</v>
      </c>
      <c r="C984" s="1" t="n">
        <v>46189</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35479-2025</t>
        </is>
      </c>
      <c r="B985" s="1" t="n">
        <v>45855.69387731481</v>
      </c>
      <c r="C985" s="1" t="n">
        <v>46189</v>
      </c>
      <c r="D985" t="inlineStr">
        <is>
          <t>STOCKHOLMS LÄN</t>
        </is>
      </c>
      <c r="E985" t="inlineStr">
        <is>
          <t>NORRTÄLJE</t>
        </is>
      </c>
      <c r="F985" t="inlineStr">
        <is>
          <t>Holmen skog AB</t>
        </is>
      </c>
      <c r="G985" t="n">
        <v>1.8</v>
      </c>
      <c r="H985" t="n">
        <v>0</v>
      </c>
      <c r="I985" t="n">
        <v>0</v>
      </c>
      <c r="J985" t="n">
        <v>0</v>
      </c>
      <c r="K985" t="n">
        <v>0</v>
      </c>
      <c r="L985" t="n">
        <v>0</v>
      </c>
      <c r="M985" t="n">
        <v>0</v>
      </c>
      <c r="N985" t="n">
        <v>0</v>
      </c>
      <c r="O985" t="n">
        <v>0</v>
      </c>
      <c r="P985" t="n">
        <v>0</v>
      </c>
      <c r="Q985" t="n">
        <v>0</v>
      </c>
      <c r="R985" s="2" t="inlineStr"/>
    </row>
    <row r="986" ht="15" customHeight="1">
      <c r="A986" t="inlineStr">
        <is>
          <t>A 35451-2025</t>
        </is>
      </c>
      <c r="B986" s="1" t="n">
        <v>45855.57033564815</v>
      </c>
      <c r="C986" s="1" t="n">
        <v>46189</v>
      </c>
      <c r="D986" t="inlineStr">
        <is>
          <t>STOCKHOLMS LÄN</t>
        </is>
      </c>
      <c r="E986" t="inlineStr">
        <is>
          <t>NORRTÄLJE</t>
        </is>
      </c>
      <c r="F986" t="inlineStr">
        <is>
          <t>Holmen skog AB</t>
        </is>
      </c>
      <c r="G986" t="n">
        <v>7.4</v>
      </c>
      <c r="H986" t="n">
        <v>0</v>
      </c>
      <c r="I986" t="n">
        <v>0</v>
      </c>
      <c r="J986" t="n">
        <v>0</v>
      </c>
      <c r="K986" t="n">
        <v>0</v>
      </c>
      <c r="L986" t="n">
        <v>0</v>
      </c>
      <c r="M986" t="n">
        <v>0</v>
      </c>
      <c r="N986" t="n">
        <v>0</v>
      </c>
      <c r="O986" t="n">
        <v>0</v>
      </c>
      <c r="P986" t="n">
        <v>0</v>
      </c>
      <c r="Q986" t="n">
        <v>0</v>
      </c>
      <c r="R986" s="2" t="inlineStr"/>
    </row>
    <row r="987" ht="15" customHeight="1">
      <c r="A987" t="inlineStr">
        <is>
          <t>A 35478-2025</t>
        </is>
      </c>
      <c r="B987" s="1" t="n">
        <v>45855.68413194444</v>
      </c>
      <c r="C987" s="1" t="n">
        <v>46189</v>
      </c>
      <c r="D987" t="inlineStr">
        <is>
          <t>STOCKHOLMS LÄN</t>
        </is>
      </c>
      <c r="E987" t="inlineStr">
        <is>
          <t>NORRTÄLJE</t>
        </is>
      </c>
      <c r="F987" t="inlineStr">
        <is>
          <t>Holmen skog AB</t>
        </is>
      </c>
      <c r="G987" t="n">
        <v>2.7</v>
      </c>
      <c r="H987" t="n">
        <v>0</v>
      </c>
      <c r="I987" t="n">
        <v>0</v>
      </c>
      <c r="J987" t="n">
        <v>0</v>
      </c>
      <c r="K987" t="n">
        <v>0</v>
      </c>
      <c r="L987" t="n">
        <v>0</v>
      </c>
      <c r="M987" t="n">
        <v>0</v>
      </c>
      <c r="N987" t="n">
        <v>0</v>
      </c>
      <c r="O987" t="n">
        <v>0</v>
      </c>
      <c r="P987" t="n">
        <v>0</v>
      </c>
      <c r="Q987" t="n">
        <v>0</v>
      </c>
      <c r="R987" s="2" t="inlineStr"/>
    </row>
    <row r="988" ht="15" customHeight="1">
      <c r="A988" t="inlineStr">
        <is>
          <t>A 20698-2025</t>
        </is>
      </c>
      <c r="B988" s="1" t="n">
        <v>45776.47122685185</v>
      </c>
      <c r="C988" s="1" t="n">
        <v>46189</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22232-2024</t>
        </is>
      </c>
      <c r="B989" s="1" t="n">
        <v>45446.4287962963</v>
      </c>
      <c r="C989" s="1" t="n">
        <v>46189</v>
      </c>
      <c r="D989" t="inlineStr">
        <is>
          <t>STOCKHOLMS LÄN</t>
        </is>
      </c>
      <c r="E989" t="inlineStr">
        <is>
          <t>NORRTÄLJE</t>
        </is>
      </c>
      <c r="G989" t="n">
        <v>12.8</v>
      </c>
      <c r="H989" t="n">
        <v>0</v>
      </c>
      <c r="I989" t="n">
        <v>0</v>
      </c>
      <c r="J989" t="n">
        <v>0</v>
      </c>
      <c r="K989" t="n">
        <v>0</v>
      </c>
      <c r="L989" t="n">
        <v>0</v>
      </c>
      <c r="M989" t="n">
        <v>0</v>
      </c>
      <c r="N989" t="n">
        <v>0</v>
      </c>
      <c r="O989" t="n">
        <v>0</v>
      </c>
      <c r="P989" t="n">
        <v>0</v>
      </c>
      <c r="Q989" t="n">
        <v>0</v>
      </c>
      <c r="R989" s="2" t="inlineStr"/>
    </row>
    <row r="990" ht="15" customHeight="1">
      <c r="A990" t="inlineStr">
        <is>
          <t>A 34444-2024</t>
        </is>
      </c>
      <c r="B990" s="1" t="n">
        <v>45525</v>
      </c>
      <c r="C990" s="1" t="n">
        <v>46189</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27554-2025</t>
        </is>
      </c>
      <c r="B991" s="1" t="n">
        <v>45813.4709375</v>
      </c>
      <c r="C991" s="1" t="n">
        <v>46189</v>
      </c>
      <c r="D991" t="inlineStr">
        <is>
          <t>STOCKHOLMS LÄN</t>
        </is>
      </c>
      <c r="E991" t="inlineStr">
        <is>
          <t>NORRTÄLJE</t>
        </is>
      </c>
      <c r="F991" t="inlineStr">
        <is>
          <t>Övriga Aktiebolag</t>
        </is>
      </c>
      <c r="G991" t="n">
        <v>2.5</v>
      </c>
      <c r="H991" t="n">
        <v>0</v>
      </c>
      <c r="I991" t="n">
        <v>0</v>
      </c>
      <c r="J991" t="n">
        <v>0</v>
      </c>
      <c r="K991" t="n">
        <v>0</v>
      </c>
      <c r="L991" t="n">
        <v>0</v>
      </c>
      <c r="M991" t="n">
        <v>0</v>
      </c>
      <c r="N991" t="n">
        <v>0</v>
      </c>
      <c r="O991" t="n">
        <v>0</v>
      </c>
      <c r="P991" t="n">
        <v>0</v>
      </c>
      <c r="Q991" t="n">
        <v>0</v>
      </c>
      <c r="R991" s="2" t="inlineStr"/>
    </row>
    <row r="992" ht="15" customHeight="1">
      <c r="A992" t="inlineStr">
        <is>
          <t>A 26406-2026</t>
        </is>
      </c>
      <c r="B992" s="1" t="n">
        <v>46183</v>
      </c>
      <c r="C992" s="1" t="n">
        <v>46189</v>
      </c>
      <c r="D992" t="inlineStr">
        <is>
          <t>STOCKHOLMS LÄN</t>
        </is>
      </c>
      <c r="E992" t="inlineStr">
        <is>
          <t>NORRTÄLJE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26408-2026</t>
        </is>
      </c>
      <c r="B993" s="1" t="n">
        <v>46183</v>
      </c>
      <c r="C993" s="1" t="n">
        <v>46189</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26557-2026</t>
        </is>
      </c>
      <c r="B994" s="1" t="n">
        <v>46183.63876157408</v>
      </c>
      <c r="C994" s="1" t="n">
        <v>46189</v>
      </c>
      <c r="D994" t="inlineStr">
        <is>
          <t>STOCKHOLMS LÄN</t>
        </is>
      </c>
      <c r="E994" t="inlineStr">
        <is>
          <t>NORRTÄLJE</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20692-2025</t>
        </is>
      </c>
      <c r="B995" s="1" t="n">
        <v>45776.46369212963</v>
      </c>
      <c r="C995" s="1" t="n">
        <v>46189</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46071-2024</t>
        </is>
      </c>
      <c r="B996" s="1" t="n">
        <v>45581</v>
      </c>
      <c r="C996" s="1" t="n">
        <v>46189</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37632-2025</t>
        </is>
      </c>
      <c r="B997" s="1" t="n">
        <v>45880.46524305556</v>
      </c>
      <c r="C997" s="1" t="n">
        <v>46189</v>
      </c>
      <c r="D997" t="inlineStr">
        <is>
          <t>STOCKHOLMS LÄN</t>
        </is>
      </c>
      <c r="E997" t="inlineStr">
        <is>
          <t>NORRTÄLJE</t>
        </is>
      </c>
      <c r="F997" t="inlineStr">
        <is>
          <t>Sveaskog</t>
        </is>
      </c>
      <c r="G997" t="n">
        <v>6.4</v>
      </c>
      <c r="H997" t="n">
        <v>0</v>
      </c>
      <c r="I997" t="n">
        <v>0</v>
      </c>
      <c r="J997" t="n">
        <v>0</v>
      </c>
      <c r="K997" t="n">
        <v>0</v>
      </c>
      <c r="L997" t="n">
        <v>0</v>
      </c>
      <c r="M997" t="n">
        <v>0</v>
      </c>
      <c r="N997" t="n">
        <v>0</v>
      </c>
      <c r="O997" t="n">
        <v>0</v>
      </c>
      <c r="P997" t="n">
        <v>0</v>
      </c>
      <c r="Q997" t="n">
        <v>0</v>
      </c>
      <c r="R997" s="2" t="inlineStr"/>
    </row>
    <row r="998" ht="15" customHeight="1">
      <c r="A998" t="inlineStr">
        <is>
          <t>A 27179-2026</t>
        </is>
      </c>
      <c r="B998" s="1" t="n">
        <v>46188.4404050926</v>
      </c>
      <c r="C998" s="1" t="n">
        <v>46189</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27181-2026</t>
        </is>
      </c>
      <c r="B999" s="1" t="n">
        <v>46188.44219907407</v>
      </c>
      <c r="C999" s="1" t="n">
        <v>46189</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27187-2026</t>
        </is>
      </c>
      <c r="B1000" s="1" t="n">
        <v>46188.44565972222</v>
      </c>
      <c r="C1000" s="1" t="n">
        <v>46189</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26703-2025</t>
        </is>
      </c>
      <c r="B1001" s="1" t="n">
        <v>45810.45263888889</v>
      </c>
      <c r="C1001" s="1" t="n">
        <v>46189</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13137-2024</t>
        </is>
      </c>
      <c r="B1002" s="1" t="n">
        <v>45386.34175925926</v>
      </c>
      <c r="C1002" s="1" t="n">
        <v>46189</v>
      </c>
      <c r="D1002" t="inlineStr">
        <is>
          <t>STOCKHOLMS LÄN</t>
        </is>
      </c>
      <c r="E1002" t="inlineStr">
        <is>
          <t>NORRTÄLJE</t>
        </is>
      </c>
      <c r="G1002" t="n">
        <v>5</v>
      </c>
      <c r="H1002" t="n">
        <v>0</v>
      </c>
      <c r="I1002" t="n">
        <v>0</v>
      </c>
      <c r="J1002" t="n">
        <v>0</v>
      </c>
      <c r="K1002" t="n">
        <v>0</v>
      </c>
      <c r="L1002" t="n">
        <v>0</v>
      </c>
      <c r="M1002" t="n">
        <v>0</v>
      </c>
      <c r="N1002" t="n">
        <v>0</v>
      </c>
      <c r="O1002" t="n">
        <v>0</v>
      </c>
      <c r="P1002" t="n">
        <v>0</v>
      </c>
      <c r="Q1002" t="n">
        <v>0</v>
      </c>
      <c r="R1002" s="2" t="inlineStr"/>
    </row>
    <row r="1003">
      <c r="A1003" t="inlineStr">
        <is>
          <t>A 38153-2025</t>
        </is>
      </c>
      <c r="B1003" s="1" t="n">
        <v>45882.59722222222</v>
      </c>
      <c r="C1003" s="1" t="n">
        <v>46189</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2026-06-16T12:55:12Z</dcterms:created>
  <dcterms:modified xmlns:dcterms="http://purl.org/dc/terms/" xmlns:xsi="http://www.w3.org/2001/XMLSchema-instance" xsi:type="dcterms:W3CDTF">2026-06-16T12:55:13Z</dcterms:modified>
</cp:coreProperties>
</file>