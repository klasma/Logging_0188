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45766</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45766</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45766</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45766</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45766</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45766</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45766</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45766</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45766</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45766</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45766</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45766</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45766</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45766</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45766</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45766</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45766</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45766</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45766</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45766</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45766</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45766</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45766</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45766</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45766</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45766</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45766</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45766</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45766</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45766</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45766</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45766</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45766</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45766</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45766</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45766</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45766</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45766</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45766</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45766</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45766</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45766</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45766</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45766</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45766</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45766</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45766</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45766</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45766</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45766</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45766</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45766</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45766</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45766</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45766</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45766</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45766</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45766</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45766</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45766</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44709-2022</t>
        </is>
      </c>
      <c r="B77" s="1" t="n">
        <v>44839</v>
      </c>
      <c r="C77" s="1" t="n">
        <v>45766</v>
      </c>
      <c r="D77" t="inlineStr">
        <is>
          <t>STOCKHOLMS LÄN</t>
        </is>
      </c>
      <c r="E77" t="inlineStr">
        <is>
          <t>NORRTÄLJE</t>
        </is>
      </c>
      <c r="G77" t="n">
        <v>16.3</v>
      </c>
      <c r="H77" t="n">
        <v>3</v>
      </c>
      <c r="I77" t="n">
        <v>0</v>
      </c>
      <c r="J77" t="n">
        <v>2</v>
      </c>
      <c r="K77" t="n">
        <v>0</v>
      </c>
      <c r="L77" t="n">
        <v>0</v>
      </c>
      <c r="M77" t="n">
        <v>0</v>
      </c>
      <c r="N77" t="n">
        <v>0</v>
      </c>
      <c r="O77" t="n">
        <v>2</v>
      </c>
      <c r="P77" t="n">
        <v>0</v>
      </c>
      <c r="Q77" t="n">
        <v>4</v>
      </c>
      <c r="R77" s="2" t="inlineStr">
        <is>
          <t>Asppraktbagge
Spillkråka
Enkelbeckasin
Orre</t>
        </is>
      </c>
      <c r="S77">
        <f>HYPERLINK("https://klasma.github.io/Logging_0188/artfynd/A 44709-2022 artfynd.xlsx", "A 44709-2022")</f>
        <v/>
      </c>
      <c r="T77">
        <f>HYPERLINK("https://klasma.github.io/Logging_0188/kartor/A 44709-2022 karta.png", "A 44709-2022")</f>
        <v/>
      </c>
      <c r="V77">
        <f>HYPERLINK("https://klasma.github.io/Logging_0188/klagomål/A 44709-2022 FSC-klagomål.docx", "A 44709-2022")</f>
        <v/>
      </c>
      <c r="W77">
        <f>HYPERLINK("https://klasma.github.io/Logging_0188/klagomålsmail/A 44709-2022 FSC-klagomål mail.docx", "A 44709-2022")</f>
        <v/>
      </c>
      <c r="X77">
        <f>HYPERLINK("https://klasma.github.io/Logging_0188/tillsyn/A 44709-2022 tillsynsbegäran.docx", "A 44709-2022")</f>
        <v/>
      </c>
      <c r="Y77">
        <f>HYPERLINK("https://klasma.github.io/Logging_0188/tillsynsmail/A 44709-2022 tillsynsbegäran mail.docx", "A 44709-2022")</f>
        <v/>
      </c>
      <c r="Z77">
        <f>HYPERLINK("https://klasma.github.io/Logging_0188/fåglar/A 44709-2022 prioriterade fågelarter.docx", "A 44709-2022")</f>
        <v/>
      </c>
    </row>
    <row r="78" ht="15" customHeight="1">
      <c r="A78" t="inlineStr">
        <is>
          <t>A 56785-2023</t>
        </is>
      </c>
      <c r="B78" s="1" t="n">
        <v>45244</v>
      </c>
      <c r="C78" s="1" t="n">
        <v>45766</v>
      </c>
      <c r="D78" t="inlineStr">
        <is>
          <t>STOCKHOLMS LÄN</t>
        </is>
      </c>
      <c r="E78" t="inlineStr">
        <is>
          <t>NORRTÄLJE</t>
        </is>
      </c>
      <c r="G78" t="n">
        <v>7.7</v>
      </c>
      <c r="H78" t="n">
        <v>0</v>
      </c>
      <c r="I78" t="n">
        <v>1</v>
      </c>
      <c r="J78" t="n">
        <v>3</v>
      </c>
      <c r="K78" t="n">
        <v>0</v>
      </c>
      <c r="L78" t="n">
        <v>0</v>
      </c>
      <c r="M78" t="n">
        <v>0</v>
      </c>
      <c r="N78" t="n">
        <v>0</v>
      </c>
      <c r="O78" t="n">
        <v>3</v>
      </c>
      <c r="P78" t="n">
        <v>0</v>
      </c>
      <c r="Q78" t="n">
        <v>4</v>
      </c>
      <c r="R78" s="2" t="inlineStr">
        <is>
          <t>Plattad lövvedborre
Skeppsvarvsfluga
Triplax rufipes
Dorcatoma chrysomelina</t>
        </is>
      </c>
      <c r="S78">
        <f>HYPERLINK("https://klasma.github.io/Logging_0188/artfynd/A 56785-2023 artfynd.xlsx", "A 56785-2023")</f>
        <v/>
      </c>
      <c r="T78">
        <f>HYPERLINK("https://klasma.github.io/Logging_0188/kartor/A 56785-2023 karta.png", "A 56785-2023")</f>
        <v/>
      </c>
      <c r="V78">
        <f>HYPERLINK("https://klasma.github.io/Logging_0188/klagomål/A 56785-2023 FSC-klagomål.docx", "A 56785-2023")</f>
        <v/>
      </c>
      <c r="W78">
        <f>HYPERLINK("https://klasma.github.io/Logging_0188/klagomålsmail/A 56785-2023 FSC-klagomål mail.docx", "A 56785-2023")</f>
        <v/>
      </c>
      <c r="X78">
        <f>HYPERLINK("https://klasma.github.io/Logging_0188/tillsyn/A 56785-2023 tillsynsbegäran.docx", "A 56785-2023")</f>
        <v/>
      </c>
      <c r="Y78">
        <f>HYPERLINK("https://klasma.github.io/Logging_0188/tillsynsmail/A 56785-2023 tillsynsbegäran mail.docx", "A 56785-2023")</f>
        <v/>
      </c>
    </row>
    <row r="79" ht="15" customHeight="1">
      <c r="A79" t="inlineStr">
        <is>
          <t>A 10876-2025</t>
        </is>
      </c>
      <c r="B79" s="1" t="n">
        <v>45722</v>
      </c>
      <c r="C79" s="1" t="n">
        <v>45766</v>
      </c>
      <c r="D79" t="inlineStr">
        <is>
          <t>STOCKHOLMS LÄN</t>
        </is>
      </c>
      <c r="E79" t="inlineStr">
        <is>
          <t>NORRTÄLJE</t>
        </is>
      </c>
      <c r="F79" t="inlineStr">
        <is>
          <t>Holmen skog AB</t>
        </is>
      </c>
      <c r="G79" t="n">
        <v>9.300000000000001</v>
      </c>
      <c r="H79" t="n">
        <v>4</v>
      </c>
      <c r="I79" t="n">
        <v>0</v>
      </c>
      <c r="J79" t="n">
        <v>1</v>
      </c>
      <c r="K79" t="n">
        <v>1</v>
      </c>
      <c r="L79" t="n">
        <v>1</v>
      </c>
      <c r="M79" t="n">
        <v>0</v>
      </c>
      <c r="N79" t="n">
        <v>0</v>
      </c>
      <c r="O79" t="n">
        <v>3</v>
      </c>
      <c r="P79" t="n">
        <v>2</v>
      </c>
      <c r="Q79" t="n">
        <v>4</v>
      </c>
      <c r="R79" s="2" t="inlineStr">
        <is>
          <t>Asknätfjäril
Hällebräcka
Utter
Gullviva</t>
        </is>
      </c>
      <c r="S79">
        <f>HYPERLINK("https://klasma.github.io/Logging_010188/artfynd/A 10876-2025 artfynd.xlsx", "A 10876-2025")</f>
        <v/>
      </c>
      <c r="T79">
        <f>HYPERLINK("https://klasma.github.io/Logging_010188/kartor/A 10876-2025 karta.png", "A 10876-2025")</f>
        <v/>
      </c>
      <c r="V79">
        <f>HYPERLINK("https://klasma.github.io/Logging_010188/klagomål/A 10876-2025 FSC-klagomål.docx", "A 10876-2025")</f>
        <v/>
      </c>
      <c r="W79">
        <f>HYPERLINK("https://klasma.github.io/Logging_010188/klagomålsmail/A 10876-2025 FSC-klagomål mail.docx", "A 10876-2025")</f>
        <v/>
      </c>
      <c r="X79">
        <f>HYPERLINK("https://klasma.github.io/Logging_010188/tillsyn/A 10876-2025 tillsynsbegäran.docx", "A 10876-2025")</f>
        <v/>
      </c>
      <c r="Y79">
        <f>HYPERLINK("https://klasma.github.io/Logging_010188/tillsynsmail/A 10876-2025 tillsynsbegäran mail.docx", "A 10876-2025")</f>
        <v/>
      </c>
    </row>
    <row r="80" ht="15" customHeight="1">
      <c r="A80" t="inlineStr">
        <is>
          <t>A 19617-2019</t>
        </is>
      </c>
      <c r="B80" s="1" t="n">
        <v>43566</v>
      </c>
      <c r="C80" s="1" t="n">
        <v>45766</v>
      </c>
      <c r="D80" t="inlineStr">
        <is>
          <t>STOCKHOLMS LÄN</t>
        </is>
      </c>
      <c r="E80" t="inlineStr">
        <is>
          <t>NORRTÄLJE</t>
        </is>
      </c>
      <c r="G80" t="n">
        <v>16.1</v>
      </c>
      <c r="H80" t="n">
        <v>2</v>
      </c>
      <c r="I80" t="n">
        <v>1</v>
      </c>
      <c r="J80" t="n">
        <v>1</v>
      </c>
      <c r="K80" t="n">
        <v>0</v>
      </c>
      <c r="L80" t="n">
        <v>0</v>
      </c>
      <c r="M80" t="n">
        <v>0</v>
      </c>
      <c r="N80" t="n">
        <v>0</v>
      </c>
      <c r="O80" t="n">
        <v>1</v>
      </c>
      <c r="P80" t="n">
        <v>0</v>
      </c>
      <c r="Q80" t="n">
        <v>3</v>
      </c>
      <c r="R80" s="2" t="inlineStr">
        <is>
          <t>Havsörn
Myskbock
Blåsippa</t>
        </is>
      </c>
      <c r="S80">
        <f>HYPERLINK("https://klasma.github.io/Logging_0188/artfynd/A 19617-2019 artfynd.xlsx", "A 19617-2019")</f>
        <v/>
      </c>
      <c r="T80">
        <f>HYPERLINK("https://klasma.github.io/Logging_0188/kartor/A 19617-2019 karta.png", "A 19617-2019")</f>
        <v/>
      </c>
      <c r="V80">
        <f>HYPERLINK("https://klasma.github.io/Logging_0188/klagomål/A 19617-2019 FSC-klagomål.docx", "A 19617-2019")</f>
        <v/>
      </c>
      <c r="W80">
        <f>HYPERLINK("https://klasma.github.io/Logging_0188/klagomålsmail/A 19617-2019 FSC-klagomål mail.docx", "A 19617-2019")</f>
        <v/>
      </c>
      <c r="X80">
        <f>HYPERLINK("https://klasma.github.io/Logging_0188/tillsyn/A 19617-2019 tillsynsbegäran.docx", "A 19617-2019")</f>
        <v/>
      </c>
      <c r="Y80">
        <f>HYPERLINK("https://klasma.github.io/Logging_0188/tillsynsmail/A 19617-2019 tillsynsbegäran mail.docx", "A 19617-2019")</f>
        <v/>
      </c>
      <c r="Z80">
        <f>HYPERLINK("https://klasma.github.io/Logging_0188/fåglar/A 19617-2019 prioriterade fågelarter.docx", "A 19617-2019")</f>
        <v/>
      </c>
    </row>
    <row r="81" ht="15" customHeight="1">
      <c r="A81" t="inlineStr">
        <is>
          <t>A 28495-2020</t>
        </is>
      </c>
      <c r="B81" s="1" t="n">
        <v>43999</v>
      </c>
      <c r="C81" s="1" t="n">
        <v>45766</v>
      </c>
      <c r="D81" t="inlineStr">
        <is>
          <t>STOCKHOLMS LÄN</t>
        </is>
      </c>
      <c r="E81" t="inlineStr">
        <is>
          <t>NORRTÄLJE</t>
        </is>
      </c>
      <c r="G81" t="n">
        <v>0.5</v>
      </c>
      <c r="H81" t="n">
        <v>1</v>
      </c>
      <c r="I81" t="n">
        <v>0</v>
      </c>
      <c r="J81" t="n">
        <v>2</v>
      </c>
      <c r="K81" t="n">
        <v>0</v>
      </c>
      <c r="L81" t="n">
        <v>0</v>
      </c>
      <c r="M81" t="n">
        <v>0</v>
      </c>
      <c r="N81" t="n">
        <v>0</v>
      </c>
      <c r="O81" t="n">
        <v>2</v>
      </c>
      <c r="P81" t="n">
        <v>0</v>
      </c>
      <c r="Q81" t="n">
        <v>3</v>
      </c>
      <c r="R81" s="2" t="inlineStr">
        <is>
          <t>Backklöver
Slåtterfibbla
Grönvit nattviol</t>
        </is>
      </c>
      <c r="S81">
        <f>HYPERLINK("https://klasma.github.io/Logging_0188/artfynd/A 28495-2020 artfynd.xlsx", "A 28495-2020")</f>
        <v/>
      </c>
      <c r="T81">
        <f>HYPERLINK("https://klasma.github.io/Logging_0188/kartor/A 28495-2020 karta.png", "A 28495-2020")</f>
        <v/>
      </c>
      <c r="V81">
        <f>HYPERLINK("https://klasma.github.io/Logging_0188/klagomål/A 28495-2020 FSC-klagomål.docx", "A 28495-2020")</f>
        <v/>
      </c>
      <c r="W81">
        <f>HYPERLINK("https://klasma.github.io/Logging_0188/klagomålsmail/A 28495-2020 FSC-klagomål mail.docx", "A 28495-2020")</f>
        <v/>
      </c>
      <c r="X81">
        <f>HYPERLINK("https://klasma.github.io/Logging_0188/tillsyn/A 28495-2020 tillsynsbegäran.docx", "A 28495-2020")</f>
        <v/>
      </c>
      <c r="Y81">
        <f>HYPERLINK("https://klasma.github.io/Logging_0188/tillsynsmail/A 28495-2020 tillsynsbegäran mail.docx", "A 28495-2020")</f>
        <v/>
      </c>
    </row>
    <row r="82" ht="15" customHeight="1">
      <c r="A82" t="inlineStr">
        <is>
          <t>A 14560-2021</t>
        </is>
      </c>
      <c r="B82" s="1" t="n">
        <v>44279</v>
      </c>
      <c r="C82" s="1" t="n">
        <v>45766</v>
      </c>
      <c r="D82" t="inlineStr">
        <is>
          <t>STOCKHOLMS LÄN</t>
        </is>
      </c>
      <c r="E82" t="inlineStr">
        <is>
          <t>NORRTÄLJE</t>
        </is>
      </c>
      <c r="G82" t="n">
        <v>1.8</v>
      </c>
      <c r="H82" t="n">
        <v>0</v>
      </c>
      <c r="I82" t="n">
        <v>2</v>
      </c>
      <c r="J82" t="n">
        <v>1</v>
      </c>
      <c r="K82" t="n">
        <v>0</v>
      </c>
      <c r="L82" t="n">
        <v>0</v>
      </c>
      <c r="M82" t="n">
        <v>0</v>
      </c>
      <c r="N82" t="n">
        <v>0</v>
      </c>
      <c r="O82" t="n">
        <v>1</v>
      </c>
      <c r="P82" t="n">
        <v>0</v>
      </c>
      <c r="Q82" t="n">
        <v>3</v>
      </c>
      <c r="R82" s="2" t="inlineStr">
        <is>
          <t>Vit vedfingersvamp
Stor aspticka
Vedticka</t>
        </is>
      </c>
      <c r="S82">
        <f>HYPERLINK("https://klasma.github.io/Logging_0188/artfynd/A 14560-2021 artfynd.xlsx", "A 14560-2021")</f>
        <v/>
      </c>
      <c r="T82">
        <f>HYPERLINK("https://klasma.github.io/Logging_0188/kartor/A 14560-2021 karta.png", "A 14560-2021")</f>
        <v/>
      </c>
      <c r="V82">
        <f>HYPERLINK("https://klasma.github.io/Logging_0188/klagomål/A 14560-2021 FSC-klagomål.docx", "A 14560-2021")</f>
        <v/>
      </c>
      <c r="W82">
        <f>HYPERLINK("https://klasma.github.io/Logging_0188/klagomålsmail/A 14560-2021 FSC-klagomål mail.docx", "A 14560-2021")</f>
        <v/>
      </c>
      <c r="X82">
        <f>HYPERLINK("https://klasma.github.io/Logging_0188/tillsyn/A 14560-2021 tillsynsbegäran.docx", "A 14560-2021")</f>
        <v/>
      </c>
      <c r="Y82">
        <f>HYPERLINK("https://klasma.github.io/Logging_0188/tillsynsmail/A 14560-2021 tillsynsbegäran mail.docx", "A 14560-2021")</f>
        <v/>
      </c>
    </row>
    <row r="83" ht="15" customHeight="1">
      <c r="A83" t="inlineStr">
        <is>
          <t>A 17673-2021</t>
        </is>
      </c>
      <c r="B83" s="1" t="n">
        <v>44300</v>
      </c>
      <c r="C83" s="1" t="n">
        <v>45766</v>
      </c>
      <c r="D83" t="inlineStr">
        <is>
          <t>STOCKHOLMS LÄN</t>
        </is>
      </c>
      <c r="E83" t="inlineStr">
        <is>
          <t>NORRTÄLJE</t>
        </is>
      </c>
      <c r="G83" t="n">
        <v>10.4</v>
      </c>
      <c r="H83" t="n">
        <v>3</v>
      </c>
      <c r="I83" t="n">
        <v>0</v>
      </c>
      <c r="J83" t="n">
        <v>2</v>
      </c>
      <c r="K83" t="n">
        <v>0</v>
      </c>
      <c r="L83" t="n">
        <v>0</v>
      </c>
      <c r="M83" t="n">
        <v>0</v>
      </c>
      <c r="N83" t="n">
        <v>0</v>
      </c>
      <c r="O83" t="n">
        <v>2</v>
      </c>
      <c r="P83" t="n">
        <v>0</v>
      </c>
      <c r="Q83" t="n">
        <v>3</v>
      </c>
      <c r="R83" s="2" t="inlineStr">
        <is>
          <t>Grönsångare
Havsörn
Blåsippa</t>
        </is>
      </c>
      <c r="S83">
        <f>HYPERLINK("https://klasma.github.io/Logging_0188/artfynd/A 17673-2021 artfynd.xlsx", "A 17673-2021")</f>
        <v/>
      </c>
      <c r="T83">
        <f>HYPERLINK("https://klasma.github.io/Logging_0188/kartor/A 17673-2021 karta.png", "A 17673-2021")</f>
        <v/>
      </c>
      <c r="V83">
        <f>HYPERLINK("https://klasma.github.io/Logging_0188/klagomål/A 17673-2021 FSC-klagomål.docx", "A 17673-2021")</f>
        <v/>
      </c>
      <c r="W83">
        <f>HYPERLINK("https://klasma.github.io/Logging_0188/klagomålsmail/A 17673-2021 FSC-klagomål mail.docx", "A 17673-2021")</f>
        <v/>
      </c>
      <c r="X83">
        <f>HYPERLINK("https://klasma.github.io/Logging_0188/tillsyn/A 17673-2021 tillsynsbegäran.docx", "A 17673-2021")</f>
        <v/>
      </c>
      <c r="Y83">
        <f>HYPERLINK("https://klasma.github.io/Logging_0188/tillsynsmail/A 17673-2021 tillsynsbegäran mail.docx", "A 17673-2021")</f>
        <v/>
      </c>
      <c r="Z83">
        <f>HYPERLINK("https://klasma.github.io/Logging_0188/fåglar/A 17673-2021 prioriterade fågelarter.docx", "A 17673-2021")</f>
        <v/>
      </c>
    </row>
    <row r="84" ht="15" customHeight="1">
      <c r="A84" t="inlineStr">
        <is>
          <t>A 65629-2021</t>
        </is>
      </c>
      <c r="B84" s="1" t="n">
        <v>44516</v>
      </c>
      <c r="C84" s="1" t="n">
        <v>45766</v>
      </c>
      <c r="D84" t="inlineStr">
        <is>
          <t>STOCKHOLMS LÄN</t>
        </is>
      </c>
      <c r="E84" t="inlineStr">
        <is>
          <t>NORRTÄLJE</t>
        </is>
      </c>
      <c r="G84" t="n">
        <v>3</v>
      </c>
      <c r="H84" t="n">
        <v>0</v>
      </c>
      <c r="I84" t="n">
        <v>1</v>
      </c>
      <c r="J84" t="n">
        <v>2</v>
      </c>
      <c r="K84" t="n">
        <v>0</v>
      </c>
      <c r="L84" t="n">
        <v>0</v>
      </c>
      <c r="M84" t="n">
        <v>0</v>
      </c>
      <c r="N84" t="n">
        <v>0</v>
      </c>
      <c r="O84" t="n">
        <v>2</v>
      </c>
      <c r="P84" t="n">
        <v>0</v>
      </c>
      <c r="Q84" t="n">
        <v>3</v>
      </c>
      <c r="R84" s="2" t="inlineStr">
        <is>
          <t>Granticka
Ullticka
Granbarkgnagare</t>
        </is>
      </c>
      <c r="S84">
        <f>HYPERLINK("https://klasma.github.io/Logging_0188/artfynd/A 65629-2021 artfynd.xlsx", "A 65629-2021")</f>
        <v/>
      </c>
      <c r="T84">
        <f>HYPERLINK("https://klasma.github.io/Logging_0188/kartor/A 65629-2021 karta.png", "A 65629-2021")</f>
        <v/>
      </c>
      <c r="V84">
        <f>HYPERLINK("https://klasma.github.io/Logging_0188/klagomål/A 65629-2021 FSC-klagomål.docx", "A 65629-2021")</f>
        <v/>
      </c>
      <c r="W84">
        <f>HYPERLINK("https://klasma.github.io/Logging_0188/klagomålsmail/A 65629-2021 FSC-klagomål mail.docx", "A 65629-2021")</f>
        <v/>
      </c>
      <c r="X84">
        <f>HYPERLINK("https://klasma.github.io/Logging_0188/tillsyn/A 65629-2021 tillsynsbegäran.docx", "A 65629-2021")</f>
        <v/>
      </c>
      <c r="Y84">
        <f>HYPERLINK("https://klasma.github.io/Logging_0188/tillsynsmail/A 65629-2021 tillsynsbegäran mail.docx", "A 65629-2021")</f>
        <v/>
      </c>
    </row>
    <row r="85" ht="15" customHeight="1">
      <c r="A85" t="inlineStr">
        <is>
          <t>A 12215-2022</t>
        </is>
      </c>
      <c r="B85" s="1" t="n">
        <v>44637</v>
      </c>
      <c r="C85" s="1" t="n">
        <v>45766</v>
      </c>
      <c r="D85" t="inlineStr">
        <is>
          <t>STOCKHOLMS LÄN</t>
        </is>
      </c>
      <c r="E85" t="inlineStr">
        <is>
          <t>NORRTÄLJE</t>
        </is>
      </c>
      <c r="G85" t="n">
        <v>3.1</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12215-2022 artfynd.xlsx", "A 12215-2022")</f>
        <v/>
      </c>
      <c r="T85">
        <f>HYPERLINK("https://klasma.github.io/Logging_0188/kartor/A 12215-2022 karta.png", "A 12215-2022")</f>
        <v/>
      </c>
      <c r="V85">
        <f>HYPERLINK("https://klasma.github.io/Logging_0188/klagomål/A 12215-2022 FSC-klagomål.docx", "A 12215-2022")</f>
        <v/>
      </c>
      <c r="W85">
        <f>HYPERLINK("https://klasma.github.io/Logging_0188/klagomålsmail/A 12215-2022 FSC-klagomål mail.docx", "A 12215-2022")</f>
        <v/>
      </c>
      <c r="X85">
        <f>HYPERLINK("https://klasma.github.io/Logging_0188/tillsyn/A 12215-2022 tillsynsbegäran.docx", "A 12215-2022")</f>
        <v/>
      </c>
      <c r="Y85">
        <f>HYPERLINK("https://klasma.github.io/Logging_0188/tillsynsmail/A 12215-2022 tillsynsbegäran mail.docx", "A 12215-2022")</f>
        <v/>
      </c>
    </row>
    <row r="86" ht="15" customHeight="1">
      <c r="A86" t="inlineStr">
        <is>
          <t>A 20185-2022</t>
        </is>
      </c>
      <c r="B86" s="1" t="n">
        <v>44698</v>
      </c>
      <c r="C86" s="1" t="n">
        <v>45766</v>
      </c>
      <c r="D86" t="inlineStr">
        <is>
          <t>STOCKHOLMS LÄN</t>
        </is>
      </c>
      <c r="E86" t="inlineStr">
        <is>
          <t>NORRTÄLJE</t>
        </is>
      </c>
      <c r="G86" t="n">
        <v>8.4</v>
      </c>
      <c r="H86" t="n">
        <v>1</v>
      </c>
      <c r="I86" t="n">
        <v>2</v>
      </c>
      <c r="J86" t="n">
        <v>0</v>
      </c>
      <c r="K86" t="n">
        <v>1</v>
      </c>
      <c r="L86" t="n">
        <v>0</v>
      </c>
      <c r="M86" t="n">
        <v>0</v>
      </c>
      <c r="N86" t="n">
        <v>0</v>
      </c>
      <c r="O86" t="n">
        <v>1</v>
      </c>
      <c r="P86" t="n">
        <v>1</v>
      </c>
      <c r="Q86" t="n">
        <v>3</v>
      </c>
      <c r="R86" s="2" t="inlineStr">
        <is>
          <t>Tallbit
Gullgröppa
Vedticka</t>
        </is>
      </c>
      <c r="S86">
        <f>HYPERLINK("https://klasma.github.io/Logging_0188/artfynd/A 20185-2022 artfynd.xlsx", "A 20185-2022")</f>
        <v/>
      </c>
      <c r="T86">
        <f>HYPERLINK("https://klasma.github.io/Logging_0188/kartor/A 20185-2022 karta.png", "A 20185-2022")</f>
        <v/>
      </c>
      <c r="V86">
        <f>HYPERLINK("https://klasma.github.io/Logging_0188/klagomål/A 20185-2022 FSC-klagomål.docx", "A 20185-2022")</f>
        <v/>
      </c>
      <c r="W86">
        <f>HYPERLINK("https://klasma.github.io/Logging_0188/klagomålsmail/A 20185-2022 FSC-klagomål mail.docx", "A 20185-2022")</f>
        <v/>
      </c>
      <c r="X86">
        <f>HYPERLINK("https://klasma.github.io/Logging_0188/tillsyn/A 20185-2022 tillsynsbegäran.docx", "A 20185-2022")</f>
        <v/>
      </c>
      <c r="Y86">
        <f>HYPERLINK("https://klasma.github.io/Logging_0188/tillsynsmail/A 20185-2022 tillsynsbegäran mail.docx", "A 20185-2022")</f>
        <v/>
      </c>
      <c r="Z86">
        <f>HYPERLINK("https://klasma.github.io/Logging_0188/fåglar/A 20185-2022 prioriterade fågelarter.docx", "A 20185-2022")</f>
        <v/>
      </c>
    </row>
    <row r="87" ht="15" customHeight="1">
      <c r="A87" t="inlineStr">
        <is>
          <t>A 28836-2022</t>
        </is>
      </c>
      <c r="B87" s="1" t="n">
        <v>44749</v>
      </c>
      <c r="C87" s="1" t="n">
        <v>45766</v>
      </c>
      <c r="D87" t="inlineStr">
        <is>
          <t>STOCKHOLMS LÄN</t>
        </is>
      </c>
      <c r="E87" t="inlineStr">
        <is>
          <t>NORRTÄLJE</t>
        </is>
      </c>
      <c r="G87" t="n">
        <v>25</v>
      </c>
      <c r="H87" t="n">
        <v>2</v>
      </c>
      <c r="I87" t="n">
        <v>0</v>
      </c>
      <c r="J87" t="n">
        <v>2</v>
      </c>
      <c r="K87" t="n">
        <v>0</v>
      </c>
      <c r="L87" t="n">
        <v>0</v>
      </c>
      <c r="M87" t="n">
        <v>0</v>
      </c>
      <c r="N87" t="n">
        <v>0</v>
      </c>
      <c r="O87" t="n">
        <v>2</v>
      </c>
      <c r="P87" t="n">
        <v>0</v>
      </c>
      <c r="Q87" t="n">
        <v>3</v>
      </c>
      <c r="R87" s="2" t="inlineStr">
        <is>
          <t>Backklöver
Svartvit flugsnappare
Skogsödla</t>
        </is>
      </c>
      <c r="S87">
        <f>HYPERLINK("https://klasma.github.io/Logging_0188/artfynd/A 28836-2022 artfynd.xlsx", "A 28836-2022")</f>
        <v/>
      </c>
      <c r="T87">
        <f>HYPERLINK("https://klasma.github.io/Logging_0188/kartor/A 28836-2022 karta.png", "A 28836-2022")</f>
        <v/>
      </c>
      <c r="V87">
        <f>HYPERLINK("https://klasma.github.io/Logging_0188/klagomål/A 28836-2022 FSC-klagomål.docx", "A 28836-2022")</f>
        <v/>
      </c>
      <c r="W87">
        <f>HYPERLINK("https://klasma.github.io/Logging_0188/klagomålsmail/A 28836-2022 FSC-klagomål mail.docx", "A 28836-2022")</f>
        <v/>
      </c>
      <c r="X87">
        <f>HYPERLINK("https://klasma.github.io/Logging_0188/tillsyn/A 28836-2022 tillsynsbegäran.docx", "A 28836-2022")</f>
        <v/>
      </c>
      <c r="Y87">
        <f>HYPERLINK("https://klasma.github.io/Logging_0188/tillsynsmail/A 28836-2022 tillsynsbegäran mail.docx", "A 28836-2022")</f>
        <v/>
      </c>
      <c r="Z87">
        <f>HYPERLINK("https://klasma.github.io/Logging_0188/fåglar/A 28836-2022 prioriterade fågelarter.docx", "A 28836-2022")</f>
        <v/>
      </c>
    </row>
    <row r="88" ht="15" customHeight="1">
      <c r="A88" t="inlineStr">
        <is>
          <t>A 45113-2022</t>
        </is>
      </c>
      <c r="B88" s="1" t="n">
        <v>44843</v>
      </c>
      <c r="C88" s="1" t="n">
        <v>45766</v>
      </c>
      <c r="D88" t="inlineStr">
        <is>
          <t>STOCKHOLMS LÄN</t>
        </is>
      </c>
      <c r="E88" t="inlineStr">
        <is>
          <t>NORRTÄLJE</t>
        </is>
      </c>
      <c r="G88" t="n">
        <v>1.7</v>
      </c>
      <c r="H88" t="n">
        <v>0</v>
      </c>
      <c r="I88" t="n">
        <v>1</v>
      </c>
      <c r="J88" t="n">
        <v>1</v>
      </c>
      <c r="K88" t="n">
        <v>1</v>
      </c>
      <c r="L88" t="n">
        <v>0</v>
      </c>
      <c r="M88" t="n">
        <v>0</v>
      </c>
      <c r="N88" t="n">
        <v>0</v>
      </c>
      <c r="O88" t="n">
        <v>2</v>
      </c>
      <c r="P88" t="n">
        <v>1</v>
      </c>
      <c r="Q88" t="n">
        <v>3</v>
      </c>
      <c r="R88" s="2" t="inlineStr">
        <is>
          <t>Violett fingersvamp
Kandelabersvamp
Slät lönnlav</t>
        </is>
      </c>
      <c r="S88">
        <f>HYPERLINK("https://klasma.github.io/Logging_0188/artfynd/A 45113-2022 artfynd.xlsx", "A 45113-2022")</f>
        <v/>
      </c>
      <c r="T88">
        <f>HYPERLINK("https://klasma.github.io/Logging_0188/kartor/A 45113-2022 karta.png", "A 45113-2022")</f>
        <v/>
      </c>
      <c r="V88">
        <f>HYPERLINK("https://klasma.github.io/Logging_0188/klagomål/A 45113-2022 FSC-klagomål.docx", "A 45113-2022")</f>
        <v/>
      </c>
      <c r="W88">
        <f>HYPERLINK("https://klasma.github.io/Logging_0188/klagomålsmail/A 45113-2022 FSC-klagomål mail.docx", "A 45113-2022")</f>
        <v/>
      </c>
      <c r="X88">
        <f>HYPERLINK("https://klasma.github.io/Logging_0188/tillsyn/A 45113-2022 tillsynsbegäran.docx", "A 45113-2022")</f>
        <v/>
      </c>
      <c r="Y88">
        <f>HYPERLINK("https://klasma.github.io/Logging_0188/tillsynsmail/A 45113-2022 tillsynsbegäran mail.docx", "A 45113-2022")</f>
        <v/>
      </c>
    </row>
    <row r="89" ht="15" customHeight="1">
      <c r="A89" t="inlineStr">
        <is>
          <t>A 50618-2022</t>
        </is>
      </c>
      <c r="B89" s="1" t="n">
        <v>44866</v>
      </c>
      <c r="C89" s="1" t="n">
        <v>45766</v>
      </c>
      <c r="D89" t="inlineStr">
        <is>
          <t>STOCKHOLMS LÄN</t>
        </is>
      </c>
      <c r="E89" t="inlineStr">
        <is>
          <t>NORRTÄLJE</t>
        </is>
      </c>
      <c r="G89" t="n">
        <v>7.8</v>
      </c>
      <c r="H89" t="n">
        <v>2</v>
      </c>
      <c r="I89" t="n">
        <v>2</v>
      </c>
      <c r="J89" t="n">
        <v>0</v>
      </c>
      <c r="K89" t="n">
        <v>0</v>
      </c>
      <c r="L89" t="n">
        <v>0</v>
      </c>
      <c r="M89" t="n">
        <v>0</v>
      </c>
      <c r="N89" t="n">
        <v>0</v>
      </c>
      <c r="O89" t="n">
        <v>0</v>
      </c>
      <c r="P89" t="n">
        <v>0</v>
      </c>
      <c r="Q89" t="n">
        <v>3</v>
      </c>
      <c r="R89" s="2" t="inlineStr">
        <is>
          <t>Skogsknipprot
Vårärt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2851-2023</t>
        </is>
      </c>
      <c r="B90" s="1" t="n">
        <v>44945</v>
      </c>
      <c r="C90" s="1" t="n">
        <v>45766</v>
      </c>
      <c r="D90" t="inlineStr">
        <is>
          <t>STOCKHOLMS LÄN</t>
        </is>
      </c>
      <c r="E90" t="inlineStr">
        <is>
          <t>NORRTÄLJE</t>
        </is>
      </c>
      <c r="G90" t="n">
        <v>5.8</v>
      </c>
      <c r="H90" t="n">
        <v>1</v>
      </c>
      <c r="I90" t="n">
        <v>1</v>
      </c>
      <c r="J90" t="n">
        <v>2</v>
      </c>
      <c r="K90" t="n">
        <v>0</v>
      </c>
      <c r="L90" t="n">
        <v>0</v>
      </c>
      <c r="M90" t="n">
        <v>0</v>
      </c>
      <c r="N90" t="n">
        <v>0</v>
      </c>
      <c r="O90" t="n">
        <v>2</v>
      </c>
      <c r="P90" t="n">
        <v>0</v>
      </c>
      <c r="Q90" t="n">
        <v>3</v>
      </c>
      <c r="R90" s="2" t="inlineStr">
        <is>
          <t>Gulsparv
Vedflikmossa
Terpentinmossa</t>
        </is>
      </c>
      <c r="S90">
        <f>HYPERLINK("https://klasma.github.io/Logging_0188/artfynd/A 2851-2023 artfynd.xlsx", "A 2851-2023")</f>
        <v/>
      </c>
      <c r="T90">
        <f>HYPERLINK("https://klasma.github.io/Logging_0188/kartor/A 2851-2023 karta.png", "A 2851-2023")</f>
        <v/>
      </c>
      <c r="V90">
        <f>HYPERLINK("https://klasma.github.io/Logging_0188/klagomål/A 2851-2023 FSC-klagomål.docx", "A 2851-2023")</f>
        <v/>
      </c>
      <c r="W90">
        <f>HYPERLINK("https://klasma.github.io/Logging_0188/klagomålsmail/A 2851-2023 FSC-klagomål mail.docx", "A 2851-2023")</f>
        <v/>
      </c>
      <c r="X90">
        <f>HYPERLINK("https://klasma.github.io/Logging_0188/tillsyn/A 2851-2023 tillsynsbegäran.docx", "A 2851-2023")</f>
        <v/>
      </c>
      <c r="Y90">
        <f>HYPERLINK("https://klasma.github.io/Logging_0188/tillsynsmail/A 2851-2023 tillsynsbegäran mail.docx", "A 2851-2023")</f>
        <v/>
      </c>
      <c r="Z90">
        <f>HYPERLINK("https://klasma.github.io/Logging_0188/fåglar/A 2851-2023 prioriterade fågelarter.docx", "A 2851-2023")</f>
        <v/>
      </c>
    </row>
    <row r="91" ht="15" customHeight="1">
      <c r="A91" t="inlineStr">
        <is>
          <t>A 17916-2023</t>
        </is>
      </c>
      <c r="B91" s="1" t="n">
        <v>45040</v>
      </c>
      <c r="C91" s="1" t="n">
        <v>45766</v>
      </c>
      <c r="D91" t="inlineStr">
        <is>
          <t>STOCKHOLMS LÄN</t>
        </is>
      </c>
      <c r="E91" t="inlineStr">
        <is>
          <t>NORRTÄLJE</t>
        </is>
      </c>
      <c r="G91" t="n">
        <v>9.1</v>
      </c>
      <c r="H91" t="n">
        <v>1</v>
      </c>
      <c r="I91" t="n">
        <v>2</v>
      </c>
      <c r="J91" t="n">
        <v>0</v>
      </c>
      <c r="K91" t="n">
        <v>0</v>
      </c>
      <c r="L91" t="n">
        <v>0</v>
      </c>
      <c r="M91" t="n">
        <v>0</v>
      </c>
      <c r="N91" t="n">
        <v>0</v>
      </c>
      <c r="O91" t="n">
        <v>0</v>
      </c>
      <c r="P91" t="n">
        <v>0</v>
      </c>
      <c r="Q91" t="n">
        <v>3</v>
      </c>
      <c r="R91" s="2" t="inlineStr">
        <is>
          <t>Skarp dropptaggsvamp
Sårläka
Blåsippa</t>
        </is>
      </c>
      <c r="S91">
        <f>HYPERLINK("https://klasma.github.io/Logging_0188/artfynd/A 17916-2023 artfynd.xlsx", "A 17916-2023")</f>
        <v/>
      </c>
      <c r="T91">
        <f>HYPERLINK("https://klasma.github.io/Logging_0188/kartor/A 17916-2023 karta.png", "A 17916-2023")</f>
        <v/>
      </c>
      <c r="V91">
        <f>HYPERLINK("https://klasma.github.io/Logging_0188/klagomål/A 17916-2023 FSC-klagomål.docx", "A 17916-2023")</f>
        <v/>
      </c>
      <c r="W91">
        <f>HYPERLINK("https://klasma.github.io/Logging_0188/klagomålsmail/A 17916-2023 FSC-klagomål mail.docx", "A 17916-2023")</f>
        <v/>
      </c>
      <c r="X91">
        <f>HYPERLINK("https://klasma.github.io/Logging_0188/tillsyn/A 17916-2023 tillsynsbegäran.docx", "A 17916-2023")</f>
        <v/>
      </c>
      <c r="Y91">
        <f>HYPERLINK("https://klasma.github.io/Logging_0188/tillsynsmail/A 17916-2023 tillsynsbegäran mail.docx", "A 17916-2023")</f>
        <v/>
      </c>
    </row>
    <row r="92" ht="15" customHeight="1">
      <c r="A92" t="inlineStr">
        <is>
          <t>A 36662-2023</t>
        </is>
      </c>
      <c r="B92" s="1" t="n">
        <v>45153</v>
      </c>
      <c r="C92" s="1" t="n">
        <v>45766</v>
      </c>
      <c r="D92" t="inlineStr">
        <is>
          <t>STOCKHOLMS LÄN</t>
        </is>
      </c>
      <c r="E92" t="inlineStr">
        <is>
          <t>NORRTÄLJE</t>
        </is>
      </c>
      <c r="G92" t="n">
        <v>3.1</v>
      </c>
      <c r="H92" t="n">
        <v>1</v>
      </c>
      <c r="I92" t="n">
        <v>2</v>
      </c>
      <c r="J92" t="n">
        <v>1</v>
      </c>
      <c r="K92" t="n">
        <v>0</v>
      </c>
      <c r="L92" t="n">
        <v>0</v>
      </c>
      <c r="M92" t="n">
        <v>0</v>
      </c>
      <c r="N92" t="n">
        <v>0</v>
      </c>
      <c r="O92" t="n">
        <v>1</v>
      </c>
      <c r="P92" t="n">
        <v>0</v>
      </c>
      <c r="Q92" t="n">
        <v>3</v>
      </c>
      <c r="R92" s="2" t="inlineStr">
        <is>
          <t>Svartvit taggsvamp
Skogsknipprot
Svavelriska</t>
        </is>
      </c>
      <c r="S92">
        <f>HYPERLINK("https://klasma.github.io/Logging_0188/artfynd/A 36662-2023 artfynd.xlsx", "A 36662-2023")</f>
        <v/>
      </c>
      <c r="T92">
        <f>HYPERLINK("https://klasma.github.io/Logging_0188/kartor/A 36662-2023 karta.png", "A 36662-2023")</f>
        <v/>
      </c>
      <c r="V92">
        <f>HYPERLINK("https://klasma.github.io/Logging_0188/klagomål/A 36662-2023 FSC-klagomål.docx", "A 36662-2023")</f>
        <v/>
      </c>
      <c r="W92">
        <f>HYPERLINK("https://klasma.github.io/Logging_0188/klagomålsmail/A 36662-2023 FSC-klagomål mail.docx", "A 36662-2023")</f>
        <v/>
      </c>
      <c r="X92">
        <f>HYPERLINK("https://klasma.github.io/Logging_0188/tillsyn/A 36662-2023 tillsynsbegäran.docx", "A 36662-2023")</f>
        <v/>
      </c>
      <c r="Y92">
        <f>HYPERLINK("https://klasma.github.io/Logging_0188/tillsynsmail/A 36662-2023 tillsynsbegäran mail.docx", "A 36662-2023")</f>
        <v/>
      </c>
    </row>
    <row r="93" ht="15" customHeight="1">
      <c r="A93" t="inlineStr">
        <is>
          <t>A 43304-2023</t>
        </is>
      </c>
      <c r="B93" s="1" t="n">
        <v>45183</v>
      </c>
      <c r="C93" s="1" t="n">
        <v>45766</v>
      </c>
      <c r="D93" t="inlineStr">
        <is>
          <t>STOCKHOLMS LÄN</t>
        </is>
      </c>
      <c r="E93" t="inlineStr">
        <is>
          <t>NORRTÄLJE</t>
        </is>
      </c>
      <c r="G93" t="n">
        <v>1.5</v>
      </c>
      <c r="H93" t="n">
        <v>0</v>
      </c>
      <c r="I93" t="n">
        <v>0</v>
      </c>
      <c r="J93" t="n">
        <v>2</v>
      </c>
      <c r="K93" t="n">
        <v>1</v>
      </c>
      <c r="L93" t="n">
        <v>0</v>
      </c>
      <c r="M93" t="n">
        <v>0</v>
      </c>
      <c r="N93" t="n">
        <v>0</v>
      </c>
      <c r="O93" t="n">
        <v>3</v>
      </c>
      <c r="P93" t="n">
        <v>1</v>
      </c>
      <c r="Q93" t="n">
        <v>3</v>
      </c>
      <c r="R93" s="2" t="inlineStr">
        <is>
          <t>Spricktaggsvamp
Kungsspindling
Persiljespindling</t>
        </is>
      </c>
      <c r="S93">
        <f>HYPERLINK("https://klasma.github.io/Logging_0188/artfynd/A 43304-2023 artfynd.xlsx", "A 43304-2023")</f>
        <v/>
      </c>
      <c r="T93">
        <f>HYPERLINK("https://klasma.github.io/Logging_0188/kartor/A 43304-2023 karta.png", "A 43304-2023")</f>
        <v/>
      </c>
      <c r="V93">
        <f>HYPERLINK("https://klasma.github.io/Logging_0188/klagomål/A 43304-2023 FSC-klagomål.docx", "A 43304-2023")</f>
        <v/>
      </c>
      <c r="W93">
        <f>HYPERLINK("https://klasma.github.io/Logging_0188/klagomålsmail/A 43304-2023 FSC-klagomål mail.docx", "A 43304-2023")</f>
        <v/>
      </c>
      <c r="X93">
        <f>HYPERLINK("https://klasma.github.io/Logging_0188/tillsyn/A 43304-2023 tillsynsbegäran.docx", "A 43304-2023")</f>
        <v/>
      </c>
      <c r="Y93">
        <f>HYPERLINK("https://klasma.github.io/Logging_0188/tillsynsmail/A 43304-2023 tillsynsbegäran mail.docx", "A 43304-2023")</f>
        <v/>
      </c>
    </row>
    <row r="94" ht="15" customHeight="1">
      <c r="A94" t="inlineStr">
        <is>
          <t>A 52011-2023</t>
        </is>
      </c>
      <c r="B94" s="1" t="n">
        <v>45223</v>
      </c>
      <c r="C94" s="1" t="n">
        <v>45766</v>
      </c>
      <c r="D94" t="inlineStr">
        <is>
          <t>STOCKHOLMS LÄN</t>
        </is>
      </c>
      <c r="E94" t="inlineStr">
        <is>
          <t>NORRTÄLJE</t>
        </is>
      </c>
      <c r="F94" t="inlineStr">
        <is>
          <t>Övriga Aktiebolag</t>
        </is>
      </c>
      <c r="G94" t="n">
        <v>16.6</v>
      </c>
      <c r="H94" t="n">
        <v>0</v>
      </c>
      <c r="I94" t="n">
        <v>2</v>
      </c>
      <c r="J94" t="n">
        <v>1</v>
      </c>
      <c r="K94" t="n">
        <v>0</v>
      </c>
      <c r="L94" t="n">
        <v>0</v>
      </c>
      <c r="M94" t="n">
        <v>0</v>
      </c>
      <c r="N94" t="n">
        <v>0</v>
      </c>
      <c r="O94" t="n">
        <v>1</v>
      </c>
      <c r="P94" t="n">
        <v>0</v>
      </c>
      <c r="Q94" t="n">
        <v>3</v>
      </c>
      <c r="R94" s="2" t="inlineStr">
        <is>
          <t>Vedtrappmossa
Mörk husmossa
Skogshakmossa</t>
        </is>
      </c>
      <c r="S94">
        <f>HYPERLINK("https://klasma.github.io/Logging_0188/artfynd/A 52011-2023 artfynd.xlsx", "A 52011-2023")</f>
        <v/>
      </c>
      <c r="T94">
        <f>HYPERLINK("https://klasma.github.io/Logging_0188/kartor/A 52011-2023 karta.png", "A 52011-2023")</f>
        <v/>
      </c>
      <c r="V94">
        <f>HYPERLINK("https://klasma.github.io/Logging_0188/klagomål/A 52011-2023 FSC-klagomål.docx", "A 52011-2023")</f>
        <v/>
      </c>
      <c r="W94">
        <f>HYPERLINK("https://klasma.github.io/Logging_0188/klagomålsmail/A 52011-2023 FSC-klagomål mail.docx", "A 52011-2023")</f>
        <v/>
      </c>
      <c r="X94">
        <f>HYPERLINK("https://klasma.github.io/Logging_0188/tillsyn/A 52011-2023 tillsynsbegäran.docx", "A 52011-2023")</f>
        <v/>
      </c>
      <c r="Y94">
        <f>HYPERLINK("https://klasma.github.io/Logging_0188/tillsynsmail/A 52011-2023 tillsynsbegäran mail.docx", "A 52011-2023")</f>
        <v/>
      </c>
    </row>
    <row r="95" ht="15" customHeight="1">
      <c r="A95" t="inlineStr">
        <is>
          <t>A 53065-2024</t>
        </is>
      </c>
      <c r="B95" s="1" t="n">
        <v>45611</v>
      </c>
      <c r="C95" s="1" t="n">
        <v>45766</v>
      </c>
      <c r="D95" t="inlineStr">
        <is>
          <t>STOCKHOLMS LÄN</t>
        </is>
      </c>
      <c r="E95" t="inlineStr">
        <is>
          <t>NORRTÄLJE</t>
        </is>
      </c>
      <c r="G95" t="n">
        <v>12.3</v>
      </c>
      <c r="H95" t="n">
        <v>0</v>
      </c>
      <c r="I95" t="n">
        <v>1</v>
      </c>
      <c r="J95" t="n">
        <v>1</v>
      </c>
      <c r="K95" t="n">
        <v>1</v>
      </c>
      <c r="L95" t="n">
        <v>0</v>
      </c>
      <c r="M95" t="n">
        <v>0</v>
      </c>
      <c r="N95" t="n">
        <v>0</v>
      </c>
      <c r="O95" t="n">
        <v>2</v>
      </c>
      <c r="P95" t="n">
        <v>1</v>
      </c>
      <c r="Q95" t="n">
        <v>3</v>
      </c>
      <c r="R95" s="2" t="inlineStr">
        <is>
          <t>Aspsplintbock
Grön aspvedbock
Gulröd blankbock</t>
        </is>
      </c>
      <c r="S95">
        <f>HYPERLINK("https://klasma.github.io/Logging_0188/artfynd/A 53065-2024 artfynd.xlsx", "A 53065-2024")</f>
        <v/>
      </c>
      <c r="T95">
        <f>HYPERLINK("https://klasma.github.io/Logging_0188/kartor/A 53065-2024 karta.png", "A 53065-2024")</f>
        <v/>
      </c>
      <c r="V95">
        <f>HYPERLINK("https://klasma.github.io/Logging_0188/klagomål/A 53065-2024 FSC-klagomål.docx", "A 53065-2024")</f>
        <v/>
      </c>
      <c r="W95">
        <f>HYPERLINK("https://klasma.github.io/Logging_0188/klagomålsmail/A 53065-2024 FSC-klagomål mail.docx", "A 53065-2024")</f>
        <v/>
      </c>
      <c r="X95">
        <f>HYPERLINK("https://klasma.github.io/Logging_0188/tillsyn/A 53065-2024 tillsynsbegäran.docx", "A 53065-2024")</f>
        <v/>
      </c>
      <c r="Y95">
        <f>HYPERLINK("https://klasma.github.io/Logging_0188/tillsynsmail/A 53065-2024 tillsynsbegäran mail.docx", "A 53065-2024")</f>
        <v/>
      </c>
    </row>
    <row r="96" ht="15" customHeight="1">
      <c r="A96" t="inlineStr">
        <is>
          <t>A 54110-2024</t>
        </is>
      </c>
      <c r="B96" s="1" t="n">
        <v>45616</v>
      </c>
      <c r="C96" s="1" t="n">
        <v>45766</v>
      </c>
      <c r="D96" t="inlineStr">
        <is>
          <t>STOCKHOLMS LÄN</t>
        </is>
      </c>
      <c r="E96" t="inlineStr">
        <is>
          <t>NORRTÄLJE</t>
        </is>
      </c>
      <c r="G96" t="n">
        <v>6.7</v>
      </c>
      <c r="H96" t="n">
        <v>2</v>
      </c>
      <c r="I96" t="n">
        <v>0</v>
      </c>
      <c r="J96" t="n">
        <v>1</v>
      </c>
      <c r="K96" t="n">
        <v>0</v>
      </c>
      <c r="L96" t="n">
        <v>0</v>
      </c>
      <c r="M96" t="n">
        <v>0</v>
      </c>
      <c r="N96" t="n">
        <v>0</v>
      </c>
      <c r="O96" t="n">
        <v>1</v>
      </c>
      <c r="P96" t="n">
        <v>0</v>
      </c>
      <c r="Q96" t="n">
        <v>3</v>
      </c>
      <c r="R96" s="2" t="inlineStr">
        <is>
          <t>Klasefibbla
Nattviol
Gullviva</t>
        </is>
      </c>
      <c r="S96">
        <f>HYPERLINK("https://klasma.github.io/Logging_0188/artfynd/A 54110-2024 artfynd.xlsx", "A 54110-2024")</f>
        <v/>
      </c>
      <c r="T96">
        <f>HYPERLINK("https://klasma.github.io/Logging_0188/kartor/A 54110-2024 karta.png", "A 54110-2024")</f>
        <v/>
      </c>
      <c r="V96">
        <f>HYPERLINK("https://klasma.github.io/Logging_0188/klagomål/A 54110-2024 FSC-klagomål.docx", "A 54110-2024")</f>
        <v/>
      </c>
      <c r="W96">
        <f>HYPERLINK("https://klasma.github.io/Logging_0188/klagomålsmail/A 54110-2024 FSC-klagomål mail.docx", "A 54110-2024")</f>
        <v/>
      </c>
      <c r="X96">
        <f>HYPERLINK("https://klasma.github.io/Logging_0188/tillsyn/A 54110-2024 tillsynsbegäran.docx", "A 54110-2024")</f>
        <v/>
      </c>
      <c r="Y96">
        <f>HYPERLINK("https://klasma.github.io/Logging_0188/tillsynsmail/A 54110-2024 tillsynsbegäran mail.docx", "A 54110-2024")</f>
        <v/>
      </c>
    </row>
    <row r="97" ht="15" customHeight="1">
      <c r="A97" t="inlineStr">
        <is>
          <t>A 824-2025</t>
        </is>
      </c>
      <c r="B97" s="1" t="n">
        <v>45665</v>
      </c>
      <c r="C97" s="1" t="n">
        <v>45766</v>
      </c>
      <c r="D97" t="inlineStr">
        <is>
          <t>STOCKHOLMS LÄN</t>
        </is>
      </c>
      <c r="E97" t="inlineStr">
        <is>
          <t>NORRTÄLJE</t>
        </is>
      </c>
      <c r="F97" t="inlineStr">
        <is>
          <t>Övriga Aktiebolag</t>
        </is>
      </c>
      <c r="G97" t="n">
        <v>10.9</v>
      </c>
      <c r="H97" t="n">
        <v>0</v>
      </c>
      <c r="I97" t="n">
        <v>3</v>
      </c>
      <c r="J97" t="n">
        <v>0</v>
      </c>
      <c r="K97" t="n">
        <v>0</v>
      </c>
      <c r="L97" t="n">
        <v>0</v>
      </c>
      <c r="M97" t="n">
        <v>0</v>
      </c>
      <c r="N97" t="n">
        <v>0</v>
      </c>
      <c r="O97" t="n">
        <v>0</v>
      </c>
      <c r="P97" t="n">
        <v>0</v>
      </c>
      <c r="Q97" t="n">
        <v>3</v>
      </c>
      <c r="R97" s="2" t="inlineStr">
        <is>
          <t>Björksplintborre
Grönpyrola
Kattfotslav</t>
        </is>
      </c>
      <c r="S97">
        <f>HYPERLINK("https://klasma.github.io/Logging_0188/artfynd/A 824-2025 artfynd.xlsx", "A 824-2025")</f>
        <v/>
      </c>
      <c r="T97">
        <f>HYPERLINK("https://klasma.github.io/Logging_0188/kartor/A 824-2025 karta.png", "A 824-2025")</f>
        <v/>
      </c>
      <c r="V97">
        <f>HYPERLINK("https://klasma.github.io/Logging_0188/klagomål/A 824-2025 FSC-klagomål.docx", "A 824-2025")</f>
        <v/>
      </c>
      <c r="W97">
        <f>HYPERLINK("https://klasma.github.io/Logging_0188/klagomålsmail/A 824-2025 FSC-klagomål mail.docx", "A 824-2025")</f>
        <v/>
      </c>
      <c r="X97">
        <f>HYPERLINK("https://klasma.github.io/Logging_0188/tillsyn/A 824-2025 tillsynsbegäran.docx", "A 824-2025")</f>
        <v/>
      </c>
      <c r="Y97">
        <f>HYPERLINK("https://klasma.github.io/Logging_0188/tillsynsmail/A 824-2025 tillsynsbegäran mail.docx", "A 824-2025")</f>
        <v/>
      </c>
    </row>
    <row r="98" ht="15" customHeight="1">
      <c r="A98" t="inlineStr">
        <is>
          <t>A 23830-2019</t>
        </is>
      </c>
      <c r="B98" s="1" t="n">
        <v>43595</v>
      </c>
      <c r="C98" s="1" t="n">
        <v>45766</v>
      </c>
      <c r="D98" t="inlineStr">
        <is>
          <t>STOCKHOLMS LÄN</t>
        </is>
      </c>
      <c r="E98" t="inlineStr">
        <is>
          <t>NORRTÄLJE</t>
        </is>
      </c>
      <c r="G98" t="n">
        <v>3</v>
      </c>
      <c r="H98" t="n">
        <v>2</v>
      </c>
      <c r="I98" t="n">
        <v>1</v>
      </c>
      <c r="J98" t="n">
        <v>0</v>
      </c>
      <c r="K98" t="n">
        <v>0</v>
      </c>
      <c r="L98" t="n">
        <v>0</v>
      </c>
      <c r="M98" t="n">
        <v>0</v>
      </c>
      <c r="N98" t="n">
        <v>0</v>
      </c>
      <c r="O98" t="n">
        <v>0</v>
      </c>
      <c r="P98" t="n">
        <v>0</v>
      </c>
      <c r="Q98" t="n">
        <v>2</v>
      </c>
      <c r="R98" s="2" t="inlineStr">
        <is>
          <t>Guckusko
Grönvit nattviol</t>
        </is>
      </c>
      <c r="S98">
        <f>HYPERLINK("https://klasma.github.io/Logging_0188/artfynd/A 23830-2019 artfynd.xlsx", "A 23830-2019")</f>
        <v/>
      </c>
      <c r="T98">
        <f>HYPERLINK("https://klasma.github.io/Logging_0188/kartor/A 23830-2019 karta.png", "A 23830-2019")</f>
        <v/>
      </c>
      <c r="V98">
        <f>HYPERLINK("https://klasma.github.io/Logging_0188/klagomål/A 23830-2019 FSC-klagomål.docx", "A 23830-2019")</f>
        <v/>
      </c>
      <c r="W98">
        <f>HYPERLINK("https://klasma.github.io/Logging_0188/klagomålsmail/A 23830-2019 FSC-klagomål mail.docx", "A 23830-2019")</f>
        <v/>
      </c>
      <c r="X98">
        <f>HYPERLINK("https://klasma.github.io/Logging_0188/tillsyn/A 23830-2019 tillsynsbegäran.docx", "A 23830-2019")</f>
        <v/>
      </c>
      <c r="Y98">
        <f>HYPERLINK("https://klasma.github.io/Logging_0188/tillsynsmail/A 23830-2019 tillsynsbegäran mail.docx", "A 23830-2019")</f>
        <v/>
      </c>
    </row>
    <row r="99" ht="15" customHeight="1">
      <c r="A99" t="inlineStr">
        <is>
          <t>A 47875-2019</t>
        </is>
      </c>
      <c r="B99" s="1" t="n">
        <v>43725</v>
      </c>
      <c r="C99" s="1" t="n">
        <v>45766</v>
      </c>
      <c r="D99" t="inlineStr">
        <is>
          <t>STOCKHOLMS LÄN</t>
        </is>
      </c>
      <c r="E99" t="inlineStr">
        <is>
          <t>NORRTÄLJE</t>
        </is>
      </c>
      <c r="G99" t="n">
        <v>10.9</v>
      </c>
      <c r="H99" t="n">
        <v>1</v>
      </c>
      <c r="I99" t="n">
        <v>0</v>
      </c>
      <c r="J99" t="n">
        <v>1</v>
      </c>
      <c r="K99" t="n">
        <v>0</v>
      </c>
      <c r="L99" t="n">
        <v>0</v>
      </c>
      <c r="M99" t="n">
        <v>0</v>
      </c>
      <c r="N99" t="n">
        <v>0</v>
      </c>
      <c r="O99" t="n">
        <v>1</v>
      </c>
      <c r="P99" t="n">
        <v>0</v>
      </c>
      <c r="Q99" t="n">
        <v>2</v>
      </c>
      <c r="R99" s="2" t="inlineStr">
        <is>
          <t>Vippärt
Mattlummer</t>
        </is>
      </c>
      <c r="S99">
        <f>HYPERLINK("https://klasma.github.io/Logging_0188/artfynd/A 47875-2019 artfynd.xlsx", "A 47875-2019")</f>
        <v/>
      </c>
      <c r="T99">
        <f>HYPERLINK("https://klasma.github.io/Logging_0188/kartor/A 47875-2019 karta.png", "A 47875-2019")</f>
        <v/>
      </c>
      <c r="V99">
        <f>HYPERLINK("https://klasma.github.io/Logging_0188/klagomål/A 47875-2019 FSC-klagomål.docx", "A 47875-2019")</f>
        <v/>
      </c>
      <c r="W99">
        <f>HYPERLINK("https://klasma.github.io/Logging_0188/klagomålsmail/A 47875-2019 FSC-klagomål mail.docx", "A 47875-2019")</f>
        <v/>
      </c>
      <c r="X99">
        <f>HYPERLINK("https://klasma.github.io/Logging_0188/tillsyn/A 47875-2019 tillsynsbegäran.docx", "A 47875-2019")</f>
        <v/>
      </c>
      <c r="Y99">
        <f>HYPERLINK("https://klasma.github.io/Logging_0188/tillsynsmail/A 47875-2019 tillsynsbegäran mail.docx", "A 47875-2019")</f>
        <v/>
      </c>
    </row>
    <row r="100" ht="15" customHeight="1">
      <c r="A100" t="inlineStr">
        <is>
          <t>A 2810-2020</t>
        </is>
      </c>
      <c r="B100" s="1" t="n">
        <v>43850</v>
      </c>
      <c r="C100" s="1" t="n">
        <v>45766</v>
      </c>
      <c r="D100" t="inlineStr">
        <is>
          <t>STOCKHOLMS LÄN</t>
        </is>
      </c>
      <c r="E100" t="inlineStr">
        <is>
          <t>NORRTÄLJE</t>
        </is>
      </c>
      <c r="G100" t="n">
        <v>0.9</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2810-2020 artfynd.xlsx", "A 2810-2020")</f>
        <v/>
      </c>
      <c r="T100">
        <f>HYPERLINK("https://klasma.github.io/Logging_0188/kartor/A 2810-2020 karta.png", "A 2810-2020")</f>
        <v/>
      </c>
      <c r="U100">
        <f>HYPERLINK("https://klasma.github.io/Logging_0188/knärot/A 2810-2020 karta knärot.png", "A 2810-2020")</f>
        <v/>
      </c>
      <c r="V100">
        <f>HYPERLINK("https://klasma.github.io/Logging_0188/klagomål/A 2810-2020 FSC-klagomål.docx", "A 2810-2020")</f>
        <v/>
      </c>
      <c r="W100">
        <f>HYPERLINK("https://klasma.github.io/Logging_0188/klagomålsmail/A 2810-2020 FSC-klagomål mail.docx", "A 2810-2020")</f>
        <v/>
      </c>
      <c r="X100">
        <f>HYPERLINK("https://klasma.github.io/Logging_0188/tillsyn/A 2810-2020 tillsynsbegäran.docx", "A 2810-2020")</f>
        <v/>
      </c>
      <c r="Y100">
        <f>HYPERLINK("https://klasma.github.io/Logging_0188/tillsynsmail/A 2810-2020 tillsynsbegäran mail.docx", "A 2810-2020")</f>
        <v/>
      </c>
    </row>
    <row r="101" ht="15" customHeight="1">
      <c r="A101" t="inlineStr">
        <is>
          <t>A 6272-2020</t>
        </is>
      </c>
      <c r="B101" s="1" t="n">
        <v>43866</v>
      </c>
      <c r="C101" s="1" t="n">
        <v>45766</v>
      </c>
      <c r="D101" t="inlineStr">
        <is>
          <t>STOCKHOLMS LÄN</t>
        </is>
      </c>
      <c r="E101" t="inlineStr">
        <is>
          <t>NORRTÄLJE</t>
        </is>
      </c>
      <c r="F101" t="inlineStr">
        <is>
          <t>Övriga statliga verk och myndigheter</t>
        </is>
      </c>
      <c r="G101" t="n">
        <v>1.9</v>
      </c>
      <c r="H101" t="n">
        <v>1</v>
      </c>
      <c r="I101" t="n">
        <v>1</v>
      </c>
      <c r="J101" t="n">
        <v>1</v>
      </c>
      <c r="K101" t="n">
        <v>0</v>
      </c>
      <c r="L101" t="n">
        <v>0</v>
      </c>
      <c r="M101" t="n">
        <v>0</v>
      </c>
      <c r="N101" t="n">
        <v>0</v>
      </c>
      <c r="O101" t="n">
        <v>1</v>
      </c>
      <c r="P101" t="n">
        <v>0</v>
      </c>
      <c r="Q101" t="n">
        <v>2</v>
      </c>
      <c r="R101" s="2" t="inlineStr">
        <is>
          <t>Silversmygare
Nästrot</t>
        </is>
      </c>
      <c r="S101">
        <f>HYPERLINK("https://klasma.github.io/Logging_0188/artfynd/A 6272-2020 artfynd.xlsx", "A 6272-2020")</f>
        <v/>
      </c>
      <c r="T101">
        <f>HYPERLINK("https://klasma.github.io/Logging_0188/kartor/A 6272-2020 karta.png", "A 6272-2020")</f>
        <v/>
      </c>
      <c r="V101">
        <f>HYPERLINK("https://klasma.github.io/Logging_0188/klagomål/A 6272-2020 FSC-klagomål.docx", "A 6272-2020")</f>
        <v/>
      </c>
      <c r="W101">
        <f>HYPERLINK("https://klasma.github.io/Logging_0188/klagomålsmail/A 6272-2020 FSC-klagomål mail.docx", "A 6272-2020")</f>
        <v/>
      </c>
      <c r="X101">
        <f>HYPERLINK("https://klasma.github.io/Logging_0188/tillsyn/A 6272-2020 tillsynsbegäran.docx", "A 6272-2020")</f>
        <v/>
      </c>
      <c r="Y101">
        <f>HYPERLINK("https://klasma.github.io/Logging_0188/tillsynsmail/A 6272-2020 tillsynsbegäran mail.docx", "A 6272-2020")</f>
        <v/>
      </c>
    </row>
    <row r="102" ht="15" customHeight="1">
      <c r="A102" t="inlineStr">
        <is>
          <t>A 14565-2020</t>
        </is>
      </c>
      <c r="B102" s="1" t="n">
        <v>43908</v>
      </c>
      <c r="C102" s="1" t="n">
        <v>45766</v>
      </c>
      <c r="D102" t="inlineStr">
        <is>
          <t>STOCKHOLMS LÄN</t>
        </is>
      </c>
      <c r="E102" t="inlineStr">
        <is>
          <t>NORRTÄLJE</t>
        </is>
      </c>
      <c r="G102" t="n">
        <v>3.4</v>
      </c>
      <c r="H102" t="n">
        <v>2</v>
      </c>
      <c r="I102" t="n">
        <v>0</v>
      </c>
      <c r="J102" t="n">
        <v>0</v>
      </c>
      <c r="K102" t="n">
        <v>0</v>
      </c>
      <c r="L102" t="n">
        <v>0</v>
      </c>
      <c r="M102" t="n">
        <v>0</v>
      </c>
      <c r="N102" t="n">
        <v>0</v>
      </c>
      <c r="O102" t="n">
        <v>0</v>
      </c>
      <c r="P102" t="n">
        <v>0</v>
      </c>
      <c r="Q102" t="n">
        <v>2</v>
      </c>
      <c r="R102" s="2" t="inlineStr">
        <is>
          <t>Mindre vattensalamander
Vanlig groda</t>
        </is>
      </c>
      <c r="S102">
        <f>HYPERLINK("https://klasma.github.io/Logging_0188/artfynd/A 14565-2020 artfynd.xlsx", "A 14565-2020")</f>
        <v/>
      </c>
      <c r="T102">
        <f>HYPERLINK("https://klasma.github.io/Logging_0188/kartor/A 14565-2020 karta.png", "A 14565-2020")</f>
        <v/>
      </c>
      <c r="V102">
        <f>HYPERLINK("https://klasma.github.io/Logging_0188/klagomål/A 14565-2020 FSC-klagomål.docx", "A 14565-2020")</f>
        <v/>
      </c>
      <c r="W102">
        <f>HYPERLINK("https://klasma.github.io/Logging_0188/klagomålsmail/A 14565-2020 FSC-klagomål mail.docx", "A 14565-2020")</f>
        <v/>
      </c>
      <c r="X102">
        <f>HYPERLINK("https://klasma.github.io/Logging_0188/tillsyn/A 14565-2020 tillsynsbegäran.docx", "A 14565-2020")</f>
        <v/>
      </c>
      <c r="Y102">
        <f>HYPERLINK("https://klasma.github.io/Logging_0188/tillsynsmail/A 14565-2020 tillsynsbegäran mail.docx", "A 14565-2020")</f>
        <v/>
      </c>
    </row>
    <row r="103" ht="15" customHeight="1">
      <c r="A103" t="inlineStr">
        <is>
          <t>A 19565-2020</t>
        </is>
      </c>
      <c r="B103" s="1" t="n">
        <v>43936</v>
      </c>
      <c r="C103" s="1" t="n">
        <v>45766</v>
      </c>
      <c r="D103" t="inlineStr">
        <is>
          <t>STOCKHOLMS LÄN</t>
        </is>
      </c>
      <c r="E103" t="inlineStr">
        <is>
          <t>NORRTÄLJE</t>
        </is>
      </c>
      <c r="G103" t="n">
        <v>2.4</v>
      </c>
      <c r="H103" t="n">
        <v>0</v>
      </c>
      <c r="I103" t="n">
        <v>2</v>
      </c>
      <c r="J103" t="n">
        <v>0</v>
      </c>
      <c r="K103" t="n">
        <v>0</v>
      </c>
      <c r="L103" t="n">
        <v>0</v>
      </c>
      <c r="M103" t="n">
        <v>0</v>
      </c>
      <c r="N103" t="n">
        <v>0</v>
      </c>
      <c r="O103" t="n">
        <v>0</v>
      </c>
      <c r="P103" t="n">
        <v>0</v>
      </c>
      <c r="Q103" t="n">
        <v>2</v>
      </c>
      <c r="R103" s="2" t="inlineStr">
        <is>
          <t>Mörk husmossa
Rödgul trumpetsvamp</t>
        </is>
      </c>
      <c r="S103">
        <f>HYPERLINK("https://klasma.github.io/Logging_0188/artfynd/A 19565-2020 artfynd.xlsx", "A 19565-2020")</f>
        <v/>
      </c>
      <c r="T103">
        <f>HYPERLINK("https://klasma.github.io/Logging_0188/kartor/A 19565-2020 karta.png", "A 19565-2020")</f>
        <v/>
      </c>
      <c r="V103">
        <f>HYPERLINK("https://klasma.github.io/Logging_0188/klagomål/A 19565-2020 FSC-klagomål.docx", "A 19565-2020")</f>
        <v/>
      </c>
      <c r="W103">
        <f>HYPERLINK("https://klasma.github.io/Logging_0188/klagomålsmail/A 19565-2020 FSC-klagomål mail.docx", "A 19565-2020")</f>
        <v/>
      </c>
      <c r="X103">
        <f>HYPERLINK("https://klasma.github.io/Logging_0188/tillsyn/A 19565-2020 tillsynsbegäran.docx", "A 19565-2020")</f>
        <v/>
      </c>
      <c r="Y103">
        <f>HYPERLINK("https://klasma.github.io/Logging_0188/tillsynsmail/A 19565-2020 tillsynsbegäran mail.docx", "A 19565-2020")</f>
        <v/>
      </c>
    </row>
    <row r="104" ht="15" customHeight="1">
      <c r="A104" t="inlineStr">
        <is>
          <t>A 31803-2021</t>
        </is>
      </c>
      <c r="B104" s="1" t="n">
        <v>44370</v>
      </c>
      <c r="C104" s="1" t="n">
        <v>45766</v>
      </c>
      <c r="D104" t="inlineStr">
        <is>
          <t>STOCKHOLMS LÄN</t>
        </is>
      </c>
      <c r="E104" t="inlineStr">
        <is>
          <t>NORRTÄLJE</t>
        </is>
      </c>
      <c r="G104" t="n">
        <v>4.6</v>
      </c>
      <c r="H104" t="n">
        <v>0</v>
      </c>
      <c r="I104" t="n">
        <v>1</v>
      </c>
      <c r="J104" t="n">
        <v>1</v>
      </c>
      <c r="K104" t="n">
        <v>0</v>
      </c>
      <c r="L104" t="n">
        <v>0</v>
      </c>
      <c r="M104" t="n">
        <v>0</v>
      </c>
      <c r="N104" t="n">
        <v>0</v>
      </c>
      <c r="O104" t="n">
        <v>1</v>
      </c>
      <c r="P104" t="n">
        <v>0</v>
      </c>
      <c r="Q104" t="n">
        <v>2</v>
      </c>
      <c r="R104" s="2" t="inlineStr">
        <is>
          <t>Slåtterfibbla
Vårärt</t>
        </is>
      </c>
      <c r="S104">
        <f>HYPERLINK("https://klasma.github.io/Logging_0188/artfynd/A 31803-2021 artfynd.xlsx", "A 31803-2021")</f>
        <v/>
      </c>
      <c r="T104">
        <f>HYPERLINK("https://klasma.github.io/Logging_0188/kartor/A 31803-2021 karta.png", "A 31803-2021")</f>
        <v/>
      </c>
      <c r="V104">
        <f>HYPERLINK("https://klasma.github.io/Logging_0188/klagomål/A 31803-2021 FSC-klagomål.docx", "A 31803-2021")</f>
        <v/>
      </c>
      <c r="W104">
        <f>HYPERLINK("https://klasma.github.io/Logging_0188/klagomålsmail/A 31803-2021 FSC-klagomål mail.docx", "A 31803-2021")</f>
        <v/>
      </c>
      <c r="X104">
        <f>HYPERLINK("https://klasma.github.io/Logging_0188/tillsyn/A 31803-2021 tillsynsbegäran.docx", "A 31803-2021")</f>
        <v/>
      </c>
      <c r="Y104">
        <f>HYPERLINK("https://klasma.github.io/Logging_0188/tillsynsmail/A 31803-2021 tillsynsbegäran mail.docx", "A 31803-2021")</f>
        <v/>
      </c>
    </row>
    <row r="105" ht="15" customHeight="1">
      <c r="A105" t="inlineStr">
        <is>
          <t>A 40072-2021</t>
        </is>
      </c>
      <c r="B105" s="1" t="n">
        <v>44418</v>
      </c>
      <c r="C105" s="1" t="n">
        <v>45766</v>
      </c>
      <c r="D105" t="inlineStr">
        <is>
          <t>STOCKHOLMS LÄN</t>
        </is>
      </c>
      <c r="E105" t="inlineStr">
        <is>
          <t>NORRTÄLJE</t>
        </is>
      </c>
      <c r="G105" t="n">
        <v>1.1</v>
      </c>
      <c r="H105" t="n">
        <v>2</v>
      </c>
      <c r="I105" t="n">
        <v>0</v>
      </c>
      <c r="J105" t="n">
        <v>2</v>
      </c>
      <c r="K105" t="n">
        <v>0</v>
      </c>
      <c r="L105" t="n">
        <v>0</v>
      </c>
      <c r="M105" t="n">
        <v>0</v>
      </c>
      <c r="N105" t="n">
        <v>0</v>
      </c>
      <c r="O105" t="n">
        <v>2</v>
      </c>
      <c r="P105" t="n">
        <v>0</v>
      </c>
      <c r="Q105" t="n">
        <v>2</v>
      </c>
      <c r="R105" s="2" t="inlineStr">
        <is>
          <t>Rördrom
Slaguggla</t>
        </is>
      </c>
      <c r="S105">
        <f>HYPERLINK("https://klasma.github.io/Logging_0188/artfynd/A 40072-2021 artfynd.xlsx", "A 40072-2021")</f>
        <v/>
      </c>
      <c r="T105">
        <f>HYPERLINK("https://klasma.github.io/Logging_0188/kartor/A 40072-2021 karta.png", "A 40072-2021")</f>
        <v/>
      </c>
      <c r="V105">
        <f>HYPERLINK("https://klasma.github.io/Logging_0188/klagomål/A 40072-2021 FSC-klagomål.docx", "A 40072-2021")</f>
        <v/>
      </c>
      <c r="W105">
        <f>HYPERLINK("https://klasma.github.io/Logging_0188/klagomålsmail/A 40072-2021 FSC-klagomål mail.docx", "A 40072-2021")</f>
        <v/>
      </c>
      <c r="X105">
        <f>HYPERLINK("https://klasma.github.io/Logging_0188/tillsyn/A 40072-2021 tillsynsbegäran.docx", "A 40072-2021")</f>
        <v/>
      </c>
      <c r="Y105">
        <f>HYPERLINK("https://klasma.github.io/Logging_0188/tillsynsmail/A 40072-2021 tillsynsbegäran mail.docx", "A 40072-2021")</f>
        <v/>
      </c>
      <c r="Z105">
        <f>HYPERLINK("https://klasma.github.io/Logging_0188/fåglar/A 40072-2021 prioriterade fågelarter.docx", "A 40072-2021")</f>
        <v/>
      </c>
    </row>
    <row r="106" ht="15" customHeight="1">
      <c r="A106" t="inlineStr">
        <is>
          <t>A 58676-2021</t>
        </is>
      </c>
      <c r="B106" s="1" t="n">
        <v>44489</v>
      </c>
      <c r="C106" s="1" t="n">
        <v>45766</v>
      </c>
      <c r="D106" t="inlineStr">
        <is>
          <t>STOCKHOLMS LÄN</t>
        </is>
      </c>
      <c r="E106" t="inlineStr">
        <is>
          <t>NORRTÄLJE</t>
        </is>
      </c>
      <c r="G106" t="n">
        <v>0.6</v>
      </c>
      <c r="H106" t="n">
        <v>2</v>
      </c>
      <c r="I106" t="n">
        <v>0</v>
      </c>
      <c r="J106" t="n">
        <v>0</v>
      </c>
      <c r="K106" t="n">
        <v>0</v>
      </c>
      <c r="L106" t="n">
        <v>0</v>
      </c>
      <c r="M106" t="n">
        <v>0</v>
      </c>
      <c r="N106" t="n">
        <v>0</v>
      </c>
      <c r="O106" t="n">
        <v>0</v>
      </c>
      <c r="P106" t="n">
        <v>0</v>
      </c>
      <c r="Q106" t="n">
        <v>2</v>
      </c>
      <c r="R106" s="2" t="inlineStr">
        <is>
          <t>Nattviol
Blåsippa</t>
        </is>
      </c>
      <c r="S106">
        <f>HYPERLINK("https://klasma.github.io/Logging_0188/artfynd/A 58676-2021 artfynd.xlsx", "A 58676-2021")</f>
        <v/>
      </c>
      <c r="T106">
        <f>HYPERLINK("https://klasma.github.io/Logging_0188/kartor/A 58676-2021 karta.png", "A 58676-2021")</f>
        <v/>
      </c>
      <c r="V106">
        <f>HYPERLINK("https://klasma.github.io/Logging_0188/klagomål/A 58676-2021 FSC-klagomål.docx", "A 58676-2021")</f>
        <v/>
      </c>
      <c r="W106">
        <f>HYPERLINK("https://klasma.github.io/Logging_0188/klagomålsmail/A 58676-2021 FSC-klagomål mail.docx", "A 58676-2021")</f>
        <v/>
      </c>
      <c r="X106">
        <f>HYPERLINK("https://klasma.github.io/Logging_0188/tillsyn/A 58676-2021 tillsynsbegäran.docx", "A 58676-2021")</f>
        <v/>
      </c>
      <c r="Y106">
        <f>HYPERLINK("https://klasma.github.io/Logging_0188/tillsynsmail/A 58676-2021 tillsynsbegäran mail.docx", "A 58676-2021")</f>
        <v/>
      </c>
    </row>
    <row r="107" ht="15" customHeight="1">
      <c r="A107" t="inlineStr">
        <is>
          <t>A 459-2022</t>
        </is>
      </c>
      <c r="B107" s="1" t="n">
        <v>44565</v>
      </c>
      <c r="C107" s="1" t="n">
        <v>45766</v>
      </c>
      <c r="D107" t="inlineStr">
        <is>
          <t>STOCKHOLMS LÄN</t>
        </is>
      </c>
      <c r="E107" t="inlineStr">
        <is>
          <t>NORRTÄLJE</t>
        </is>
      </c>
      <c r="F107" t="inlineStr">
        <is>
          <t>Övriga Aktiebolag</t>
        </is>
      </c>
      <c r="G107" t="n">
        <v>17.3</v>
      </c>
      <c r="H107" t="n">
        <v>0</v>
      </c>
      <c r="I107" t="n">
        <v>1</v>
      </c>
      <c r="J107" t="n">
        <v>1</v>
      </c>
      <c r="K107" t="n">
        <v>0</v>
      </c>
      <c r="L107" t="n">
        <v>0</v>
      </c>
      <c r="M107" t="n">
        <v>0</v>
      </c>
      <c r="N107" t="n">
        <v>0</v>
      </c>
      <c r="O107" t="n">
        <v>1</v>
      </c>
      <c r="P107" t="n">
        <v>0</v>
      </c>
      <c r="Q107" t="n">
        <v>2</v>
      </c>
      <c r="R107" s="2" t="inlineStr">
        <is>
          <t>Brunpudrad nållav
Björksplintborre</t>
        </is>
      </c>
      <c r="S107">
        <f>HYPERLINK("https://klasma.github.io/Logging_0188/artfynd/A 459-2022 artfynd.xlsx", "A 459-2022")</f>
        <v/>
      </c>
      <c r="T107">
        <f>HYPERLINK("https://klasma.github.io/Logging_0188/kartor/A 459-2022 karta.png", "A 459-2022")</f>
        <v/>
      </c>
      <c r="V107">
        <f>HYPERLINK("https://klasma.github.io/Logging_0188/klagomål/A 459-2022 FSC-klagomål.docx", "A 459-2022")</f>
        <v/>
      </c>
      <c r="W107">
        <f>HYPERLINK("https://klasma.github.io/Logging_0188/klagomålsmail/A 459-2022 FSC-klagomål mail.docx", "A 459-2022")</f>
        <v/>
      </c>
      <c r="X107">
        <f>HYPERLINK("https://klasma.github.io/Logging_0188/tillsyn/A 459-2022 tillsynsbegäran.docx", "A 459-2022")</f>
        <v/>
      </c>
      <c r="Y107">
        <f>HYPERLINK("https://klasma.github.io/Logging_0188/tillsynsmail/A 459-2022 tillsynsbegäran mail.docx", "A 459-2022")</f>
        <v/>
      </c>
    </row>
    <row r="108" ht="15" customHeight="1">
      <c r="A108" t="inlineStr">
        <is>
          <t>A 16260-2022</t>
        </is>
      </c>
      <c r="B108" s="1" t="n">
        <v>44670</v>
      </c>
      <c r="C108" s="1" t="n">
        <v>45766</v>
      </c>
      <c r="D108" t="inlineStr">
        <is>
          <t>STOCKHOLMS LÄN</t>
        </is>
      </c>
      <c r="E108" t="inlineStr">
        <is>
          <t>NORRTÄLJE</t>
        </is>
      </c>
      <c r="G108" t="n">
        <v>6.6</v>
      </c>
      <c r="H108" t="n">
        <v>1</v>
      </c>
      <c r="I108" t="n">
        <v>2</v>
      </c>
      <c r="J108" t="n">
        <v>0</v>
      </c>
      <c r="K108" t="n">
        <v>0</v>
      </c>
      <c r="L108" t="n">
        <v>0</v>
      </c>
      <c r="M108" t="n">
        <v>0</v>
      </c>
      <c r="N108" t="n">
        <v>0</v>
      </c>
      <c r="O108" t="n">
        <v>0</v>
      </c>
      <c r="P108" t="n">
        <v>0</v>
      </c>
      <c r="Q108" t="n">
        <v>2</v>
      </c>
      <c r="R108" s="2" t="inlineStr">
        <is>
          <t>Nästrot
Vårärt</t>
        </is>
      </c>
      <c r="S108">
        <f>HYPERLINK("https://klasma.github.io/Logging_0188/artfynd/A 16260-2022 artfynd.xlsx", "A 16260-2022")</f>
        <v/>
      </c>
      <c r="T108">
        <f>HYPERLINK("https://klasma.github.io/Logging_0188/kartor/A 16260-2022 karta.png", "A 16260-2022")</f>
        <v/>
      </c>
      <c r="V108">
        <f>HYPERLINK("https://klasma.github.io/Logging_0188/klagomål/A 16260-2022 FSC-klagomål.docx", "A 16260-2022")</f>
        <v/>
      </c>
      <c r="W108">
        <f>HYPERLINK("https://klasma.github.io/Logging_0188/klagomålsmail/A 16260-2022 FSC-klagomål mail.docx", "A 16260-2022")</f>
        <v/>
      </c>
      <c r="X108">
        <f>HYPERLINK("https://klasma.github.io/Logging_0188/tillsyn/A 16260-2022 tillsynsbegäran.docx", "A 16260-2022")</f>
        <v/>
      </c>
      <c r="Y108">
        <f>HYPERLINK("https://klasma.github.io/Logging_0188/tillsynsmail/A 16260-2022 tillsynsbegäran mail.docx", "A 16260-2022")</f>
        <v/>
      </c>
    </row>
    <row r="109" ht="15" customHeight="1">
      <c r="A109" t="inlineStr">
        <is>
          <t>A 19862-2022</t>
        </is>
      </c>
      <c r="B109" s="1" t="n">
        <v>44696</v>
      </c>
      <c r="C109" s="1" t="n">
        <v>45766</v>
      </c>
      <c r="D109" t="inlineStr">
        <is>
          <t>STOCKHOLMS LÄN</t>
        </is>
      </c>
      <c r="E109" t="inlineStr">
        <is>
          <t>NORRTÄLJE</t>
        </is>
      </c>
      <c r="G109" t="n">
        <v>6</v>
      </c>
      <c r="H109" t="n">
        <v>1</v>
      </c>
      <c r="I109" t="n">
        <v>0</v>
      </c>
      <c r="J109" t="n">
        <v>1</v>
      </c>
      <c r="K109" t="n">
        <v>0</v>
      </c>
      <c r="L109" t="n">
        <v>0</v>
      </c>
      <c r="M109" t="n">
        <v>0</v>
      </c>
      <c r="N109" t="n">
        <v>0</v>
      </c>
      <c r="O109" t="n">
        <v>1</v>
      </c>
      <c r="P109" t="n">
        <v>0</v>
      </c>
      <c r="Q109" t="n">
        <v>2</v>
      </c>
      <c r="R109" s="2" t="inlineStr">
        <is>
          <t>Granticka
Blåsippa</t>
        </is>
      </c>
      <c r="S109">
        <f>HYPERLINK("https://klasma.github.io/Logging_0188/artfynd/A 19862-2022 artfynd.xlsx", "A 19862-2022")</f>
        <v/>
      </c>
      <c r="T109">
        <f>HYPERLINK("https://klasma.github.io/Logging_0188/kartor/A 19862-2022 karta.png", "A 19862-2022")</f>
        <v/>
      </c>
      <c r="V109">
        <f>HYPERLINK("https://klasma.github.io/Logging_0188/klagomål/A 19862-2022 FSC-klagomål.docx", "A 19862-2022")</f>
        <v/>
      </c>
      <c r="W109">
        <f>HYPERLINK("https://klasma.github.io/Logging_0188/klagomålsmail/A 19862-2022 FSC-klagomål mail.docx", "A 19862-2022")</f>
        <v/>
      </c>
      <c r="X109">
        <f>HYPERLINK("https://klasma.github.io/Logging_0188/tillsyn/A 19862-2022 tillsynsbegäran.docx", "A 19862-2022")</f>
        <v/>
      </c>
      <c r="Y109">
        <f>HYPERLINK("https://klasma.github.io/Logging_0188/tillsynsmail/A 19862-2022 tillsynsbegäran mail.docx", "A 19862-2022")</f>
        <v/>
      </c>
    </row>
    <row r="110" ht="15" customHeight="1">
      <c r="A110" t="inlineStr">
        <is>
          <t>A 27742-2022</t>
        </is>
      </c>
      <c r="B110" s="1" t="n">
        <v>44743</v>
      </c>
      <c r="C110" s="1" t="n">
        <v>45766</v>
      </c>
      <c r="D110" t="inlineStr">
        <is>
          <t>STOCKHOLMS LÄN</t>
        </is>
      </c>
      <c r="E110" t="inlineStr">
        <is>
          <t>NORRTÄLJE</t>
        </is>
      </c>
      <c r="G110" t="n">
        <v>3.9</v>
      </c>
      <c r="H110" t="n">
        <v>1</v>
      </c>
      <c r="I110" t="n">
        <v>1</v>
      </c>
      <c r="J110" t="n">
        <v>0</v>
      </c>
      <c r="K110" t="n">
        <v>0</v>
      </c>
      <c r="L110" t="n">
        <v>0</v>
      </c>
      <c r="M110" t="n">
        <v>0</v>
      </c>
      <c r="N110" t="n">
        <v>0</v>
      </c>
      <c r="O110" t="n">
        <v>0</v>
      </c>
      <c r="P110" t="n">
        <v>0</v>
      </c>
      <c r="Q110" t="n">
        <v>2</v>
      </c>
      <c r="R110" s="2" t="inlineStr">
        <is>
          <t>Svavelriska
Blåsippa</t>
        </is>
      </c>
      <c r="S110">
        <f>HYPERLINK("https://klasma.github.io/Logging_0188/artfynd/A 27742-2022 artfynd.xlsx", "A 27742-2022")</f>
        <v/>
      </c>
      <c r="T110">
        <f>HYPERLINK("https://klasma.github.io/Logging_0188/kartor/A 27742-2022 karta.png", "A 27742-2022")</f>
        <v/>
      </c>
      <c r="V110">
        <f>HYPERLINK("https://klasma.github.io/Logging_0188/klagomål/A 27742-2022 FSC-klagomål.docx", "A 27742-2022")</f>
        <v/>
      </c>
      <c r="W110">
        <f>HYPERLINK("https://klasma.github.io/Logging_0188/klagomålsmail/A 27742-2022 FSC-klagomål mail.docx", "A 27742-2022")</f>
        <v/>
      </c>
      <c r="X110">
        <f>HYPERLINK("https://klasma.github.io/Logging_0188/tillsyn/A 27742-2022 tillsynsbegäran.docx", "A 27742-2022")</f>
        <v/>
      </c>
      <c r="Y110">
        <f>HYPERLINK("https://klasma.github.io/Logging_0188/tillsynsmail/A 27742-2022 tillsynsbegäran mail.docx", "A 27742-2022")</f>
        <v/>
      </c>
    </row>
    <row r="111" ht="15" customHeight="1">
      <c r="A111" t="inlineStr">
        <is>
          <t>A 30693-2022</t>
        </is>
      </c>
      <c r="B111" s="1" t="n">
        <v>44763</v>
      </c>
      <c r="C111" s="1" t="n">
        <v>45766</v>
      </c>
      <c r="D111" t="inlineStr">
        <is>
          <t>STOCKHOLMS LÄN</t>
        </is>
      </c>
      <c r="E111" t="inlineStr">
        <is>
          <t>NORRTÄLJE</t>
        </is>
      </c>
      <c r="F111" t="inlineStr">
        <is>
          <t>Sveaskog</t>
        </is>
      </c>
      <c r="G111" t="n">
        <v>3.4</v>
      </c>
      <c r="H111" t="n">
        <v>2</v>
      </c>
      <c r="I111" t="n">
        <v>0</v>
      </c>
      <c r="J111" t="n">
        <v>1</v>
      </c>
      <c r="K111" t="n">
        <v>0</v>
      </c>
      <c r="L111" t="n">
        <v>0</v>
      </c>
      <c r="M111" t="n">
        <v>0</v>
      </c>
      <c r="N111" t="n">
        <v>0</v>
      </c>
      <c r="O111" t="n">
        <v>1</v>
      </c>
      <c r="P111" t="n">
        <v>0</v>
      </c>
      <c r="Q111" t="n">
        <v>2</v>
      </c>
      <c r="R111" s="2" t="inlineStr">
        <is>
          <t>Gulsparv
Gullviva</t>
        </is>
      </c>
      <c r="S111">
        <f>HYPERLINK("https://klasma.github.io/Logging_0188/artfynd/A 30693-2022 artfynd.xlsx", "A 30693-2022")</f>
        <v/>
      </c>
      <c r="T111">
        <f>HYPERLINK("https://klasma.github.io/Logging_0188/kartor/A 30693-2022 karta.png", "A 30693-2022")</f>
        <v/>
      </c>
      <c r="V111">
        <f>HYPERLINK("https://klasma.github.io/Logging_0188/klagomål/A 30693-2022 FSC-klagomål.docx", "A 30693-2022")</f>
        <v/>
      </c>
      <c r="W111">
        <f>HYPERLINK("https://klasma.github.io/Logging_0188/klagomålsmail/A 30693-2022 FSC-klagomål mail.docx", "A 30693-2022")</f>
        <v/>
      </c>
      <c r="X111">
        <f>HYPERLINK("https://klasma.github.io/Logging_0188/tillsyn/A 30693-2022 tillsynsbegäran.docx", "A 30693-2022")</f>
        <v/>
      </c>
      <c r="Y111">
        <f>HYPERLINK("https://klasma.github.io/Logging_0188/tillsynsmail/A 30693-2022 tillsynsbegäran mail.docx", "A 30693-2022")</f>
        <v/>
      </c>
      <c r="Z111">
        <f>HYPERLINK("https://klasma.github.io/Logging_0188/fåglar/A 30693-2022 prioriterade fågelarter.docx", "A 30693-2022")</f>
        <v/>
      </c>
    </row>
    <row r="112" ht="15" customHeight="1">
      <c r="A112" t="inlineStr">
        <is>
          <t>A 38597-2022</t>
        </is>
      </c>
      <c r="B112" s="1" t="n">
        <v>44813</v>
      </c>
      <c r="C112" s="1" t="n">
        <v>45766</v>
      </c>
      <c r="D112" t="inlineStr">
        <is>
          <t>STOCKHOLMS LÄN</t>
        </is>
      </c>
      <c r="E112" t="inlineStr">
        <is>
          <t>NORRTÄLJE</t>
        </is>
      </c>
      <c r="G112" t="n">
        <v>13.2</v>
      </c>
      <c r="H112" t="n">
        <v>1</v>
      </c>
      <c r="I112" t="n">
        <v>1</v>
      </c>
      <c r="J112" t="n">
        <v>0</v>
      </c>
      <c r="K112" t="n">
        <v>0</v>
      </c>
      <c r="L112" t="n">
        <v>1</v>
      </c>
      <c r="M112" t="n">
        <v>0</v>
      </c>
      <c r="N112" t="n">
        <v>0</v>
      </c>
      <c r="O112" t="n">
        <v>1</v>
      </c>
      <c r="P112" t="n">
        <v>1</v>
      </c>
      <c r="Q112" t="n">
        <v>2</v>
      </c>
      <c r="R112" s="2" t="inlineStr">
        <is>
          <t>Asknätfjäril
Scharlakansvårskål agg.</t>
        </is>
      </c>
      <c r="S112">
        <f>HYPERLINK("https://klasma.github.io/Logging_0188/artfynd/A 38597-2022 artfynd.xlsx", "A 38597-2022")</f>
        <v/>
      </c>
      <c r="T112">
        <f>HYPERLINK("https://klasma.github.io/Logging_0188/kartor/A 38597-2022 karta.png", "A 38597-2022")</f>
        <v/>
      </c>
      <c r="V112">
        <f>HYPERLINK("https://klasma.github.io/Logging_0188/klagomål/A 38597-2022 FSC-klagomål.docx", "A 38597-2022")</f>
        <v/>
      </c>
      <c r="W112">
        <f>HYPERLINK("https://klasma.github.io/Logging_0188/klagomålsmail/A 38597-2022 FSC-klagomål mail.docx", "A 38597-2022")</f>
        <v/>
      </c>
      <c r="X112">
        <f>HYPERLINK("https://klasma.github.io/Logging_0188/tillsyn/A 38597-2022 tillsynsbegäran.docx", "A 38597-2022")</f>
        <v/>
      </c>
      <c r="Y112">
        <f>HYPERLINK("https://klasma.github.io/Logging_0188/tillsynsmail/A 38597-2022 tillsynsbegäran mail.docx", "A 38597-2022")</f>
        <v/>
      </c>
    </row>
    <row r="113" ht="15" customHeight="1">
      <c r="A113" t="inlineStr">
        <is>
          <t>A 52124-2022</t>
        </is>
      </c>
      <c r="B113" s="1" t="n">
        <v>44868</v>
      </c>
      <c r="C113" s="1" t="n">
        <v>45766</v>
      </c>
      <c r="D113" t="inlineStr">
        <is>
          <t>STOCKHOLMS LÄN</t>
        </is>
      </c>
      <c r="E113" t="inlineStr">
        <is>
          <t>NORRTÄLJE</t>
        </is>
      </c>
      <c r="G113" t="n">
        <v>4.8</v>
      </c>
      <c r="H113" t="n">
        <v>1</v>
      </c>
      <c r="I113" t="n">
        <v>0</v>
      </c>
      <c r="J113" t="n">
        <v>1</v>
      </c>
      <c r="K113" t="n">
        <v>0</v>
      </c>
      <c r="L113" t="n">
        <v>0</v>
      </c>
      <c r="M113" t="n">
        <v>0</v>
      </c>
      <c r="N113" t="n">
        <v>0</v>
      </c>
      <c r="O113" t="n">
        <v>1</v>
      </c>
      <c r="P113" t="n">
        <v>0</v>
      </c>
      <c r="Q113" t="n">
        <v>2</v>
      </c>
      <c r="R113" s="2" t="inlineStr">
        <is>
          <t>Kandelabersvamp
Blåsippa</t>
        </is>
      </c>
      <c r="S113">
        <f>HYPERLINK("https://klasma.github.io/Logging_0188/artfynd/A 52124-2022 artfynd.xlsx", "A 52124-2022")</f>
        <v/>
      </c>
      <c r="T113">
        <f>HYPERLINK("https://klasma.github.io/Logging_0188/kartor/A 52124-2022 karta.png", "A 52124-2022")</f>
        <v/>
      </c>
      <c r="V113">
        <f>HYPERLINK("https://klasma.github.io/Logging_0188/klagomål/A 52124-2022 FSC-klagomål.docx", "A 52124-2022")</f>
        <v/>
      </c>
      <c r="W113">
        <f>HYPERLINK("https://klasma.github.io/Logging_0188/klagomålsmail/A 52124-2022 FSC-klagomål mail.docx", "A 52124-2022")</f>
        <v/>
      </c>
      <c r="X113">
        <f>HYPERLINK("https://klasma.github.io/Logging_0188/tillsyn/A 52124-2022 tillsynsbegäran.docx", "A 52124-2022")</f>
        <v/>
      </c>
      <c r="Y113">
        <f>HYPERLINK("https://klasma.github.io/Logging_0188/tillsynsmail/A 52124-2022 tillsynsbegäran mail.docx", "A 52124-2022")</f>
        <v/>
      </c>
    </row>
    <row r="114" ht="15" customHeight="1">
      <c r="A114" t="inlineStr">
        <is>
          <t>A 51980-2022</t>
        </is>
      </c>
      <c r="B114" s="1" t="n">
        <v>44872</v>
      </c>
      <c r="C114" s="1" t="n">
        <v>45766</v>
      </c>
      <c r="D114" t="inlineStr">
        <is>
          <t>STOCKHOLMS LÄN</t>
        </is>
      </c>
      <c r="E114" t="inlineStr">
        <is>
          <t>NORRTÄLJE</t>
        </is>
      </c>
      <c r="G114" t="n">
        <v>7.9</v>
      </c>
      <c r="H114" t="n">
        <v>1</v>
      </c>
      <c r="I114" t="n">
        <v>2</v>
      </c>
      <c r="J114" t="n">
        <v>0</v>
      </c>
      <c r="K114" t="n">
        <v>0</v>
      </c>
      <c r="L114" t="n">
        <v>0</v>
      </c>
      <c r="M114" t="n">
        <v>0</v>
      </c>
      <c r="N114" t="n">
        <v>0</v>
      </c>
      <c r="O114" t="n">
        <v>0</v>
      </c>
      <c r="P114" t="n">
        <v>0</v>
      </c>
      <c r="Q114" t="n">
        <v>2</v>
      </c>
      <c r="R114" s="2" t="inlineStr">
        <is>
          <t>Rödgul trumpetsvamp
Skogsknipprot</t>
        </is>
      </c>
      <c r="S114">
        <f>HYPERLINK("https://klasma.github.io/Logging_0188/artfynd/A 51980-2022 artfynd.xlsx", "A 51980-2022")</f>
        <v/>
      </c>
      <c r="T114">
        <f>HYPERLINK("https://klasma.github.io/Logging_0188/kartor/A 51980-2022 karta.png", "A 51980-2022")</f>
        <v/>
      </c>
      <c r="V114">
        <f>HYPERLINK("https://klasma.github.io/Logging_0188/klagomål/A 51980-2022 FSC-klagomål.docx", "A 51980-2022")</f>
        <v/>
      </c>
      <c r="W114">
        <f>HYPERLINK("https://klasma.github.io/Logging_0188/klagomålsmail/A 51980-2022 FSC-klagomål mail.docx", "A 51980-2022")</f>
        <v/>
      </c>
      <c r="X114">
        <f>HYPERLINK("https://klasma.github.io/Logging_0188/tillsyn/A 51980-2022 tillsynsbegäran.docx", "A 51980-2022")</f>
        <v/>
      </c>
      <c r="Y114">
        <f>HYPERLINK("https://klasma.github.io/Logging_0188/tillsynsmail/A 51980-2022 tillsynsbegäran mail.docx", "A 51980-2022")</f>
        <v/>
      </c>
    </row>
    <row r="115" ht="15" customHeight="1">
      <c r="A115" t="inlineStr">
        <is>
          <t>A 59717-2022</t>
        </is>
      </c>
      <c r="B115" s="1" t="n">
        <v>44908</v>
      </c>
      <c r="C115" s="1" t="n">
        <v>45766</v>
      </c>
      <c r="D115" t="inlineStr">
        <is>
          <t>STOCKHOLMS LÄN</t>
        </is>
      </c>
      <c r="E115" t="inlineStr">
        <is>
          <t>NORRTÄLJE</t>
        </is>
      </c>
      <c r="F115" t="inlineStr">
        <is>
          <t>Holmen skog AB</t>
        </is>
      </c>
      <c r="G115" t="n">
        <v>5.5</v>
      </c>
      <c r="H115" t="n">
        <v>2</v>
      </c>
      <c r="I115" t="n">
        <v>0</v>
      </c>
      <c r="J115" t="n">
        <v>0</v>
      </c>
      <c r="K115" t="n">
        <v>0</v>
      </c>
      <c r="L115" t="n">
        <v>0</v>
      </c>
      <c r="M115" t="n">
        <v>0</v>
      </c>
      <c r="N115" t="n">
        <v>0</v>
      </c>
      <c r="O115" t="n">
        <v>0</v>
      </c>
      <c r="P115" t="n">
        <v>0</v>
      </c>
      <c r="Q115" t="n">
        <v>2</v>
      </c>
      <c r="R115" s="2" t="inlineStr">
        <is>
          <t>Enkelbeckasin
Järnsparv</t>
        </is>
      </c>
      <c r="S115">
        <f>HYPERLINK("https://klasma.github.io/Logging_0188/artfynd/A 59717-2022 artfynd.xlsx", "A 59717-2022")</f>
        <v/>
      </c>
      <c r="T115">
        <f>HYPERLINK("https://klasma.github.io/Logging_0188/kartor/A 59717-2022 karta.png", "A 59717-2022")</f>
        <v/>
      </c>
      <c r="V115">
        <f>HYPERLINK("https://klasma.github.io/Logging_0188/klagomål/A 59717-2022 FSC-klagomål.docx", "A 59717-2022")</f>
        <v/>
      </c>
      <c r="W115">
        <f>HYPERLINK("https://klasma.github.io/Logging_0188/klagomålsmail/A 59717-2022 FSC-klagomål mail.docx", "A 59717-2022")</f>
        <v/>
      </c>
      <c r="X115">
        <f>HYPERLINK("https://klasma.github.io/Logging_0188/tillsyn/A 59717-2022 tillsynsbegäran.docx", "A 59717-2022")</f>
        <v/>
      </c>
      <c r="Y115">
        <f>HYPERLINK("https://klasma.github.io/Logging_0188/tillsynsmail/A 59717-2022 tillsynsbegäran mail.docx", "A 59717-2022")</f>
        <v/>
      </c>
      <c r="Z115">
        <f>HYPERLINK("https://klasma.github.io/Logging_0188/fåglar/A 59717-2022 prioriterade fågelarter.docx", "A 59717-2022")</f>
        <v/>
      </c>
    </row>
    <row r="116" ht="15" customHeight="1">
      <c r="A116" t="inlineStr">
        <is>
          <t>A 7341-2023</t>
        </is>
      </c>
      <c r="B116" s="1" t="n">
        <v>44971</v>
      </c>
      <c r="C116" s="1" t="n">
        <v>45766</v>
      </c>
      <c r="D116" t="inlineStr">
        <is>
          <t>STOCKHOLMS LÄN</t>
        </is>
      </c>
      <c r="E116" t="inlineStr">
        <is>
          <t>NORRTÄLJE</t>
        </is>
      </c>
      <c r="F116" t="inlineStr">
        <is>
          <t>Holmen skog AB</t>
        </is>
      </c>
      <c r="G116" t="n">
        <v>10.7</v>
      </c>
      <c r="H116" t="n">
        <v>0</v>
      </c>
      <c r="I116" t="n">
        <v>0</v>
      </c>
      <c r="J116" t="n">
        <v>2</v>
      </c>
      <c r="K116" t="n">
        <v>0</v>
      </c>
      <c r="L116" t="n">
        <v>0</v>
      </c>
      <c r="M116" t="n">
        <v>0</v>
      </c>
      <c r="N116" t="n">
        <v>0</v>
      </c>
      <c r="O116" t="n">
        <v>2</v>
      </c>
      <c r="P116" t="n">
        <v>0</v>
      </c>
      <c r="Q116" t="n">
        <v>2</v>
      </c>
      <c r="R116" s="2" t="inlineStr">
        <is>
          <t>Mindre bastardsvärmare
Smalsprötad bastardsvärmare</t>
        </is>
      </c>
      <c r="S116">
        <f>HYPERLINK("https://klasma.github.io/Logging_0188/artfynd/A 7341-2023 artfynd.xlsx", "A 7341-2023")</f>
        <v/>
      </c>
      <c r="T116">
        <f>HYPERLINK("https://klasma.github.io/Logging_0188/kartor/A 7341-2023 karta.png", "A 7341-2023")</f>
        <v/>
      </c>
      <c r="V116">
        <f>HYPERLINK("https://klasma.github.io/Logging_0188/klagomål/A 7341-2023 FSC-klagomål.docx", "A 7341-2023")</f>
        <v/>
      </c>
      <c r="W116">
        <f>HYPERLINK("https://klasma.github.io/Logging_0188/klagomålsmail/A 7341-2023 FSC-klagomål mail.docx", "A 7341-2023")</f>
        <v/>
      </c>
      <c r="X116">
        <f>HYPERLINK("https://klasma.github.io/Logging_0188/tillsyn/A 7341-2023 tillsynsbegäran.docx", "A 7341-2023")</f>
        <v/>
      </c>
      <c r="Y116">
        <f>HYPERLINK("https://klasma.github.io/Logging_0188/tillsynsmail/A 7341-2023 tillsynsbegäran mail.docx", "A 7341-2023")</f>
        <v/>
      </c>
    </row>
    <row r="117" ht="15" customHeight="1">
      <c r="A117" t="inlineStr">
        <is>
          <t>A 10136-2023</t>
        </is>
      </c>
      <c r="B117" s="1" t="n">
        <v>44986</v>
      </c>
      <c r="C117" s="1" t="n">
        <v>45766</v>
      </c>
      <c r="D117" t="inlineStr">
        <is>
          <t>STOCKHOLMS LÄN</t>
        </is>
      </c>
      <c r="E117" t="inlineStr">
        <is>
          <t>NORRTÄLJE</t>
        </is>
      </c>
      <c r="F117" t="inlineStr">
        <is>
          <t>Övriga statliga verk och myndigheter</t>
        </is>
      </c>
      <c r="G117" t="n">
        <v>3.6</v>
      </c>
      <c r="H117" t="n">
        <v>0</v>
      </c>
      <c r="I117" t="n">
        <v>0</v>
      </c>
      <c r="J117" t="n">
        <v>1</v>
      </c>
      <c r="K117" t="n">
        <v>1</v>
      </c>
      <c r="L117" t="n">
        <v>0</v>
      </c>
      <c r="M117" t="n">
        <v>0</v>
      </c>
      <c r="N117" t="n">
        <v>0</v>
      </c>
      <c r="O117" t="n">
        <v>2</v>
      </c>
      <c r="P117" t="n">
        <v>1</v>
      </c>
      <c r="Q117" t="n">
        <v>2</v>
      </c>
      <c r="R117" s="2" t="inlineStr">
        <is>
          <t>Svartfjällig musseron
Persiljespindling</t>
        </is>
      </c>
      <c r="S117">
        <f>HYPERLINK("https://klasma.github.io/Logging_0188/artfynd/A 10136-2023 artfynd.xlsx", "A 10136-2023")</f>
        <v/>
      </c>
      <c r="T117">
        <f>HYPERLINK("https://klasma.github.io/Logging_0188/kartor/A 10136-2023 karta.png", "A 10136-2023")</f>
        <v/>
      </c>
      <c r="V117">
        <f>HYPERLINK("https://klasma.github.io/Logging_0188/klagomål/A 10136-2023 FSC-klagomål.docx", "A 10136-2023")</f>
        <v/>
      </c>
      <c r="W117">
        <f>HYPERLINK("https://klasma.github.io/Logging_0188/klagomålsmail/A 10136-2023 FSC-klagomål mail.docx", "A 10136-2023")</f>
        <v/>
      </c>
      <c r="X117">
        <f>HYPERLINK("https://klasma.github.io/Logging_0188/tillsyn/A 10136-2023 tillsynsbegäran.docx", "A 10136-2023")</f>
        <v/>
      </c>
      <c r="Y117">
        <f>HYPERLINK("https://klasma.github.io/Logging_0188/tillsynsmail/A 10136-2023 tillsynsbegäran mail.docx", "A 10136-2023")</f>
        <v/>
      </c>
    </row>
    <row r="118" ht="15" customHeight="1">
      <c r="A118" t="inlineStr">
        <is>
          <t>A 21748-2023</t>
        </is>
      </c>
      <c r="B118" s="1" t="n">
        <v>45065</v>
      </c>
      <c r="C118" s="1" t="n">
        <v>45766</v>
      </c>
      <c r="D118" t="inlineStr">
        <is>
          <t>STOCKHOLMS LÄN</t>
        </is>
      </c>
      <c r="E118" t="inlineStr">
        <is>
          <t>NORRTÄLJE</t>
        </is>
      </c>
      <c r="F118" t="inlineStr">
        <is>
          <t>Holmen skog AB</t>
        </is>
      </c>
      <c r="G118" t="n">
        <v>2.4</v>
      </c>
      <c r="H118" t="n">
        <v>0</v>
      </c>
      <c r="I118" t="n">
        <v>2</v>
      </c>
      <c r="J118" t="n">
        <v>0</v>
      </c>
      <c r="K118" t="n">
        <v>0</v>
      </c>
      <c r="L118" t="n">
        <v>0</v>
      </c>
      <c r="M118" t="n">
        <v>0</v>
      </c>
      <c r="N118" t="n">
        <v>0</v>
      </c>
      <c r="O118" t="n">
        <v>0</v>
      </c>
      <c r="P118" t="n">
        <v>0</v>
      </c>
      <c r="Q118" t="n">
        <v>2</v>
      </c>
      <c r="R118" s="2" t="inlineStr">
        <is>
          <t>Aspvedgnagare
Tibast</t>
        </is>
      </c>
      <c r="S118">
        <f>HYPERLINK("https://klasma.github.io/Logging_0188/artfynd/A 21748-2023 artfynd.xlsx", "A 21748-2023")</f>
        <v/>
      </c>
      <c r="T118">
        <f>HYPERLINK("https://klasma.github.io/Logging_0188/kartor/A 21748-2023 karta.png", "A 21748-2023")</f>
        <v/>
      </c>
      <c r="V118">
        <f>HYPERLINK("https://klasma.github.io/Logging_0188/klagomål/A 21748-2023 FSC-klagomål.docx", "A 21748-2023")</f>
        <v/>
      </c>
      <c r="W118">
        <f>HYPERLINK("https://klasma.github.io/Logging_0188/klagomålsmail/A 21748-2023 FSC-klagomål mail.docx", "A 21748-2023")</f>
        <v/>
      </c>
      <c r="X118">
        <f>HYPERLINK("https://klasma.github.io/Logging_0188/tillsyn/A 21748-2023 tillsynsbegäran.docx", "A 21748-2023")</f>
        <v/>
      </c>
      <c r="Y118">
        <f>HYPERLINK("https://klasma.github.io/Logging_0188/tillsynsmail/A 21748-2023 tillsynsbegäran mail.docx", "A 21748-2023")</f>
        <v/>
      </c>
    </row>
    <row r="119" ht="15" customHeight="1">
      <c r="A119" t="inlineStr">
        <is>
          <t>A 23861-2023</t>
        </is>
      </c>
      <c r="B119" s="1" t="n">
        <v>45078</v>
      </c>
      <c r="C119" s="1" t="n">
        <v>45766</v>
      </c>
      <c r="D119" t="inlineStr">
        <is>
          <t>STOCKHOLMS LÄN</t>
        </is>
      </c>
      <c r="E119" t="inlineStr">
        <is>
          <t>NORRTÄLJE</t>
        </is>
      </c>
      <c r="G119" t="n">
        <v>3.3</v>
      </c>
      <c r="H119" t="n">
        <v>1</v>
      </c>
      <c r="I119" t="n">
        <v>1</v>
      </c>
      <c r="J119" t="n">
        <v>0</v>
      </c>
      <c r="K119" t="n">
        <v>0</v>
      </c>
      <c r="L119" t="n">
        <v>0</v>
      </c>
      <c r="M119" t="n">
        <v>0</v>
      </c>
      <c r="N119" t="n">
        <v>0</v>
      </c>
      <c r="O119" t="n">
        <v>0</v>
      </c>
      <c r="P119" t="n">
        <v>0</v>
      </c>
      <c r="Q119" t="n">
        <v>2</v>
      </c>
      <c r="R119" s="2" t="inlineStr">
        <is>
          <t>Tibast
Blåsippa</t>
        </is>
      </c>
      <c r="S119">
        <f>HYPERLINK("https://klasma.github.io/Logging_0188/artfynd/A 23861-2023 artfynd.xlsx", "A 23861-2023")</f>
        <v/>
      </c>
      <c r="T119">
        <f>HYPERLINK("https://klasma.github.io/Logging_0188/kartor/A 23861-2023 karta.png", "A 23861-2023")</f>
        <v/>
      </c>
      <c r="V119">
        <f>HYPERLINK("https://klasma.github.io/Logging_0188/klagomål/A 23861-2023 FSC-klagomål.docx", "A 23861-2023")</f>
        <v/>
      </c>
      <c r="W119">
        <f>HYPERLINK("https://klasma.github.io/Logging_0188/klagomålsmail/A 23861-2023 FSC-klagomål mail.docx", "A 23861-2023")</f>
        <v/>
      </c>
      <c r="X119">
        <f>HYPERLINK("https://klasma.github.io/Logging_0188/tillsyn/A 23861-2023 tillsynsbegäran.docx", "A 23861-2023")</f>
        <v/>
      </c>
      <c r="Y119">
        <f>HYPERLINK("https://klasma.github.io/Logging_0188/tillsynsmail/A 23861-2023 tillsynsbegäran mail.docx", "A 23861-2023")</f>
        <v/>
      </c>
    </row>
    <row r="120" ht="15" customHeight="1">
      <c r="A120" t="inlineStr">
        <is>
          <t>A 33287-2023</t>
        </is>
      </c>
      <c r="B120" s="1" t="n">
        <v>45127</v>
      </c>
      <c r="C120" s="1" t="n">
        <v>45766</v>
      </c>
      <c r="D120" t="inlineStr">
        <is>
          <t>STOCKHOLMS LÄN</t>
        </is>
      </c>
      <c r="E120" t="inlineStr">
        <is>
          <t>NORRTÄLJE</t>
        </is>
      </c>
      <c r="F120" t="inlineStr">
        <is>
          <t>Holmen skog AB</t>
        </is>
      </c>
      <c r="G120" t="n">
        <v>3.3</v>
      </c>
      <c r="H120" t="n">
        <v>0</v>
      </c>
      <c r="I120" t="n">
        <v>0</v>
      </c>
      <c r="J120" t="n">
        <v>2</v>
      </c>
      <c r="K120" t="n">
        <v>0</v>
      </c>
      <c r="L120" t="n">
        <v>0</v>
      </c>
      <c r="M120" t="n">
        <v>0</v>
      </c>
      <c r="N120" t="n">
        <v>0</v>
      </c>
      <c r="O120" t="n">
        <v>2</v>
      </c>
      <c r="P120" t="n">
        <v>0</v>
      </c>
      <c r="Q120" t="n">
        <v>2</v>
      </c>
      <c r="R120" s="2" t="inlineStr">
        <is>
          <t>Smalsprötad bastardsvärmare
Violettkantad guldvinge</t>
        </is>
      </c>
      <c r="S120">
        <f>HYPERLINK("https://klasma.github.io/Logging_0188/artfynd/A 33287-2023 artfynd.xlsx", "A 33287-2023")</f>
        <v/>
      </c>
      <c r="T120">
        <f>HYPERLINK("https://klasma.github.io/Logging_0188/kartor/A 33287-2023 karta.png", "A 33287-2023")</f>
        <v/>
      </c>
      <c r="V120">
        <f>HYPERLINK("https://klasma.github.io/Logging_0188/klagomål/A 33287-2023 FSC-klagomål.docx", "A 33287-2023")</f>
        <v/>
      </c>
      <c r="W120">
        <f>HYPERLINK("https://klasma.github.io/Logging_0188/klagomålsmail/A 33287-2023 FSC-klagomål mail.docx", "A 33287-2023")</f>
        <v/>
      </c>
      <c r="X120">
        <f>HYPERLINK("https://klasma.github.io/Logging_0188/tillsyn/A 33287-2023 tillsynsbegäran.docx", "A 33287-2023")</f>
        <v/>
      </c>
      <c r="Y120">
        <f>HYPERLINK("https://klasma.github.io/Logging_0188/tillsynsmail/A 33287-2023 tillsynsbegäran mail.docx", "A 33287-2023")</f>
        <v/>
      </c>
    </row>
    <row r="121" ht="15" customHeight="1">
      <c r="A121" t="inlineStr">
        <is>
          <t>A 51220-2023</t>
        </is>
      </c>
      <c r="B121" s="1" t="n">
        <v>45219</v>
      </c>
      <c r="C121" s="1" t="n">
        <v>45766</v>
      </c>
      <c r="D121" t="inlineStr">
        <is>
          <t>STOCKHOLMS LÄN</t>
        </is>
      </c>
      <c r="E121" t="inlineStr">
        <is>
          <t>NORRTÄLJE</t>
        </is>
      </c>
      <c r="G121" t="n">
        <v>7.7</v>
      </c>
      <c r="H121" t="n">
        <v>1</v>
      </c>
      <c r="I121" t="n">
        <v>0</v>
      </c>
      <c r="J121" t="n">
        <v>1</v>
      </c>
      <c r="K121" t="n">
        <v>0</v>
      </c>
      <c r="L121" t="n">
        <v>0</v>
      </c>
      <c r="M121" t="n">
        <v>0</v>
      </c>
      <c r="N121" t="n">
        <v>0</v>
      </c>
      <c r="O121" t="n">
        <v>1</v>
      </c>
      <c r="P121" t="n">
        <v>0</v>
      </c>
      <c r="Q121" t="n">
        <v>2</v>
      </c>
      <c r="R121" s="2" t="inlineStr">
        <is>
          <t>Ullticka
Blåsippa</t>
        </is>
      </c>
      <c r="S121">
        <f>HYPERLINK("https://klasma.github.io/Logging_0188/artfynd/A 51220-2023 artfynd.xlsx", "A 51220-2023")</f>
        <v/>
      </c>
      <c r="T121">
        <f>HYPERLINK("https://klasma.github.io/Logging_0188/kartor/A 51220-2023 karta.png", "A 51220-2023")</f>
        <v/>
      </c>
      <c r="V121">
        <f>HYPERLINK("https://klasma.github.io/Logging_0188/klagomål/A 51220-2023 FSC-klagomål.docx", "A 51220-2023")</f>
        <v/>
      </c>
      <c r="W121">
        <f>HYPERLINK("https://klasma.github.io/Logging_0188/klagomålsmail/A 51220-2023 FSC-klagomål mail.docx", "A 51220-2023")</f>
        <v/>
      </c>
      <c r="X121">
        <f>HYPERLINK("https://klasma.github.io/Logging_0188/tillsyn/A 51220-2023 tillsynsbegäran.docx", "A 51220-2023")</f>
        <v/>
      </c>
      <c r="Y121">
        <f>HYPERLINK("https://klasma.github.io/Logging_0188/tillsynsmail/A 51220-2023 tillsynsbegäran mail.docx", "A 51220-2023")</f>
        <v/>
      </c>
    </row>
    <row r="122" ht="15" customHeight="1">
      <c r="A122" t="inlineStr">
        <is>
          <t>A 51695-2023</t>
        </is>
      </c>
      <c r="B122" s="1" t="n">
        <v>45222</v>
      </c>
      <c r="C122" s="1" t="n">
        <v>45766</v>
      </c>
      <c r="D122" t="inlineStr">
        <is>
          <t>STOCKHOLMS LÄN</t>
        </is>
      </c>
      <c r="E122" t="inlineStr">
        <is>
          <t>NORRTÄLJE</t>
        </is>
      </c>
      <c r="G122" t="n">
        <v>4.9</v>
      </c>
      <c r="H122" t="n">
        <v>0</v>
      </c>
      <c r="I122" t="n">
        <v>1</v>
      </c>
      <c r="J122" t="n">
        <v>1</v>
      </c>
      <c r="K122" t="n">
        <v>0</v>
      </c>
      <c r="L122" t="n">
        <v>0</v>
      </c>
      <c r="M122" t="n">
        <v>0</v>
      </c>
      <c r="N122" t="n">
        <v>0</v>
      </c>
      <c r="O122" t="n">
        <v>1</v>
      </c>
      <c r="P122" t="n">
        <v>0</v>
      </c>
      <c r="Q122" t="n">
        <v>2</v>
      </c>
      <c r="R122" s="2" t="inlineStr">
        <is>
          <t>Odörspindling
Fjällig taggsvamp s.str.</t>
        </is>
      </c>
      <c r="S122">
        <f>HYPERLINK("https://klasma.github.io/Logging_0188/artfynd/A 51695-2023 artfynd.xlsx", "A 51695-2023")</f>
        <v/>
      </c>
      <c r="T122">
        <f>HYPERLINK("https://klasma.github.io/Logging_0188/kartor/A 51695-2023 karta.png", "A 51695-2023")</f>
        <v/>
      </c>
      <c r="V122">
        <f>HYPERLINK("https://klasma.github.io/Logging_0188/klagomål/A 51695-2023 FSC-klagomål.docx", "A 51695-2023")</f>
        <v/>
      </c>
      <c r="W122">
        <f>HYPERLINK("https://klasma.github.io/Logging_0188/klagomålsmail/A 51695-2023 FSC-klagomål mail.docx", "A 51695-2023")</f>
        <v/>
      </c>
      <c r="X122">
        <f>HYPERLINK("https://klasma.github.io/Logging_0188/tillsyn/A 51695-2023 tillsynsbegäran.docx", "A 51695-2023")</f>
        <v/>
      </c>
      <c r="Y122">
        <f>HYPERLINK("https://klasma.github.io/Logging_0188/tillsynsmail/A 51695-2023 tillsynsbegäran mail.docx", "A 51695-2023")</f>
        <v/>
      </c>
    </row>
    <row r="123" ht="15" customHeight="1">
      <c r="A123" t="inlineStr">
        <is>
          <t>A 52825-2023</t>
        </is>
      </c>
      <c r="B123" s="1" t="n">
        <v>45226</v>
      </c>
      <c r="C123" s="1" t="n">
        <v>45766</v>
      </c>
      <c r="D123" t="inlineStr">
        <is>
          <t>STOCKHOLMS LÄN</t>
        </is>
      </c>
      <c r="E123" t="inlineStr">
        <is>
          <t>NORRTÄLJE</t>
        </is>
      </c>
      <c r="G123" t="n">
        <v>1</v>
      </c>
      <c r="H123" t="n">
        <v>0</v>
      </c>
      <c r="I123" t="n">
        <v>2</v>
      </c>
      <c r="J123" t="n">
        <v>0</v>
      </c>
      <c r="K123" t="n">
        <v>0</v>
      </c>
      <c r="L123" t="n">
        <v>0</v>
      </c>
      <c r="M123" t="n">
        <v>0</v>
      </c>
      <c r="N123" t="n">
        <v>0</v>
      </c>
      <c r="O123" t="n">
        <v>0</v>
      </c>
      <c r="P123" t="n">
        <v>0</v>
      </c>
      <c r="Q123" t="n">
        <v>2</v>
      </c>
      <c r="R123" s="2" t="inlineStr">
        <is>
          <t>Fjällig taggsvamp s.str.
Strimspindling</t>
        </is>
      </c>
      <c r="S123">
        <f>HYPERLINK("https://klasma.github.io/Logging_0188/artfynd/A 52825-2023 artfynd.xlsx", "A 52825-2023")</f>
        <v/>
      </c>
      <c r="T123">
        <f>HYPERLINK("https://klasma.github.io/Logging_0188/kartor/A 52825-2023 karta.png", "A 52825-2023")</f>
        <v/>
      </c>
      <c r="V123">
        <f>HYPERLINK("https://klasma.github.io/Logging_0188/klagomål/A 52825-2023 FSC-klagomål.docx", "A 52825-2023")</f>
        <v/>
      </c>
      <c r="W123">
        <f>HYPERLINK("https://klasma.github.io/Logging_0188/klagomålsmail/A 52825-2023 FSC-klagomål mail.docx", "A 52825-2023")</f>
        <v/>
      </c>
      <c r="X123">
        <f>HYPERLINK("https://klasma.github.io/Logging_0188/tillsyn/A 52825-2023 tillsynsbegäran.docx", "A 52825-2023")</f>
        <v/>
      </c>
      <c r="Y123">
        <f>HYPERLINK("https://klasma.github.io/Logging_0188/tillsynsmail/A 52825-2023 tillsynsbegäran mail.docx", "A 52825-2023")</f>
        <v/>
      </c>
    </row>
    <row r="124" ht="15" customHeight="1">
      <c r="A124" t="inlineStr">
        <is>
          <t>A 4909-2024</t>
        </is>
      </c>
      <c r="B124" s="1" t="n">
        <v>45329</v>
      </c>
      <c r="C124" s="1" t="n">
        <v>45766</v>
      </c>
      <c r="D124" t="inlineStr">
        <is>
          <t>STOCKHOLMS LÄN</t>
        </is>
      </c>
      <c r="E124" t="inlineStr">
        <is>
          <t>NORRTÄLJE</t>
        </is>
      </c>
      <c r="G124" t="n">
        <v>4.1</v>
      </c>
      <c r="H124" t="n">
        <v>0</v>
      </c>
      <c r="I124" t="n">
        <v>2</v>
      </c>
      <c r="J124" t="n">
        <v>0</v>
      </c>
      <c r="K124" t="n">
        <v>0</v>
      </c>
      <c r="L124" t="n">
        <v>0</v>
      </c>
      <c r="M124" t="n">
        <v>0</v>
      </c>
      <c r="N124" t="n">
        <v>0</v>
      </c>
      <c r="O124" t="n">
        <v>0</v>
      </c>
      <c r="P124" t="n">
        <v>0</v>
      </c>
      <c r="Q124" t="n">
        <v>2</v>
      </c>
      <c r="R124" s="2" t="inlineStr">
        <is>
          <t>Fjällig taggsvamp s.str.
Rödgul trumpetsvamp</t>
        </is>
      </c>
      <c r="S124">
        <f>HYPERLINK("https://klasma.github.io/Logging_0188/artfynd/A 4909-2024 artfynd.xlsx", "A 4909-2024")</f>
        <v/>
      </c>
      <c r="T124">
        <f>HYPERLINK("https://klasma.github.io/Logging_0188/kartor/A 4909-2024 karta.png", "A 4909-2024")</f>
        <v/>
      </c>
      <c r="V124">
        <f>HYPERLINK("https://klasma.github.io/Logging_0188/klagomål/A 4909-2024 FSC-klagomål.docx", "A 4909-2024")</f>
        <v/>
      </c>
      <c r="W124">
        <f>HYPERLINK("https://klasma.github.io/Logging_0188/klagomålsmail/A 4909-2024 FSC-klagomål mail.docx", "A 4909-2024")</f>
        <v/>
      </c>
      <c r="X124">
        <f>HYPERLINK("https://klasma.github.io/Logging_0188/tillsyn/A 4909-2024 tillsynsbegäran.docx", "A 4909-2024")</f>
        <v/>
      </c>
      <c r="Y124">
        <f>HYPERLINK("https://klasma.github.io/Logging_0188/tillsynsmail/A 4909-2024 tillsynsbegäran mail.docx", "A 4909-2024")</f>
        <v/>
      </c>
    </row>
    <row r="125" ht="15" customHeight="1">
      <c r="A125" t="inlineStr">
        <is>
          <t>A 11995-2024</t>
        </is>
      </c>
      <c r="B125" s="1" t="n">
        <v>45377</v>
      </c>
      <c r="C125" s="1" t="n">
        <v>45766</v>
      </c>
      <c r="D125" t="inlineStr">
        <is>
          <t>STOCKHOLMS LÄN</t>
        </is>
      </c>
      <c r="E125" t="inlineStr">
        <is>
          <t>NORRTÄLJE</t>
        </is>
      </c>
      <c r="G125" t="n">
        <v>4.7</v>
      </c>
      <c r="H125" t="n">
        <v>0</v>
      </c>
      <c r="I125" t="n">
        <v>1</v>
      </c>
      <c r="J125" t="n">
        <v>1</v>
      </c>
      <c r="K125" t="n">
        <v>0</v>
      </c>
      <c r="L125" t="n">
        <v>0</v>
      </c>
      <c r="M125" t="n">
        <v>0</v>
      </c>
      <c r="N125" t="n">
        <v>0</v>
      </c>
      <c r="O125" t="n">
        <v>1</v>
      </c>
      <c r="P125" t="n">
        <v>0</v>
      </c>
      <c r="Q125" t="n">
        <v>2</v>
      </c>
      <c r="R125" s="2" t="inlineStr">
        <is>
          <t>Tallticka
Svavelriska</t>
        </is>
      </c>
      <c r="S125">
        <f>HYPERLINK("https://klasma.github.io/Logging_0188/artfynd/A 11995-2024 artfynd.xlsx", "A 11995-2024")</f>
        <v/>
      </c>
      <c r="T125">
        <f>HYPERLINK("https://klasma.github.io/Logging_0188/kartor/A 11995-2024 karta.png", "A 11995-2024")</f>
        <v/>
      </c>
      <c r="V125">
        <f>HYPERLINK("https://klasma.github.io/Logging_0188/klagomål/A 11995-2024 FSC-klagomål.docx", "A 11995-2024")</f>
        <v/>
      </c>
      <c r="W125">
        <f>HYPERLINK("https://klasma.github.io/Logging_0188/klagomålsmail/A 11995-2024 FSC-klagomål mail.docx", "A 11995-2024")</f>
        <v/>
      </c>
      <c r="X125">
        <f>HYPERLINK("https://klasma.github.io/Logging_0188/tillsyn/A 11995-2024 tillsynsbegäran.docx", "A 11995-2024")</f>
        <v/>
      </c>
      <c r="Y125">
        <f>HYPERLINK("https://klasma.github.io/Logging_0188/tillsynsmail/A 11995-2024 tillsynsbegäran mail.docx", "A 11995-2024")</f>
        <v/>
      </c>
    </row>
    <row r="126" ht="15" customHeight="1">
      <c r="A126" t="inlineStr">
        <is>
          <t>A 13150-2024</t>
        </is>
      </c>
      <c r="B126" s="1" t="n">
        <v>45386</v>
      </c>
      <c r="C126" s="1" t="n">
        <v>45766</v>
      </c>
      <c r="D126" t="inlineStr">
        <is>
          <t>STOCKHOLMS LÄN</t>
        </is>
      </c>
      <c r="E126" t="inlineStr">
        <is>
          <t>NORRTÄLJE</t>
        </is>
      </c>
      <c r="G126" t="n">
        <v>7.4</v>
      </c>
      <c r="H126" t="n">
        <v>0</v>
      </c>
      <c r="I126" t="n">
        <v>1</v>
      </c>
      <c r="J126" t="n">
        <v>1</v>
      </c>
      <c r="K126" t="n">
        <v>0</v>
      </c>
      <c r="L126" t="n">
        <v>0</v>
      </c>
      <c r="M126" t="n">
        <v>0</v>
      </c>
      <c r="N126" t="n">
        <v>0</v>
      </c>
      <c r="O126" t="n">
        <v>1</v>
      </c>
      <c r="P126" t="n">
        <v>0</v>
      </c>
      <c r="Q126" t="n">
        <v>2</v>
      </c>
      <c r="R126" s="2" t="inlineStr">
        <is>
          <t>Orange taggsvamp
Mönjevaxing</t>
        </is>
      </c>
      <c r="S126">
        <f>HYPERLINK("https://klasma.github.io/Logging_0188/artfynd/A 13150-2024 artfynd.xlsx", "A 13150-2024")</f>
        <v/>
      </c>
      <c r="T126">
        <f>HYPERLINK("https://klasma.github.io/Logging_0188/kartor/A 13150-2024 karta.png", "A 13150-2024")</f>
        <v/>
      </c>
      <c r="V126">
        <f>HYPERLINK("https://klasma.github.io/Logging_0188/klagomål/A 13150-2024 FSC-klagomål.docx", "A 13150-2024")</f>
        <v/>
      </c>
      <c r="W126">
        <f>HYPERLINK("https://klasma.github.io/Logging_0188/klagomålsmail/A 13150-2024 FSC-klagomål mail.docx", "A 13150-2024")</f>
        <v/>
      </c>
      <c r="X126">
        <f>HYPERLINK("https://klasma.github.io/Logging_0188/tillsyn/A 13150-2024 tillsynsbegäran.docx", "A 13150-2024")</f>
        <v/>
      </c>
      <c r="Y126">
        <f>HYPERLINK("https://klasma.github.io/Logging_0188/tillsynsmail/A 13150-2024 tillsynsbegäran mail.docx", "A 13150-2024")</f>
        <v/>
      </c>
    </row>
    <row r="127" ht="15" customHeight="1">
      <c r="A127" t="inlineStr">
        <is>
          <t>A 23583-2024</t>
        </is>
      </c>
      <c r="B127" s="1" t="n">
        <v>45454</v>
      </c>
      <c r="C127" s="1" t="n">
        <v>45766</v>
      </c>
      <c r="D127" t="inlineStr">
        <is>
          <t>STOCKHOLMS LÄN</t>
        </is>
      </c>
      <c r="E127" t="inlineStr">
        <is>
          <t>NORRTÄLJE</t>
        </is>
      </c>
      <c r="G127" t="n">
        <v>7.7</v>
      </c>
      <c r="H127" t="n">
        <v>0</v>
      </c>
      <c r="I127" t="n">
        <v>2</v>
      </c>
      <c r="J127" t="n">
        <v>0</v>
      </c>
      <c r="K127" t="n">
        <v>0</v>
      </c>
      <c r="L127" t="n">
        <v>0</v>
      </c>
      <c r="M127" t="n">
        <v>0</v>
      </c>
      <c r="N127" t="n">
        <v>0</v>
      </c>
      <c r="O127" t="n">
        <v>0</v>
      </c>
      <c r="P127" t="n">
        <v>0</v>
      </c>
      <c r="Q127" t="n">
        <v>2</v>
      </c>
      <c r="R127" s="2" t="inlineStr">
        <is>
          <t>Gulnål
Kattfotslav</t>
        </is>
      </c>
      <c r="S127">
        <f>HYPERLINK("https://klasma.github.io/Logging_0188/artfynd/A 23583-2024 artfynd.xlsx", "A 23583-2024")</f>
        <v/>
      </c>
      <c r="T127">
        <f>HYPERLINK("https://klasma.github.io/Logging_0188/kartor/A 23583-2024 karta.png", "A 23583-2024")</f>
        <v/>
      </c>
      <c r="V127">
        <f>HYPERLINK("https://klasma.github.io/Logging_0188/klagomål/A 23583-2024 FSC-klagomål.docx", "A 23583-2024")</f>
        <v/>
      </c>
      <c r="W127">
        <f>HYPERLINK("https://klasma.github.io/Logging_0188/klagomålsmail/A 23583-2024 FSC-klagomål mail.docx", "A 23583-2024")</f>
        <v/>
      </c>
      <c r="X127">
        <f>HYPERLINK("https://klasma.github.io/Logging_0188/tillsyn/A 23583-2024 tillsynsbegäran.docx", "A 23583-2024")</f>
        <v/>
      </c>
      <c r="Y127">
        <f>HYPERLINK("https://klasma.github.io/Logging_0188/tillsynsmail/A 23583-2024 tillsynsbegäran mail.docx", "A 23583-2024")</f>
        <v/>
      </c>
    </row>
    <row r="128" ht="15" customHeight="1">
      <c r="A128" t="inlineStr">
        <is>
          <t>A 24025-2024</t>
        </is>
      </c>
      <c r="B128" s="1" t="n">
        <v>45456</v>
      </c>
      <c r="C128" s="1" t="n">
        <v>45766</v>
      </c>
      <c r="D128" t="inlineStr">
        <is>
          <t>STOCKHOLMS LÄN</t>
        </is>
      </c>
      <c r="E128" t="inlineStr">
        <is>
          <t>NORRTÄLJE</t>
        </is>
      </c>
      <c r="G128" t="n">
        <v>6</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HYPERLINK("https://klasma.github.io/Logging_0188/artfynd/A 24025-2024 artfynd.xlsx", "A 24025-2024")</f>
        <v/>
      </c>
      <c r="T128">
        <f>HYPERLINK("https://klasma.github.io/Logging_0188/kartor/A 24025-2024 karta.png", "A 24025-2024")</f>
        <v/>
      </c>
      <c r="V128">
        <f>HYPERLINK("https://klasma.github.io/Logging_0188/klagomål/A 24025-2024 FSC-klagomål.docx", "A 24025-2024")</f>
        <v/>
      </c>
      <c r="W128">
        <f>HYPERLINK("https://klasma.github.io/Logging_0188/klagomålsmail/A 24025-2024 FSC-klagomål mail.docx", "A 24025-2024")</f>
        <v/>
      </c>
      <c r="X128">
        <f>HYPERLINK("https://klasma.github.io/Logging_0188/tillsyn/A 24025-2024 tillsynsbegäran.docx", "A 24025-2024")</f>
        <v/>
      </c>
      <c r="Y128">
        <f>HYPERLINK("https://klasma.github.io/Logging_0188/tillsynsmail/A 24025-2024 tillsynsbegäran mail.docx", "A 24025-2024")</f>
        <v/>
      </c>
    </row>
    <row r="129" ht="15" customHeight="1">
      <c r="A129" t="inlineStr">
        <is>
          <t>A 50326-2024</t>
        </is>
      </c>
      <c r="B129" s="1" t="n">
        <v>45600</v>
      </c>
      <c r="C129" s="1" t="n">
        <v>45766</v>
      </c>
      <c r="D129" t="inlineStr">
        <is>
          <t>STOCKHOLMS LÄN</t>
        </is>
      </c>
      <c r="E129" t="inlineStr">
        <is>
          <t>NORRTÄLJE</t>
        </is>
      </c>
      <c r="G129" t="n">
        <v>23.9</v>
      </c>
      <c r="H129" t="n">
        <v>1</v>
      </c>
      <c r="I129" t="n">
        <v>1</v>
      </c>
      <c r="J129" t="n">
        <v>1</v>
      </c>
      <c r="K129" t="n">
        <v>0</v>
      </c>
      <c r="L129" t="n">
        <v>0</v>
      </c>
      <c r="M129" t="n">
        <v>0</v>
      </c>
      <c r="N129" t="n">
        <v>0</v>
      </c>
      <c r="O129" t="n">
        <v>1</v>
      </c>
      <c r="P129" t="n">
        <v>0</v>
      </c>
      <c r="Q129" t="n">
        <v>2</v>
      </c>
      <c r="R129" s="2" t="inlineStr">
        <is>
          <t>Sommarfibbla
Nästrot</t>
        </is>
      </c>
      <c r="S129">
        <f>HYPERLINK("https://klasma.github.io/Logging_0188/artfynd/A 50326-2024 artfynd.xlsx", "A 50326-2024")</f>
        <v/>
      </c>
      <c r="T129">
        <f>HYPERLINK("https://klasma.github.io/Logging_0188/kartor/A 50326-2024 karta.png", "A 50326-2024")</f>
        <v/>
      </c>
      <c r="V129">
        <f>HYPERLINK("https://klasma.github.io/Logging_0188/klagomål/A 50326-2024 FSC-klagomål.docx", "A 50326-2024")</f>
        <v/>
      </c>
      <c r="W129">
        <f>HYPERLINK("https://klasma.github.io/Logging_0188/klagomålsmail/A 50326-2024 FSC-klagomål mail.docx", "A 50326-2024")</f>
        <v/>
      </c>
      <c r="X129">
        <f>HYPERLINK("https://klasma.github.io/Logging_0188/tillsyn/A 50326-2024 tillsynsbegäran.docx", "A 50326-2024")</f>
        <v/>
      </c>
      <c r="Y129">
        <f>HYPERLINK("https://klasma.github.io/Logging_0188/tillsynsmail/A 50326-2024 tillsynsbegäran mail.docx", "A 50326-2024")</f>
        <v/>
      </c>
    </row>
    <row r="130" ht="15" customHeight="1">
      <c r="A130" t="inlineStr">
        <is>
          <t>A 52360-2024</t>
        </is>
      </c>
      <c r="B130" s="1" t="n">
        <v>45609</v>
      </c>
      <c r="C130" s="1" t="n">
        <v>45766</v>
      </c>
      <c r="D130" t="inlineStr">
        <is>
          <t>STOCKHOLMS LÄN</t>
        </is>
      </c>
      <c r="E130" t="inlineStr">
        <is>
          <t>NORRTÄLJE</t>
        </is>
      </c>
      <c r="G130" t="n">
        <v>2.2</v>
      </c>
      <c r="H130" t="n">
        <v>1</v>
      </c>
      <c r="I130" t="n">
        <v>1</v>
      </c>
      <c r="J130" t="n">
        <v>0</v>
      </c>
      <c r="K130" t="n">
        <v>0</v>
      </c>
      <c r="L130" t="n">
        <v>0</v>
      </c>
      <c r="M130" t="n">
        <v>0</v>
      </c>
      <c r="N130" t="n">
        <v>0</v>
      </c>
      <c r="O130" t="n">
        <v>0</v>
      </c>
      <c r="P130" t="n">
        <v>0</v>
      </c>
      <c r="Q130" t="n">
        <v>2</v>
      </c>
      <c r="R130" s="2" t="inlineStr">
        <is>
          <t>Brandticka
Blåsippa</t>
        </is>
      </c>
      <c r="S130">
        <f>HYPERLINK("https://klasma.github.io/Logging_0188/artfynd/A 52360-2024 artfynd.xlsx", "A 52360-2024")</f>
        <v/>
      </c>
      <c r="T130">
        <f>HYPERLINK("https://klasma.github.io/Logging_0188/kartor/A 52360-2024 karta.png", "A 52360-2024")</f>
        <v/>
      </c>
      <c r="V130">
        <f>HYPERLINK("https://klasma.github.io/Logging_0188/klagomål/A 52360-2024 FSC-klagomål.docx", "A 52360-2024")</f>
        <v/>
      </c>
      <c r="W130">
        <f>HYPERLINK("https://klasma.github.io/Logging_0188/klagomålsmail/A 52360-2024 FSC-klagomål mail.docx", "A 52360-2024")</f>
        <v/>
      </c>
      <c r="X130">
        <f>HYPERLINK("https://klasma.github.io/Logging_0188/tillsyn/A 52360-2024 tillsynsbegäran.docx", "A 52360-2024")</f>
        <v/>
      </c>
      <c r="Y130">
        <f>HYPERLINK("https://klasma.github.io/Logging_0188/tillsynsmail/A 52360-2024 tillsynsbegäran mail.docx", "A 52360-2024")</f>
        <v/>
      </c>
    </row>
    <row r="131" ht="15" customHeight="1">
      <c r="A131" t="inlineStr">
        <is>
          <t>A 11031-2025</t>
        </is>
      </c>
      <c r="B131" s="1" t="n">
        <v>45723</v>
      </c>
      <c r="C131" s="1" t="n">
        <v>45766</v>
      </c>
      <c r="D131" t="inlineStr">
        <is>
          <t>STOCKHOLMS LÄN</t>
        </is>
      </c>
      <c r="E131" t="inlineStr">
        <is>
          <t>NORRTÄLJE</t>
        </is>
      </c>
      <c r="F131" t="inlineStr">
        <is>
          <t>Övriga Aktiebolag</t>
        </is>
      </c>
      <c r="G131" t="n">
        <v>13.2</v>
      </c>
      <c r="H131" t="n">
        <v>1</v>
      </c>
      <c r="I131" t="n">
        <v>0</v>
      </c>
      <c r="J131" t="n">
        <v>2</v>
      </c>
      <c r="K131" t="n">
        <v>0</v>
      </c>
      <c r="L131" t="n">
        <v>0</v>
      </c>
      <c r="M131" t="n">
        <v>0</v>
      </c>
      <c r="N131" t="n">
        <v>0</v>
      </c>
      <c r="O131" t="n">
        <v>2</v>
      </c>
      <c r="P131" t="n">
        <v>0</v>
      </c>
      <c r="Q131" t="n">
        <v>2</v>
      </c>
      <c r="R131" s="2" t="inlineStr">
        <is>
          <t>Järpe
Ullticka</t>
        </is>
      </c>
      <c r="S131">
        <f>HYPERLINK("https://klasma.github.io/Logging_010188/artfynd/A 11031-2025 artfynd.xlsx", "A 11031-2025")</f>
        <v/>
      </c>
      <c r="T131">
        <f>HYPERLINK("https://klasma.github.io/Logging_010188/kartor/A 11031-2025 karta.png", "A 11031-2025")</f>
        <v/>
      </c>
      <c r="V131">
        <f>HYPERLINK("https://klasma.github.io/Logging_010188/klagomål/A 11031-2025 FSC-klagomål.docx", "A 11031-2025")</f>
        <v/>
      </c>
      <c r="W131">
        <f>HYPERLINK("https://klasma.github.io/Logging_010188/klagomålsmail/A 11031-2025 FSC-klagomål mail.docx", "A 11031-2025")</f>
        <v/>
      </c>
      <c r="X131">
        <f>HYPERLINK("https://klasma.github.io/Logging_010188/tillsyn/A 11031-2025 tillsynsbegäran.docx", "A 11031-2025")</f>
        <v/>
      </c>
      <c r="Y131">
        <f>HYPERLINK("https://klasma.github.io/Logging_010188/tillsynsmail/A 11031-2025 tillsynsbegäran mail.docx", "A 11031-2025")</f>
        <v/>
      </c>
      <c r="Z131">
        <f>HYPERLINK("https://klasma.github.io/Logging_010188/fåglar/A 11031-2025 prioriterade fågelarter.docx", "A 11031-2025")</f>
        <v/>
      </c>
    </row>
    <row r="132" ht="15" customHeight="1">
      <c r="A132" t="inlineStr">
        <is>
          <t>A 15804-2025</t>
        </is>
      </c>
      <c r="B132" s="1" t="n">
        <v>45748</v>
      </c>
      <c r="C132" s="1" t="n">
        <v>45766</v>
      </c>
      <c r="D132" t="inlineStr">
        <is>
          <t>STOCKHOLMS LÄN</t>
        </is>
      </c>
      <c r="E132" t="inlineStr">
        <is>
          <t>NORRTÄLJE</t>
        </is>
      </c>
      <c r="F132" t="inlineStr">
        <is>
          <t>Holmen skog AB</t>
        </is>
      </c>
      <c r="G132" t="n">
        <v>1.7</v>
      </c>
      <c r="H132" t="n">
        <v>1</v>
      </c>
      <c r="I132" t="n">
        <v>0</v>
      </c>
      <c r="J132" t="n">
        <v>1</v>
      </c>
      <c r="K132" t="n">
        <v>0</v>
      </c>
      <c r="L132" t="n">
        <v>1</v>
      </c>
      <c r="M132" t="n">
        <v>0</v>
      </c>
      <c r="N132" t="n">
        <v>0</v>
      </c>
      <c r="O132" t="n">
        <v>2</v>
      </c>
      <c r="P132" t="n">
        <v>1</v>
      </c>
      <c r="Q132" t="n">
        <v>2</v>
      </c>
      <c r="R132" s="2" t="inlineStr">
        <is>
          <t>Asknätfjäril
Slåtterfibbla</t>
        </is>
      </c>
      <c r="S132">
        <f>HYPERLINK("https://klasma.github.io/Logging_010188/artfynd/A 15804-2025 artfynd.xlsx", "A 15804-2025")</f>
        <v/>
      </c>
      <c r="T132">
        <f>HYPERLINK("https://klasma.github.io/Logging_010188/kartor/A 15804-2025 karta.png", "A 15804-2025")</f>
        <v/>
      </c>
      <c r="V132">
        <f>HYPERLINK("https://klasma.github.io/Logging_010188/klagomål/A 15804-2025 FSC-klagomål.docx", "A 15804-2025")</f>
        <v/>
      </c>
      <c r="W132">
        <f>HYPERLINK("https://klasma.github.io/Logging_010188/klagomålsmail/A 15804-2025 FSC-klagomål mail.docx", "A 15804-2025")</f>
        <v/>
      </c>
      <c r="X132">
        <f>HYPERLINK("https://klasma.github.io/Logging_010188/tillsyn/A 15804-2025 tillsynsbegäran.docx", "A 15804-2025")</f>
        <v/>
      </c>
      <c r="Y132">
        <f>HYPERLINK("https://klasma.github.io/Logging_010188/tillsynsmail/A 15804-2025 tillsynsbegäran mail.docx", "A 15804-2025")</f>
        <v/>
      </c>
    </row>
    <row r="133" ht="15" customHeight="1">
      <c r="A133" t="inlineStr">
        <is>
          <t>A 20740-2019</t>
        </is>
      </c>
      <c r="B133" s="1" t="n">
        <v>43573</v>
      </c>
      <c r="C133" s="1" t="n">
        <v>45766</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Slåtterfibbla</t>
        </is>
      </c>
      <c r="S133">
        <f>HYPERLINK("https://klasma.github.io/Logging_0188/artfynd/A 20740-2019 artfynd.xlsx", "A 20740-2019")</f>
        <v/>
      </c>
      <c r="T133">
        <f>HYPERLINK("https://klasma.github.io/Logging_0188/kartor/A 20740-2019 karta.png", "A 20740-2019")</f>
        <v/>
      </c>
      <c r="V133">
        <f>HYPERLINK("https://klasma.github.io/Logging_0188/klagomål/A 20740-2019 FSC-klagomål.docx", "A 20740-2019")</f>
        <v/>
      </c>
      <c r="W133">
        <f>HYPERLINK("https://klasma.github.io/Logging_0188/klagomålsmail/A 20740-2019 FSC-klagomål mail.docx", "A 20740-2019")</f>
        <v/>
      </c>
      <c r="X133">
        <f>HYPERLINK("https://klasma.github.io/Logging_0188/tillsyn/A 20740-2019 tillsynsbegäran.docx", "A 20740-2019")</f>
        <v/>
      </c>
      <c r="Y133">
        <f>HYPERLINK("https://klasma.github.io/Logging_0188/tillsynsmail/A 20740-2019 tillsynsbegäran mail.docx", "A 20740-2019")</f>
        <v/>
      </c>
    </row>
    <row r="134" ht="15" customHeight="1">
      <c r="A134" t="inlineStr">
        <is>
          <t>A 26275-2019</t>
        </is>
      </c>
      <c r="B134" s="1" t="n">
        <v>43611</v>
      </c>
      <c r="C134" s="1" t="n">
        <v>45766</v>
      </c>
      <c r="D134" t="inlineStr">
        <is>
          <t>STOCKHOLMS LÄN</t>
        </is>
      </c>
      <c r="E134" t="inlineStr">
        <is>
          <t>NORRTÄLJE</t>
        </is>
      </c>
      <c r="G134" t="n">
        <v>0.5</v>
      </c>
      <c r="H134" t="n">
        <v>0</v>
      </c>
      <c r="I134" t="n">
        <v>1</v>
      </c>
      <c r="J134" t="n">
        <v>0</v>
      </c>
      <c r="K134" t="n">
        <v>0</v>
      </c>
      <c r="L134" t="n">
        <v>0</v>
      </c>
      <c r="M134" t="n">
        <v>0</v>
      </c>
      <c r="N134" t="n">
        <v>0</v>
      </c>
      <c r="O134" t="n">
        <v>0</v>
      </c>
      <c r="P134" t="n">
        <v>0</v>
      </c>
      <c r="Q134" t="n">
        <v>1</v>
      </c>
      <c r="R134" s="2" t="inlineStr">
        <is>
          <t>Blåmossa</t>
        </is>
      </c>
      <c r="S134">
        <f>HYPERLINK("https://klasma.github.io/Logging_0188/artfynd/A 26275-2019 artfynd.xlsx", "A 26275-2019")</f>
        <v/>
      </c>
      <c r="T134">
        <f>HYPERLINK("https://klasma.github.io/Logging_0188/kartor/A 26275-2019 karta.png", "A 26275-2019")</f>
        <v/>
      </c>
      <c r="V134">
        <f>HYPERLINK("https://klasma.github.io/Logging_0188/klagomål/A 26275-2019 FSC-klagomål.docx", "A 26275-2019")</f>
        <v/>
      </c>
      <c r="W134">
        <f>HYPERLINK("https://klasma.github.io/Logging_0188/klagomålsmail/A 26275-2019 FSC-klagomål mail.docx", "A 26275-2019")</f>
        <v/>
      </c>
      <c r="X134">
        <f>HYPERLINK("https://klasma.github.io/Logging_0188/tillsyn/A 26275-2019 tillsynsbegäran.docx", "A 26275-2019")</f>
        <v/>
      </c>
      <c r="Y134">
        <f>HYPERLINK("https://klasma.github.io/Logging_0188/tillsynsmail/A 26275-2019 tillsynsbegäran mail.docx", "A 26275-2019")</f>
        <v/>
      </c>
    </row>
    <row r="135" ht="15" customHeight="1">
      <c r="A135" t="inlineStr">
        <is>
          <t>A 30011-2019</t>
        </is>
      </c>
      <c r="B135" s="1" t="n">
        <v>43633</v>
      </c>
      <c r="C135" s="1" t="n">
        <v>45766</v>
      </c>
      <c r="D135" t="inlineStr">
        <is>
          <t>STOCKHOLMS LÄN</t>
        </is>
      </c>
      <c r="E135" t="inlineStr">
        <is>
          <t>NORRTÄLJE</t>
        </is>
      </c>
      <c r="G135" t="n">
        <v>2.6</v>
      </c>
      <c r="H135" t="n">
        <v>0</v>
      </c>
      <c r="I135" t="n">
        <v>1</v>
      </c>
      <c r="J135" t="n">
        <v>0</v>
      </c>
      <c r="K135" t="n">
        <v>0</v>
      </c>
      <c r="L135" t="n">
        <v>0</v>
      </c>
      <c r="M135" t="n">
        <v>0</v>
      </c>
      <c r="N135" t="n">
        <v>0</v>
      </c>
      <c r="O135" t="n">
        <v>0</v>
      </c>
      <c r="P135" t="n">
        <v>0</v>
      </c>
      <c r="Q135" t="n">
        <v>1</v>
      </c>
      <c r="R135" s="2" t="inlineStr">
        <is>
          <t>Tibast</t>
        </is>
      </c>
      <c r="S135">
        <f>HYPERLINK("https://klasma.github.io/Logging_0188/artfynd/A 30011-2019 artfynd.xlsx", "A 30011-2019")</f>
        <v/>
      </c>
      <c r="T135">
        <f>HYPERLINK("https://klasma.github.io/Logging_0188/kartor/A 30011-2019 karta.png", "A 30011-2019")</f>
        <v/>
      </c>
      <c r="V135">
        <f>HYPERLINK("https://klasma.github.io/Logging_0188/klagomål/A 30011-2019 FSC-klagomål.docx", "A 30011-2019")</f>
        <v/>
      </c>
      <c r="W135">
        <f>HYPERLINK("https://klasma.github.io/Logging_0188/klagomålsmail/A 30011-2019 FSC-klagomål mail.docx", "A 30011-2019")</f>
        <v/>
      </c>
      <c r="X135">
        <f>HYPERLINK("https://klasma.github.io/Logging_0188/tillsyn/A 30011-2019 tillsynsbegäran.docx", "A 30011-2019")</f>
        <v/>
      </c>
      <c r="Y135">
        <f>HYPERLINK("https://klasma.github.io/Logging_0188/tillsynsmail/A 30011-2019 tillsynsbegäran mail.docx", "A 30011-2019")</f>
        <v/>
      </c>
    </row>
    <row r="136" ht="15" customHeight="1">
      <c r="A136" t="inlineStr">
        <is>
          <t>A 38137-2019</t>
        </is>
      </c>
      <c r="B136" s="1" t="n">
        <v>43684</v>
      </c>
      <c r="C136" s="1" t="n">
        <v>45766</v>
      </c>
      <c r="D136" t="inlineStr">
        <is>
          <t>STOCKHOLMS LÄN</t>
        </is>
      </c>
      <c r="E136" t="inlineStr">
        <is>
          <t>NORRTÄLJE</t>
        </is>
      </c>
      <c r="G136" t="n">
        <v>12.9</v>
      </c>
      <c r="H136" t="n">
        <v>0</v>
      </c>
      <c r="I136" t="n">
        <v>0</v>
      </c>
      <c r="J136" t="n">
        <v>1</v>
      </c>
      <c r="K136" t="n">
        <v>0</v>
      </c>
      <c r="L136" t="n">
        <v>0</v>
      </c>
      <c r="M136" t="n">
        <v>0</v>
      </c>
      <c r="N136" t="n">
        <v>0</v>
      </c>
      <c r="O136" t="n">
        <v>1</v>
      </c>
      <c r="P136" t="n">
        <v>0</v>
      </c>
      <c r="Q136" t="n">
        <v>1</v>
      </c>
      <c r="R136" s="2" t="inlineStr">
        <is>
          <t>Rutskinn</t>
        </is>
      </c>
      <c r="S136">
        <f>HYPERLINK("https://klasma.github.io/Logging_0188/artfynd/A 38137-2019 artfynd.xlsx", "A 38137-2019")</f>
        <v/>
      </c>
      <c r="T136">
        <f>HYPERLINK("https://klasma.github.io/Logging_0188/kartor/A 38137-2019 karta.png", "A 38137-2019")</f>
        <v/>
      </c>
      <c r="V136">
        <f>HYPERLINK("https://klasma.github.io/Logging_0188/klagomål/A 38137-2019 FSC-klagomål.docx", "A 38137-2019")</f>
        <v/>
      </c>
      <c r="W136">
        <f>HYPERLINK("https://klasma.github.io/Logging_0188/klagomålsmail/A 38137-2019 FSC-klagomål mail.docx", "A 38137-2019")</f>
        <v/>
      </c>
      <c r="X136">
        <f>HYPERLINK("https://klasma.github.io/Logging_0188/tillsyn/A 38137-2019 tillsynsbegäran.docx", "A 38137-2019")</f>
        <v/>
      </c>
      <c r="Y136">
        <f>HYPERLINK("https://klasma.github.io/Logging_0188/tillsynsmail/A 38137-2019 tillsynsbegäran mail.docx", "A 38137-2019")</f>
        <v/>
      </c>
    </row>
    <row r="137" ht="15" customHeight="1">
      <c r="A137" t="inlineStr">
        <is>
          <t>A 62848-2019</t>
        </is>
      </c>
      <c r="B137" s="1" t="n">
        <v>43790</v>
      </c>
      <c r="C137" s="1" t="n">
        <v>45766</v>
      </c>
      <c r="D137" t="inlineStr">
        <is>
          <t>STOCKHOLMS LÄN</t>
        </is>
      </c>
      <c r="E137" t="inlineStr">
        <is>
          <t>NORRTÄLJE</t>
        </is>
      </c>
      <c r="F137" t="inlineStr">
        <is>
          <t>Holmen skog AB</t>
        </is>
      </c>
      <c r="G137" t="n">
        <v>6.6</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62848-2019 artfynd.xlsx", "A 62848-2019")</f>
        <v/>
      </c>
      <c r="T137">
        <f>HYPERLINK("https://klasma.github.io/Logging_0188/kartor/A 62848-2019 karta.png", "A 62848-2019")</f>
        <v/>
      </c>
      <c r="V137">
        <f>HYPERLINK("https://klasma.github.io/Logging_0188/klagomål/A 62848-2019 FSC-klagomål.docx", "A 62848-2019")</f>
        <v/>
      </c>
      <c r="W137">
        <f>HYPERLINK("https://klasma.github.io/Logging_0188/klagomålsmail/A 62848-2019 FSC-klagomål mail.docx", "A 62848-2019")</f>
        <v/>
      </c>
      <c r="X137">
        <f>HYPERLINK("https://klasma.github.io/Logging_0188/tillsyn/A 62848-2019 tillsynsbegäran.docx", "A 62848-2019")</f>
        <v/>
      </c>
      <c r="Y137">
        <f>HYPERLINK("https://klasma.github.io/Logging_0188/tillsynsmail/A 62848-2019 tillsynsbegäran mail.docx", "A 62848-2019")</f>
        <v/>
      </c>
    </row>
    <row r="138" ht="15" customHeight="1">
      <c r="A138" t="inlineStr">
        <is>
          <t>A 64849-2019</t>
        </is>
      </c>
      <c r="B138" s="1" t="n">
        <v>43801</v>
      </c>
      <c r="C138" s="1" t="n">
        <v>45766</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Skogsklocka</t>
        </is>
      </c>
      <c r="S138">
        <f>HYPERLINK("https://klasma.github.io/Logging_0188/artfynd/A 64849-2019 artfynd.xlsx", "A 64849-2019")</f>
        <v/>
      </c>
      <c r="T138">
        <f>HYPERLINK("https://klasma.github.io/Logging_0188/kartor/A 64849-2019 karta.png", "A 64849-2019")</f>
        <v/>
      </c>
      <c r="V138">
        <f>HYPERLINK("https://klasma.github.io/Logging_0188/klagomål/A 64849-2019 FSC-klagomål.docx", "A 64849-2019")</f>
        <v/>
      </c>
      <c r="W138">
        <f>HYPERLINK("https://klasma.github.io/Logging_0188/klagomålsmail/A 64849-2019 FSC-klagomål mail.docx", "A 64849-2019")</f>
        <v/>
      </c>
      <c r="X138">
        <f>HYPERLINK("https://klasma.github.io/Logging_0188/tillsyn/A 64849-2019 tillsynsbegäran.docx", "A 64849-2019")</f>
        <v/>
      </c>
      <c r="Y138">
        <f>HYPERLINK("https://klasma.github.io/Logging_0188/tillsynsmail/A 64849-2019 tillsynsbegäran mail.docx", "A 64849-2019")</f>
        <v/>
      </c>
    </row>
    <row r="139" ht="15" customHeight="1">
      <c r="A139" t="inlineStr">
        <is>
          <t>A 2808-2020</t>
        </is>
      </c>
      <c r="B139" s="1" t="n">
        <v>43850</v>
      </c>
      <c r="C139" s="1" t="n">
        <v>45766</v>
      </c>
      <c r="D139" t="inlineStr">
        <is>
          <t>STOCKHOLMS LÄN</t>
        </is>
      </c>
      <c r="E139" t="inlineStr">
        <is>
          <t>NORRTÄLJE</t>
        </is>
      </c>
      <c r="G139" t="n">
        <v>1</v>
      </c>
      <c r="H139" t="n">
        <v>1</v>
      </c>
      <c r="I139" t="n">
        <v>0</v>
      </c>
      <c r="J139" t="n">
        <v>0</v>
      </c>
      <c r="K139" t="n">
        <v>1</v>
      </c>
      <c r="L139" t="n">
        <v>0</v>
      </c>
      <c r="M139" t="n">
        <v>0</v>
      </c>
      <c r="N139" t="n">
        <v>0</v>
      </c>
      <c r="O139" t="n">
        <v>1</v>
      </c>
      <c r="P139" t="n">
        <v>1</v>
      </c>
      <c r="Q139" t="n">
        <v>1</v>
      </c>
      <c r="R139" s="2" t="inlineStr">
        <is>
          <t>Knärot</t>
        </is>
      </c>
      <c r="S139">
        <f>HYPERLINK("https://klasma.github.io/Logging_0188/artfynd/A 2808-2020 artfynd.xlsx", "A 2808-2020")</f>
        <v/>
      </c>
      <c r="T139">
        <f>HYPERLINK("https://klasma.github.io/Logging_0188/kartor/A 2808-2020 karta.png", "A 2808-2020")</f>
        <v/>
      </c>
      <c r="U139">
        <f>HYPERLINK("https://klasma.github.io/Logging_0188/knärot/A 2808-2020 karta knärot.png", "A 2808-2020")</f>
        <v/>
      </c>
      <c r="V139">
        <f>HYPERLINK("https://klasma.github.io/Logging_0188/klagomål/A 2808-2020 FSC-klagomål.docx", "A 2808-2020")</f>
        <v/>
      </c>
      <c r="W139">
        <f>HYPERLINK("https://klasma.github.io/Logging_0188/klagomålsmail/A 2808-2020 FSC-klagomål mail.docx", "A 2808-2020")</f>
        <v/>
      </c>
      <c r="X139">
        <f>HYPERLINK("https://klasma.github.io/Logging_0188/tillsyn/A 2808-2020 tillsynsbegäran.docx", "A 2808-2020")</f>
        <v/>
      </c>
      <c r="Y139">
        <f>HYPERLINK("https://klasma.github.io/Logging_0188/tillsynsmail/A 2808-2020 tillsynsbegäran mail.docx", "A 2808-2020")</f>
        <v/>
      </c>
    </row>
    <row r="140" ht="15" customHeight="1">
      <c r="A140" t="inlineStr">
        <is>
          <t>A 2796-2020</t>
        </is>
      </c>
      <c r="B140" s="1" t="n">
        <v>43850</v>
      </c>
      <c r="C140" s="1" t="n">
        <v>45766</v>
      </c>
      <c r="D140" t="inlineStr">
        <is>
          <t>STOCKHOLMS LÄN</t>
        </is>
      </c>
      <c r="E140" t="inlineStr">
        <is>
          <t>NORRTÄLJE</t>
        </is>
      </c>
      <c r="G140" t="n">
        <v>5.6</v>
      </c>
      <c r="H140" t="n">
        <v>1</v>
      </c>
      <c r="I140" t="n">
        <v>1</v>
      </c>
      <c r="J140" t="n">
        <v>0</v>
      </c>
      <c r="K140" t="n">
        <v>0</v>
      </c>
      <c r="L140" t="n">
        <v>0</v>
      </c>
      <c r="M140" t="n">
        <v>0</v>
      </c>
      <c r="N140" t="n">
        <v>0</v>
      </c>
      <c r="O140" t="n">
        <v>0</v>
      </c>
      <c r="P140" t="n">
        <v>0</v>
      </c>
      <c r="Q140" t="n">
        <v>1</v>
      </c>
      <c r="R140" s="2" t="inlineStr">
        <is>
          <t>Spindelblomster</t>
        </is>
      </c>
      <c r="S140">
        <f>HYPERLINK("https://klasma.github.io/Logging_0188/artfynd/A 2796-2020 artfynd.xlsx", "A 2796-2020")</f>
        <v/>
      </c>
      <c r="T140">
        <f>HYPERLINK("https://klasma.github.io/Logging_0188/kartor/A 2796-2020 karta.png", "A 2796-2020")</f>
        <v/>
      </c>
      <c r="V140">
        <f>HYPERLINK("https://klasma.github.io/Logging_0188/klagomål/A 2796-2020 FSC-klagomål.docx", "A 2796-2020")</f>
        <v/>
      </c>
      <c r="W140">
        <f>HYPERLINK("https://klasma.github.io/Logging_0188/klagomålsmail/A 2796-2020 FSC-klagomål mail.docx", "A 2796-2020")</f>
        <v/>
      </c>
      <c r="X140">
        <f>HYPERLINK("https://klasma.github.io/Logging_0188/tillsyn/A 2796-2020 tillsynsbegäran.docx", "A 2796-2020")</f>
        <v/>
      </c>
      <c r="Y140">
        <f>HYPERLINK("https://klasma.github.io/Logging_0188/tillsynsmail/A 2796-2020 tillsynsbegäran mail.docx", "A 2796-2020")</f>
        <v/>
      </c>
    </row>
    <row r="141" ht="15" customHeight="1">
      <c r="A141" t="inlineStr">
        <is>
          <t>A 9051-2020</t>
        </is>
      </c>
      <c r="B141" s="1" t="n">
        <v>43879</v>
      </c>
      <c r="C141" s="1" t="n">
        <v>45766</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9051-2020 artfynd.xlsx", "A 9051-2020")</f>
        <v/>
      </c>
      <c r="T141">
        <f>HYPERLINK("https://klasma.github.io/Logging_0188/kartor/A 9051-2020 karta.png", "A 9051-2020")</f>
        <v/>
      </c>
      <c r="V141">
        <f>HYPERLINK("https://klasma.github.io/Logging_0188/klagomål/A 9051-2020 FSC-klagomål.docx", "A 9051-2020")</f>
        <v/>
      </c>
      <c r="W141">
        <f>HYPERLINK("https://klasma.github.io/Logging_0188/klagomålsmail/A 9051-2020 FSC-klagomål mail.docx", "A 9051-2020")</f>
        <v/>
      </c>
      <c r="X141">
        <f>HYPERLINK("https://klasma.github.io/Logging_0188/tillsyn/A 9051-2020 tillsynsbegäran.docx", "A 9051-2020")</f>
        <v/>
      </c>
      <c r="Y141">
        <f>HYPERLINK("https://klasma.github.io/Logging_0188/tillsynsmail/A 9051-2020 tillsynsbegäran mail.docx", "A 9051-2020")</f>
        <v/>
      </c>
    </row>
    <row r="142" ht="15" customHeight="1">
      <c r="A142" t="inlineStr">
        <is>
          <t>A 12843-2020</t>
        </is>
      </c>
      <c r="B142" s="1" t="n">
        <v>43899</v>
      </c>
      <c r="C142" s="1" t="n">
        <v>45766</v>
      </c>
      <c r="D142" t="inlineStr">
        <is>
          <t>STOCKHOLMS LÄN</t>
        </is>
      </c>
      <c r="E142" t="inlineStr">
        <is>
          <t>NORRTÄLJE</t>
        </is>
      </c>
      <c r="G142" t="n">
        <v>7.5</v>
      </c>
      <c r="H142" t="n">
        <v>1</v>
      </c>
      <c r="I142" t="n">
        <v>0</v>
      </c>
      <c r="J142" t="n">
        <v>1</v>
      </c>
      <c r="K142" t="n">
        <v>0</v>
      </c>
      <c r="L142" t="n">
        <v>0</v>
      </c>
      <c r="M142" t="n">
        <v>0</v>
      </c>
      <c r="N142" t="n">
        <v>0</v>
      </c>
      <c r="O142" t="n">
        <v>1</v>
      </c>
      <c r="P142" t="n">
        <v>0</v>
      </c>
      <c r="Q142" t="n">
        <v>1</v>
      </c>
      <c r="R142" s="2" t="inlineStr">
        <is>
          <t>Talltita</t>
        </is>
      </c>
      <c r="S142">
        <f>HYPERLINK("https://klasma.github.io/Logging_0188/artfynd/A 12843-2020 artfynd.xlsx", "A 12843-2020")</f>
        <v/>
      </c>
      <c r="T142">
        <f>HYPERLINK("https://klasma.github.io/Logging_0188/kartor/A 12843-2020 karta.png", "A 12843-2020")</f>
        <v/>
      </c>
      <c r="V142">
        <f>HYPERLINK("https://klasma.github.io/Logging_0188/klagomål/A 12843-2020 FSC-klagomål.docx", "A 12843-2020")</f>
        <v/>
      </c>
      <c r="W142">
        <f>HYPERLINK("https://klasma.github.io/Logging_0188/klagomålsmail/A 12843-2020 FSC-klagomål mail.docx", "A 12843-2020")</f>
        <v/>
      </c>
      <c r="X142">
        <f>HYPERLINK("https://klasma.github.io/Logging_0188/tillsyn/A 12843-2020 tillsynsbegäran.docx", "A 12843-2020")</f>
        <v/>
      </c>
      <c r="Y142">
        <f>HYPERLINK("https://klasma.github.io/Logging_0188/tillsynsmail/A 12843-2020 tillsynsbegäran mail.docx", "A 12843-2020")</f>
        <v/>
      </c>
      <c r="Z142">
        <f>HYPERLINK("https://klasma.github.io/Logging_0188/fåglar/A 12843-2020 prioriterade fågelarter.docx", "A 12843-2020")</f>
        <v/>
      </c>
    </row>
    <row r="143" ht="15" customHeight="1">
      <c r="A143" t="inlineStr">
        <is>
          <t>A 28380-2020</t>
        </is>
      </c>
      <c r="B143" s="1" t="n">
        <v>43998</v>
      </c>
      <c r="C143" s="1" t="n">
        <v>45766</v>
      </c>
      <c r="D143" t="inlineStr">
        <is>
          <t>STOCKHOLMS LÄN</t>
        </is>
      </c>
      <c r="E143" t="inlineStr">
        <is>
          <t>NORRTÄLJE</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28380-2020 artfynd.xlsx", "A 28380-2020")</f>
        <v/>
      </c>
      <c r="T143">
        <f>HYPERLINK("https://klasma.github.io/Logging_0188/kartor/A 28380-2020 karta.png", "A 28380-2020")</f>
        <v/>
      </c>
      <c r="V143">
        <f>HYPERLINK("https://klasma.github.io/Logging_0188/klagomål/A 28380-2020 FSC-klagomål.docx", "A 28380-2020")</f>
        <v/>
      </c>
      <c r="W143">
        <f>HYPERLINK("https://klasma.github.io/Logging_0188/klagomålsmail/A 28380-2020 FSC-klagomål mail.docx", "A 28380-2020")</f>
        <v/>
      </c>
      <c r="X143">
        <f>HYPERLINK("https://klasma.github.io/Logging_0188/tillsyn/A 28380-2020 tillsynsbegäran.docx", "A 28380-2020")</f>
        <v/>
      </c>
      <c r="Y143">
        <f>HYPERLINK("https://klasma.github.io/Logging_0188/tillsynsmail/A 28380-2020 tillsynsbegäran mail.docx", "A 28380-2020")</f>
        <v/>
      </c>
    </row>
    <row r="144" ht="15" customHeight="1">
      <c r="A144" t="inlineStr">
        <is>
          <t>A 48288-2020</t>
        </is>
      </c>
      <c r="B144" s="1" t="n">
        <v>44102</v>
      </c>
      <c r="C144" s="1" t="n">
        <v>45766</v>
      </c>
      <c r="D144" t="inlineStr">
        <is>
          <t>STOCKHOLMS LÄN</t>
        </is>
      </c>
      <c r="E144" t="inlineStr">
        <is>
          <t>NORRTÄLJE</t>
        </is>
      </c>
      <c r="F144" t="inlineStr">
        <is>
          <t>Holmen skog AB</t>
        </is>
      </c>
      <c r="G144" t="n">
        <v>2.9</v>
      </c>
      <c r="H144" t="n">
        <v>1</v>
      </c>
      <c r="I144" t="n">
        <v>0</v>
      </c>
      <c r="J144" t="n">
        <v>0</v>
      </c>
      <c r="K144" t="n">
        <v>0</v>
      </c>
      <c r="L144" t="n">
        <v>1</v>
      </c>
      <c r="M144" t="n">
        <v>0</v>
      </c>
      <c r="N144" t="n">
        <v>0</v>
      </c>
      <c r="O144" t="n">
        <v>1</v>
      </c>
      <c r="P144" t="n">
        <v>1</v>
      </c>
      <c r="Q144" t="n">
        <v>1</v>
      </c>
      <c r="R144" s="2" t="inlineStr">
        <is>
          <t>Asknätfjäril</t>
        </is>
      </c>
      <c r="S144">
        <f>HYPERLINK("https://klasma.github.io/Logging_0188/artfynd/A 48288-2020 artfynd.xlsx", "A 48288-2020")</f>
        <v/>
      </c>
      <c r="T144">
        <f>HYPERLINK("https://klasma.github.io/Logging_0188/kartor/A 48288-2020 karta.png", "A 48288-2020")</f>
        <v/>
      </c>
      <c r="V144">
        <f>HYPERLINK("https://klasma.github.io/Logging_0188/klagomål/A 48288-2020 FSC-klagomål.docx", "A 48288-2020")</f>
        <v/>
      </c>
      <c r="W144">
        <f>HYPERLINK("https://klasma.github.io/Logging_0188/klagomålsmail/A 48288-2020 FSC-klagomål mail.docx", "A 48288-2020")</f>
        <v/>
      </c>
      <c r="X144">
        <f>HYPERLINK("https://klasma.github.io/Logging_0188/tillsyn/A 48288-2020 tillsynsbegäran.docx", "A 48288-2020")</f>
        <v/>
      </c>
      <c r="Y144">
        <f>HYPERLINK("https://klasma.github.io/Logging_0188/tillsynsmail/A 48288-2020 tillsynsbegäran mail.docx", "A 48288-2020")</f>
        <v/>
      </c>
    </row>
    <row r="145" ht="15" customHeight="1">
      <c r="A145" t="inlineStr">
        <is>
          <t>A 62846-2020</t>
        </is>
      </c>
      <c r="B145" s="1" t="n">
        <v>44161</v>
      </c>
      <c r="C145" s="1" t="n">
        <v>45766</v>
      </c>
      <c r="D145" t="inlineStr">
        <is>
          <t>STOCKHOLMS LÄN</t>
        </is>
      </c>
      <c r="E145" t="inlineStr">
        <is>
          <t>NORRTÄLJE</t>
        </is>
      </c>
      <c r="G145" t="n">
        <v>1.4</v>
      </c>
      <c r="H145" t="n">
        <v>1</v>
      </c>
      <c r="I145" t="n">
        <v>0</v>
      </c>
      <c r="J145" t="n">
        <v>0</v>
      </c>
      <c r="K145" t="n">
        <v>0</v>
      </c>
      <c r="L145" t="n">
        <v>0</v>
      </c>
      <c r="M145" t="n">
        <v>0</v>
      </c>
      <c r="N145" t="n">
        <v>0</v>
      </c>
      <c r="O145" t="n">
        <v>0</v>
      </c>
      <c r="P145" t="n">
        <v>0</v>
      </c>
      <c r="Q145" t="n">
        <v>1</v>
      </c>
      <c r="R145" s="2" t="inlineStr">
        <is>
          <t>Fläcknycklar</t>
        </is>
      </c>
      <c r="S145">
        <f>HYPERLINK("https://klasma.github.io/Logging_0188/artfynd/A 62846-2020 artfynd.xlsx", "A 62846-2020")</f>
        <v/>
      </c>
      <c r="T145">
        <f>HYPERLINK("https://klasma.github.io/Logging_0188/kartor/A 62846-2020 karta.png", "A 62846-2020")</f>
        <v/>
      </c>
      <c r="V145">
        <f>HYPERLINK("https://klasma.github.io/Logging_0188/klagomål/A 62846-2020 FSC-klagomål.docx", "A 62846-2020")</f>
        <v/>
      </c>
      <c r="W145">
        <f>HYPERLINK("https://klasma.github.io/Logging_0188/klagomålsmail/A 62846-2020 FSC-klagomål mail.docx", "A 62846-2020")</f>
        <v/>
      </c>
      <c r="X145">
        <f>HYPERLINK("https://klasma.github.io/Logging_0188/tillsyn/A 62846-2020 tillsynsbegäran.docx", "A 62846-2020")</f>
        <v/>
      </c>
      <c r="Y145">
        <f>HYPERLINK("https://klasma.github.io/Logging_0188/tillsynsmail/A 62846-2020 tillsynsbegäran mail.docx", "A 62846-2020")</f>
        <v/>
      </c>
    </row>
    <row r="146" ht="15" customHeight="1">
      <c r="A146" t="inlineStr">
        <is>
          <t>A 1162-2021</t>
        </is>
      </c>
      <c r="B146" s="1" t="n">
        <v>44207</v>
      </c>
      <c r="C146" s="1" t="n">
        <v>45766</v>
      </c>
      <c r="D146" t="inlineStr">
        <is>
          <t>STOCKHOLMS LÄN</t>
        </is>
      </c>
      <c r="E146" t="inlineStr">
        <is>
          <t>NORRTÄLJE</t>
        </is>
      </c>
      <c r="G146" t="n">
        <v>2.2</v>
      </c>
      <c r="H146" t="n">
        <v>1</v>
      </c>
      <c r="I146" t="n">
        <v>0</v>
      </c>
      <c r="J146" t="n">
        <v>0</v>
      </c>
      <c r="K146" t="n">
        <v>1</v>
      </c>
      <c r="L146" t="n">
        <v>0</v>
      </c>
      <c r="M146" t="n">
        <v>0</v>
      </c>
      <c r="N146" t="n">
        <v>0</v>
      </c>
      <c r="O146" t="n">
        <v>1</v>
      </c>
      <c r="P146" t="n">
        <v>1</v>
      </c>
      <c r="Q146" t="n">
        <v>1</v>
      </c>
      <c r="R146" s="2" t="inlineStr">
        <is>
          <t>Hällebräcka</t>
        </is>
      </c>
      <c r="S146">
        <f>HYPERLINK("https://klasma.github.io/Logging_0188/artfynd/A 1162-2021 artfynd.xlsx", "A 1162-2021")</f>
        <v/>
      </c>
      <c r="T146">
        <f>HYPERLINK("https://klasma.github.io/Logging_0188/kartor/A 1162-2021 karta.png", "A 1162-2021")</f>
        <v/>
      </c>
      <c r="V146">
        <f>HYPERLINK("https://klasma.github.io/Logging_0188/klagomål/A 1162-2021 FSC-klagomål.docx", "A 1162-2021")</f>
        <v/>
      </c>
      <c r="W146">
        <f>HYPERLINK("https://klasma.github.io/Logging_0188/klagomålsmail/A 1162-2021 FSC-klagomål mail.docx", "A 1162-2021")</f>
        <v/>
      </c>
      <c r="X146">
        <f>HYPERLINK("https://klasma.github.io/Logging_0188/tillsyn/A 1162-2021 tillsynsbegäran.docx", "A 1162-2021")</f>
        <v/>
      </c>
      <c r="Y146">
        <f>HYPERLINK("https://klasma.github.io/Logging_0188/tillsynsmail/A 1162-2021 tillsynsbegäran mail.docx", "A 1162-2021")</f>
        <v/>
      </c>
    </row>
    <row r="147" ht="15" customHeight="1">
      <c r="A147" t="inlineStr">
        <is>
          <t>A 30138-2021</t>
        </is>
      </c>
      <c r="B147" s="1" t="n">
        <v>44363</v>
      </c>
      <c r="C147" s="1" t="n">
        <v>45766</v>
      </c>
      <c r="D147" t="inlineStr">
        <is>
          <t>STOCKHOLMS LÄN</t>
        </is>
      </c>
      <c r="E147" t="inlineStr">
        <is>
          <t>NORRTÄLJE</t>
        </is>
      </c>
      <c r="G147" t="n">
        <v>4.5</v>
      </c>
      <c r="H147" t="n">
        <v>0</v>
      </c>
      <c r="I147" t="n">
        <v>1</v>
      </c>
      <c r="J147" t="n">
        <v>0</v>
      </c>
      <c r="K147" t="n">
        <v>0</v>
      </c>
      <c r="L147" t="n">
        <v>0</v>
      </c>
      <c r="M147" t="n">
        <v>0</v>
      </c>
      <c r="N147" t="n">
        <v>0</v>
      </c>
      <c r="O147" t="n">
        <v>0</v>
      </c>
      <c r="P147" t="n">
        <v>0</v>
      </c>
      <c r="Q147" t="n">
        <v>1</v>
      </c>
      <c r="R147" s="2" t="inlineStr">
        <is>
          <t>Vårärt</t>
        </is>
      </c>
      <c r="S147">
        <f>HYPERLINK("https://klasma.github.io/Logging_0188/artfynd/A 30138-2021 artfynd.xlsx", "A 30138-2021")</f>
        <v/>
      </c>
      <c r="T147">
        <f>HYPERLINK("https://klasma.github.io/Logging_0188/kartor/A 30138-2021 karta.png", "A 30138-2021")</f>
        <v/>
      </c>
      <c r="V147">
        <f>HYPERLINK("https://klasma.github.io/Logging_0188/klagomål/A 30138-2021 FSC-klagomål.docx", "A 30138-2021")</f>
        <v/>
      </c>
      <c r="W147">
        <f>HYPERLINK("https://klasma.github.io/Logging_0188/klagomålsmail/A 30138-2021 FSC-klagomål mail.docx", "A 30138-2021")</f>
        <v/>
      </c>
      <c r="X147">
        <f>HYPERLINK("https://klasma.github.io/Logging_0188/tillsyn/A 30138-2021 tillsynsbegäran.docx", "A 30138-2021")</f>
        <v/>
      </c>
      <c r="Y147">
        <f>HYPERLINK("https://klasma.github.io/Logging_0188/tillsynsmail/A 30138-2021 tillsynsbegäran mail.docx", "A 30138-2021")</f>
        <v/>
      </c>
    </row>
    <row r="148" ht="15" customHeight="1">
      <c r="A148" t="inlineStr">
        <is>
          <t>A 33302-2021</t>
        </is>
      </c>
      <c r="B148" s="1" t="n">
        <v>44377</v>
      </c>
      <c r="C148" s="1" t="n">
        <v>45766</v>
      </c>
      <c r="D148" t="inlineStr">
        <is>
          <t>STOCKHOLMS LÄN</t>
        </is>
      </c>
      <c r="E148" t="inlineStr">
        <is>
          <t>NORRTÄLJE</t>
        </is>
      </c>
      <c r="G148" t="n">
        <v>12.5</v>
      </c>
      <c r="H148" t="n">
        <v>1</v>
      </c>
      <c r="I148" t="n">
        <v>0</v>
      </c>
      <c r="J148" t="n">
        <v>1</v>
      </c>
      <c r="K148" t="n">
        <v>0</v>
      </c>
      <c r="L148" t="n">
        <v>0</v>
      </c>
      <c r="M148" t="n">
        <v>0</v>
      </c>
      <c r="N148" t="n">
        <v>0</v>
      </c>
      <c r="O148" t="n">
        <v>1</v>
      </c>
      <c r="P148" t="n">
        <v>0</v>
      </c>
      <c r="Q148" t="n">
        <v>1</v>
      </c>
      <c r="R148" s="2" t="inlineStr">
        <is>
          <t>Spillkråka</t>
        </is>
      </c>
      <c r="S148">
        <f>HYPERLINK("https://klasma.github.io/Logging_0188/artfynd/A 33302-2021 artfynd.xlsx", "A 33302-2021")</f>
        <v/>
      </c>
      <c r="T148">
        <f>HYPERLINK("https://klasma.github.io/Logging_0188/kartor/A 33302-2021 karta.png", "A 33302-2021")</f>
        <v/>
      </c>
      <c r="V148">
        <f>HYPERLINK("https://klasma.github.io/Logging_0188/klagomål/A 33302-2021 FSC-klagomål.docx", "A 33302-2021")</f>
        <v/>
      </c>
      <c r="W148">
        <f>HYPERLINK("https://klasma.github.io/Logging_0188/klagomålsmail/A 33302-2021 FSC-klagomål mail.docx", "A 33302-2021")</f>
        <v/>
      </c>
      <c r="X148">
        <f>HYPERLINK("https://klasma.github.io/Logging_0188/tillsyn/A 33302-2021 tillsynsbegäran.docx", "A 33302-2021")</f>
        <v/>
      </c>
      <c r="Y148">
        <f>HYPERLINK("https://klasma.github.io/Logging_0188/tillsynsmail/A 33302-2021 tillsynsbegäran mail.docx", "A 33302-2021")</f>
        <v/>
      </c>
      <c r="Z148">
        <f>HYPERLINK("https://klasma.github.io/Logging_0188/fåglar/A 33302-2021 prioriterade fågelarter.docx", "A 33302-2021")</f>
        <v/>
      </c>
    </row>
    <row r="149" ht="15" customHeight="1">
      <c r="A149" t="inlineStr">
        <is>
          <t>A 58888-2021</t>
        </is>
      </c>
      <c r="B149" s="1" t="n">
        <v>44489</v>
      </c>
      <c r="C149" s="1" t="n">
        <v>45766</v>
      </c>
      <c r="D149" t="inlineStr">
        <is>
          <t>STOCKHOLMS LÄN</t>
        </is>
      </c>
      <c r="E149" t="inlineStr">
        <is>
          <t>NORRTÄLJE</t>
        </is>
      </c>
      <c r="F149" t="inlineStr">
        <is>
          <t>Holmen skog AB</t>
        </is>
      </c>
      <c r="G149" t="n">
        <v>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58888-2021 artfynd.xlsx", "A 58888-2021")</f>
        <v/>
      </c>
      <c r="T149">
        <f>HYPERLINK("https://klasma.github.io/Logging_0188/kartor/A 58888-2021 karta.png", "A 58888-2021")</f>
        <v/>
      </c>
      <c r="V149">
        <f>HYPERLINK("https://klasma.github.io/Logging_0188/klagomål/A 58888-2021 FSC-klagomål.docx", "A 58888-2021")</f>
        <v/>
      </c>
      <c r="W149">
        <f>HYPERLINK("https://klasma.github.io/Logging_0188/klagomålsmail/A 58888-2021 FSC-klagomål mail.docx", "A 58888-2021")</f>
        <v/>
      </c>
      <c r="X149">
        <f>HYPERLINK("https://klasma.github.io/Logging_0188/tillsyn/A 58888-2021 tillsynsbegäran.docx", "A 58888-2021")</f>
        <v/>
      </c>
      <c r="Y149">
        <f>HYPERLINK("https://klasma.github.io/Logging_0188/tillsynsmail/A 58888-2021 tillsynsbegäran mail.docx", "A 58888-2021")</f>
        <v/>
      </c>
    </row>
    <row r="150" ht="15" customHeight="1">
      <c r="A150" t="inlineStr">
        <is>
          <t>A 68692-2021</t>
        </is>
      </c>
      <c r="B150" s="1" t="n">
        <v>44529</v>
      </c>
      <c r="C150" s="1" t="n">
        <v>45766</v>
      </c>
      <c r="D150" t="inlineStr">
        <is>
          <t>STOCKHOLMS LÄN</t>
        </is>
      </c>
      <c r="E150" t="inlineStr">
        <is>
          <t>NORRTÄLJE</t>
        </is>
      </c>
      <c r="F150" t="inlineStr">
        <is>
          <t>Holmen skog AB</t>
        </is>
      </c>
      <c r="G150" t="n">
        <v>0.7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68692-2021 artfynd.xlsx", "A 68692-2021")</f>
        <v/>
      </c>
      <c r="T150">
        <f>HYPERLINK("https://klasma.github.io/Logging_0188/kartor/A 68692-2021 karta.png", "A 68692-2021")</f>
        <v/>
      </c>
      <c r="V150">
        <f>HYPERLINK("https://klasma.github.io/Logging_0188/klagomål/A 68692-2021 FSC-klagomål.docx", "A 68692-2021")</f>
        <v/>
      </c>
      <c r="W150">
        <f>HYPERLINK("https://klasma.github.io/Logging_0188/klagomålsmail/A 68692-2021 FSC-klagomål mail.docx", "A 68692-2021")</f>
        <v/>
      </c>
      <c r="X150">
        <f>HYPERLINK("https://klasma.github.io/Logging_0188/tillsyn/A 68692-2021 tillsynsbegäran.docx", "A 68692-2021")</f>
        <v/>
      </c>
      <c r="Y150">
        <f>HYPERLINK("https://klasma.github.io/Logging_0188/tillsynsmail/A 68692-2021 tillsynsbegäran mail.docx", "A 68692-2021")</f>
        <v/>
      </c>
    </row>
    <row r="151" ht="15" customHeight="1">
      <c r="A151" t="inlineStr">
        <is>
          <t>A 188-2022</t>
        </is>
      </c>
      <c r="B151" s="1" t="n">
        <v>44564</v>
      </c>
      <c r="C151" s="1" t="n">
        <v>45766</v>
      </c>
      <c r="D151" t="inlineStr">
        <is>
          <t>STOCKHOLMS LÄN</t>
        </is>
      </c>
      <c r="E151" t="inlineStr">
        <is>
          <t>NORRTÄLJE</t>
        </is>
      </c>
      <c r="G151" t="n">
        <v>4.1</v>
      </c>
      <c r="H151" t="n">
        <v>0</v>
      </c>
      <c r="I151" t="n">
        <v>1</v>
      </c>
      <c r="J151" t="n">
        <v>0</v>
      </c>
      <c r="K151" t="n">
        <v>0</v>
      </c>
      <c r="L151" t="n">
        <v>0</v>
      </c>
      <c r="M151" t="n">
        <v>0</v>
      </c>
      <c r="N151" t="n">
        <v>0</v>
      </c>
      <c r="O151" t="n">
        <v>0</v>
      </c>
      <c r="P151" t="n">
        <v>0</v>
      </c>
      <c r="Q151" t="n">
        <v>1</v>
      </c>
      <c r="R151" s="2" t="inlineStr">
        <is>
          <t>Svart trolldruva</t>
        </is>
      </c>
      <c r="S151">
        <f>HYPERLINK("https://klasma.github.io/Logging_0188/artfynd/A 188-2022 artfynd.xlsx", "A 188-2022")</f>
        <v/>
      </c>
      <c r="T151">
        <f>HYPERLINK("https://klasma.github.io/Logging_0188/kartor/A 188-2022 karta.png", "A 188-2022")</f>
        <v/>
      </c>
      <c r="V151">
        <f>HYPERLINK("https://klasma.github.io/Logging_0188/klagomål/A 188-2022 FSC-klagomål.docx", "A 188-2022")</f>
        <v/>
      </c>
      <c r="W151">
        <f>HYPERLINK("https://klasma.github.io/Logging_0188/klagomålsmail/A 188-2022 FSC-klagomål mail.docx", "A 188-2022")</f>
        <v/>
      </c>
      <c r="X151">
        <f>HYPERLINK("https://klasma.github.io/Logging_0188/tillsyn/A 188-2022 tillsynsbegäran.docx", "A 188-2022")</f>
        <v/>
      </c>
      <c r="Y151">
        <f>HYPERLINK("https://klasma.github.io/Logging_0188/tillsynsmail/A 188-2022 tillsynsbegäran mail.docx", "A 188-2022")</f>
        <v/>
      </c>
    </row>
    <row r="152" ht="15" customHeight="1">
      <c r="A152" t="inlineStr">
        <is>
          <t>A 1547-2022</t>
        </is>
      </c>
      <c r="B152" s="1" t="n">
        <v>44573</v>
      </c>
      <c r="C152" s="1" t="n">
        <v>45766</v>
      </c>
      <c r="D152" t="inlineStr">
        <is>
          <t>STOCKHOLMS LÄN</t>
        </is>
      </c>
      <c r="E152" t="inlineStr">
        <is>
          <t>NORRTÄLJE</t>
        </is>
      </c>
      <c r="G152" t="n">
        <v>1.8</v>
      </c>
      <c r="H152" t="n">
        <v>1</v>
      </c>
      <c r="I152" t="n">
        <v>0</v>
      </c>
      <c r="J152" t="n">
        <v>0</v>
      </c>
      <c r="K152" t="n">
        <v>1</v>
      </c>
      <c r="L152" t="n">
        <v>0</v>
      </c>
      <c r="M152" t="n">
        <v>0</v>
      </c>
      <c r="N152" t="n">
        <v>0</v>
      </c>
      <c r="O152" t="n">
        <v>1</v>
      </c>
      <c r="P152" t="n">
        <v>1</v>
      </c>
      <c r="Q152" t="n">
        <v>1</v>
      </c>
      <c r="R152" s="2" t="inlineStr">
        <is>
          <t>Hällebräcka</t>
        </is>
      </c>
      <c r="S152">
        <f>HYPERLINK("https://klasma.github.io/Logging_0188/artfynd/A 1547-2022 artfynd.xlsx", "A 1547-2022")</f>
        <v/>
      </c>
      <c r="T152">
        <f>HYPERLINK("https://klasma.github.io/Logging_0188/kartor/A 1547-2022 karta.png", "A 1547-2022")</f>
        <v/>
      </c>
      <c r="V152">
        <f>HYPERLINK("https://klasma.github.io/Logging_0188/klagomål/A 1547-2022 FSC-klagomål.docx", "A 1547-2022")</f>
        <v/>
      </c>
      <c r="W152">
        <f>HYPERLINK("https://klasma.github.io/Logging_0188/klagomålsmail/A 1547-2022 FSC-klagomål mail.docx", "A 1547-2022")</f>
        <v/>
      </c>
      <c r="X152">
        <f>HYPERLINK("https://klasma.github.io/Logging_0188/tillsyn/A 1547-2022 tillsynsbegäran.docx", "A 1547-2022")</f>
        <v/>
      </c>
      <c r="Y152">
        <f>HYPERLINK("https://klasma.github.io/Logging_0188/tillsynsmail/A 1547-2022 tillsynsbegäran mail.docx", "A 1547-2022")</f>
        <v/>
      </c>
    </row>
    <row r="153" ht="15" customHeight="1">
      <c r="A153" t="inlineStr">
        <is>
          <t>A 7172-2022</t>
        </is>
      </c>
      <c r="B153" s="1" t="n">
        <v>44604</v>
      </c>
      <c r="C153" s="1" t="n">
        <v>45766</v>
      </c>
      <c r="D153" t="inlineStr">
        <is>
          <t>STOCKHOLMS LÄN</t>
        </is>
      </c>
      <c r="E153" t="inlineStr">
        <is>
          <t>NORRTÄLJE</t>
        </is>
      </c>
      <c r="G153" t="n">
        <v>4.8</v>
      </c>
      <c r="H153" t="n">
        <v>0</v>
      </c>
      <c r="I153" t="n">
        <v>1</v>
      </c>
      <c r="J153" t="n">
        <v>0</v>
      </c>
      <c r="K153" t="n">
        <v>0</v>
      </c>
      <c r="L153" t="n">
        <v>0</v>
      </c>
      <c r="M153" t="n">
        <v>0</v>
      </c>
      <c r="N153" t="n">
        <v>0</v>
      </c>
      <c r="O153" t="n">
        <v>0</v>
      </c>
      <c r="P153" t="n">
        <v>0</v>
      </c>
      <c r="Q153" t="n">
        <v>1</v>
      </c>
      <c r="R153" s="2" t="inlineStr">
        <is>
          <t>Trådticka</t>
        </is>
      </c>
      <c r="S153">
        <f>HYPERLINK("https://klasma.github.io/Logging_0188/artfynd/A 7172-2022 artfynd.xlsx", "A 7172-2022")</f>
        <v/>
      </c>
      <c r="T153">
        <f>HYPERLINK("https://klasma.github.io/Logging_0188/kartor/A 7172-2022 karta.png", "A 7172-2022")</f>
        <v/>
      </c>
      <c r="U153">
        <f>HYPERLINK("https://klasma.github.io/Logging_0188/knärot/A 7172-2022 karta knärot.png", "A 7172-2022")</f>
        <v/>
      </c>
      <c r="V153">
        <f>HYPERLINK("https://klasma.github.io/Logging_0188/klagomål/A 7172-2022 FSC-klagomål.docx", "A 7172-2022")</f>
        <v/>
      </c>
      <c r="W153">
        <f>HYPERLINK("https://klasma.github.io/Logging_0188/klagomålsmail/A 7172-2022 FSC-klagomål mail.docx", "A 7172-2022")</f>
        <v/>
      </c>
      <c r="X153">
        <f>HYPERLINK("https://klasma.github.io/Logging_0188/tillsyn/A 7172-2022 tillsynsbegäran.docx", "A 7172-2022")</f>
        <v/>
      </c>
      <c r="Y153">
        <f>HYPERLINK("https://klasma.github.io/Logging_0188/tillsynsmail/A 7172-2022 tillsynsbegäran mail.docx", "A 7172-2022")</f>
        <v/>
      </c>
    </row>
    <row r="154" ht="15" customHeight="1">
      <c r="A154" t="inlineStr">
        <is>
          <t>A 9955-2022</t>
        </is>
      </c>
      <c r="B154" s="1" t="n">
        <v>44620</v>
      </c>
      <c r="C154" s="1" t="n">
        <v>45766</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10712-2022</t>
        </is>
      </c>
      <c r="B155" s="1" t="n">
        <v>44626</v>
      </c>
      <c r="C155" s="1" t="n">
        <v>45766</v>
      </c>
      <c r="D155" t="inlineStr">
        <is>
          <t>STOCKHOLMS LÄN</t>
        </is>
      </c>
      <c r="E155" t="inlineStr">
        <is>
          <t>NORRTÄLJE</t>
        </is>
      </c>
      <c r="G155" t="n">
        <v>4.5</v>
      </c>
      <c r="H155" t="n">
        <v>1</v>
      </c>
      <c r="I155" t="n">
        <v>0</v>
      </c>
      <c r="J155" t="n">
        <v>0</v>
      </c>
      <c r="K155" t="n">
        <v>0</v>
      </c>
      <c r="L155" t="n">
        <v>0</v>
      </c>
      <c r="M155" t="n">
        <v>0</v>
      </c>
      <c r="N155" t="n">
        <v>0</v>
      </c>
      <c r="O155" t="n">
        <v>0</v>
      </c>
      <c r="P155" t="n">
        <v>0</v>
      </c>
      <c r="Q155" t="n">
        <v>1</v>
      </c>
      <c r="R155" s="2" t="inlineStr">
        <is>
          <t>Åkergroda</t>
        </is>
      </c>
      <c r="S155">
        <f>HYPERLINK("https://klasma.github.io/Logging_0188/artfynd/A 10712-2022 artfynd.xlsx", "A 10712-2022")</f>
        <v/>
      </c>
      <c r="T155">
        <f>HYPERLINK("https://klasma.github.io/Logging_0188/kartor/A 10712-2022 karta.png", "A 10712-2022")</f>
        <v/>
      </c>
      <c r="V155">
        <f>HYPERLINK("https://klasma.github.io/Logging_0188/klagomål/A 10712-2022 FSC-klagomål.docx", "A 10712-2022")</f>
        <v/>
      </c>
      <c r="W155">
        <f>HYPERLINK("https://klasma.github.io/Logging_0188/klagomålsmail/A 10712-2022 FSC-klagomål mail.docx", "A 10712-2022")</f>
        <v/>
      </c>
      <c r="X155">
        <f>HYPERLINK("https://klasma.github.io/Logging_0188/tillsyn/A 10712-2022 tillsynsbegäran.docx", "A 10712-2022")</f>
        <v/>
      </c>
      <c r="Y155">
        <f>HYPERLINK("https://klasma.github.io/Logging_0188/tillsynsmail/A 10712-2022 tillsynsbegäran mail.docx", "A 10712-2022")</f>
        <v/>
      </c>
    </row>
    <row r="156" ht="15" customHeight="1">
      <c r="A156" t="inlineStr">
        <is>
          <t>A 14720-2022</t>
        </is>
      </c>
      <c r="B156" s="1" t="n">
        <v>44656</v>
      </c>
      <c r="C156" s="1" t="n">
        <v>45766</v>
      </c>
      <c r="D156" t="inlineStr">
        <is>
          <t>STOCKHOLMS LÄN</t>
        </is>
      </c>
      <c r="E156" t="inlineStr">
        <is>
          <t>NORRTÄLJE</t>
        </is>
      </c>
      <c r="F156" t="inlineStr">
        <is>
          <t>Sveaskog</t>
        </is>
      </c>
      <c r="G156" t="n">
        <v>5.1</v>
      </c>
      <c r="H156" t="n">
        <v>0</v>
      </c>
      <c r="I156" t="n">
        <v>0</v>
      </c>
      <c r="J156" t="n">
        <v>1</v>
      </c>
      <c r="K156" t="n">
        <v>0</v>
      </c>
      <c r="L156" t="n">
        <v>0</v>
      </c>
      <c r="M156" t="n">
        <v>0</v>
      </c>
      <c r="N156" t="n">
        <v>0</v>
      </c>
      <c r="O156" t="n">
        <v>1</v>
      </c>
      <c r="P156" t="n">
        <v>0</v>
      </c>
      <c r="Q156" t="n">
        <v>1</v>
      </c>
      <c r="R156" s="2" t="inlineStr">
        <is>
          <t>Loppstarr</t>
        </is>
      </c>
      <c r="S156">
        <f>HYPERLINK("https://klasma.github.io/Logging_0188/artfynd/A 14720-2022 artfynd.xlsx", "A 14720-2022")</f>
        <v/>
      </c>
      <c r="T156">
        <f>HYPERLINK("https://klasma.github.io/Logging_0188/kartor/A 14720-2022 karta.png", "A 14720-2022")</f>
        <v/>
      </c>
      <c r="V156">
        <f>HYPERLINK("https://klasma.github.io/Logging_0188/klagomål/A 14720-2022 FSC-klagomål.docx", "A 14720-2022")</f>
        <v/>
      </c>
      <c r="W156">
        <f>HYPERLINK("https://klasma.github.io/Logging_0188/klagomålsmail/A 14720-2022 FSC-klagomål mail.docx", "A 14720-2022")</f>
        <v/>
      </c>
      <c r="X156">
        <f>HYPERLINK("https://klasma.github.io/Logging_0188/tillsyn/A 14720-2022 tillsynsbegäran.docx", "A 14720-2022")</f>
        <v/>
      </c>
      <c r="Y156">
        <f>HYPERLINK("https://klasma.github.io/Logging_0188/tillsynsmail/A 14720-2022 tillsynsbegäran mail.docx", "A 14720-2022")</f>
        <v/>
      </c>
    </row>
    <row r="157" ht="15" customHeight="1">
      <c r="A157" t="inlineStr">
        <is>
          <t>A 16539-2022</t>
        </is>
      </c>
      <c r="B157" s="1" t="n">
        <v>44672</v>
      </c>
      <c r="C157" s="1" t="n">
        <v>45766</v>
      </c>
      <c r="D157" t="inlineStr">
        <is>
          <t>STOCKHOLMS LÄN</t>
        </is>
      </c>
      <c r="E157" t="inlineStr">
        <is>
          <t>NORRTÄLJE</t>
        </is>
      </c>
      <c r="G157" t="n">
        <v>8.6</v>
      </c>
      <c r="H157" t="n">
        <v>1</v>
      </c>
      <c r="I157" t="n">
        <v>1</v>
      </c>
      <c r="J157" t="n">
        <v>0</v>
      </c>
      <c r="K157" t="n">
        <v>0</v>
      </c>
      <c r="L157" t="n">
        <v>0</v>
      </c>
      <c r="M157" t="n">
        <v>0</v>
      </c>
      <c r="N157" t="n">
        <v>0</v>
      </c>
      <c r="O157" t="n">
        <v>0</v>
      </c>
      <c r="P157" t="n">
        <v>0</v>
      </c>
      <c r="Q157" t="n">
        <v>1</v>
      </c>
      <c r="R157" s="2" t="inlineStr">
        <is>
          <t>Nästrot</t>
        </is>
      </c>
      <c r="S157">
        <f>HYPERLINK("https://klasma.github.io/Logging_0188/artfynd/A 16539-2022 artfynd.xlsx", "A 16539-2022")</f>
        <v/>
      </c>
      <c r="T157">
        <f>HYPERLINK("https://klasma.github.io/Logging_0188/kartor/A 16539-2022 karta.png", "A 16539-2022")</f>
        <v/>
      </c>
      <c r="V157">
        <f>HYPERLINK("https://klasma.github.io/Logging_0188/klagomål/A 16539-2022 FSC-klagomål.docx", "A 16539-2022")</f>
        <v/>
      </c>
      <c r="W157">
        <f>HYPERLINK("https://klasma.github.io/Logging_0188/klagomålsmail/A 16539-2022 FSC-klagomål mail.docx", "A 16539-2022")</f>
        <v/>
      </c>
      <c r="X157">
        <f>HYPERLINK("https://klasma.github.io/Logging_0188/tillsyn/A 16539-2022 tillsynsbegäran.docx", "A 16539-2022")</f>
        <v/>
      </c>
      <c r="Y157">
        <f>HYPERLINK("https://klasma.github.io/Logging_0188/tillsynsmail/A 16539-2022 tillsynsbegäran mail.docx", "A 16539-2022")</f>
        <v/>
      </c>
    </row>
    <row r="158" ht="15" customHeight="1">
      <c r="A158" t="inlineStr">
        <is>
          <t>A 19829-2022</t>
        </is>
      </c>
      <c r="B158" s="1" t="n">
        <v>44695</v>
      </c>
      <c r="C158" s="1" t="n">
        <v>45766</v>
      </c>
      <c r="D158" t="inlineStr">
        <is>
          <t>STOCKHOLMS LÄN</t>
        </is>
      </c>
      <c r="E158" t="inlineStr">
        <is>
          <t>NORRTÄLJE</t>
        </is>
      </c>
      <c r="G158" t="n">
        <v>2</v>
      </c>
      <c r="H158" t="n">
        <v>1</v>
      </c>
      <c r="I158" t="n">
        <v>1</v>
      </c>
      <c r="J158" t="n">
        <v>0</v>
      </c>
      <c r="K158" t="n">
        <v>0</v>
      </c>
      <c r="L158" t="n">
        <v>0</v>
      </c>
      <c r="M158" t="n">
        <v>0</v>
      </c>
      <c r="N158" t="n">
        <v>0</v>
      </c>
      <c r="O158" t="n">
        <v>0</v>
      </c>
      <c r="P158" t="n">
        <v>0</v>
      </c>
      <c r="Q158" t="n">
        <v>1</v>
      </c>
      <c r="R158" s="2" t="inlineStr">
        <is>
          <t>Guckusko</t>
        </is>
      </c>
      <c r="S158">
        <f>HYPERLINK("https://klasma.github.io/Logging_0188/artfynd/A 19829-2022 artfynd.xlsx", "A 19829-2022")</f>
        <v/>
      </c>
      <c r="T158">
        <f>HYPERLINK("https://klasma.github.io/Logging_0188/kartor/A 19829-2022 karta.png", "A 19829-2022")</f>
        <v/>
      </c>
      <c r="V158">
        <f>HYPERLINK("https://klasma.github.io/Logging_0188/klagomål/A 19829-2022 FSC-klagomål.docx", "A 19829-2022")</f>
        <v/>
      </c>
      <c r="W158">
        <f>HYPERLINK("https://klasma.github.io/Logging_0188/klagomålsmail/A 19829-2022 FSC-klagomål mail.docx", "A 19829-2022")</f>
        <v/>
      </c>
      <c r="X158">
        <f>HYPERLINK("https://klasma.github.io/Logging_0188/tillsyn/A 19829-2022 tillsynsbegäran.docx", "A 19829-2022")</f>
        <v/>
      </c>
      <c r="Y158">
        <f>HYPERLINK("https://klasma.github.io/Logging_0188/tillsynsmail/A 19829-2022 tillsynsbegäran mail.docx", "A 19829-2022")</f>
        <v/>
      </c>
    </row>
    <row r="159" ht="15" customHeight="1">
      <c r="A159" t="inlineStr">
        <is>
          <t>A 21150-2022</t>
        </is>
      </c>
      <c r="B159" s="1" t="n">
        <v>44704</v>
      </c>
      <c r="C159" s="1" t="n">
        <v>45766</v>
      </c>
      <c r="D159" t="inlineStr">
        <is>
          <t>STOCKHOLMS LÄN</t>
        </is>
      </c>
      <c r="E159" t="inlineStr">
        <is>
          <t>NORRTÄLJE</t>
        </is>
      </c>
      <c r="G159" t="n">
        <v>12.5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21150-2022 artfynd.xlsx", "A 21150-2022")</f>
        <v/>
      </c>
      <c r="T159">
        <f>HYPERLINK("https://klasma.github.io/Logging_0188/kartor/A 21150-2022 karta.png", "A 21150-2022")</f>
        <v/>
      </c>
      <c r="V159">
        <f>HYPERLINK("https://klasma.github.io/Logging_0188/klagomål/A 21150-2022 FSC-klagomål.docx", "A 21150-2022")</f>
        <v/>
      </c>
      <c r="W159">
        <f>HYPERLINK("https://klasma.github.io/Logging_0188/klagomålsmail/A 21150-2022 FSC-klagomål mail.docx", "A 21150-2022")</f>
        <v/>
      </c>
      <c r="X159">
        <f>HYPERLINK("https://klasma.github.io/Logging_0188/tillsyn/A 21150-2022 tillsynsbegäran.docx", "A 21150-2022")</f>
        <v/>
      </c>
      <c r="Y159">
        <f>HYPERLINK("https://klasma.github.io/Logging_0188/tillsynsmail/A 21150-2022 tillsynsbegäran mail.docx", "A 21150-2022")</f>
        <v/>
      </c>
    </row>
    <row r="160" ht="15" customHeight="1">
      <c r="A160" t="inlineStr">
        <is>
          <t>A 31194-2022</t>
        </is>
      </c>
      <c r="B160" s="1" t="n">
        <v>44770</v>
      </c>
      <c r="C160" s="1" t="n">
        <v>45766</v>
      </c>
      <c r="D160" t="inlineStr">
        <is>
          <t>STOCKHOLMS LÄN</t>
        </is>
      </c>
      <c r="E160" t="inlineStr">
        <is>
          <t>NORRTÄLJE</t>
        </is>
      </c>
      <c r="G160" t="n">
        <v>2.7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31194-2022 artfynd.xlsx", "A 31194-2022")</f>
        <v/>
      </c>
      <c r="T160">
        <f>HYPERLINK("https://klasma.github.io/Logging_0188/kartor/A 31194-2022 karta.png", "A 31194-2022")</f>
        <v/>
      </c>
      <c r="V160">
        <f>HYPERLINK("https://klasma.github.io/Logging_0188/klagomål/A 31194-2022 FSC-klagomål.docx", "A 31194-2022")</f>
        <v/>
      </c>
      <c r="W160">
        <f>HYPERLINK("https://klasma.github.io/Logging_0188/klagomålsmail/A 31194-2022 FSC-klagomål mail.docx", "A 31194-2022")</f>
        <v/>
      </c>
      <c r="X160">
        <f>HYPERLINK("https://klasma.github.io/Logging_0188/tillsyn/A 31194-2022 tillsynsbegäran.docx", "A 31194-2022")</f>
        <v/>
      </c>
      <c r="Y160">
        <f>HYPERLINK("https://klasma.github.io/Logging_0188/tillsynsmail/A 31194-2022 tillsynsbegäran mail.docx", "A 31194-2022")</f>
        <v/>
      </c>
    </row>
    <row r="161" ht="15" customHeight="1">
      <c r="A161" t="inlineStr">
        <is>
          <t>A 33477-2022</t>
        </is>
      </c>
      <c r="B161" s="1" t="n">
        <v>44788</v>
      </c>
      <c r="C161" s="1" t="n">
        <v>45766</v>
      </c>
      <c r="D161" t="inlineStr">
        <is>
          <t>STOCKHOLMS LÄN</t>
        </is>
      </c>
      <c r="E161" t="inlineStr">
        <is>
          <t>NORRTÄLJE</t>
        </is>
      </c>
      <c r="G161" t="n">
        <v>5.7</v>
      </c>
      <c r="H161" t="n">
        <v>1</v>
      </c>
      <c r="I161" t="n">
        <v>1</v>
      </c>
      <c r="J161" t="n">
        <v>0</v>
      </c>
      <c r="K161" t="n">
        <v>0</v>
      </c>
      <c r="L161" t="n">
        <v>0</v>
      </c>
      <c r="M161" t="n">
        <v>0</v>
      </c>
      <c r="N161" t="n">
        <v>0</v>
      </c>
      <c r="O161" t="n">
        <v>0</v>
      </c>
      <c r="P161" t="n">
        <v>0</v>
      </c>
      <c r="Q161" t="n">
        <v>1</v>
      </c>
      <c r="R161" s="2" t="inlineStr">
        <is>
          <t>Nästrot</t>
        </is>
      </c>
      <c r="S161">
        <f>HYPERLINK("https://klasma.github.io/Logging_0188/artfynd/A 33477-2022 artfynd.xlsx", "A 33477-2022")</f>
        <v/>
      </c>
      <c r="T161">
        <f>HYPERLINK("https://klasma.github.io/Logging_0188/kartor/A 33477-2022 karta.png", "A 33477-2022")</f>
        <v/>
      </c>
      <c r="V161">
        <f>HYPERLINK("https://klasma.github.io/Logging_0188/klagomål/A 33477-2022 FSC-klagomål.docx", "A 33477-2022")</f>
        <v/>
      </c>
      <c r="W161">
        <f>HYPERLINK("https://klasma.github.io/Logging_0188/klagomålsmail/A 33477-2022 FSC-klagomål mail.docx", "A 33477-2022")</f>
        <v/>
      </c>
      <c r="X161">
        <f>HYPERLINK("https://klasma.github.io/Logging_0188/tillsyn/A 33477-2022 tillsynsbegäran.docx", "A 33477-2022")</f>
        <v/>
      </c>
      <c r="Y161">
        <f>HYPERLINK("https://klasma.github.io/Logging_0188/tillsynsmail/A 33477-2022 tillsynsbegäran mail.docx", "A 33477-2022")</f>
        <v/>
      </c>
    </row>
    <row r="162" ht="15" customHeight="1">
      <c r="A162" t="inlineStr">
        <is>
          <t>A 37522-2022</t>
        </is>
      </c>
      <c r="B162" s="1" t="n">
        <v>44809</v>
      </c>
      <c r="C162" s="1" t="n">
        <v>45766</v>
      </c>
      <c r="D162" t="inlineStr">
        <is>
          <t>STOCKHOLMS LÄN</t>
        </is>
      </c>
      <c r="E162" t="inlineStr">
        <is>
          <t>NORRTÄLJE</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HYPERLINK("https://klasma.github.io/Logging_0188/artfynd/A 37522-2022 artfynd.xlsx", "A 37522-2022")</f>
        <v/>
      </c>
      <c r="T162">
        <f>HYPERLINK("https://klasma.github.io/Logging_0188/kartor/A 37522-2022 karta.png", "A 37522-2022")</f>
        <v/>
      </c>
      <c r="V162">
        <f>HYPERLINK("https://klasma.github.io/Logging_0188/klagomål/A 37522-2022 FSC-klagomål.docx", "A 37522-2022")</f>
        <v/>
      </c>
      <c r="W162">
        <f>HYPERLINK("https://klasma.github.io/Logging_0188/klagomålsmail/A 37522-2022 FSC-klagomål mail.docx", "A 37522-2022")</f>
        <v/>
      </c>
      <c r="X162">
        <f>HYPERLINK("https://klasma.github.io/Logging_0188/tillsyn/A 37522-2022 tillsynsbegäran.docx", "A 37522-2022")</f>
        <v/>
      </c>
      <c r="Y162">
        <f>HYPERLINK("https://klasma.github.io/Logging_0188/tillsynsmail/A 37522-2022 tillsynsbegäran mail.docx", "A 37522-2022")</f>
        <v/>
      </c>
    </row>
    <row r="163" ht="15" customHeight="1">
      <c r="A163" t="inlineStr">
        <is>
          <t>A 39318-2022</t>
        </is>
      </c>
      <c r="B163" s="1" t="n">
        <v>44817</v>
      </c>
      <c r="C163" s="1" t="n">
        <v>45766</v>
      </c>
      <c r="D163" t="inlineStr">
        <is>
          <t>STOCKHOLMS LÄN</t>
        </is>
      </c>
      <c r="E163" t="inlineStr">
        <is>
          <t>NORRTÄLJE</t>
        </is>
      </c>
      <c r="G163" t="n">
        <v>2.4</v>
      </c>
      <c r="H163" t="n">
        <v>1</v>
      </c>
      <c r="I163" t="n">
        <v>0</v>
      </c>
      <c r="J163" t="n">
        <v>0</v>
      </c>
      <c r="K163" t="n">
        <v>1</v>
      </c>
      <c r="L163" t="n">
        <v>0</v>
      </c>
      <c r="M163" t="n">
        <v>0</v>
      </c>
      <c r="N163" t="n">
        <v>0</v>
      </c>
      <c r="O163" t="n">
        <v>1</v>
      </c>
      <c r="P163" t="n">
        <v>1</v>
      </c>
      <c r="Q163" t="n">
        <v>1</v>
      </c>
      <c r="R163" s="2" t="inlineStr">
        <is>
          <t>Stare</t>
        </is>
      </c>
      <c r="S163">
        <f>HYPERLINK("https://klasma.github.io/Logging_0188/artfynd/A 39318-2022 artfynd.xlsx", "A 39318-2022")</f>
        <v/>
      </c>
      <c r="T163">
        <f>HYPERLINK("https://klasma.github.io/Logging_0188/kartor/A 39318-2022 karta.png", "A 39318-2022")</f>
        <v/>
      </c>
      <c r="V163">
        <f>HYPERLINK("https://klasma.github.io/Logging_0188/klagomål/A 39318-2022 FSC-klagomål.docx", "A 39318-2022")</f>
        <v/>
      </c>
      <c r="W163">
        <f>HYPERLINK("https://klasma.github.io/Logging_0188/klagomålsmail/A 39318-2022 FSC-klagomål mail.docx", "A 39318-2022")</f>
        <v/>
      </c>
      <c r="X163">
        <f>HYPERLINK("https://klasma.github.io/Logging_0188/tillsyn/A 39318-2022 tillsynsbegäran.docx", "A 39318-2022")</f>
        <v/>
      </c>
      <c r="Y163">
        <f>HYPERLINK("https://klasma.github.io/Logging_0188/tillsynsmail/A 39318-2022 tillsynsbegäran mail.docx", "A 39318-2022")</f>
        <v/>
      </c>
    </row>
    <row r="164" ht="15" customHeight="1">
      <c r="A164" t="inlineStr">
        <is>
          <t>A 40672-2022</t>
        </is>
      </c>
      <c r="B164" s="1" t="n">
        <v>44824</v>
      </c>
      <c r="C164" s="1" t="n">
        <v>45766</v>
      </c>
      <c r="D164" t="inlineStr">
        <is>
          <t>STOCKHOLMS LÄN</t>
        </is>
      </c>
      <c r="E164" t="inlineStr">
        <is>
          <t>NORRTÄLJE</t>
        </is>
      </c>
      <c r="F164" t="inlineStr">
        <is>
          <t>Övriga Aktiebolag</t>
        </is>
      </c>
      <c r="G164" t="n">
        <v>1.3</v>
      </c>
      <c r="H164" t="n">
        <v>0</v>
      </c>
      <c r="I164" t="n">
        <v>0</v>
      </c>
      <c r="J164" t="n">
        <v>1</v>
      </c>
      <c r="K164" t="n">
        <v>0</v>
      </c>
      <c r="L164" t="n">
        <v>0</v>
      </c>
      <c r="M164" t="n">
        <v>0</v>
      </c>
      <c r="N164" t="n">
        <v>0</v>
      </c>
      <c r="O164" t="n">
        <v>1</v>
      </c>
      <c r="P164" t="n">
        <v>0</v>
      </c>
      <c r="Q164" t="n">
        <v>1</v>
      </c>
      <c r="R164" s="2" t="inlineStr">
        <is>
          <t>Månlåsbräken</t>
        </is>
      </c>
      <c r="S164">
        <f>HYPERLINK("https://klasma.github.io/Logging_0188/artfynd/A 40672-2022 artfynd.xlsx", "A 40672-2022")</f>
        <v/>
      </c>
      <c r="T164">
        <f>HYPERLINK("https://klasma.github.io/Logging_0188/kartor/A 40672-2022 karta.png", "A 40672-2022")</f>
        <v/>
      </c>
      <c r="V164">
        <f>HYPERLINK("https://klasma.github.io/Logging_0188/klagomål/A 40672-2022 FSC-klagomål.docx", "A 40672-2022")</f>
        <v/>
      </c>
      <c r="W164">
        <f>HYPERLINK("https://klasma.github.io/Logging_0188/klagomålsmail/A 40672-2022 FSC-klagomål mail.docx", "A 40672-2022")</f>
        <v/>
      </c>
      <c r="X164">
        <f>HYPERLINK("https://klasma.github.io/Logging_0188/tillsyn/A 40672-2022 tillsynsbegäran.docx", "A 40672-2022")</f>
        <v/>
      </c>
      <c r="Y164">
        <f>HYPERLINK("https://klasma.github.io/Logging_0188/tillsynsmail/A 40672-2022 tillsynsbegäran mail.docx", "A 40672-2022")</f>
        <v/>
      </c>
    </row>
    <row r="165" ht="15" customHeight="1">
      <c r="A165" t="inlineStr">
        <is>
          <t>A 47898-2022</t>
        </is>
      </c>
      <c r="B165" s="1" t="n">
        <v>44855</v>
      </c>
      <c r="C165" s="1" t="n">
        <v>45766</v>
      </c>
      <c r="D165" t="inlineStr">
        <is>
          <t>STOCKHOLMS LÄN</t>
        </is>
      </c>
      <c r="E165" t="inlineStr">
        <is>
          <t>NORRTÄLJE</t>
        </is>
      </c>
      <c r="G165" t="n">
        <v>6.7</v>
      </c>
      <c r="H165" t="n">
        <v>1</v>
      </c>
      <c r="I165" t="n">
        <v>1</v>
      </c>
      <c r="J165" t="n">
        <v>0</v>
      </c>
      <c r="K165" t="n">
        <v>0</v>
      </c>
      <c r="L165" t="n">
        <v>0</v>
      </c>
      <c r="M165" t="n">
        <v>0</v>
      </c>
      <c r="N165" t="n">
        <v>0</v>
      </c>
      <c r="O165" t="n">
        <v>0</v>
      </c>
      <c r="P165" t="n">
        <v>0</v>
      </c>
      <c r="Q165" t="n">
        <v>1</v>
      </c>
      <c r="R165" s="2" t="inlineStr">
        <is>
          <t>Guckusko</t>
        </is>
      </c>
      <c r="S165">
        <f>HYPERLINK("https://klasma.github.io/Logging_0188/artfynd/A 47898-2022 artfynd.xlsx", "A 47898-2022")</f>
        <v/>
      </c>
      <c r="T165">
        <f>HYPERLINK("https://klasma.github.io/Logging_0188/kartor/A 47898-2022 karta.png", "A 47898-2022")</f>
        <v/>
      </c>
      <c r="V165">
        <f>HYPERLINK("https://klasma.github.io/Logging_0188/klagomål/A 47898-2022 FSC-klagomål.docx", "A 47898-2022")</f>
        <v/>
      </c>
      <c r="W165">
        <f>HYPERLINK("https://klasma.github.io/Logging_0188/klagomålsmail/A 47898-2022 FSC-klagomål mail.docx", "A 47898-2022")</f>
        <v/>
      </c>
      <c r="X165">
        <f>HYPERLINK("https://klasma.github.io/Logging_0188/tillsyn/A 47898-2022 tillsynsbegäran.docx", "A 47898-2022")</f>
        <v/>
      </c>
      <c r="Y165">
        <f>HYPERLINK("https://klasma.github.io/Logging_0188/tillsynsmail/A 47898-2022 tillsynsbegäran mail.docx", "A 47898-2022")</f>
        <v/>
      </c>
    </row>
    <row r="166" ht="15" customHeight="1">
      <c r="A166" t="inlineStr">
        <is>
          <t>A 50854-2022</t>
        </is>
      </c>
      <c r="B166" s="1" t="n">
        <v>44863</v>
      </c>
      <c r="C166" s="1" t="n">
        <v>45766</v>
      </c>
      <c r="D166" t="inlineStr">
        <is>
          <t>STOCKHOLMS LÄN</t>
        </is>
      </c>
      <c r="E166" t="inlineStr">
        <is>
          <t>NORRTÄLJE</t>
        </is>
      </c>
      <c r="G166" t="n">
        <v>2.9</v>
      </c>
      <c r="H166" t="n">
        <v>0</v>
      </c>
      <c r="I166" t="n">
        <v>1</v>
      </c>
      <c r="J166" t="n">
        <v>0</v>
      </c>
      <c r="K166" t="n">
        <v>0</v>
      </c>
      <c r="L166" t="n">
        <v>0</v>
      </c>
      <c r="M166" t="n">
        <v>0</v>
      </c>
      <c r="N166" t="n">
        <v>0</v>
      </c>
      <c r="O166" t="n">
        <v>0</v>
      </c>
      <c r="P166" t="n">
        <v>0</v>
      </c>
      <c r="Q166" t="n">
        <v>1</v>
      </c>
      <c r="R166" s="2" t="inlineStr">
        <is>
          <t>Tibast</t>
        </is>
      </c>
      <c r="S166">
        <f>HYPERLINK("https://klasma.github.io/Logging_0188/artfynd/A 50854-2022 artfynd.xlsx", "A 50854-2022")</f>
        <v/>
      </c>
      <c r="T166">
        <f>HYPERLINK("https://klasma.github.io/Logging_0188/kartor/A 50854-2022 karta.png", "A 50854-2022")</f>
        <v/>
      </c>
      <c r="V166">
        <f>HYPERLINK("https://klasma.github.io/Logging_0188/klagomål/A 50854-2022 FSC-klagomål.docx", "A 50854-2022")</f>
        <v/>
      </c>
      <c r="W166">
        <f>HYPERLINK("https://klasma.github.io/Logging_0188/klagomålsmail/A 50854-2022 FSC-klagomål mail.docx", "A 50854-2022")</f>
        <v/>
      </c>
      <c r="X166">
        <f>HYPERLINK("https://klasma.github.io/Logging_0188/tillsyn/A 50854-2022 tillsynsbegäran.docx", "A 50854-2022")</f>
        <v/>
      </c>
      <c r="Y166">
        <f>HYPERLINK("https://klasma.github.io/Logging_0188/tillsynsmail/A 50854-2022 tillsynsbegäran mail.docx", "A 50854-2022")</f>
        <v/>
      </c>
    </row>
    <row r="167" ht="15" customHeight="1">
      <c r="A167" t="inlineStr">
        <is>
          <t>A 52130-2022</t>
        </is>
      </c>
      <c r="B167" s="1" t="n">
        <v>44868</v>
      </c>
      <c r="C167" s="1" t="n">
        <v>45766</v>
      </c>
      <c r="D167" t="inlineStr">
        <is>
          <t>STOCKHOLMS LÄN</t>
        </is>
      </c>
      <c r="E167" t="inlineStr">
        <is>
          <t>NORRTÄLJE</t>
        </is>
      </c>
      <c r="G167" t="n">
        <v>3.7</v>
      </c>
      <c r="H167" t="n">
        <v>0</v>
      </c>
      <c r="I167" t="n">
        <v>0</v>
      </c>
      <c r="J167" t="n">
        <v>1</v>
      </c>
      <c r="K167" t="n">
        <v>0</v>
      </c>
      <c r="L167" t="n">
        <v>0</v>
      </c>
      <c r="M167" t="n">
        <v>0</v>
      </c>
      <c r="N167" t="n">
        <v>0</v>
      </c>
      <c r="O167" t="n">
        <v>1</v>
      </c>
      <c r="P167" t="n">
        <v>0</v>
      </c>
      <c r="Q167" t="n">
        <v>1</v>
      </c>
      <c r="R167" s="2" t="inlineStr">
        <is>
          <t>Flattoppad klubbsvamp</t>
        </is>
      </c>
      <c r="S167">
        <f>HYPERLINK("https://klasma.github.io/Logging_0188/artfynd/A 52130-2022 artfynd.xlsx", "A 52130-2022")</f>
        <v/>
      </c>
      <c r="T167">
        <f>HYPERLINK("https://klasma.github.io/Logging_0188/kartor/A 52130-2022 karta.png", "A 52130-2022")</f>
        <v/>
      </c>
      <c r="V167">
        <f>HYPERLINK("https://klasma.github.io/Logging_0188/klagomål/A 52130-2022 FSC-klagomål.docx", "A 52130-2022")</f>
        <v/>
      </c>
      <c r="W167">
        <f>HYPERLINK("https://klasma.github.io/Logging_0188/klagomålsmail/A 52130-2022 FSC-klagomål mail.docx", "A 52130-2022")</f>
        <v/>
      </c>
      <c r="X167">
        <f>HYPERLINK("https://klasma.github.io/Logging_0188/tillsyn/A 52130-2022 tillsynsbegäran.docx", "A 52130-2022")</f>
        <v/>
      </c>
      <c r="Y167">
        <f>HYPERLINK("https://klasma.github.io/Logging_0188/tillsynsmail/A 52130-2022 tillsynsbegäran mail.docx", "A 52130-2022")</f>
        <v/>
      </c>
    </row>
    <row r="168" ht="15" customHeight="1">
      <c r="A168" t="inlineStr">
        <is>
          <t>A 61011-2022</t>
        </is>
      </c>
      <c r="B168" s="1" t="n">
        <v>44914</v>
      </c>
      <c r="C168" s="1" t="n">
        <v>45766</v>
      </c>
      <c r="D168" t="inlineStr">
        <is>
          <t>STOCKHOLMS LÄN</t>
        </is>
      </c>
      <c r="E168" t="inlineStr">
        <is>
          <t>NORRTÄLJE</t>
        </is>
      </c>
      <c r="G168" t="n">
        <v>2.2</v>
      </c>
      <c r="H168" t="n">
        <v>0</v>
      </c>
      <c r="I168" t="n">
        <v>0</v>
      </c>
      <c r="J168" t="n">
        <v>1</v>
      </c>
      <c r="K168" t="n">
        <v>0</v>
      </c>
      <c r="L168" t="n">
        <v>0</v>
      </c>
      <c r="M168" t="n">
        <v>0</v>
      </c>
      <c r="N168" t="n">
        <v>0</v>
      </c>
      <c r="O168" t="n">
        <v>1</v>
      </c>
      <c r="P168" t="n">
        <v>0</v>
      </c>
      <c r="Q168" t="n">
        <v>1</v>
      </c>
      <c r="R168" s="2" t="inlineStr">
        <is>
          <t>Orange taggsvamp</t>
        </is>
      </c>
      <c r="S168">
        <f>HYPERLINK("https://klasma.github.io/Logging_0188/artfynd/A 61011-2022 artfynd.xlsx", "A 61011-2022")</f>
        <v/>
      </c>
      <c r="T168">
        <f>HYPERLINK("https://klasma.github.io/Logging_0188/kartor/A 61011-2022 karta.png", "A 61011-2022")</f>
        <v/>
      </c>
      <c r="V168">
        <f>HYPERLINK("https://klasma.github.io/Logging_0188/klagomål/A 61011-2022 FSC-klagomål.docx", "A 61011-2022")</f>
        <v/>
      </c>
      <c r="W168">
        <f>HYPERLINK("https://klasma.github.io/Logging_0188/klagomålsmail/A 61011-2022 FSC-klagomål mail.docx", "A 61011-2022")</f>
        <v/>
      </c>
      <c r="X168">
        <f>HYPERLINK("https://klasma.github.io/Logging_0188/tillsyn/A 61011-2022 tillsynsbegäran.docx", "A 61011-2022")</f>
        <v/>
      </c>
      <c r="Y168">
        <f>HYPERLINK("https://klasma.github.io/Logging_0188/tillsynsmail/A 61011-2022 tillsynsbegäran mail.docx", "A 61011-2022")</f>
        <v/>
      </c>
    </row>
    <row r="169" ht="15" customHeight="1">
      <c r="A169" t="inlineStr">
        <is>
          <t>A 4385-2023</t>
        </is>
      </c>
      <c r="B169" s="1" t="n">
        <v>44955</v>
      </c>
      <c r="C169" s="1" t="n">
        <v>45766</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4595-2023</t>
        </is>
      </c>
      <c r="B170" s="1" t="n">
        <v>44956</v>
      </c>
      <c r="C170" s="1" t="n">
        <v>45766</v>
      </c>
      <c r="D170" t="inlineStr">
        <is>
          <t>STOCKHOLMS LÄN</t>
        </is>
      </c>
      <c r="E170" t="inlineStr">
        <is>
          <t>NORRTÄLJE</t>
        </is>
      </c>
      <c r="G170" t="n">
        <v>0.6</v>
      </c>
      <c r="H170" t="n">
        <v>1</v>
      </c>
      <c r="I170" t="n">
        <v>0</v>
      </c>
      <c r="J170" t="n">
        <v>0</v>
      </c>
      <c r="K170" t="n">
        <v>0</v>
      </c>
      <c r="L170" t="n">
        <v>0</v>
      </c>
      <c r="M170" t="n">
        <v>0</v>
      </c>
      <c r="N170" t="n">
        <v>0</v>
      </c>
      <c r="O170" t="n">
        <v>0</v>
      </c>
      <c r="P170" t="n">
        <v>0</v>
      </c>
      <c r="Q170" t="n">
        <v>1</v>
      </c>
      <c r="R170" s="2" t="inlineStr">
        <is>
          <t>Blåsippa</t>
        </is>
      </c>
      <c r="S170">
        <f>HYPERLINK("https://klasma.github.io/Logging_0188/artfynd/A 4595-2023 artfynd.xlsx", "A 4595-2023")</f>
        <v/>
      </c>
      <c r="T170">
        <f>HYPERLINK("https://klasma.github.io/Logging_0188/kartor/A 4595-2023 karta.png", "A 4595-2023")</f>
        <v/>
      </c>
      <c r="V170">
        <f>HYPERLINK("https://klasma.github.io/Logging_0188/klagomål/A 4595-2023 FSC-klagomål.docx", "A 4595-2023")</f>
        <v/>
      </c>
      <c r="W170">
        <f>HYPERLINK("https://klasma.github.io/Logging_0188/klagomålsmail/A 4595-2023 FSC-klagomål mail.docx", "A 4595-2023")</f>
        <v/>
      </c>
      <c r="X170">
        <f>HYPERLINK("https://klasma.github.io/Logging_0188/tillsyn/A 4595-2023 tillsynsbegäran.docx", "A 4595-2023")</f>
        <v/>
      </c>
      <c r="Y170">
        <f>HYPERLINK("https://klasma.github.io/Logging_0188/tillsynsmail/A 4595-2023 tillsynsbegäran mail.docx", "A 4595-2023")</f>
        <v/>
      </c>
    </row>
    <row r="171" ht="15" customHeight="1">
      <c r="A171" t="inlineStr">
        <is>
          <t>A 6381-2023</t>
        </is>
      </c>
      <c r="B171" s="1" t="n">
        <v>44965</v>
      </c>
      <c r="C171" s="1" t="n">
        <v>45766</v>
      </c>
      <c r="D171" t="inlineStr">
        <is>
          <t>STOCKHOLMS LÄN</t>
        </is>
      </c>
      <c r="E171" t="inlineStr">
        <is>
          <t>NORRTÄLJE</t>
        </is>
      </c>
      <c r="G171" t="n">
        <v>3.5</v>
      </c>
      <c r="H171" t="n">
        <v>1</v>
      </c>
      <c r="I171" t="n">
        <v>1</v>
      </c>
      <c r="J171" t="n">
        <v>0</v>
      </c>
      <c r="K171" t="n">
        <v>0</v>
      </c>
      <c r="L171" t="n">
        <v>0</v>
      </c>
      <c r="M171" t="n">
        <v>0</v>
      </c>
      <c r="N171" t="n">
        <v>0</v>
      </c>
      <c r="O171" t="n">
        <v>0</v>
      </c>
      <c r="P171" t="n">
        <v>0</v>
      </c>
      <c r="Q171" t="n">
        <v>1</v>
      </c>
      <c r="R171" s="2" t="inlineStr">
        <is>
          <t>Guckusko</t>
        </is>
      </c>
      <c r="S171">
        <f>HYPERLINK("https://klasma.github.io/Logging_0188/artfynd/A 6381-2023 artfynd.xlsx", "A 6381-2023")</f>
        <v/>
      </c>
      <c r="T171">
        <f>HYPERLINK("https://klasma.github.io/Logging_0188/kartor/A 6381-2023 karta.png", "A 6381-2023")</f>
        <v/>
      </c>
      <c r="V171">
        <f>HYPERLINK("https://klasma.github.io/Logging_0188/klagomål/A 6381-2023 FSC-klagomål.docx", "A 6381-2023")</f>
        <v/>
      </c>
      <c r="W171">
        <f>HYPERLINK("https://klasma.github.io/Logging_0188/klagomålsmail/A 6381-2023 FSC-klagomål mail.docx", "A 6381-2023")</f>
        <v/>
      </c>
      <c r="X171">
        <f>HYPERLINK("https://klasma.github.io/Logging_0188/tillsyn/A 6381-2023 tillsynsbegäran.docx", "A 6381-2023")</f>
        <v/>
      </c>
      <c r="Y171">
        <f>HYPERLINK("https://klasma.github.io/Logging_0188/tillsynsmail/A 6381-2023 tillsynsbegäran mail.docx", "A 6381-2023")</f>
        <v/>
      </c>
    </row>
    <row r="172" ht="15" customHeight="1">
      <c r="A172" t="inlineStr">
        <is>
          <t>A 9214-2023</t>
        </is>
      </c>
      <c r="B172" s="1" t="n">
        <v>44980</v>
      </c>
      <c r="C172" s="1" t="n">
        <v>45766</v>
      </c>
      <c r="D172" t="inlineStr">
        <is>
          <t>STOCKHOLMS LÄN</t>
        </is>
      </c>
      <c r="E172" t="inlineStr">
        <is>
          <t>NORRTÄLJE</t>
        </is>
      </c>
      <c r="G172" t="n">
        <v>10.6</v>
      </c>
      <c r="H172" t="n">
        <v>1</v>
      </c>
      <c r="I172" t="n">
        <v>1</v>
      </c>
      <c r="J172" t="n">
        <v>0</v>
      </c>
      <c r="K172" t="n">
        <v>0</v>
      </c>
      <c r="L172" t="n">
        <v>0</v>
      </c>
      <c r="M172" t="n">
        <v>0</v>
      </c>
      <c r="N172" t="n">
        <v>0</v>
      </c>
      <c r="O172" t="n">
        <v>0</v>
      </c>
      <c r="P172" t="n">
        <v>0</v>
      </c>
      <c r="Q172" t="n">
        <v>1</v>
      </c>
      <c r="R172" s="2" t="inlineStr">
        <is>
          <t>Guckusko</t>
        </is>
      </c>
      <c r="S172">
        <f>HYPERLINK("https://klasma.github.io/Logging_0188/artfynd/A 9214-2023 artfynd.xlsx", "A 9214-2023")</f>
        <v/>
      </c>
      <c r="T172">
        <f>HYPERLINK("https://klasma.github.io/Logging_0188/kartor/A 9214-2023 karta.png", "A 9214-2023")</f>
        <v/>
      </c>
      <c r="V172">
        <f>HYPERLINK("https://klasma.github.io/Logging_0188/klagomål/A 9214-2023 FSC-klagomål.docx", "A 9214-2023")</f>
        <v/>
      </c>
      <c r="W172">
        <f>HYPERLINK("https://klasma.github.io/Logging_0188/klagomålsmail/A 9214-2023 FSC-klagomål mail.docx", "A 9214-2023")</f>
        <v/>
      </c>
      <c r="X172">
        <f>HYPERLINK("https://klasma.github.io/Logging_0188/tillsyn/A 9214-2023 tillsynsbegäran.docx", "A 9214-2023")</f>
        <v/>
      </c>
      <c r="Y172">
        <f>HYPERLINK("https://klasma.github.io/Logging_0188/tillsynsmail/A 9214-2023 tillsynsbegäran mail.docx", "A 9214-2023")</f>
        <v/>
      </c>
    </row>
    <row r="173" ht="15" customHeight="1">
      <c r="A173" t="inlineStr">
        <is>
          <t>A 9271-2023</t>
        </is>
      </c>
      <c r="B173" s="1" t="n">
        <v>44980</v>
      </c>
      <c r="C173" s="1" t="n">
        <v>45766</v>
      </c>
      <c r="D173" t="inlineStr">
        <is>
          <t>STOCKHOLMS LÄN</t>
        </is>
      </c>
      <c r="E173" t="inlineStr">
        <is>
          <t>NORRTÄLJE</t>
        </is>
      </c>
      <c r="G173" t="n">
        <v>5.3</v>
      </c>
      <c r="H173" t="n">
        <v>1</v>
      </c>
      <c r="I173" t="n">
        <v>0</v>
      </c>
      <c r="J173" t="n">
        <v>0</v>
      </c>
      <c r="K173" t="n">
        <v>1</v>
      </c>
      <c r="L173" t="n">
        <v>0</v>
      </c>
      <c r="M173" t="n">
        <v>0</v>
      </c>
      <c r="N173" t="n">
        <v>0</v>
      </c>
      <c r="O173" t="n">
        <v>1</v>
      </c>
      <c r="P173" t="n">
        <v>1</v>
      </c>
      <c r="Q173" t="n">
        <v>1</v>
      </c>
      <c r="R173" s="2" t="inlineStr">
        <is>
          <t>Hällebräcka</t>
        </is>
      </c>
      <c r="S173">
        <f>HYPERLINK("https://klasma.github.io/Logging_0188/artfynd/A 9271-2023 artfynd.xlsx", "A 9271-2023")</f>
        <v/>
      </c>
      <c r="T173">
        <f>HYPERLINK("https://klasma.github.io/Logging_0188/kartor/A 9271-2023 karta.png", "A 9271-2023")</f>
        <v/>
      </c>
      <c r="V173">
        <f>HYPERLINK("https://klasma.github.io/Logging_0188/klagomål/A 9271-2023 FSC-klagomål.docx", "A 9271-2023")</f>
        <v/>
      </c>
      <c r="W173">
        <f>HYPERLINK("https://klasma.github.io/Logging_0188/klagomålsmail/A 9271-2023 FSC-klagomål mail.docx", "A 9271-2023")</f>
        <v/>
      </c>
      <c r="X173">
        <f>HYPERLINK("https://klasma.github.io/Logging_0188/tillsyn/A 9271-2023 tillsynsbegäran.docx", "A 9271-2023")</f>
        <v/>
      </c>
      <c r="Y173">
        <f>HYPERLINK("https://klasma.github.io/Logging_0188/tillsynsmail/A 9271-2023 tillsynsbegäran mail.docx", "A 9271-2023")</f>
        <v/>
      </c>
    </row>
    <row r="174" ht="15" customHeight="1">
      <c r="A174" t="inlineStr">
        <is>
          <t>A 9522-2023</t>
        </is>
      </c>
      <c r="B174" s="1" t="n">
        <v>44981</v>
      </c>
      <c r="C174" s="1" t="n">
        <v>45766</v>
      </c>
      <c r="D174" t="inlineStr">
        <is>
          <t>STOCKHOLMS LÄN</t>
        </is>
      </c>
      <c r="E174" t="inlineStr">
        <is>
          <t>NORRTÄLJE</t>
        </is>
      </c>
      <c r="F174" t="inlineStr">
        <is>
          <t>Holmen skog AB</t>
        </is>
      </c>
      <c r="G174" t="n">
        <v>7.5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9522-2023 artfynd.xlsx", "A 9522-2023")</f>
        <v/>
      </c>
      <c r="T174">
        <f>HYPERLINK("https://klasma.github.io/Logging_0188/kartor/A 9522-2023 karta.png", "A 9522-2023")</f>
        <v/>
      </c>
      <c r="V174">
        <f>HYPERLINK("https://klasma.github.io/Logging_0188/klagomål/A 9522-2023 FSC-klagomål.docx", "A 9522-2023")</f>
        <v/>
      </c>
      <c r="W174">
        <f>HYPERLINK("https://klasma.github.io/Logging_0188/klagomålsmail/A 9522-2023 FSC-klagomål mail.docx", "A 9522-2023")</f>
        <v/>
      </c>
      <c r="X174">
        <f>HYPERLINK("https://klasma.github.io/Logging_0188/tillsyn/A 9522-2023 tillsynsbegäran.docx", "A 9522-2023")</f>
        <v/>
      </c>
      <c r="Y174">
        <f>HYPERLINK("https://klasma.github.io/Logging_0188/tillsynsmail/A 9522-2023 tillsynsbegäran mail.docx", "A 9522-2023")</f>
        <v/>
      </c>
    </row>
    <row r="175" ht="15" customHeight="1">
      <c r="A175" t="inlineStr">
        <is>
          <t>A 10019-2023</t>
        </is>
      </c>
      <c r="B175" s="1" t="n">
        <v>44985</v>
      </c>
      <c r="C175" s="1" t="n">
        <v>45766</v>
      </c>
      <c r="D175" t="inlineStr">
        <is>
          <t>STOCKHOLMS LÄN</t>
        </is>
      </c>
      <c r="E175" t="inlineStr">
        <is>
          <t>NORRTÄLJE</t>
        </is>
      </c>
      <c r="G175" t="n">
        <v>8.4</v>
      </c>
      <c r="H175" t="n">
        <v>0</v>
      </c>
      <c r="I175" t="n">
        <v>1</v>
      </c>
      <c r="J175" t="n">
        <v>0</v>
      </c>
      <c r="K175" t="n">
        <v>0</v>
      </c>
      <c r="L175" t="n">
        <v>0</v>
      </c>
      <c r="M175" t="n">
        <v>0</v>
      </c>
      <c r="N175" t="n">
        <v>0</v>
      </c>
      <c r="O175" t="n">
        <v>0</v>
      </c>
      <c r="P175" t="n">
        <v>0</v>
      </c>
      <c r="Q175" t="n">
        <v>1</v>
      </c>
      <c r="R175" s="2" t="inlineStr">
        <is>
          <t>Underviol</t>
        </is>
      </c>
      <c r="S175">
        <f>HYPERLINK("https://klasma.github.io/Logging_0188/artfynd/A 10019-2023 artfynd.xlsx", "A 10019-2023")</f>
        <v/>
      </c>
      <c r="T175">
        <f>HYPERLINK("https://klasma.github.io/Logging_0188/kartor/A 10019-2023 karta.png", "A 10019-2023")</f>
        <v/>
      </c>
      <c r="V175">
        <f>HYPERLINK("https://klasma.github.io/Logging_0188/klagomål/A 10019-2023 FSC-klagomål.docx", "A 10019-2023")</f>
        <v/>
      </c>
      <c r="W175">
        <f>HYPERLINK("https://klasma.github.io/Logging_0188/klagomålsmail/A 10019-2023 FSC-klagomål mail.docx", "A 10019-2023")</f>
        <v/>
      </c>
      <c r="X175">
        <f>HYPERLINK("https://klasma.github.io/Logging_0188/tillsyn/A 10019-2023 tillsynsbegäran.docx", "A 10019-2023")</f>
        <v/>
      </c>
      <c r="Y175">
        <f>HYPERLINK("https://klasma.github.io/Logging_0188/tillsynsmail/A 10019-2023 tillsynsbegäran mail.docx", "A 10019-2023")</f>
        <v/>
      </c>
    </row>
    <row r="176" ht="15" customHeight="1">
      <c r="A176" t="inlineStr">
        <is>
          <t>A 11429-2023</t>
        </is>
      </c>
      <c r="B176" s="1" t="n">
        <v>44993</v>
      </c>
      <c r="C176" s="1" t="n">
        <v>45766</v>
      </c>
      <c r="D176" t="inlineStr">
        <is>
          <t>STOCKHOLMS LÄN</t>
        </is>
      </c>
      <c r="E176" t="inlineStr">
        <is>
          <t>NORRTÄLJE</t>
        </is>
      </c>
      <c r="G176" t="n">
        <v>2</v>
      </c>
      <c r="H176" t="n">
        <v>0</v>
      </c>
      <c r="I176" t="n">
        <v>0</v>
      </c>
      <c r="J176" t="n">
        <v>1</v>
      </c>
      <c r="K176" t="n">
        <v>0</v>
      </c>
      <c r="L176" t="n">
        <v>0</v>
      </c>
      <c r="M176" t="n">
        <v>0</v>
      </c>
      <c r="N176" t="n">
        <v>0</v>
      </c>
      <c r="O176" t="n">
        <v>1</v>
      </c>
      <c r="P176" t="n">
        <v>0</v>
      </c>
      <c r="Q176" t="n">
        <v>1</v>
      </c>
      <c r="R176" s="2" t="inlineStr">
        <is>
          <t>Skogsklocka</t>
        </is>
      </c>
      <c r="S176">
        <f>HYPERLINK("https://klasma.github.io/Logging_0188/artfynd/A 11429-2023 artfynd.xlsx", "A 11429-2023")</f>
        <v/>
      </c>
      <c r="T176">
        <f>HYPERLINK("https://klasma.github.io/Logging_0188/kartor/A 11429-2023 karta.png", "A 11429-2023")</f>
        <v/>
      </c>
      <c r="V176">
        <f>HYPERLINK("https://klasma.github.io/Logging_0188/klagomål/A 11429-2023 FSC-klagomål.docx", "A 11429-2023")</f>
        <v/>
      </c>
      <c r="W176">
        <f>HYPERLINK("https://klasma.github.io/Logging_0188/klagomålsmail/A 11429-2023 FSC-klagomål mail.docx", "A 11429-2023")</f>
        <v/>
      </c>
      <c r="X176">
        <f>HYPERLINK("https://klasma.github.io/Logging_0188/tillsyn/A 11429-2023 tillsynsbegäran.docx", "A 11429-2023")</f>
        <v/>
      </c>
      <c r="Y176">
        <f>HYPERLINK("https://klasma.github.io/Logging_0188/tillsynsmail/A 11429-2023 tillsynsbegäran mail.docx", "A 11429-2023")</f>
        <v/>
      </c>
    </row>
    <row r="177" ht="15" customHeight="1">
      <c r="A177" t="inlineStr">
        <is>
          <t>A 12442-2023</t>
        </is>
      </c>
      <c r="B177" s="1" t="n">
        <v>44999</v>
      </c>
      <c r="C177" s="1" t="n">
        <v>45766</v>
      </c>
      <c r="D177" t="inlineStr">
        <is>
          <t>STOCKHOLMS LÄN</t>
        </is>
      </c>
      <c r="E177" t="inlineStr">
        <is>
          <t>NORRTÄLJE</t>
        </is>
      </c>
      <c r="G177" t="n">
        <v>1.9</v>
      </c>
      <c r="H177" t="n">
        <v>1</v>
      </c>
      <c r="I177" t="n">
        <v>0</v>
      </c>
      <c r="J177" t="n">
        <v>0</v>
      </c>
      <c r="K177" t="n">
        <v>0</v>
      </c>
      <c r="L177" t="n">
        <v>0</v>
      </c>
      <c r="M177" t="n">
        <v>0</v>
      </c>
      <c r="N177" t="n">
        <v>0</v>
      </c>
      <c r="O177" t="n">
        <v>0</v>
      </c>
      <c r="P177" t="n">
        <v>0</v>
      </c>
      <c r="Q177" t="n">
        <v>1</v>
      </c>
      <c r="R177" s="2" t="inlineStr">
        <is>
          <t>Gullviva</t>
        </is>
      </c>
      <c r="S177">
        <f>HYPERLINK("https://klasma.github.io/Logging_0188/artfynd/A 12442-2023 artfynd.xlsx", "A 12442-2023")</f>
        <v/>
      </c>
      <c r="T177">
        <f>HYPERLINK("https://klasma.github.io/Logging_0188/kartor/A 12442-2023 karta.png", "A 12442-2023")</f>
        <v/>
      </c>
      <c r="V177">
        <f>HYPERLINK("https://klasma.github.io/Logging_0188/klagomål/A 12442-2023 FSC-klagomål.docx", "A 12442-2023")</f>
        <v/>
      </c>
      <c r="W177">
        <f>HYPERLINK("https://klasma.github.io/Logging_0188/klagomålsmail/A 12442-2023 FSC-klagomål mail.docx", "A 12442-2023")</f>
        <v/>
      </c>
      <c r="X177">
        <f>HYPERLINK("https://klasma.github.io/Logging_0188/tillsyn/A 12442-2023 tillsynsbegäran.docx", "A 12442-2023")</f>
        <v/>
      </c>
      <c r="Y177">
        <f>HYPERLINK("https://klasma.github.io/Logging_0188/tillsynsmail/A 12442-2023 tillsynsbegäran mail.docx", "A 12442-2023")</f>
        <v/>
      </c>
    </row>
    <row r="178" ht="15" customHeight="1">
      <c r="A178" t="inlineStr">
        <is>
          <t>A 15644-2023</t>
        </is>
      </c>
      <c r="B178" s="1" t="n">
        <v>45021</v>
      </c>
      <c r="C178" s="1" t="n">
        <v>45766</v>
      </c>
      <c r="D178" t="inlineStr">
        <is>
          <t>STOCKHOLMS LÄN</t>
        </is>
      </c>
      <c r="E178" t="inlineStr">
        <is>
          <t>NORRTÄLJE</t>
        </is>
      </c>
      <c r="F178" t="inlineStr">
        <is>
          <t>Holmen skog AB</t>
        </is>
      </c>
      <c r="G178" t="n">
        <v>13</v>
      </c>
      <c r="H178" t="n">
        <v>1</v>
      </c>
      <c r="I178" t="n">
        <v>0</v>
      </c>
      <c r="J178" t="n">
        <v>0</v>
      </c>
      <c r="K178" t="n">
        <v>0</v>
      </c>
      <c r="L178" t="n">
        <v>1</v>
      </c>
      <c r="M178" t="n">
        <v>0</v>
      </c>
      <c r="N178" t="n">
        <v>0</v>
      </c>
      <c r="O178" t="n">
        <v>1</v>
      </c>
      <c r="P178" t="n">
        <v>1</v>
      </c>
      <c r="Q178" t="n">
        <v>1</v>
      </c>
      <c r="R178" s="2" t="inlineStr">
        <is>
          <t>Asknätfjäril</t>
        </is>
      </c>
      <c r="S178">
        <f>HYPERLINK("https://klasma.github.io/Logging_0188/artfynd/A 15644-2023 artfynd.xlsx", "A 15644-2023")</f>
        <v/>
      </c>
      <c r="T178">
        <f>HYPERLINK("https://klasma.github.io/Logging_0188/kartor/A 15644-2023 karta.png", "A 15644-2023")</f>
        <v/>
      </c>
      <c r="V178">
        <f>HYPERLINK("https://klasma.github.io/Logging_0188/klagomål/A 15644-2023 FSC-klagomål.docx", "A 15644-2023")</f>
        <v/>
      </c>
      <c r="W178">
        <f>HYPERLINK("https://klasma.github.io/Logging_0188/klagomålsmail/A 15644-2023 FSC-klagomål mail.docx", "A 15644-2023")</f>
        <v/>
      </c>
      <c r="X178">
        <f>HYPERLINK("https://klasma.github.io/Logging_0188/tillsyn/A 15644-2023 tillsynsbegäran.docx", "A 15644-2023")</f>
        <v/>
      </c>
      <c r="Y178">
        <f>HYPERLINK("https://klasma.github.io/Logging_0188/tillsynsmail/A 15644-2023 tillsynsbegäran mail.docx", "A 15644-2023")</f>
        <v/>
      </c>
    </row>
    <row r="179" ht="15" customHeight="1">
      <c r="A179" t="inlineStr">
        <is>
          <t>A 18216-2023</t>
        </is>
      </c>
      <c r="B179" s="1" t="n">
        <v>45041</v>
      </c>
      <c r="C179" s="1" t="n">
        <v>45766</v>
      </c>
      <c r="D179" t="inlineStr">
        <is>
          <t>STOCKHOLMS LÄN</t>
        </is>
      </c>
      <c r="E179" t="inlineStr">
        <is>
          <t>NORRTÄLJE</t>
        </is>
      </c>
      <c r="F179" t="inlineStr">
        <is>
          <t>Holmen skog AB</t>
        </is>
      </c>
      <c r="G179" t="n">
        <v>1.9</v>
      </c>
      <c r="H179" t="n">
        <v>0</v>
      </c>
      <c r="I179" t="n">
        <v>1</v>
      </c>
      <c r="J179" t="n">
        <v>0</v>
      </c>
      <c r="K179" t="n">
        <v>0</v>
      </c>
      <c r="L179" t="n">
        <v>0</v>
      </c>
      <c r="M179" t="n">
        <v>0</v>
      </c>
      <c r="N179" t="n">
        <v>0</v>
      </c>
      <c r="O179" t="n">
        <v>0</v>
      </c>
      <c r="P179" t="n">
        <v>0</v>
      </c>
      <c r="Q179" t="n">
        <v>1</v>
      </c>
      <c r="R179" s="2" t="inlineStr">
        <is>
          <t>Vårärt</t>
        </is>
      </c>
      <c r="S179">
        <f>HYPERLINK("https://klasma.github.io/Logging_0188/artfynd/A 18216-2023 artfynd.xlsx", "A 18216-2023")</f>
        <v/>
      </c>
      <c r="T179">
        <f>HYPERLINK("https://klasma.github.io/Logging_0188/kartor/A 18216-2023 karta.png", "A 18216-2023")</f>
        <v/>
      </c>
      <c r="V179">
        <f>HYPERLINK("https://klasma.github.io/Logging_0188/klagomål/A 18216-2023 FSC-klagomål.docx", "A 18216-2023")</f>
        <v/>
      </c>
      <c r="W179">
        <f>HYPERLINK("https://klasma.github.io/Logging_0188/klagomålsmail/A 18216-2023 FSC-klagomål mail.docx", "A 18216-2023")</f>
        <v/>
      </c>
      <c r="X179">
        <f>HYPERLINK("https://klasma.github.io/Logging_0188/tillsyn/A 18216-2023 tillsynsbegäran.docx", "A 18216-2023")</f>
        <v/>
      </c>
      <c r="Y179">
        <f>HYPERLINK("https://klasma.github.io/Logging_0188/tillsynsmail/A 18216-2023 tillsynsbegäran mail.docx", "A 18216-2023")</f>
        <v/>
      </c>
    </row>
    <row r="180" ht="15" customHeight="1">
      <c r="A180" t="inlineStr">
        <is>
          <t>A 21431-2023</t>
        </is>
      </c>
      <c r="B180" s="1" t="n">
        <v>45063</v>
      </c>
      <c r="C180" s="1" t="n">
        <v>45766</v>
      </c>
      <c r="D180" t="inlineStr">
        <is>
          <t>STOCKHOLMS LÄN</t>
        </is>
      </c>
      <c r="E180" t="inlineStr">
        <is>
          <t>NORRTÄLJE</t>
        </is>
      </c>
      <c r="F180" t="inlineStr">
        <is>
          <t>Holmen skog AB</t>
        </is>
      </c>
      <c r="G180" t="n">
        <v>4</v>
      </c>
      <c r="H180" t="n">
        <v>1</v>
      </c>
      <c r="I180" t="n">
        <v>1</v>
      </c>
      <c r="J180" t="n">
        <v>0</v>
      </c>
      <c r="K180" t="n">
        <v>0</v>
      </c>
      <c r="L180" t="n">
        <v>0</v>
      </c>
      <c r="M180" t="n">
        <v>0</v>
      </c>
      <c r="N180" t="n">
        <v>0</v>
      </c>
      <c r="O180" t="n">
        <v>0</v>
      </c>
      <c r="P180" t="n">
        <v>0</v>
      </c>
      <c r="Q180" t="n">
        <v>1</v>
      </c>
      <c r="R180" s="2" t="inlineStr">
        <is>
          <t>Nästrot</t>
        </is>
      </c>
      <c r="S180">
        <f>HYPERLINK("https://klasma.github.io/Logging_0188/artfynd/A 21431-2023 artfynd.xlsx", "A 21431-2023")</f>
        <v/>
      </c>
      <c r="T180">
        <f>HYPERLINK("https://klasma.github.io/Logging_0188/kartor/A 21431-2023 karta.png", "A 21431-2023")</f>
        <v/>
      </c>
      <c r="V180">
        <f>HYPERLINK("https://klasma.github.io/Logging_0188/klagomål/A 21431-2023 FSC-klagomål.docx", "A 21431-2023")</f>
        <v/>
      </c>
      <c r="W180">
        <f>HYPERLINK("https://klasma.github.io/Logging_0188/klagomålsmail/A 21431-2023 FSC-klagomål mail.docx", "A 21431-2023")</f>
        <v/>
      </c>
      <c r="X180">
        <f>HYPERLINK("https://klasma.github.io/Logging_0188/tillsyn/A 21431-2023 tillsynsbegäran.docx", "A 21431-2023")</f>
        <v/>
      </c>
      <c r="Y180">
        <f>HYPERLINK("https://klasma.github.io/Logging_0188/tillsynsmail/A 21431-2023 tillsynsbegäran mail.docx", "A 21431-2023")</f>
        <v/>
      </c>
    </row>
    <row r="181" ht="15" customHeight="1">
      <c r="A181" t="inlineStr">
        <is>
          <t>A 21744-2023</t>
        </is>
      </c>
      <c r="B181" s="1" t="n">
        <v>45065</v>
      </c>
      <c r="C181" s="1" t="n">
        <v>45766</v>
      </c>
      <c r="D181" t="inlineStr">
        <is>
          <t>STOCKHOLMS LÄN</t>
        </is>
      </c>
      <c r="E181" t="inlineStr">
        <is>
          <t>NORRTÄLJE</t>
        </is>
      </c>
      <c r="F181" t="inlineStr">
        <is>
          <t>Holmen skog AB</t>
        </is>
      </c>
      <c r="G181" t="n">
        <v>4.2</v>
      </c>
      <c r="H181" t="n">
        <v>0</v>
      </c>
      <c r="I181" t="n">
        <v>1</v>
      </c>
      <c r="J181" t="n">
        <v>0</v>
      </c>
      <c r="K181" t="n">
        <v>0</v>
      </c>
      <c r="L181" t="n">
        <v>0</v>
      </c>
      <c r="M181" t="n">
        <v>0</v>
      </c>
      <c r="N181" t="n">
        <v>0</v>
      </c>
      <c r="O181" t="n">
        <v>0</v>
      </c>
      <c r="P181" t="n">
        <v>0</v>
      </c>
      <c r="Q181" t="n">
        <v>1</v>
      </c>
      <c r="R181" s="2" t="inlineStr">
        <is>
          <t>Korallblylav</t>
        </is>
      </c>
      <c r="S181">
        <f>HYPERLINK("https://klasma.github.io/Logging_0188/artfynd/A 21744-2023 artfynd.xlsx", "A 21744-2023")</f>
        <v/>
      </c>
      <c r="T181">
        <f>HYPERLINK("https://klasma.github.io/Logging_0188/kartor/A 21744-2023 karta.png", "A 21744-2023")</f>
        <v/>
      </c>
      <c r="V181">
        <f>HYPERLINK("https://klasma.github.io/Logging_0188/klagomål/A 21744-2023 FSC-klagomål.docx", "A 21744-2023")</f>
        <v/>
      </c>
      <c r="W181">
        <f>HYPERLINK("https://klasma.github.io/Logging_0188/klagomålsmail/A 21744-2023 FSC-klagomål mail.docx", "A 21744-2023")</f>
        <v/>
      </c>
      <c r="X181">
        <f>HYPERLINK("https://klasma.github.io/Logging_0188/tillsyn/A 21744-2023 tillsynsbegäran.docx", "A 21744-2023")</f>
        <v/>
      </c>
      <c r="Y181">
        <f>HYPERLINK("https://klasma.github.io/Logging_0188/tillsynsmail/A 21744-2023 tillsynsbegäran mail.docx", "A 21744-2023")</f>
        <v/>
      </c>
    </row>
    <row r="182" ht="15" customHeight="1">
      <c r="A182" t="inlineStr">
        <is>
          <t>A 24535-2023</t>
        </is>
      </c>
      <c r="B182" s="1" t="n">
        <v>45082</v>
      </c>
      <c r="C182" s="1" t="n">
        <v>45766</v>
      </c>
      <c r="D182" t="inlineStr">
        <is>
          <t>STOCKHOLMS LÄN</t>
        </is>
      </c>
      <c r="E182" t="inlineStr">
        <is>
          <t>NORRTÄLJE</t>
        </is>
      </c>
      <c r="F182" t="inlineStr">
        <is>
          <t>Kommuner</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HYPERLINK("https://klasma.github.io/Logging_0188/artfynd/A 24535-2023 artfynd.xlsx", "A 24535-2023")</f>
        <v/>
      </c>
      <c r="T182">
        <f>HYPERLINK("https://klasma.github.io/Logging_0188/kartor/A 24535-2023 karta.png", "A 24535-2023")</f>
        <v/>
      </c>
      <c r="V182">
        <f>HYPERLINK("https://klasma.github.io/Logging_0188/klagomål/A 24535-2023 FSC-klagomål.docx", "A 24535-2023")</f>
        <v/>
      </c>
      <c r="W182">
        <f>HYPERLINK("https://klasma.github.io/Logging_0188/klagomålsmail/A 24535-2023 FSC-klagomål mail.docx", "A 24535-2023")</f>
        <v/>
      </c>
      <c r="X182">
        <f>HYPERLINK("https://klasma.github.io/Logging_0188/tillsyn/A 24535-2023 tillsynsbegäran.docx", "A 24535-2023")</f>
        <v/>
      </c>
      <c r="Y182">
        <f>HYPERLINK("https://klasma.github.io/Logging_0188/tillsynsmail/A 24535-2023 tillsynsbegäran mail.docx", "A 24535-2023")</f>
        <v/>
      </c>
    </row>
    <row r="183" ht="15" customHeight="1">
      <c r="A183" t="inlineStr">
        <is>
          <t>A 26635-2023</t>
        </is>
      </c>
      <c r="B183" s="1" t="n">
        <v>45092</v>
      </c>
      <c r="C183" s="1" t="n">
        <v>45766</v>
      </c>
      <c r="D183" t="inlineStr">
        <is>
          <t>STOCKHOLMS LÄN</t>
        </is>
      </c>
      <c r="E183" t="inlineStr">
        <is>
          <t>NORRTÄLJE</t>
        </is>
      </c>
      <c r="G183" t="n">
        <v>3.1</v>
      </c>
      <c r="H183" t="n">
        <v>1</v>
      </c>
      <c r="I183" t="n">
        <v>0</v>
      </c>
      <c r="J183" t="n">
        <v>0</v>
      </c>
      <c r="K183" t="n">
        <v>0</v>
      </c>
      <c r="L183" t="n">
        <v>0</v>
      </c>
      <c r="M183" t="n">
        <v>0</v>
      </c>
      <c r="N183" t="n">
        <v>0</v>
      </c>
      <c r="O183" t="n">
        <v>0</v>
      </c>
      <c r="P183" t="n">
        <v>0</v>
      </c>
      <c r="Q183" t="n">
        <v>1</v>
      </c>
      <c r="R183" s="2" t="inlineStr">
        <is>
          <t>Fläcknycklar</t>
        </is>
      </c>
      <c r="S183">
        <f>HYPERLINK("https://klasma.github.io/Logging_0188/artfynd/A 26635-2023 artfynd.xlsx", "A 26635-2023")</f>
        <v/>
      </c>
      <c r="T183">
        <f>HYPERLINK("https://klasma.github.io/Logging_0188/kartor/A 26635-2023 karta.png", "A 26635-2023")</f>
        <v/>
      </c>
      <c r="V183">
        <f>HYPERLINK("https://klasma.github.io/Logging_0188/klagomål/A 26635-2023 FSC-klagomål.docx", "A 26635-2023")</f>
        <v/>
      </c>
      <c r="W183">
        <f>HYPERLINK("https://klasma.github.io/Logging_0188/klagomålsmail/A 26635-2023 FSC-klagomål mail.docx", "A 26635-2023")</f>
        <v/>
      </c>
      <c r="X183">
        <f>HYPERLINK("https://klasma.github.io/Logging_0188/tillsyn/A 26635-2023 tillsynsbegäran.docx", "A 26635-2023")</f>
        <v/>
      </c>
      <c r="Y183">
        <f>HYPERLINK("https://klasma.github.io/Logging_0188/tillsynsmail/A 26635-2023 tillsynsbegäran mail.docx", "A 26635-2023")</f>
        <v/>
      </c>
    </row>
    <row r="184" ht="15" customHeight="1">
      <c r="A184" t="inlineStr">
        <is>
          <t>A 35649-2023</t>
        </is>
      </c>
      <c r="B184" s="1" t="n">
        <v>45146</v>
      </c>
      <c r="C184" s="1" t="n">
        <v>45766</v>
      </c>
      <c r="D184" t="inlineStr">
        <is>
          <t>STOCKHOLMS LÄN</t>
        </is>
      </c>
      <c r="E184" t="inlineStr">
        <is>
          <t>NORRTÄLJE</t>
        </is>
      </c>
      <c r="G184" t="n">
        <v>25.1</v>
      </c>
      <c r="H184" t="n">
        <v>0</v>
      </c>
      <c r="I184" t="n">
        <v>0</v>
      </c>
      <c r="J184" t="n">
        <v>1</v>
      </c>
      <c r="K184" t="n">
        <v>0</v>
      </c>
      <c r="L184" t="n">
        <v>0</v>
      </c>
      <c r="M184" t="n">
        <v>0</v>
      </c>
      <c r="N184" t="n">
        <v>0</v>
      </c>
      <c r="O184" t="n">
        <v>1</v>
      </c>
      <c r="P184" t="n">
        <v>0</v>
      </c>
      <c r="Q184" t="n">
        <v>1</v>
      </c>
      <c r="R184" s="2" t="inlineStr">
        <is>
          <t>Månlåsbräken</t>
        </is>
      </c>
      <c r="S184">
        <f>HYPERLINK("https://klasma.github.io/Logging_0188/artfynd/A 35649-2023 artfynd.xlsx", "A 35649-2023")</f>
        <v/>
      </c>
      <c r="T184">
        <f>HYPERLINK("https://klasma.github.io/Logging_0188/kartor/A 35649-2023 karta.png", "A 35649-2023")</f>
        <v/>
      </c>
      <c r="V184">
        <f>HYPERLINK("https://klasma.github.io/Logging_0188/klagomål/A 35649-2023 FSC-klagomål.docx", "A 35649-2023")</f>
        <v/>
      </c>
      <c r="W184">
        <f>HYPERLINK("https://klasma.github.io/Logging_0188/klagomålsmail/A 35649-2023 FSC-klagomål mail.docx", "A 35649-2023")</f>
        <v/>
      </c>
      <c r="X184">
        <f>HYPERLINK("https://klasma.github.io/Logging_0188/tillsyn/A 35649-2023 tillsynsbegäran.docx", "A 35649-2023")</f>
        <v/>
      </c>
      <c r="Y184">
        <f>HYPERLINK("https://klasma.github.io/Logging_0188/tillsynsmail/A 35649-2023 tillsynsbegäran mail.docx", "A 35649-2023")</f>
        <v/>
      </c>
    </row>
    <row r="185" ht="15" customHeight="1">
      <c r="A185" t="inlineStr">
        <is>
          <t>A 43178-2023</t>
        </is>
      </c>
      <c r="B185" s="1" t="n">
        <v>45183</v>
      </c>
      <c r="C185" s="1" t="n">
        <v>45766</v>
      </c>
      <c r="D185" t="inlineStr">
        <is>
          <t>STOCKHOLMS LÄN</t>
        </is>
      </c>
      <c r="E185" t="inlineStr">
        <is>
          <t>NORRTÄLJE</t>
        </is>
      </c>
      <c r="F185" t="inlineStr">
        <is>
          <t>Kyrkan</t>
        </is>
      </c>
      <c r="G185" t="n">
        <v>1.5</v>
      </c>
      <c r="H185" t="n">
        <v>0</v>
      </c>
      <c r="I185" t="n">
        <v>0</v>
      </c>
      <c r="J185" t="n">
        <v>1</v>
      </c>
      <c r="K185" t="n">
        <v>0</v>
      </c>
      <c r="L185" t="n">
        <v>0</v>
      </c>
      <c r="M185" t="n">
        <v>0</v>
      </c>
      <c r="N185" t="n">
        <v>0</v>
      </c>
      <c r="O185" t="n">
        <v>1</v>
      </c>
      <c r="P185" t="n">
        <v>0</v>
      </c>
      <c r="Q185" t="n">
        <v>1</v>
      </c>
      <c r="R185" s="2" t="inlineStr">
        <is>
          <t>Mindre bastardsvärmare</t>
        </is>
      </c>
      <c r="S185">
        <f>HYPERLINK("https://klasma.github.io/Logging_0188/artfynd/A 43178-2023 artfynd.xlsx", "A 43178-2023")</f>
        <v/>
      </c>
      <c r="T185">
        <f>HYPERLINK("https://klasma.github.io/Logging_0188/kartor/A 43178-2023 karta.png", "A 43178-2023")</f>
        <v/>
      </c>
      <c r="V185">
        <f>HYPERLINK("https://klasma.github.io/Logging_0188/klagomål/A 43178-2023 FSC-klagomål.docx", "A 43178-2023")</f>
        <v/>
      </c>
      <c r="W185">
        <f>HYPERLINK("https://klasma.github.io/Logging_0188/klagomålsmail/A 43178-2023 FSC-klagomål mail.docx", "A 43178-2023")</f>
        <v/>
      </c>
      <c r="X185">
        <f>HYPERLINK("https://klasma.github.io/Logging_0188/tillsyn/A 43178-2023 tillsynsbegäran.docx", "A 43178-2023")</f>
        <v/>
      </c>
      <c r="Y185">
        <f>HYPERLINK("https://klasma.github.io/Logging_0188/tillsynsmail/A 43178-2023 tillsynsbegäran mail.docx", "A 43178-2023")</f>
        <v/>
      </c>
    </row>
    <row r="186" ht="15" customHeight="1">
      <c r="A186" t="inlineStr">
        <is>
          <t>A 43171-2023</t>
        </is>
      </c>
      <c r="B186" s="1" t="n">
        <v>45183</v>
      </c>
      <c r="C186" s="1" t="n">
        <v>45766</v>
      </c>
      <c r="D186" t="inlineStr">
        <is>
          <t>STOCKHOLMS LÄN</t>
        </is>
      </c>
      <c r="E186" t="inlineStr">
        <is>
          <t>NORRTÄLJE</t>
        </is>
      </c>
      <c r="F186" t="inlineStr">
        <is>
          <t>Kyrkan</t>
        </is>
      </c>
      <c r="G186" t="n">
        <v>1.3</v>
      </c>
      <c r="H186" t="n">
        <v>0</v>
      </c>
      <c r="I186" t="n">
        <v>0</v>
      </c>
      <c r="J186" t="n">
        <v>0</v>
      </c>
      <c r="K186" t="n">
        <v>0</v>
      </c>
      <c r="L186" t="n">
        <v>1</v>
      </c>
      <c r="M186" t="n">
        <v>0</v>
      </c>
      <c r="N186" t="n">
        <v>0</v>
      </c>
      <c r="O186" t="n">
        <v>1</v>
      </c>
      <c r="P186" t="n">
        <v>1</v>
      </c>
      <c r="Q186" t="n">
        <v>1</v>
      </c>
      <c r="R186" s="2" t="inlineStr">
        <is>
          <t>Ryl</t>
        </is>
      </c>
      <c r="S186">
        <f>HYPERLINK("https://klasma.github.io/Logging_0188/artfynd/A 43171-2023 artfynd.xlsx", "A 43171-2023")</f>
        <v/>
      </c>
      <c r="T186">
        <f>HYPERLINK("https://klasma.github.io/Logging_0188/kartor/A 43171-2023 karta.png", "A 43171-2023")</f>
        <v/>
      </c>
      <c r="U186">
        <f>HYPERLINK("https://klasma.github.io/Logging_0188/knärot/A 43171-2023 karta knärot.png", "A 43171-2023")</f>
        <v/>
      </c>
      <c r="V186">
        <f>HYPERLINK("https://klasma.github.io/Logging_0188/klagomål/A 43171-2023 FSC-klagomål.docx", "A 43171-2023")</f>
        <v/>
      </c>
      <c r="W186">
        <f>HYPERLINK("https://klasma.github.io/Logging_0188/klagomålsmail/A 43171-2023 FSC-klagomål mail.docx", "A 43171-2023")</f>
        <v/>
      </c>
      <c r="X186">
        <f>HYPERLINK("https://klasma.github.io/Logging_0188/tillsyn/A 43171-2023 tillsynsbegäran.docx", "A 43171-2023")</f>
        <v/>
      </c>
      <c r="Y186">
        <f>HYPERLINK("https://klasma.github.io/Logging_0188/tillsynsmail/A 43171-2023 tillsynsbegäran mail.docx", "A 43171-2023")</f>
        <v/>
      </c>
    </row>
    <row r="187" ht="15" customHeight="1">
      <c r="A187" t="inlineStr">
        <is>
          <t>A 43350-2023</t>
        </is>
      </c>
      <c r="B187" s="1" t="n">
        <v>45183</v>
      </c>
      <c r="C187" s="1" t="n">
        <v>45766</v>
      </c>
      <c r="D187" t="inlineStr">
        <is>
          <t>STOCKHOLMS LÄN</t>
        </is>
      </c>
      <c r="E187" t="inlineStr">
        <is>
          <t>NORRTÄLJE</t>
        </is>
      </c>
      <c r="F187" t="inlineStr">
        <is>
          <t>Holmen skog AB</t>
        </is>
      </c>
      <c r="G187" t="n">
        <v>4.2</v>
      </c>
      <c r="H187" t="n">
        <v>1</v>
      </c>
      <c r="I187" t="n">
        <v>0</v>
      </c>
      <c r="J187" t="n">
        <v>0</v>
      </c>
      <c r="K187" t="n">
        <v>0</v>
      </c>
      <c r="L187" t="n">
        <v>0</v>
      </c>
      <c r="M187" t="n">
        <v>0</v>
      </c>
      <c r="N187" t="n">
        <v>0</v>
      </c>
      <c r="O187" t="n">
        <v>0</v>
      </c>
      <c r="P187" t="n">
        <v>0</v>
      </c>
      <c r="Q187" t="n">
        <v>1</v>
      </c>
      <c r="R187" s="2" t="inlineStr">
        <is>
          <t>Revlummer</t>
        </is>
      </c>
      <c r="S187">
        <f>HYPERLINK("https://klasma.github.io/Logging_0188/artfynd/A 43350-2023 artfynd.xlsx", "A 43350-2023")</f>
        <v/>
      </c>
      <c r="T187">
        <f>HYPERLINK("https://klasma.github.io/Logging_0188/kartor/A 43350-2023 karta.png", "A 43350-2023")</f>
        <v/>
      </c>
      <c r="V187">
        <f>HYPERLINK("https://klasma.github.io/Logging_0188/klagomål/A 43350-2023 FSC-klagomål.docx", "A 43350-2023")</f>
        <v/>
      </c>
      <c r="W187">
        <f>HYPERLINK("https://klasma.github.io/Logging_0188/klagomålsmail/A 43350-2023 FSC-klagomål mail.docx", "A 43350-2023")</f>
        <v/>
      </c>
      <c r="X187">
        <f>HYPERLINK("https://klasma.github.io/Logging_0188/tillsyn/A 43350-2023 tillsynsbegäran.docx", "A 43350-2023")</f>
        <v/>
      </c>
      <c r="Y187">
        <f>HYPERLINK("https://klasma.github.io/Logging_0188/tillsynsmail/A 43350-2023 tillsynsbegäran mail.docx", "A 43350-2023")</f>
        <v/>
      </c>
    </row>
    <row r="188" ht="15" customHeight="1">
      <c r="A188" t="inlineStr">
        <is>
          <t>A 43354-2023</t>
        </is>
      </c>
      <c r="B188" s="1" t="n">
        <v>45183</v>
      </c>
      <c r="C188" s="1" t="n">
        <v>45766</v>
      </c>
      <c r="D188" t="inlineStr">
        <is>
          <t>STOCKHOLMS LÄN</t>
        </is>
      </c>
      <c r="E188" t="inlineStr">
        <is>
          <t>NORRTÄLJE</t>
        </is>
      </c>
      <c r="F188" t="inlineStr">
        <is>
          <t>Holmen skog AB</t>
        </is>
      </c>
      <c r="G188" t="n">
        <v>9.9</v>
      </c>
      <c r="H188" t="n">
        <v>0</v>
      </c>
      <c r="I188" t="n">
        <v>1</v>
      </c>
      <c r="J188" t="n">
        <v>0</v>
      </c>
      <c r="K188" t="n">
        <v>0</v>
      </c>
      <c r="L188" t="n">
        <v>0</v>
      </c>
      <c r="M188" t="n">
        <v>0</v>
      </c>
      <c r="N188" t="n">
        <v>0</v>
      </c>
      <c r="O188" t="n">
        <v>0</v>
      </c>
      <c r="P188" t="n">
        <v>0</v>
      </c>
      <c r="Q188" t="n">
        <v>1</v>
      </c>
      <c r="R188" s="2" t="inlineStr">
        <is>
          <t>Tibast</t>
        </is>
      </c>
      <c r="S188">
        <f>HYPERLINK("https://klasma.github.io/Logging_0188/artfynd/A 43354-2023 artfynd.xlsx", "A 43354-2023")</f>
        <v/>
      </c>
      <c r="T188">
        <f>HYPERLINK("https://klasma.github.io/Logging_0188/kartor/A 43354-2023 karta.png", "A 43354-2023")</f>
        <v/>
      </c>
      <c r="V188">
        <f>HYPERLINK("https://klasma.github.io/Logging_0188/klagomål/A 43354-2023 FSC-klagomål.docx", "A 43354-2023")</f>
        <v/>
      </c>
      <c r="W188">
        <f>HYPERLINK("https://klasma.github.io/Logging_0188/klagomålsmail/A 43354-2023 FSC-klagomål mail.docx", "A 43354-2023")</f>
        <v/>
      </c>
      <c r="X188">
        <f>HYPERLINK("https://klasma.github.io/Logging_0188/tillsyn/A 43354-2023 tillsynsbegäran.docx", "A 43354-2023")</f>
        <v/>
      </c>
      <c r="Y188">
        <f>HYPERLINK("https://klasma.github.io/Logging_0188/tillsynsmail/A 43354-2023 tillsynsbegäran mail.docx", "A 43354-2023")</f>
        <v/>
      </c>
    </row>
    <row r="189" ht="15" customHeight="1">
      <c r="A189" t="inlineStr">
        <is>
          <t>A 45172-2023</t>
        </is>
      </c>
      <c r="B189" s="1" t="n">
        <v>45191</v>
      </c>
      <c r="C189" s="1" t="n">
        <v>45766</v>
      </c>
      <c r="D189" t="inlineStr">
        <is>
          <t>STOCKHOLMS LÄN</t>
        </is>
      </c>
      <c r="E189" t="inlineStr">
        <is>
          <t>NORRTÄLJE</t>
        </is>
      </c>
      <c r="F189" t="inlineStr">
        <is>
          <t>Sveaskog</t>
        </is>
      </c>
      <c r="G189" t="n">
        <v>3.8</v>
      </c>
      <c r="H189" t="n">
        <v>1</v>
      </c>
      <c r="I189" t="n">
        <v>0</v>
      </c>
      <c r="J189" t="n">
        <v>1</v>
      </c>
      <c r="K189" t="n">
        <v>0</v>
      </c>
      <c r="L189" t="n">
        <v>0</v>
      </c>
      <c r="M189" t="n">
        <v>0</v>
      </c>
      <c r="N189" t="n">
        <v>0</v>
      </c>
      <c r="O189" t="n">
        <v>1</v>
      </c>
      <c r="P189" t="n">
        <v>0</v>
      </c>
      <c r="Q189" t="n">
        <v>1</v>
      </c>
      <c r="R189" s="2" t="inlineStr">
        <is>
          <t>Slaguggla</t>
        </is>
      </c>
      <c r="S189">
        <f>HYPERLINK("https://klasma.github.io/Logging_0188/artfynd/A 45172-2023 artfynd.xlsx", "A 45172-2023")</f>
        <v/>
      </c>
      <c r="T189">
        <f>HYPERLINK("https://klasma.github.io/Logging_0188/kartor/A 45172-2023 karta.png", "A 45172-2023")</f>
        <v/>
      </c>
      <c r="V189">
        <f>HYPERLINK("https://klasma.github.io/Logging_0188/klagomål/A 45172-2023 FSC-klagomål.docx", "A 45172-2023")</f>
        <v/>
      </c>
      <c r="W189">
        <f>HYPERLINK("https://klasma.github.io/Logging_0188/klagomålsmail/A 45172-2023 FSC-klagomål mail.docx", "A 45172-2023")</f>
        <v/>
      </c>
      <c r="X189">
        <f>HYPERLINK("https://klasma.github.io/Logging_0188/tillsyn/A 45172-2023 tillsynsbegäran.docx", "A 45172-2023")</f>
        <v/>
      </c>
      <c r="Y189">
        <f>HYPERLINK("https://klasma.github.io/Logging_0188/tillsynsmail/A 45172-2023 tillsynsbegäran mail.docx", "A 45172-2023")</f>
        <v/>
      </c>
      <c r="Z189">
        <f>HYPERLINK("https://klasma.github.io/Logging_0188/fåglar/A 45172-2023 prioriterade fågelarter.docx", "A 45172-2023")</f>
        <v/>
      </c>
    </row>
    <row r="190" ht="15" customHeight="1">
      <c r="A190" t="inlineStr">
        <is>
          <t>A 48131-2023</t>
        </is>
      </c>
      <c r="B190" s="1" t="n">
        <v>45205</v>
      </c>
      <c r="C190" s="1" t="n">
        <v>45766</v>
      </c>
      <c r="D190" t="inlineStr">
        <is>
          <t>STOCKHOLMS LÄN</t>
        </is>
      </c>
      <c r="E190" t="inlineStr">
        <is>
          <t>NORRTÄLJE</t>
        </is>
      </c>
      <c r="G190" t="n">
        <v>2.3</v>
      </c>
      <c r="H190" t="n">
        <v>0</v>
      </c>
      <c r="I190" t="n">
        <v>0</v>
      </c>
      <c r="J190" t="n">
        <v>1</v>
      </c>
      <c r="K190" t="n">
        <v>0</v>
      </c>
      <c r="L190" t="n">
        <v>0</v>
      </c>
      <c r="M190" t="n">
        <v>0</v>
      </c>
      <c r="N190" t="n">
        <v>0</v>
      </c>
      <c r="O190" t="n">
        <v>1</v>
      </c>
      <c r="P190" t="n">
        <v>0</v>
      </c>
      <c r="Q190" t="n">
        <v>1</v>
      </c>
      <c r="R190" s="2" t="inlineStr">
        <is>
          <t>Slåtterfibbla</t>
        </is>
      </c>
      <c r="S190">
        <f>HYPERLINK("https://klasma.github.io/Logging_0188/artfynd/A 48131-2023 artfynd.xlsx", "A 48131-2023")</f>
        <v/>
      </c>
      <c r="T190">
        <f>HYPERLINK("https://klasma.github.io/Logging_0188/kartor/A 48131-2023 karta.png", "A 48131-2023")</f>
        <v/>
      </c>
      <c r="V190">
        <f>HYPERLINK("https://klasma.github.io/Logging_0188/klagomål/A 48131-2023 FSC-klagomål.docx", "A 48131-2023")</f>
        <v/>
      </c>
      <c r="W190">
        <f>HYPERLINK("https://klasma.github.io/Logging_0188/klagomålsmail/A 48131-2023 FSC-klagomål mail.docx", "A 48131-2023")</f>
        <v/>
      </c>
      <c r="X190">
        <f>HYPERLINK("https://klasma.github.io/Logging_0188/tillsyn/A 48131-2023 tillsynsbegäran.docx", "A 48131-2023")</f>
        <v/>
      </c>
      <c r="Y190">
        <f>HYPERLINK("https://klasma.github.io/Logging_0188/tillsynsmail/A 48131-2023 tillsynsbegäran mail.docx", "A 48131-2023")</f>
        <v/>
      </c>
    </row>
    <row r="191" ht="15" customHeight="1">
      <c r="A191" t="inlineStr">
        <is>
          <t>A 51909-2023</t>
        </is>
      </c>
      <c r="B191" s="1" t="n">
        <v>45223</v>
      </c>
      <c r="C191" s="1" t="n">
        <v>45766</v>
      </c>
      <c r="D191" t="inlineStr">
        <is>
          <t>STOCKHOLMS LÄN</t>
        </is>
      </c>
      <c r="E191" t="inlineStr">
        <is>
          <t>NORRTÄLJE</t>
        </is>
      </c>
      <c r="G191" t="n">
        <v>8.1</v>
      </c>
      <c r="H191" t="n">
        <v>1</v>
      </c>
      <c r="I191" t="n">
        <v>1</v>
      </c>
      <c r="J191" t="n">
        <v>0</v>
      </c>
      <c r="K191" t="n">
        <v>0</v>
      </c>
      <c r="L191" t="n">
        <v>0</v>
      </c>
      <c r="M191" t="n">
        <v>0</v>
      </c>
      <c r="N191" t="n">
        <v>0</v>
      </c>
      <c r="O191" t="n">
        <v>0</v>
      </c>
      <c r="P191" t="n">
        <v>0</v>
      </c>
      <c r="Q191" t="n">
        <v>1</v>
      </c>
      <c r="R191" s="2" t="inlineStr">
        <is>
          <t>Skogsknipprot</t>
        </is>
      </c>
      <c r="S191">
        <f>HYPERLINK("https://klasma.github.io/Logging_0188/artfynd/A 51909-2023 artfynd.xlsx", "A 51909-2023")</f>
        <v/>
      </c>
      <c r="T191">
        <f>HYPERLINK("https://klasma.github.io/Logging_0188/kartor/A 51909-2023 karta.png", "A 51909-2023")</f>
        <v/>
      </c>
      <c r="V191">
        <f>HYPERLINK("https://klasma.github.io/Logging_0188/klagomål/A 51909-2023 FSC-klagomål.docx", "A 51909-2023")</f>
        <v/>
      </c>
      <c r="W191">
        <f>HYPERLINK("https://klasma.github.io/Logging_0188/klagomålsmail/A 51909-2023 FSC-klagomål mail.docx", "A 51909-2023")</f>
        <v/>
      </c>
      <c r="X191">
        <f>HYPERLINK("https://klasma.github.io/Logging_0188/tillsyn/A 51909-2023 tillsynsbegäran.docx", "A 51909-2023")</f>
        <v/>
      </c>
      <c r="Y191">
        <f>HYPERLINK("https://klasma.github.io/Logging_0188/tillsynsmail/A 51909-2023 tillsynsbegäran mail.docx", "A 51909-2023")</f>
        <v/>
      </c>
    </row>
    <row r="192" ht="15" customHeight="1">
      <c r="A192" t="inlineStr">
        <is>
          <t>A 52508-2023</t>
        </is>
      </c>
      <c r="B192" s="1" t="n">
        <v>45225</v>
      </c>
      <c r="C192" s="1" t="n">
        <v>45766</v>
      </c>
      <c r="D192" t="inlineStr">
        <is>
          <t>STOCKHOLMS LÄN</t>
        </is>
      </c>
      <c r="E192" t="inlineStr">
        <is>
          <t>NORRTÄLJE</t>
        </is>
      </c>
      <c r="G192" t="n">
        <v>19.7</v>
      </c>
      <c r="H192" t="n">
        <v>1</v>
      </c>
      <c r="I192" t="n">
        <v>0</v>
      </c>
      <c r="J192" t="n">
        <v>0</v>
      </c>
      <c r="K192" t="n">
        <v>1</v>
      </c>
      <c r="L192" t="n">
        <v>0</v>
      </c>
      <c r="M192" t="n">
        <v>0</v>
      </c>
      <c r="N192" t="n">
        <v>0</v>
      </c>
      <c r="O192" t="n">
        <v>1</v>
      </c>
      <c r="P192" t="n">
        <v>1</v>
      </c>
      <c r="Q192" t="n">
        <v>1</v>
      </c>
      <c r="R192" s="2" t="inlineStr">
        <is>
          <t>Svärta</t>
        </is>
      </c>
      <c r="S192">
        <f>HYPERLINK("https://klasma.github.io/Logging_0188/artfynd/A 52508-2023 artfynd.xlsx", "A 52508-2023")</f>
        <v/>
      </c>
      <c r="T192">
        <f>HYPERLINK("https://klasma.github.io/Logging_0188/kartor/A 52508-2023 karta.png", "A 52508-2023")</f>
        <v/>
      </c>
      <c r="V192">
        <f>HYPERLINK("https://klasma.github.io/Logging_0188/klagomål/A 52508-2023 FSC-klagomål.docx", "A 52508-2023")</f>
        <v/>
      </c>
      <c r="W192">
        <f>HYPERLINK("https://klasma.github.io/Logging_0188/klagomålsmail/A 52508-2023 FSC-klagomål mail.docx", "A 52508-2023")</f>
        <v/>
      </c>
      <c r="X192">
        <f>HYPERLINK("https://klasma.github.io/Logging_0188/tillsyn/A 52508-2023 tillsynsbegäran.docx", "A 52508-2023")</f>
        <v/>
      </c>
      <c r="Y192">
        <f>HYPERLINK("https://klasma.github.io/Logging_0188/tillsynsmail/A 52508-2023 tillsynsbegäran mail.docx", "A 52508-2023")</f>
        <v/>
      </c>
    </row>
    <row r="193" ht="15" customHeight="1">
      <c r="A193" t="inlineStr">
        <is>
          <t>A 55767-2023</t>
        </is>
      </c>
      <c r="B193" s="1" t="n">
        <v>45239</v>
      </c>
      <c r="C193" s="1" t="n">
        <v>45766</v>
      </c>
      <c r="D193" t="inlineStr">
        <is>
          <t>STOCKHOLMS LÄN</t>
        </is>
      </c>
      <c r="E193" t="inlineStr">
        <is>
          <t>NORRTÄLJE</t>
        </is>
      </c>
      <c r="G193" t="n">
        <v>3.7</v>
      </c>
      <c r="H193" t="n">
        <v>0</v>
      </c>
      <c r="I193" t="n">
        <v>1</v>
      </c>
      <c r="J193" t="n">
        <v>0</v>
      </c>
      <c r="K193" t="n">
        <v>0</v>
      </c>
      <c r="L193" t="n">
        <v>0</v>
      </c>
      <c r="M193" t="n">
        <v>0</v>
      </c>
      <c r="N193" t="n">
        <v>0</v>
      </c>
      <c r="O193" t="n">
        <v>0</v>
      </c>
      <c r="P193" t="n">
        <v>0</v>
      </c>
      <c r="Q193" t="n">
        <v>1</v>
      </c>
      <c r="R193" s="2" t="inlineStr">
        <is>
          <t>Ögonpyrola</t>
        </is>
      </c>
      <c r="S193">
        <f>HYPERLINK("https://klasma.github.io/Logging_0188/artfynd/A 55767-2023 artfynd.xlsx", "A 55767-2023")</f>
        <v/>
      </c>
      <c r="T193">
        <f>HYPERLINK("https://klasma.github.io/Logging_0188/kartor/A 55767-2023 karta.png", "A 55767-2023")</f>
        <v/>
      </c>
      <c r="V193">
        <f>HYPERLINK("https://klasma.github.io/Logging_0188/klagomål/A 55767-2023 FSC-klagomål.docx", "A 55767-2023")</f>
        <v/>
      </c>
      <c r="W193">
        <f>HYPERLINK("https://klasma.github.io/Logging_0188/klagomålsmail/A 55767-2023 FSC-klagomål mail.docx", "A 55767-2023")</f>
        <v/>
      </c>
      <c r="X193">
        <f>HYPERLINK("https://klasma.github.io/Logging_0188/tillsyn/A 55767-2023 tillsynsbegäran.docx", "A 55767-2023")</f>
        <v/>
      </c>
      <c r="Y193">
        <f>HYPERLINK("https://klasma.github.io/Logging_0188/tillsynsmail/A 55767-2023 tillsynsbegäran mail.docx", "A 55767-2023")</f>
        <v/>
      </c>
    </row>
    <row r="194" ht="15" customHeight="1">
      <c r="A194" t="inlineStr">
        <is>
          <t>A 59580-2023</t>
        </is>
      </c>
      <c r="B194" s="1" t="n">
        <v>45254</v>
      </c>
      <c r="C194" s="1" t="n">
        <v>45766</v>
      </c>
      <c r="D194" t="inlineStr">
        <is>
          <t>STOCKHOLMS LÄN</t>
        </is>
      </c>
      <c r="E194" t="inlineStr">
        <is>
          <t>NORRTÄLJE</t>
        </is>
      </c>
      <c r="G194" t="n">
        <v>3.2</v>
      </c>
      <c r="H194" t="n">
        <v>0</v>
      </c>
      <c r="I194" t="n">
        <v>1</v>
      </c>
      <c r="J194" t="n">
        <v>0</v>
      </c>
      <c r="K194" t="n">
        <v>0</v>
      </c>
      <c r="L194" t="n">
        <v>0</v>
      </c>
      <c r="M194" t="n">
        <v>0</v>
      </c>
      <c r="N194" t="n">
        <v>0</v>
      </c>
      <c r="O194" t="n">
        <v>0</v>
      </c>
      <c r="P194" t="n">
        <v>0</v>
      </c>
      <c r="Q194" t="n">
        <v>1</v>
      </c>
      <c r="R194" s="2" t="inlineStr">
        <is>
          <t>Trådticka</t>
        </is>
      </c>
      <c r="S194">
        <f>HYPERLINK("https://klasma.github.io/Logging_0188/artfynd/A 59580-2023 artfynd.xlsx", "A 59580-2023")</f>
        <v/>
      </c>
      <c r="T194">
        <f>HYPERLINK("https://klasma.github.io/Logging_0188/kartor/A 59580-2023 karta.png", "A 59580-2023")</f>
        <v/>
      </c>
      <c r="V194">
        <f>HYPERLINK("https://klasma.github.io/Logging_0188/klagomål/A 59580-2023 FSC-klagomål.docx", "A 59580-2023")</f>
        <v/>
      </c>
      <c r="W194">
        <f>HYPERLINK("https://klasma.github.io/Logging_0188/klagomålsmail/A 59580-2023 FSC-klagomål mail.docx", "A 59580-2023")</f>
        <v/>
      </c>
      <c r="X194">
        <f>HYPERLINK("https://klasma.github.io/Logging_0188/tillsyn/A 59580-2023 tillsynsbegäran.docx", "A 59580-2023")</f>
        <v/>
      </c>
      <c r="Y194">
        <f>HYPERLINK("https://klasma.github.io/Logging_0188/tillsynsmail/A 59580-2023 tillsynsbegäran mail.docx", "A 59580-2023")</f>
        <v/>
      </c>
    </row>
    <row r="195" ht="15" customHeight="1">
      <c r="A195" t="inlineStr">
        <is>
          <t>A 63851-2023</t>
        </is>
      </c>
      <c r="B195" s="1" t="n">
        <v>45278</v>
      </c>
      <c r="C195" s="1" t="n">
        <v>45766</v>
      </c>
      <c r="D195" t="inlineStr">
        <is>
          <t>STOCKHOLMS LÄN</t>
        </is>
      </c>
      <c r="E195" t="inlineStr">
        <is>
          <t>NORRTÄLJE</t>
        </is>
      </c>
      <c r="G195" t="n">
        <v>5.6</v>
      </c>
      <c r="H195" t="n">
        <v>1</v>
      </c>
      <c r="I195" t="n">
        <v>0</v>
      </c>
      <c r="J195" t="n">
        <v>0</v>
      </c>
      <c r="K195" t="n">
        <v>0</v>
      </c>
      <c r="L195" t="n">
        <v>0</v>
      </c>
      <c r="M195" t="n">
        <v>0</v>
      </c>
      <c r="N195" t="n">
        <v>0</v>
      </c>
      <c r="O195" t="n">
        <v>0</v>
      </c>
      <c r="P195" t="n">
        <v>0</v>
      </c>
      <c r="Q195" t="n">
        <v>1</v>
      </c>
      <c r="R195" s="2" t="inlineStr">
        <is>
          <t>Tjäder</t>
        </is>
      </c>
      <c r="S195">
        <f>HYPERLINK("https://klasma.github.io/Logging_0188/artfynd/A 63851-2023 artfynd.xlsx", "A 63851-2023")</f>
        <v/>
      </c>
      <c r="T195">
        <f>HYPERLINK("https://klasma.github.io/Logging_0188/kartor/A 63851-2023 karta.png", "A 63851-2023")</f>
        <v/>
      </c>
      <c r="V195">
        <f>HYPERLINK("https://klasma.github.io/Logging_0188/klagomål/A 63851-2023 FSC-klagomål.docx", "A 63851-2023")</f>
        <v/>
      </c>
      <c r="W195">
        <f>HYPERLINK("https://klasma.github.io/Logging_0188/klagomålsmail/A 63851-2023 FSC-klagomål mail.docx", "A 63851-2023")</f>
        <v/>
      </c>
      <c r="X195">
        <f>HYPERLINK("https://klasma.github.io/Logging_0188/tillsyn/A 63851-2023 tillsynsbegäran.docx", "A 63851-2023")</f>
        <v/>
      </c>
      <c r="Y195">
        <f>HYPERLINK("https://klasma.github.io/Logging_0188/tillsynsmail/A 63851-2023 tillsynsbegäran mail.docx", "A 63851-2023")</f>
        <v/>
      </c>
      <c r="Z195">
        <f>HYPERLINK("https://klasma.github.io/Logging_0188/fåglar/A 63851-2023 prioriterade fågelarter.docx", "A 63851-2023")</f>
        <v/>
      </c>
    </row>
    <row r="196" ht="15" customHeight="1">
      <c r="A196" t="inlineStr">
        <is>
          <t>A 64456-2023</t>
        </is>
      </c>
      <c r="B196" s="1" t="n">
        <v>45280</v>
      </c>
      <c r="C196" s="1" t="n">
        <v>45766</v>
      </c>
      <c r="D196" t="inlineStr">
        <is>
          <t>STOCKHOLMS LÄN</t>
        </is>
      </c>
      <c r="E196" t="inlineStr">
        <is>
          <t>NORRTÄLJE</t>
        </is>
      </c>
      <c r="G196" t="n">
        <v>2.5</v>
      </c>
      <c r="H196" t="n">
        <v>0</v>
      </c>
      <c r="I196" t="n">
        <v>1</v>
      </c>
      <c r="J196" t="n">
        <v>0</v>
      </c>
      <c r="K196" t="n">
        <v>0</v>
      </c>
      <c r="L196" t="n">
        <v>0</v>
      </c>
      <c r="M196" t="n">
        <v>0</v>
      </c>
      <c r="N196" t="n">
        <v>0</v>
      </c>
      <c r="O196" t="n">
        <v>0</v>
      </c>
      <c r="P196" t="n">
        <v>0</v>
      </c>
      <c r="Q196" t="n">
        <v>1</v>
      </c>
      <c r="R196" s="2" t="inlineStr">
        <is>
          <t>Rödgul trumpetsvamp</t>
        </is>
      </c>
      <c r="S196">
        <f>HYPERLINK("https://klasma.github.io/Logging_0188/artfynd/A 64456-2023 artfynd.xlsx", "A 64456-2023")</f>
        <v/>
      </c>
      <c r="T196">
        <f>HYPERLINK("https://klasma.github.io/Logging_0188/kartor/A 64456-2023 karta.png", "A 64456-2023")</f>
        <v/>
      </c>
      <c r="V196">
        <f>HYPERLINK("https://klasma.github.io/Logging_0188/klagomål/A 64456-2023 FSC-klagomål.docx", "A 64456-2023")</f>
        <v/>
      </c>
      <c r="W196">
        <f>HYPERLINK("https://klasma.github.io/Logging_0188/klagomålsmail/A 64456-2023 FSC-klagomål mail.docx", "A 64456-2023")</f>
        <v/>
      </c>
      <c r="X196">
        <f>HYPERLINK("https://klasma.github.io/Logging_0188/tillsyn/A 64456-2023 tillsynsbegäran.docx", "A 64456-2023")</f>
        <v/>
      </c>
      <c r="Y196">
        <f>HYPERLINK("https://klasma.github.io/Logging_0188/tillsynsmail/A 64456-2023 tillsynsbegäran mail.docx", "A 64456-2023")</f>
        <v/>
      </c>
    </row>
    <row r="197" ht="15" customHeight="1">
      <c r="A197" t="inlineStr">
        <is>
          <t>A 4730-2024</t>
        </is>
      </c>
      <c r="B197" s="1" t="n">
        <v>45328</v>
      </c>
      <c r="C197" s="1" t="n">
        <v>45766</v>
      </c>
      <c r="D197" t="inlineStr">
        <is>
          <t>STOCKHOLMS LÄN</t>
        </is>
      </c>
      <c r="E197" t="inlineStr">
        <is>
          <t>NORRTÄLJE</t>
        </is>
      </c>
      <c r="G197" t="n">
        <v>4.4</v>
      </c>
      <c r="H197" t="n">
        <v>1</v>
      </c>
      <c r="I197" t="n">
        <v>0</v>
      </c>
      <c r="J197" t="n">
        <v>0</v>
      </c>
      <c r="K197" t="n">
        <v>0</v>
      </c>
      <c r="L197" t="n">
        <v>0</v>
      </c>
      <c r="M197" t="n">
        <v>0</v>
      </c>
      <c r="N197" t="n">
        <v>0</v>
      </c>
      <c r="O197" t="n">
        <v>0</v>
      </c>
      <c r="P197" t="n">
        <v>0</v>
      </c>
      <c r="Q197" t="n">
        <v>1</v>
      </c>
      <c r="R197" s="2" t="inlineStr">
        <is>
          <t>Blåsippa</t>
        </is>
      </c>
      <c r="S197">
        <f>HYPERLINK("https://klasma.github.io/Logging_0188/artfynd/A 4730-2024 artfynd.xlsx", "A 4730-2024")</f>
        <v/>
      </c>
      <c r="T197">
        <f>HYPERLINK("https://klasma.github.io/Logging_0188/kartor/A 4730-2024 karta.png", "A 4730-2024")</f>
        <v/>
      </c>
      <c r="V197">
        <f>HYPERLINK("https://klasma.github.io/Logging_0188/klagomål/A 4730-2024 FSC-klagomål.docx", "A 4730-2024")</f>
        <v/>
      </c>
      <c r="W197">
        <f>HYPERLINK("https://klasma.github.io/Logging_0188/klagomålsmail/A 4730-2024 FSC-klagomål mail.docx", "A 4730-2024")</f>
        <v/>
      </c>
      <c r="X197">
        <f>HYPERLINK("https://klasma.github.io/Logging_0188/tillsyn/A 4730-2024 tillsynsbegäran.docx", "A 4730-2024")</f>
        <v/>
      </c>
      <c r="Y197">
        <f>HYPERLINK("https://klasma.github.io/Logging_0188/tillsynsmail/A 4730-2024 tillsynsbegäran mail.docx", "A 4730-2024")</f>
        <v/>
      </c>
    </row>
    <row r="198" ht="15" customHeight="1">
      <c r="A198" t="inlineStr">
        <is>
          <t>A 6950-2024</t>
        </is>
      </c>
      <c r="B198" s="1" t="n">
        <v>45343</v>
      </c>
      <c r="C198" s="1" t="n">
        <v>45766</v>
      </c>
      <c r="D198" t="inlineStr">
        <is>
          <t>STOCKHOLMS LÄN</t>
        </is>
      </c>
      <c r="E198" t="inlineStr">
        <is>
          <t>NORRTÄLJE</t>
        </is>
      </c>
      <c r="G198" t="n">
        <v>26.8</v>
      </c>
      <c r="H198" t="n">
        <v>1</v>
      </c>
      <c r="I198" t="n">
        <v>0</v>
      </c>
      <c r="J198" t="n">
        <v>0</v>
      </c>
      <c r="K198" t="n">
        <v>0</v>
      </c>
      <c r="L198" t="n">
        <v>0</v>
      </c>
      <c r="M198" t="n">
        <v>0</v>
      </c>
      <c r="N198" t="n">
        <v>0</v>
      </c>
      <c r="O198" t="n">
        <v>0</v>
      </c>
      <c r="P198" t="n">
        <v>0</v>
      </c>
      <c r="Q198" t="n">
        <v>1</v>
      </c>
      <c r="R198" s="2" t="inlineStr">
        <is>
          <t>Blåsippa</t>
        </is>
      </c>
      <c r="S198">
        <f>HYPERLINK("https://klasma.github.io/Logging_0188/artfynd/A 6950-2024 artfynd.xlsx", "A 6950-2024")</f>
        <v/>
      </c>
      <c r="T198">
        <f>HYPERLINK("https://klasma.github.io/Logging_0188/kartor/A 6950-2024 karta.png", "A 6950-2024")</f>
        <v/>
      </c>
      <c r="V198">
        <f>HYPERLINK("https://klasma.github.io/Logging_0188/klagomål/A 6950-2024 FSC-klagomål.docx", "A 6950-2024")</f>
        <v/>
      </c>
      <c r="W198">
        <f>HYPERLINK("https://klasma.github.io/Logging_0188/klagomålsmail/A 6950-2024 FSC-klagomål mail.docx", "A 6950-2024")</f>
        <v/>
      </c>
      <c r="X198">
        <f>HYPERLINK("https://klasma.github.io/Logging_0188/tillsyn/A 6950-2024 tillsynsbegäran.docx", "A 6950-2024")</f>
        <v/>
      </c>
      <c r="Y198">
        <f>HYPERLINK("https://klasma.github.io/Logging_0188/tillsynsmail/A 6950-2024 tillsynsbegäran mail.docx", "A 6950-2024")</f>
        <v/>
      </c>
    </row>
    <row r="199" ht="15" customHeight="1">
      <c r="A199" t="inlineStr">
        <is>
          <t>A 20468-2024</t>
        </is>
      </c>
      <c r="B199" s="1" t="n">
        <v>45435</v>
      </c>
      <c r="C199" s="1" t="n">
        <v>45766</v>
      </c>
      <c r="D199" t="inlineStr">
        <is>
          <t>STOCKHOLMS LÄN</t>
        </is>
      </c>
      <c r="E199" t="inlineStr">
        <is>
          <t>NORRTÄLJE</t>
        </is>
      </c>
      <c r="G199" t="n">
        <v>2.2</v>
      </c>
      <c r="H199" t="n">
        <v>0</v>
      </c>
      <c r="I199" t="n">
        <v>0</v>
      </c>
      <c r="J199" t="n">
        <v>0</v>
      </c>
      <c r="K199" t="n">
        <v>0</v>
      </c>
      <c r="L199" t="n">
        <v>1</v>
      </c>
      <c r="M199" t="n">
        <v>0</v>
      </c>
      <c r="N199" t="n">
        <v>0</v>
      </c>
      <c r="O199" t="n">
        <v>1</v>
      </c>
      <c r="P199" t="n">
        <v>1</v>
      </c>
      <c r="Q199" t="n">
        <v>1</v>
      </c>
      <c r="R199" s="2" t="inlineStr">
        <is>
          <t>Fältgentiana</t>
        </is>
      </c>
      <c r="S199">
        <f>HYPERLINK("https://klasma.github.io/Logging_0188/artfynd/A 20468-2024 artfynd.xlsx", "A 20468-2024")</f>
        <v/>
      </c>
      <c r="T199">
        <f>HYPERLINK("https://klasma.github.io/Logging_0188/kartor/A 20468-2024 karta.png", "A 20468-2024")</f>
        <v/>
      </c>
      <c r="V199">
        <f>HYPERLINK("https://klasma.github.io/Logging_0188/klagomål/A 20468-2024 FSC-klagomål.docx", "A 20468-2024")</f>
        <v/>
      </c>
      <c r="W199">
        <f>HYPERLINK("https://klasma.github.io/Logging_0188/klagomålsmail/A 20468-2024 FSC-klagomål mail.docx", "A 20468-2024")</f>
        <v/>
      </c>
      <c r="X199">
        <f>HYPERLINK("https://klasma.github.io/Logging_0188/tillsyn/A 20468-2024 tillsynsbegäran.docx", "A 20468-2024")</f>
        <v/>
      </c>
      <c r="Y199">
        <f>HYPERLINK("https://klasma.github.io/Logging_0188/tillsynsmail/A 20468-2024 tillsynsbegäran mail.docx", "A 20468-2024")</f>
        <v/>
      </c>
    </row>
    <row r="200" ht="15" customHeight="1">
      <c r="A200" t="inlineStr">
        <is>
          <t>A 22190-2024</t>
        </is>
      </c>
      <c r="B200" s="1" t="n">
        <v>45446</v>
      </c>
      <c r="C200" s="1" t="n">
        <v>45766</v>
      </c>
      <c r="D200" t="inlineStr">
        <is>
          <t>STOCKHOLMS LÄN</t>
        </is>
      </c>
      <c r="E200" t="inlineStr">
        <is>
          <t>NORRTÄLJE</t>
        </is>
      </c>
      <c r="G200" t="n">
        <v>2.8</v>
      </c>
      <c r="H200" t="n">
        <v>1</v>
      </c>
      <c r="I200" t="n">
        <v>0</v>
      </c>
      <c r="J200" t="n">
        <v>0</v>
      </c>
      <c r="K200" t="n">
        <v>0</v>
      </c>
      <c r="L200" t="n">
        <v>0</v>
      </c>
      <c r="M200" t="n">
        <v>0</v>
      </c>
      <c r="N200" t="n">
        <v>0</v>
      </c>
      <c r="O200" t="n">
        <v>0</v>
      </c>
      <c r="P200" t="n">
        <v>0</v>
      </c>
      <c r="Q200" t="n">
        <v>1</v>
      </c>
      <c r="R200" s="2" t="inlineStr">
        <is>
          <t>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23146-2024</t>
        </is>
      </c>
      <c r="B201" s="1" t="n">
        <v>45450</v>
      </c>
      <c r="C201" s="1" t="n">
        <v>45766</v>
      </c>
      <c r="D201" t="inlineStr">
        <is>
          <t>STOCKHOLMS LÄN</t>
        </is>
      </c>
      <c r="E201" t="inlineStr">
        <is>
          <t>NORRTÄLJE</t>
        </is>
      </c>
      <c r="F201" t="inlineStr">
        <is>
          <t>Kommuner</t>
        </is>
      </c>
      <c r="G201" t="n">
        <v>6</v>
      </c>
      <c r="H201" t="n">
        <v>0</v>
      </c>
      <c r="I201" t="n">
        <v>0</v>
      </c>
      <c r="J201" t="n">
        <v>1</v>
      </c>
      <c r="K201" t="n">
        <v>0</v>
      </c>
      <c r="L201" t="n">
        <v>0</v>
      </c>
      <c r="M201" t="n">
        <v>0</v>
      </c>
      <c r="N201" t="n">
        <v>0</v>
      </c>
      <c r="O201" t="n">
        <v>1</v>
      </c>
      <c r="P201" t="n">
        <v>0</v>
      </c>
      <c r="Q201" t="n">
        <v>1</v>
      </c>
      <c r="R201" s="2" t="inlineStr">
        <is>
          <t>Motaggsvamp</t>
        </is>
      </c>
      <c r="S201">
        <f>HYPERLINK("https://klasma.github.io/Logging_0188/artfynd/A 23146-2024 artfynd.xlsx", "A 23146-2024")</f>
        <v/>
      </c>
      <c r="T201">
        <f>HYPERLINK("https://klasma.github.io/Logging_0188/kartor/A 23146-2024 karta.png", "A 23146-2024")</f>
        <v/>
      </c>
      <c r="V201">
        <f>HYPERLINK("https://klasma.github.io/Logging_0188/klagomål/A 23146-2024 FSC-klagomål.docx", "A 23146-2024")</f>
        <v/>
      </c>
      <c r="W201">
        <f>HYPERLINK("https://klasma.github.io/Logging_0188/klagomålsmail/A 23146-2024 FSC-klagomål mail.docx", "A 23146-2024")</f>
        <v/>
      </c>
      <c r="X201">
        <f>HYPERLINK("https://klasma.github.io/Logging_0188/tillsyn/A 23146-2024 tillsynsbegäran.docx", "A 23146-2024")</f>
        <v/>
      </c>
      <c r="Y201">
        <f>HYPERLINK("https://klasma.github.io/Logging_0188/tillsynsmail/A 23146-2024 tillsynsbegäran mail.docx", "A 23146-2024")</f>
        <v/>
      </c>
    </row>
    <row r="202" ht="15" customHeight="1">
      <c r="A202" t="inlineStr">
        <is>
          <t>A 24577-2024</t>
        </is>
      </c>
      <c r="B202" s="1" t="n">
        <v>45460</v>
      </c>
      <c r="C202" s="1" t="n">
        <v>45766</v>
      </c>
      <c r="D202" t="inlineStr">
        <is>
          <t>STOCKHOLMS LÄN</t>
        </is>
      </c>
      <c r="E202" t="inlineStr">
        <is>
          <t>NORRTÄLJE</t>
        </is>
      </c>
      <c r="G202" t="n">
        <v>3.8</v>
      </c>
      <c r="H202" t="n">
        <v>0</v>
      </c>
      <c r="I202" t="n">
        <v>1</v>
      </c>
      <c r="J202" t="n">
        <v>0</v>
      </c>
      <c r="K202" t="n">
        <v>0</v>
      </c>
      <c r="L202" t="n">
        <v>0</v>
      </c>
      <c r="M202" t="n">
        <v>0</v>
      </c>
      <c r="N202" t="n">
        <v>0</v>
      </c>
      <c r="O202" t="n">
        <v>0</v>
      </c>
      <c r="P202" t="n">
        <v>0</v>
      </c>
      <c r="Q202" t="n">
        <v>1</v>
      </c>
      <c r="R202" s="2" t="inlineStr">
        <is>
          <t>Rostfläck</t>
        </is>
      </c>
      <c r="S202">
        <f>HYPERLINK("https://klasma.github.io/Logging_0188/artfynd/A 24577-2024 artfynd.xlsx", "A 24577-2024")</f>
        <v/>
      </c>
      <c r="T202">
        <f>HYPERLINK("https://klasma.github.io/Logging_0188/kartor/A 24577-2024 karta.png", "A 24577-2024")</f>
        <v/>
      </c>
      <c r="V202">
        <f>HYPERLINK("https://klasma.github.io/Logging_0188/klagomål/A 24577-2024 FSC-klagomål.docx", "A 24577-2024")</f>
        <v/>
      </c>
      <c r="W202">
        <f>HYPERLINK("https://klasma.github.io/Logging_0188/klagomålsmail/A 24577-2024 FSC-klagomål mail.docx", "A 24577-2024")</f>
        <v/>
      </c>
      <c r="X202">
        <f>HYPERLINK("https://klasma.github.io/Logging_0188/tillsyn/A 24577-2024 tillsynsbegäran.docx", "A 24577-2024")</f>
        <v/>
      </c>
      <c r="Y202">
        <f>HYPERLINK("https://klasma.github.io/Logging_0188/tillsynsmail/A 24577-2024 tillsynsbegäran mail.docx", "A 24577-2024")</f>
        <v/>
      </c>
    </row>
    <row r="203" ht="15" customHeight="1">
      <c r="A203" t="inlineStr">
        <is>
          <t>A 24528-2024</t>
        </is>
      </c>
      <c r="B203" s="1" t="n">
        <v>45460</v>
      </c>
      <c r="C203" s="1" t="n">
        <v>45766</v>
      </c>
      <c r="D203" t="inlineStr">
        <is>
          <t>STOCKHOLMS LÄN</t>
        </is>
      </c>
      <c r="E203" t="inlineStr">
        <is>
          <t>NORRTÄLJE</t>
        </is>
      </c>
      <c r="G203" t="n">
        <v>1.4</v>
      </c>
      <c r="H203" t="n">
        <v>1</v>
      </c>
      <c r="I203" t="n">
        <v>0</v>
      </c>
      <c r="J203" t="n">
        <v>0</v>
      </c>
      <c r="K203" t="n">
        <v>1</v>
      </c>
      <c r="L203" t="n">
        <v>0</v>
      </c>
      <c r="M203" t="n">
        <v>0</v>
      </c>
      <c r="N203" t="n">
        <v>0</v>
      </c>
      <c r="O203" t="n">
        <v>1</v>
      </c>
      <c r="P203" t="n">
        <v>1</v>
      </c>
      <c r="Q203" t="n">
        <v>1</v>
      </c>
      <c r="R203" s="2" t="inlineStr">
        <is>
          <t>Hällebräcka</t>
        </is>
      </c>
      <c r="S203">
        <f>HYPERLINK("https://klasma.github.io/Logging_0188/artfynd/A 24528-2024 artfynd.xlsx", "A 24528-2024")</f>
        <v/>
      </c>
      <c r="T203">
        <f>HYPERLINK("https://klasma.github.io/Logging_0188/kartor/A 24528-2024 karta.png", "A 24528-2024")</f>
        <v/>
      </c>
      <c r="V203">
        <f>HYPERLINK("https://klasma.github.io/Logging_0188/klagomål/A 24528-2024 FSC-klagomål.docx", "A 24528-2024")</f>
        <v/>
      </c>
      <c r="W203">
        <f>HYPERLINK("https://klasma.github.io/Logging_0188/klagomålsmail/A 24528-2024 FSC-klagomål mail.docx", "A 24528-2024")</f>
        <v/>
      </c>
      <c r="X203">
        <f>HYPERLINK("https://klasma.github.io/Logging_0188/tillsyn/A 24528-2024 tillsynsbegäran.docx", "A 24528-2024")</f>
        <v/>
      </c>
      <c r="Y203">
        <f>HYPERLINK("https://klasma.github.io/Logging_0188/tillsynsmail/A 24528-2024 tillsynsbegäran mail.docx", "A 24528-2024")</f>
        <v/>
      </c>
    </row>
    <row r="204" ht="15" customHeight="1">
      <c r="A204" t="inlineStr">
        <is>
          <t>A 26120-2024</t>
        </is>
      </c>
      <c r="B204" s="1" t="n">
        <v>45468</v>
      </c>
      <c r="C204" s="1" t="n">
        <v>45766</v>
      </c>
      <c r="D204" t="inlineStr">
        <is>
          <t>STOCKHOLMS LÄN</t>
        </is>
      </c>
      <c r="E204" t="inlineStr">
        <is>
          <t>NORRTÄLJE</t>
        </is>
      </c>
      <c r="G204" t="n">
        <v>1.8</v>
      </c>
      <c r="H204" t="n">
        <v>0</v>
      </c>
      <c r="I204" t="n">
        <v>0</v>
      </c>
      <c r="J204" t="n">
        <v>1</v>
      </c>
      <c r="K204" t="n">
        <v>0</v>
      </c>
      <c r="L204" t="n">
        <v>0</v>
      </c>
      <c r="M204" t="n">
        <v>0</v>
      </c>
      <c r="N204" t="n">
        <v>0</v>
      </c>
      <c r="O204" t="n">
        <v>1</v>
      </c>
      <c r="P204" t="n">
        <v>0</v>
      </c>
      <c r="Q204" t="n">
        <v>1</v>
      </c>
      <c r="R204" s="2" t="inlineStr">
        <is>
          <t>Majviva</t>
        </is>
      </c>
      <c r="S204">
        <f>HYPERLINK("https://klasma.github.io/Logging_0188/artfynd/A 26120-2024 artfynd.xlsx", "A 26120-2024")</f>
        <v/>
      </c>
      <c r="T204">
        <f>HYPERLINK("https://klasma.github.io/Logging_0188/kartor/A 26120-2024 karta.png", "A 26120-2024")</f>
        <v/>
      </c>
      <c r="V204">
        <f>HYPERLINK("https://klasma.github.io/Logging_0188/klagomål/A 26120-2024 FSC-klagomål.docx", "A 26120-2024")</f>
        <v/>
      </c>
      <c r="W204">
        <f>HYPERLINK("https://klasma.github.io/Logging_0188/klagomålsmail/A 26120-2024 FSC-klagomål mail.docx", "A 26120-2024")</f>
        <v/>
      </c>
      <c r="X204">
        <f>HYPERLINK("https://klasma.github.io/Logging_0188/tillsyn/A 26120-2024 tillsynsbegäran.docx", "A 26120-2024")</f>
        <v/>
      </c>
      <c r="Y204">
        <f>HYPERLINK("https://klasma.github.io/Logging_0188/tillsynsmail/A 26120-2024 tillsynsbegäran mail.docx", "A 26120-2024")</f>
        <v/>
      </c>
    </row>
    <row r="205" ht="15" customHeight="1">
      <c r="A205" t="inlineStr">
        <is>
          <t>A 27538-2024</t>
        </is>
      </c>
      <c r="B205" s="1" t="n">
        <v>45474</v>
      </c>
      <c r="C205" s="1" t="n">
        <v>45766</v>
      </c>
      <c r="D205" t="inlineStr">
        <is>
          <t>STOCKHOLMS LÄN</t>
        </is>
      </c>
      <c r="E205" t="inlineStr">
        <is>
          <t>NORRTÄLJE</t>
        </is>
      </c>
      <c r="G205" t="n">
        <v>1.5</v>
      </c>
      <c r="H205" t="n">
        <v>1</v>
      </c>
      <c r="I205" t="n">
        <v>1</v>
      </c>
      <c r="J205" t="n">
        <v>0</v>
      </c>
      <c r="K205" t="n">
        <v>0</v>
      </c>
      <c r="L205" t="n">
        <v>0</v>
      </c>
      <c r="M205" t="n">
        <v>0</v>
      </c>
      <c r="N205" t="n">
        <v>0</v>
      </c>
      <c r="O205" t="n">
        <v>0</v>
      </c>
      <c r="P205" t="n">
        <v>0</v>
      </c>
      <c r="Q205" t="n">
        <v>1</v>
      </c>
      <c r="R205" s="2" t="inlineStr">
        <is>
          <t>Skogsknipprot</t>
        </is>
      </c>
      <c r="S205">
        <f>HYPERLINK("https://klasma.github.io/Logging_0188/artfynd/A 27538-2024 artfynd.xlsx", "A 27538-2024")</f>
        <v/>
      </c>
      <c r="T205">
        <f>HYPERLINK("https://klasma.github.io/Logging_0188/kartor/A 27538-2024 karta.png", "A 27538-2024")</f>
        <v/>
      </c>
      <c r="V205">
        <f>HYPERLINK("https://klasma.github.io/Logging_0188/klagomål/A 27538-2024 FSC-klagomål.docx", "A 27538-2024")</f>
        <v/>
      </c>
      <c r="W205">
        <f>HYPERLINK("https://klasma.github.io/Logging_0188/klagomålsmail/A 27538-2024 FSC-klagomål mail.docx", "A 27538-2024")</f>
        <v/>
      </c>
      <c r="X205">
        <f>HYPERLINK("https://klasma.github.io/Logging_0188/tillsyn/A 27538-2024 tillsynsbegäran.docx", "A 27538-2024")</f>
        <v/>
      </c>
      <c r="Y205">
        <f>HYPERLINK("https://klasma.github.io/Logging_0188/tillsynsmail/A 27538-2024 tillsynsbegäran mail.docx", "A 27538-2024")</f>
        <v/>
      </c>
    </row>
    <row r="206" ht="15" customHeight="1">
      <c r="A206" t="inlineStr">
        <is>
          <t>A 35764-2024</t>
        </is>
      </c>
      <c r="B206" s="1" t="n">
        <v>45532</v>
      </c>
      <c r="C206" s="1" t="n">
        <v>45766</v>
      </c>
      <c r="D206" t="inlineStr">
        <is>
          <t>STOCKHOLMS LÄN</t>
        </is>
      </c>
      <c r="E206" t="inlineStr">
        <is>
          <t>NORRTÄLJE</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HYPERLINK("https://klasma.github.io/Logging_0188/artfynd/A 35764-2024 artfynd.xlsx", "A 35764-2024")</f>
        <v/>
      </c>
      <c r="T206">
        <f>HYPERLINK("https://klasma.github.io/Logging_0188/kartor/A 35764-2024 karta.png", "A 35764-2024")</f>
        <v/>
      </c>
      <c r="U206">
        <f>HYPERLINK("https://klasma.github.io/Logging_0188/knärot/A 35764-2024 karta knärot.png", "A 35764-2024")</f>
        <v/>
      </c>
      <c r="V206">
        <f>HYPERLINK("https://klasma.github.io/Logging_0188/klagomål/A 35764-2024 FSC-klagomål.docx", "A 35764-2024")</f>
        <v/>
      </c>
      <c r="W206">
        <f>HYPERLINK("https://klasma.github.io/Logging_0188/klagomålsmail/A 35764-2024 FSC-klagomål mail.docx", "A 35764-2024")</f>
        <v/>
      </c>
      <c r="X206">
        <f>HYPERLINK("https://klasma.github.io/Logging_0188/tillsyn/A 35764-2024 tillsynsbegäran.docx", "A 35764-2024")</f>
        <v/>
      </c>
      <c r="Y206">
        <f>HYPERLINK("https://klasma.github.io/Logging_0188/tillsynsmail/A 35764-2024 tillsynsbegäran mail.docx", "A 35764-2024")</f>
        <v/>
      </c>
    </row>
    <row r="207" ht="15" customHeight="1">
      <c r="A207" t="inlineStr">
        <is>
          <t>A 37918-2024</t>
        </is>
      </c>
      <c r="B207" s="1" t="n">
        <v>45544</v>
      </c>
      <c r="C207" s="1" t="n">
        <v>45766</v>
      </c>
      <c r="D207" t="inlineStr">
        <is>
          <t>STOCKHOLMS LÄN</t>
        </is>
      </c>
      <c r="E207" t="inlineStr">
        <is>
          <t>NORRTÄLJE</t>
        </is>
      </c>
      <c r="F207" t="inlineStr">
        <is>
          <t>Holmen skog AB</t>
        </is>
      </c>
      <c r="G207" t="n">
        <v>8.4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37918-2024 artfynd.xlsx", "A 37918-2024")</f>
        <v/>
      </c>
      <c r="T207">
        <f>HYPERLINK("https://klasma.github.io/Logging_0188/kartor/A 37918-2024 karta.png", "A 37918-2024")</f>
        <v/>
      </c>
      <c r="V207">
        <f>HYPERLINK("https://klasma.github.io/Logging_0188/klagomål/A 37918-2024 FSC-klagomål.docx", "A 37918-2024")</f>
        <v/>
      </c>
      <c r="W207">
        <f>HYPERLINK("https://klasma.github.io/Logging_0188/klagomålsmail/A 37918-2024 FSC-klagomål mail.docx", "A 37918-2024")</f>
        <v/>
      </c>
      <c r="X207">
        <f>HYPERLINK("https://klasma.github.io/Logging_0188/tillsyn/A 37918-2024 tillsynsbegäran.docx", "A 37918-2024")</f>
        <v/>
      </c>
      <c r="Y207">
        <f>HYPERLINK("https://klasma.github.io/Logging_0188/tillsynsmail/A 37918-2024 tillsynsbegäran mail.docx", "A 37918-2024")</f>
        <v/>
      </c>
    </row>
    <row r="208" ht="15" customHeight="1">
      <c r="A208" t="inlineStr">
        <is>
          <t>A 44547-2024</t>
        </is>
      </c>
      <c r="B208" s="1" t="n">
        <v>45574</v>
      </c>
      <c r="C208" s="1" t="n">
        <v>45766</v>
      </c>
      <c r="D208" t="inlineStr">
        <is>
          <t>STOCKHOLMS LÄN</t>
        </is>
      </c>
      <c r="E208" t="inlineStr">
        <is>
          <t>NORRTÄLJE</t>
        </is>
      </c>
      <c r="G208" t="n">
        <v>11.1</v>
      </c>
      <c r="H208" t="n">
        <v>0</v>
      </c>
      <c r="I208" t="n">
        <v>0</v>
      </c>
      <c r="J208" t="n">
        <v>1</v>
      </c>
      <c r="K208" t="n">
        <v>0</v>
      </c>
      <c r="L208" t="n">
        <v>0</v>
      </c>
      <c r="M208" t="n">
        <v>0</v>
      </c>
      <c r="N208" t="n">
        <v>0</v>
      </c>
      <c r="O208" t="n">
        <v>1</v>
      </c>
      <c r="P208" t="n">
        <v>0</v>
      </c>
      <c r="Q208" t="n">
        <v>1</v>
      </c>
      <c r="R208" s="2" t="inlineStr">
        <is>
          <t>Skogsklocka</t>
        </is>
      </c>
      <c r="S208">
        <f>HYPERLINK("https://klasma.github.io/Logging_0188/artfynd/A 44547-2024 artfynd.xlsx", "A 44547-2024")</f>
        <v/>
      </c>
      <c r="T208">
        <f>HYPERLINK("https://klasma.github.io/Logging_0188/kartor/A 44547-2024 karta.png", "A 44547-2024")</f>
        <v/>
      </c>
      <c r="V208">
        <f>HYPERLINK("https://klasma.github.io/Logging_0188/klagomål/A 44547-2024 FSC-klagomål.docx", "A 44547-2024")</f>
        <v/>
      </c>
      <c r="W208">
        <f>HYPERLINK("https://klasma.github.io/Logging_0188/klagomålsmail/A 44547-2024 FSC-klagomål mail.docx", "A 44547-2024")</f>
        <v/>
      </c>
      <c r="X208">
        <f>HYPERLINK("https://klasma.github.io/Logging_0188/tillsyn/A 44547-2024 tillsynsbegäran.docx", "A 44547-2024")</f>
        <v/>
      </c>
      <c r="Y208">
        <f>HYPERLINK("https://klasma.github.io/Logging_0188/tillsynsmail/A 44547-2024 tillsynsbegäran mail.docx", "A 44547-2024")</f>
        <v/>
      </c>
    </row>
    <row r="209" ht="15" customHeight="1">
      <c r="A209" t="inlineStr">
        <is>
          <t>A 52363-2024</t>
        </is>
      </c>
      <c r="B209" s="1" t="n">
        <v>45609</v>
      </c>
      <c r="C209" s="1" t="n">
        <v>45766</v>
      </c>
      <c r="D209" t="inlineStr">
        <is>
          <t>STOCKHOLMS LÄN</t>
        </is>
      </c>
      <c r="E209" t="inlineStr">
        <is>
          <t>NORRTÄLJE</t>
        </is>
      </c>
      <c r="G209" t="n">
        <v>9.199999999999999</v>
      </c>
      <c r="H209" t="n">
        <v>1</v>
      </c>
      <c r="I209" t="n">
        <v>0</v>
      </c>
      <c r="J209" t="n">
        <v>0</v>
      </c>
      <c r="K209" t="n">
        <v>0</v>
      </c>
      <c r="L209" t="n">
        <v>0</v>
      </c>
      <c r="M209" t="n">
        <v>0</v>
      </c>
      <c r="N209" t="n">
        <v>0</v>
      </c>
      <c r="O209" t="n">
        <v>0</v>
      </c>
      <c r="P209" t="n">
        <v>0</v>
      </c>
      <c r="Q209" t="n">
        <v>1</v>
      </c>
      <c r="R209" s="2" t="inlineStr">
        <is>
          <t>Revlummer</t>
        </is>
      </c>
      <c r="S209">
        <f>HYPERLINK("https://klasma.github.io/Logging_0188/artfynd/A 52363-2024 artfynd.xlsx", "A 52363-2024")</f>
        <v/>
      </c>
      <c r="T209">
        <f>HYPERLINK("https://klasma.github.io/Logging_0188/kartor/A 52363-2024 karta.png", "A 52363-2024")</f>
        <v/>
      </c>
      <c r="V209">
        <f>HYPERLINK("https://klasma.github.io/Logging_0188/klagomål/A 52363-2024 FSC-klagomål.docx", "A 52363-2024")</f>
        <v/>
      </c>
      <c r="W209">
        <f>HYPERLINK("https://klasma.github.io/Logging_0188/klagomålsmail/A 52363-2024 FSC-klagomål mail.docx", "A 52363-2024")</f>
        <v/>
      </c>
      <c r="X209">
        <f>HYPERLINK("https://klasma.github.io/Logging_0188/tillsyn/A 52363-2024 tillsynsbegäran.docx", "A 52363-2024")</f>
        <v/>
      </c>
      <c r="Y209">
        <f>HYPERLINK("https://klasma.github.io/Logging_0188/tillsynsmail/A 52363-2024 tillsynsbegäran mail.docx", "A 52363-2024")</f>
        <v/>
      </c>
    </row>
    <row r="210" ht="15" customHeight="1">
      <c r="A210" t="inlineStr">
        <is>
          <t>A 52611-2024</t>
        </is>
      </c>
      <c r="B210" s="1" t="n">
        <v>45609</v>
      </c>
      <c r="C210" s="1" t="n">
        <v>45766</v>
      </c>
      <c r="D210" t="inlineStr">
        <is>
          <t>STOCKHOLMS LÄN</t>
        </is>
      </c>
      <c r="E210" t="inlineStr">
        <is>
          <t>NORRTÄLJE</t>
        </is>
      </c>
      <c r="G210" t="n">
        <v>10.6</v>
      </c>
      <c r="H210" t="n">
        <v>1</v>
      </c>
      <c r="I210" t="n">
        <v>0</v>
      </c>
      <c r="J210" t="n">
        <v>0</v>
      </c>
      <c r="K210" t="n">
        <v>0</v>
      </c>
      <c r="L210" t="n">
        <v>0</v>
      </c>
      <c r="M210" t="n">
        <v>0</v>
      </c>
      <c r="N210" t="n">
        <v>0</v>
      </c>
      <c r="O210" t="n">
        <v>0</v>
      </c>
      <c r="P210" t="n">
        <v>0</v>
      </c>
      <c r="Q210" t="n">
        <v>1</v>
      </c>
      <c r="R210" s="2" t="inlineStr">
        <is>
          <t>Blåsippa</t>
        </is>
      </c>
      <c r="S210">
        <f>HYPERLINK("https://klasma.github.io/Logging_0188/artfynd/A 52611-2024 artfynd.xlsx", "A 52611-2024")</f>
        <v/>
      </c>
      <c r="T210">
        <f>HYPERLINK("https://klasma.github.io/Logging_0188/kartor/A 52611-2024 karta.png", "A 52611-2024")</f>
        <v/>
      </c>
      <c r="V210">
        <f>HYPERLINK("https://klasma.github.io/Logging_0188/klagomål/A 52611-2024 FSC-klagomål.docx", "A 52611-2024")</f>
        <v/>
      </c>
      <c r="W210">
        <f>HYPERLINK("https://klasma.github.io/Logging_0188/klagomålsmail/A 52611-2024 FSC-klagomål mail.docx", "A 52611-2024")</f>
        <v/>
      </c>
      <c r="X210">
        <f>HYPERLINK("https://klasma.github.io/Logging_0188/tillsyn/A 52611-2024 tillsynsbegäran.docx", "A 52611-2024")</f>
        <v/>
      </c>
      <c r="Y210">
        <f>HYPERLINK("https://klasma.github.io/Logging_0188/tillsynsmail/A 52611-2024 tillsynsbegäran mail.docx", "A 52611-2024")</f>
        <v/>
      </c>
    </row>
    <row r="211" ht="15" customHeight="1">
      <c r="A211" t="inlineStr">
        <is>
          <t>A 62129-2024</t>
        </is>
      </c>
      <c r="B211" s="1" t="n">
        <v>45646</v>
      </c>
      <c r="C211" s="1" t="n">
        <v>45766</v>
      </c>
      <c r="D211" t="inlineStr">
        <is>
          <t>STOCKHOLMS LÄN</t>
        </is>
      </c>
      <c r="E211" t="inlineStr">
        <is>
          <t>NORRTÄLJE</t>
        </is>
      </c>
      <c r="G211" t="n">
        <v>5.9</v>
      </c>
      <c r="H211" t="n">
        <v>0</v>
      </c>
      <c r="I211" t="n">
        <v>1</v>
      </c>
      <c r="J211" t="n">
        <v>0</v>
      </c>
      <c r="K211" t="n">
        <v>0</v>
      </c>
      <c r="L211" t="n">
        <v>0</v>
      </c>
      <c r="M211" t="n">
        <v>0</v>
      </c>
      <c r="N211" t="n">
        <v>0</v>
      </c>
      <c r="O211" t="n">
        <v>0</v>
      </c>
      <c r="P211" t="n">
        <v>0</v>
      </c>
      <c r="Q211" t="n">
        <v>1</v>
      </c>
      <c r="R211" s="2" t="inlineStr">
        <is>
          <t>Bronshjon</t>
        </is>
      </c>
      <c r="S211">
        <f>HYPERLINK("https://klasma.github.io/Logging_0188/artfynd/A 62129-2024 artfynd.xlsx", "A 62129-2024")</f>
        <v/>
      </c>
      <c r="T211">
        <f>HYPERLINK("https://klasma.github.io/Logging_0188/kartor/A 62129-2024 karta.png", "A 62129-2024")</f>
        <v/>
      </c>
      <c r="V211">
        <f>HYPERLINK("https://klasma.github.io/Logging_0188/klagomål/A 62129-2024 FSC-klagomål.docx", "A 62129-2024")</f>
        <v/>
      </c>
      <c r="W211">
        <f>HYPERLINK("https://klasma.github.io/Logging_0188/klagomålsmail/A 62129-2024 FSC-klagomål mail.docx", "A 62129-2024")</f>
        <v/>
      </c>
      <c r="X211">
        <f>HYPERLINK("https://klasma.github.io/Logging_0188/tillsyn/A 62129-2024 tillsynsbegäran.docx", "A 62129-2024")</f>
        <v/>
      </c>
      <c r="Y211">
        <f>HYPERLINK("https://klasma.github.io/Logging_0188/tillsynsmail/A 62129-2024 tillsynsbegäran mail.docx", "A 62129-2024")</f>
        <v/>
      </c>
    </row>
    <row r="212" ht="15" customHeight="1">
      <c r="A212" t="inlineStr">
        <is>
          <t>A 3116-2025</t>
        </is>
      </c>
      <c r="B212" s="1" t="n">
        <v>45678</v>
      </c>
      <c r="C212" s="1" t="n">
        <v>45766</v>
      </c>
      <c r="D212" t="inlineStr">
        <is>
          <t>STOCKHOLMS LÄN</t>
        </is>
      </c>
      <c r="E212" t="inlineStr">
        <is>
          <t>NORRTÄLJE</t>
        </is>
      </c>
      <c r="G212" t="n">
        <v>10.8</v>
      </c>
      <c r="H212" t="n">
        <v>1</v>
      </c>
      <c r="I212" t="n">
        <v>0</v>
      </c>
      <c r="J212" t="n">
        <v>0</v>
      </c>
      <c r="K212" t="n">
        <v>0</v>
      </c>
      <c r="L212" t="n">
        <v>0</v>
      </c>
      <c r="M212" t="n">
        <v>0</v>
      </c>
      <c r="N212" t="n">
        <v>0</v>
      </c>
      <c r="O212" t="n">
        <v>0</v>
      </c>
      <c r="P212" t="n">
        <v>0</v>
      </c>
      <c r="Q212" t="n">
        <v>1</v>
      </c>
      <c r="R212" s="2" t="inlineStr">
        <is>
          <t>Mattlummer</t>
        </is>
      </c>
      <c r="S212">
        <f>HYPERLINK("https://klasma.github.io/Logging_0188/artfynd/A 3116-2025 artfynd.xlsx", "A 3116-2025")</f>
        <v/>
      </c>
      <c r="T212">
        <f>HYPERLINK("https://klasma.github.io/Logging_0188/kartor/A 3116-2025 karta.png", "A 3116-2025")</f>
        <v/>
      </c>
      <c r="V212">
        <f>HYPERLINK("https://klasma.github.io/Logging_0188/klagomål/A 3116-2025 FSC-klagomål.docx", "A 3116-2025")</f>
        <v/>
      </c>
      <c r="W212">
        <f>HYPERLINK("https://klasma.github.io/Logging_0188/klagomålsmail/A 3116-2025 FSC-klagomål mail.docx", "A 3116-2025")</f>
        <v/>
      </c>
      <c r="X212">
        <f>HYPERLINK("https://klasma.github.io/Logging_0188/tillsyn/A 3116-2025 tillsynsbegäran.docx", "A 3116-2025")</f>
        <v/>
      </c>
      <c r="Y212">
        <f>HYPERLINK("https://klasma.github.io/Logging_0188/tillsynsmail/A 3116-2025 tillsynsbegäran mail.docx", "A 3116-2025")</f>
        <v/>
      </c>
    </row>
    <row r="213" ht="15" customHeight="1">
      <c r="A213" t="inlineStr">
        <is>
          <t>A 4532-2025</t>
        </is>
      </c>
      <c r="B213" s="1" t="n">
        <v>45687</v>
      </c>
      <c r="C213" s="1" t="n">
        <v>45766</v>
      </c>
      <c r="D213" t="inlineStr">
        <is>
          <t>STOCKHOLMS LÄN</t>
        </is>
      </c>
      <c r="E213" t="inlineStr">
        <is>
          <t>NORRTÄLJE</t>
        </is>
      </c>
      <c r="F213" t="inlineStr">
        <is>
          <t>Holmen skog AB</t>
        </is>
      </c>
      <c r="G213" t="n">
        <v>6.4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4532-2025 artfynd.xlsx", "A 4532-2025")</f>
        <v/>
      </c>
      <c r="T213">
        <f>HYPERLINK("https://klasma.github.io/Logging_0188/kartor/A 4532-2025 karta.png", "A 4532-2025")</f>
        <v/>
      </c>
      <c r="V213">
        <f>HYPERLINK("https://klasma.github.io/Logging_0188/klagomål/A 4532-2025 FSC-klagomål.docx", "A 4532-2025")</f>
        <v/>
      </c>
      <c r="W213">
        <f>HYPERLINK("https://klasma.github.io/Logging_0188/klagomålsmail/A 4532-2025 FSC-klagomål mail.docx", "A 4532-2025")</f>
        <v/>
      </c>
      <c r="X213">
        <f>HYPERLINK("https://klasma.github.io/Logging_0188/tillsyn/A 4532-2025 tillsynsbegäran.docx", "A 4532-2025")</f>
        <v/>
      </c>
      <c r="Y213">
        <f>HYPERLINK("https://klasma.github.io/Logging_0188/tillsynsmail/A 4532-2025 tillsynsbegäran mail.docx", "A 4532-2025")</f>
        <v/>
      </c>
    </row>
    <row r="214" ht="15" customHeight="1">
      <c r="A214" t="inlineStr">
        <is>
          <t>A 8371-2025</t>
        </is>
      </c>
      <c r="B214" s="1" t="n">
        <v>45708</v>
      </c>
      <c r="C214" s="1" t="n">
        <v>45766</v>
      </c>
      <c r="D214" t="inlineStr">
        <is>
          <t>STOCKHOLMS LÄN</t>
        </is>
      </c>
      <c r="E214" t="inlineStr">
        <is>
          <t>NORRTÄLJE</t>
        </is>
      </c>
      <c r="F214" t="inlineStr">
        <is>
          <t>Övriga Aktiebolag</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HYPERLINK("https://klasma.github.io/Logging_0188/artfynd/A 8371-2025 artfynd.xlsx", "A 8371-2025")</f>
        <v/>
      </c>
      <c r="T214">
        <f>HYPERLINK("https://klasma.github.io/Logging_0188/kartor/A 8371-2025 karta.png", "A 8371-2025")</f>
        <v/>
      </c>
      <c r="V214">
        <f>HYPERLINK("https://klasma.github.io/Logging_0188/klagomål/A 8371-2025 FSC-klagomål.docx", "A 8371-2025")</f>
        <v/>
      </c>
      <c r="W214">
        <f>HYPERLINK("https://klasma.github.io/Logging_0188/klagomålsmail/A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tillsynsbegäran mail.docx", "A 8371-2025")</f>
        <v/>
      </c>
      <c r="Z214">
        <f>HYPERLINK("https://klasma.github.io/Logging_0188/fåglar/A 8371-2025 prioriterade fågelarter.docx", "A 8371-2025")</f>
        <v/>
      </c>
    </row>
    <row r="215" ht="15" customHeight="1">
      <c r="A215" t="inlineStr">
        <is>
          <t>A 13271-2025</t>
        </is>
      </c>
      <c r="B215" s="1" t="n">
        <v>45735</v>
      </c>
      <c r="C215" s="1" t="n">
        <v>45766</v>
      </c>
      <c r="D215" t="inlineStr">
        <is>
          <t>STOCKHOLMS LÄN</t>
        </is>
      </c>
      <c r="E215" t="inlineStr">
        <is>
          <t>NORRTÄLJE</t>
        </is>
      </c>
      <c r="G215" t="n">
        <v>7.2</v>
      </c>
      <c r="H215" t="n">
        <v>1</v>
      </c>
      <c r="I215" t="n">
        <v>0</v>
      </c>
      <c r="J215" t="n">
        <v>0</v>
      </c>
      <c r="K215" t="n">
        <v>0</v>
      </c>
      <c r="L215" t="n">
        <v>1</v>
      </c>
      <c r="M215" t="n">
        <v>0</v>
      </c>
      <c r="N215" t="n">
        <v>0</v>
      </c>
      <c r="O215" t="n">
        <v>1</v>
      </c>
      <c r="P215" t="n">
        <v>1</v>
      </c>
      <c r="Q215" t="n">
        <v>1</v>
      </c>
      <c r="R215" s="2" t="inlineStr">
        <is>
          <t>Asknätfjäril</t>
        </is>
      </c>
      <c r="S215">
        <f>HYPERLINK("https://klasma.github.io/Logging_010188/artfynd/A 13271-2025 artfynd.xlsx", "A 13271-2025")</f>
        <v/>
      </c>
      <c r="T215">
        <f>HYPERLINK("https://klasma.github.io/Logging_010188/kartor/A 13271-2025 karta.png", "A 13271-2025")</f>
        <v/>
      </c>
      <c r="V215">
        <f>HYPERLINK("https://klasma.github.io/Logging_010188/klagomål/A 13271-2025 FSC-klagomål.docx", "A 13271-2025")</f>
        <v/>
      </c>
      <c r="W215">
        <f>HYPERLINK("https://klasma.github.io/Logging_010188/klagomålsmail/A 13271-2025 FSC-klagomål mail.docx", "A 13271-2025")</f>
        <v/>
      </c>
      <c r="X215">
        <f>HYPERLINK("https://klasma.github.io/Logging_010188/tillsyn/A 13271-2025 tillsynsbegäran.docx", "A 13271-2025")</f>
        <v/>
      </c>
      <c r="Y215">
        <f>HYPERLINK("https://klasma.github.io/Logging_010188/tillsynsmail/A 13271-2025 tillsynsbegäran mail.docx", "A 13271-2025")</f>
        <v/>
      </c>
    </row>
    <row r="216" ht="15" customHeight="1">
      <c r="A216" t="inlineStr">
        <is>
          <t>A 16870-2025</t>
        </is>
      </c>
      <c r="B216" s="1" t="n">
        <v>45754</v>
      </c>
      <c r="C216" s="1" t="n">
        <v>45766</v>
      </c>
      <c r="D216" t="inlineStr">
        <is>
          <t>STOCKHOLMS LÄN</t>
        </is>
      </c>
      <c r="E216" t="inlineStr">
        <is>
          <t>NORRTÄLJE</t>
        </is>
      </c>
      <c r="G216" t="n">
        <v>24.6</v>
      </c>
      <c r="H216" t="n">
        <v>1</v>
      </c>
      <c r="I216" t="n">
        <v>0</v>
      </c>
      <c r="J216" t="n">
        <v>0</v>
      </c>
      <c r="K216" t="n">
        <v>0</v>
      </c>
      <c r="L216" t="n">
        <v>0</v>
      </c>
      <c r="M216" t="n">
        <v>0</v>
      </c>
      <c r="N216" t="n">
        <v>0</v>
      </c>
      <c r="O216" t="n">
        <v>0</v>
      </c>
      <c r="P216" t="n">
        <v>0</v>
      </c>
      <c r="Q216" t="n">
        <v>1</v>
      </c>
      <c r="R216" s="2" t="inlineStr">
        <is>
          <t>Vanlig groda</t>
        </is>
      </c>
      <c r="S216">
        <f>HYPERLINK("https://klasma.github.io/Logging_010188/artfynd/A 16870-2025 artfynd.xlsx", "A 16870-2025")</f>
        <v/>
      </c>
      <c r="T216">
        <f>HYPERLINK("https://klasma.github.io/Logging_010188/kartor/A 16870-2025 karta.png", "A 16870-2025")</f>
        <v/>
      </c>
      <c r="V216">
        <f>HYPERLINK("https://klasma.github.io/Logging_010188/klagomål/A 16870-2025 FSC-klagomål.docx", "A 16870-2025")</f>
        <v/>
      </c>
      <c r="W216">
        <f>HYPERLINK("https://klasma.github.io/Logging_010188/klagomålsmail/A 16870-2025 FSC-klagomål mail.docx", "A 16870-2025")</f>
        <v/>
      </c>
      <c r="X216">
        <f>HYPERLINK("https://klasma.github.io/Logging_010188/tillsyn/A 16870-2025 tillsynsbegäran.docx", "A 16870-2025")</f>
        <v/>
      </c>
      <c r="Y216">
        <f>HYPERLINK("https://klasma.github.io/Logging_010188/tillsynsmail/A 16870-2025 tillsynsbegäran mail.docx", "A 16870-2025")</f>
        <v/>
      </c>
    </row>
    <row r="217" ht="15" customHeight="1">
      <c r="A217" t="inlineStr">
        <is>
          <t>A 17752-2019</t>
        </is>
      </c>
      <c r="B217" s="1" t="n">
        <v>43556</v>
      </c>
      <c r="C217" s="1" t="n">
        <v>45766</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17795-2019</t>
        </is>
      </c>
      <c r="B218" s="1" t="n">
        <v>43556</v>
      </c>
      <c r="C218" s="1" t="n">
        <v>45766</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17757-2019</t>
        </is>
      </c>
      <c r="B219" s="1" t="n">
        <v>43556</v>
      </c>
      <c r="C219" s="1" t="n">
        <v>45766</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17963-2019</t>
        </is>
      </c>
      <c r="B220" s="1" t="n">
        <v>43557</v>
      </c>
      <c r="C220" s="1" t="n">
        <v>45766</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18378-2019</t>
        </is>
      </c>
      <c r="B221" s="1" t="n">
        <v>43559</v>
      </c>
      <c r="C221" s="1" t="n">
        <v>45766</v>
      </c>
      <c r="D221" t="inlineStr">
        <is>
          <t>STOCKHOLMS LÄN</t>
        </is>
      </c>
      <c r="E221" t="inlineStr">
        <is>
          <t>NORRTÄLJE</t>
        </is>
      </c>
      <c r="G221" t="n">
        <v>5.8</v>
      </c>
      <c r="H221" t="n">
        <v>0</v>
      </c>
      <c r="I221" t="n">
        <v>0</v>
      </c>
      <c r="J221" t="n">
        <v>0</v>
      </c>
      <c r="K221" t="n">
        <v>0</v>
      </c>
      <c r="L221" t="n">
        <v>0</v>
      </c>
      <c r="M221" t="n">
        <v>0</v>
      </c>
      <c r="N221" t="n">
        <v>0</v>
      </c>
      <c r="O221" t="n">
        <v>0</v>
      </c>
      <c r="P221" t="n">
        <v>0</v>
      </c>
      <c r="Q221" t="n">
        <v>0</v>
      </c>
      <c r="R221" s="2" t="inlineStr"/>
    </row>
    <row r="222" ht="15" customHeight="1">
      <c r="A222" t="inlineStr">
        <is>
          <t>A 18664-2019</t>
        </is>
      </c>
      <c r="B222" s="1" t="n">
        <v>43560</v>
      </c>
      <c r="C222" s="1" t="n">
        <v>45766</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18767-2019</t>
        </is>
      </c>
      <c r="B223" s="1" t="n">
        <v>43560</v>
      </c>
      <c r="C223" s="1" t="n">
        <v>45766</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18820-2019</t>
        </is>
      </c>
      <c r="B224" s="1" t="n">
        <v>43563</v>
      </c>
      <c r="C224" s="1" t="n">
        <v>45766</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18890-2019</t>
        </is>
      </c>
      <c r="B225" s="1" t="n">
        <v>43563</v>
      </c>
      <c r="C225" s="1" t="n">
        <v>45766</v>
      </c>
      <c r="D225" t="inlineStr">
        <is>
          <t>STOCKHOLMS LÄN</t>
        </is>
      </c>
      <c r="E225" t="inlineStr">
        <is>
          <t>NORRTÄLJE</t>
        </is>
      </c>
      <c r="G225" t="n">
        <v>4.7</v>
      </c>
      <c r="H225" t="n">
        <v>0</v>
      </c>
      <c r="I225" t="n">
        <v>0</v>
      </c>
      <c r="J225" t="n">
        <v>0</v>
      </c>
      <c r="K225" t="n">
        <v>0</v>
      </c>
      <c r="L225" t="n">
        <v>0</v>
      </c>
      <c r="M225" t="n">
        <v>0</v>
      </c>
      <c r="N225" t="n">
        <v>0</v>
      </c>
      <c r="O225" t="n">
        <v>0</v>
      </c>
      <c r="P225" t="n">
        <v>0</v>
      </c>
      <c r="Q225" t="n">
        <v>0</v>
      </c>
      <c r="R225" s="2" t="inlineStr"/>
    </row>
    <row r="226" ht="15" customHeight="1">
      <c r="A226" t="inlineStr">
        <is>
          <t>A 18909-2019</t>
        </is>
      </c>
      <c r="B226" s="1" t="n">
        <v>43563</v>
      </c>
      <c r="C226" s="1" t="n">
        <v>45766</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19026-2019</t>
        </is>
      </c>
      <c r="B227" s="1" t="n">
        <v>43563</v>
      </c>
      <c r="C227" s="1" t="n">
        <v>45766</v>
      </c>
      <c r="D227" t="inlineStr">
        <is>
          <t>STOCKHOLMS LÄN</t>
        </is>
      </c>
      <c r="E227" t="inlineStr">
        <is>
          <t>NORRTÄLJE</t>
        </is>
      </c>
      <c r="G227" t="n">
        <v>4.4</v>
      </c>
      <c r="H227" t="n">
        <v>0</v>
      </c>
      <c r="I227" t="n">
        <v>0</v>
      </c>
      <c r="J227" t="n">
        <v>0</v>
      </c>
      <c r="K227" t="n">
        <v>0</v>
      </c>
      <c r="L227" t="n">
        <v>0</v>
      </c>
      <c r="M227" t="n">
        <v>0</v>
      </c>
      <c r="N227" t="n">
        <v>0</v>
      </c>
      <c r="O227" t="n">
        <v>0</v>
      </c>
      <c r="P227" t="n">
        <v>0</v>
      </c>
      <c r="Q227" t="n">
        <v>0</v>
      </c>
      <c r="R227" s="2" t="inlineStr"/>
    </row>
    <row r="228" ht="15" customHeight="1">
      <c r="A228" t="inlineStr">
        <is>
          <t>A 19014-2019</t>
        </is>
      </c>
      <c r="B228" s="1" t="n">
        <v>43563</v>
      </c>
      <c r="C228" s="1" t="n">
        <v>45766</v>
      </c>
      <c r="D228" t="inlineStr">
        <is>
          <t>STOCKHOLMS LÄN</t>
        </is>
      </c>
      <c r="E228" t="inlineStr">
        <is>
          <t>NORRTÄLJE</t>
        </is>
      </c>
      <c r="G228" t="n">
        <v>2.2</v>
      </c>
      <c r="H228" t="n">
        <v>0</v>
      </c>
      <c r="I228" t="n">
        <v>0</v>
      </c>
      <c r="J228" t="n">
        <v>0</v>
      </c>
      <c r="K228" t="n">
        <v>0</v>
      </c>
      <c r="L228" t="n">
        <v>0</v>
      </c>
      <c r="M228" t="n">
        <v>0</v>
      </c>
      <c r="N228" t="n">
        <v>0</v>
      </c>
      <c r="O228" t="n">
        <v>0</v>
      </c>
      <c r="P228" t="n">
        <v>0</v>
      </c>
      <c r="Q228" t="n">
        <v>0</v>
      </c>
      <c r="R228" s="2" t="inlineStr"/>
    </row>
    <row r="229" ht="15" customHeight="1">
      <c r="A229" t="inlineStr">
        <is>
          <t>A 19247-2019</t>
        </is>
      </c>
      <c r="B229" s="1" t="n">
        <v>43564</v>
      </c>
      <c r="C229" s="1" t="n">
        <v>45766</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19255-2019</t>
        </is>
      </c>
      <c r="B230" s="1" t="n">
        <v>43564</v>
      </c>
      <c r="C230" s="1" t="n">
        <v>45766</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19302-2019</t>
        </is>
      </c>
      <c r="B231" s="1" t="n">
        <v>43565</v>
      </c>
      <c r="C231" s="1" t="n">
        <v>45766</v>
      </c>
      <c r="D231" t="inlineStr">
        <is>
          <t>STOCKHOLMS LÄN</t>
        </is>
      </c>
      <c r="E231" t="inlineStr">
        <is>
          <t>NORRTÄLJE</t>
        </is>
      </c>
      <c r="F231" t="inlineStr">
        <is>
          <t>Kommuner</t>
        </is>
      </c>
      <c r="G231" t="n">
        <v>4.2</v>
      </c>
      <c r="H231" t="n">
        <v>0</v>
      </c>
      <c r="I231" t="n">
        <v>0</v>
      </c>
      <c r="J231" t="n">
        <v>0</v>
      </c>
      <c r="K231" t="n">
        <v>0</v>
      </c>
      <c r="L231" t="n">
        <v>0</v>
      </c>
      <c r="M231" t="n">
        <v>0</v>
      </c>
      <c r="N231" t="n">
        <v>0</v>
      </c>
      <c r="O231" t="n">
        <v>0</v>
      </c>
      <c r="P231" t="n">
        <v>0</v>
      </c>
      <c r="Q231" t="n">
        <v>0</v>
      </c>
      <c r="R231" s="2" t="inlineStr"/>
    </row>
    <row r="232" ht="15" customHeight="1">
      <c r="A232" t="inlineStr">
        <is>
          <t>A 19301-2019</t>
        </is>
      </c>
      <c r="B232" s="1" t="n">
        <v>43565</v>
      </c>
      <c r="C232" s="1" t="n">
        <v>45766</v>
      </c>
      <c r="D232" t="inlineStr">
        <is>
          <t>STOCKHOLMS LÄN</t>
        </is>
      </c>
      <c r="E232" t="inlineStr">
        <is>
          <t>NORRTÄLJE</t>
        </is>
      </c>
      <c r="F232" t="inlineStr">
        <is>
          <t>Kommuner</t>
        </is>
      </c>
      <c r="G232" t="n">
        <v>3.9</v>
      </c>
      <c r="H232" t="n">
        <v>0</v>
      </c>
      <c r="I232" t="n">
        <v>0</v>
      </c>
      <c r="J232" t="n">
        <v>0</v>
      </c>
      <c r="K232" t="n">
        <v>0</v>
      </c>
      <c r="L232" t="n">
        <v>0</v>
      </c>
      <c r="M232" t="n">
        <v>0</v>
      </c>
      <c r="N232" t="n">
        <v>0</v>
      </c>
      <c r="O232" t="n">
        <v>0</v>
      </c>
      <c r="P232" t="n">
        <v>0</v>
      </c>
      <c r="Q232" t="n">
        <v>0</v>
      </c>
      <c r="R232" s="2" t="inlineStr"/>
    </row>
    <row r="233" ht="15" customHeight="1">
      <c r="A233" t="inlineStr">
        <is>
          <t>A 19297-2019</t>
        </is>
      </c>
      <c r="B233" s="1" t="n">
        <v>43565</v>
      </c>
      <c r="C233" s="1" t="n">
        <v>45766</v>
      </c>
      <c r="D233" t="inlineStr">
        <is>
          <t>STOCKHOLMS LÄN</t>
        </is>
      </c>
      <c r="E233" t="inlineStr">
        <is>
          <t>NORRTÄLJE</t>
        </is>
      </c>
      <c r="F233" t="inlineStr">
        <is>
          <t>Kommuner</t>
        </is>
      </c>
      <c r="G233" t="n">
        <v>1.2</v>
      </c>
      <c r="H233" t="n">
        <v>0</v>
      </c>
      <c r="I233" t="n">
        <v>0</v>
      </c>
      <c r="J233" t="n">
        <v>0</v>
      </c>
      <c r="K233" t="n">
        <v>0</v>
      </c>
      <c r="L233" t="n">
        <v>0</v>
      </c>
      <c r="M233" t="n">
        <v>0</v>
      </c>
      <c r="N233" t="n">
        <v>0</v>
      </c>
      <c r="O233" t="n">
        <v>0</v>
      </c>
      <c r="P233" t="n">
        <v>0</v>
      </c>
      <c r="Q233" t="n">
        <v>0</v>
      </c>
      <c r="R233" s="2" t="inlineStr"/>
    </row>
    <row r="234" ht="15" customHeight="1">
      <c r="A234" t="inlineStr">
        <is>
          <t>A 19537-2019</t>
        </is>
      </c>
      <c r="B234" s="1" t="n">
        <v>43565</v>
      </c>
      <c r="C234" s="1" t="n">
        <v>45766</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19539-2019</t>
        </is>
      </c>
      <c r="B235" s="1" t="n">
        <v>43565</v>
      </c>
      <c r="C235" s="1" t="n">
        <v>45766</v>
      </c>
      <c r="D235" t="inlineStr">
        <is>
          <t>STOCKHOLMS LÄN</t>
        </is>
      </c>
      <c r="E235" t="inlineStr">
        <is>
          <t>NORRTÄLJE</t>
        </is>
      </c>
      <c r="G235" t="n">
        <v>2.4</v>
      </c>
      <c r="H235" t="n">
        <v>0</v>
      </c>
      <c r="I235" t="n">
        <v>0</v>
      </c>
      <c r="J235" t="n">
        <v>0</v>
      </c>
      <c r="K235" t="n">
        <v>0</v>
      </c>
      <c r="L235" t="n">
        <v>0</v>
      </c>
      <c r="M235" t="n">
        <v>0</v>
      </c>
      <c r="N235" t="n">
        <v>0</v>
      </c>
      <c r="O235" t="n">
        <v>0</v>
      </c>
      <c r="P235" t="n">
        <v>0</v>
      </c>
      <c r="Q235" t="n">
        <v>0</v>
      </c>
      <c r="R235" s="2" t="inlineStr"/>
    </row>
    <row r="236" ht="15" customHeight="1">
      <c r="A236" t="inlineStr">
        <is>
          <t>A 19540-2019</t>
        </is>
      </c>
      <c r="B236" s="1" t="n">
        <v>43565</v>
      </c>
      <c r="C236" s="1" t="n">
        <v>45766</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19638-2019</t>
        </is>
      </c>
      <c r="B237" s="1" t="n">
        <v>43566</v>
      </c>
      <c r="C237" s="1" t="n">
        <v>45766</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19593-2019</t>
        </is>
      </c>
      <c r="B238" s="1" t="n">
        <v>43566</v>
      </c>
      <c r="C238" s="1" t="n">
        <v>45766</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19872-2019</t>
        </is>
      </c>
      <c r="B239" s="1" t="n">
        <v>43567</v>
      </c>
      <c r="C239" s="1" t="n">
        <v>45766</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19811-2019</t>
        </is>
      </c>
      <c r="B240" s="1" t="n">
        <v>43567</v>
      </c>
      <c r="C240" s="1" t="n">
        <v>45766</v>
      </c>
      <c r="D240" t="inlineStr">
        <is>
          <t>STOCKHOLMS LÄN</t>
        </is>
      </c>
      <c r="E240" t="inlineStr">
        <is>
          <t>NORRTÄLJE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19812-2019</t>
        </is>
      </c>
      <c r="B241" s="1" t="n">
        <v>43567</v>
      </c>
      <c r="C241" s="1" t="n">
        <v>45766</v>
      </c>
      <c r="D241" t="inlineStr">
        <is>
          <t>STOCKHOLMS LÄN</t>
        </is>
      </c>
      <c r="E241" t="inlineStr">
        <is>
          <t>NORRTÄLJE</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19931-2019</t>
        </is>
      </c>
      <c r="B242" s="1" t="n">
        <v>43568</v>
      </c>
      <c r="C242" s="1" t="n">
        <v>45766</v>
      </c>
      <c r="D242" t="inlineStr">
        <is>
          <t>STOCKHOLMS LÄN</t>
        </is>
      </c>
      <c r="E242" t="inlineStr">
        <is>
          <t>NORRTÄLJE</t>
        </is>
      </c>
      <c r="G242" t="n">
        <v>4.2</v>
      </c>
      <c r="H242" t="n">
        <v>0</v>
      </c>
      <c r="I242" t="n">
        <v>0</v>
      </c>
      <c r="J242" t="n">
        <v>0</v>
      </c>
      <c r="K242" t="n">
        <v>0</v>
      </c>
      <c r="L242" t="n">
        <v>0</v>
      </c>
      <c r="M242" t="n">
        <v>0</v>
      </c>
      <c r="N242" t="n">
        <v>0</v>
      </c>
      <c r="O242" t="n">
        <v>0</v>
      </c>
      <c r="P242" t="n">
        <v>0</v>
      </c>
      <c r="Q242" t="n">
        <v>0</v>
      </c>
      <c r="R242" s="2" t="inlineStr"/>
    </row>
    <row r="243" ht="15" customHeight="1">
      <c r="A243" t="inlineStr">
        <is>
          <t>A 20033-2019</t>
        </is>
      </c>
      <c r="B243" s="1" t="n">
        <v>43570</v>
      </c>
      <c r="C243" s="1" t="n">
        <v>45766</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20020-2019</t>
        </is>
      </c>
      <c r="B244" s="1" t="n">
        <v>43570</v>
      </c>
      <c r="C244" s="1" t="n">
        <v>45766</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20051-2019</t>
        </is>
      </c>
      <c r="B245" s="1" t="n">
        <v>43570</v>
      </c>
      <c r="C245" s="1" t="n">
        <v>45766</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20137-2019</t>
        </is>
      </c>
      <c r="B246" s="1" t="n">
        <v>43570</v>
      </c>
      <c r="C246" s="1" t="n">
        <v>45766</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20007-2019</t>
        </is>
      </c>
      <c r="B247" s="1" t="n">
        <v>43570</v>
      </c>
      <c r="C247" s="1" t="n">
        <v>45766</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20052-2019</t>
        </is>
      </c>
      <c r="B248" s="1" t="n">
        <v>43570</v>
      </c>
      <c r="C248" s="1" t="n">
        <v>45766</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20159-2019</t>
        </is>
      </c>
      <c r="B249" s="1" t="n">
        <v>43570</v>
      </c>
      <c r="C249" s="1" t="n">
        <v>45766</v>
      </c>
      <c r="D249" t="inlineStr">
        <is>
          <t>STOCKHOLMS LÄN</t>
        </is>
      </c>
      <c r="E249" t="inlineStr">
        <is>
          <t>NORRTÄLJE</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20181-2019</t>
        </is>
      </c>
      <c r="B250" s="1" t="n">
        <v>43570</v>
      </c>
      <c r="C250" s="1" t="n">
        <v>45766</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20184-2019</t>
        </is>
      </c>
      <c r="B251" s="1" t="n">
        <v>43570</v>
      </c>
      <c r="C251" s="1" t="n">
        <v>45766</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20193-2019</t>
        </is>
      </c>
      <c r="B252" s="1" t="n">
        <v>43570</v>
      </c>
      <c r="C252" s="1" t="n">
        <v>45766</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20090-2019</t>
        </is>
      </c>
      <c r="B253" s="1" t="n">
        <v>43570</v>
      </c>
      <c r="C253" s="1" t="n">
        <v>45766</v>
      </c>
      <c r="D253" t="inlineStr">
        <is>
          <t>STOCKHOLMS LÄN</t>
        </is>
      </c>
      <c r="E253" t="inlineStr">
        <is>
          <t>NORRTÄLJE</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20165-2019</t>
        </is>
      </c>
      <c r="B254" s="1" t="n">
        <v>43570</v>
      </c>
      <c r="C254" s="1" t="n">
        <v>45766</v>
      </c>
      <c r="D254" t="inlineStr">
        <is>
          <t>STOCKHOLMS LÄN</t>
        </is>
      </c>
      <c r="E254" t="inlineStr">
        <is>
          <t>NORRTÄLJE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20023-2019</t>
        </is>
      </c>
      <c r="B255" s="1" t="n">
        <v>43570</v>
      </c>
      <c r="C255" s="1" t="n">
        <v>45766</v>
      </c>
      <c r="D255" t="inlineStr">
        <is>
          <t>STOCKHOLMS LÄN</t>
        </is>
      </c>
      <c r="E255" t="inlineStr">
        <is>
          <t>NORRTÄLJE</t>
        </is>
      </c>
      <c r="G255" t="n">
        <v>5.1</v>
      </c>
      <c r="H255" t="n">
        <v>0</v>
      </c>
      <c r="I255" t="n">
        <v>0</v>
      </c>
      <c r="J255" t="n">
        <v>0</v>
      </c>
      <c r="K255" t="n">
        <v>0</v>
      </c>
      <c r="L255" t="n">
        <v>0</v>
      </c>
      <c r="M255" t="n">
        <v>0</v>
      </c>
      <c r="N255" t="n">
        <v>0</v>
      </c>
      <c r="O255" t="n">
        <v>0</v>
      </c>
      <c r="P255" t="n">
        <v>0</v>
      </c>
      <c r="Q255" t="n">
        <v>0</v>
      </c>
      <c r="R255" s="2" t="inlineStr"/>
    </row>
    <row r="256" ht="15" customHeight="1">
      <c r="A256" t="inlineStr">
        <is>
          <t>A 20531-2019</t>
        </is>
      </c>
      <c r="B256" s="1" t="n">
        <v>43572</v>
      </c>
      <c r="C256" s="1" t="n">
        <v>45766</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20743-2019</t>
        </is>
      </c>
      <c r="B257" s="1" t="n">
        <v>43573</v>
      </c>
      <c r="C257" s="1" t="n">
        <v>45766</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20809-2019</t>
        </is>
      </c>
      <c r="B258" s="1" t="n">
        <v>43573</v>
      </c>
      <c r="C258" s="1" t="n">
        <v>45766</v>
      </c>
      <c r="D258" t="inlineStr">
        <is>
          <t>STOCKHOLMS LÄN</t>
        </is>
      </c>
      <c r="E258" t="inlineStr">
        <is>
          <t>NORRTÄLJE</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20925-2019</t>
        </is>
      </c>
      <c r="B259" s="1" t="n">
        <v>43578</v>
      </c>
      <c r="C259" s="1" t="n">
        <v>45766</v>
      </c>
      <c r="D259" t="inlineStr">
        <is>
          <t>STOCKHOLMS LÄN</t>
        </is>
      </c>
      <c r="E259" t="inlineStr">
        <is>
          <t>NORRTÄLJE</t>
        </is>
      </c>
      <c r="G259" t="n">
        <v>5</v>
      </c>
      <c r="H259" t="n">
        <v>0</v>
      </c>
      <c r="I259" t="n">
        <v>0</v>
      </c>
      <c r="J259" t="n">
        <v>0</v>
      </c>
      <c r="K259" t="n">
        <v>0</v>
      </c>
      <c r="L259" t="n">
        <v>0</v>
      </c>
      <c r="M259" t="n">
        <v>0</v>
      </c>
      <c r="N259" t="n">
        <v>0</v>
      </c>
      <c r="O259" t="n">
        <v>0</v>
      </c>
      <c r="P259" t="n">
        <v>0</v>
      </c>
      <c r="Q259" t="n">
        <v>0</v>
      </c>
      <c r="R259" s="2" t="inlineStr"/>
    </row>
    <row r="260" ht="15" customHeight="1">
      <c r="A260" t="inlineStr">
        <is>
          <t>A 21062-2019</t>
        </is>
      </c>
      <c r="B260" s="1" t="n">
        <v>43578</v>
      </c>
      <c r="C260" s="1" t="n">
        <v>45766</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21441-2019</t>
        </is>
      </c>
      <c r="B261" s="1" t="n">
        <v>43580</v>
      </c>
      <c r="C261" s="1" t="n">
        <v>45766</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21521-2019</t>
        </is>
      </c>
      <c r="B262" s="1" t="n">
        <v>43580</v>
      </c>
      <c r="C262" s="1" t="n">
        <v>45766</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21508-2019</t>
        </is>
      </c>
      <c r="B263" s="1" t="n">
        <v>43580</v>
      </c>
      <c r="C263" s="1" t="n">
        <v>45766</v>
      </c>
      <c r="D263" t="inlineStr">
        <is>
          <t>STOCKHOLMS LÄN</t>
        </is>
      </c>
      <c r="E263" t="inlineStr">
        <is>
          <t>NORRTÄLJE</t>
        </is>
      </c>
      <c r="G263" t="n">
        <v>1.2</v>
      </c>
      <c r="H263" t="n">
        <v>0</v>
      </c>
      <c r="I263" t="n">
        <v>0</v>
      </c>
      <c r="J263" t="n">
        <v>0</v>
      </c>
      <c r="K263" t="n">
        <v>0</v>
      </c>
      <c r="L263" t="n">
        <v>0</v>
      </c>
      <c r="M263" t="n">
        <v>0</v>
      </c>
      <c r="N263" t="n">
        <v>0</v>
      </c>
      <c r="O263" t="n">
        <v>0</v>
      </c>
      <c r="P263" t="n">
        <v>0</v>
      </c>
      <c r="Q263" t="n">
        <v>0</v>
      </c>
      <c r="R263" s="2" t="inlineStr"/>
    </row>
    <row r="264" ht="15" customHeight="1">
      <c r="A264" t="inlineStr">
        <is>
          <t>A 21457-2019</t>
        </is>
      </c>
      <c r="B264" s="1" t="n">
        <v>43580</v>
      </c>
      <c r="C264" s="1" t="n">
        <v>45766</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21501-2019</t>
        </is>
      </c>
      <c r="B265" s="1" t="n">
        <v>43580</v>
      </c>
      <c r="C265" s="1" t="n">
        <v>45766</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21616-2019</t>
        </is>
      </c>
      <c r="B266" s="1" t="n">
        <v>43581</v>
      </c>
      <c r="C266" s="1" t="n">
        <v>45766</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21662-2019</t>
        </is>
      </c>
      <c r="B267" s="1" t="n">
        <v>43581</v>
      </c>
      <c r="C267" s="1" t="n">
        <v>45766</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21720-2019</t>
        </is>
      </c>
      <c r="B268" s="1" t="n">
        <v>43581</v>
      </c>
      <c r="C268" s="1" t="n">
        <v>45766</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21692-2019</t>
        </is>
      </c>
      <c r="B269" s="1" t="n">
        <v>43581</v>
      </c>
      <c r="C269" s="1" t="n">
        <v>45766</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21811-2019</t>
        </is>
      </c>
      <c r="B270" s="1" t="n">
        <v>43582</v>
      </c>
      <c r="C270" s="1" t="n">
        <v>45766</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22207-2019</t>
        </is>
      </c>
      <c r="B271" s="1" t="n">
        <v>43585</v>
      </c>
      <c r="C271" s="1" t="n">
        <v>45766</v>
      </c>
      <c r="D271" t="inlineStr">
        <is>
          <t>STOCKHOLMS LÄN</t>
        </is>
      </c>
      <c r="E271" t="inlineStr">
        <is>
          <t>NORRTÄLJE</t>
        </is>
      </c>
      <c r="G271" t="n">
        <v>0.8</v>
      </c>
      <c r="H271" t="n">
        <v>0</v>
      </c>
      <c r="I271" t="n">
        <v>0</v>
      </c>
      <c r="J271" t="n">
        <v>0</v>
      </c>
      <c r="K271" t="n">
        <v>0</v>
      </c>
      <c r="L271" t="n">
        <v>0</v>
      </c>
      <c r="M271" t="n">
        <v>0</v>
      </c>
      <c r="N271" t="n">
        <v>0</v>
      </c>
      <c r="O271" t="n">
        <v>0</v>
      </c>
      <c r="P271" t="n">
        <v>0</v>
      </c>
      <c r="Q271" t="n">
        <v>0</v>
      </c>
      <c r="R271" s="2" t="inlineStr"/>
    </row>
    <row r="272" ht="15" customHeight="1">
      <c r="A272" t="inlineStr">
        <is>
          <t>A 22211-2019</t>
        </is>
      </c>
      <c r="B272" s="1" t="n">
        <v>43585</v>
      </c>
      <c r="C272" s="1" t="n">
        <v>45766</v>
      </c>
      <c r="D272" t="inlineStr">
        <is>
          <t>STOCKHOLMS LÄN</t>
        </is>
      </c>
      <c r="E272" t="inlineStr">
        <is>
          <t>NORRTÄLJE</t>
        </is>
      </c>
      <c r="G272" t="n">
        <v>6.8</v>
      </c>
      <c r="H272" t="n">
        <v>0</v>
      </c>
      <c r="I272" t="n">
        <v>0</v>
      </c>
      <c r="J272" t="n">
        <v>0</v>
      </c>
      <c r="K272" t="n">
        <v>0</v>
      </c>
      <c r="L272" t="n">
        <v>0</v>
      </c>
      <c r="M272" t="n">
        <v>0</v>
      </c>
      <c r="N272" t="n">
        <v>0</v>
      </c>
      <c r="O272" t="n">
        <v>0</v>
      </c>
      <c r="P272" t="n">
        <v>0</v>
      </c>
      <c r="Q272" t="n">
        <v>0</v>
      </c>
      <c r="R272" s="2" t="inlineStr"/>
    </row>
    <row r="273" ht="15" customHeight="1">
      <c r="A273" t="inlineStr">
        <is>
          <t>A 22254-2019</t>
        </is>
      </c>
      <c r="B273" s="1" t="n">
        <v>43585</v>
      </c>
      <c r="C273" s="1" t="n">
        <v>45766</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22218-2019</t>
        </is>
      </c>
      <c r="B274" s="1" t="n">
        <v>43585</v>
      </c>
      <c r="C274" s="1" t="n">
        <v>45766</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22331-2019</t>
        </is>
      </c>
      <c r="B275" s="1" t="n">
        <v>43586</v>
      </c>
      <c r="C275" s="1" t="n">
        <v>45766</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22359-2019</t>
        </is>
      </c>
      <c r="B276" s="1" t="n">
        <v>43587</v>
      </c>
      <c r="C276" s="1" t="n">
        <v>45766</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22422-2019</t>
        </is>
      </c>
      <c r="B277" s="1" t="n">
        <v>43587</v>
      </c>
      <c r="C277" s="1" t="n">
        <v>45766</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22490-2019</t>
        </is>
      </c>
      <c r="B278" s="1" t="n">
        <v>43587</v>
      </c>
      <c r="C278" s="1" t="n">
        <v>45766</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22496-2019</t>
        </is>
      </c>
      <c r="B279" s="1" t="n">
        <v>43587</v>
      </c>
      <c r="C279" s="1" t="n">
        <v>45766</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23711-2019</t>
        </is>
      </c>
      <c r="B280" s="1" t="n">
        <v>43594</v>
      </c>
      <c r="C280" s="1" t="n">
        <v>45766</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23710-2019</t>
        </is>
      </c>
      <c r="B281" s="1" t="n">
        <v>43594</v>
      </c>
      <c r="C281" s="1" t="n">
        <v>45766</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23862-2019</t>
        </is>
      </c>
      <c r="B282" s="1" t="n">
        <v>43595</v>
      </c>
      <c r="C282" s="1" t="n">
        <v>45766</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23878-2019</t>
        </is>
      </c>
      <c r="B283" s="1" t="n">
        <v>43595</v>
      </c>
      <c r="C283" s="1" t="n">
        <v>45766</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23961-2019</t>
        </is>
      </c>
      <c r="B284" s="1" t="n">
        <v>43597</v>
      </c>
      <c r="C284" s="1" t="n">
        <v>45766</v>
      </c>
      <c r="D284" t="inlineStr">
        <is>
          <t>STOCKHOLMS LÄN</t>
        </is>
      </c>
      <c r="E284" t="inlineStr">
        <is>
          <t>NORRTÄLJE</t>
        </is>
      </c>
      <c r="G284" t="n">
        <v>17.6</v>
      </c>
      <c r="H284" t="n">
        <v>0</v>
      </c>
      <c r="I284" t="n">
        <v>0</v>
      </c>
      <c r="J284" t="n">
        <v>0</v>
      </c>
      <c r="K284" t="n">
        <v>0</v>
      </c>
      <c r="L284" t="n">
        <v>0</v>
      </c>
      <c r="M284" t="n">
        <v>0</v>
      </c>
      <c r="N284" t="n">
        <v>0</v>
      </c>
      <c r="O284" t="n">
        <v>0</v>
      </c>
      <c r="P284" t="n">
        <v>0</v>
      </c>
      <c r="Q284" t="n">
        <v>0</v>
      </c>
      <c r="R284" s="2" t="inlineStr"/>
    </row>
    <row r="285" ht="15" customHeight="1">
      <c r="A285" t="inlineStr">
        <is>
          <t>A 23965-2019</t>
        </is>
      </c>
      <c r="B285" s="1" t="n">
        <v>43597</v>
      </c>
      <c r="C285" s="1" t="n">
        <v>45766</v>
      </c>
      <c r="D285" t="inlineStr">
        <is>
          <t>STOCKHOLMS LÄN</t>
        </is>
      </c>
      <c r="E285" t="inlineStr">
        <is>
          <t>NORRTÄLJE</t>
        </is>
      </c>
      <c r="G285" t="n">
        <v>6.1</v>
      </c>
      <c r="H285" t="n">
        <v>0</v>
      </c>
      <c r="I285" t="n">
        <v>0</v>
      </c>
      <c r="J285" t="n">
        <v>0</v>
      </c>
      <c r="K285" t="n">
        <v>0</v>
      </c>
      <c r="L285" t="n">
        <v>0</v>
      </c>
      <c r="M285" t="n">
        <v>0</v>
      </c>
      <c r="N285" t="n">
        <v>0</v>
      </c>
      <c r="O285" t="n">
        <v>0</v>
      </c>
      <c r="P285" t="n">
        <v>0</v>
      </c>
      <c r="Q285" t="n">
        <v>0</v>
      </c>
      <c r="R285" s="2" t="inlineStr"/>
    </row>
    <row r="286" ht="15" customHeight="1">
      <c r="A286" t="inlineStr">
        <is>
          <t>A 23963-2019</t>
        </is>
      </c>
      <c r="B286" s="1" t="n">
        <v>43597</v>
      </c>
      <c r="C286" s="1" t="n">
        <v>45766</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24124-2019</t>
        </is>
      </c>
      <c r="B287" s="1" t="n">
        <v>43598</v>
      </c>
      <c r="C287" s="1" t="n">
        <v>45766</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24058-2019</t>
        </is>
      </c>
      <c r="B288" s="1" t="n">
        <v>43598</v>
      </c>
      <c r="C288" s="1" t="n">
        <v>45766</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24562-2019</t>
        </is>
      </c>
      <c r="B289" s="1" t="n">
        <v>43600</v>
      </c>
      <c r="C289" s="1" t="n">
        <v>45766</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24721-2019</t>
        </is>
      </c>
      <c r="B290" s="1" t="n">
        <v>43601</v>
      </c>
      <c r="C290" s="1" t="n">
        <v>45766</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25284-2019</t>
        </is>
      </c>
      <c r="B291" s="1" t="n">
        <v>43605</v>
      </c>
      <c r="C291" s="1" t="n">
        <v>45766</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25535-2019</t>
        </is>
      </c>
      <c r="B292" s="1" t="n">
        <v>43606</v>
      </c>
      <c r="C292" s="1" t="n">
        <v>45766</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25316-2019</t>
        </is>
      </c>
      <c r="B293" s="1" t="n">
        <v>43606</v>
      </c>
      <c r="C293" s="1" t="n">
        <v>45766</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26374-2019</t>
        </is>
      </c>
      <c r="B294" s="1" t="n">
        <v>43606</v>
      </c>
      <c r="C294" s="1" t="n">
        <v>45766</v>
      </c>
      <c r="D294" t="inlineStr">
        <is>
          <t>STOCKHOLMS LÄN</t>
        </is>
      </c>
      <c r="E294" t="inlineStr">
        <is>
          <t>NORRTÄLJE</t>
        </is>
      </c>
      <c r="G294" t="n">
        <v>11.6</v>
      </c>
      <c r="H294" t="n">
        <v>0</v>
      </c>
      <c r="I294" t="n">
        <v>0</v>
      </c>
      <c r="J294" t="n">
        <v>0</v>
      </c>
      <c r="K294" t="n">
        <v>0</v>
      </c>
      <c r="L294" t="n">
        <v>0</v>
      </c>
      <c r="M294" t="n">
        <v>0</v>
      </c>
      <c r="N294" t="n">
        <v>0</v>
      </c>
      <c r="O294" t="n">
        <v>0</v>
      </c>
      <c r="P294" t="n">
        <v>0</v>
      </c>
      <c r="Q294" t="n">
        <v>0</v>
      </c>
      <c r="R294" s="2" t="inlineStr"/>
    </row>
    <row r="295" ht="15" customHeight="1">
      <c r="A295" t="inlineStr">
        <is>
          <t>A 25315-2019</t>
        </is>
      </c>
      <c r="B295" s="1" t="n">
        <v>43606</v>
      </c>
      <c r="C295" s="1" t="n">
        <v>45766</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25625-2019</t>
        </is>
      </c>
      <c r="B296" s="1" t="n">
        <v>43607</v>
      </c>
      <c r="C296" s="1" t="n">
        <v>45766</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26272-2019</t>
        </is>
      </c>
      <c r="B297" s="1" t="n">
        <v>43611</v>
      </c>
      <c r="C297" s="1" t="n">
        <v>45766</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26620-2019</t>
        </is>
      </c>
      <c r="B298" s="1" t="n">
        <v>43612</v>
      </c>
      <c r="C298" s="1" t="n">
        <v>45766</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26391-2019</t>
        </is>
      </c>
      <c r="B299" s="1" t="n">
        <v>43612</v>
      </c>
      <c r="C299" s="1" t="n">
        <v>45766</v>
      </c>
      <c r="D299" t="inlineStr">
        <is>
          <t>STOCKHOLMS LÄN</t>
        </is>
      </c>
      <c r="E299" t="inlineStr">
        <is>
          <t>NORRTÄLJE</t>
        </is>
      </c>
      <c r="G299" t="n">
        <v>1.9</v>
      </c>
      <c r="H299" t="n">
        <v>0</v>
      </c>
      <c r="I299" t="n">
        <v>0</v>
      </c>
      <c r="J299" t="n">
        <v>0</v>
      </c>
      <c r="K299" t="n">
        <v>0</v>
      </c>
      <c r="L299" t="n">
        <v>0</v>
      </c>
      <c r="M299" t="n">
        <v>0</v>
      </c>
      <c r="N299" t="n">
        <v>0</v>
      </c>
      <c r="O299" t="n">
        <v>0</v>
      </c>
      <c r="P299" t="n">
        <v>0</v>
      </c>
      <c r="Q299" t="n">
        <v>0</v>
      </c>
      <c r="R299" s="2" t="inlineStr"/>
    </row>
    <row r="300" ht="15" customHeight="1">
      <c r="A300" t="inlineStr">
        <is>
          <t>A 26933-2019</t>
        </is>
      </c>
      <c r="B300" s="1" t="n">
        <v>43613</v>
      </c>
      <c r="C300" s="1" t="n">
        <v>45766</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26830-2019</t>
        </is>
      </c>
      <c r="B301" s="1" t="n">
        <v>43613</v>
      </c>
      <c r="C301" s="1" t="n">
        <v>45766</v>
      </c>
      <c r="D301" t="inlineStr">
        <is>
          <t>STOCKHOLMS LÄN</t>
        </is>
      </c>
      <c r="E301" t="inlineStr">
        <is>
          <t>NORRTÄLJE</t>
        </is>
      </c>
      <c r="G301" t="n">
        <v>2.1</v>
      </c>
      <c r="H301" t="n">
        <v>0</v>
      </c>
      <c r="I301" t="n">
        <v>0</v>
      </c>
      <c r="J301" t="n">
        <v>0</v>
      </c>
      <c r="K301" t="n">
        <v>0</v>
      </c>
      <c r="L301" t="n">
        <v>0</v>
      </c>
      <c r="M301" t="n">
        <v>0</v>
      </c>
      <c r="N301" t="n">
        <v>0</v>
      </c>
      <c r="O301" t="n">
        <v>0</v>
      </c>
      <c r="P301" t="n">
        <v>0</v>
      </c>
      <c r="Q301" t="n">
        <v>0</v>
      </c>
      <c r="R301" s="2" t="inlineStr"/>
    </row>
    <row r="302" ht="15" customHeight="1">
      <c r="A302" t="inlineStr">
        <is>
          <t>A 27095-2019</t>
        </is>
      </c>
      <c r="B302" s="1" t="n">
        <v>43614</v>
      </c>
      <c r="C302" s="1" t="n">
        <v>45766</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28157-2019</t>
        </is>
      </c>
      <c r="B303" s="1" t="n">
        <v>43614</v>
      </c>
      <c r="C303" s="1" t="n">
        <v>45766</v>
      </c>
      <c r="D303" t="inlineStr">
        <is>
          <t>STOCKHOLMS LÄN</t>
        </is>
      </c>
      <c r="E303" t="inlineStr">
        <is>
          <t>NORRTÄLJE</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27264-2019</t>
        </is>
      </c>
      <c r="B304" s="1" t="n">
        <v>43615</v>
      </c>
      <c r="C304" s="1" t="n">
        <v>45766</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27971-2019</t>
        </is>
      </c>
      <c r="B305" s="1" t="n">
        <v>43620</v>
      </c>
      <c r="C305" s="1" t="n">
        <v>45766</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27967-2019</t>
        </is>
      </c>
      <c r="B306" s="1" t="n">
        <v>43620</v>
      </c>
      <c r="C306" s="1" t="n">
        <v>45766</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28121-2019</t>
        </is>
      </c>
      <c r="B307" s="1" t="n">
        <v>43621</v>
      </c>
      <c r="C307" s="1" t="n">
        <v>45766</v>
      </c>
      <c r="D307" t="inlineStr">
        <is>
          <t>STOCKHOLMS LÄN</t>
        </is>
      </c>
      <c r="E307" t="inlineStr">
        <is>
          <t>NORRTÄLJE</t>
        </is>
      </c>
      <c r="F307" t="inlineStr">
        <is>
          <t>Kyrkan</t>
        </is>
      </c>
      <c r="G307" t="n">
        <v>2.5</v>
      </c>
      <c r="H307" t="n">
        <v>0</v>
      </c>
      <c r="I307" t="n">
        <v>0</v>
      </c>
      <c r="J307" t="n">
        <v>0</v>
      </c>
      <c r="K307" t="n">
        <v>0</v>
      </c>
      <c r="L307" t="n">
        <v>0</v>
      </c>
      <c r="M307" t="n">
        <v>0</v>
      </c>
      <c r="N307" t="n">
        <v>0</v>
      </c>
      <c r="O307" t="n">
        <v>0</v>
      </c>
      <c r="P307" t="n">
        <v>0</v>
      </c>
      <c r="Q307" t="n">
        <v>0</v>
      </c>
      <c r="R307" s="2" t="inlineStr"/>
    </row>
    <row r="308" ht="15" customHeight="1">
      <c r="A308" t="inlineStr">
        <is>
          <t>A 28289-2019</t>
        </is>
      </c>
      <c r="B308" s="1" t="n">
        <v>43623</v>
      </c>
      <c r="C308" s="1" t="n">
        <v>45766</v>
      </c>
      <c r="D308" t="inlineStr">
        <is>
          <t>STOCKHOLMS LÄN</t>
        </is>
      </c>
      <c r="E308" t="inlineStr">
        <is>
          <t>NORRTÄLJE</t>
        </is>
      </c>
      <c r="G308" t="n">
        <v>7.7</v>
      </c>
      <c r="H308" t="n">
        <v>0</v>
      </c>
      <c r="I308" t="n">
        <v>0</v>
      </c>
      <c r="J308" t="n">
        <v>0</v>
      </c>
      <c r="K308" t="n">
        <v>0</v>
      </c>
      <c r="L308" t="n">
        <v>0</v>
      </c>
      <c r="M308" t="n">
        <v>0</v>
      </c>
      <c r="N308" t="n">
        <v>0</v>
      </c>
      <c r="O308" t="n">
        <v>0</v>
      </c>
      <c r="P308" t="n">
        <v>0</v>
      </c>
      <c r="Q308" t="n">
        <v>0</v>
      </c>
      <c r="R308" s="2" t="inlineStr"/>
    </row>
    <row r="309" ht="15" customHeight="1">
      <c r="A309" t="inlineStr">
        <is>
          <t>A 28519-2019</t>
        </is>
      </c>
      <c r="B309" s="1" t="n">
        <v>43626</v>
      </c>
      <c r="C309" s="1" t="n">
        <v>45766</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28495-2019</t>
        </is>
      </c>
      <c r="B310" s="1" t="n">
        <v>43626</v>
      </c>
      <c r="C310" s="1" t="n">
        <v>45766</v>
      </c>
      <c r="D310" t="inlineStr">
        <is>
          <t>STOCKHOLMS LÄN</t>
        </is>
      </c>
      <c r="E310" t="inlineStr">
        <is>
          <t>NORRTÄLJE</t>
        </is>
      </c>
      <c r="G310" t="n">
        <v>14.7</v>
      </c>
      <c r="H310" t="n">
        <v>0</v>
      </c>
      <c r="I310" t="n">
        <v>0</v>
      </c>
      <c r="J310" t="n">
        <v>0</v>
      </c>
      <c r="K310" t="n">
        <v>0</v>
      </c>
      <c r="L310" t="n">
        <v>0</v>
      </c>
      <c r="M310" t="n">
        <v>0</v>
      </c>
      <c r="N310" t="n">
        <v>0</v>
      </c>
      <c r="O310" t="n">
        <v>0</v>
      </c>
      <c r="P310" t="n">
        <v>0</v>
      </c>
      <c r="Q310" t="n">
        <v>0</v>
      </c>
      <c r="R310" s="2" t="inlineStr"/>
    </row>
    <row r="311" ht="15" customHeight="1">
      <c r="A311" t="inlineStr">
        <is>
          <t>A 28394-2019</t>
        </is>
      </c>
      <c r="B311" s="1" t="n">
        <v>43626</v>
      </c>
      <c r="C311" s="1" t="n">
        <v>45766</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29260-2019</t>
        </is>
      </c>
      <c r="B312" s="1" t="n">
        <v>43629</v>
      </c>
      <c r="C312" s="1" t="n">
        <v>45766</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29312-2019</t>
        </is>
      </c>
      <c r="B313" s="1" t="n">
        <v>43629</v>
      </c>
      <c r="C313" s="1" t="n">
        <v>45766</v>
      </c>
      <c r="D313" t="inlineStr">
        <is>
          <t>STOCKHOLMS LÄN</t>
        </is>
      </c>
      <c r="E313" t="inlineStr">
        <is>
          <t>NORRTÄLJE</t>
        </is>
      </c>
      <c r="G313" t="n">
        <v>7.1</v>
      </c>
      <c r="H313" t="n">
        <v>0</v>
      </c>
      <c r="I313" t="n">
        <v>0</v>
      </c>
      <c r="J313" t="n">
        <v>0</v>
      </c>
      <c r="K313" t="n">
        <v>0</v>
      </c>
      <c r="L313" t="n">
        <v>0</v>
      </c>
      <c r="M313" t="n">
        <v>0</v>
      </c>
      <c r="N313" t="n">
        <v>0</v>
      </c>
      <c r="O313" t="n">
        <v>0</v>
      </c>
      <c r="P313" t="n">
        <v>0</v>
      </c>
      <c r="Q313" t="n">
        <v>0</v>
      </c>
      <c r="R313" s="2" t="inlineStr"/>
    </row>
    <row r="314" ht="15" customHeight="1">
      <c r="A314" t="inlineStr">
        <is>
          <t>A 29759-2019</t>
        </is>
      </c>
      <c r="B314" s="1" t="n">
        <v>43631</v>
      </c>
      <c r="C314" s="1" t="n">
        <v>45766</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30000-2019</t>
        </is>
      </c>
      <c r="B315" s="1" t="n">
        <v>43633</v>
      </c>
      <c r="C315" s="1" t="n">
        <v>45766</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30833-2019</t>
        </is>
      </c>
      <c r="B316" s="1" t="n">
        <v>43636</v>
      </c>
      <c r="C316" s="1" t="n">
        <v>45766</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31215-2019</t>
        </is>
      </c>
      <c r="B317" s="1" t="n">
        <v>43640</v>
      </c>
      <c r="C317" s="1" t="n">
        <v>45766</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31017-2019</t>
        </is>
      </c>
      <c r="B318" s="1" t="n">
        <v>43640</v>
      </c>
      <c r="C318" s="1" t="n">
        <v>45766</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31966-2019</t>
        </is>
      </c>
      <c r="B319" s="1" t="n">
        <v>43643</v>
      </c>
      <c r="C319" s="1" t="n">
        <v>45766</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32725-2019</t>
        </is>
      </c>
      <c r="B320" s="1" t="n">
        <v>43647</v>
      </c>
      <c r="C320" s="1" t="n">
        <v>45766</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32726-2019</t>
        </is>
      </c>
      <c r="B321" s="1" t="n">
        <v>43647</v>
      </c>
      <c r="C321" s="1" t="n">
        <v>45766</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33207-2019</t>
        </is>
      </c>
      <c r="B322" s="1" t="n">
        <v>43649</v>
      </c>
      <c r="C322" s="1" t="n">
        <v>45766</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33955-2019</t>
        </is>
      </c>
      <c r="B323" s="1" t="n">
        <v>43654</v>
      </c>
      <c r="C323" s="1" t="n">
        <v>45766</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33966-2019</t>
        </is>
      </c>
      <c r="B324" s="1" t="n">
        <v>43654</v>
      </c>
      <c r="C324" s="1" t="n">
        <v>45766</v>
      </c>
      <c r="D324" t="inlineStr">
        <is>
          <t>STOCKHOLMS LÄN</t>
        </is>
      </c>
      <c r="E324" t="inlineStr">
        <is>
          <t>NORRTÄLJE</t>
        </is>
      </c>
      <c r="G324" t="n">
        <v>3.2</v>
      </c>
      <c r="H324" t="n">
        <v>0</v>
      </c>
      <c r="I324" t="n">
        <v>0</v>
      </c>
      <c r="J324" t="n">
        <v>0</v>
      </c>
      <c r="K324" t="n">
        <v>0</v>
      </c>
      <c r="L324" t="n">
        <v>0</v>
      </c>
      <c r="M324" t="n">
        <v>0</v>
      </c>
      <c r="N324" t="n">
        <v>0</v>
      </c>
      <c r="O324" t="n">
        <v>0</v>
      </c>
      <c r="P324" t="n">
        <v>0</v>
      </c>
      <c r="Q324" t="n">
        <v>0</v>
      </c>
      <c r="R324" s="2" t="inlineStr"/>
    </row>
    <row r="325" ht="15" customHeight="1">
      <c r="A325" t="inlineStr">
        <is>
          <t>A 35247-2019</t>
        </is>
      </c>
      <c r="B325" s="1" t="n">
        <v>43656</v>
      </c>
      <c r="C325" s="1" t="n">
        <v>45766</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35244-2019</t>
        </is>
      </c>
      <c r="B326" s="1" t="n">
        <v>43656</v>
      </c>
      <c r="C326" s="1" t="n">
        <v>45766</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35249-2019</t>
        </is>
      </c>
      <c r="B327" s="1" t="n">
        <v>43656</v>
      </c>
      <c r="C327" s="1" t="n">
        <v>45766</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35251-2019</t>
        </is>
      </c>
      <c r="B328" s="1" t="n">
        <v>43656</v>
      </c>
      <c r="C328" s="1" t="n">
        <v>45766</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35492-2019</t>
        </is>
      </c>
      <c r="B329" s="1" t="n">
        <v>43663</v>
      </c>
      <c r="C329" s="1" t="n">
        <v>45766</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35770-2019</t>
        </is>
      </c>
      <c r="B330" s="1" t="n">
        <v>43665</v>
      </c>
      <c r="C330" s="1" t="n">
        <v>45766</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35766-2019</t>
        </is>
      </c>
      <c r="B331" s="1" t="n">
        <v>43665</v>
      </c>
      <c r="C331" s="1" t="n">
        <v>45766</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36418-2019</t>
        </is>
      </c>
      <c r="B332" s="1" t="n">
        <v>43670</v>
      </c>
      <c r="C332" s="1" t="n">
        <v>45766</v>
      </c>
      <c r="D332" t="inlineStr">
        <is>
          <t>STOCKHOLMS LÄN</t>
        </is>
      </c>
      <c r="E332" t="inlineStr">
        <is>
          <t>NORRTÄLJE</t>
        </is>
      </c>
      <c r="G332" t="n">
        <v>16.8</v>
      </c>
      <c r="H332" t="n">
        <v>0</v>
      </c>
      <c r="I332" t="n">
        <v>0</v>
      </c>
      <c r="J332" t="n">
        <v>0</v>
      </c>
      <c r="K332" t="n">
        <v>0</v>
      </c>
      <c r="L332" t="n">
        <v>0</v>
      </c>
      <c r="M332" t="n">
        <v>0</v>
      </c>
      <c r="N332" t="n">
        <v>0</v>
      </c>
      <c r="O332" t="n">
        <v>0</v>
      </c>
      <c r="P332" t="n">
        <v>0</v>
      </c>
      <c r="Q332" t="n">
        <v>0</v>
      </c>
      <c r="R332" s="2" t="inlineStr"/>
    </row>
    <row r="333" ht="15" customHeight="1">
      <c r="A333" t="inlineStr">
        <is>
          <t>A 37401-2019</t>
        </is>
      </c>
      <c r="B333" s="1" t="n">
        <v>43678</v>
      </c>
      <c r="C333" s="1" t="n">
        <v>45766</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37662-2019</t>
        </is>
      </c>
      <c r="B334" s="1" t="n">
        <v>43682</v>
      </c>
      <c r="C334" s="1" t="n">
        <v>45766</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38144-2019</t>
        </is>
      </c>
      <c r="B335" s="1" t="n">
        <v>43684</v>
      </c>
      <c r="C335" s="1" t="n">
        <v>45766</v>
      </c>
      <c r="D335" t="inlineStr">
        <is>
          <t>STOCKHOLMS LÄN</t>
        </is>
      </c>
      <c r="E335" t="inlineStr">
        <is>
          <t>NORRTÄLJE</t>
        </is>
      </c>
      <c r="G335" t="n">
        <v>3.6</v>
      </c>
      <c r="H335" t="n">
        <v>0</v>
      </c>
      <c r="I335" t="n">
        <v>0</v>
      </c>
      <c r="J335" t="n">
        <v>0</v>
      </c>
      <c r="K335" t="n">
        <v>0</v>
      </c>
      <c r="L335" t="n">
        <v>0</v>
      </c>
      <c r="M335" t="n">
        <v>0</v>
      </c>
      <c r="N335" t="n">
        <v>0</v>
      </c>
      <c r="O335" t="n">
        <v>0</v>
      </c>
      <c r="P335" t="n">
        <v>0</v>
      </c>
      <c r="Q335" t="n">
        <v>0</v>
      </c>
      <c r="R335" s="2" t="inlineStr"/>
    </row>
    <row r="336" ht="15" customHeight="1">
      <c r="A336" t="inlineStr">
        <is>
          <t>A 38139-2019</t>
        </is>
      </c>
      <c r="B336" s="1" t="n">
        <v>43684</v>
      </c>
      <c r="C336" s="1" t="n">
        <v>45766</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38145-2019</t>
        </is>
      </c>
      <c r="B337" s="1" t="n">
        <v>43684</v>
      </c>
      <c r="C337" s="1" t="n">
        <v>45766</v>
      </c>
      <c r="D337" t="inlineStr">
        <is>
          <t>STOCKHOLMS LÄN</t>
        </is>
      </c>
      <c r="E337" t="inlineStr">
        <is>
          <t>NORRTÄLJE</t>
        </is>
      </c>
      <c r="G337" t="n">
        <v>9.9</v>
      </c>
      <c r="H337" t="n">
        <v>0</v>
      </c>
      <c r="I337" t="n">
        <v>0</v>
      </c>
      <c r="J337" t="n">
        <v>0</v>
      </c>
      <c r="K337" t="n">
        <v>0</v>
      </c>
      <c r="L337" t="n">
        <v>0</v>
      </c>
      <c r="M337" t="n">
        <v>0</v>
      </c>
      <c r="N337" t="n">
        <v>0</v>
      </c>
      <c r="O337" t="n">
        <v>0</v>
      </c>
      <c r="P337" t="n">
        <v>0</v>
      </c>
      <c r="Q337" t="n">
        <v>0</v>
      </c>
      <c r="R337" s="2" t="inlineStr"/>
    </row>
    <row r="338" ht="15" customHeight="1">
      <c r="A338" t="inlineStr">
        <is>
          <t>A 38140-2019</t>
        </is>
      </c>
      <c r="B338" s="1" t="n">
        <v>43684</v>
      </c>
      <c r="C338" s="1" t="n">
        <v>45766</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38143-2019</t>
        </is>
      </c>
      <c r="B339" s="1" t="n">
        <v>43684</v>
      </c>
      <c r="C339" s="1" t="n">
        <v>45766</v>
      </c>
      <c r="D339" t="inlineStr">
        <is>
          <t>STOCKHOLMS LÄN</t>
        </is>
      </c>
      <c r="E339" t="inlineStr">
        <is>
          <t>NORRTÄLJE</t>
        </is>
      </c>
      <c r="G339" t="n">
        <v>12.7</v>
      </c>
      <c r="H339" t="n">
        <v>0</v>
      </c>
      <c r="I339" t="n">
        <v>0</v>
      </c>
      <c r="J339" t="n">
        <v>0</v>
      </c>
      <c r="K339" t="n">
        <v>0</v>
      </c>
      <c r="L339" t="n">
        <v>0</v>
      </c>
      <c r="M339" t="n">
        <v>0</v>
      </c>
      <c r="N339" t="n">
        <v>0</v>
      </c>
      <c r="O339" t="n">
        <v>0</v>
      </c>
      <c r="P339" t="n">
        <v>0</v>
      </c>
      <c r="Q339" t="n">
        <v>0</v>
      </c>
      <c r="R339" s="2" t="inlineStr"/>
    </row>
    <row r="340" ht="15" customHeight="1">
      <c r="A340" t="inlineStr">
        <is>
          <t>A 38506-2019</t>
        </is>
      </c>
      <c r="B340" s="1" t="n">
        <v>43685</v>
      </c>
      <c r="C340" s="1" t="n">
        <v>45766</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38605-2019</t>
        </is>
      </c>
      <c r="B341" s="1" t="n">
        <v>43686</v>
      </c>
      <c r="C341" s="1" t="n">
        <v>45766</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38737-2019</t>
        </is>
      </c>
      <c r="B342" s="1" t="n">
        <v>43686</v>
      </c>
      <c r="C342" s="1" t="n">
        <v>45766</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40571-2019</t>
        </is>
      </c>
      <c r="B343" s="1" t="n">
        <v>43696</v>
      </c>
      <c r="C343" s="1" t="n">
        <v>45766</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42330-2019</t>
        </is>
      </c>
      <c r="B344" s="1" t="n">
        <v>43703</v>
      </c>
      <c r="C344" s="1" t="n">
        <v>45766</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43379-2019</t>
        </is>
      </c>
      <c r="B345" s="1" t="n">
        <v>43703</v>
      </c>
      <c r="C345" s="1" t="n">
        <v>45766</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43296-2019</t>
        </is>
      </c>
      <c r="B346" s="1" t="n">
        <v>43706</v>
      </c>
      <c r="C346" s="1" t="n">
        <v>45766</v>
      </c>
      <c r="D346" t="inlineStr">
        <is>
          <t>STOCKHOLMS LÄN</t>
        </is>
      </c>
      <c r="E346" t="inlineStr">
        <is>
          <t>NORRTÄLJE</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44643-2019</t>
        </is>
      </c>
      <c r="B347" s="1" t="n">
        <v>43712</v>
      </c>
      <c r="C347" s="1" t="n">
        <v>45766</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45463-2019</t>
        </is>
      </c>
      <c r="B348" s="1" t="n">
        <v>43714</v>
      </c>
      <c r="C348" s="1" t="n">
        <v>45766</v>
      </c>
      <c r="D348" t="inlineStr">
        <is>
          <t>STOCKHOLMS LÄN</t>
        </is>
      </c>
      <c r="E348" t="inlineStr">
        <is>
          <t>NORRTÄLJE</t>
        </is>
      </c>
      <c r="F348" t="inlineStr">
        <is>
          <t>Övriga statliga verk och myndigheter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45477-2019</t>
        </is>
      </c>
      <c r="B349" s="1" t="n">
        <v>43714</v>
      </c>
      <c r="C349" s="1" t="n">
        <v>45766</v>
      </c>
      <c r="D349" t="inlineStr">
        <is>
          <t>STOCKHOLMS LÄN</t>
        </is>
      </c>
      <c r="E349" t="inlineStr">
        <is>
          <t>NORRTÄLJE</t>
        </is>
      </c>
      <c r="F349" t="inlineStr">
        <is>
          <t>Övriga statliga verk och myndigheter</t>
        </is>
      </c>
      <c r="G349" t="n">
        <v>8.9</v>
      </c>
      <c r="H349" t="n">
        <v>0</v>
      </c>
      <c r="I349" t="n">
        <v>0</v>
      </c>
      <c r="J349" t="n">
        <v>0</v>
      </c>
      <c r="K349" t="n">
        <v>0</v>
      </c>
      <c r="L349" t="n">
        <v>0</v>
      </c>
      <c r="M349" t="n">
        <v>0</v>
      </c>
      <c r="N349" t="n">
        <v>0</v>
      </c>
      <c r="O349" t="n">
        <v>0</v>
      </c>
      <c r="P349" t="n">
        <v>0</v>
      </c>
      <c r="Q349" t="n">
        <v>0</v>
      </c>
      <c r="R349" s="2" t="inlineStr"/>
    </row>
    <row r="350" ht="15" customHeight="1">
      <c r="A350" t="inlineStr">
        <is>
          <t>A 46327-2019</t>
        </is>
      </c>
      <c r="B350" s="1" t="n">
        <v>43718</v>
      </c>
      <c r="C350" s="1" t="n">
        <v>45766</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47876-2019</t>
        </is>
      </c>
      <c r="B351" s="1" t="n">
        <v>43725</v>
      </c>
      <c r="C351" s="1" t="n">
        <v>45766</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47877-2019</t>
        </is>
      </c>
      <c r="B352" s="1" t="n">
        <v>43725</v>
      </c>
      <c r="C352" s="1" t="n">
        <v>45766</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47903-2019</t>
        </is>
      </c>
      <c r="B353" s="1" t="n">
        <v>43725</v>
      </c>
      <c r="C353" s="1" t="n">
        <v>45766</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47901-2019</t>
        </is>
      </c>
      <c r="B354" s="1" t="n">
        <v>43725</v>
      </c>
      <c r="C354" s="1" t="n">
        <v>45766</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47939-2019</t>
        </is>
      </c>
      <c r="B355" s="1" t="n">
        <v>43725</v>
      </c>
      <c r="C355" s="1" t="n">
        <v>45766</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47941-2019</t>
        </is>
      </c>
      <c r="B356" s="1" t="n">
        <v>43725</v>
      </c>
      <c r="C356" s="1" t="n">
        <v>45766</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47879-2019</t>
        </is>
      </c>
      <c r="B357" s="1" t="n">
        <v>43725</v>
      </c>
      <c r="C357" s="1" t="n">
        <v>45766</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48730-2019</t>
        </is>
      </c>
      <c r="B358" s="1" t="n">
        <v>43728</v>
      </c>
      <c r="C358" s="1" t="n">
        <v>45766</v>
      </c>
      <c r="D358" t="inlineStr">
        <is>
          <t>STOCKHOLMS LÄN</t>
        </is>
      </c>
      <c r="E358" t="inlineStr">
        <is>
          <t>NORRTÄLJE</t>
        </is>
      </c>
      <c r="F358" t="inlineStr">
        <is>
          <t>Övriga statliga verk och myndigheter</t>
        </is>
      </c>
      <c r="G358" t="n">
        <v>1.3</v>
      </c>
      <c r="H358" t="n">
        <v>0</v>
      </c>
      <c r="I358" t="n">
        <v>0</v>
      </c>
      <c r="J358" t="n">
        <v>0</v>
      </c>
      <c r="K358" t="n">
        <v>0</v>
      </c>
      <c r="L358" t="n">
        <v>0</v>
      </c>
      <c r="M358" t="n">
        <v>0</v>
      </c>
      <c r="N358" t="n">
        <v>0</v>
      </c>
      <c r="O358" t="n">
        <v>0</v>
      </c>
      <c r="P358" t="n">
        <v>0</v>
      </c>
      <c r="Q358" t="n">
        <v>0</v>
      </c>
      <c r="R358" s="2" t="inlineStr"/>
    </row>
    <row r="359" ht="15" customHeight="1">
      <c r="A359" t="inlineStr">
        <is>
          <t>A 49252-2019</t>
        </is>
      </c>
      <c r="B359" s="1" t="n">
        <v>43731</v>
      </c>
      <c r="C359" s="1" t="n">
        <v>45766</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51940-2019</t>
        </is>
      </c>
      <c r="B360" s="1" t="n">
        <v>43741</v>
      </c>
      <c r="C360" s="1" t="n">
        <v>45766</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51942-2019</t>
        </is>
      </c>
      <c r="B361" s="1" t="n">
        <v>43741</v>
      </c>
      <c r="C361" s="1" t="n">
        <v>45766</v>
      </c>
      <c r="D361" t="inlineStr">
        <is>
          <t>STOCKHOLMS LÄN</t>
        </is>
      </c>
      <c r="E361" t="inlineStr">
        <is>
          <t>NORRTÄLJE</t>
        </is>
      </c>
      <c r="G361" t="n">
        <v>5.6</v>
      </c>
      <c r="H361" t="n">
        <v>0</v>
      </c>
      <c r="I361" t="n">
        <v>0</v>
      </c>
      <c r="J361" t="n">
        <v>0</v>
      </c>
      <c r="K361" t="n">
        <v>0</v>
      </c>
      <c r="L361" t="n">
        <v>0</v>
      </c>
      <c r="M361" t="n">
        <v>0</v>
      </c>
      <c r="N361" t="n">
        <v>0</v>
      </c>
      <c r="O361" t="n">
        <v>0</v>
      </c>
      <c r="P361" t="n">
        <v>0</v>
      </c>
      <c r="Q361" t="n">
        <v>0</v>
      </c>
      <c r="R361" s="2" t="inlineStr"/>
    </row>
    <row r="362" ht="15" customHeight="1">
      <c r="A362" t="inlineStr">
        <is>
          <t>A 55481-2019</t>
        </is>
      </c>
      <c r="B362" s="1" t="n">
        <v>43759</v>
      </c>
      <c r="C362" s="1" t="n">
        <v>45766</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55891-2019</t>
        </is>
      </c>
      <c r="B363" s="1" t="n">
        <v>43761</v>
      </c>
      <c r="C363" s="1" t="n">
        <v>45766</v>
      </c>
      <c r="D363" t="inlineStr">
        <is>
          <t>STOCKHOLMS LÄN</t>
        </is>
      </c>
      <c r="E363" t="inlineStr">
        <is>
          <t>NORRTÄLJE</t>
        </is>
      </c>
      <c r="G363" t="n">
        <v>7.6</v>
      </c>
      <c r="H363" t="n">
        <v>0</v>
      </c>
      <c r="I363" t="n">
        <v>0</v>
      </c>
      <c r="J363" t="n">
        <v>0</v>
      </c>
      <c r="K363" t="n">
        <v>0</v>
      </c>
      <c r="L363" t="n">
        <v>0</v>
      </c>
      <c r="M363" t="n">
        <v>0</v>
      </c>
      <c r="N363" t="n">
        <v>0</v>
      </c>
      <c r="O363" t="n">
        <v>0</v>
      </c>
      <c r="P363" t="n">
        <v>0</v>
      </c>
      <c r="Q363" t="n">
        <v>0</v>
      </c>
      <c r="R363" s="2" t="inlineStr"/>
    </row>
    <row r="364" ht="15" customHeight="1">
      <c r="A364" t="inlineStr">
        <is>
          <t>A 56349-2019</t>
        </is>
      </c>
      <c r="B364" s="1" t="n">
        <v>43762</v>
      </c>
      <c r="C364" s="1" t="n">
        <v>45766</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57759-2019</t>
        </is>
      </c>
      <c r="B365" s="1" t="n">
        <v>43763</v>
      </c>
      <c r="C365" s="1" t="n">
        <v>45766</v>
      </c>
      <c r="D365" t="inlineStr">
        <is>
          <t>STOCKHOLMS LÄN</t>
        </is>
      </c>
      <c r="E365" t="inlineStr">
        <is>
          <t>NORRTÄLJE</t>
        </is>
      </c>
      <c r="F365" t="inlineStr">
        <is>
          <t>Övriga Aktiebolag</t>
        </is>
      </c>
      <c r="G365" t="n">
        <v>7.3</v>
      </c>
      <c r="H365" t="n">
        <v>0</v>
      </c>
      <c r="I365" t="n">
        <v>0</v>
      </c>
      <c r="J365" t="n">
        <v>0</v>
      </c>
      <c r="K365" t="n">
        <v>0</v>
      </c>
      <c r="L365" t="n">
        <v>0</v>
      </c>
      <c r="M365" t="n">
        <v>0</v>
      </c>
      <c r="N365" t="n">
        <v>0</v>
      </c>
      <c r="O365" t="n">
        <v>0</v>
      </c>
      <c r="P365" t="n">
        <v>0</v>
      </c>
      <c r="Q365" t="n">
        <v>0</v>
      </c>
      <c r="R365" s="2" t="inlineStr"/>
    </row>
    <row r="366" ht="15" customHeight="1">
      <c r="A366" t="inlineStr">
        <is>
          <t>A 57063-2019</t>
        </is>
      </c>
      <c r="B366" s="1" t="n">
        <v>43766</v>
      </c>
      <c r="C366" s="1" t="n">
        <v>45766</v>
      </c>
      <c r="D366" t="inlineStr">
        <is>
          <t>STOCKHOLMS LÄN</t>
        </is>
      </c>
      <c r="E366" t="inlineStr">
        <is>
          <t>NORRTÄLJE</t>
        </is>
      </c>
      <c r="F366" t="inlineStr">
        <is>
          <t>Kyrkan</t>
        </is>
      </c>
      <c r="G366" t="n">
        <v>1.3</v>
      </c>
      <c r="H366" t="n">
        <v>0</v>
      </c>
      <c r="I366" t="n">
        <v>0</v>
      </c>
      <c r="J366" t="n">
        <v>0</v>
      </c>
      <c r="K366" t="n">
        <v>0</v>
      </c>
      <c r="L366" t="n">
        <v>0</v>
      </c>
      <c r="M366" t="n">
        <v>0</v>
      </c>
      <c r="N366" t="n">
        <v>0</v>
      </c>
      <c r="O366" t="n">
        <v>0</v>
      </c>
      <c r="P366" t="n">
        <v>0</v>
      </c>
      <c r="Q366" t="n">
        <v>0</v>
      </c>
      <c r="R366" s="2" t="inlineStr"/>
    </row>
    <row r="367" ht="15" customHeight="1">
      <c r="A367" t="inlineStr">
        <is>
          <t>A 56950-2019</t>
        </is>
      </c>
      <c r="B367" s="1" t="n">
        <v>43766</v>
      </c>
      <c r="C367" s="1" t="n">
        <v>45766</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57605-2019</t>
        </is>
      </c>
      <c r="B368" s="1" t="n">
        <v>43768</v>
      </c>
      <c r="C368" s="1" t="n">
        <v>45766</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58064-2019</t>
        </is>
      </c>
      <c r="B369" s="1" t="n">
        <v>43769</v>
      </c>
      <c r="C369" s="1" t="n">
        <v>45766</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58631-2019</t>
        </is>
      </c>
      <c r="B370" s="1" t="n">
        <v>43773</v>
      </c>
      <c r="C370" s="1" t="n">
        <v>45766</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60214-2019</t>
        </is>
      </c>
      <c r="B371" s="1" t="n">
        <v>43780</v>
      </c>
      <c r="C371" s="1" t="n">
        <v>45766</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60208-2019</t>
        </is>
      </c>
      <c r="B372" s="1" t="n">
        <v>43780</v>
      </c>
      <c r="C372" s="1" t="n">
        <v>45766</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60842-2019</t>
        </is>
      </c>
      <c r="B373" s="1" t="n">
        <v>43781</v>
      </c>
      <c r="C373" s="1" t="n">
        <v>45766</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60844-2019</t>
        </is>
      </c>
      <c r="B374" s="1" t="n">
        <v>43781</v>
      </c>
      <c r="C374" s="1" t="n">
        <v>45766</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61657-2019</t>
        </is>
      </c>
      <c r="B375" s="1" t="n">
        <v>43784</v>
      </c>
      <c r="C375" s="1" t="n">
        <v>45766</v>
      </c>
      <c r="D375" t="inlineStr">
        <is>
          <t>STOCKHOLMS LÄN</t>
        </is>
      </c>
      <c r="E375" t="inlineStr">
        <is>
          <t>NORRTÄLJE</t>
        </is>
      </c>
      <c r="G375" t="n">
        <v>5</v>
      </c>
      <c r="H375" t="n">
        <v>0</v>
      </c>
      <c r="I375" t="n">
        <v>0</v>
      </c>
      <c r="J375" t="n">
        <v>0</v>
      </c>
      <c r="K375" t="n">
        <v>0</v>
      </c>
      <c r="L375" t="n">
        <v>0</v>
      </c>
      <c r="M375" t="n">
        <v>0</v>
      </c>
      <c r="N375" t="n">
        <v>0</v>
      </c>
      <c r="O375" t="n">
        <v>0</v>
      </c>
      <c r="P375" t="n">
        <v>0</v>
      </c>
      <c r="Q375" t="n">
        <v>0</v>
      </c>
      <c r="R375" s="2" t="inlineStr"/>
    </row>
    <row r="376" ht="15" customHeight="1">
      <c r="A376" t="inlineStr">
        <is>
          <t>A 62980-2019</t>
        </is>
      </c>
      <c r="B376" s="1" t="n">
        <v>43790</v>
      </c>
      <c r="C376" s="1" t="n">
        <v>45766</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63513-2019</t>
        </is>
      </c>
      <c r="B377" s="1" t="n">
        <v>43794</v>
      </c>
      <c r="C377" s="1" t="n">
        <v>45766</v>
      </c>
      <c r="D377" t="inlineStr">
        <is>
          <t>STOCKHOLMS LÄN</t>
        </is>
      </c>
      <c r="E377" t="inlineStr">
        <is>
          <t>NORRTÄLJE</t>
        </is>
      </c>
      <c r="G377" t="n">
        <v>9</v>
      </c>
      <c r="H377" t="n">
        <v>0</v>
      </c>
      <c r="I377" t="n">
        <v>0</v>
      </c>
      <c r="J377" t="n">
        <v>0</v>
      </c>
      <c r="K377" t="n">
        <v>0</v>
      </c>
      <c r="L377" t="n">
        <v>0</v>
      </c>
      <c r="M377" t="n">
        <v>0</v>
      </c>
      <c r="N377" t="n">
        <v>0</v>
      </c>
      <c r="O377" t="n">
        <v>0</v>
      </c>
      <c r="P377" t="n">
        <v>0</v>
      </c>
      <c r="Q377" t="n">
        <v>0</v>
      </c>
      <c r="R377" s="2" t="inlineStr"/>
    </row>
    <row r="378" ht="15" customHeight="1">
      <c r="A378" t="inlineStr">
        <is>
          <t>A 63529-2019</t>
        </is>
      </c>
      <c r="B378" s="1" t="n">
        <v>43794</v>
      </c>
      <c r="C378" s="1" t="n">
        <v>45766</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63495-2019</t>
        </is>
      </c>
      <c r="B379" s="1" t="n">
        <v>43794</v>
      </c>
      <c r="C379" s="1" t="n">
        <v>45766</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63504-2019</t>
        </is>
      </c>
      <c r="B380" s="1" t="n">
        <v>43794</v>
      </c>
      <c r="C380" s="1" t="n">
        <v>45766</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63528-2019</t>
        </is>
      </c>
      <c r="B381" s="1" t="n">
        <v>43794</v>
      </c>
      <c r="C381" s="1" t="n">
        <v>45766</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63515-2019</t>
        </is>
      </c>
      <c r="B382" s="1" t="n">
        <v>43794</v>
      </c>
      <c r="C382" s="1" t="n">
        <v>45766</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64293-2019</t>
        </is>
      </c>
      <c r="B383" s="1" t="n">
        <v>43797</v>
      </c>
      <c r="C383" s="1" t="n">
        <v>45766</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65640-2019</t>
        </is>
      </c>
      <c r="B384" s="1" t="n">
        <v>43804</v>
      </c>
      <c r="C384" s="1" t="n">
        <v>45766</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65998-2019</t>
        </is>
      </c>
      <c r="B385" s="1" t="n">
        <v>43805</v>
      </c>
      <c r="C385" s="1" t="n">
        <v>45766</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66604-2019</t>
        </is>
      </c>
      <c r="B386" s="1" t="n">
        <v>43809</v>
      </c>
      <c r="C386" s="1" t="n">
        <v>45766</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67158-2019</t>
        </is>
      </c>
      <c r="B387" s="1" t="n">
        <v>43811</v>
      </c>
      <c r="C387" s="1" t="n">
        <v>45766</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67324-2019</t>
        </is>
      </c>
      <c r="B388" s="1" t="n">
        <v>43812</v>
      </c>
      <c r="C388" s="1" t="n">
        <v>45766</v>
      </c>
      <c r="D388" t="inlineStr">
        <is>
          <t>STOCKHOLMS LÄN</t>
        </is>
      </c>
      <c r="E388" t="inlineStr">
        <is>
          <t>NORRTÄLJE</t>
        </is>
      </c>
      <c r="G388" t="n">
        <v>7.7</v>
      </c>
      <c r="H388" t="n">
        <v>0</v>
      </c>
      <c r="I388" t="n">
        <v>0</v>
      </c>
      <c r="J388" t="n">
        <v>0</v>
      </c>
      <c r="K388" t="n">
        <v>0</v>
      </c>
      <c r="L388" t="n">
        <v>0</v>
      </c>
      <c r="M388" t="n">
        <v>0</v>
      </c>
      <c r="N388" t="n">
        <v>0</v>
      </c>
      <c r="O388" t="n">
        <v>0</v>
      </c>
      <c r="P388" t="n">
        <v>0</v>
      </c>
      <c r="Q388" t="n">
        <v>0</v>
      </c>
      <c r="R388" s="2" t="inlineStr"/>
    </row>
    <row r="389" ht="15" customHeight="1">
      <c r="A389" t="inlineStr">
        <is>
          <t>A 68865-2019</t>
        </is>
      </c>
      <c r="B389" s="1" t="n">
        <v>43821</v>
      </c>
      <c r="C389" s="1" t="n">
        <v>45766</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1099-2020</t>
        </is>
      </c>
      <c r="B390" s="1" t="n">
        <v>43822</v>
      </c>
      <c r="C390" s="1" t="n">
        <v>45766</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4475-2020</t>
        </is>
      </c>
      <c r="B391" s="1" t="n">
        <v>43849</v>
      </c>
      <c r="C391" s="1" t="n">
        <v>45766</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3882-2020</t>
        </is>
      </c>
      <c r="B392" s="1" t="n">
        <v>43854</v>
      </c>
      <c r="C392" s="1" t="n">
        <v>45766</v>
      </c>
      <c r="D392" t="inlineStr">
        <is>
          <t>STOCKHOLMS LÄN</t>
        </is>
      </c>
      <c r="E392" t="inlineStr">
        <is>
          <t>NORRTÄLJE</t>
        </is>
      </c>
      <c r="G392" t="n">
        <v>5.9</v>
      </c>
      <c r="H392" t="n">
        <v>0</v>
      </c>
      <c r="I392" t="n">
        <v>0</v>
      </c>
      <c r="J392" t="n">
        <v>0</v>
      </c>
      <c r="K392" t="n">
        <v>0</v>
      </c>
      <c r="L392" t="n">
        <v>0</v>
      </c>
      <c r="M392" t="n">
        <v>0</v>
      </c>
      <c r="N392" t="n">
        <v>0</v>
      </c>
      <c r="O392" t="n">
        <v>0</v>
      </c>
      <c r="P392" t="n">
        <v>0</v>
      </c>
      <c r="Q392" t="n">
        <v>0</v>
      </c>
      <c r="R392" s="2" t="inlineStr"/>
    </row>
    <row r="393" ht="15" customHeight="1">
      <c r="A393" t="inlineStr">
        <is>
          <t>A 4094-2020</t>
        </is>
      </c>
      <c r="B393" s="1" t="n">
        <v>43857</v>
      </c>
      <c r="C393" s="1" t="n">
        <v>45766</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4950-2020</t>
        </is>
      </c>
      <c r="B394" s="1" t="n">
        <v>43859</v>
      </c>
      <c r="C394" s="1" t="n">
        <v>45766</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5084-2020</t>
        </is>
      </c>
      <c r="B395" s="1" t="n">
        <v>43859</v>
      </c>
      <c r="C395" s="1" t="n">
        <v>45766</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4952-2020</t>
        </is>
      </c>
      <c r="B396" s="1" t="n">
        <v>43859</v>
      </c>
      <c r="C396" s="1" t="n">
        <v>45766</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5735-2020</t>
        </is>
      </c>
      <c r="B397" s="1" t="n">
        <v>43863</v>
      </c>
      <c r="C397" s="1" t="n">
        <v>45766</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5733-2020</t>
        </is>
      </c>
      <c r="B398" s="1" t="n">
        <v>43863</v>
      </c>
      <c r="C398" s="1" t="n">
        <v>45766</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5739-2020</t>
        </is>
      </c>
      <c r="B399" s="1" t="n">
        <v>43863</v>
      </c>
      <c r="C399" s="1" t="n">
        <v>45766</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7471-2020</t>
        </is>
      </c>
      <c r="B400" s="1" t="n">
        <v>43871</v>
      </c>
      <c r="C400" s="1" t="n">
        <v>45766</v>
      </c>
      <c r="D400" t="inlineStr">
        <is>
          <t>STOCKHOLMS LÄN</t>
        </is>
      </c>
      <c r="E400" t="inlineStr">
        <is>
          <t>NORRTÄLJE</t>
        </is>
      </c>
      <c r="G400" t="n">
        <v>7.8</v>
      </c>
      <c r="H400" t="n">
        <v>0</v>
      </c>
      <c r="I400" t="n">
        <v>0</v>
      </c>
      <c r="J400" t="n">
        <v>0</v>
      </c>
      <c r="K400" t="n">
        <v>0</v>
      </c>
      <c r="L400" t="n">
        <v>0</v>
      </c>
      <c r="M400" t="n">
        <v>0</v>
      </c>
      <c r="N400" t="n">
        <v>0</v>
      </c>
      <c r="O400" t="n">
        <v>0</v>
      </c>
      <c r="P400" t="n">
        <v>0</v>
      </c>
      <c r="Q400" t="n">
        <v>0</v>
      </c>
      <c r="R400" s="2" t="inlineStr"/>
    </row>
    <row r="401" ht="15" customHeight="1">
      <c r="A401" t="inlineStr">
        <is>
          <t>A 9845-2020</t>
        </is>
      </c>
      <c r="B401" s="1" t="n">
        <v>43881</v>
      </c>
      <c r="C401" s="1" t="n">
        <v>45766</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10618-2020</t>
        </is>
      </c>
      <c r="B402" s="1" t="n">
        <v>43887</v>
      </c>
      <c r="C402" s="1" t="n">
        <v>45766</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11184-2020</t>
        </is>
      </c>
      <c r="B403" s="1" t="n">
        <v>43892</v>
      </c>
      <c r="C403" s="1" t="n">
        <v>45766</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11576-2020</t>
        </is>
      </c>
      <c r="B404" s="1" t="n">
        <v>43893</v>
      </c>
      <c r="C404" s="1" t="n">
        <v>45766</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12113-2020</t>
        </is>
      </c>
      <c r="B405" s="1" t="n">
        <v>43895</v>
      </c>
      <c r="C405" s="1" t="n">
        <v>45766</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12970-2020</t>
        </is>
      </c>
      <c r="B406" s="1" t="n">
        <v>43900</v>
      </c>
      <c r="C406" s="1" t="n">
        <v>45766</v>
      </c>
      <c r="D406" t="inlineStr">
        <is>
          <t>STOCKHOLMS LÄN</t>
        </is>
      </c>
      <c r="E406" t="inlineStr">
        <is>
          <t>NORRTÄLJE</t>
        </is>
      </c>
      <c r="F406" t="inlineStr">
        <is>
          <t>Kommuner</t>
        </is>
      </c>
      <c r="G406" t="n">
        <v>3</v>
      </c>
      <c r="H406" t="n">
        <v>0</v>
      </c>
      <c r="I406" t="n">
        <v>0</v>
      </c>
      <c r="J406" t="n">
        <v>0</v>
      </c>
      <c r="K406" t="n">
        <v>0</v>
      </c>
      <c r="L406" t="n">
        <v>0</v>
      </c>
      <c r="M406" t="n">
        <v>0</v>
      </c>
      <c r="N406" t="n">
        <v>0</v>
      </c>
      <c r="O406" t="n">
        <v>0</v>
      </c>
      <c r="P406" t="n">
        <v>0</v>
      </c>
      <c r="Q406" t="n">
        <v>0</v>
      </c>
      <c r="R406" s="2" t="inlineStr"/>
    </row>
    <row r="407" ht="15" customHeight="1">
      <c r="A407" t="inlineStr">
        <is>
          <t>A 13230-2020</t>
        </is>
      </c>
      <c r="B407" s="1" t="n">
        <v>43901</v>
      </c>
      <c r="C407" s="1" t="n">
        <v>45766</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13287-2020</t>
        </is>
      </c>
      <c r="B408" s="1" t="n">
        <v>43901</v>
      </c>
      <c r="C408" s="1" t="n">
        <v>45766</v>
      </c>
      <c r="D408" t="inlineStr">
        <is>
          <t>STOCKHOLMS LÄN</t>
        </is>
      </c>
      <c r="E408" t="inlineStr">
        <is>
          <t>NORRTÄLJE</t>
        </is>
      </c>
      <c r="F408" t="inlineStr">
        <is>
          <t>Kommuner</t>
        </is>
      </c>
      <c r="G408" t="n">
        <v>3.2</v>
      </c>
      <c r="H408" t="n">
        <v>0</v>
      </c>
      <c r="I408" t="n">
        <v>0</v>
      </c>
      <c r="J408" t="n">
        <v>0</v>
      </c>
      <c r="K408" t="n">
        <v>0</v>
      </c>
      <c r="L408" t="n">
        <v>0</v>
      </c>
      <c r="M408" t="n">
        <v>0</v>
      </c>
      <c r="N408" t="n">
        <v>0</v>
      </c>
      <c r="O408" t="n">
        <v>0</v>
      </c>
      <c r="P408" t="n">
        <v>0</v>
      </c>
      <c r="Q408" t="n">
        <v>0</v>
      </c>
      <c r="R408" s="2" t="inlineStr"/>
    </row>
    <row r="409" ht="15" customHeight="1">
      <c r="A409" t="inlineStr">
        <is>
          <t>A 13281-2020</t>
        </is>
      </c>
      <c r="B409" s="1" t="n">
        <v>43901</v>
      </c>
      <c r="C409" s="1" t="n">
        <v>45766</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13501-2020</t>
        </is>
      </c>
      <c r="B410" s="1" t="n">
        <v>43902</v>
      </c>
      <c r="C410" s="1" t="n">
        <v>45766</v>
      </c>
      <c r="D410" t="inlineStr">
        <is>
          <t>STOCKHOLMS LÄN</t>
        </is>
      </c>
      <c r="E410" t="inlineStr">
        <is>
          <t>NORRTÄLJE</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13506-2020</t>
        </is>
      </c>
      <c r="B411" s="1" t="n">
        <v>43902</v>
      </c>
      <c r="C411" s="1" t="n">
        <v>45766</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14525-2020</t>
        </is>
      </c>
      <c r="B412" s="1" t="n">
        <v>43908</v>
      </c>
      <c r="C412" s="1" t="n">
        <v>45766</v>
      </c>
      <c r="D412" t="inlineStr">
        <is>
          <t>STOCKHOLMS LÄN</t>
        </is>
      </c>
      <c r="E412" t="inlineStr">
        <is>
          <t>NORRTÄLJE</t>
        </is>
      </c>
      <c r="G412" t="n">
        <v>10.2</v>
      </c>
      <c r="H412" t="n">
        <v>0</v>
      </c>
      <c r="I412" t="n">
        <v>0</v>
      </c>
      <c r="J412" t="n">
        <v>0</v>
      </c>
      <c r="K412" t="n">
        <v>0</v>
      </c>
      <c r="L412" t="n">
        <v>0</v>
      </c>
      <c r="M412" t="n">
        <v>0</v>
      </c>
      <c r="N412" t="n">
        <v>0</v>
      </c>
      <c r="O412" t="n">
        <v>0</v>
      </c>
      <c r="P412" t="n">
        <v>0</v>
      </c>
      <c r="Q412" t="n">
        <v>0</v>
      </c>
      <c r="R412" s="2" t="inlineStr"/>
    </row>
    <row r="413" ht="15" customHeight="1">
      <c r="A413" t="inlineStr">
        <is>
          <t>A 14831-2020</t>
        </is>
      </c>
      <c r="B413" s="1" t="n">
        <v>43909</v>
      </c>
      <c r="C413" s="1" t="n">
        <v>45766</v>
      </c>
      <c r="D413" t="inlineStr">
        <is>
          <t>STOCKHOLMS LÄN</t>
        </is>
      </c>
      <c r="E413" t="inlineStr">
        <is>
          <t>NORRTÄLJE</t>
        </is>
      </c>
      <c r="G413" t="n">
        <v>11.4</v>
      </c>
      <c r="H413" t="n">
        <v>0</v>
      </c>
      <c r="I413" t="n">
        <v>0</v>
      </c>
      <c r="J413" t="n">
        <v>0</v>
      </c>
      <c r="K413" t="n">
        <v>0</v>
      </c>
      <c r="L413" t="n">
        <v>0</v>
      </c>
      <c r="M413" t="n">
        <v>0</v>
      </c>
      <c r="N413" t="n">
        <v>0</v>
      </c>
      <c r="O413" t="n">
        <v>0</v>
      </c>
      <c r="P413" t="n">
        <v>0</v>
      </c>
      <c r="Q413" t="n">
        <v>0</v>
      </c>
      <c r="R413" s="2" t="inlineStr"/>
    </row>
    <row r="414" ht="15" customHeight="1">
      <c r="A414" t="inlineStr">
        <is>
          <t>A 15663-2020</t>
        </is>
      </c>
      <c r="B414" s="1" t="n">
        <v>43915</v>
      </c>
      <c r="C414" s="1" t="n">
        <v>45766</v>
      </c>
      <c r="D414" t="inlineStr">
        <is>
          <t>STOCKHOLMS LÄN</t>
        </is>
      </c>
      <c r="E414" t="inlineStr">
        <is>
          <t>NORRTÄLJE</t>
        </is>
      </c>
      <c r="G414" t="n">
        <v>11.1</v>
      </c>
      <c r="H414" t="n">
        <v>0</v>
      </c>
      <c r="I414" t="n">
        <v>0</v>
      </c>
      <c r="J414" t="n">
        <v>0</v>
      </c>
      <c r="K414" t="n">
        <v>0</v>
      </c>
      <c r="L414" t="n">
        <v>0</v>
      </c>
      <c r="M414" t="n">
        <v>0</v>
      </c>
      <c r="N414" t="n">
        <v>0</v>
      </c>
      <c r="O414" t="n">
        <v>0</v>
      </c>
      <c r="P414" t="n">
        <v>0</v>
      </c>
      <c r="Q414" t="n">
        <v>0</v>
      </c>
      <c r="R414" s="2" t="inlineStr"/>
    </row>
    <row r="415" ht="15" customHeight="1">
      <c r="A415" t="inlineStr">
        <is>
          <t>A 16273-2020</t>
        </is>
      </c>
      <c r="B415" s="1" t="n">
        <v>43917</v>
      </c>
      <c r="C415" s="1" t="n">
        <v>45766</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17965-2020</t>
        </is>
      </c>
      <c r="B416" s="1" t="n">
        <v>43925</v>
      </c>
      <c r="C416" s="1" t="n">
        <v>45766</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19258-2020</t>
        </is>
      </c>
      <c r="B417" s="1" t="n">
        <v>43937</v>
      </c>
      <c r="C417" s="1" t="n">
        <v>45766</v>
      </c>
      <c r="D417" t="inlineStr">
        <is>
          <t>STOCKHOLMS LÄN</t>
        </is>
      </c>
      <c r="E417" t="inlineStr">
        <is>
          <t>NORRTÄLJE</t>
        </is>
      </c>
      <c r="F417" t="inlineStr">
        <is>
          <t>Övriga statliga verk och myndigheter</t>
        </is>
      </c>
      <c r="G417" t="n">
        <v>2.9</v>
      </c>
      <c r="H417" t="n">
        <v>0</v>
      </c>
      <c r="I417" t="n">
        <v>0</v>
      </c>
      <c r="J417" t="n">
        <v>0</v>
      </c>
      <c r="K417" t="n">
        <v>0</v>
      </c>
      <c r="L417" t="n">
        <v>0</v>
      </c>
      <c r="M417" t="n">
        <v>0</v>
      </c>
      <c r="N417" t="n">
        <v>0</v>
      </c>
      <c r="O417" t="n">
        <v>0</v>
      </c>
      <c r="P417" t="n">
        <v>0</v>
      </c>
      <c r="Q417" t="n">
        <v>0</v>
      </c>
      <c r="R417" s="2" t="inlineStr"/>
    </row>
    <row r="418" ht="15" customHeight="1">
      <c r="A418" t="inlineStr">
        <is>
          <t>A 20257-2020</t>
        </is>
      </c>
      <c r="B418" s="1" t="n">
        <v>43944</v>
      </c>
      <c r="C418" s="1" t="n">
        <v>45766</v>
      </c>
      <c r="D418" t="inlineStr">
        <is>
          <t>STOCKHOLMS LÄN</t>
        </is>
      </c>
      <c r="E418" t="inlineStr">
        <is>
          <t>NORRTÄLJE</t>
        </is>
      </c>
      <c r="G418" t="n">
        <v>80.09999999999999</v>
      </c>
      <c r="H418" t="n">
        <v>0</v>
      </c>
      <c r="I418" t="n">
        <v>0</v>
      </c>
      <c r="J418" t="n">
        <v>0</v>
      </c>
      <c r="K418" t="n">
        <v>0</v>
      </c>
      <c r="L418" t="n">
        <v>0</v>
      </c>
      <c r="M418" t="n">
        <v>0</v>
      </c>
      <c r="N418" t="n">
        <v>0</v>
      </c>
      <c r="O418" t="n">
        <v>0</v>
      </c>
      <c r="P418" t="n">
        <v>0</v>
      </c>
      <c r="Q418" t="n">
        <v>0</v>
      </c>
      <c r="R418" s="2" t="inlineStr"/>
    </row>
    <row r="419" ht="15" customHeight="1">
      <c r="A419" t="inlineStr">
        <is>
          <t>A 21849-2020</t>
        </is>
      </c>
      <c r="B419" s="1" t="n">
        <v>43958</v>
      </c>
      <c r="C419" s="1" t="n">
        <v>45766</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21875-2020</t>
        </is>
      </c>
      <c r="B420" s="1" t="n">
        <v>43958</v>
      </c>
      <c r="C420" s="1" t="n">
        <v>45766</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23751-2020</t>
        </is>
      </c>
      <c r="B421" s="1" t="n">
        <v>43970</v>
      </c>
      <c r="C421" s="1" t="n">
        <v>45766</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24136-2020</t>
        </is>
      </c>
      <c r="B422" s="1" t="n">
        <v>43973</v>
      </c>
      <c r="C422" s="1" t="n">
        <v>45766</v>
      </c>
      <c r="D422" t="inlineStr">
        <is>
          <t>STOCKHOLMS LÄN</t>
        </is>
      </c>
      <c r="E422" t="inlineStr">
        <is>
          <t>NORRTÄLJE</t>
        </is>
      </c>
      <c r="G422" t="n">
        <v>4.1</v>
      </c>
      <c r="H422" t="n">
        <v>0</v>
      </c>
      <c r="I422" t="n">
        <v>0</v>
      </c>
      <c r="J422" t="n">
        <v>0</v>
      </c>
      <c r="K422" t="n">
        <v>0</v>
      </c>
      <c r="L422" t="n">
        <v>0</v>
      </c>
      <c r="M422" t="n">
        <v>0</v>
      </c>
      <c r="N422" t="n">
        <v>0</v>
      </c>
      <c r="O422" t="n">
        <v>0</v>
      </c>
      <c r="P422" t="n">
        <v>0</v>
      </c>
      <c r="Q422" t="n">
        <v>0</v>
      </c>
      <c r="R422" s="2" t="inlineStr"/>
    </row>
    <row r="423" ht="15" customHeight="1">
      <c r="A423" t="inlineStr">
        <is>
          <t>A 25584-2020</t>
        </is>
      </c>
      <c r="B423" s="1" t="n">
        <v>43983</v>
      </c>
      <c r="C423" s="1" t="n">
        <v>45766</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25589-2020</t>
        </is>
      </c>
      <c r="B424" s="1" t="n">
        <v>43983</v>
      </c>
      <c r="C424" s="1" t="n">
        <v>45766</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25897-2020</t>
        </is>
      </c>
      <c r="B425" s="1" t="n">
        <v>43984</v>
      </c>
      <c r="C425" s="1" t="n">
        <v>45766</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30600-2020</t>
        </is>
      </c>
      <c r="B426" s="1" t="n">
        <v>44008</v>
      </c>
      <c r="C426" s="1" t="n">
        <v>45766</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31783-2020</t>
        </is>
      </c>
      <c r="B427" s="1" t="n">
        <v>44014</v>
      </c>
      <c r="C427" s="1" t="n">
        <v>45766</v>
      </c>
      <c r="D427" t="inlineStr">
        <is>
          <t>STOCKHOLMS LÄN</t>
        </is>
      </c>
      <c r="E427" t="inlineStr">
        <is>
          <t>NORRTÄLJE</t>
        </is>
      </c>
      <c r="G427" t="n">
        <v>4.8</v>
      </c>
      <c r="H427" t="n">
        <v>0</v>
      </c>
      <c r="I427" t="n">
        <v>0</v>
      </c>
      <c r="J427" t="n">
        <v>0</v>
      </c>
      <c r="K427" t="n">
        <v>0</v>
      </c>
      <c r="L427" t="n">
        <v>0</v>
      </c>
      <c r="M427" t="n">
        <v>0</v>
      </c>
      <c r="N427" t="n">
        <v>0</v>
      </c>
      <c r="O427" t="n">
        <v>0</v>
      </c>
      <c r="P427" t="n">
        <v>0</v>
      </c>
      <c r="Q427" t="n">
        <v>0</v>
      </c>
      <c r="R427" s="2" t="inlineStr"/>
    </row>
    <row r="428" ht="15" customHeight="1">
      <c r="A428" t="inlineStr">
        <is>
          <t>A 33749-2020</t>
        </is>
      </c>
      <c r="B428" s="1" t="n">
        <v>44026</v>
      </c>
      <c r="C428" s="1" t="n">
        <v>45766</v>
      </c>
      <c r="D428" t="inlineStr">
        <is>
          <t>STOCKHOLMS LÄN</t>
        </is>
      </c>
      <c r="E428" t="inlineStr">
        <is>
          <t>NORRTÄLJE</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34651-2020</t>
        </is>
      </c>
      <c r="B429" s="1" t="n">
        <v>44034</v>
      </c>
      <c r="C429" s="1" t="n">
        <v>45766</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34650-2020</t>
        </is>
      </c>
      <c r="B430" s="1" t="n">
        <v>44034</v>
      </c>
      <c r="C430" s="1" t="n">
        <v>45766</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36314-2020</t>
        </is>
      </c>
      <c r="B431" s="1" t="n">
        <v>44049</v>
      </c>
      <c r="C431" s="1" t="n">
        <v>45766</v>
      </c>
      <c r="D431" t="inlineStr">
        <is>
          <t>STOCKHOLMS LÄN</t>
        </is>
      </c>
      <c r="E431" t="inlineStr">
        <is>
          <t>NORRTÄLJE</t>
        </is>
      </c>
      <c r="G431" t="n">
        <v>5</v>
      </c>
      <c r="H431" t="n">
        <v>0</v>
      </c>
      <c r="I431" t="n">
        <v>0</v>
      </c>
      <c r="J431" t="n">
        <v>0</v>
      </c>
      <c r="K431" t="n">
        <v>0</v>
      </c>
      <c r="L431" t="n">
        <v>0</v>
      </c>
      <c r="M431" t="n">
        <v>0</v>
      </c>
      <c r="N431" t="n">
        <v>0</v>
      </c>
      <c r="O431" t="n">
        <v>0</v>
      </c>
      <c r="P431" t="n">
        <v>0</v>
      </c>
      <c r="Q431" t="n">
        <v>0</v>
      </c>
      <c r="R431" s="2" t="inlineStr"/>
    </row>
    <row r="432" ht="15" customHeight="1">
      <c r="A432" t="inlineStr">
        <is>
          <t>A 36359-2020</t>
        </is>
      </c>
      <c r="B432" s="1" t="n">
        <v>44049</v>
      </c>
      <c r="C432" s="1" t="n">
        <v>45766</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40837-2020</t>
        </is>
      </c>
      <c r="B433" s="1" t="n">
        <v>44067</v>
      </c>
      <c r="C433" s="1" t="n">
        <v>45766</v>
      </c>
      <c r="D433" t="inlineStr">
        <is>
          <t>STOCKHOLMS LÄN</t>
        </is>
      </c>
      <c r="E433" t="inlineStr">
        <is>
          <t>NORRTÄLJE</t>
        </is>
      </c>
      <c r="G433" t="n">
        <v>20.6</v>
      </c>
      <c r="H433" t="n">
        <v>0</v>
      </c>
      <c r="I433" t="n">
        <v>0</v>
      </c>
      <c r="J433" t="n">
        <v>0</v>
      </c>
      <c r="K433" t="n">
        <v>0</v>
      </c>
      <c r="L433" t="n">
        <v>0</v>
      </c>
      <c r="M433" t="n">
        <v>0</v>
      </c>
      <c r="N433" t="n">
        <v>0</v>
      </c>
      <c r="O433" t="n">
        <v>0</v>
      </c>
      <c r="P433" t="n">
        <v>0</v>
      </c>
      <c r="Q433" t="n">
        <v>0</v>
      </c>
      <c r="R433" s="2" t="inlineStr"/>
    </row>
    <row r="434" ht="15" customHeight="1">
      <c r="A434" t="inlineStr">
        <is>
          <t>A 40661-2020</t>
        </is>
      </c>
      <c r="B434" s="1" t="n">
        <v>44069</v>
      </c>
      <c r="C434" s="1" t="n">
        <v>45766</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42247-2020</t>
        </is>
      </c>
      <c r="B435" s="1" t="n">
        <v>44074</v>
      </c>
      <c r="C435" s="1" t="n">
        <v>45766</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42256-2020</t>
        </is>
      </c>
      <c r="B436" s="1" t="n">
        <v>44074</v>
      </c>
      <c r="C436" s="1" t="n">
        <v>45766</v>
      </c>
      <c r="D436" t="inlineStr">
        <is>
          <t>STOCKHOLMS LÄN</t>
        </is>
      </c>
      <c r="E436" t="inlineStr">
        <is>
          <t>NORRTÄLJE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41694-2020</t>
        </is>
      </c>
      <c r="B437" s="1" t="n">
        <v>44074</v>
      </c>
      <c r="C437" s="1" t="n">
        <v>45766</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42365-2020</t>
        </is>
      </c>
      <c r="B438" s="1" t="n">
        <v>44076</v>
      </c>
      <c r="C438" s="1" t="n">
        <v>45766</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45766</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42455-2020</t>
        </is>
      </c>
      <c r="B440" s="1" t="n">
        <v>44076</v>
      </c>
      <c r="C440" s="1" t="n">
        <v>45766</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43751-2020</t>
        </is>
      </c>
      <c r="B441" s="1" t="n">
        <v>44082</v>
      </c>
      <c r="C441" s="1" t="n">
        <v>45766</v>
      </c>
      <c r="D441" t="inlineStr">
        <is>
          <t>STOCKHOLMS LÄN</t>
        </is>
      </c>
      <c r="E441" t="inlineStr">
        <is>
          <t>NORRTÄLJE</t>
        </is>
      </c>
      <c r="G441" t="n">
        <v>8</v>
      </c>
      <c r="H441" t="n">
        <v>0</v>
      </c>
      <c r="I441" t="n">
        <v>0</v>
      </c>
      <c r="J441" t="n">
        <v>0</v>
      </c>
      <c r="K441" t="n">
        <v>0</v>
      </c>
      <c r="L441" t="n">
        <v>0</v>
      </c>
      <c r="M441" t="n">
        <v>0</v>
      </c>
      <c r="N441" t="n">
        <v>0</v>
      </c>
      <c r="O441" t="n">
        <v>0</v>
      </c>
      <c r="P441" t="n">
        <v>0</v>
      </c>
      <c r="Q441" t="n">
        <v>0</v>
      </c>
      <c r="R441" s="2" t="inlineStr"/>
    </row>
    <row r="442" ht="15" customHeight="1">
      <c r="A442" t="inlineStr">
        <is>
          <t>A 44096-2020</t>
        </is>
      </c>
      <c r="B442" s="1" t="n">
        <v>44083</v>
      </c>
      <c r="C442" s="1" t="n">
        <v>45766</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44071-2020</t>
        </is>
      </c>
      <c r="B443" s="1" t="n">
        <v>44083</v>
      </c>
      <c r="C443" s="1" t="n">
        <v>45766</v>
      </c>
      <c r="D443" t="inlineStr">
        <is>
          <t>STOCKHOLMS LÄN</t>
        </is>
      </c>
      <c r="E443" t="inlineStr">
        <is>
          <t>NORRTÄLJE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44183-2020</t>
        </is>
      </c>
      <c r="B444" s="1" t="n">
        <v>44083</v>
      </c>
      <c r="C444" s="1" t="n">
        <v>45766</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44792-2020</t>
        </is>
      </c>
      <c r="B445" s="1" t="n">
        <v>44085</v>
      </c>
      <c r="C445" s="1" t="n">
        <v>45766</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45988-2020</t>
        </is>
      </c>
      <c r="B446" s="1" t="n">
        <v>44091</v>
      </c>
      <c r="C446" s="1" t="n">
        <v>45766</v>
      </c>
      <c r="D446" t="inlineStr">
        <is>
          <t>STOCKHOLMS LÄN</t>
        </is>
      </c>
      <c r="E446" t="inlineStr">
        <is>
          <t>NORRTÄLJE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46556-2020</t>
        </is>
      </c>
      <c r="B447" s="1" t="n">
        <v>44095</v>
      </c>
      <c r="C447" s="1" t="n">
        <v>45766</v>
      </c>
      <c r="D447" t="inlineStr">
        <is>
          <t>STOCKHOLMS LÄN</t>
        </is>
      </c>
      <c r="E447" t="inlineStr">
        <is>
          <t>NORRTÄLJE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47291-2020</t>
        </is>
      </c>
      <c r="B448" s="1" t="n">
        <v>44097</v>
      </c>
      <c r="C448" s="1" t="n">
        <v>45766</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48392-2020</t>
        </is>
      </c>
      <c r="B449" s="1" t="n">
        <v>44097</v>
      </c>
      <c r="C449" s="1" t="n">
        <v>45766</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47869-2020</t>
        </is>
      </c>
      <c r="B450" s="1" t="n">
        <v>44098</v>
      </c>
      <c r="C450" s="1" t="n">
        <v>45766</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47868-2020</t>
        </is>
      </c>
      <c r="B451" s="1" t="n">
        <v>44098</v>
      </c>
      <c r="C451" s="1" t="n">
        <v>45766</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45766</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48071-2020</t>
        </is>
      </c>
      <c r="B453" s="1" t="n">
        <v>44100</v>
      </c>
      <c r="C453" s="1" t="n">
        <v>45766</v>
      </c>
      <c r="D453" t="inlineStr">
        <is>
          <t>STOCKHOLMS LÄN</t>
        </is>
      </c>
      <c r="E453" t="inlineStr">
        <is>
          <t>NORRTÄLJE</t>
        </is>
      </c>
      <c r="G453" t="n">
        <v>6.8</v>
      </c>
      <c r="H453" t="n">
        <v>0</v>
      </c>
      <c r="I453" t="n">
        <v>0</v>
      </c>
      <c r="J453" t="n">
        <v>0</v>
      </c>
      <c r="K453" t="n">
        <v>0</v>
      </c>
      <c r="L453" t="n">
        <v>0</v>
      </c>
      <c r="M453" t="n">
        <v>0</v>
      </c>
      <c r="N453" t="n">
        <v>0</v>
      </c>
      <c r="O453" t="n">
        <v>0</v>
      </c>
      <c r="P453" t="n">
        <v>0</v>
      </c>
      <c r="Q453" t="n">
        <v>0</v>
      </c>
      <c r="R453" s="2" t="inlineStr"/>
    </row>
    <row r="454" ht="15" customHeight="1">
      <c r="A454" t="inlineStr">
        <is>
          <t>A 48496-2020</t>
        </is>
      </c>
      <c r="B454" s="1" t="n">
        <v>44103</v>
      </c>
      <c r="C454" s="1" t="n">
        <v>45766</v>
      </c>
      <c r="D454" t="inlineStr">
        <is>
          <t>STOCKHOLMS LÄN</t>
        </is>
      </c>
      <c r="E454" t="inlineStr">
        <is>
          <t>NORRTÄLJE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48522-2020</t>
        </is>
      </c>
      <c r="B455" s="1" t="n">
        <v>44103</v>
      </c>
      <c r="C455" s="1" t="n">
        <v>45766</v>
      </c>
      <c r="D455" t="inlineStr">
        <is>
          <t>STOCKHOLMS LÄN</t>
        </is>
      </c>
      <c r="E455" t="inlineStr">
        <is>
          <t>NORRTÄLJE</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49334-2020</t>
        </is>
      </c>
      <c r="B456" s="1" t="n">
        <v>44105</v>
      </c>
      <c r="C456" s="1" t="n">
        <v>45766</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49327-2020</t>
        </is>
      </c>
      <c r="B457" s="1" t="n">
        <v>44105</v>
      </c>
      <c r="C457" s="1" t="n">
        <v>45766</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49898-2020</t>
        </is>
      </c>
      <c r="B458" s="1" t="n">
        <v>44108</v>
      </c>
      <c r="C458" s="1" t="n">
        <v>45766</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50497-2020</t>
        </is>
      </c>
      <c r="B459" s="1" t="n">
        <v>44110</v>
      </c>
      <c r="C459" s="1" t="n">
        <v>45766</v>
      </c>
      <c r="D459" t="inlineStr">
        <is>
          <t>STOCKHOLMS LÄN</t>
        </is>
      </c>
      <c r="E459" t="inlineStr">
        <is>
          <t>NORRTÄLJE</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50738-2020</t>
        </is>
      </c>
      <c r="B460" s="1" t="n">
        <v>44111</v>
      </c>
      <c r="C460" s="1" t="n">
        <v>45766</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50746-2020</t>
        </is>
      </c>
      <c r="B461" s="1" t="n">
        <v>44111</v>
      </c>
      <c r="C461" s="1" t="n">
        <v>45766</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50742-2020</t>
        </is>
      </c>
      <c r="B462" s="1" t="n">
        <v>44111</v>
      </c>
      <c r="C462" s="1" t="n">
        <v>45766</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51720-2020</t>
        </is>
      </c>
      <c r="B463" s="1" t="n">
        <v>44113</v>
      </c>
      <c r="C463" s="1" t="n">
        <v>45766</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51787-2020</t>
        </is>
      </c>
      <c r="B464" s="1" t="n">
        <v>44116</v>
      </c>
      <c r="C464" s="1" t="n">
        <v>45766</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51798-2020</t>
        </is>
      </c>
      <c r="B465" s="1" t="n">
        <v>44116</v>
      </c>
      <c r="C465" s="1" t="n">
        <v>45766</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53768-2020</t>
        </is>
      </c>
      <c r="B466" s="1" t="n">
        <v>44123</v>
      </c>
      <c r="C466" s="1" t="n">
        <v>45766</v>
      </c>
      <c r="D466" t="inlineStr">
        <is>
          <t>STOCKHOLMS LÄN</t>
        </is>
      </c>
      <c r="E466" t="inlineStr">
        <is>
          <t>NORRTÄLJE</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53652-2020</t>
        </is>
      </c>
      <c r="B467" s="1" t="n">
        <v>44124</v>
      </c>
      <c r="C467" s="1" t="n">
        <v>45766</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53690-2020</t>
        </is>
      </c>
      <c r="B468" s="1" t="n">
        <v>44124</v>
      </c>
      <c r="C468" s="1" t="n">
        <v>45766</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53607-2020</t>
        </is>
      </c>
      <c r="B469" s="1" t="n">
        <v>44124</v>
      </c>
      <c r="C469" s="1" t="n">
        <v>45766</v>
      </c>
      <c r="D469" t="inlineStr">
        <is>
          <t>STOCKHOLMS LÄN</t>
        </is>
      </c>
      <c r="E469" t="inlineStr">
        <is>
          <t>NORRTÄLJE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55089-2020</t>
        </is>
      </c>
      <c r="B470" s="1" t="n">
        <v>44130</v>
      </c>
      <c r="C470" s="1" t="n">
        <v>45766</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55895-2020</t>
        </is>
      </c>
      <c r="B471" s="1" t="n">
        <v>44132</v>
      </c>
      <c r="C471" s="1" t="n">
        <v>45766</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55890-2020</t>
        </is>
      </c>
      <c r="B472" s="1" t="n">
        <v>44132</v>
      </c>
      <c r="C472" s="1" t="n">
        <v>45766</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55982-2020</t>
        </is>
      </c>
      <c r="B473" s="1" t="n">
        <v>44132</v>
      </c>
      <c r="C473" s="1" t="n">
        <v>45766</v>
      </c>
      <c r="D473" t="inlineStr">
        <is>
          <t>STOCKHOLMS LÄN</t>
        </is>
      </c>
      <c r="E473" t="inlineStr">
        <is>
          <t>NORRTÄLJE</t>
        </is>
      </c>
      <c r="G473" t="n">
        <v>11.3</v>
      </c>
      <c r="H473" t="n">
        <v>0</v>
      </c>
      <c r="I473" t="n">
        <v>0</v>
      </c>
      <c r="J473" t="n">
        <v>0</v>
      </c>
      <c r="K473" t="n">
        <v>0</v>
      </c>
      <c r="L473" t="n">
        <v>0</v>
      </c>
      <c r="M473" t="n">
        <v>0</v>
      </c>
      <c r="N473" t="n">
        <v>0</v>
      </c>
      <c r="O473" t="n">
        <v>0</v>
      </c>
      <c r="P473" t="n">
        <v>0</v>
      </c>
      <c r="Q473" t="n">
        <v>0</v>
      </c>
      <c r="R473" s="2" t="inlineStr"/>
    </row>
    <row r="474" ht="15" customHeight="1">
      <c r="A474" t="inlineStr">
        <is>
          <t>A 56166-2020</t>
        </is>
      </c>
      <c r="B474" s="1" t="n">
        <v>44133</v>
      </c>
      <c r="C474" s="1" t="n">
        <v>45766</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56323-2020</t>
        </is>
      </c>
      <c r="B475" s="1" t="n">
        <v>44134</v>
      </c>
      <c r="C475" s="1" t="n">
        <v>45766</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57216-2020</t>
        </is>
      </c>
      <c r="B476" s="1" t="n">
        <v>44139</v>
      </c>
      <c r="C476" s="1" t="n">
        <v>45766</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57957-2020</t>
        </is>
      </c>
      <c r="B477" s="1" t="n">
        <v>44143</v>
      </c>
      <c r="C477" s="1" t="n">
        <v>45766</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57987-2020</t>
        </is>
      </c>
      <c r="B478" s="1" t="n">
        <v>44143</v>
      </c>
      <c r="C478" s="1" t="n">
        <v>45766</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58493-2020</t>
        </is>
      </c>
      <c r="B479" s="1" t="n">
        <v>44145</v>
      </c>
      <c r="C479" s="1" t="n">
        <v>45766</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58661-2020</t>
        </is>
      </c>
      <c r="B480" s="1" t="n">
        <v>44145</v>
      </c>
      <c r="C480" s="1" t="n">
        <v>45766</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58665-2020</t>
        </is>
      </c>
      <c r="B481" s="1" t="n">
        <v>44145</v>
      </c>
      <c r="C481" s="1" t="n">
        <v>45766</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58888-2020</t>
        </is>
      </c>
      <c r="B482" s="1" t="n">
        <v>44146</v>
      </c>
      <c r="C482" s="1" t="n">
        <v>45766</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60321-2020</t>
        </is>
      </c>
      <c r="B483" s="1" t="n">
        <v>44152</v>
      </c>
      <c r="C483" s="1" t="n">
        <v>45766</v>
      </c>
      <c r="D483" t="inlineStr">
        <is>
          <t>STOCKHOLMS LÄN</t>
        </is>
      </c>
      <c r="E483" t="inlineStr">
        <is>
          <t>NORRTÄLJE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60542-2020</t>
        </is>
      </c>
      <c r="B484" s="1" t="n">
        <v>44153</v>
      </c>
      <c r="C484" s="1" t="n">
        <v>45766</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60977-2020</t>
        </is>
      </c>
      <c r="B485" s="1" t="n">
        <v>44154</v>
      </c>
      <c r="C485" s="1" t="n">
        <v>45766</v>
      </c>
      <c r="D485" t="inlineStr">
        <is>
          <t>STOCKHOLMS LÄN</t>
        </is>
      </c>
      <c r="E485" t="inlineStr">
        <is>
          <t>NORRTÄLJE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60891-2020</t>
        </is>
      </c>
      <c r="B486" s="1" t="n">
        <v>44154</v>
      </c>
      <c r="C486" s="1" t="n">
        <v>45766</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60961-2020</t>
        </is>
      </c>
      <c r="B487" s="1" t="n">
        <v>44154</v>
      </c>
      <c r="C487" s="1" t="n">
        <v>45766</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61195-2020</t>
        </is>
      </c>
      <c r="B488" s="1" t="n">
        <v>44155</v>
      </c>
      <c r="C488" s="1" t="n">
        <v>45766</v>
      </c>
      <c r="D488" t="inlineStr">
        <is>
          <t>STOCKHOLMS LÄN</t>
        </is>
      </c>
      <c r="E488" t="inlineStr">
        <is>
          <t>NORRTÄLJE</t>
        </is>
      </c>
      <c r="G488" t="n">
        <v>7.8</v>
      </c>
      <c r="H488" t="n">
        <v>0</v>
      </c>
      <c r="I488" t="n">
        <v>0</v>
      </c>
      <c r="J488" t="n">
        <v>0</v>
      </c>
      <c r="K488" t="n">
        <v>0</v>
      </c>
      <c r="L488" t="n">
        <v>0</v>
      </c>
      <c r="M488" t="n">
        <v>0</v>
      </c>
      <c r="N488" t="n">
        <v>0</v>
      </c>
      <c r="O488" t="n">
        <v>0</v>
      </c>
      <c r="P488" t="n">
        <v>0</v>
      </c>
      <c r="Q488" t="n">
        <v>0</v>
      </c>
      <c r="R488" s="2" t="inlineStr"/>
    </row>
    <row r="489" ht="15" customHeight="1">
      <c r="A489" t="inlineStr">
        <is>
          <t>A 61221-2020</t>
        </is>
      </c>
      <c r="B489" s="1" t="n">
        <v>44155</v>
      </c>
      <c r="C489" s="1" t="n">
        <v>45766</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61363-2020</t>
        </is>
      </c>
      <c r="B490" s="1" t="n">
        <v>44155</v>
      </c>
      <c r="C490" s="1" t="n">
        <v>45766</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61469-2020</t>
        </is>
      </c>
      <c r="B491" s="1" t="n">
        <v>44155</v>
      </c>
      <c r="C491" s="1" t="n">
        <v>45766</v>
      </c>
      <c r="D491" t="inlineStr">
        <is>
          <t>STOCKHOLMS LÄN</t>
        </is>
      </c>
      <c r="E491" t="inlineStr">
        <is>
          <t>NORRTÄLJE</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61192-2020</t>
        </is>
      </c>
      <c r="B492" s="1" t="n">
        <v>44155</v>
      </c>
      <c r="C492" s="1" t="n">
        <v>45766</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62460-2020</t>
        </is>
      </c>
      <c r="B493" s="1" t="n">
        <v>44160</v>
      </c>
      <c r="C493" s="1" t="n">
        <v>45766</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62854-2020</t>
        </is>
      </c>
      <c r="B494" s="1" t="n">
        <v>44161</v>
      </c>
      <c r="C494" s="1" t="n">
        <v>45766</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63824-2020</t>
        </is>
      </c>
      <c r="B495" s="1" t="n">
        <v>44162</v>
      </c>
      <c r="C495" s="1" t="n">
        <v>45766</v>
      </c>
      <c r="D495" t="inlineStr">
        <is>
          <t>STOCKHOLMS LÄN</t>
        </is>
      </c>
      <c r="E495" t="inlineStr">
        <is>
          <t>NORRTÄLJE</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66372-2020</t>
        </is>
      </c>
      <c r="B496" s="1" t="n">
        <v>44176</v>
      </c>
      <c r="C496" s="1" t="n">
        <v>45766</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45766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67393-2020</t>
        </is>
      </c>
      <c r="B498" s="1" t="n">
        <v>44181</v>
      </c>
      <c r="C498" s="1" t="n">
        <v>45766</v>
      </c>
      <c r="D498" t="inlineStr">
        <is>
          <t>STOCKHOLMS LÄN</t>
        </is>
      </c>
      <c r="E498" t="inlineStr">
        <is>
          <t>NORRTÄLJE</t>
        </is>
      </c>
      <c r="G498" t="n">
        <v>5.5</v>
      </c>
      <c r="H498" t="n">
        <v>0</v>
      </c>
      <c r="I498" t="n">
        <v>0</v>
      </c>
      <c r="J498" t="n">
        <v>0</v>
      </c>
      <c r="K498" t="n">
        <v>0</v>
      </c>
      <c r="L498" t="n">
        <v>0</v>
      </c>
      <c r="M498" t="n">
        <v>0</v>
      </c>
      <c r="N498" t="n">
        <v>0</v>
      </c>
      <c r="O498" t="n">
        <v>0</v>
      </c>
      <c r="P498" t="n">
        <v>0</v>
      </c>
      <c r="Q498" t="n">
        <v>0</v>
      </c>
      <c r="R498" s="2" t="inlineStr"/>
    </row>
    <row r="499" ht="15" customHeight="1">
      <c r="A499" t="inlineStr">
        <is>
          <t>A 68081-2020</t>
        </is>
      </c>
      <c r="B499" s="1" t="n">
        <v>44183</v>
      </c>
      <c r="C499" s="1" t="n">
        <v>45766</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367-2021</t>
        </is>
      </c>
      <c r="B500" s="1" t="n">
        <v>44201</v>
      </c>
      <c r="C500" s="1" t="n">
        <v>45766</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348-2021</t>
        </is>
      </c>
      <c r="B501" s="1" t="n">
        <v>44201</v>
      </c>
      <c r="C501" s="1" t="n">
        <v>45766</v>
      </c>
      <c r="D501" t="inlineStr">
        <is>
          <t>STOCKHOLMS LÄN</t>
        </is>
      </c>
      <c r="E501" t="inlineStr">
        <is>
          <t>NORRTÄLJE</t>
        </is>
      </c>
      <c r="G501" t="n">
        <v>0.1</v>
      </c>
      <c r="H501" t="n">
        <v>0</v>
      </c>
      <c r="I501" t="n">
        <v>0</v>
      </c>
      <c r="J501" t="n">
        <v>0</v>
      </c>
      <c r="K501" t="n">
        <v>0</v>
      </c>
      <c r="L501" t="n">
        <v>0</v>
      </c>
      <c r="M501" t="n">
        <v>0</v>
      </c>
      <c r="N501" t="n">
        <v>0</v>
      </c>
      <c r="O501" t="n">
        <v>0</v>
      </c>
      <c r="P501" t="n">
        <v>0</v>
      </c>
      <c r="Q501" t="n">
        <v>0</v>
      </c>
      <c r="R501" s="2" t="inlineStr"/>
    </row>
    <row r="502" ht="15" customHeight="1">
      <c r="A502" t="inlineStr">
        <is>
          <t>A 1637-2021</t>
        </is>
      </c>
      <c r="B502" s="1" t="n">
        <v>44209</v>
      </c>
      <c r="C502" s="1" t="n">
        <v>45766</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1970-2021</t>
        </is>
      </c>
      <c r="B503" s="1" t="n">
        <v>44210</v>
      </c>
      <c r="C503" s="1" t="n">
        <v>45766</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45766</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2976-2021</t>
        </is>
      </c>
      <c r="B505" s="1" t="n">
        <v>44216</v>
      </c>
      <c r="C505" s="1" t="n">
        <v>45766</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3143-2021</t>
        </is>
      </c>
      <c r="B506" s="1" t="n">
        <v>44217</v>
      </c>
      <c r="C506" s="1" t="n">
        <v>45766</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3386-2021</t>
        </is>
      </c>
      <c r="B507" s="1" t="n">
        <v>44218</v>
      </c>
      <c r="C507" s="1" t="n">
        <v>45766</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45766</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4632-2021</t>
        </is>
      </c>
      <c r="B509" s="1" t="n">
        <v>44224</v>
      </c>
      <c r="C509" s="1" t="n">
        <v>45766</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5037-2021</t>
        </is>
      </c>
      <c r="B510" s="1" t="n">
        <v>44228</v>
      </c>
      <c r="C510" s="1" t="n">
        <v>45766</v>
      </c>
      <c r="D510" t="inlineStr">
        <is>
          <t>STOCKHOLMS LÄN</t>
        </is>
      </c>
      <c r="E510" t="inlineStr">
        <is>
          <t>NORRTÄLJE</t>
        </is>
      </c>
      <c r="F510" t="inlineStr">
        <is>
          <t>Holmen skog AB</t>
        </is>
      </c>
      <c r="G510" t="n">
        <v>3.8</v>
      </c>
      <c r="H510" t="n">
        <v>0</v>
      </c>
      <c r="I510" t="n">
        <v>0</v>
      </c>
      <c r="J510" t="n">
        <v>0</v>
      </c>
      <c r="K510" t="n">
        <v>0</v>
      </c>
      <c r="L510" t="n">
        <v>0</v>
      </c>
      <c r="M510" t="n">
        <v>0</v>
      </c>
      <c r="N510" t="n">
        <v>0</v>
      </c>
      <c r="O510" t="n">
        <v>0</v>
      </c>
      <c r="P510" t="n">
        <v>0</v>
      </c>
      <c r="Q510" t="n">
        <v>0</v>
      </c>
      <c r="R510" s="2" t="inlineStr"/>
    </row>
    <row r="511" ht="15" customHeight="1">
      <c r="A511" t="inlineStr">
        <is>
          <t>A 5562-2021</t>
        </is>
      </c>
      <c r="B511" s="1" t="n">
        <v>44230</v>
      </c>
      <c r="C511" s="1" t="n">
        <v>45766</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5566-2021</t>
        </is>
      </c>
      <c r="B512" s="1" t="n">
        <v>44230</v>
      </c>
      <c r="C512" s="1" t="n">
        <v>45766</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5950-2021</t>
        </is>
      </c>
      <c r="B513" s="1" t="n">
        <v>44231</v>
      </c>
      <c r="C513" s="1" t="n">
        <v>45766</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6049-2021</t>
        </is>
      </c>
      <c r="B514" s="1" t="n">
        <v>44231</v>
      </c>
      <c r="C514" s="1" t="n">
        <v>45766</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7903-2021</t>
        </is>
      </c>
      <c r="B515" s="1" t="n">
        <v>44243</v>
      </c>
      <c r="C515" s="1" t="n">
        <v>45766</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7999-2021</t>
        </is>
      </c>
      <c r="B516" s="1" t="n">
        <v>44243</v>
      </c>
      <c r="C516" s="1" t="n">
        <v>45766</v>
      </c>
      <c r="D516" t="inlineStr">
        <is>
          <t>STOCKHOLMS LÄN</t>
        </is>
      </c>
      <c r="E516" t="inlineStr">
        <is>
          <t>NORRTÄLJE</t>
        </is>
      </c>
      <c r="G516" t="n">
        <v>6.8</v>
      </c>
      <c r="H516" t="n">
        <v>0</v>
      </c>
      <c r="I516" t="n">
        <v>0</v>
      </c>
      <c r="J516" t="n">
        <v>0</v>
      </c>
      <c r="K516" t="n">
        <v>0</v>
      </c>
      <c r="L516" t="n">
        <v>0</v>
      </c>
      <c r="M516" t="n">
        <v>0</v>
      </c>
      <c r="N516" t="n">
        <v>0</v>
      </c>
      <c r="O516" t="n">
        <v>0</v>
      </c>
      <c r="P516" t="n">
        <v>0</v>
      </c>
      <c r="Q516" t="n">
        <v>0</v>
      </c>
      <c r="R516" s="2" t="inlineStr"/>
    </row>
    <row r="517" ht="15" customHeight="1">
      <c r="A517" t="inlineStr">
        <is>
          <t>A 8338-2021</t>
        </is>
      </c>
      <c r="B517" s="1" t="n">
        <v>44244</v>
      </c>
      <c r="C517" s="1" t="n">
        <v>45766</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9467-2021</t>
        </is>
      </c>
      <c r="B518" s="1" t="n">
        <v>44251</v>
      </c>
      <c r="C518" s="1" t="n">
        <v>45766</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9469-2021</t>
        </is>
      </c>
      <c r="B519" s="1" t="n">
        <v>44251</v>
      </c>
      <c r="C519" s="1" t="n">
        <v>45766</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9446-2021</t>
        </is>
      </c>
      <c r="B520" s="1" t="n">
        <v>44251</v>
      </c>
      <c r="C520" s="1" t="n">
        <v>45766</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9719-2021</t>
        </is>
      </c>
      <c r="B521" s="1" t="n">
        <v>44252</v>
      </c>
      <c r="C521" s="1" t="n">
        <v>45766</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9703-2021</t>
        </is>
      </c>
      <c r="B522" s="1" t="n">
        <v>44252</v>
      </c>
      <c r="C522" s="1" t="n">
        <v>45766</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10687-2021</t>
        </is>
      </c>
      <c r="B523" s="1" t="n">
        <v>44258</v>
      </c>
      <c r="C523" s="1" t="n">
        <v>45766</v>
      </c>
      <c r="D523" t="inlineStr">
        <is>
          <t>STOCKHOLMS LÄN</t>
        </is>
      </c>
      <c r="E523" t="inlineStr">
        <is>
          <t>NORRTÄLJE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10684-2021</t>
        </is>
      </c>
      <c r="B524" s="1" t="n">
        <v>44258</v>
      </c>
      <c r="C524" s="1" t="n">
        <v>45766</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11122-2021</t>
        </is>
      </c>
      <c r="B525" s="1" t="n">
        <v>44260</v>
      </c>
      <c r="C525" s="1" t="n">
        <v>45766</v>
      </c>
      <c r="D525" t="inlineStr">
        <is>
          <t>STOCKHOLMS LÄN</t>
        </is>
      </c>
      <c r="E525" t="inlineStr">
        <is>
          <t>NORRTÄLJE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11438-2021</t>
        </is>
      </c>
      <c r="B526" s="1" t="n">
        <v>44263</v>
      </c>
      <c r="C526" s="1" t="n">
        <v>45766</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11988-2021</t>
        </is>
      </c>
      <c r="B527" s="1" t="n">
        <v>44266</v>
      </c>
      <c r="C527" s="1" t="n">
        <v>45766</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12031-2021</t>
        </is>
      </c>
      <c r="B528" s="1" t="n">
        <v>44266</v>
      </c>
      <c r="C528" s="1" t="n">
        <v>45766</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12111-2021</t>
        </is>
      </c>
      <c r="B529" s="1" t="n">
        <v>44266</v>
      </c>
      <c r="C529" s="1" t="n">
        <v>45766</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12132-2021</t>
        </is>
      </c>
      <c r="B530" s="1" t="n">
        <v>44266</v>
      </c>
      <c r="C530" s="1" t="n">
        <v>45766</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12564-2021</t>
        </is>
      </c>
      <c r="B531" s="1" t="n">
        <v>44270</v>
      </c>
      <c r="C531" s="1" t="n">
        <v>45766</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12779-2021</t>
        </is>
      </c>
      <c r="B532" s="1" t="n">
        <v>44270</v>
      </c>
      <c r="C532" s="1" t="n">
        <v>45766</v>
      </c>
      <c r="D532" t="inlineStr">
        <is>
          <t>STOCKHOLMS LÄN</t>
        </is>
      </c>
      <c r="E532" t="inlineStr">
        <is>
          <t>NORRTÄLJE</t>
        </is>
      </c>
      <c r="G532" t="n">
        <v>10.8</v>
      </c>
      <c r="H532" t="n">
        <v>0</v>
      </c>
      <c r="I532" t="n">
        <v>0</v>
      </c>
      <c r="J532" t="n">
        <v>0</v>
      </c>
      <c r="K532" t="n">
        <v>0</v>
      </c>
      <c r="L532" t="n">
        <v>0</v>
      </c>
      <c r="M532" t="n">
        <v>0</v>
      </c>
      <c r="N532" t="n">
        <v>0</v>
      </c>
      <c r="O532" t="n">
        <v>0</v>
      </c>
      <c r="P532" t="n">
        <v>0</v>
      </c>
      <c r="Q532" t="n">
        <v>0</v>
      </c>
      <c r="R532" s="2" t="inlineStr"/>
    </row>
    <row r="533" ht="15" customHeight="1">
      <c r="A533" t="inlineStr">
        <is>
          <t>A 12782-2021</t>
        </is>
      </c>
      <c r="B533" s="1" t="n">
        <v>44270</v>
      </c>
      <c r="C533" s="1" t="n">
        <v>45766</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13051-2021</t>
        </is>
      </c>
      <c r="B534" s="1" t="n">
        <v>44272</v>
      </c>
      <c r="C534" s="1" t="n">
        <v>45766</v>
      </c>
      <c r="D534" t="inlineStr">
        <is>
          <t>STOCKHOLMS LÄN</t>
        </is>
      </c>
      <c r="E534" t="inlineStr">
        <is>
          <t>NORRTÄLJE</t>
        </is>
      </c>
      <c r="G534" t="n">
        <v>9.1</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45766</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13736-2021</t>
        </is>
      </c>
      <c r="B536" s="1" t="n">
        <v>44274</v>
      </c>
      <c r="C536" s="1" t="n">
        <v>45766</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13752-2021</t>
        </is>
      </c>
      <c r="B537" s="1" t="n">
        <v>44274</v>
      </c>
      <c r="C537" s="1" t="n">
        <v>45766</v>
      </c>
      <c r="D537" t="inlineStr">
        <is>
          <t>STOCKHOLMS LÄN</t>
        </is>
      </c>
      <c r="E537" t="inlineStr">
        <is>
          <t>NORRTÄLJE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45766</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14922-2021</t>
        </is>
      </c>
      <c r="B539" s="1" t="n">
        <v>44281</v>
      </c>
      <c r="C539" s="1" t="n">
        <v>45766</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14933-2021</t>
        </is>
      </c>
      <c r="B540" s="1" t="n">
        <v>44281</v>
      </c>
      <c r="C540" s="1" t="n">
        <v>45766</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15289-2021</t>
        </is>
      </c>
      <c r="B541" s="1" t="n">
        <v>44284</v>
      </c>
      <c r="C541" s="1" t="n">
        <v>45766</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15441-2021</t>
        </is>
      </c>
      <c r="B542" s="1" t="n">
        <v>44284</v>
      </c>
      <c r="C542" s="1" t="n">
        <v>45766</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15552-2021</t>
        </is>
      </c>
      <c r="B543" s="1" t="n">
        <v>44285</v>
      </c>
      <c r="C543" s="1" t="n">
        <v>45766</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45766</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17460-2021</t>
        </is>
      </c>
      <c r="B545" s="1" t="n">
        <v>44299</v>
      </c>
      <c r="C545" s="1" t="n">
        <v>45766</v>
      </c>
      <c r="D545" t="inlineStr">
        <is>
          <t>STOCKHOLMS LÄN</t>
        </is>
      </c>
      <c r="E545" t="inlineStr">
        <is>
          <t>NORRTÄLJE</t>
        </is>
      </c>
      <c r="G545" t="n">
        <v>3.2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45766</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18580-2021</t>
        </is>
      </c>
      <c r="B547" s="1" t="n">
        <v>44306</v>
      </c>
      <c r="C547" s="1" t="n">
        <v>45766</v>
      </c>
      <c r="D547" t="inlineStr">
        <is>
          <t>STOCKHOLMS LÄN</t>
        </is>
      </c>
      <c r="E547" t="inlineStr">
        <is>
          <t>NORRTÄLJE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18609-2021</t>
        </is>
      </c>
      <c r="B548" s="1" t="n">
        <v>44306</v>
      </c>
      <c r="C548" s="1" t="n">
        <v>45766</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18539-2021</t>
        </is>
      </c>
      <c r="B549" s="1" t="n">
        <v>44306</v>
      </c>
      <c r="C549" s="1" t="n">
        <v>45766</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18570-2021</t>
        </is>
      </c>
      <c r="B550" s="1" t="n">
        <v>44306</v>
      </c>
      <c r="C550" s="1" t="n">
        <v>45766</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19283-2021</t>
        </is>
      </c>
      <c r="B551" s="1" t="n">
        <v>44309</v>
      </c>
      <c r="C551" s="1" t="n">
        <v>45766</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19400-2021</t>
        </is>
      </c>
      <c r="B552" s="1" t="n">
        <v>44309</v>
      </c>
      <c r="C552" s="1" t="n">
        <v>45766</v>
      </c>
      <c r="D552" t="inlineStr">
        <is>
          <t>STOCKHOLMS LÄN</t>
        </is>
      </c>
      <c r="E552" t="inlineStr">
        <is>
          <t>NORRTÄLJE</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19307-2021</t>
        </is>
      </c>
      <c r="B553" s="1" t="n">
        <v>44309</v>
      </c>
      <c r="C553" s="1" t="n">
        <v>45766</v>
      </c>
      <c r="D553" t="inlineStr">
        <is>
          <t>STOCKHOLMS LÄN</t>
        </is>
      </c>
      <c r="E553" t="inlineStr">
        <is>
          <t>NORRTÄLJE</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19398-2021</t>
        </is>
      </c>
      <c r="B554" s="1" t="n">
        <v>44309</v>
      </c>
      <c r="C554" s="1" t="n">
        <v>45766</v>
      </c>
      <c r="D554" t="inlineStr">
        <is>
          <t>STOCKHOLMS LÄN</t>
        </is>
      </c>
      <c r="E554" t="inlineStr">
        <is>
          <t>NORRTÄLJE</t>
        </is>
      </c>
      <c r="F554" t="inlineStr">
        <is>
          <t>Kommuner</t>
        </is>
      </c>
      <c r="G554" t="n">
        <v>2.1</v>
      </c>
      <c r="H554" t="n">
        <v>0</v>
      </c>
      <c r="I554" t="n">
        <v>0</v>
      </c>
      <c r="J554" t="n">
        <v>0</v>
      </c>
      <c r="K554" t="n">
        <v>0</v>
      </c>
      <c r="L554" t="n">
        <v>0</v>
      </c>
      <c r="M554" t="n">
        <v>0</v>
      </c>
      <c r="N554" t="n">
        <v>0</v>
      </c>
      <c r="O554" t="n">
        <v>0</v>
      </c>
      <c r="P554" t="n">
        <v>0</v>
      </c>
      <c r="Q554" t="n">
        <v>0</v>
      </c>
      <c r="R554" s="2" t="inlineStr"/>
    </row>
    <row r="555" ht="15" customHeight="1">
      <c r="A555" t="inlineStr">
        <is>
          <t>A 20073-2021</t>
        </is>
      </c>
      <c r="B555" s="1" t="n">
        <v>44314</v>
      </c>
      <c r="C555" s="1" t="n">
        <v>45766</v>
      </c>
      <c r="D555" t="inlineStr">
        <is>
          <t>STOCKHOLMS LÄN</t>
        </is>
      </c>
      <c r="E555" t="inlineStr">
        <is>
          <t>NORRTÄLJE</t>
        </is>
      </c>
      <c r="G555" t="n">
        <v>4.6</v>
      </c>
      <c r="H555" t="n">
        <v>0</v>
      </c>
      <c r="I555" t="n">
        <v>0</v>
      </c>
      <c r="J555" t="n">
        <v>0</v>
      </c>
      <c r="K555" t="n">
        <v>0</v>
      </c>
      <c r="L555" t="n">
        <v>0</v>
      </c>
      <c r="M555" t="n">
        <v>0</v>
      </c>
      <c r="N555" t="n">
        <v>0</v>
      </c>
      <c r="O555" t="n">
        <v>0</v>
      </c>
      <c r="P555" t="n">
        <v>0</v>
      </c>
      <c r="Q555" t="n">
        <v>0</v>
      </c>
      <c r="R555" s="2" t="inlineStr"/>
    </row>
    <row r="556" ht="15" customHeight="1">
      <c r="A556" t="inlineStr">
        <is>
          <t>A 20473-2021</t>
        </is>
      </c>
      <c r="B556" s="1" t="n">
        <v>44315</v>
      </c>
      <c r="C556" s="1" t="n">
        <v>45766</v>
      </c>
      <c r="D556" t="inlineStr">
        <is>
          <t>STOCKHOLMS LÄN</t>
        </is>
      </c>
      <c r="E556" t="inlineStr">
        <is>
          <t>NORRTÄLJE</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21291-2021</t>
        </is>
      </c>
      <c r="B557" s="1" t="n">
        <v>44319</v>
      </c>
      <c r="C557" s="1" t="n">
        <v>45766</v>
      </c>
      <c r="D557" t="inlineStr">
        <is>
          <t>STOCKHOLMS LÄN</t>
        </is>
      </c>
      <c r="E557" t="inlineStr">
        <is>
          <t>NORRTÄLJE</t>
        </is>
      </c>
      <c r="G557" t="n">
        <v>12.7</v>
      </c>
      <c r="H557" t="n">
        <v>0</v>
      </c>
      <c r="I557" t="n">
        <v>0</v>
      </c>
      <c r="J557" t="n">
        <v>0</v>
      </c>
      <c r="K557" t="n">
        <v>0</v>
      </c>
      <c r="L557" t="n">
        <v>0</v>
      </c>
      <c r="M557" t="n">
        <v>0</v>
      </c>
      <c r="N557" t="n">
        <v>0</v>
      </c>
      <c r="O557" t="n">
        <v>0</v>
      </c>
      <c r="P557" t="n">
        <v>0</v>
      </c>
      <c r="Q557" t="n">
        <v>0</v>
      </c>
      <c r="R557" s="2" t="inlineStr"/>
    </row>
    <row r="558" ht="15" customHeight="1">
      <c r="A558" t="inlineStr">
        <is>
          <t>A 21529-2021</t>
        </is>
      </c>
      <c r="B558" s="1" t="n">
        <v>44321</v>
      </c>
      <c r="C558" s="1" t="n">
        <v>45766</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22832-2021</t>
        </is>
      </c>
      <c r="B559" s="1" t="n">
        <v>44325</v>
      </c>
      <c r="C559" s="1" t="n">
        <v>45766</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22816-2021</t>
        </is>
      </c>
      <c r="B560" s="1" t="n">
        <v>44325</v>
      </c>
      <c r="C560" s="1" t="n">
        <v>45766</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22369-2021</t>
        </is>
      </c>
      <c r="B561" s="1" t="n">
        <v>44326</v>
      </c>
      <c r="C561" s="1" t="n">
        <v>45766</v>
      </c>
      <c r="D561" t="inlineStr">
        <is>
          <t>STOCKHOLMS LÄN</t>
        </is>
      </c>
      <c r="E561" t="inlineStr">
        <is>
          <t>NORRTÄLJE</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22421-2021</t>
        </is>
      </c>
      <c r="B562" s="1" t="n">
        <v>44326</v>
      </c>
      <c r="C562" s="1" t="n">
        <v>45766</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22412-2021</t>
        </is>
      </c>
      <c r="B563" s="1" t="n">
        <v>44326</v>
      </c>
      <c r="C563" s="1" t="n">
        <v>45766</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23123-2021</t>
        </is>
      </c>
      <c r="B564" s="1" t="n">
        <v>44330</v>
      </c>
      <c r="C564" s="1" t="n">
        <v>45766</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23096-2021</t>
        </is>
      </c>
      <c r="B565" s="1" t="n">
        <v>44330</v>
      </c>
      <c r="C565" s="1" t="n">
        <v>45766</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23122-2021</t>
        </is>
      </c>
      <c r="B566" s="1" t="n">
        <v>44330</v>
      </c>
      <c r="C566" s="1" t="n">
        <v>45766</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23453-2021</t>
        </is>
      </c>
      <c r="B567" s="1" t="n">
        <v>44333</v>
      </c>
      <c r="C567" s="1" t="n">
        <v>45766</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24082-2021</t>
        </is>
      </c>
      <c r="B568" s="1" t="n">
        <v>44336</v>
      </c>
      <c r="C568" s="1" t="n">
        <v>45766</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25463-2021</t>
        </is>
      </c>
      <c r="B569" s="1" t="n">
        <v>44342</v>
      </c>
      <c r="C569" s="1" t="n">
        <v>45766</v>
      </c>
      <c r="D569" t="inlineStr">
        <is>
          <t>STOCKHOLMS LÄN</t>
        </is>
      </c>
      <c r="E569" t="inlineStr">
        <is>
          <t>NORRTÄLJE</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27217-2021</t>
        </is>
      </c>
      <c r="B570" s="1" t="n">
        <v>44350</v>
      </c>
      <c r="C570" s="1" t="n">
        <v>45766</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27214-2021</t>
        </is>
      </c>
      <c r="B571" s="1" t="n">
        <v>44350</v>
      </c>
      <c r="C571" s="1" t="n">
        <v>45766</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29357-2021</t>
        </is>
      </c>
      <c r="B572" s="1" t="n">
        <v>44361</v>
      </c>
      <c r="C572" s="1" t="n">
        <v>45766</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29680-2021</t>
        </is>
      </c>
      <c r="B573" s="1" t="n">
        <v>44362</v>
      </c>
      <c r="C573" s="1" t="n">
        <v>45766</v>
      </c>
      <c r="D573" t="inlineStr">
        <is>
          <t>STOCKHOLMS LÄN</t>
        </is>
      </c>
      <c r="E573" t="inlineStr">
        <is>
          <t>NORRTÄLJE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29684-2021</t>
        </is>
      </c>
      <c r="B574" s="1" t="n">
        <v>44362</v>
      </c>
      <c r="C574" s="1" t="n">
        <v>45766</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30129-2021</t>
        </is>
      </c>
      <c r="B575" s="1" t="n">
        <v>44363</v>
      </c>
      <c r="C575" s="1" t="n">
        <v>45766</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31688-2021</t>
        </is>
      </c>
      <c r="B576" s="1" t="n">
        <v>44369</v>
      </c>
      <c r="C576" s="1" t="n">
        <v>45766</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32002-2021</t>
        </is>
      </c>
      <c r="B577" s="1" t="n">
        <v>44370</v>
      </c>
      <c r="C577" s="1" t="n">
        <v>45766</v>
      </c>
      <c r="D577" t="inlineStr">
        <is>
          <t>STOCKHOLMS LÄN</t>
        </is>
      </c>
      <c r="E577" t="inlineStr">
        <is>
          <t>NORRTÄLJE</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32051-2021</t>
        </is>
      </c>
      <c r="B578" s="1" t="n">
        <v>44370</v>
      </c>
      <c r="C578" s="1" t="n">
        <v>45766</v>
      </c>
      <c r="D578" t="inlineStr">
        <is>
          <t>STOCKHOLMS LÄN</t>
        </is>
      </c>
      <c r="E578" t="inlineStr">
        <is>
          <t>NORRTÄLJE</t>
        </is>
      </c>
      <c r="G578" t="n">
        <v>4.6</v>
      </c>
      <c r="H578" t="n">
        <v>0</v>
      </c>
      <c r="I578" t="n">
        <v>0</v>
      </c>
      <c r="J578" t="n">
        <v>0</v>
      </c>
      <c r="K578" t="n">
        <v>0</v>
      </c>
      <c r="L578" t="n">
        <v>0</v>
      </c>
      <c r="M578" t="n">
        <v>0</v>
      </c>
      <c r="N578" t="n">
        <v>0</v>
      </c>
      <c r="O578" t="n">
        <v>0</v>
      </c>
      <c r="P578" t="n">
        <v>0</v>
      </c>
      <c r="Q578" t="n">
        <v>0</v>
      </c>
      <c r="R578" s="2" t="inlineStr"/>
    </row>
    <row r="579" ht="15" customHeight="1">
      <c r="A579" t="inlineStr">
        <is>
          <t>A 32055-2021</t>
        </is>
      </c>
      <c r="B579" s="1" t="n">
        <v>44370</v>
      </c>
      <c r="C579" s="1" t="n">
        <v>45766</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45766</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32857-2021</t>
        </is>
      </c>
      <c r="B581" s="1" t="n">
        <v>44375</v>
      </c>
      <c r="C581" s="1" t="n">
        <v>45766</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33053-2021</t>
        </is>
      </c>
      <c r="B582" s="1" t="n">
        <v>44376</v>
      </c>
      <c r="C582" s="1" t="n">
        <v>45766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33046-2021</t>
        </is>
      </c>
      <c r="B583" s="1" t="n">
        <v>44376</v>
      </c>
      <c r="C583" s="1" t="n">
        <v>45766</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33040-2021</t>
        </is>
      </c>
      <c r="B584" s="1" t="n">
        <v>44376</v>
      </c>
      <c r="C584" s="1" t="n">
        <v>45766</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45766</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34432-2021</t>
        </is>
      </c>
      <c r="B586" s="1" t="n">
        <v>44380</v>
      </c>
      <c r="C586" s="1" t="n">
        <v>45766</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45766</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34436-2021</t>
        </is>
      </c>
      <c r="B588" s="1" t="n">
        <v>44380</v>
      </c>
      <c r="C588" s="1" t="n">
        <v>45766</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34731-2021</t>
        </is>
      </c>
      <c r="B589" s="1" t="n">
        <v>44382</v>
      </c>
      <c r="C589" s="1" t="n">
        <v>45766</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34792-2021</t>
        </is>
      </c>
      <c r="B590" s="1" t="n">
        <v>44383</v>
      </c>
      <c r="C590" s="1" t="n">
        <v>45766</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36246-2021</t>
        </is>
      </c>
      <c r="B591" s="1" t="n">
        <v>44390</v>
      </c>
      <c r="C591" s="1" t="n">
        <v>45766</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36565-2021</t>
        </is>
      </c>
      <c r="B592" s="1" t="n">
        <v>44391</v>
      </c>
      <c r="C592" s="1" t="n">
        <v>45766</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37085-2021</t>
        </is>
      </c>
      <c r="B593" s="1" t="n">
        <v>44395</v>
      </c>
      <c r="C593" s="1" t="n">
        <v>45766</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37344-2021</t>
        </is>
      </c>
      <c r="B594" s="1" t="n">
        <v>44397</v>
      </c>
      <c r="C594" s="1" t="n">
        <v>45766</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45766</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45766</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37462-2021</t>
        </is>
      </c>
      <c r="B597" s="1" t="n">
        <v>44398</v>
      </c>
      <c r="C597" s="1" t="n">
        <v>45766</v>
      </c>
      <c r="D597" t="inlineStr">
        <is>
          <t>STOCKHOLMS LÄN</t>
        </is>
      </c>
      <c r="E597" t="inlineStr">
        <is>
          <t>NORRTÄLJE</t>
        </is>
      </c>
      <c r="G597" t="n">
        <v>3.5</v>
      </c>
      <c r="H597" t="n">
        <v>0</v>
      </c>
      <c r="I597" t="n">
        <v>0</v>
      </c>
      <c r="J597" t="n">
        <v>0</v>
      </c>
      <c r="K597" t="n">
        <v>0</v>
      </c>
      <c r="L597" t="n">
        <v>0</v>
      </c>
      <c r="M597" t="n">
        <v>0</v>
      </c>
      <c r="N597" t="n">
        <v>0</v>
      </c>
      <c r="O597" t="n">
        <v>0</v>
      </c>
      <c r="P597" t="n">
        <v>0</v>
      </c>
      <c r="Q597" t="n">
        <v>0</v>
      </c>
      <c r="R597" s="2" t="inlineStr"/>
    </row>
    <row r="598" ht="15" customHeight="1">
      <c r="A598" t="inlineStr">
        <is>
          <t>A 37530-2021</t>
        </is>
      </c>
      <c r="B598" s="1" t="n">
        <v>44399</v>
      </c>
      <c r="C598" s="1" t="n">
        <v>45766</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37522-2021</t>
        </is>
      </c>
      <c r="B599" s="1" t="n">
        <v>44399</v>
      </c>
      <c r="C599" s="1" t="n">
        <v>45766</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37525-2021</t>
        </is>
      </c>
      <c r="B600" s="1" t="n">
        <v>44399</v>
      </c>
      <c r="C600" s="1" t="n">
        <v>45766</v>
      </c>
      <c r="D600" t="inlineStr">
        <is>
          <t>STOCKHOLMS LÄN</t>
        </is>
      </c>
      <c r="E600" t="inlineStr">
        <is>
          <t>NORRTÄLJE</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37712-2021</t>
        </is>
      </c>
      <c r="B601" s="1" t="n">
        <v>44400</v>
      </c>
      <c r="C601" s="1" t="n">
        <v>45766</v>
      </c>
      <c r="D601" t="inlineStr">
        <is>
          <t>STOCKHOLMS LÄN</t>
        </is>
      </c>
      <c r="E601" t="inlineStr">
        <is>
          <t>NORRTÄLJE</t>
        </is>
      </c>
      <c r="G601" t="n">
        <v>22.9</v>
      </c>
      <c r="H601" t="n">
        <v>0</v>
      </c>
      <c r="I601" t="n">
        <v>0</v>
      </c>
      <c r="J601" t="n">
        <v>0</v>
      </c>
      <c r="K601" t="n">
        <v>0</v>
      </c>
      <c r="L601" t="n">
        <v>0</v>
      </c>
      <c r="M601" t="n">
        <v>0</v>
      </c>
      <c r="N601" t="n">
        <v>0</v>
      </c>
      <c r="O601" t="n">
        <v>0</v>
      </c>
      <c r="P601" t="n">
        <v>0</v>
      </c>
      <c r="Q601" t="n">
        <v>0</v>
      </c>
      <c r="R601" s="2" t="inlineStr"/>
    </row>
    <row r="602" ht="15" customHeight="1">
      <c r="A602" t="inlineStr">
        <is>
          <t>A 37859-2021</t>
        </is>
      </c>
      <c r="B602" s="1" t="n">
        <v>44403</v>
      </c>
      <c r="C602" s="1" t="n">
        <v>45766</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39157-2021</t>
        </is>
      </c>
      <c r="B603" s="1" t="n">
        <v>44412</v>
      </c>
      <c r="C603" s="1" t="n">
        <v>45766</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39496-2021</t>
        </is>
      </c>
      <c r="B604" s="1" t="n">
        <v>44414</v>
      </c>
      <c r="C604" s="1" t="n">
        <v>45766</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39497-2021</t>
        </is>
      </c>
      <c r="B605" s="1" t="n">
        <v>44414</v>
      </c>
      <c r="C605" s="1" t="n">
        <v>45766</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40425-2021</t>
        </is>
      </c>
      <c r="B606" s="1" t="n">
        <v>44419</v>
      </c>
      <c r="C606" s="1" t="n">
        <v>45766</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40542-2021</t>
        </is>
      </c>
      <c r="B607" s="1" t="n">
        <v>44420</v>
      </c>
      <c r="C607" s="1" t="n">
        <v>45766</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40546-2021</t>
        </is>
      </c>
      <c r="B608" s="1" t="n">
        <v>44420</v>
      </c>
      <c r="C608" s="1" t="n">
        <v>45766</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41595-2021</t>
        </is>
      </c>
      <c r="B609" s="1" t="n">
        <v>44425</v>
      </c>
      <c r="C609" s="1" t="n">
        <v>45766</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41823-2021</t>
        </is>
      </c>
      <c r="B610" s="1" t="n">
        <v>44425</v>
      </c>
      <c r="C610" s="1" t="n">
        <v>45766</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41822-2021</t>
        </is>
      </c>
      <c r="B611" s="1" t="n">
        <v>44425</v>
      </c>
      <c r="C611" s="1" t="n">
        <v>45766</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45766</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43478-2021</t>
        </is>
      </c>
      <c r="B613" s="1" t="n">
        <v>44432</v>
      </c>
      <c r="C613" s="1" t="n">
        <v>45766</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44274-2021</t>
        </is>
      </c>
      <c r="B614" s="1" t="n">
        <v>44435</v>
      </c>
      <c r="C614" s="1" t="n">
        <v>45766</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47344-2021</t>
        </is>
      </c>
      <c r="B615" s="1" t="n">
        <v>44447</v>
      </c>
      <c r="C615" s="1" t="n">
        <v>45766</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47349-2021</t>
        </is>
      </c>
      <c r="B616" s="1" t="n">
        <v>44447</v>
      </c>
      <c r="C616" s="1" t="n">
        <v>45766</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47691-2021</t>
        </is>
      </c>
      <c r="B617" s="1" t="n">
        <v>44448</v>
      </c>
      <c r="C617" s="1" t="n">
        <v>45766</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48384-2021</t>
        </is>
      </c>
      <c r="B618" s="1" t="n">
        <v>44451</v>
      </c>
      <c r="C618" s="1" t="n">
        <v>45766</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48798-2021</t>
        </is>
      </c>
      <c r="B619" s="1" t="n">
        <v>44452</v>
      </c>
      <c r="C619" s="1" t="n">
        <v>45766</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48932-2021</t>
        </is>
      </c>
      <c r="B620" s="1" t="n">
        <v>44453</v>
      </c>
      <c r="C620" s="1" t="n">
        <v>45766</v>
      </c>
      <c r="D620" t="inlineStr">
        <is>
          <t>STOCKHOLMS LÄN</t>
        </is>
      </c>
      <c r="E620" t="inlineStr">
        <is>
          <t>NORRTÄLJE</t>
        </is>
      </c>
      <c r="G620" t="n">
        <v>11.2</v>
      </c>
      <c r="H620" t="n">
        <v>0</v>
      </c>
      <c r="I620" t="n">
        <v>0</v>
      </c>
      <c r="J620" t="n">
        <v>0</v>
      </c>
      <c r="K620" t="n">
        <v>0</v>
      </c>
      <c r="L620" t="n">
        <v>0</v>
      </c>
      <c r="M620" t="n">
        <v>0</v>
      </c>
      <c r="N620" t="n">
        <v>0</v>
      </c>
      <c r="O620" t="n">
        <v>0</v>
      </c>
      <c r="P620" t="n">
        <v>0</v>
      </c>
      <c r="Q620" t="n">
        <v>0</v>
      </c>
      <c r="R620" s="2" t="inlineStr"/>
    </row>
    <row r="621" ht="15" customHeight="1">
      <c r="A621" t="inlineStr">
        <is>
          <t>A 49113-2021</t>
        </is>
      </c>
      <c r="B621" s="1" t="n">
        <v>44453</v>
      </c>
      <c r="C621" s="1" t="n">
        <v>45766</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50038-2021</t>
        </is>
      </c>
      <c r="B622" s="1" t="n">
        <v>44456</v>
      </c>
      <c r="C622" s="1" t="n">
        <v>45766</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50108-2021</t>
        </is>
      </c>
      <c r="B623" s="1" t="n">
        <v>44456</v>
      </c>
      <c r="C623" s="1" t="n">
        <v>45766</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50252-2021</t>
        </is>
      </c>
      <c r="B624" s="1" t="n">
        <v>44458</v>
      </c>
      <c r="C624" s="1" t="n">
        <v>45766</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50602-2021</t>
        </is>
      </c>
      <c r="B625" s="1" t="n">
        <v>44459</v>
      </c>
      <c r="C625" s="1" t="n">
        <v>45766</v>
      </c>
      <c r="D625" t="inlineStr">
        <is>
          <t>STOCKHOLMS LÄN</t>
        </is>
      </c>
      <c r="E625" t="inlineStr">
        <is>
          <t>NORRTÄLJE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51279-2021</t>
        </is>
      </c>
      <c r="B626" s="1" t="n">
        <v>44461</v>
      </c>
      <c r="C626" s="1" t="n">
        <v>45766</v>
      </c>
      <c r="D626" t="inlineStr">
        <is>
          <t>STOCKHOLMS LÄN</t>
        </is>
      </c>
      <c r="E626" t="inlineStr">
        <is>
          <t>NORRTÄLJE</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51315-2021</t>
        </is>
      </c>
      <c r="B627" s="1" t="n">
        <v>44461</v>
      </c>
      <c r="C627" s="1" t="n">
        <v>45766</v>
      </c>
      <c r="D627" t="inlineStr">
        <is>
          <t>STOCKHOLMS LÄN</t>
        </is>
      </c>
      <c r="E627" t="inlineStr">
        <is>
          <t>NORRTÄLJE</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52090-2021</t>
        </is>
      </c>
      <c r="B628" s="1" t="n">
        <v>44463</v>
      </c>
      <c r="C628" s="1" t="n">
        <v>45766</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v>
      </c>
      <c r="C629" s="1" t="n">
        <v>45766</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54276-2021</t>
        </is>
      </c>
      <c r="B630" s="1" t="n">
        <v>44470</v>
      </c>
      <c r="C630" s="1" t="n">
        <v>45766</v>
      </c>
      <c r="D630" t="inlineStr">
        <is>
          <t>STOCKHOLMS LÄN</t>
        </is>
      </c>
      <c r="E630" t="inlineStr">
        <is>
          <t>NORRTÄLJE</t>
        </is>
      </c>
      <c r="G630" t="n">
        <v>7.3</v>
      </c>
      <c r="H630" t="n">
        <v>0</v>
      </c>
      <c r="I630" t="n">
        <v>0</v>
      </c>
      <c r="J630" t="n">
        <v>0</v>
      </c>
      <c r="K630" t="n">
        <v>0</v>
      </c>
      <c r="L630" t="n">
        <v>0</v>
      </c>
      <c r="M630" t="n">
        <v>0</v>
      </c>
      <c r="N630" t="n">
        <v>0</v>
      </c>
      <c r="O630" t="n">
        <v>0</v>
      </c>
      <c r="P630" t="n">
        <v>0</v>
      </c>
      <c r="Q630" t="n">
        <v>0</v>
      </c>
      <c r="R630" s="2" t="inlineStr"/>
    </row>
    <row r="631" ht="15" customHeight="1">
      <c r="A631" t="inlineStr">
        <is>
          <t>A 54273-2021</t>
        </is>
      </c>
      <c r="B631" s="1" t="n">
        <v>44470</v>
      </c>
      <c r="C631" s="1" t="n">
        <v>45766</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54272-2021</t>
        </is>
      </c>
      <c r="B632" s="1" t="n">
        <v>44470</v>
      </c>
      <c r="C632" s="1" t="n">
        <v>45766</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54396-2021</t>
        </is>
      </c>
      <c r="B633" s="1" t="n">
        <v>44472</v>
      </c>
      <c r="C633" s="1" t="n">
        <v>45766</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55058-2021</t>
        </is>
      </c>
      <c r="B634" s="1" t="n">
        <v>44474</v>
      </c>
      <c r="C634" s="1" t="n">
        <v>45766</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56219-2021</t>
        </is>
      </c>
      <c r="B635" s="1" t="n">
        <v>44477</v>
      </c>
      <c r="C635" s="1" t="n">
        <v>45766</v>
      </c>
      <c r="D635" t="inlineStr">
        <is>
          <t>STOCKHOLMS LÄN</t>
        </is>
      </c>
      <c r="E635" t="inlineStr">
        <is>
          <t>NORRTÄLJE</t>
        </is>
      </c>
      <c r="F635" t="inlineStr">
        <is>
          <t>Kommuner</t>
        </is>
      </c>
      <c r="G635" t="n">
        <v>2.3</v>
      </c>
      <c r="H635" t="n">
        <v>0</v>
      </c>
      <c r="I635" t="n">
        <v>0</v>
      </c>
      <c r="J635" t="n">
        <v>0</v>
      </c>
      <c r="K635" t="n">
        <v>0</v>
      </c>
      <c r="L635" t="n">
        <v>0</v>
      </c>
      <c r="M635" t="n">
        <v>0</v>
      </c>
      <c r="N635" t="n">
        <v>0</v>
      </c>
      <c r="O635" t="n">
        <v>0</v>
      </c>
      <c r="P635" t="n">
        <v>0</v>
      </c>
      <c r="Q635" t="n">
        <v>0</v>
      </c>
      <c r="R635" s="2" t="inlineStr"/>
    </row>
    <row r="636" ht="15" customHeight="1">
      <c r="A636" t="inlineStr">
        <is>
          <t>A 56225-2021</t>
        </is>
      </c>
      <c r="B636" s="1" t="n">
        <v>44478</v>
      </c>
      <c r="C636" s="1" t="n">
        <v>45766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56878-2021</t>
        </is>
      </c>
      <c r="B637" s="1" t="n">
        <v>44481</v>
      </c>
      <c r="C637" s="1" t="n">
        <v>45766</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45766</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57507-2021</t>
        </is>
      </c>
      <c r="B639" s="1" t="n">
        <v>44483</v>
      </c>
      <c r="C639" s="1" t="n">
        <v>45766</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45766</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45766</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60217-2021</t>
        </is>
      </c>
      <c r="B642" s="1" t="n">
        <v>44495</v>
      </c>
      <c r="C642" s="1" t="n">
        <v>45766</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60184-2021</t>
        </is>
      </c>
      <c r="B643" s="1" t="n">
        <v>44495</v>
      </c>
      <c r="C643" s="1" t="n">
        <v>45766</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60186-2021</t>
        </is>
      </c>
      <c r="B644" s="1" t="n">
        <v>44495</v>
      </c>
      <c r="C644" s="1" t="n">
        <v>45766</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60209-2021</t>
        </is>
      </c>
      <c r="B645" s="1" t="n">
        <v>44495</v>
      </c>
      <c r="C645" s="1" t="n">
        <v>45766</v>
      </c>
      <c r="D645" t="inlineStr">
        <is>
          <t>STOCKHOLMS LÄN</t>
        </is>
      </c>
      <c r="E645" t="inlineStr">
        <is>
          <t>NORRTÄLJE</t>
        </is>
      </c>
      <c r="G645" t="n">
        <v>4.3</v>
      </c>
      <c r="H645" t="n">
        <v>0</v>
      </c>
      <c r="I645" t="n">
        <v>0</v>
      </c>
      <c r="J645" t="n">
        <v>0</v>
      </c>
      <c r="K645" t="n">
        <v>0</v>
      </c>
      <c r="L645" t="n">
        <v>0</v>
      </c>
      <c r="M645" t="n">
        <v>0</v>
      </c>
      <c r="N645" t="n">
        <v>0</v>
      </c>
      <c r="O645" t="n">
        <v>0</v>
      </c>
      <c r="P645" t="n">
        <v>0</v>
      </c>
      <c r="Q645" t="n">
        <v>0</v>
      </c>
      <c r="R645" s="2" t="inlineStr"/>
    </row>
    <row r="646" ht="15" customHeight="1">
      <c r="A646" t="inlineStr">
        <is>
          <t>A 60671-2021</t>
        </is>
      </c>
      <c r="B646" s="1" t="n">
        <v>44496</v>
      </c>
      <c r="C646" s="1" t="n">
        <v>45766</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v>
      </c>
      <c r="C647" s="1" t="n">
        <v>45766</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45766</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60822-2021</t>
        </is>
      </c>
      <c r="B649" s="1" t="n">
        <v>44496</v>
      </c>
      <c r="C649" s="1" t="n">
        <v>45766</v>
      </c>
      <c r="D649" t="inlineStr">
        <is>
          <t>STOCKHOLMS LÄN</t>
        </is>
      </c>
      <c r="E649" t="inlineStr">
        <is>
          <t>NORRTÄLJE</t>
        </is>
      </c>
      <c r="G649" t="n">
        <v>7.6</v>
      </c>
      <c r="H649" t="n">
        <v>0</v>
      </c>
      <c r="I649" t="n">
        <v>0</v>
      </c>
      <c r="J649" t="n">
        <v>0</v>
      </c>
      <c r="K649" t="n">
        <v>0</v>
      </c>
      <c r="L649" t="n">
        <v>0</v>
      </c>
      <c r="M649" t="n">
        <v>0</v>
      </c>
      <c r="N649" t="n">
        <v>0</v>
      </c>
      <c r="O649" t="n">
        <v>0</v>
      </c>
      <c r="P649" t="n">
        <v>0</v>
      </c>
      <c r="Q649" t="n">
        <v>0</v>
      </c>
      <c r="R649" s="2" t="inlineStr"/>
    </row>
    <row r="650" ht="15" customHeight="1">
      <c r="A650" t="inlineStr">
        <is>
          <t>A 62030-2021</t>
        </is>
      </c>
      <c r="B650" s="1" t="n">
        <v>44502</v>
      </c>
      <c r="C650" s="1" t="n">
        <v>45766</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63530-2021</t>
        </is>
      </c>
      <c r="B651" s="1" t="n">
        <v>44508</v>
      </c>
      <c r="C651" s="1" t="n">
        <v>45766</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64137-2021</t>
        </is>
      </c>
      <c r="B652" s="1" t="n">
        <v>44510</v>
      </c>
      <c r="C652" s="1" t="n">
        <v>45766</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64212-2021</t>
        </is>
      </c>
      <c r="B653" s="1" t="n">
        <v>44510</v>
      </c>
      <c r="C653" s="1" t="n">
        <v>45766</v>
      </c>
      <c r="D653" t="inlineStr">
        <is>
          <t>STOCKHOLMS LÄN</t>
        </is>
      </c>
      <c r="E653" t="inlineStr">
        <is>
          <t>NORRTÄLJE</t>
        </is>
      </c>
      <c r="G653" t="n">
        <v>28.7</v>
      </c>
      <c r="H653" t="n">
        <v>0</v>
      </c>
      <c r="I653" t="n">
        <v>0</v>
      </c>
      <c r="J653" t="n">
        <v>0</v>
      </c>
      <c r="K653" t="n">
        <v>0</v>
      </c>
      <c r="L653" t="n">
        <v>0</v>
      </c>
      <c r="M653" t="n">
        <v>0</v>
      </c>
      <c r="N653" t="n">
        <v>0</v>
      </c>
      <c r="O653" t="n">
        <v>0</v>
      </c>
      <c r="P653" t="n">
        <v>0</v>
      </c>
      <c r="Q653" t="n">
        <v>0</v>
      </c>
      <c r="R653" s="2" t="inlineStr"/>
    </row>
    <row r="654" ht="15" customHeight="1">
      <c r="A654" t="inlineStr">
        <is>
          <t>A 64074-2021</t>
        </is>
      </c>
      <c r="B654" s="1" t="n">
        <v>44510</v>
      </c>
      <c r="C654" s="1" t="n">
        <v>45766</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64145-2021</t>
        </is>
      </c>
      <c r="B655" s="1" t="n">
        <v>44510</v>
      </c>
      <c r="C655" s="1" t="n">
        <v>45766</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64600-2021</t>
        </is>
      </c>
      <c r="B656" s="1" t="n">
        <v>44511</v>
      </c>
      <c r="C656" s="1" t="n">
        <v>45766</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64599-2021</t>
        </is>
      </c>
      <c r="B657" s="1" t="n">
        <v>44511</v>
      </c>
      <c r="C657" s="1" t="n">
        <v>45766</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64628-2021</t>
        </is>
      </c>
      <c r="B658" s="1" t="n">
        <v>44511</v>
      </c>
      <c r="C658" s="1" t="n">
        <v>45766</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64915-2021</t>
        </is>
      </c>
      <c r="B659" s="1" t="n">
        <v>44512</v>
      </c>
      <c r="C659" s="1" t="n">
        <v>45766</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65359-2021</t>
        </is>
      </c>
      <c r="B660" s="1" t="n">
        <v>44515</v>
      </c>
      <c r="C660" s="1" t="n">
        <v>45766</v>
      </c>
      <c r="D660" t="inlineStr">
        <is>
          <t>STOCKHOLMS LÄN</t>
        </is>
      </c>
      <c r="E660" t="inlineStr">
        <is>
          <t>NORRTÄLJE</t>
        </is>
      </c>
      <c r="F660" t="inlineStr">
        <is>
          <t>Kyrkan</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65499-2021</t>
        </is>
      </c>
      <c r="B661" s="1" t="n">
        <v>44516</v>
      </c>
      <c r="C661" s="1" t="n">
        <v>45766</v>
      </c>
      <c r="D661" t="inlineStr">
        <is>
          <t>STOCKHOLMS LÄN</t>
        </is>
      </c>
      <c r="E661" t="inlineStr">
        <is>
          <t>NORRTÄLJE</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65513-2021</t>
        </is>
      </c>
      <c r="B662" s="1" t="n">
        <v>44516</v>
      </c>
      <c r="C662" s="1" t="n">
        <v>45766</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65511-2021</t>
        </is>
      </c>
      <c r="B663" s="1" t="n">
        <v>44516</v>
      </c>
      <c r="C663" s="1" t="n">
        <v>45766</v>
      </c>
      <c r="D663" t="inlineStr">
        <is>
          <t>STOCKHOLMS LÄN</t>
        </is>
      </c>
      <c r="E663" t="inlineStr">
        <is>
          <t>NORRTÄLJE</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65501-2021</t>
        </is>
      </c>
      <c r="B664" s="1" t="n">
        <v>44516</v>
      </c>
      <c r="C664" s="1" t="n">
        <v>45766</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65509-2021</t>
        </is>
      </c>
      <c r="B665" s="1" t="n">
        <v>44516</v>
      </c>
      <c r="C665" s="1" t="n">
        <v>45766</v>
      </c>
      <c r="D665" t="inlineStr">
        <is>
          <t>STOCKHOLMS LÄN</t>
        </is>
      </c>
      <c r="E665" t="inlineStr">
        <is>
          <t>NORRTÄLJE</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65611-2021</t>
        </is>
      </c>
      <c r="B666" s="1" t="n">
        <v>44516</v>
      </c>
      <c r="C666" s="1" t="n">
        <v>45766</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65737-2021</t>
        </is>
      </c>
      <c r="B667" s="1" t="n">
        <v>44516</v>
      </c>
      <c r="C667" s="1" t="n">
        <v>45766</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66450-2021</t>
        </is>
      </c>
      <c r="B668" s="1" t="n">
        <v>44518</v>
      </c>
      <c r="C668" s="1" t="n">
        <v>45766</v>
      </c>
      <c r="D668" t="inlineStr">
        <is>
          <t>STOCKHOLMS LÄN</t>
        </is>
      </c>
      <c r="E668" t="inlineStr">
        <is>
          <t>NORRTÄLJE</t>
        </is>
      </c>
      <c r="G668" t="n">
        <v>9.1</v>
      </c>
      <c r="H668" t="n">
        <v>0</v>
      </c>
      <c r="I668" t="n">
        <v>0</v>
      </c>
      <c r="J668" t="n">
        <v>0</v>
      </c>
      <c r="K668" t="n">
        <v>0</v>
      </c>
      <c r="L668" t="n">
        <v>0</v>
      </c>
      <c r="M668" t="n">
        <v>0</v>
      </c>
      <c r="N668" t="n">
        <v>0</v>
      </c>
      <c r="O668" t="n">
        <v>0</v>
      </c>
      <c r="P668" t="n">
        <v>0</v>
      </c>
      <c r="Q668" t="n">
        <v>0</v>
      </c>
      <c r="R668" s="2" t="inlineStr"/>
    </row>
    <row r="669" ht="15" customHeight="1">
      <c r="A669" t="inlineStr">
        <is>
          <t>A 66608-2021</t>
        </is>
      </c>
      <c r="B669" s="1" t="n">
        <v>44519</v>
      </c>
      <c r="C669" s="1" t="n">
        <v>45766</v>
      </c>
      <c r="D669" t="inlineStr">
        <is>
          <t>STOCKHOLMS LÄN</t>
        </is>
      </c>
      <c r="E669" t="inlineStr">
        <is>
          <t>NORRTÄLJE</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66592-2021</t>
        </is>
      </c>
      <c r="B670" s="1" t="n">
        <v>44519</v>
      </c>
      <c r="C670" s="1" t="n">
        <v>45766</v>
      </c>
      <c r="D670" t="inlineStr">
        <is>
          <t>STOCKHOLMS LÄN</t>
        </is>
      </c>
      <c r="E670" t="inlineStr">
        <is>
          <t>NORRTÄLJE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66769-2021</t>
        </is>
      </c>
      <c r="B671" s="1" t="n">
        <v>44521</v>
      </c>
      <c r="C671" s="1" t="n">
        <v>45766</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67285-2021</t>
        </is>
      </c>
      <c r="B672" s="1" t="n">
        <v>44523</v>
      </c>
      <c r="C672" s="1" t="n">
        <v>45766</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67525-2021</t>
        </is>
      </c>
      <c r="B673" s="1" t="n">
        <v>44524</v>
      </c>
      <c r="C673" s="1" t="n">
        <v>45766</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67598-2021</t>
        </is>
      </c>
      <c r="B674" s="1" t="n">
        <v>44524</v>
      </c>
      <c r="C674" s="1" t="n">
        <v>45766</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45766</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67990-2021</t>
        </is>
      </c>
      <c r="B676" s="1" t="n">
        <v>44525</v>
      </c>
      <c r="C676" s="1" t="n">
        <v>45766</v>
      </c>
      <c r="D676" t="inlineStr">
        <is>
          <t>STOCKHOLMS LÄN</t>
        </is>
      </c>
      <c r="E676" t="inlineStr">
        <is>
          <t>NORRTÄLJE</t>
        </is>
      </c>
      <c r="F676" t="inlineStr">
        <is>
          <t>Sveaskog</t>
        </is>
      </c>
      <c r="G676" t="n">
        <v>7.8</v>
      </c>
      <c r="H676" t="n">
        <v>0</v>
      </c>
      <c r="I676" t="n">
        <v>0</v>
      </c>
      <c r="J676" t="n">
        <v>0</v>
      </c>
      <c r="K676" t="n">
        <v>0</v>
      </c>
      <c r="L676" t="n">
        <v>0</v>
      </c>
      <c r="M676" t="n">
        <v>0</v>
      </c>
      <c r="N676" t="n">
        <v>0</v>
      </c>
      <c r="O676" t="n">
        <v>0</v>
      </c>
      <c r="P676" t="n">
        <v>0</v>
      </c>
      <c r="Q676" t="n">
        <v>0</v>
      </c>
      <c r="R676" s="2" t="inlineStr"/>
    </row>
    <row r="677" ht="15" customHeight="1">
      <c r="A677" t="inlineStr">
        <is>
          <t>A 67992-2021</t>
        </is>
      </c>
      <c r="B677" s="1" t="n">
        <v>44525</v>
      </c>
      <c r="C677" s="1" t="n">
        <v>45766</v>
      </c>
      <c r="D677" t="inlineStr">
        <is>
          <t>STOCKHOLMS LÄN</t>
        </is>
      </c>
      <c r="E677" t="inlineStr">
        <is>
          <t>NORRTÄLJE</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67993-2021</t>
        </is>
      </c>
      <c r="B678" s="1" t="n">
        <v>44525</v>
      </c>
      <c r="C678" s="1" t="n">
        <v>45766</v>
      </c>
      <c r="D678" t="inlineStr">
        <is>
          <t>STOCKHOLMS LÄN</t>
        </is>
      </c>
      <c r="E678" t="inlineStr">
        <is>
          <t>NORRTÄLJE</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68273-2021</t>
        </is>
      </c>
      <c r="B679" s="1" t="n">
        <v>44526</v>
      </c>
      <c r="C679" s="1" t="n">
        <v>45766</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68361-2021</t>
        </is>
      </c>
      <c r="B680" s="1" t="n">
        <v>44528</v>
      </c>
      <c r="C680" s="1" t="n">
        <v>45766</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69034-2021</t>
        </is>
      </c>
      <c r="B681" s="1" t="n">
        <v>44529</v>
      </c>
      <c r="C681" s="1" t="n">
        <v>45766</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69539-2021</t>
        </is>
      </c>
      <c r="B682" s="1" t="n">
        <v>44531</v>
      </c>
      <c r="C682" s="1" t="n">
        <v>45766</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69723-2021</t>
        </is>
      </c>
      <c r="B683" s="1" t="n">
        <v>44532</v>
      </c>
      <c r="C683" s="1" t="n">
        <v>45766</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69816-2021</t>
        </is>
      </c>
      <c r="B684" s="1" t="n">
        <v>44532</v>
      </c>
      <c r="C684" s="1" t="n">
        <v>45766</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70170-2021</t>
        </is>
      </c>
      <c r="B685" s="1" t="n">
        <v>44533</v>
      </c>
      <c r="C685" s="1" t="n">
        <v>45766</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69988-2021</t>
        </is>
      </c>
      <c r="B686" s="1" t="n">
        <v>44533</v>
      </c>
      <c r="C686" s="1" t="n">
        <v>45766</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70469-2021</t>
        </is>
      </c>
      <c r="B687" s="1" t="n">
        <v>44536</v>
      </c>
      <c r="C687" s="1" t="n">
        <v>45766</v>
      </c>
      <c r="D687" t="inlineStr">
        <is>
          <t>STOCKHOLMS LÄN</t>
        </is>
      </c>
      <c r="E687" t="inlineStr">
        <is>
          <t>NORRTÄLJE</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71325-2021</t>
        </is>
      </c>
      <c r="B688" s="1" t="n">
        <v>44539</v>
      </c>
      <c r="C688" s="1" t="n">
        <v>45766</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71552-2021</t>
        </is>
      </c>
      <c r="B689" s="1" t="n">
        <v>44540</v>
      </c>
      <c r="C689" s="1" t="n">
        <v>45766</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71479-2021</t>
        </is>
      </c>
      <c r="B690" s="1" t="n">
        <v>44540</v>
      </c>
      <c r="C690" s="1" t="n">
        <v>45766</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71543-2021</t>
        </is>
      </c>
      <c r="B691" s="1" t="n">
        <v>44540</v>
      </c>
      <c r="C691" s="1" t="n">
        <v>45766</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71873-2021</t>
        </is>
      </c>
      <c r="B692" s="1" t="n">
        <v>44543</v>
      </c>
      <c r="C692" s="1" t="n">
        <v>45766</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71876-2021</t>
        </is>
      </c>
      <c r="B693" s="1" t="n">
        <v>44543</v>
      </c>
      <c r="C693" s="1" t="n">
        <v>45766</v>
      </c>
      <c r="D693" t="inlineStr">
        <is>
          <t>STOCKHOLMS LÄN</t>
        </is>
      </c>
      <c r="E693" t="inlineStr">
        <is>
          <t>NORRTÄLJE</t>
        </is>
      </c>
      <c r="G693" t="n">
        <v>2.8</v>
      </c>
      <c r="H693" t="n">
        <v>0</v>
      </c>
      <c r="I693" t="n">
        <v>0</v>
      </c>
      <c r="J693" t="n">
        <v>0</v>
      </c>
      <c r="K693" t="n">
        <v>0</v>
      </c>
      <c r="L693" t="n">
        <v>0</v>
      </c>
      <c r="M693" t="n">
        <v>0</v>
      </c>
      <c r="N693" t="n">
        <v>0</v>
      </c>
      <c r="O693" t="n">
        <v>0</v>
      </c>
      <c r="P693" t="n">
        <v>0</v>
      </c>
      <c r="Q693" t="n">
        <v>0</v>
      </c>
      <c r="R693" s="2" t="inlineStr"/>
    </row>
    <row r="694" ht="15" customHeight="1">
      <c r="A694" t="inlineStr">
        <is>
          <t>A 71880-2021</t>
        </is>
      </c>
      <c r="B694" s="1" t="n">
        <v>44543</v>
      </c>
      <c r="C694" s="1" t="n">
        <v>45766</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71871-2021</t>
        </is>
      </c>
      <c r="B695" s="1" t="n">
        <v>44543</v>
      </c>
      <c r="C695" s="1" t="n">
        <v>45766</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71878-2021</t>
        </is>
      </c>
      <c r="B696" s="1" t="n">
        <v>44543</v>
      </c>
      <c r="C696" s="1" t="n">
        <v>45766</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72085-2021</t>
        </is>
      </c>
      <c r="B697" s="1" t="n">
        <v>44544</v>
      </c>
      <c r="C697" s="1" t="n">
        <v>45766</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72202-2021</t>
        </is>
      </c>
      <c r="B698" s="1" t="n">
        <v>44544</v>
      </c>
      <c r="C698" s="1" t="n">
        <v>45766</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72308-2021</t>
        </is>
      </c>
      <c r="B699" s="1" t="n">
        <v>44545</v>
      </c>
      <c r="C699" s="1" t="n">
        <v>45766</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72343-2021</t>
        </is>
      </c>
      <c r="B700" s="1" t="n">
        <v>44545</v>
      </c>
      <c r="C700" s="1" t="n">
        <v>45766</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45766</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72355-2021</t>
        </is>
      </c>
      <c r="B702" s="1" t="n">
        <v>44545</v>
      </c>
      <c r="C702" s="1" t="n">
        <v>45766</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72353-2021</t>
        </is>
      </c>
      <c r="B703" s="1" t="n">
        <v>44545</v>
      </c>
      <c r="C703" s="1" t="n">
        <v>45766</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72747-2021</t>
        </is>
      </c>
      <c r="B704" s="1" t="n">
        <v>44546</v>
      </c>
      <c r="C704" s="1" t="n">
        <v>45766</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72704-2021</t>
        </is>
      </c>
      <c r="B705" s="1" t="n">
        <v>44546</v>
      </c>
      <c r="C705" s="1" t="n">
        <v>45766</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72890-2021</t>
        </is>
      </c>
      <c r="B706" s="1" t="n">
        <v>44547</v>
      </c>
      <c r="C706" s="1" t="n">
        <v>45766</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73311-2021</t>
        </is>
      </c>
      <c r="B707" s="1" t="n">
        <v>44549</v>
      </c>
      <c r="C707" s="1" t="n">
        <v>45766</v>
      </c>
      <c r="D707" t="inlineStr">
        <is>
          <t>STOCKHOLMS LÄN</t>
        </is>
      </c>
      <c r="E707" t="inlineStr">
        <is>
          <t>NORRTÄLJE</t>
        </is>
      </c>
      <c r="G707" t="n">
        <v>5.2</v>
      </c>
      <c r="H707" t="n">
        <v>0</v>
      </c>
      <c r="I707" t="n">
        <v>0</v>
      </c>
      <c r="J707" t="n">
        <v>0</v>
      </c>
      <c r="K707" t="n">
        <v>0</v>
      </c>
      <c r="L707" t="n">
        <v>0</v>
      </c>
      <c r="M707" t="n">
        <v>0</v>
      </c>
      <c r="N707" t="n">
        <v>0</v>
      </c>
      <c r="O707" t="n">
        <v>0</v>
      </c>
      <c r="P707" t="n">
        <v>0</v>
      </c>
      <c r="Q707" t="n">
        <v>0</v>
      </c>
      <c r="R707" s="2" t="inlineStr"/>
    </row>
    <row r="708" ht="15" customHeight="1">
      <c r="A708" t="inlineStr">
        <is>
          <t>A 73307-2021</t>
        </is>
      </c>
      <c r="B708" s="1" t="n">
        <v>44549</v>
      </c>
      <c r="C708" s="1" t="n">
        <v>45766</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73271-2021</t>
        </is>
      </c>
      <c r="B709" s="1" t="n">
        <v>44550</v>
      </c>
      <c r="C709" s="1" t="n">
        <v>45766</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73504-2021</t>
        </is>
      </c>
      <c r="B710" s="1" t="n">
        <v>44551</v>
      </c>
      <c r="C710" s="1" t="n">
        <v>45766</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73855-2021</t>
        </is>
      </c>
      <c r="B711" s="1" t="n">
        <v>44552</v>
      </c>
      <c r="C711" s="1" t="n">
        <v>45766</v>
      </c>
      <c r="D711" t="inlineStr">
        <is>
          <t>STOCKHOLMS LÄN</t>
        </is>
      </c>
      <c r="E711" t="inlineStr">
        <is>
          <t>NORRTÄLJE</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45766</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73993-2021</t>
        </is>
      </c>
      <c r="B713" s="1" t="n">
        <v>44556</v>
      </c>
      <c r="C713" s="1" t="n">
        <v>45766</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74468-2021</t>
        </is>
      </c>
      <c r="B714" s="1" t="n">
        <v>44560</v>
      </c>
      <c r="C714" s="1" t="n">
        <v>45766</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185-2022</t>
        </is>
      </c>
      <c r="B715" s="1" t="n">
        <v>44564</v>
      </c>
      <c r="C715" s="1" t="n">
        <v>45766</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190-2022</t>
        </is>
      </c>
      <c r="B716" s="1" t="n">
        <v>44564</v>
      </c>
      <c r="C716" s="1" t="n">
        <v>45766</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187-2022</t>
        </is>
      </c>
      <c r="B717" s="1" t="n">
        <v>44564</v>
      </c>
      <c r="C717" s="1" t="n">
        <v>45766</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77-2022</t>
        </is>
      </c>
      <c r="B718" s="1" t="n">
        <v>44564</v>
      </c>
      <c r="C718" s="1" t="n">
        <v>45766</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1058-2022</t>
        </is>
      </c>
      <c r="B719" s="1" t="n">
        <v>44571</v>
      </c>
      <c r="C719" s="1" t="n">
        <v>45766</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1051-2022</t>
        </is>
      </c>
      <c r="B720" s="1" t="n">
        <v>44571</v>
      </c>
      <c r="C720" s="1" t="n">
        <v>45766</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1054-2022</t>
        </is>
      </c>
      <c r="B721" s="1" t="n">
        <v>44571</v>
      </c>
      <c r="C721" s="1" t="n">
        <v>45766</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1229-2022</t>
        </is>
      </c>
      <c r="B722" s="1" t="n">
        <v>44572</v>
      </c>
      <c r="C722" s="1" t="n">
        <v>45766</v>
      </c>
      <c r="D722" t="inlineStr">
        <is>
          <t>STOCKHOLMS LÄN</t>
        </is>
      </c>
      <c r="E722" t="inlineStr">
        <is>
          <t>NORRTÄLJE</t>
        </is>
      </c>
      <c r="G722" t="n">
        <v>11.5</v>
      </c>
      <c r="H722" t="n">
        <v>0</v>
      </c>
      <c r="I722" t="n">
        <v>0</v>
      </c>
      <c r="J722" t="n">
        <v>0</v>
      </c>
      <c r="K722" t="n">
        <v>0</v>
      </c>
      <c r="L722" t="n">
        <v>0</v>
      </c>
      <c r="M722" t="n">
        <v>0</v>
      </c>
      <c r="N722" t="n">
        <v>0</v>
      </c>
      <c r="O722" t="n">
        <v>0</v>
      </c>
      <c r="P722" t="n">
        <v>0</v>
      </c>
      <c r="Q722" t="n">
        <v>0</v>
      </c>
      <c r="R722" s="2" t="inlineStr"/>
    </row>
    <row r="723" ht="15" customHeight="1">
      <c r="A723" t="inlineStr">
        <is>
          <t>A 1704-2022</t>
        </is>
      </c>
      <c r="B723" s="1" t="n">
        <v>44574</v>
      </c>
      <c r="C723" s="1" t="n">
        <v>45766</v>
      </c>
      <c r="D723" t="inlineStr">
        <is>
          <t>STOCKHOLMS LÄN</t>
        </is>
      </c>
      <c r="E723" t="inlineStr">
        <is>
          <t>NORRTÄLJE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1968-2022</t>
        </is>
      </c>
      <c r="B724" s="1" t="n">
        <v>44575</v>
      </c>
      <c r="C724" s="1" t="n">
        <v>45766</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2182-2022</t>
        </is>
      </c>
      <c r="B725" s="1" t="n">
        <v>44578</v>
      </c>
      <c r="C725" s="1" t="n">
        <v>45766</v>
      </c>
      <c r="D725" t="inlineStr">
        <is>
          <t>STOCKHOLMS LÄN</t>
        </is>
      </c>
      <c r="E725" t="inlineStr">
        <is>
          <t>NORRTÄLJE</t>
        </is>
      </c>
      <c r="G725" t="n">
        <v>7.2</v>
      </c>
      <c r="H725" t="n">
        <v>0</v>
      </c>
      <c r="I725" t="n">
        <v>0</v>
      </c>
      <c r="J725" t="n">
        <v>0</v>
      </c>
      <c r="K725" t="n">
        <v>0</v>
      </c>
      <c r="L725" t="n">
        <v>0</v>
      </c>
      <c r="M725" t="n">
        <v>0</v>
      </c>
      <c r="N725" t="n">
        <v>0</v>
      </c>
      <c r="O725" t="n">
        <v>0</v>
      </c>
      <c r="P725" t="n">
        <v>0</v>
      </c>
      <c r="Q725" t="n">
        <v>0</v>
      </c>
      <c r="R725" s="2" t="inlineStr"/>
    </row>
    <row r="726" ht="15" customHeight="1">
      <c r="A726" t="inlineStr">
        <is>
          <t>A 2549-2022</t>
        </is>
      </c>
      <c r="B726" s="1" t="n">
        <v>44580</v>
      </c>
      <c r="C726" s="1" t="n">
        <v>45766</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2732-2022</t>
        </is>
      </c>
      <c r="B727" s="1" t="n">
        <v>44580</v>
      </c>
      <c r="C727" s="1" t="n">
        <v>45766</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2888-2022</t>
        </is>
      </c>
      <c r="B728" s="1" t="n">
        <v>44581</v>
      </c>
      <c r="C728" s="1" t="n">
        <v>45766</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2977-2022</t>
        </is>
      </c>
      <c r="B729" s="1" t="n">
        <v>44581</v>
      </c>
      <c r="C729" s="1" t="n">
        <v>45766</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v>
      </c>
      <c r="C730" s="1" t="n">
        <v>45766</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3310-2022</t>
        </is>
      </c>
      <c r="B731" s="1" t="n">
        <v>44584</v>
      </c>
      <c r="C731" s="1" t="n">
        <v>45766</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3396-2022</t>
        </is>
      </c>
      <c r="B732" s="1" t="n">
        <v>44585</v>
      </c>
      <c r="C732" s="1" t="n">
        <v>45766</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3509-2022</t>
        </is>
      </c>
      <c r="B733" s="1" t="n">
        <v>44585</v>
      </c>
      <c r="C733" s="1" t="n">
        <v>45766</v>
      </c>
      <c r="D733" t="inlineStr">
        <is>
          <t>STOCKHOLMS LÄN</t>
        </is>
      </c>
      <c r="E733" t="inlineStr">
        <is>
          <t>NORRTÄLJE</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4860-2022</t>
        </is>
      </c>
      <c r="B734" s="1" t="n">
        <v>44592</v>
      </c>
      <c r="C734" s="1" t="n">
        <v>45766</v>
      </c>
      <c r="D734" t="inlineStr">
        <is>
          <t>STOCKHOLMS LÄN</t>
        </is>
      </c>
      <c r="E734" t="inlineStr">
        <is>
          <t>NORRTÄLJE</t>
        </is>
      </c>
      <c r="G734" t="n">
        <v>22.3</v>
      </c>
      <c r="H734" t="n">
        <v>0</v>
      </c>
      <c r="I734" t="n">
        <v>0</v>
      </c>
      <c r="J734" t="n">
        <v>0</v>
      </c>
      <c r="K734" t="n">
        <v>0</v>
      </c>
      <c r="L734" t="n">
        <v>0</v>
      </c>
      <c r="M734" t="n">
        <v>0</v>
      </c>
      <c r="N734" t="n">
        <v>0</v>
      </c>
      <c r="O734" t="n">
        <v>0</v>
      </c>
      <c r="P734" t="n">
        <v>0</v>
      </c>
      <c r="Q734" t="n">
        <v>0</v>
      </c>
      <c r="R734" s="2" t="inlineStr"/>
    </row>
    <row r="735" ht="15" customHeight="1">
      <c r="A735" t="inlineStr">
        <is>
          <t>A 5351-2022</t>
        </is>
      </c>
      <c r="B735" s="1" t="n">
        <v>44594</v>
      </c>
      <c r="C735" s="1" t="n">
        <v>45766</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5513-2022</t>
        </is>
      </c>
      <c r="B736" s="1" t="n">
        <v>44595</v>
      </c>
      <c r="C736" s="1" t="n">
        <v>45766</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5611-2022</t>
        </is>
      </c>
      <c r="B737" s="1" t="n">
        <v>44595</v>
      </c>
      <c r="C737" s="1" t="n">
        <v>45766</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45766</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5867-2022</t>
        </is>
      </c>
      <c r="B739" s="1" t="n">
        <v>44596</v>
      </c>
      <c r="C739" s="1" t="n">
        <v>45766</v>
      </c>
      <c r="D739" t="inlineStr">
        <is>
          <t>STOCKHOLMS LÄN</t>
        </is>
      </c>
      <c r="E739" t="inlineStr">
        <is>
          <t>NORRTÄLJE</t>
        </is>
      </c>
      <c r="F739" t="inlineStr">
        <is>
          <t>Naturvårdsverket</t>
        </is>
      </c>
      <c r="G739" t="n">
        <v>1.6</v>
      </c>
      <c r="H739" t="n">
        <v>0</v>
      </c>
      <c r="I739" t="n">
        <v>0</v>
      </c>
      <c r="J739" t="n">
        <v>0</v>
      </c>
      <c r="K739" t="n">
        <v>0</v>
      </c>
      <c r="L739" t="n">
        <v>0</v>
      </c>
      <c r="M739" t="n">
        <v>0</v>
      </c>
      <c r="N739" t="n">
        <v>0</v>
      </c>
      <c r="O739" t="n">
        <v>0</v>
      </c>
      <c r="P739" t="n">
        <v>0</v>
      </c>
      <c r="Q739" t="n">
        <v>0</v>
      </c>
      <c r="R739" s="2" t="inlineStr"/>
    </row>
    <row r="740" ht="15" customHeight="1">
      <c r="A740" t="inlineStr">
        <is>
          <t>A 6070-2022</t>
        </is>
      </c>
      <c r="B740" s="1" t="n">
        <v>44599</v>
      </c>
      <c r="C740" s="1" t="n">
        <v>45766</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6332-2022</t>
        </is>
      </c>
      <c r="B741" s="1" t="n">
        <v>44600</v>
      </c>
      <c r="C741" s="1" t="n">
        <v>45766</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7301-2022</t>
        </is>
      </c>
      <c r="B742" s="1" t="n">
        <v>44606</v>
      </c>
      <c r="C742" s="1" t="n">
        <v>45766</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7565-2022</t>
        </is>
      </c>
      <c r="B743" s="1" t="n">
        <v>44607</v>
      </c>
      <c r="C743" s="1" t="n">
        <v>45766</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8049-2022</t>
        </is>
      </c>
      <c r="B744" s="1" t="n">
        <v>44609</v>
      </c>
      <c r="C744" s="1" t="n">
        <v>45766</v>
      </c>
      <c r="D744" t="inlineStr">
        <is>
          <t>STOCKHOLMS LÄN</t>
        </is>
      </c>
      <c r="E744" t="inlineStr">
        <is>
          <t>NORRTÄLJE</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45766</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8433-2022</t>
        </is>
      </c>
      <c r="B746" s="1" t="n">
        <v>44611</v>
      </c>
      <c r="C746" s="1" t="n">
        <v>45766</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9668-2022</t>
        </is>
      </c>
      <c r="B747" s="1" t="n">
        <v>44617</v>
      </c>
      <c r="C747" s="1" t="n">
        <v>45766</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45766</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9749-2022</t>
        </is>
      </c>
      <c r="B749" s="1" t="n">
        <v>44618</v>
      </c>
      <c r="C749" s="1" t="n">
        <v>45766</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9988-2022</t>
        </is>
      </c>
      <c r="B750" s="1" t="n">
        <v>44621</v>
      </c>
      <c r="C750" s="1" t="n">
        <v>45766</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10090-2022</t>
        </is>
      </c>
      <c r="B751" s="1" t="n">
        <v>44621</v>
      </c>
      <c r="C751" s="1" t="n">
        <v>45766</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10098-2022</t>
        </is>
      </c>
      <c r="B752" s="1" t="n">
        <v>44621</v>
      </c>
      <c r="C752" s="1" t="n">
        <v>45766</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45766</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10653-2022</t>
        </is>
      </c>
      <c r="B754" s="1" t="n">
        <v>44624</v>
      </c>
      <c r="C754" s="1" t="n">
        <v>45766</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10710-2022</t>
        </is>
      </c>
      <c r="B755" s="1" t="n">
        <v>44626</v>
      </c>
      <c r="C755" s="1" t="n">
        <v>45766</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10711-2022</t>
        </is>
      </c>
      <c r="B756" s="1" t="n">
        <v>44626</v>
      </c>
      <c r="C756" s="1" t="n">
        <v>45766</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11150-2022</t>
        </is>
      </c>
      <c r="B757" s="1" t="n">
        <v>44629</v>
      </c>
      <c r="C757" s="1" t="n">
        <v>45766</v>
      </c>
      <c r="D757" t="inlineStr">
        <is>
          <t>STOCKHOLMS LÄN</t>
        </is>
      </c>
      <c r="E757" t="inlineStr">
        <is>
          <t>NORRTÄLJE</t>
        </is>
      </c>
      <c r="F757" t="inlineStr">
        <is>
          <t>Övriga Aktiebolag</t>
        </is>
      </c>
      <c r="G757" t="n">
        <v>6.5</v>
      </c>
      <c r="H757" t="n">
        <v>0</v>
      </c>
      <c r="I757" t="n">
        <v>0</v>
      </c>
      <c r="J757" t="n">
        <v>0</v>
      </c>
      <c r="K757" t="n">
        <v>0</v>
      </c>
      <c r="L757" t="n">
        <v>0</v>
      </c>
      <c r="M757" t="n">
        <v>0</v>
      </c>
      <c r="N757" t="n">
        <v>0</v>
      </c>
      <c r="O757" t="n">
        <v>0</v>
      </c>
      <c r="P757" t="n">
        <v>0</v>
      </c>
      <c r="Q757" t="n">
        <v>0</v>
      </c>
      <c r="R757" s="2" t="inlineStr"/>
    </row>
    <row r="758" ht="15" customHeight="1">
      <c r="A758" t="inlineStr">
        <is>
          <t>A 11229-2022</t>
        </is>
      </c>
      <c r="B758" s="1" t="n">
        <v>44629</v>
      </c>
      <c r="C758" s="1" t="n">
        <v>45766</v>
      </c>
      <c r="D758" t="inlineStr">
        <is>
          <t>STOCKHOLMS LÄN</t>
        </is>
      </c>
      <c r="E758" t="inlineStr">
        <is>
          <t>NORRTÄLJE</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11533-2022</t>
        </is>
      </c>
      <c r="B759" s="1" t="n">
        <v>44631</v>
      </c>
      <c r="C759" s="1" t="n">
        <v>45766</v>
      </c>
      <c r="D759" t="inlineStr">
        <is>
          <t>STOCKHOLMS LÄN</t>
        </is>
      </c>
      <c r="E759" t="inlineStr">
        <is>
          <t>NORRTÄLJE</t>
        </is>
      </c>
      <c r="G759" t="n">
        <v>3.6</v>
      </c>
      <c r="H759" t="n">
        <v>0</v>
      </c>
      <c r="I759" t="n">
        <v>0</v>
      </c>
      <c r="J759" t="n">
        <v>0</v>
      </c>
      <c r="K759" t="n">
        <v>0</v>
      </c>
      <c r="L759" t="n">
        <v>0</v>
      </c>
      <c r="M759" t="n">
        <v>0</v>
      </c>
      <c r="N759" t="n">
        <v>0</v>
      </c>
      <c r="O759" t="n">
        <v>0</v>
      </c>
      <c r="P759" t="n">
        <v>0</v>
      </c>
      <c r="Q759" t="n">
        <v>0</v>
      </c>
      <c r="R759" s="2" t="inlineStr"/>
    </row>
    <row r="760" ht="15" customHeight="1">
      <c r="A760" t="inlineStr">
        <is>
          <t>A 11821-2022</t>
        </is>
      </c>
      <c r="B760" s="1" t="n">
        <v>44634</v>
      </c>
      <c r="C760" s="1" t="n">
        <v>45766</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11900-2022</t>
        </is>
      </c>
      <c r="B761" s="1" t="n">
        <v>44635</v>
      </c>
      <c r="C761" s="1" t="n">
        <v>45766</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12355-2022</t>
        </is>
      </c>
      <c r="B762" s="1" t="n">
        <v>44637</v>
      </c>
      <c r="C762" s="1" t="n">
        <v>45766</v>
      </c>
      <c r="D762" t="inlineStr">
        <is>
          <t>STOCKHOLMS LÄN</t>
        </is>
      </c>
      <c r="E762" t="inlineStr">
        <is>
          <t>NORRTÄLJE</t>
        </is>
      </c>
      <c r="G762" t="n">
        <v>10.4</v>
      </c>
      <c r="H762" t="n">
        <v>0</v>
      </c>
      <c r="I762" t="n">
        <v>0</v>
      </c>
      <c r="J762" t="n">
        <v>0</v>
      </c>
      <c r="K762" t="n">
        <v>0</v>
      </c>
      <c r="L762" t="n">
        <v>0</v>
      </c>
      <c r="M762" t="n">
        <v>0</v>
      </c>
      <c r="N762" t="n">
        <v>0</v>
      </c>
      <c r="O762" t="n">
        <v>0</v>
      </c>
      <c r="P762" t="n">
        <v>0</v>
      </c>
      <c r="Q762" t="n">
        <v>0</v>
      </c>
      <c r="R762" s="2" t="inlineStr"/>
    </row>
    <row r="763" ht="15" customHeight="1">
      <c r="A763" t="inlineStr">
        <is>
          <t>A 12270-2022</t>
        </is>
      </c>
      <c r="B763" s="1" t="n">
        <v>44637</v>
      </c>
      <c r="C763" s="1" t="n">
        <v>45766</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12314-2022</t>
        </is>
      </c>
      <c r="B764" s="1" t="n">
        <v>44637</v>
      </c>
      <c r="C764" s="1" t="n">
        <v>45766</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12268-2022</t>
        </is>
      </c>
      <c r="B765" s="1" t="n">
        <v>44637</v>
      </c>
      <c r="C765" s="1" t="n">
        <v>45766</v>
      </c>
      <c r="D765" t="inlineStr">
        <is>
          <t>STOCKHOLMS LÄN</t>
        </is>
      </c>
      <c r="E765" t="inlineStr">
        <is>
          <t>NORRTÄLJE</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12357-2022</t>
        </is>
      </c>
      <c r="B766" s="1" t="n">
        <v>44637</v>
      </c>
      <c r="C766" s="1" t="n">
        <v>45766</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62765-2022</t>
        </is>
      </c>
      <c r="B767" s="1" t="n">
        <v>44637</v>
      </c>
      <c r="C767" s="1" t="n">
        <v>45766</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12874-2022</t>
        </is>
      </c>
      <c r="B768" s="1" t="n">
        <v>44642</v>
      </c>
      <c r="C768" s="1" t="n">
        <v>45766</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12816-2022</t>
        </is>
      </c>
      <c r="B769" s="1" t="n">
        <v>44642</v>
      </c>
      <c r="C769" s="1" t="n">
        <v>45766</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12877-2022</t>
        </is>
      </c>
      <c r="B770" s="1" t="n">
        <v>44642</v>
      </c>
      <c r="C770" s="1" t="n">
        <v>45766</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12875-2022</t>
        </is>
      </c>
      <c r="B771" s="1" t="n">
        <v>44642</v>
      </c>
      <c r="C771" s="1" t="n">
        <v>45766</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13077-2022</t>
        </is>
      </c>
      <c r="B772" s="1" t="n">
        <v>44643</v>
      </c>
      <c r="C772" s="1" t="n">
        <v>45766</v>
      </c>
      <c r="D772" t="inlineStr">
        <is>
          <t>STOCKHOLMS LÄN</t>
        </is>
      </c>
      <c r="E772" t="inlineStr">
        <is>
          <t>NORRTÄLJE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13053-2022</t>
        </is>
      </c>
      <c r="B773" s="1" t="n">
        <v>44643</v>
      </c>
      <c r="C773" s="1" t="n">
        <v>45766</v>
      </c>
      <c r="D773" t="inlineStr">
        <is>
          <t>STOCKHOLMS LÄN</t>
        </is>
      </c>
      <c r="E773" t="inlineStr">
        <is>
          <t>NORRTÄLJE</t>
        </is>
      </c>
      <c r="G773" t="n">
        <v>2.8</v>
      </c>
      <c r="H773" t="n">
        <v>0</v>
      </c>
      <c r="I773" t="n">
        <v>0</v>
      </c>
      <c r="J773" t="n">
        <v>0</v>
      </c>
      <c r="K773" t="n">
        <v>0</v>
      </c>
      <c r="L773" t="n">
        <v>0</v>
      </c>
      <c r="M773" t="n">
        <v>0</v>
      </c>
      <c r="N773" t="n">
        <v>0</v>
      </c>
      <c r="O773" t="n">
        <v>0</v>
      </c>
      <c r="P773" t="n">
        <v>0</v>
      </c>
      <c r="Q773" t="n">
        <v>0</v>
      </c>
      <c r="R773" s="2" t="inlineStr"/>
    </row>
    <row r="774" ht="15" customHeight="1">
      <c r="A774" t="inlineStr">
        <is>
          <t>A 13089-2022</t>
        </is>
      </c>
      <c r="B774" s="1" t="n">
        <v>44643</v>
      </c>
      <c r="C774" s="1" t="n">
        <v>45766</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13106-2022</t>
        </is>
      </c>
      <c r="B775" s="1" t="n">
        <v>44644</v>
      </c>
      <c r="C775" s="1" t="n">
        <v>45766</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13278-2022</t>
        </is>
      </c>
      <c r="B776" s="1" t="n">
        <v>44644</v>
      </c>
      <c r="C776" s="1" t="n">
        <v>45766</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13276-2022</t>
        </is>
      </c>
      <c r="B777" s="1" t="n">
        <v>44644</v>
      </c>
      <c r="C777" s="1" t="n">
        <v>45766</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13395-2022</t>
        </is>
      </c>
      <c r="B778" s="1" t="n">
        <v>44645</v>
      </c>
      <c r="C778" s="1" t="n">
        <v>45766</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13696-2022</t>
        </is>
      </c>
      <c r="B779" s="1" t="n">
        <v>44648</v>
      </c>
      <c r="C779" s="1" t="n">
        <v>45766</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13701-2022</t>
        </is>
      </c>
      <c r="B780" s="1" t="n">
        <v>44648</v>
      </c>
      <c r="C780" s="1" t="n">
        <v>45766</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13718-2022</t>
        </is>
      </c>
      <c r="B781" s="1" t="n">
        <v>44649</v>
      </c>
      <c r="C781" s="1" t="n">
        <v>45766</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14036-2022</t>
        </is>
      </c>
      <c r="B782" s="1" t="n">
        <v>44650</v>
      </c>
      <c r="C782" s="1" t="n">
        <v>45766</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14033-2022</t>
        </is>
      </c>
      <c r="B783" s="1" t="n">
        <v>44650</v>
      </c>
      <c r="C783" s="1" t="n">
        <v>45766</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14034-2022</t>
        </is>
      </c>
      <c r="B784" s="1" t="n">
        <v>44650</v>
      </c>
      <c r="C784" s="1" t="n">
        <v>45766</v>
      </c>
      <c r="D784" t="inlineStr">
        <is>
          <t>STOCKHOLMS LÄN</t>
        </is>
      </c>
      <c r="E784" t="inlineStr">
        <is>
          <t>NORRTÄLJE</t>
        </is>
      </c>
      <c r="G784" t="n">
        <v>6.1</v>
      </c>
      <c r="H784" t="n">
        <v>0</v>
      </c>
      <c r="I784" t="n">
        <v>0</v>
      </c>
      <c r="J784" t="n">
        <v>0</v>
      </c>
      <c r="K784" t="n">
        <v>0</v>
      </c>
      <c r="L784" t="n">
        <v>0</v>
      </c>
      <c r="M784" t="n">
        <v>0</v>
      </c>
      <c r="N784" t="n">
        <v>0</v>
      </c>
      <c r="O784" t="n">
        <v>0</v>
      </c>
      <c r="P784" t="n">
        <v>0</v>
      </c>
      <c r="Q784" t="n">
        <v>0</v>
      </c>
      <c r="R784" s="2" t="inlineStr"/>
    </row>
    <row r="785" ht="15" customHeight="1">
      <c r="A785" t="inlineStr">
        <is>
          <t>A 14051-2022</t>
        </is>
      </c>
      <c r="B785" s="1" t="n">
        <v>44651</v>
      </c>
      <c r="C785" s="1" t="n">
        <v>45766</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14166-2022</t>
        </is>
      </c>
      <c r="B786" s="1" t="n">
        <v>44651</v>
      </c>
      <c r="C786" s="1" t="n">
        <v>45766</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14543-2022</t>
        </is>
      </c>
      <c r="B787" s="1" t="n">
        <v>44655</v>
      </c>
      <c r="C787" s="1" t="n">
        <v>45766</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45766</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14716-2022</t>
        </is>
      </c>
      <c r="B789" s="1" t="n">
        <v>44656</v>
      </c>
      <c r="C789" s="1" t="n">
        <v>45766</v>
      </c>
      <c r="D789" t="inlineStr">
        <is>
          <t>STOCKHOLMS LÄN</t>
        </is>
      </c>
      <c r="E789" t="inlineStr">
        <is>
          <t>NORRTÄLJE</t>
        </is>
      </c>
      <c r="F789" t="inlineStr">
        <is>
          <t>Sveaskog</t>
        </is>
      </c>
      <c r="G789" t="n">
        <v>6.5</v>
      </c>
      <c r="H789" t="n">
        <v>0</v>
      </c>
      <c r="I789" t="n">
        <v>0</v>
      </c>
      <c r="J789" t="n">
        <v>0</v>
      </c>
      <c r="K789" t="n">
        <v>0</v>
      </c>
      <c r="L789" t="n">
        <v>0</v>
      </c>
      <c r="M789" t="n">
        <v>0</v>
      </c>
      <c r="N789" t="n">
        <v>0</v>
      </c>
      <c r="O789" t="n">
        <v>0</v>
      </c>
      <c r="P789" t="n">
        <v>0</v>
      </c>
      <c r="Q789" t="n">
        <v>0</v>
      </c>
      <c r="R789" s="2" t="inlineStr"/>
    </row>
    <row r="790" ht="15" customHeight="1">
      <c r="A790" t="inlineStr">
        <is>
          <t>A 14869-2022</t>
        </is>
      </c>
      <c r="B790" s="1" t="n">
        <v>44656</v>
      </c>
      <c r="C790" s="1" t="n">
        <v>45766</v>
      </c>
      <c r="D790" t="inlineStr">
        <is>
          <t>STOCKHOLMS LÄN</t>
        </is>
      </c>
      <c r="E790" t="inlineStr">
        <is>
          <t>NORRTÄLJE</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15225-2022</t>
        </is>
      </c>
      <c r="B791" s="1" t="n">
        <v>44658</v>
      </c>
      <c r="C791" s="1" t="n">
        <v>45766</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15226-2022</t>
        </is>
      </c>
      <c r="B792" s="1" t="n">
        <v>44658</v>
      </c>
      <c r="C792" s="1" t="n">
        <v>45766</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15861-2022</t>
        </is>
      </c>
      <c r="B793" s="1" t="n">
        <v>44664</v>
      </c>
      <c r="C793" s="1" t="n">
        <v>45766</v>
      </c>
      <c r="D793" t="inlineStr">
        <is>
          <t>STOCKHOLMS LÄN</t>
        </is>
      </c>
      <c r="E793" t="inlineStr">
        <is>
          <t>NORRTÄLJE</t>
        </is>
      </c>
      <c r="G793" t="n">
        <v>10.2</v>
      </c>
      <c r="H793" t="n">
        <v>0</v>
      </c>
      <c r="I793" t="n">
        <v>0</v>
      </c>
      <c r="J793" t="n">
        <v>0</v>
      </c>
      <c r="K793" t="n">
        <v>0</v>
      </c>
      <c r="L793" t="n">
        <v>0</v>
      </c>
      <c r="M793" t="n">
        <v>0</v>
      </c>
      <c r="N793" t="n">
        <v>0</v>
      </c>
      <c r="O793" t="n">
        <v>0</v>
      </c>
      <c r="P793" t="n">
        <v>0</v>
      </c>
      <c r="Q793" t="n">
        <v>0</v>
      </c>
      <c r="R793" s="2" t="inlineStr"/>
    </row>
    <row r="794" ht="15" customHeight="1">
      <c r="A794" t="inlineStr">
        <is>
          <t>A 16117-2022</t>
        </is>
      </c>
      <c r="B794" s="1" t="n">
        <v>44665</v>
      </c>
      <c r="C794" s="1" t="n">
        <v>45766</v>
      </c>
      <c r="D794" t="inlineStr">
        <is>
          <t>STOCKHOLMS LÄN</t>
        </is>
      </c>
      <c r="E794" t="inlineStr">
        <is>
          <t>NORRTÄLJE</t>
        </is>
      </c>
      <c r="G794" t="n">
        <v>8.1</v>
      </c>
      <c r="H794" t="n">
        <v>0</v>
      </c>
      <c r="I794" t="n">
        <v>0</v>
      </c>
      <c r="J794" t="n">
        <v>0</v>
      </c>
      <c r="K794" t="n">
        <v>0</v>
      </c>
      <c r="L794" t="n">
        <v>0</v>
      </c>
      <c r="M794" t="n">
        <v>0</v>
      </c>
      <c r="N794" t="n">
        <v>0</v>
      </c>
      <c r="O794" t="n">
        <v>0</v>
      </c>
      <c r="P794" t="n">
        <v>0</v>
      </c>
      <c r="Q794" t="n">
        <v>0</v>
      </c>
      <c r="R794" s="2" t="inlineStr"/>
    </row>
    <row r="795" ht="15" customHeight="1">
      <c r="A795" t="inlineStr">
        <is>
          <t>A 16119-2022</t>
        </is>
      </c>
      <c r="B795" s="1" t="n">
        <v>44665</v>
      </c>
      <c r="C795" s="1" t="n">
        <v>45766</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16132-2022</t>
        </is>
      </c>
      <c r="B796" s="1" t="n">
        <v>44665</v>
      </c>
      <c r="C796" s="1" t="n">
        <v>45766</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16224-2022</t>
        </is>
      </c>
      <c r="B797" s="1" t="n">
        <v>44670</v>
      </c>
      <c r="C797" s="1" t="n">
        <v>45766</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16202-2022</t>
        </is>
      </c>
      <c r="B798" s="1" t="n">
        <v>44670</v>
      </c>
      <c r="C798" s="1" t="n">
        <v>45766</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16229-2022</t>
        </is>
      </c>
      <c r="B799" s="1" t="n">
        <v>44670</v>
      </c>
      <c r="C799" s="1" t="n">
        <v>45766</v>
      </c>
      <c r="D799" t="inlineStr">
        <is>
          <t>STOCKHOLMS LÄN</t>
        </is>
      </c>
      <c r="E799" t="inlineStr">
        <is>
          <t>NORRTÄLJE</t>
        </is>
      </c>
      <c r="G799" t="n">
        <v>7.4</v>
      </c>
      <c r="H799" t="n">
        <v>0</v>
      </c>
      <c r="I799" t="n">
        <v>0</v>
      </c>
      <c r="J799" t="n">
        <v>0</v>
      </c>
      <c r="K799" t="n">
        <v>0</v>
      </c>
      <c r="L799" t="n">
        <v>0</v>
      </c>
      <c r="M799" t="n">
        <v>0</v>
      </c>
      <c r="N799" t="n">
        <v>0</v>
      </c>
      <c r="O799" t="n">
        <v>0</v>
      </c>
      <c r="P799" t="n">
        <v>0</v>
      </c>
      <c r="Q799" t="n">
        <v>0</v>
      </c>
      <c r="R799" s="2" t="inlineStr"/>
    </row>
    <row r="800" ht="15" customHeight="1">
      <c r="A800" t="inlineStr">
        <is>
          <t>A 16442-2022</t>
        </is>
      </c>
      <c r="B800" s="1" t="n">
        <v>44671</v>
      </c>
      <c r="C800" s="1" t="n">
        <v>45766</v>
      </c>
      <c r="D800" t="inlineStr">
        <is>
          <t>STOCKHOLMS LÄN</t>
        </is>
      </c>
      <c r="E800" t="inlineStr">
        <is>
          <t>NORRTÄLJE</t>
        </is>
      </c>
      <c r="G800" t="n">
        <v>4.8</v>
      </c>
      <c r="H800" t="n">
        <v>0</v>
      </c>
      <c r="I800" t="n">
        <v>0</v>
      </c>
      <c r="J800" t="n">
        <v>0</v>
      </c>
      <c r="K800" t="n">
        <v>0</v>
      </c>
      <c r="L800" t="n">
        <v>0</v>
      </c>
      <c r="M800" t="n">
        <v>0</v>
      </c>
      <c r="N800" t="n">
        <v>0</v>
      </c>
      <c r="O800" t="n">
        <v>0</v>
      </c>
      <c r="P800" t="n">
        <v>0</v>
      </c>
      <c r="Q800" t="n">
        <v>0</v>
      </c>
      <c r="R800" s="2" t="inlineStr"/>
    </row>
    <row r="801" ht="15" customHeight="1">
      <c r="A801" t="inlineStr">
        <is>
          <t>A 16534-2022</t>
        </is>
      </c>
      <c r="B801" s="1" t="n">
        <v>44672</v>
      </c>
      <c r="C801" s="1" t="n">
        <v>45766</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16835-2022</t>
        </is>
      </c>
      <c r="B802" s="1" t="n">
        <v>44673</v>
      </c>
      <c r="C802" s="1" t="n">
        <v>45766</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17391-2022</t>
        </is>
      </c>
      <c r="B803" s="1" t="n">
        <v>44678</v>
      </c>
      <c r="C803" s="1" t="n">
        <v>45766</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17388-2022</t>
        </is>
      </c>
      <c r="B804" s="1" t="n">
        <v>44678</v>
      </c>
      <c r="C804" s="1" t="n">
        <v>45766</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17390-2022</t>
        </is>
      </c>
      <c r="B805" s="1" t="n">
        <v>44678</v>
      </c>
      <c r="C805" s="1" t="n">
        <v>45766</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17612-2022</t>
        </is>
      </c>
      <c r="B806" s="1" t="n">
        <v>44680</v>
      </c>
      <c r="C806" s="1" t="n">
        <v>45766</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17629-2022</t>
        </is>
      </c>
      <c r="B807" s="1" t="n">
        <v>44680</v>
      </c>
      <c r="C807" s="1" t="n">
        <v>45766</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17771-2022</t>
        </is>
      </c>
      <c r="B808" s="1" t="n">
        <v>44682</v>
      </c>
      <c r="C808" s="1" t="n">
        <v>45766</v>
      </c>
      <c r="D808" t="inlineStr">
        <is>
          <t>STOCKHOLMS LÄN</t>
        </is>
      </c>
      <c r="E808" t="inlineStr">
        <is>
          <t>NORRTÄLJE</t>
        </is>
      </c>
      <c r="G808" t="n">
        <v>13.3</v>
      </c>
      <c r="H808" t="n">
        <v>0</v>
      </c>
      <c r="I808" t="n">
        <v>0</v>
      </c>
      <c r="J808" t="n">
        <v>0</v>
      </c>
      <c r="K808" t="n">
        <v>0</v>
      </c>
      <c r="L808" t="n">
        <v>0</v>
      </c>
      <c r="M808" t="n">
        <v>0</v>
      </c>
      <c r="N808" t="n">
        <v>0</v>
      </c>
      <c r="O808" t="n">
        <v>0</v>
      </c>
      <c r="P808" t="n">
        <v>0</v>
      </c>
      <c r="Q808" t="n">
        <v>0</v>
      </c>
      <c r="R808" s="2" t="inlineStr"/>
    </row>
    <row r="809" ht="15" customHeight="1">
      <c r="A809" t="inlineStr">
        <is>
          <t>A 17775-2022</t>
        </is>
      </c>
      <c r="B809" s="1" t="n">
        <v>44682</v>
      </c>
      <c r="C809" s="1" t="n">
        <v>45766</v>
      </c>
      <c r="D809" t="inlineStr">
        <is>
          <t>STOCKHOLMS LÄN</t>
        </is>
      </c>
      <c r="E809" t="inlineStr">
        <is>
          <t>NORRTÄLJE</t>
        </is>
      </c>
      <c r="G809" t="n">
        <v>4.7</v>
      </c>
      <c r="H809" t="n">
        <v>0</v>
      </c>
      <c r="I809" t="n">
        <v>0</v>
      </c>
      <c r="J809" t="n">
        <v>0</v>
      </c>
      <c r="K809" t="n">
        <v>0</v>
      </c>
      <c r="L809" t="n">
        <v>0</v>
      </c>
      <c r="M809" t="n">
        <v>0</v>
      </c>
      <c r="N809" t="n">
        <v>0</v>
      </c>
      <c r="O809" t="n">
        <v>0</v>
      </c>
      <c r="P809" t="n">
        <v>0</v>
      </c>
      <c r="Q809" t="n">
        <v>0</v>
      </c>
      <c r="R809" s="2" t="inlineStr"/>
    </row>
    <row r="810" ht="15" customHeight="1">
      <c r="A810" t="inlineStr">
        <is>
          <t>A 17773-2022</t>
        </is>
      </c>
      <c r="B810" s="1" t="n">
        <v>44682</v>
      </c>
      <c r="C810" s="1" t="n">
        <v>45766</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v>
      </c>
      <c r="C811" s="1" t="n">
        <v>45766</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17777-2022</t>
        </is>
      </c>
      <c r="B812" s="1" t="n">
        <v>44682</v>
      </c>
      <c r="C812" s="1" t="n">
        <v>45766</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17803-2022</t>
        </is>
      </c>
      <c r="B813" s="1" t="n">
        <v>44683</v>
      </c>
      <c r="C813" s="1" t="n">
        <v>45766</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17952-2022</t>
        </is>
      </c>
      <c r="B814" s="1" t="n">
        <v>44683</v>
      </c>
      <c r="C814" s="1" t="n">
        <v>45766</v>
      </c>
      <c r="D814" t="inlineStr">
        <is>
          <t>STOCKHOLMS LÄN</t>
        </is>
      </c>
      <c r="E814" t="inlineStr">
        <is>
          <t>NORRTÄLJE</t>
        </is>
      </c>
      <c r="G814" t="n">
        <v>51.1</v>
      </c>
      <c r="H814" t="n">
        <v>0</v>
      </c>
      <c r="I814" t="n">
        <v>0</v>
      </c>
      <c r="J814" t="n">
        <v>0</v>
      </c>
      <c r="K814" t="n">
        <v>0</v>
      </c>
      <c r="L814" t="n">
        <v>0</v>
      </c>
      <c r="M814" t="n">
        <v>0</v>
      </c>
      <c r="N814" t="n">
        <v>0</v>
      </c>
      <c r="O814" t="n">
        <v>0</v>
      </c>
      <c r="P814" t="n">
        <v>0</v>
      </c>
      <c r="Q814" t="n">
        <v>0</v>
      </c>
      <c r="R814" s="2" t="inlineStr"/>
    </row>
    <row r="815" ht="15" customHeight="1">
      <c r="A815" t="inlineStr">
        <is>
          <t>A 18092-2022</t>
        </is>
      </c>
      <c r="B815" s="1" t="n">
        <v>44684</v>
      </c>
      <c r="C815" s="1" t="n">
        <v>45766</v>
      </c>
      <c r="D815" t="inlineStr">
        <is>
          <t>STOCKHOLMS LÄN</t>
        </is>
      </c>
      <c r="E815" t="inlineStr">
        <is>
          <t>NORRTÄLJE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18103-2022</t>
        </is>
      </c>
      <c r="B816" s="1" t="n">
        <v>44684</v>
      </c>
      <c r="C816" s="1" t="n">
        <v>45766</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18350-2022</t>
        </is>
      </c>
      <c r="B817" s="1" t="n">
        <v>44685</v>
      </c>
      <c r="C817" s="1" t="n">
        <v>45766</v>
      </c>
      <c r="D817" t="inlineStr">
        <is>
          <t>STOCKHOLMS LÄN</t>
        </is>
      </c>
      <c r="E817" t="inlineStr">
        <is>
          <t>NORRTÄLJE</t>
        </is>
      </c>
      <c r="F817" t="inlineStr">
        <is>
          <t>Holmen skog AB</t>
        </is>
      </c>
      <c r="G817" t="n">
        <v>7.1</v>
      </c>
      <c r="H817" t="n">
        <v>0</v>
      </c>
      <c r="I817" t="n">
        <v>0</v>
      </c>
      <c r="J817" t="n">
        <v>0</v>
      </c>
      <c r="K817" t="n">
        <v>0</v>
      </c>
      <c r="L817" t="n">
        <v>0</v>
      </c>
      <c r="M817" t="n">
        <v>0</v>
      </c>
      <c r="N817" t="n">
        <v>0</v>
      </c>
      <c r="O817" t="n">
        <v>0</v>
      </c>
      <c r="P817" t="n">
        <v>0</v>
      </c>
      <c r="Q817" t="n">
        <v>0</v>
      </c>
      <c r="R817" s="2" t="inlineStr"/>
    </row>
    <row r="818" ht="15" customHeight="1">
      <c r="A818" t="inlineStr">
        <is>
          <t>A 18546-2022</t>
        </is>
      </c>
      <c r="B818" s="1" t="n">
        <v>44686</v>
      </c>
      <c r="C818" s="1" t="n">
        <v>45766</v>
      </c>
      <c r="D818" t="inlineStr">
        <is>
          <t>STOCKHOLMS LÄN</t>
        </is>
      </c>
      <c r="E818" t="inlineStr">
        <is>
          <t>NORRTÄLJE</t>
        </is>
      </c>
      <c r="G818" t="n">
        <v>15.2</v>
      </c>
      <c r="H818" t="n">
        <v>0</v>
      </c>
      <c r="I818" t="n">
        <v>0</v>
      </c>
      <c r="J818" t="n">
        <v>0</v>
      </c>
      <c r="K818" t="n">
        <v>0</v>
      </c>
      <c r="L818" t="n">
        <v>0</v>
      </c>
      <c r="M818" t="n">
        <v>0</v>
      </c>
      <c r="N818" t="n">
        <v>0</v>
      </c>
      <c r="O818" t="n">
        <v>0</v>
      </c>
      <c r="P818" t="n">
        <v>0</v>
      </c>
      <c r="Q818" t="n">
        <v>0</v>
      </c>
      <c r="R818" s="2" t="inlineStr"/>
    </row>
    <row r="819" ht="15" customHeight="1">
      <c r="A819" t="inlineStr">
        <is>
          <t>A 18665-2022</t>
        </is>
      </c>
      <c r="B819" s="1" t="n">
        <v>44687</v>
      </c>
      <c r="C819" s="1" t="n">
        <v>45766</v>
      </c>
      <c r="D819" t="inlineStr">
        <is>
          <t>STOCKHOLMS LÄN</t>
        </is>
      </c>
      <c r="E819" t="inlineStr">
        <is>
          <t>NORRTÄLJE</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18787-2022</t>
        </is>
      </c>
      <c r="B820" s="1" t="n">
        <v>44687</v>
      </c>
      <c r="C820" s="1" t="n">
        <v>45766</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45766</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18905-2022</t>
        </is>
      </c>
      <c r="B822" s="1" t="n">
        <v>44690</v>
      </c>
      <c r="C822" s="1" t="n">
        <v>45766</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18894-2022</t>
        </is>
      </c>
      <c r="B823" s="1" t="n">
        <v>44690</v>
      </c>
      <c r="C823" s="1" t="n">
        <v>45766</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19116-2022</t>
        </is>
      </c>
      <c r="B824" s="1" t="n">
        <v>44691</v>
      </c>
      <c r="C824" s="1" t="n">
        <v>45766</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19118-2022</t>
        </is>
      </c>
      <c r="B825" s="1" t="n">
        <v>44691</v>
      </c>
      <c r="C825" s="1" t="n">
        <v>45766</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19580-2022</t>
        </is>
      </c>
      <c r="B826" s="1" t="n">
        <v>44693</v>
      </c>
      <c r="C826" s="1" t="n">
        <v>45766</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19729-2022</t>
        </is>
      </c>
      <c r="B827" s="1" t="n">
        <v>44694</v>
      </c>
      <c r="C827" s="1" t="n">
        <v>45766</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19728-2022</t>
        </is>
      </c>
      <c r="B828" s="1" t="n">
        <v>44694</v>
      </c>
      <c r="C828" s="1" t="n">
        <v>45766</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19982-2022</t>
        </is>
      </c>
      <c r="B829" s="1" t="n">
        <v>44697</v>
      </c>
      <c r="C829" s="1" t="n">
        <v>45766</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19983-2022</t>
        </is>
      </c>
      <c r="B830" s="1" t="n">
        <v>44697</v>
      </c>
      <c r="C830" s="1" t="n">
        <v>45766</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20121-2022</t>
        </is>
      </c>
      <c r="B831" s="1" t="n">
        <v>44698</v>
      </c>
      <c r="C831" s="1" t="n">
        <v>45766</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20129-2022</t>
        </is>
      </c>
      <c r="B832" s="1" t="n">
        <v>44698</v>
      </c>
      <c r="C832" s="1" t="n">
        <v>45766</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20291-2022</t>
        </is>
      </c>
      <c r="B833" s="1" t="n">
        <v>44698</v>
      </c>
      <c r="C833" s="1" t="n">
        <v>45766</v>
      </c>
      <c r="D833" t="inlineStr">
        <is>
          <t>STOCKHOLMS LÄN</t>
        </is>
      </c>
      <c r="E833" t="inlineStr">
        <is>
          <t>NORRTÄLJE</t>
        </is>
      </c>
      <c r="F833" t="inlineStr">
        <is>
          <t>Naturvårdsverket</t>
        </is>
      </c>
      <c r="G833" t="n">
        <v>2</v>
      </c>
      <c r="H833" t="n">
        <v>0</v>
      </c>
      <c r="I833" t="n">
        <v>0</v>
      </c>
      <c r="J833" t="n">
        <v>0</v>
      </c>
      <c r="K833" t="n">
        <v>0</v>
      </c>
      <c r="L833" t="n">
        <v>0</v>
      </c>
      <c r="M833" t="n">
        <v>0</v>
      </c>
      <c r="N833" t="n">
        <v>0</v>
      </c>
      <c r="O833" t="n">
        <v>0</v>
      </c>
      <c r="P833" t="n">
        <v>0</v>
      </c>
      <c r="Q833" t="n">
        <v>0</v>
      </c>
      <c r="R833" s="2" t="inlineStr"/>
    </row>
    <row r="834" ht="15" customHeight="1">
      <c r="A834" t="inlineStr">
        <is>
          <t>A 20294-2022</t>
        </is>
      </c>
      <c r="B834" s="1" t="n">
        <v>44698</v>
      </c>
      <c r="C834" s="1" t="n">
        <v>45766</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20295-2022</t>
        </is>
      </c>
      <c r="B835" s="1" t="n">
        <v>44698</v>
      </c>
      <c r="C835" s="1" t="n">
        <v>45766</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v>
      </c>
      <c r="C836" s="1" t="n">
        <v>45766</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21102-2022</t>
        </is>
      </c>
      <c r="B837" s="1" t="n">
        <v>44704</v>
      </c>
      <c r="C837" s="1" t="n">
        <v>45766</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45766</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21174-2022</t>
        </is>
      </c>
      <c r="B839" s="1" t="n">
        <v>44704</v>
      </c>
      <c r="C839" s="1" t="n">
        <v>45766</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21480-2022</t>
        </is>
      </c>
      <c r="B840" s="1" t="n">
        <v>44704</v>
      </c>
      <c r="C840" s="1" t="n">
        <v>45766</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21178-2022</t>
        </is>
      </c>
      <c r="B841" s="1" t="n">
        <v>44704</v>
      </c>
      <c r="C841" s="1" t="n">
        <v>45766</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21329-2022</t>
        </is>
      </c>
      <c r="B842" s="1" t="n">
        <v>44705</v>
      </c>
      <c r="C842" s="1" t="n">
        <v>45766</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21739-2022</t>
        </is>
      </c>
      <c r="B843" s="1" t="n">
        <v>44708</v>
      </c>
      <c r="C843" s="1" t="n">
        <v>45766</v>
      </c>
      <c r="D843" t="inlineStr">
        <is>
          <t>STOCKHOLMS LÄN</t>
        </is>
      </c>
      <c r="E843" t="inlineStr">
        <is>
          <t>NORRTÄLJE</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21723-2022</t>
        </is>
      </c>
      <c r="B844" s="1" t="n">
        <v>44708</v>
      </c>
      <c r="C844" s="1" t="n">
        <v>45766</v>
      </c>
      <c r="D844" t="inlineStr">
        <is>
          <t>STOCKHOLMS LÄN</t>
        </is>
      </c>
      <c r="E844" t="inlineStr">
        <is>
          <t>NORRTÄLJE</t>
        </is>
      </c>
      <c r="G844" t="n">
        <v>0.3</v>
      </c>
      <c r="H844" t="n">
        <v>0</v>
      </c>
      <c r="I844" t="n">
        <v>0</v>
      </c>
      <c r="J844" t="n">
        <v>0</v>
      </c>
      <c r="K844" t="n">
        <v>0</v>
      </c>
      <c r="L844" t="n">
        <v>0</v>
      </c>
      <c r="M844" t="n">
        <v>0</v>
      </c>
      <c r="N844" t="n">
        <v>0</v>
      </c>
      <c r="O844" t="n">
        <v>0</v>
      </c>
      <c r="P844" t="n">
        <v>0</v>
      </c>
      <c r="Q844" t="n">
        <v>0</v>
      </c>
      <c r="R844" s="2" t="inlineStr"/>
    </row>
    <row r="845" ht="15" customHeight="1">
      <c r="A845" t="inlineStr">
        <is>
          <t>A 21726-2022</t>
        </is>
      </c>
      <c r="B845" s="1" t="n">
        <v>44708</v>
      </c>
      <c r="C845" s="1" t="n">
        <v>45766</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21803-2022</t>
        </is>
      </c>
      <c r="B846" s="1" t="n">
        <v>44708</v>
      </c>
      <c r="C846" s="1" t="n">
        <v>45766</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21970-2022</t>
        </is>
      </c>
      <c r="B847" s="1" t="n">
        <v>44711</v>
      </c>
      <c r="C847" s="1" t="n">
        <v>45766</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22072-2022</t>
        </is>
      </c>
      <c r="B848" s="1" t="n">
        <v>44711</v>
      </c>
      <c r="C848" s="1" t="n">
        <v>45766</v>
      </c>
      <c r="D848" t="inlineStr">
        <is>
          <t>STOCKHOLMS LÄN</t>
        </is>
      </c>
      <c r="E848" t="inlineStr">
        <is>
          <t>NORRTÄLJE</t>
        </is>
      </c>
      <c r="G848" t="n">
        <v>9.6</v>
      </c>
      <c r="H848" t="n">
        <v>0</v>
      </c>
      <c r="I848" t="n">
        <v>0</v>
      </c>
      <c r="J848" t="n">
        <v>0</v>
      </c>
      <c r="K848" t="n">
        <v>0</v>
      </c>
      <c r="L848" t="n">
        <v>0</v>
      </c>
      <c r="M848" t="n">
        <v>0</v>
      </c>
      <c r="N848" t="n">
        <v>0</v>
      </c>
      <c r="O848" t="n">
        <v>0</v>
      </c>
      <c r="P848" t="n">
        <v>0</v>
      </c>
      <c r="Q848" t="n">
        <v>0</v>
      </c>
      <c r="R848" s="2" t="inlineStr"/>
    </row>
    <row r="849" ht="15" customHeight="1">
      <c r="A849" t="inlineStr">
        <is>
          <t>A 22071-2022</t>
        </is>
      </c>
      <c r="B849" s="1" t="n">
        <v>44711</v>
      </c>
      <c r="C849" s="1" t="n">
        <v>45766</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22269-2022</t>
        </is>
      </c>
      <c r="B850" s="1" t="n">
        <v>44712</v>
      </c>
      <c r="C850" s="1" t="n">
        <v>45766</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22316-2022</t>
        </is>
      </c>
      <c r="B851" s="1" t="n">
        <v>44712</v>
      </c>
      <c r="C851" s="1" t="n">
        <v>45766</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22503-2022</t>
        </is>
      </c>
      <c r="B852" s="1" t="n">
        <v>44713</v>
      </c>
      <c r="C852" s="1" t="n">
        <v>45766</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22697-2022</t>
        </is>
      </c>
      <c r="B853" s="1" t="n">
        <v>44714</v>
      </c>
      <c r="C853" s="1" t="n">
        <v>45766</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22628-2022</t>
        </is>
      </c>
      <c r="B854" s="1" t="n">
        <v>44714</v>
      </c>
      <c r="C854" s="1" t="n">
        <v>45766</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22636-2022</t>
        </is>
      </c>
      <c r="B855" s="1" t="n">
        <v>44714</v>
      </c>
      <c r="C855" s="1" t="n">
        <v>45766</v>
      </c>
      <c r="D855" t="inlineStr">
        <is>
          <t>STOCKHOLMS LÄN</t>
        </is>
      </c>
      <c r="E855" t="inlineStr">
        <is>
          <t>NORRTÄLJE</t>
        </is>
      </c>
      <c r="G855" t="n">
        <v>16.6</v>
      </c>
      <c r="H855" t="n">
        <v>0</v>
      </c>
      <c r="I855" t="n">
        <v>0</v>
      </c>
      <c r="J855" t="n">
        <v>0</v>
      </c>
      <c r="K855" t="n">
        <v>0</v>
      </c>
      <c r="L855" t="n">
        <v>0</v>
      </c>
      <c r="M855" t="n">
        <v>0</v>
      </c>
      <c r="N855" t="n">
        <v>0</v>
      </c>
      <c r="O855" t="n">
        <v>0</v>
      </c>
      <c r="P855" t="n">
        <v>0</v>
      </c>
      <c r="Q855" t="n">
        <v>0</v>
      </c>
      <c r="R855" s="2" t="inlineStr"/>
    </row>
    <row r="856" ht="15" customHeight="1">
      <c r="A856" t="inlineStr">
        <is>
          <t>A 22716-2022</t>
        </is>
      </c>
      <c r="B856" s="1" t="n">
        <v>44714</v>
      </c>
      <c r="C856" s="1" t="n">
        <v>45766</v>
      </c>
      <c r="D856" t="inlineStr">
        <is>
          <t>STOCKHOLMS LÄN</t>
        </is>
      </c>
      <c r="E856" t="inlineStr">
        <is>
          <t>NORRTÄLJE</t>
        </is>
      </c>
      <c r="G856" t="n">
        <v>13.5</v>
      </c>
      <c r="H856" t="n">
        <v>0</v>
      </c>
      <c r="I856" t="n">
        <v>0</v>
      </c>
      <c r="J856" t="n">
        <v>0</v>
      </c>
      <c r="K856" t="n">
        <v>0</v>
      </c>
      <c r="L856" t="n">
        <v>0</v>
      </c>
      <c r="M856" t="n">
        <v>0</v>
      </c>
      <c r="N856" t="n">
        <v>0</v>
      </c>
      <c r="O856" t="n">
        <v>0</v>
      </c>
      <c r="P856" t="n">
        <v>0</v>
      </c>
      <c r="Q856" t="n">
        <v>0</v>
      </c>
      <c r="R856" s="2" t="inlineStr"/>
    </row>
    <row r="857" ht="15" customHeight="1">
      <c r="A857" t="inlineStr">
        <is>
          <t>A 22756-2022</t>
        </is>
      </c>
      <c r="B857" s="1" t="n">
        <v>44715</v>
      </c>
      <c r="C857" s="1" t="n">
        <v>45766</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23125-2022</t>
        </is>
      </c>
      <c r="B858" s="1" t="n">
        <v>44719</v>
      </c>
      <c r="C858" s="1" t="n">
        <v>45766</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23770-2022</t>
        </is>
      </c>
      <c r="B859" s="1" t="n">
        <v>44722</v>
      </c>
      <c r="C859" s="1" t="n">
        <v>45766</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23801-2022</t>
        </is>
      </c>
      <c r="B860" s="1" t="n">
        <v>44722</v>
      </c>
      <c r="C860" s="1" t="n">
        <v>45766</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24101-2022</t>
        </is>
      </c>
      <c r="B861" s="1" t="n">
        <v>44725</v>
      </c>
      <c r="C861" s="1" t="n">
        <v>45766</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24162-2022</t>
        </is>
      </c>
      <c r="B862" s="1" t="n">
        <v>44725</v>
      </c>
      <c r="C862" s="1" t="n">
        <v>45766</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24167-2022</t>
        </is>
      </c>
      <c r="B863" s="1" t="n">
        <v>44725</v>
      </c>
      <c r="C863" s="1" t="n">
        <v>45766</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24152-2022</t>
        </is>
      </c>
      <c r="B864" s="1" t="n">
        <v>44725</v>
      </c>
      <c r="C864" s="1" t="n">
        <v>45766</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24534-2022</t>
        </is>
      </c>
      <c r="B865" s="1" t="n">
        <v>44727</v>
      </c>
      <c r="C865" s="1" t="n">
        <v>45766</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24977-2022</t>
        </is>
      </c>
      <c r="B866" s="1" t="n">
        <v>44728</v>
      </c>
      <c r="C866" s="1" t="n">
        <v>45766</v>
      </c>
      <c r="D866" t="inlineStr">
        <is>
          <t>STOCKHOLMS LÄN</t>
        </is>
      </c>
      <c r="E866" t="inlineStr">
        <is>
          <t>NORRTÄLJE</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25525-2022</t>
        </is>
      </c>
      <c r="B867" s="1" t="n">
        <v>44732</v>
      </c>
      <c r="C867" s="1" t="n">
        <v>45766</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25621-2022</t>
        </is>
      </c>
      <c r="B868" s="1" t="n">
        <v>44732</v>
      </c>
      <c r="C868" s="1" t="n">
        <v>45766</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25619-2022</t>
        </is>
      </c>
      <c r="B869" s="1" t="n">
        <v>44732</v>
      </c>
      <c r="C869" s="1" t="n">
        <v>45766</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26328-2022</t>
        </is>
      </c>
      <c r="B870" s="1" t="n">
        <v>44735</v>
      </c>
      <c r="C870" s="1" t="n">
        <v>45766</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26335-2022</t>
        </is>
      </c>
      <c r="B871" s="1" t="n">
        <v>44735</v>
      </c>
      <c r="C871" s="1" t="n">
        <v>45766</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27538-2022</t>
        </is>
      </c>
      <c r="B872" s="1" t="n">
        <v>44742</v>
      </c>
      <c r="C872" s="1" t="n">
        <v>45766</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45766</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27827-2022</t>
        </is>
      </c>
      <c r="B874" s="1" t="n">
        <v>44743</v>
      </c>
      <c r="C874" s="1" t="n">
        <v>45766</v>
      </c>
      <c r="D874" t="inlineStr">
        <is>
          <t>STOCKHOLMS LÄN</t>
        </is>
      </c>
      <c r="E874" t="inlineStr">
        <is>
          <t>NORRTÄLJE</t>
        </is>
      </c>
      <c r="F874" t="inlineStr">
        <is>
          <t>Holmen skog AB</t>
        </is>
      </c>
      <c r="G874" t="n">
        <v>4.7</v>
      </c>
      <c r="H874" t="n">
        <v>0</v>
      </c>
      <c r="I874" t="n">
        <v>0</v>
      </c>
      <c r="J874" t="n">
        <v>0</v>
      </c>
      <c r="K874" t="n">
        <v>0</v>
      </c>
      <c r="L874" t="n">
        <v>0</v>
      </c>
      <c r="M874" t="n">
        <v>0</v>
      </c>
      <c r="N874" t="n">
        <v>0</v>
      </c>
      <c r="O874" t="n">
        <v>0</v>
      </c>
      <c r="P874" t="n">
        <v>0</v>
      </c>
      <c r="Q874" t="n">
        <v>0</v>
      </c>
      <c r="R874" s="2" t="inlineStr"/>
    </row>
    <row r="875" ht="15" customHeight="1">
      <c r="A875" t="inlineStr">
        <is>
          <t>A 27870-2022</t>
        </is>
      </c>
      <c r="B875" s="1" t="n">
        <v>44743</v>
      </c>
      <c r="C875" s="1" t="n">
        <v>45766</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27828-2022</t>
        </is>
      </c>
      <c r="B876" s="1" t="n">
        <v>44743</v>
      </c>
      <c r="C876" s="1" t="n">
        <v>45766</v>
      </c>
      <c r="D876" t="inlineStr">
        <is>
          <t>STOCKHOLMS LÄN</t>
        </is>
      </c>
      <c r="E876" t="inlineStr">
        <is>
          <t>NORRTÄLJE</t>
        </is>
      </c>
      <c r="F876" t="inlineStr">
        <is>
          <t>Kommuner</t>
        </is>
      </c>
      <c r="G876" t="n">
        <v>1.6</v>
      </c>
      <c r="H876" t="n">
        <v>0</v>
      </c>
      <c r="I876" t="n">
        <v>0</v>
      </c>
      <c r="J876" t="n">
        <v>0</v>
      </c>
      <c r="K876" t="n">
        <v>0</v>
      </c>
      <c r="L876" t="n">
        <v>0</v>
      </c>
      <c r="M876" t="n">
        <v>0</v>
      </c>
      <c r="N876" t="n">
        <v>0</v>
      </c>
      <c r="O876" t="n">
        <v>0</v>
      </c>
      <c r="P876" t="n">
        <v>0</v>
      </c>
      <c r="Q876" t="n">
        <v>0</v>
      </c>
      <c r="R876" s="2" t="inlineStr"/>
    </row>
    <row r="877" ht="15" customHeight="1">
      <c r="A877" t="inlineStr">
        <is>
          <t>A 27824-2022</t>
        </is>
      </c>
      <c r="B877" s="1" t="n">
        <v>44743</v>
      </c>
      <c r="C877" s="1" t="n">
        <v>45766</v>
      </c>
      <c r="D877" t="inlineStr">
        <is>
          <t>STOCKHOLMS LÄN</t>
        </is>
      </c>
      <c r="E877" t="inlineStr">
        <is>
          <t>NORRTÄLJE</t>
        </is>
      </c>
      <c r="F877" t="inlineStr">
        <is>
          <t>Kommuner</t>
        </is>
      </c>
      <c r="G877" t="n">
        <v>3.1</v>
      </c>
      <c r="H877" t="n">
        <v>0</v>
      </c>
      <c r="I877" t="n">
        <v>0</v>
      </c>
      <c r="J877" t="n">
        <v>0</v>
      </c>
      <c r="K877" t="n">
        <v>0</v>
      </c>
      <c r="L877" t="n">
        <v>0</v>
      </c>
      <c r="M877" t="n">
        <v>0</v>
      </c>
      <c r="N877" t="n">
        <v>0</v>
      </c>
      <c r="O877" t="n">
        <v>0</v>
      </c>
      <c r="P877" t="n">
        <v>0</v>
      </c>
      <c r="Q877" t="n">
        <v>0</v>
      </c>
      <c r="R877" s="2" t="inlineStr"/>
    </row>
    <row r="878" ht="15" customHeight="1">
      <c r="A878" t="inlineStr">
        <is>
          <t>A 27831-2022</t>
        </is>
      </c>
      <c r="B878" s="1" t="n">
        <v>44743</v>
      </c>
      <c r="C878" s="1" t="n">
        <v>45766</v>
      </c>
      <c r="D878" t="inlineStr">
        <is>
          <t>STOCKHOLMS LÄN</t>
        </is>
      </c>
      <c r="E878" t="inlineStr">
        <is>
          <t>NORRTÄLJE</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45766</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27867-2022</t>
        </is>
      </c>
      <c r="B880" s="1" t="n">
        <v>44743</v>
      </c>
      <c r="C880" s="1" t="n">
        <v>45766</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28042-2022</t>
        </is>
      </c>
      <c r="B881" s="1" t="n">
        <v>44744</v>
      </c>
      <c r="C881" s="1" t="n">
        <v>45766</v>
      </c>
      <c r="D881" t="inlineStr">
        <is>
          <t>STOCKHOLMS LÄN</t>
        </is>
      </c>
      <c r="E881" t="inlineStr">
        <is>
          <t>NORRTÄLJE</t>
        </is>
      </c>
      <c r="G881" t="n">
        <v>0.2</v>
      </c>
      <c r="H881" t="n">
        <v>0</v>
      </c>
      <c r="I881" t="n">
        <v>0</v>
      </c>
      <c r="J881" t="n">
        <v>0</v>
      </c>
      <c r="K881" t="n">
        <v>0</v>
      </c>
      <c r="L881" t="n">
        <v>0</v>
      </c>
      <c r="M881" t="n">
        <v>0</v>
      </c>
      <c r="N881" t="n">
        <v>0</v>
      </c>
      <c r="O881" t="n">
        <v>0</v>
      </c>
      <c r="P881" t="n">
        <v>0</v>
      </c>
      <c r="Q881" t="n">
        <v>0</v>
      </c>
      <c r="R881" s="2" t="inlineStr"/>
    </row>
    <row r="882" ht="15" customHeight="1">
      <c r="A882" t="inlineStr">
        <is>
          <t>A 28100-2022</t>
        </is>
      </c>
      <c r="B882" s="1" t="n">
        <v>44746</v>
      </c>
      <c r="C882" s="1" t="n">
        <v>45766</v>
      </c>
      <c r="D882" t="inlineStr">
        <is>
          <t>STOCKHOLMS LÄN</t>
        </is>
      </c>
      <c r="E882" t="inlineStr">
        <is>
          <t>NORRTÄLJE</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v>
      </c>
      <c r="C883" s="1" t="n">
        <v>45766</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28209-2022</t>
        </is>
      </c>
      <c r="B884" s="1" t="n">
        <v>44746</v>
      </c>
      <c r="C884" s="1" t="n">
        <v>45766</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28365-2022</t>
        </is>
      </c>
      <c r="B885" s="1" t="n">
        <v>44747</v>
      </c>
      <c r="C885" s="1" t="n">
        <v>45766</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28900-2022</t>
        </is>
      </c>
      <c r="B886" s="1" t="n">
        <v>44749</v>
      </c>
      <c r="C886" s="1" t="n">
        <v>45766</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28959-2022</t>
        </is>
      </c>
      <c r="B887" s="1" t="n">
        <v>44749</v>
      </c>
      <c r="C887" s="1" t="n">
        <v>45766</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29070-2022</t>
        </is>
      </c>
      <c r="B888" s="1" t="n">
        <v>44750</v>
      </c>
      <c r="C888" s="1" t="n">
        <v>45766</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29266-2022</t>
        </is>
      </c>
      <c r="B889" s="1" t="n">
        <v>44750</v>
      </c>
      <c r="C889" s="1" t="n">
        <v>45766</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29278-2022</t>
        </is>
      </c>
      <c r="B890" s="1" t="n">
        <v>44750</v>
      </c>
      <c r="C890" s="1" t="n">
        <v>45766</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29362-2022</t>
        </is>
      </c>
      <c r="B891" s="1" t="n">
        <v>44753</v>
      </c>
      <c r="C891" s="1" t="n">
        <v>45766</v>
      </c>
      <c r="D891" t="inlineStr">
        <is>
          <t>STOCKHOLMS LÄN</t>
        </is>
      </c>
      <c r="E891" t="inlineStr">
        <is>
          <t>NORRTÄLJE</t>
        </is>
      </c>
      <c r="G891" t="n">
        <v>3.8</v>
      </c>
      <c r="H891" t="n">
        <v>0</v>
      </c>
      <c r="I891" t="n">
        <v>0</v>
      </c>
      <c r="J891" t="n">
        <v>0</v>
      </c>
      <c r="K891" t="n">
        <v>0</v>
      </c>
      <c r="L891" t="n">
        <v>0</v>
      </c>
      <c r="M891" t="n">
        <v>0</v>
      </c>
      <c r="N891" t="n">
        <v>0</v>
      </c>
      <c r="O891" t="n">
        <v>0</v>
      </c>
      <c r="P891" t="n">
        <v>0</v>
      </c>
      <c r="Q891" t="n">
        <v>0</v>
      </c>
      <c r="R891" s="2" t="inlineStr"/>
    </row>
    <row r="892" ht="15" customHeight="1">
      <c r="A892" t="inlineStr">
        <is>
          <t>A 29395-2022</t>
        </is>
      </c>
      <c r="B892" s="1" t="n">
        <v>44753</v>
      </c>
      <c r="C892" s="1" t="n">
        <v>45766</v>
      </c>
      <c r="D892" t="inlineStr">
        <is>
          <t>STOCKHOLMS LÄN</t>
        </is>
      </c>
      <c r="E892" t="inlineStr">
        <is>
          <t>NORRTÄLJE</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29868-2022</t>
        </is>
      </c>
      <c r="B893" s="1" t="n">
        <v>44756</v>
      </c>
      <c r="C893" s="1" t="n">
        <v>45766</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30151-2022</t>
        </is>
      </c>
      <c r="B894" s="1" t="n">
        <v>44757</v>
      </c>
      <c r="C894" s="1" t="n">
        <v>45766</v>
      </c>
      <c r="D894" t="inlineStr">
        <is>
          <t>STOCKHOLMS LÄN</t>
        </is>
      </c>
      <c r="E894" t="inlineStr">
        <is>
          <t>NORRTÄLJE</t>
        </is>
      </c>
      <c r="G894" t="n">
        <v>12.6</v>
      </c>
      <c r="H894" t="n">
        <v>0</v>
      </c>
      <c r="I894" t="n">
        <v>0</v>
      </c>
      <c r="J894" t="n">
        <v>0</v>
      </c>
      <c r="K894" t="n">
        <v>0</v>
      </c>
      <c r="L894" t="n">
        <v>0</v>
      </c>
      <c r="M894" t="n">
        <v>0</v>
      </c>
      <c r="N894" t="n">
        <v>0</v>
      </c>
      <c r="O894" t="n">
        <v>0</v>
      </c>
      <c r="P894" t="n">
        <v>0</v>
      </c>
      <c r="Q894" t="n">
        <v>0</v>
      </c>
      <c r="R894" s="2" t="inlineStr"/>
    </row>
    <row r="895" ht="15" customHeight="1">
      <c r="A895" t="inlineStr">
        <is>
          <t>A 30164-2022</t>
        </is>
      </c>
      <c r="B895" s="1" t="n">
        <v>44757</v>
      </c>
      <c r="C895" s="1" t="n">
        <v>45766</v>
      </c>
      <c r="D895" t="inlineStr">
        <is>
          <t>STOCKHOLMS LÄN</t>
        </is>
      </c>
      <c r="E895" t="inlineStr">
        <is>
          <t>NORRTÄLJE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30171-2022</t>
        </is>
      </c>
      <c r="B896" s="1" t="n">
        <v>44757</v>
      </c>
      <c r="C896" s="1" t="n">
        <v>45766</v>
      </c>
      <c r="D896" t="inlineStr">
        <is>
          <t>STOCKHOLMS LÄN</t>
        </is>
      </c>
      <c r="E896" t="inlineStr">
        <is>
          <t>NORRTÄLJE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45766</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45766</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30286-2022</t>
        </is>
      </c>
      <c r="B899" s="1" t="n">
        <v>44760</v>
      </c>
      <c r="C899" s="1" t="n">
        <v>45766</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30290-2022</t>
        </is>
      </c>
      <c r="B900" s="1" t="n">
        <v>44760</v>
      </c>
      <c r="C900" s="1" t="n">
        <v>45766</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v>
      </c>
      <c r="C901" s="1" t="n">
        <v>45766</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30624-2022</t>
        </is>
      </c>
      <c r="B902" s="1" t="n">
        <v>44763</v>
      </c>
      <c r="C902" s="1" t="n">
        <v>45766</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30758-2022</t>
        </is>
      </c>
      <c r="B903" s="1" t="n">
        <v>44764</v>
      </c>
      <c r="C903" s="1" t="n">
        <v>45766</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30740-2022</t>
        </is>
      </c>
      <c r="B904" s="1" t="n">
        <v>44764</v>
      </c>
      <c r="C904" s="1" t="n">
        <v>45766</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30750-2022</t>
        </is>
      </c>
      <c r="B905" s="1" t="n">
        <v>44764</v>
      </c>
      <c r="C905" s="1" t="n">
        <v>45766</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30802-2022</t>
        </is>
      </c>
      <c r="B906" s="1" t="n">
        <v>44764</v>
      </c>
      <c r="C906" s="1" t="n">
        <v>45766</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30886-2022</t>
        </is>
      </c>
      <c r="B907" s="1" t="n">
        <v>44767</v>
      </c>
      <c r="C907" s="1" t="n">
        <v>45766</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31102-2022</t>
        </is>
      </c>
      <c r="B908" s="1" t="n">
        <v>44769</v>
      </c>
      <c r="C908" s="1" t="n">
        <v>45766</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31092-2022</t>
        </is>
      </c>
      <c r="B909" s="1" t="n">
        <v>44769</v>
      </c>
      <c r="C909" s="1" t="n">
        <v>45766</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31052-2022</t>
        </is>
      </c>
      <c r="B910" s="1" t="n">
        <v>44769</v>
      </c>
      <c r="C910" s="1" t="n">
        <v>45766</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31105-2022</t>
        </is>
      </c>
      <c r="B911" s="1" t="n">
        <v>44769</v>
      </c>
      <c r="C911" s="1" t="n">
        <v>45766</v>
      </c>
      <c r="D911" t="inlineStr">
        <is>
          <t>STOCKHOLMS LÄN</t>
        </is>
      </c>
      <c r="E911" t="inlineStr">
        <is>
          <t>NORRTÄLJE</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31107-2022</t>
        </is>
      </c>
      <c r="B912" s="1" t="n">
        <v>44769</v>
      </c>
      <c r="C912" s="1" t="n">
        <v>45766</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31057-2022</t>
        </is>
      </c>
      <c r="B913" s="1" t="n">
        <v>44769</v>
      </c>
      <c r="C913" s="1" t="n">
        <v>45766</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31236-2022</t>
        </is>
      </c>
      <c r="B914" s="1" t="n">
        <v>44771</v>
      </c>
      <c r="C914" s="1" t="n">
        <v>45766</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31281-2022</t>
        </is>
      </c>
      <c r="B915" s="1" t="n">
        <v>44771</v>
      </c>
      <c r="C915" s="1" t="n">
        <v>45766</v>
      </c>
      <c r="D915" t="inlineStr">
        <is>
          <t>STOCKHOLMS LÄN</t>
        </is>
      </c>
      <c r="E915" t="inlineStr">
        <is>
          <t>NORRTÄLJE</t>
        </is>
      </c>
      <c r="F915" t="inlineStr">
        <is>
          <t>Holmen skog AB</t>
        </is>
      </c>
      <c r="G915" t="n">
        <v>5.2</v>
      </c>
      <c r="H915" t="n">
        <v>0</v>
      </c>
      <c r="I915" t="n">
        <v>0</v>
      </c>
      <c r="J915" t="n">
        <v>0</v>
      </c>
      <c r="K915" t="n">
        <v>0</v>
      </c>
      <c r="L915" t="n">
        <v>0</v>
      </c>
      <c r="M915" t="n">
        <v>0</v>
      </c>
      <c r="N915" t="n">
        <v>0</v>
      </c>
      <c r="O915" t="n">
        <v>0</v>
      </c>
      <c r="P915" t="n">
        <v>0</v>
      </c>
      <c r="Q915" t="n">
        <v>0</v>
      </c>
      <c r="R915" s="2" t="inlineStr"/>
    </row>
    <row r="916" ht="15" customHeight="1">
      <c r="A916" t="inlineStr">
        <is>
          <t>A 31283-2022</t>
        </is>
      </c>
      <c r="B916" s="1" t="n">
        <v>44771</v>
      </c>
      <c r="C916" s="1" t="n">
        <v>45766</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45766</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31807-2022</t>
        </is>
      </c>
      <c r="B918" s="1" t="n">
        <v>44776</v>
      </c>
      <c r="C918" s="1" t="n">
        <v>45766</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31938-2022</t>
        </is>
      </c>
      <c r="B919" s="1" t="n">
        <v>44777</v>
      </c>
      <c r="C919" s="1" t="n">
        <v>45766</v>
      </c>
      <c r="D919" t="inlineStr">
        <is>
          <t>STOCKHOLMS LÄN</t>
        </is>
      </c>
      <c r="E919" t="inlineStr">
        <is>
          <t>NORRTÄLJE</t>
        </is>
      </c>
      <c r="G919" t="n">
        <v>7.8</v>
      </c>
      <c r="H919" t="n">
        <v>0</v>
      </c>
      <c r="I919" t="n">
        <v>0</v>
      </c>
      <c r="J919" t="n">
        <v>0</v>
      </c>
      <c r="K919" t="n">
        <v>0</v>
      </c>
      <c r="L919" t="n">
        <v>0</v>
      </c>
      <c r="M919" t="n">
        <v>0</v>
      </c>
      <c r="N919" t="n">
        <v>0</v>
      </c>
      <c r="O919" t="n">
        <v>0</v>
      </c>
      <c r="P919" t="n">
        <v>0</v>
      </c>
      <c r="Q919" t="n">
        <v>0</v>
      </c>
      <c r="R919" s="2" t="inlineStr"/>
    </row>
    <row r="920" ht="15" customHeight="1">
      <c r="A920" t="inlineStr">
        <is>
          <t>A 31936-2022</t>
        </is>
      </c>
      <c r="B920" s="1" t="n">
        <v>44777</v>
      </c>
      <c r="C920" s="1" t="n">
        <v>45766</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31924-2022</t>
        </is>
      </c>
      <c r="B921" s="1" t="n">
        <v>44777</v>
      </c>
      <c r="C921" s="1" t="n">
        <v>45766</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31939-2022</t>
        </is>
      </c>
      <c r="B922" s="1" t="n">
        <v>44777</v>
      </c>
      <c r="C922" s="1" t="n">
        <v>45766</v>
      </c>
      <c r="D922" t="inlineStr">
        <is>
          <t>STOCKHOLMS LÄN</t>
        </is>
      </c>
      <c r="E922" t="inlineStr">
        <is>
          <t>NORRTÄLJE</t>
        </is>
      </c>
      <c r="G922" t="n">
        <v>13.5</v>
      </c>
      <c r="H922" t="n">
        <v>0</v>
      </c>
      <c r="I922" t="n">
        <v>0</v>
      </c>
      <c r="J922" t="n">
        <v>0</v>
      </c>
      <c r="K922" t="n">
        <v>0</v>
      </c>
      <c r="L922" t="n">
        <v>0</v>
      </c>
      <c r="M922" t="n">
        <v>0</v>
      </c>
      <c r="N922" t="n">
        <v>0</v>
      </c>
      <c r="O922" t="n">
        <v>0</v>
      </c>
      <c r="P922" t="n">
        <v>0</v>
      </c>
      <c r="Q922" t="n">
        <v>0</v>
      </c>
      <c r="R922" s="2" t="inlineStr"/>
    </row>
    <row r="923" ht="15" customHeight="1">
      <c r="A923" t="inlineStr">
        <is>
          <t>A 31926-2022</t>
        </is>
      </c>
      <c r="B923" s="1" t="n">
        <v>44777</v>
      </c>
      <c r="C923" s="1" t="n">
        <v>45766</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31934-2022</t>
        </is>
      </c>
      <c r="B924" s="1" t="n">
        <v>44777</v>
      </c>
      <c r="C924" s="1" t="n">
        <v>45766</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32103-2022</t>
        </is>
      </c>
      <c r="B925" s="1" t="n">
        <v>44778</v>
      </c>
      <c r="C925" s="1" t="n">
        <v>45766</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32111-2022</t>
        </is>
      </c>
      <c r="B926" s="1" t="n">
        <v>44779</v>
      </c>
      <c r="C926" s="1" t="n">
        <v>45766</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v>
      </c>
      <c r="C927" s="1" t="n">
        <v>45766</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32100-2022</t>
        </is>
      </c>
      <c r="B928" s="1" t="n">
        <v>44778</v>
      </c>
      <c r="C928" s="1" t="n">
        <v>45766</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32102-2022</t>
        </is>
      </c>
      <c r="B929" s="1" t="n">
        <v>44778</v>
      </c>
      <c r="C929" s="1" t="n">
        <v>45766</v>
      </c>
      <c r="D929" t="inlineStr">
        <is>
          <t>STOCKHOLMS LÄN</t>
        </is>
      </c>
      <c r="E929" t="inlineStr">
        <is>
          <t>NORRTÄLJE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32514-2022</t>
        </is>
      </c>
      <c r="B930" s="1" t="n">
        <v>44782</v>
      </c>
      <c r="C930" s="1" t="n">
        <v>45766</v>
      </c>
      <c r="D930" t="inlineStr">
        <is>
          <t>STOCKHOLMS LÄN</t>
        </is>
      </c>
      <c r="E930" t="inlineStr">
        <is>
          <t>NORRTÄLJE</t>
        </is>
      </c>
      <c r="G930" t="n">
        <v>5.1</v>
      </c>
      <c r="H930" t="n">
        <v>0</v>
      </c>
      <c r="I930" t="n">
        <v>0</v>
      </c>
      <c r="J930" t="n">
        <v>0</v>
      </c>
      <c r="K930" t="n">
        <v>0</v>
      </c>
      <c r="L930" t="n">
        <v>0</v>
      </c>
      <c r="M930" t="n">
        <v>0</v>
      </c>
      <c r="N930" t="n">
        <v>0</v>
      </c>
      <c r="O930" t="n">
        <v>0</v>
      </c>
      <c r="P930" t="n">
        <v>0</v>
      </c>
      <c r="Q930" t="n">
        <v>0</v>
      </c>
      <c r="R930" s="2" t="inlineStr"/>
    </row>
    <row r="931" ht="15" customHeight="1">
      <c r="A931" t="inlineStr">
        <is>
          <t>A 32705-2022</t>
        </is>
      </c>
      <c r="B931" s="1" t="n">
        <v>44783</v>
      </c>
      <c r="C931" s="1" t="n">
        <v>45766</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33055-2022</t>
        </is>
      </c>
      <c r="B932" s="1" t="n">
        <v>44785</v>
      </c>
      <c r="C932" s="1" t="n">
        <v>45766</v>
      </c>
      <c r="D932" t="inlineStr">
        <is>
          <t>STOCKHOLMS LÄN</t>
        </is>
      </c>
      <c r="E932" t="inlineStr">
        <is>
          <t>NORRTÄLJE</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33149-2022</t>
        </is>
      </c>
      <c r="B933" s="1" t="n">
        <v>44785</v>
      </c>
      <c r="C933" s="1" t="n">
        <v>45766</v>
      </c>
      <c r="D933" t="inlineStr">
        <is>
          <t>STOCKHOLMS LÄN</t>
        </is>
      </c>
      <c r="E933" t="inlineStr">
        <is>
          <t>NORRTÄLJE</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33445-2022</t>
        </is>
      </c>
      <c r="B934" s="1" t="n">
        <v>44788</v>
      </c>
      <c r="C934" s="1" t="n">
        <v>45766</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45766</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33895-2022</t>
        </is>
      </c>
      <c r="B936" s="1" t="n">
        <v>44790</v>
      </c>
      <c r="C936" s="1" t="n">
        <v>45766</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34773-2022</t>
        </is>
      </c>
      <c r="B937" s="1" t="n">
        <v>44795</v>
      </c>
      <c r="C937" s="1" t="n">
        <v>45766</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35121-2022</t>
        </is>
      </c>
      <c r="B938" s="1" t="n">
        <v>44797</v>
      </c>
      <c r="C938" s="1" t="n">
        <v>45766</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35161-2022</t>
        </is>
      </c>
      <c r="B939" s="1" t="n">
        <v>44797</v>
      </c>
      <c r="C939" s="1" t="n">
        <v>45766</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35156-2022</t>
        </is>
      </c>
      <c r="B940" s="1" t="n">
        <v>44797</v>
      </c>
      <c r="C940" s="1" t="n">
        <v>45766</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v>
      </c>
      <c r="C941" s="1" t="n">
        <v>45766</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45766</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45766</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36975-2022</t>
        </is>
      </c>
      <c r="B944" s="1" t="n">
        <v>44806</v>
      </c>
      <c r="C944" s="1" t="n">
        <v>45766</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37550-2022</t>
        </is>
      </c>
      <c r="B945" s="1" t="n">
        <v>44809</v>
      </c>
      <c r="C945" s="1" t="n">
        <v>45766</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37679-2022</t>
        </is>
      </c>
      <c r="B946" s="1" t="n">
        <v>44810</v>
      </c>
      <c r="C946" s="1" t="n">
        <v>45766</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37815-2022</t>
        </is>
      </c>
      <c r="B947" s="1" t="n">
        <v>44810</v>
      </c>
      <c r="C947" s="1" t="n">
        <v>45766</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38449-2022</t>
        </is>
      </c>
      <c r="B948" s="1" t="n">
        <v>44813</v>
      </c>
      <c r="C948" s="1" t="n">
        <v>45766</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45766</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38590-2022</t>
        </is>
      </c>
      <c r="B950" s="1" t="n">
        <v>44813</v>
      </c>
      <c r="C950" s="1" t="n">
        <v>45766</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38610-2022</t>
        </is>
      </c>
      <c r="B951" s="1" t="n">
        <v>44813</v>
      </c>
      <c r="C951" s="1" t="n">
        <v>45766</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38720-2022</t>
        </is>
      </c>
      <c r="B952" s="1" t="n">
        <v>44815</v>
      </c>
      <c r="C952" s="1" t="n">
        <v>45766</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38721-2022</t>
        </is>
      </c>
      <c r="B953" s="1" t="n">
        <v>44815</v>
      </c>
      <c r="C953" s="1" t="n">
        <v>45766</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38927-2022</t>
        </is>
      </c>
      <c r="B954" s="1" t="n">
        <v>44816</v>
      </c>
      <c r="C954" s="1" t="n">
        <v>45766</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38759-2022</t>
        </is>
      </c>
      <c r="B955" s="1" t="n">
        <v>44816</v>
      </c>
      <c r="C955" s="1" t="n">
        <v>45766</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38990-2022</t>
        </is>
      </c>
      <c r="B956" s="1" t="n">
        <v>44816</v>
      </c>
      <c r="C956" s="1" t="n">
        <v>45766</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38991-2022</t>
        </is>
      </c>
      <c r="B957" s="1" t="n">
        <v>44816</v>
      </c>
      <c r="C957" s="1" t="n">
        <v>45766</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45766</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38992-2022</t>
        </is>
      </c>
      <c r="B959" s="1" t="n">
        <v>44817</v>
      </c>
      <c r="C959" s="1" t="n">
        <v>45766</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v>
      </c>
      <c r="C960" s="1" t="n">
        <v>45766</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39319-2022</t>
        </is>
      </c>
      <c r="B961" s="1" t="n">
        <v>44817</v>
      </c>
      <c r="C961" s="1" t="n">
        <v>45766</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39854-2022</t>
        </is>
      </c>
      <c r="B962" s="1" t="n">
        <v>44819</v>
      </c>
      <c r="C962" s="1" t="n">
        <v>45766</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39869-2022</t>
        </is>
      </c>
      <c r="B963" s="1" t="n">
        <v>44819</v>
      </c>
      <c r="C963" s="1" t="n">
        <v>45766</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39867-2022</t>
        </is>
      </c>
      <c r="B964" s="1" t="n">
        <v>44819</v>
      </c>
      <c r="C964" s="1" t="n">
        <v>45766</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40504-2022</t>
        </is>
      </c>
      <c r="B965" s="1" t="n">
        <v>44823</v>
      </c>
      <c r="C965" s="1" t="n">
        <v>45766</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40503-2022</t>
        </is>
      </c>
      <c r="B966" s="1" t="n">
        <v>44823</v>
      </c>
      <c r="C966" s="1" t="n">
        <v>45766</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v>
      </c>
      <c r="C967" s="1" t="n">
        <v>45766</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40751-2022</t>
        </is>
      </c>
      <c r="B968" s="1" t="n">
        <v>44824</v>
      </c>
      <c r="C968" s="1" t="n">
        <v>45766</v>
      </c>
      <c r="D968" t="inlineStr">
        <is>
          <t>STOCKHOLMS LÄN</t>
        </is>
      </c>
      <c r="E968" t="inlineStr">
        <is>
          <t>NORRTÄLJE</t>
        </is>
      </c>
      <c r="G968" t="n">
        <v>6.1</v>
      </c>
      <c r="H968" t="n">
        <v>0</v>
      </c>
      <c r="I968" t="n">
        <v>0</v>
      </c>
      <c r="J968" t="n">
        <v>0</v>
      </c>
      <c r="K968" t="n">
        <v>0</v>
      </c>
      <c r="L968" t="n">
        <v>0</v>
      </c>
      <c r="M968" t="n">
        <v>0</v>
      </c>
      <c r="N968" t="n">
        <v>0</v>
      </c>
      <c r="O968" t="n">
        <v>0</v>
      </c>
      <c r="P968" t="n">
        <v>0</v>
      </c>
      <c r="Q968" t="n">
        <v>0</v>
      </c>
      <c r="R968" s="2" t="inlineStr"/>
    </row>
    <row r="969" ht="15" customHeight="1">
      <c r="A969" t="inlineStr">
        <is>
          <t>A 41398-2022</t>
        </is>
      </c>
      <c r="B969" s="1" t="n">
        <v>44826</v>
      </c>
      <c r="C969" s="1" t="n">
        <v>45766</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41320-2022</t>
        </is>
      </c>
      <c r="B970" s="1" t="n">
        <v>44826</v>
      </c>
      <c r="C970" s="1" t="n">
        <v>45766</v>
      </c>
      <c r="D970" t="inlineStr">
        <is>
          <t>STOCKHOLMS LÄN</t>
        </is>
      </c>
      <c r="E970" t="inlineStr">
        <is>
          <t>NORRTÄLJE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42087-2022</t>
        </is>
      </c>
      <c r="B971" s="1" t="n">
        <v>44830</v>
      </c>
      <c r="C971" s="1" t="n">
        <v>45766</v>
      </c>
      <c r="D971" t="inlineStr">
        <is>
          <t>STOCKHOLMS LÄN</t>
        </is>
      </c>
      <c r="E971" t="inlineStr">
        <is>
          <t>NORRTÄLJE</t>
        </is>
      </c>
      <c r="F971" t="inlineStr">
        <is>
          <t>Holmen skog AB</t>
        </is>
      </c>
      <c r="G971" t="n">
        <v>2.2</v>
      </c>
      <c r="H971" t="n">
        <v>0</v>
      </c>
      <c r="I971" t="n">
        <v>0</v>
      </c>
      <c r="J971" t="n">
        <v>0</v>
      </c>
      <c r="K971" t="n">
        <v>0</v>
      </c>
      <c r="L971" t="n">
        <v>0</v>
      </c>
      <c r="M971" t="n">
        <v>0</v>
      </c>
      <c r="N971" t="n">
        <v>0</v>
      </c>
      <c r="O971" t="n">
        <v>0</v>
      </c>
      <c r="P971" t="n">
        <v>0</v>
      </c>
      <c r="Q971" t="n">
        <v>0</v>
      </c>
      <c r="R971" s="2" t="inlineStr"/>
    </row>
    <row r="972" ht="15" customHeight="1">
      <c r="A972" t="inlineStr">
        <is>
          <t>A 42112-2022</t>
        </is>
      </c>
      <c r="B972" s="1" t="n">
        <v>44830</v>
      </c>
      <c r="C972" s="1" t="n">
        <v>45766</v>
      </c>
      <c r="D972" t="inlineStr">
        <is>
          <t>STOCKHOLMS LÄN</t>
        </is>
      </c>
      <c r="E972" t="inlineStr">
        <is>
          <t>NORRTÄLJE</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42126-2022</t>
        </is>
      </c>
      <c r="B973" s="1" t="n">
        <v>44830</v>
      </c>
      <c r="C973" s="1" t="n">
        <v>45766</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45766</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v>
      </c>
      <c r="C975" s="1" t="n">
        <v>45766</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43036-2022</t>
        </is>
      </c>
      <c r="B976" s="1" t="n">
        <v>44833</v>
      </c>
      <c r="C976" s="1" t="n">
        <v>45766</v>
      </c>
      <c r="D976" t="inlineStr">
        <is>
          <t>STOCKHOLMS LÄN</t>
        </is>
      </c>
      <c r="E976" t="inlineStr">
        <is>
          <t>NORRTÄLJE</t>
        </is>
      </c>
      <c r="F976" t="inlineStr">
        <is>
          <t>Kyrkan</t>
        </is>
      </c>
      <c r="G976" t="n">
        <v>1.7</v>
      </c>
      <c r="H976" t="n">
        <v>0</v>
      </c>
      <c r="I976" t="n">
        <v>0</v>
      </c>
      <c r="J976" t="n">
        <v>0</v>
      </c>
      <c r="K976" t="n">
        <v>0</v>
      </c>
      <c r="L976" t="n">
        <v>0</v>
      </c>
      <c r="M976" t="n">
        <v>0</v>
      </c>
      <c r="N976" t="n">
        <v>0</v>
      </c>
      <c r="O976" t="n">
        <v>0</v>
      </c>
      <c r="P976" t="n">
        <v>0</v>
      </c>
      <c r="Q976" t="n">
        <v>0</v>
      </c>
      <c r="R976" s="2" t="inlineStr"/>
    </row>
    <row r="977" ht="15" customHeight="1">
      <c r="A977" t="inlineStr">
        <is>
          <t>A 43212-2022</t>
        </is>
      </c>
      <c r="B977" s="1" t="n">
        <v>44834</v>
      </c>
      <c r="C977" s="1" t="n">
        <v>45766</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43374-2022</t>
        </is>
      </c>
      <c r="B978" s="1" t="n">
        <v>44834</v>
      </c>
      <c r="C978" s="1" t="n">
        <v>45766</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43972-2022</t>
        </is>
      </c>
      <c r="B979" s="1" t="n">
        <v>44838</v>
      </c>
      <c r="C979" s="1" t="n">
        <v>45766</v>
      </c>
      <c r="D979" t="inlineStr">
        <is>
          <t>STOCKHOLMS LÄN</t>
        </is>
      </c>
      <c r="E979" t="inlineStr">
        <is>
          <t>NORRTÄLJE</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44349-2022</t>
        </is>
      </c>
      <c r="B980" s="1" t="n">
        <v>44839</v>
      </c>
      <c r="C980" s="1" t="n">
        <v>45766</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45255-2022</t>
        </is>
      </c>
      <c r="B981" s="1" t="n">
        <v>44840</v>
      </c>
      <c r="C981" s="1" t="n">
        <v>45766</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44917-2022</t>
        </is>
      </c>
      <c r="B982" s="1" t="n">
        <v>44841</v>
      </c>
      <c r="C982" s="1" t="n">
        <v>45766</v>
      </c>
      <c r="D982" t="inlineStr">
        <is>
          <t>STOCKHOLMS LÄN</t>
        </is>
      </c>
      <c r="E982" t="inlineStr">
        <is>
          <t>NORRTÄLJE</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45541-2022</t>
        </is>
      </c>
      <c r="B983" s="1" t="n">
        <v>44845</v>
      </c>
      <c r="C983" s="1" t="n">
        <v>45766</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45539-2022</t>
        </is>
      </c>
      <c r="B984" s="1" t="n">
        <v>44845</v>
      </c>
      <c r="C984" s="1" t="n">
        <v>45766</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45549-2022</t>
        </is>
      </c>
      <c r="B985" s="1" t="n">
        <v>44845</v>
      </c>
      <c r="C985" s="1" t="n">
        <v>45766</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46914-2022</t>
        </is>
      </c>
      <c r="B986" s="1" t="n">
        <v>44851</v>
      </c>
      <c r="C986" s="1" t="n">
        <v>45766</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47076-2022</t>
        </is>
      </c>
      <c r="B987" s="1" t="n">
        <v>44852</v>
      </c>
      <c r="C987" s="1" t="n">
        <v>45766</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47079-2022</t>
        </is>
      </c>
      <c r="B988" s="1" t="n">
        <v>44852</v>
      </c>
      <c r="C988" s="1" t="n">
        <v>45766</v>
      </c>
      <c r="D988" t="inlineStr">
        <is>
          <t>STOCKHOLMS LÄN</t>
        </is>
      </c>
      <c r="E988" t="inlineStr">
        <is>
          <t>NORRTÄLJE</t>
        </is>
      </c>
      <c r="G988" t="n">
        <v>4.5</v>
      </c>
      <c r="H988" t="n">
        <v>0</v>
      </c>
      <c r="I988" t="n">
        <v>0</v>
      </c>
      <c r="J988" t="n">
        <v>0</v>
      </c>
      <c r="K988" t="n">
        <v>0</v>
      </c>
      <c r="L988" t="n">
        <v>0</v>
      </c>
      <c r="M988" t="n">
        <v>0</v>
      </c>
      <c r="N988" t="n">
        <v>0</v>
      </c>
      <c r="O988" t="n">
        <v>0</v>
      </c>
      <c r="P988" t="n">
        <v>0</v>
      </c>
      <c r="Q988" t="n">
        <v>0</v>
      </c>
      <c r="R988" s="2" t="inlineStr"/>
    </row>
    <row r="989" ht="15" customHeight="1">
      <c r="A989" t="inlineStr">
        <is>
          <t>A 47626-2022</t>
        </is>
      </c>
      <c r="B989" s="1" t="n">
        <v>44854</v>
      </c>
      <c r="C989" s="1" t="n">
        <v>45766</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48316-2022</t>
        </is>
      </c>
      <c r="B990" s="1" t="n">
        <v>44854</v>
      </c>
      <c r="C990" s="1" t="n">
        <v>45766</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47929-2022</t>
        </is>
      </c>
      <c r="B991" s="1" t="n">
        <v>44855</v>
      </c>
      <c r="C991" s="1" t="n">
        <v>45766</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48161-2022</t>
        </is>
      </c>
      <c r="B992" s="1" t="n">
        <v>44858</v>
      </c>
      <c r="C992" s="1" t="n">
        <v>45766</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48453-2022</t>
        </is>
      </c>
      <c r="B993" s="1" t="n">
        <v>44858</v>
      </c>
      <c r="C993" s="1" t="n">
        <v>45766</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48492-2022</t>
        </is>
      </c>
      <c r="B994" s="1" t="n">
        <v>44858</v>
      </c>
      <c r="C994" s="1" t="n">
        <v>45766</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50065-2022</t>
        </is>
      </c>
      <c r="B995" s="1" t="n">
        <v>44865</v>
      </c>
      <c r="C995" s="1" t="n">
        <v>45766</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50469-2022</t>
        </is>
      </c>
      <c r="B996" s="1" t="n">
        <v>44866</v>
      </c>
      <c r="C996" s="1" t="n">
        <v>45766</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50481-2022</t>
        </is>
      </c>
      <c r="B997" s="1" t="n">
        <v>44866</v>
      </c>
      <c r="C997" s="1" t="n">
        <v>45766</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50465-2022</t>
        </is>
      </c>
      <c r="B998" s="1" t="n">
        <v>44866</v>
      </c>
      <c r="C998" s="1" t="n">
        <v>45766</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50488-2022</t>
        </is>
      </c>
      <c r="B999" s="1" t="n">
        <v>44866</v>
      </c>
      <c r="C999" s="1" t="n">
        <v>45766</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50563-2022</t>
        </is>
      </c>
      <c r="B1000" s="1" t="n">
        <v>44866</v>
      </c>
      <c r="C1000" s="1" t="n">
        <v>45766</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v>
      </c>
      <c r="C1001" s="1" t="n">
        <v>45766</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50484-2022</t>
        </is>
      </c>
      <c r="B1002" s="1" t="n">
        <v>44866</v>
      </c>
      <c r="C1002" s="1" t="n">
        <v>45766</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50970-2022</t>
        </is>
      </c>
      <c r="B1003" s="1" t="n">
        <v>44867</v>
      </c>
      <c r="C1003" s="1" t="n">
        <v>45766</v>
      </c>
      <c r="D1003" t="inlineStr">
        <is>
          <t>STOCKHOLMS LÄN</t>
        </is>
      </c>
      <c r="E1003" t="inlineStr">
        <is>
          <t>NORRTÄLJE</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50983-2022</t>
        </is>
      </c>
      <c r="B1004" s="1" t="n">
        <v>44867</v>
      </c>
      <c r="C1004" s="1" t="n">
        <v>45766</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50907-2022</t>
        </is>
      </c>
      <c r="B1005" s="1" t="n">
        <v>44867</v>
      </c>
      <c r="C1005" s="1" t="n">
        <v>45766</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45766</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v>
      </c>
      <c r="C1007" s="1" t="n">
        <v>45766</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51265-2022</t>
        </is>
      </c>
      <c r="B1008" s="1" t="n">
        <v>44868</v>
      </c>
      <c r="C1008" s="1" t="n">
        <v>45766</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52139-2022</t>
        </is>
      </c>
      <c r="B1009" s="1" t="n">
        <v>44868</v>
      </c>
      <c r="C1009" s="1" t="n">
        <v>45766</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52133-2022</t>
        </is>
      </c>
      <c r="B1010" s="1" t="n">
        <v>44868</v>
      </c>
      <c r="C1010" s="1" t="n">
        <v>45766</v>
      </c>
      <c r="D1010" t="inlineStr">
        <is>
          <t>STOCKHOLMS LÄN</t>
        </is>
      </c>
      <c r="E1010" t="inlineStr">
        <is>
          <t>NORRTÄLJE</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52260-2022</t>
        </is>
      </c>
      <c r="B1011" s="1" t="n">
        <v>44869</v>
      </c>
      <c r="C1011" s="1" t="n">
        <v>45766</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51984-2022</t>
        </is>
      </c>
      <c r="B1012" s="1" t="n">
        <v>44872</v>
      </c>
      <c r="C1012" s="1" t="n">
        <v>45766</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52322-2022</t>
        </is>
      </c>
      <c r="B1013" s="1" t="n">
        <v>44873</v>
      </c>
      <c r="C1013" s="1" t="n">
        <v>45766</v>
      </c>
      <c r="D1013" t="inlineStr">
        <is>
          <t>STOCKHOLMS LÄN</t>
        </is>
      </c>
      <c r="E1013" t="inlineStr">
        <is>
          <t>NORRTÄLJE</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53461-2022</t>
        </is>
      </c>
      <c r="B1014" s="1" t="n">
        <v>44879</v>
      </c>
      <c r="C1014" s="1" t="n">
        <v>45766</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v>
      </c>
      <c r="C1015" s="1" t="n">
        <v>45766</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53459-2022</t>
        </is>
      </c>
      <c r="B1016" s="1" t="n">
        <v>44879</v>
      </c>
      <c r="C1016" s="1" t="n">
        <v>45766</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53884-2022</t>
        </is>
      </c>
      <c r="B1017" s="1" t="n">
        <v>44880</v>
      </c>
      <c r="C1017" s="1" t="n">
        <v>45766</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54169-2022</t>
        </is>
      </c>
      <c r="B1018" s="1" t="n">
        <v>44881</v>
      </c>
      <c r="C1018" s="1" t="n">
        <v>45766</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54175-2022</t>
        </is>
      </c>
      <c r="B1019" s="1" t="n">
        <v>44881</v>
      </c>
      <c r="C1019" s="1" t="n">
        <v>45766</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54355-2022</t>
        </is>
      </c>
      <c r="B1020" s="1" t="n">
        <v>44882</v>
      </c>
      <c r="C1020" s="1" t="n">
        <v>45766</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54427-2022</t>
        </is>
      </c>
      <c r="B1021" s="1" t="n">
        <v>44882</v>
      </c>
      <c r="C1021" s="1" t="n">
        <v>45766</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54340-2022</t>
        </is>
      </c>
      <c r="B1022" s="1" t="n">
        <v>44882</v>
      </c>
      <c r="C1022" s="1" t="n">
        <v>45766</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54358-2022</t>
        </is>
      </c>
      <c r="B1023" s="1" t="n">
        <v>44882</v>
      </c>
      <c r="C1023" s="1" t="n">
        <v>45766</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54354-2022</t>
        </is>
      </c>
      <c r="B1024" s="1" t="n">
        <v>44882</v>
      </c>
      <c r="C1024" s="1" t="n">
        <v>45766</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55047-2022</t>
        </is>
      </c>
      <c r="B1025" s="1" t="n">
        <v>44886</v>
      </c>
      <c r="C1025" s="1" t="n">
        <v>45766</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55696-2022</t>
        </is>
      </c>
      <c r="B1026" s="1" t="n">
        <v>44888</v>
      </c>
      <c r="C1026" s="1" t="n">
        <v>45766</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45766</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59767-2022</t>
        </is>
      </c>
      <c r="B1028" s="1" t="n">
        <v>44900</v>
      </c>
      <c r="C1028" s="1" t="n">
        <v>45766</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58302-2022</t>
        </is>
      </c>
      <c r="B1029" s="1" t="n">
        <v>44901</v>
      </c>
      <c r="C1029" s="1" t="n">
        <v>45766</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45766</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58543-2022</t>
        </is>
      </c>
      <c r="B1031" s="1" t="n">
        <v>44902</v>
      </c>
      <c r="C1031" s="1" t="n">
        <v>45766</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58993-2022</t>
        </is>
      </c>
      <c r="B1032" s="1" t="n">
        <v>44903</v>
      </c>
      <c r="C1032" s="1" t="n">
        <v>45766</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45766</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45766</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45766</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45766</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45766</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45766</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45766</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45766</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45766</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45766</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45766</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45766</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45766</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45766</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45766</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45766</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45766</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45766</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45766</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45766</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45766</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45766</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45766</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45766</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45766</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45766</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45766</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45766</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45766</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45766</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45766</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45766</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45766</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45766</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45766</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45766</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45766</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45766</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45766</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45766</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45766</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45766</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45766</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45766</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45766</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45766</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45766</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45766</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45766</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45766</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45766</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45766</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45766</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45766</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45766</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45766</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45766</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45766</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45766</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45766</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45766</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45766</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45766</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45766</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45766</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45766</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45766</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45766</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45766</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45766</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45766</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45766</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45766</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45766</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45766</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45766</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45766</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45766</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45766</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45766</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45766</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45766</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45766</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45766</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45766</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45766</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45766</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45766</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45766</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45766</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45766</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45766</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45766</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45766</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45766</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45766</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45766</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45766</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45766</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45766</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45766</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45766</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45766</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45766</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45766</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45766</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45766</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45766</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45766</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45766</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45766</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45766</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45766</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45766</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45766</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45766</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45766</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45766</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45766</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45766</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45766</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45766</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45766</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45766</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45766</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45766</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45766</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45766</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45766</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45766</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45766</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45766</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45766</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45766</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45766</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45766</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45766</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45766</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45766</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45766</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45766</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45766</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45766</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45766</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45766</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45766</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45766</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45766</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45766</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45766</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45766</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45766</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45766</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45766</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45766</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45766</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45766</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45766</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45766</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45766</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45766</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45766</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45766</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45766</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45766</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45766</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45766</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45766</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45766</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45766</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45766</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45766</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45766</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45766</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45766</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45766</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45766</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45766</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45766</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45766</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45766</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45766</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45766</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45766</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45766</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45766</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45766</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45766</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45766</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45766</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45766</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45766</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45766</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45766</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45766</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45766</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45766</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45766</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45766</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45766</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45766</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45766</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45766</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45766</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45766</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45766</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45766</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45766</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45766</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45766</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45766</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45766</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45766</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45766</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45766</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45766</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45766</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45766</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45766</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45766</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45766</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45766</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45766</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45766</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45766</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45766</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45766</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45766</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45766</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45766</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45766</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45766</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45766</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45766</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45766</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45766</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45766</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45766</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45766</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45766</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45766</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45766</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45766</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45766</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45766</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45766</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45766</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45766</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45766</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45766</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45766</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45766</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45766</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45766</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45766</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45766</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45766</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45766</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45766</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45766</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45766</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45766</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45766</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45766</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45766</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45766</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45766</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45766</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45766</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45766</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45766</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45766</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45766</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45766</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45766</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45766</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45766</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45766</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45766</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45766</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45766</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45766</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45766</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45766</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45766</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45766</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45766</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45766</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45766</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45766</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45766</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45766</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45766</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45766</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45766</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45766</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45766</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45766</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45766</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45766</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45766</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45766</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45766</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45766</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45766</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45766</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45766</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45766</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45766</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45766</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45766</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45766</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45766</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45766</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45766</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45766</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45766</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45766</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45766</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45766</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45766</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45766</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45766</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45766</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45766</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45766</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45766</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45766</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45766</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45766</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45766</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45766</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45766</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45766</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45766</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45766</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45766</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45766</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45766</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45766</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45766</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45766</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45766</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45766</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45766</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45766</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45766</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45766</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45766</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45766</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45766</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45766</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45766</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45766</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45766</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45766</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45766</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45766</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45766</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45766</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45766</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45766</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45766</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45766</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45766</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45766</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45766</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45766</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45766</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45766</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45766</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45766</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45766</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45766</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45766</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45766</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45766</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45766</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45766</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45766</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45766</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45766</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45766</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45766</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45766</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45766</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45766</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45766</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45766</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45766</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45766</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45766</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45766</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45766</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45766</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45766</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45766</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45766</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45766</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45766</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45766</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45766</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45766</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45766</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45766</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45766</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45766</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45766</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45766</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45766</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45766</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45766</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45766</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45766</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45766</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45766</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45766</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45766</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45766</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45766</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45766</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45766</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45766</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45766</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45766</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45766</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45766</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45766</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45766</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45766</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45766</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45766</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45766</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45766</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45766</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45766</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45766</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45766</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45766</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45766</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45766</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45766</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45766</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45766</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45766</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45766</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45766</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45766</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45766</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45766</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45766</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45766</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45766</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45766</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45766</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45766</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45766</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45766</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45766</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45766</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45766</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45766</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45766</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45766</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45766</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45766</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45766</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45766</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45766</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45766</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45766</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45766</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45766</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45766</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45766</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45766</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45766</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45766</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45766</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45766</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45766</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45766</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45766</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45766</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45766</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45766</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45766</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45766</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45766</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45766</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45766</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45766</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45766</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45766</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45766</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45766</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45766</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45766</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45766</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45766</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45766</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45766</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45766</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45766</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45766</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45766</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45766</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45766</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45766</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45766</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45766</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45766</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45766</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45766</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45766</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45766</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45766</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45766</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45766</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45766</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45766</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45766</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45766</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45766</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45766</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45766</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45766</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45766</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45766</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45766</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45766</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45766</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45766</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45766</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45766</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45766</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45766</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45766</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45766</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45766</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45766</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45766</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45766</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45766</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45766</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45766</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45766</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45766</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45766</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45766</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45766</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45766</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45766</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45766</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45766</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45766</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45766</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45766</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45766</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45766</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45766</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45766</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45766</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45766</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45766</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45766</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45766</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45766</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45766</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45766</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45766</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45766</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45766</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45766</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45766</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45766</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45766</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45766</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45766</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45766</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45766</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45766</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45766</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45766</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45766</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45766</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45766</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45766</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45766</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45766</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45766</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45766</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45766</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45766</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45766</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45766</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45766</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45766</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45766</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45766</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45766</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45766</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45766</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45766</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45766</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45766</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45766</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45766</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45766</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45766</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45766</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45766</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45766</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45766</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45766</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45766</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45766</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45766</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45766</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45766</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45766</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45766</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45766</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45766</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45766</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45766</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45766</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45766</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45766</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45766</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45766</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45766</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45766</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45766</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45766</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45766</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45766</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45766</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45766</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45766</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45766</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45766</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45766</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45766</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45766</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45766</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45766</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45766</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45766</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45766</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45766</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45766</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45766</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45766</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45766</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45766</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45766</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45766</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45766</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45766</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45766</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45766</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45766</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45766</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45766</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45766</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45766</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45766</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45766</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45766</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45766</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45766</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45766</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45766</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45766</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45766</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45766</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45766</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45766</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45766</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45766</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45766</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45766</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45766</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45766</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45766</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45766</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45766</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45766</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45766</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45766</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45766</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45766</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45766</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45766</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45766</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45766</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45766</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45766</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45766</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45766</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45766</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45766</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45766</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45766</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45766</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45766</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45766</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45766</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45766</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45766</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45766</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45766</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45766</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45766</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45766</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45766</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45766</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45766</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45766</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45766</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45766</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45766</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45766</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45766</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45766</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45766</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45766</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45766</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45766</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45766</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45766</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45766</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45766</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45766</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45766</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45766</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45766</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45766</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45766</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45766</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45766</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45766</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45766</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45766</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45766</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45766</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45766</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45766</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45766</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45766</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45766</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45766</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45766</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45766</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45766</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45766</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45766</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45766</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45766</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45766</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45766</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45766</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45766</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45766</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45766</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45766</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45766</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45766</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45766</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45766</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45766</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45766</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45766</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45766</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45766</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45766</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45766</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45766</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45766</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45766</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45766</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45766</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45766</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45766</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45766</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45766</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45766</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45766</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45766</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45766</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45766</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45766</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45766</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45766</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45766</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45766</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45766</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45766</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45766</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45766</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45766</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45766</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45766</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45766</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45766</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45766</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45766</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45766</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45766</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45766</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45766</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45766</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45766</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45766</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45766</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45766</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45766</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45766</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45766</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45766</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45766</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45766</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45766</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45766</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45766</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45766</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45766</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45766</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45766</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45766</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45766</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45766</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45766</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45766</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45766</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45766</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45766</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45766</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45766</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45766</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45766</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45766</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45766</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45766</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45766</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45766</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45766</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45766</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45766</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45766</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45766</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45766</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45766</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45766</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45766</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45766</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45766</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45766</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45766</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45766</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45766</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45766</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45766</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45766</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45766</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45766</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45766</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45766</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45766</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45766</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45766</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45766</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45766</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45766</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45766</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45766</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45766</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45766</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45766</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45766</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45766</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45766</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45766</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45766</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45766</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45766</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45766</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45766</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45766</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45766</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45766</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45766</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45766</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45766</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45766</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45766</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45766</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45766</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45766</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45766</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45766</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45766</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45766</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45766</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45766</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45766</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45766</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45766</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45766</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45766</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45766</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45766</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45766</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45766</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45766</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45766</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45766</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45766</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45766</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45766</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45766</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45766</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45766</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45766</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45766</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45766</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45766</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45766</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45766</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45766</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45766</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45766</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45766</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45766</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45766</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45766</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45766</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45766</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45766</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45766</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45766</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45766</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13247-2025</t>
        </is>
      </c>
      <c r="B1976" s="1" t="n">
        <v>45735</v>
      </c>
      <c r="C1976" s="1" t="n">
        <v>45766</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45766</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13179-2025</t>
        </is>
      </c>
      <c r="B1978" s="1" t="n">
        <v>45735</v>
      </c>
      <c r="C1978" s="1" t="n">
        <v>45766</v>
      </c>
      <c r="D1978" t="inlineStr">
        <is>
          <t>STOCKHOLMS LÄN</t>
        </is>
      </c>
      <c r="E1978" t="inlineStr">
        <is>
          <t>NORRTÄLJE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13268-2025</t>
        </is>
      </c>
      <c r="B1979" s="1" t="n">
        <v>45735</v>
      </c>
      <c r="C1979" s="1" t="n">
        <v>45766</v>
      </c>
      <c r="D1979" t="inlineStr">
        <is>
          <t>STOCKHOLMS LÄN</t>
        </is>
      </c>
      <c r="E1979" t="inlineStr">
        <is>
          <t>NORRTÄLJE</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13291-2025</t>
        </is>
      </c>
      <c r="B1980" s="1" t="n">
        <v>45735</v>
      </c>
      <c r="C1980" s="1" t="n">
        <v>45766</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13265-2025</t>
        </is>
      </c>
      <c r="B1981" s="1" t="n">
        <v>45735</v>
      </c>
      <c r="C1981" s="1" t="n">
        <v>45766</v>
      </c>
      <c r="D1981" t="inlineStr">
        <is>
          <t>STOCKHOLMS LÄN</t>
        </is>
      </c>
      <c r="E1981" t="inlineStr">
        <is>
          <t>NORRTÄLJE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13270-2025</t>
        </is>
      </c>
      <c r="B1982" s="1" t="n">
        <v>45735</v>
      </c>
      <c r="C1982" s="1" t="n">
        <v>45766</v>
      </c>
      <c r="D1982" t="inlineStr">
        <is>
          <t>STOCKHOLMS LÄN</t>
        </is>
      </c>
      <c r="E1982" t="inlineStr">
        <is>
          <t>NORRTÄLJE</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13279-2025</t>
        </is>
      </c>
      <c r="B1983" s="1" t="n">
        <v>45735</v>
      </c>
      <c r="C1983" s="1" t="n">
        <v>45766</v>
      </c>
      <c r="D1983" t="inlineStr">
        <is>
          <t>STOCKHOLMS LÄN</t>
        </is>
      </c>
      <c r="E1983" t="inlineStr">
        <is>
          <t>NORRTÄLJE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45766</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45766</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45766</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45766</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14127-2025</t>
        </is>
      </c>
      <c r="B1988" s="1" t="n">
        <v>45740</v>
      </c>
      <c r="C1988" s="1" t="n">
        <v>45766</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45766</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45766</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45766</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45766</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45766</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45766</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15528-2025</t>
        </is>
      </c>
      <c r="B1995" s="1" t="n">
        <v>45747</v>
      </c>
      <c r="C1995" s="1" t="n">
        <v>45766</v>
      </c>
      <c r="D1995" t="inlineStr">
        <is>
          <t>STOCKHOLMS LÄN</t>
        </is>
      </c>
      <c r="E1995" t="inlineStr">
        <is>
          <t>NORRTÄLJE</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15534-2025</t>
        </is>
      </c>
      <c r="B1996" s="1" t="n">
        <v>45747</v>
      </c>
      <c r="C1996" s="1" t="n">
        <v>45766</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15559-2025</t>
        </is>
      </c>
      <c r="B1997" s="1" t="n">
        <v>45747</v>
      </c>
      <c r="C1997" s="1" t="n">
        <v>45766</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15560-2025</t>
        </is>
      </c>
      <c r="B1998" s="1" t="n">
        <v>45747</v>
      </c>
      <c r="C1998" s="1" t="n">
        <v>45766</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15527-2025</t>
        </is>
      </c>
      <c r="B1999" s="1" t="n">
        <v>45747</v>
      </c>
      <c r="C1999" s="1" t="n">
        <v>45766</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45766</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45766</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45766</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45766</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17551-2025</t>
        </is>
      </c>
      <c r="B2004" s="1" t="n">
        <v>45757</v>
      </c>
      <c r="C2004" s="1" t="n">
        <v>45766</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17556-2025</t>
        </is>
      </c>
      <c r="B2005" s="1" t="n">
        <v>45757</v>
      </c>
      <c r="C2005" s="1" t="n">
        <v>45766</v>
      </c>
      <c r="D2005" t="inlineStr">
        <is>
          <t>STOCKHOLMS LÄN</t>
        </is>
      </c>
      <c r="E2005" t="inlineStr">
        <is>
          <t>NORRTÄLJE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17574-2025</t>
        </is>
      </c>
      <c r="B2006" s="1" t="n">
        <v>45757</v>
      </c>
      <c r="C2006" s="1" t="n">
        <v>45766</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17407-2025</t>
        </is>
      </c>
      <c r="B2007" s="1" t="n">
        <v>45757</v>
      </c>
      <c r="C2007" s="1" t="n">
        <v>45766</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17545-2025</t>
        </is>
      </c>
      <c r="B2008" s="1" t="n">
        <v>45757</v>
      </c>
      <c r="C2008" s="1" t="n">
        <v>45766</v>
      </c>
      <c r="D2008" t="inlineStr">
        <is>
          <t>STOCKHOLMS LÄN</t>
        </is>
      </c>
      <c r="E2008" t="inlineStr">
        <is>
          <t>NORRTÄLJE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17956-2025</t>
        </is>
      </c>
      <c r="B2009" s="1" t="n">
        <v>45760</v>
      </c>
      <c r="C2009" s="1" t="n">
        <v>45766</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18601-2025</t>
        </is>
      </c>
      <c r="B2010" s="1" t="n">
        <v>45763</v>
      </c>
      <c r="C2010" s="1" t="n">
        <v>45766</v>
      </c>
      <c r="D2010" t="inlineStr">
        <is>
          <t>STOCKHOLMS LÄN</t>
        </is>
      </c>
      <c r="E2010" t="inlineStr">
        <is>
          <t>NORRTÄLJE</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19025-2025</t>
        </is>
      </c>
      <c r="B2011" s="1" t="n">
        <v>45764</v>
      </c>
      <c r="C2011" s="1" t="n">
        <v>45766</v>
      </c>
      <c r="D2011" t="inlineStr">
        <is>
          <t>STOCKHOLMS LÄN</t>
        </is>
      </c>
      <c r="E2011" t="inlineStr">
        <is>
          <t>NORRTÄLJE</t>
        </is>
      </c>
      <c r="G2011" t="n">
        <v>1.2</v>
      </c>
      <c r="H2011" t="n">
        <v>0</v>
      </c>
      <c r="I2011" t="n">
        <v>0</v>
      </c>
      <c r="J2011" t="n">
        <v>0</v>
      </c>
      <c r="K2011" t="n">
        <v>0</v>
      </c>
      <c r="L2011" t="n">
        <v>0</v>
      </c>
      <c r="M2011" t="n">
        <v>0</v>
      </c>
      <c r="N2011" t="n">
        <v>0</v>
      </c>
      <c r="O2011" t="n">
        <v>0</v>
      </c>
      <c r="P2011" t="n">
        <v>0</v>
      </c>
      <c r="Q2011" t="n">
        <v>0</v>
      </c>
      <c r="R2011" s="2" t="inlineStr"/>
    </row>
    <row r="2012">
      <c r="A2012" t="inlineStr">
        <is>
          <t>A 18970-2025</t>
        </is>
      </c>
      <c r="B2012" s="1" t="n">
        <v>45764</v>
      </c>
      <c r="C2012" s="1" t="n">
        <v>45766</v>
      </c>
      <c r="D2012" t="inlineStr">
        <is>
          <t>STOCKHOLMS LÄN</t>
        </is>
      </c>
      <c r="E2012" t="inlineStr">
        <is>
          <t>NORRTÄLJE</t>
        </is>
      </c>
      <c r="F2012" t="inlineStr">
        <is>
          <t>Holmen skog AB</t>
        </is>
      </c>
      <c r="G2012" t="n">
        <v>10</v>
      </c>
      <c r="H2012" t="n">
        <v>0</v>
      </c>
      <c r="I2012" t="n">
        <v>0</v>
      </c>
      <c r="J2012" t="n">
        <v>0</v>
      </c>
      <c r="K2012" t="n">
        <v>0</v>
      </c>
      <c r="L2012" t="n">
        <v>0</v>
      </c>
      <c r="M2012" t="n">
        <v>0</v>
      </c>
      <c r="N2012" t="n">
        <v>0</v>
      </c>
      <c r="O2012" t="n">
        <v>0</v>
      </c>
      <c r="P2012" t="n">
        <v>0</v>
      </c>
      <c r="Q2012" t="n">
        <v>0</v>
      </c>
      <c r="R2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2025-04-19T17:20:42Z</dcterms:created>
  <dcterms:modified xmlns:dcterms="http://purl.org/dc/terms/" xmlns:xsi="http://www.w3.org/2001/XMLSchema-instance" xsi:type="dcterms:W3CDTF">2025-04-19T17:20:43Z</dcterms:modified>
</cp:coreProperties>
</file>