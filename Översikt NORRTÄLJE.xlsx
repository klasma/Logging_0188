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45659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45659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45659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45659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45659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45659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45659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45659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45659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45659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45659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45659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45659</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45659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45659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45659</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45659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45659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45659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45659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45659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45659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45659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45659</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45659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45659</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45659</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45659</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45659</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45659</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45659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45659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45659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45659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45659</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45659</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45659</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45659</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45659</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45659</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45659</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45659</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45659</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45659</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45659</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45659</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45659</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45659</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45659</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45659</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45659</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45659</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45659</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45659</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45659</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45659</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45659</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45659</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45659</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45659</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45659</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45659</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45659</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45659</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45659</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45659</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45659</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45659</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45659</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45659</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45659</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45659</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45659</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45659</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12215-2022</t>
        </is>
      </c>
      <c r="B76" s="1" t="n">
        <v>44637</v>
      </c>
      <c r="C76" s="1" t="n">
        <v>45659</v>
      </c>
      <c r="D76" t="inlineStr">
        <is>
          <t>STOCKHOLMS LÄN</t>
        </is>
      </c>
      <c r="E76" t="inlineStr">
        <is>
          <t>NORRTÄLJE</t>
        </is>
      </c>
      <c r="G76" t="n">
        <v>3.1</v>
      </c>
      <c r="H76" t="n">
        <v>3</v>
      </c>
      <c r="I76" t="n">
        <v>3</v>
      </c>
      <c r="J76" t="n">
        <v>0</v>
      </c>
      <c r="K76" t="n">
        <v>0</v>
      </c>
      <c r="L76" t="n">
        <v>0</v>
      </c>
      <c r="M76" t="n">
        <v>0</v>
      </c>
      <c r="N76" t="n">
        <v>0</v>
      </c>
      <c r="O76" t="n">
        <v>0</v>
      </c>
      <c r="P76" t="n">
        <v>0</v>
      </c>
      <c r="Q76" t="n">
        <v>3</v>
      </c>
      <c r="R76" s="2" t="inlineStr">
        <is>
          <t>Guckusko
Skogsknipprot
Tvåblad</t>
        </is>
      </c>
      <c r="S76">
        <f>HYPERLINK("https://klasma.github.io/Logging_0188/artfynd/A 12215-2022 artfynd.xlsx", "A 12215-2022")</f>
        <v/>
      </c>
      <c r="T76">
        <f>HYPERLINK("https://klasma.github.io/Logging_0188/kartor/A 12215-2022 karta.png", "A 12215-2022")</f>
        <v/>
      </c>
      <c r="V76">
        <f>HYPERLINK("https://klasma.github.io/Logging_0188/klagomål/A 12215-2022 FSC-klagomål.docx", "A 12215-2022")</f>
        <v/>
      </c>
      <c r="W76">
        <f>HYPERLINK("https://klasma.github.io/Logging_0188/klagomålsmail/A 12215-2022 FSC-klagomål mail.docx", "A 12215-2022")</f>
        <v/>
      </c>
      <c r="X76">
        <f>HYPERLINK("https://klasma.github.io/Logging_0188/tillsyn/A 12215-2022 tillsynsbegäran.docx", "A 12215-2022")</f>
        <v/>
      </c>
      <c r="Y76">
        <f>HYPERLINK("https://klasma.github.io/Logging_0188/tillsynsmail/A 12215-2022 tillsynsbegäran mail.docx", "A 12215-2022")</f>
        <v/>
      </c>
    </row>
    <row r="77" ht="15" customHeight="1">
      <c r="A77" t="inlineStr">
        <is>
          <t>A 20185-2022</t>
        </is>
      </c>
      <c r="B77" s="1" t="n">
        <v>44698</v>
      </c>
      <c r="C77" s="1" t="n">
        <v>45659</v>
      </c>
      <c r="D77" t="inlineStr">
        <is>
          <t>STOCKHOLMS LÄN</t>
        </is>
      </c>
      <c r="E77" t="inlineStr">
        <is>
          <t>NORRTÄLJE</t>
        </is>
      </c>
      <c r="G77" t="n">
        <v>8.4</v>
      </c>
      <c r="H77" t="n">
        <v>1</v>
      </c>
      <c r="I77" t="n">
        <v>2</v>
      </c>
      <c r="J77" t="n">
        <v>0</v>
      </c>
      <c r="K77" t="n">
        <v>1</v>
      </c>
      <c r="L77" t="n">
        <v>0</v>
      </c>
      <c r="M77" t="n">
        <v>0</v>
      </c>
      <c r="N77" t="n">
        <v>0</v>
      </c>
      <c r="O77" t="n">
        <v>1</v>
      </c>
      <c r="P77" t="n">
        <v>1</v>
      </c>
      <c r="Q77" t="n">
        <v>3</v>
      </c>
      <c r="R77" s="2" t="inlineStr">
        <is>
          <t>Tallbit
Gullgröppa
Vedticka</t>
        </is>
      </c>
      <c r="S77">
        <f>HYPERLINK("https://klasma.github.io/Logging_0188/artfynd/A 20185-2022 artfynd.xlsx", "A 20185-2022")</f>
        <v/>
      </c>
      <c r="T77">
        <f>HYPERLINK("https://klasma.github.io/Logging_0188/kartor/A 20185-2022 karta.png", "A 20185-2022")</f>
        <v/>
      </c>
      <c r="V77">
        <f>HYPERLINK("https://klasma.github.io/Logging_0188/klagomål/A 20185-2022 FSC-klagomål.docx", "A 20185-2022")</f>
        <v/>
      </c>
      <c r="W77">
        <f>HYPERLINK("https://klasma.github.io/Logging_0188/klagomålsmail/A 20185-2022 FSC-klagomål mail.docx", "A 20185-2022")</f>
        <v/>
      </c>
      <c r="X77">
        <f>HYPERLINK("https://klasma.github.io/Logging_0188/tillsyn/A 20185-2022 tillsynsbegäran.docx", "A 20185-2022")</f>
        <v/>
      </c>
      <c r="Y77">
        <f>HYPERLINK("https://klasma.github.io/Logging_0188/tillsynsmail/A 20185-2022 tillsynsbegäran mail.docx", "A 20185-2022")</f>
        <v/>
      </c>
      <c r="Z77">
        <f>HYPERLINK("https://klasma.github.io/Logging_0188/fåglar/A 20185-2022 prioriterade fågelarter.docx", "A 20185-2022")</f>
        <v/>
      </c>
    </row>
    <row r="78" ht="15" customHeight="1">
      <c r="A78" t="inlineStr">
        <is>
          <t>A 28836-2022</t>
        </is>
      </c>
      <c r="B78" s="1" t="n">
        <v>44749</v>
      </c>
      <c r="C78" s="1" t="n">
        <v>45659</v>
      </c>
      <c r="D78" t="inlineStr">
        <is>
          <t>STOCKHOLMS LÄN</t>
        </is>
      </c>
      <c r="E78" t="inlineStr">
        <is>
          <t>NORRTÄLJE</t>
        </is>
      </c>
      <c r="G78" t="n">
        <v>25</v>
      </c>
      <c r="H78" t="n">
        <v>2</v>
      </c>
      <c r="I78" t="n">
        <v>0</v>
      </c>
      <c r="J78" t="n">
        <v>2</v>
      </c>
      <c r="K78" t="n">
        <v>0</v>
      </c>
      <c r="L78" t="n">
        <v>0</v>
      </c>
      <c r="M78" t="n">
        <v>0</v>
      </c>
      <c r="N78" t="n">
        <v>0</v>
      </c>
      <c r="O78" t="n">
        <v>2</v>
      </c>
      <c r="P78" t="n">
        <v>0</v>
      </c>
      <c r="Q78" t="n">
        <v>3</v>
      </c>
      <c r="R78" s="2" t="inlineStr">
        <is>
          <t>Backklöver
Svartvit flugsnappare
Skogsödla</t>
        </is>
      </c>
      <c r="S78">
        <f>HYPERLINK("https://klasma.github.io/Logging_0188/artfynd/A 28836-2022 artfynd.xlsx", "A 28836-2022")</f>
        <v/>
      </c>
      <c r="T78">
        <f>HYPERLINK("https://klasma.github.io/Logging_0188/kartor/A 28836-2022 karta.png", "A 28836-2022")</f>
        <v/>
      </c>
      <c r="V78">
        <f>HYPERLINK("https://klasma.github.io/Logging_0188/klagomål/A 28836-2022 FSC-klagomål.docx", "A 28836-2022")</f>
        <v/>
      </c>
      <c r="W78">
        <f>HYPERLINK("https://klasma.github.io/Logging_0188/klagomålsmail/A 28836-2022 FSC-klagomål mail.docx", "A 28836-2022")</f>
        <v/>
      </c>
      <c r="X78">
        <f>HYPERLINK("https://klasma.github.io/Logging_0188/tillsyn/A 28836-2022 tillsynsbegäran.docx", "A 28836-2022")</f>
        <v/>
      </c>
      <c r="Y78">
        <f>HYPERLINK("https://klasma.github.io/Logging_0188/tillsynsmail/A 28836-2022 tillsynsbegäran mail.docx", "A 28836-2022")</f>
        <v/>
      </c>
      <c r="Z78">
        <f>HYPERLINK("https://klasma.github.io/Logging_0188/fåglar/A 28836-2022 prioriterade fågelarter.docx", "A 28836-2022")</f>
        <v/>
      </c>
    </row>
    <row r="79" ht="15" customHeight="1">
      <c r="A79" t="inlineStr">
        <is>
          <t>A 45113-2022</t>
        </is>
      </c>
      <c r="B79" s="1" t="n">
        <v>44843</v>
      </c>
      <c r="C79" s="1" t="n">
        <v>45659</v>
      </c>
      <c r="D79" t="inlineStr">
        <is>
          <t>STOCKHOLMS LÄN</t>
        </is>
      </c>
      <c r="E79" t="inlineStr">
        <is>
          <t>NORRTÄLJE</t>
        </is>
      </c>
      <c r="G79" t="n">
        <v>1.7</v>
      </c>
      <c r="H79" t="n">
        <v>0</v>
      </c>
      <c r="I79" t="n">
        <v>1</v>
      </c>
      <c r="J79" t="n">
        <v>1</v>
      </c>
      <c r="K79" t="n">
        <v>1</v>
      </c>
      <c r="L79" t="n">
        <v>0</v>
      </c>
      <c r="M79" t="n">
        <v>0</v>
      </c>
      <c r="N79" t="n">
        <v>0</v>
      </c>
      <c r="O79" t="n">
        <v>2</v>
      </c>
      <c r="P79" t="n">
        <v>1</v>
      </c>
      <c r="Q79" t="n">
        <v>3</v>
      </c>
      <c r="R79" s="2" t="inlineStr">
        <is>
          <t>Violett fingersvamp
Kandelabersvamp
Slät lönnlav</t>
        </is>
      </c>
      <c r="S79">
        <f>HYPERLINK("https://klasma.github.io/Logging_0188/artfynd/A 45113-2022 artfynd.xlsx", "A 45113-2022")</f>
        <v/>
      </c>
      <c r="T79">
        <f>HYPERLINK("https://klasma.github.io/Logging_0188/kartor/A 45113-2022 karta.png", "A 45113-2022")</f>
        <v/>
      </c>
      <c r="V79">
        <f>HYPERLINK("https://klasma.github.io/Logging_0188/klagomål/A 45113-2022 FSC-klagomål.docx", "A 45113-2022")</f>
        <v/>
      </c>
      <c r="W79">
        <f>HYPERLINK("https://klasma.github.io/Logging_0188/klagomålsmail/A 45113-2022 FSC-klagomål mail.docx", "A 45113-2022")</f>
        <v/>
      </c>
      <c r="X79">
        <f>HYPERLINK("https://klasma.github.io/Logging_0188/tillsyn/A 45113-2022 tillsynsbegäran.docx", "A 45113-2022")</f>
        <v/>
      </c>
      <c r="Y79">
        <f>HYPERLINK("https://klasma.github.io/Logging_0188/tillsynsmail/A 45113-2022 tillsynsbegäran mail.docx", "A 45113-2022")</f>
        <v/>
      </c>
    </row>
    <row r="80" ht="15" customHeight="1">
      <c r="A80" t="inlineStr">
        <is>
          <t>A 50618-2022</t>
        </is>
      </c>
      <c r="B80" s="1" t="n">
        <v>44866</v>
      </c>
      <c r="C80" s="1" t="n">
        <v>45659</v>
      </c>
      <c r="D80" t="inlineStr">
        <is>
          <t>STOCKHOLMS LÄN</t>
        </is>
      </c>
      <c r="E80" t="inlineStr">
        <is>
          <t>NORRTÄLJE</t>
        </is>
      </c>
      <c r="G80" t="n">
        <v>7.8</v>
      </c>
      <c r="H80" t="n">
        <v>2</v>
      </c>
      <c r="I80" t="n">
        <v>2</v>
      </c>
      <c r="J80" t="n">
        <v>0</v>
      </c>
      <c r="K80" t="n">
        <v>0</v>
      </c>
      <c r="L80" t="n">
        <v>0</v>
      </c>
      <c r="M80" t="n">
        <v>0</v>
      </c>
      <c r="N80" t="n">
        <v>0</v>
      </c>
      <c r="O80" t="n">
        <v>0</v>
      </c>
      <c r="P80" t="n">
        <v>0</v>
      </c>
      <c r="Q80" t="n">
        <v>3</v>
      </c>
      <c r="R80" s="2" t="inlineStr">
        <is>
          <t>Skogsknipprot
Vårärt
Blåsippa</t>
        </is>
      </c>
      <c r="S80">
        <f>HYPERLINK("https://klasma.github.io/Logging_0188/artfynd/A 50618-2022 artfynd.xlsx", "A 50618-2022")</f>
        <v/>
      </c>
      <c r="T80">
        <f>HYPERLINK("https://klasma.github.io/Logging_0188/kartor/A 50618-2022 karta.png", "A 50618-2022")</f>
        <v/>
      </c>
      <c r="V80">
        <f>HYPERLINK("https://klasma.github.io/Logging_0188/klagomål/A 50618-2022 FSC-klagomål.docx", "A 50618-2022")</f>
        <v/>
      </c>
      <c r="W80">
        <f>HYPERLINK("https://klasma.github.io/Logging_0188/klagomålsmail/A 50618-2022 FSC-klagomål mail.docx", "A 50618-2022")</f>
        <v/>
      </c>
      <c r="X80">
        <f>HYPERLINK("https://klasma.github.io/Logging_0188/tillsyn/A 50618-2022 tillsynsbegäran.docx", "A 50618-2022")</f>
        <v/>
      </c>
      <c r="Y80">
        <f>HYPERLINK("https://klasma.github.io/Logging_0188/tillsynsmail/A 50618-2022 tillsynsbegäran mail.docx", "A 50618-2022")</f>
        <v/>
      </c>
    </row>
    <row r="81" ht="15" customHeight="1">
      <c r="A81" t="inlineStr">
        <is>
          <t>A 2851-2023</t>
        </is>
      </c>
      <c r="B81" s="1" t="n">
        <v>44945</v>
      </c>
      <c r="C81" s="1" t="n">
        <v>45659</v>
      </c>
      <c r="D81" t="inlineStr">
        <is>
          <t>STOCKHOLMS LÄN</t>
        </is>
      </c>
      <c r="E81" t="inlineStr">
        <is>
          <t>NORRTÄLJE</t>
        </is>
      </c>
      <c r="G81" t="n">
        <v>5.8</v>
      </c>
      <c r="H81" t="n">
        <v>1</v>
      </c>
      <c r="I81" t="n">
        <v>1</v>
      </c>
      <c r="J81" t="n">
        <v>2</v>
      </c>
      <c r="K81" t="n">
        <v>0</v>
      </c>
      <c r="L81" t="n">
        <v>0</v>
      </c>
      <c r="M81" t="n">
        <v>0</v>
      </c>
      <c r="N81" t="n">
        <v>0</v>
      </c>
      <c r="O81" t="n">
        <v>2</v>
      </c>
      <c r="P81" t="n">
        <v>0</v>
      </c>
      <c r="Q81" t="n">
        <v>3</v>
      </c>
      <c r="R81" s="2" t="inlineStr">
        <is>
          <t>Gulsparv
Vedflikmossa
Terpentinmossa</t>
        </is>
      </c>
      <c r="S81">
        <f>HYPERLINK("https://klasma.github.io/Logging_0188/artfynd/A 2851-2023 artfynd.xlsx", "A 2851-2023")</f>
        <v/>
      </c>
      <c r="T81">
        <f>HYPERLINK("https://klasma.github.io/Logging_0188/kartor/A 2851-2023 karta.png", "A 2851-2023")</f>
        <v/>
      </c>
      <c r="V81">
        <f>HYPERLINK("https://klasma.github.io/Logging_0188/klagomål/A 2851-2023 FSC-klagomål.docx", "A 2851-2023")</f>
        <v/>
      </c>
      <c r="W81">
        <f>HYPERLINK("https://klasma.github.io/Logging_0188/klagomålsmail/A 2851-2023 FSC-klagomål mail.docx", "A 2851-2023")</f>
        <v/>
      </c>
      <c r="X81">
        <f>HYPERLINK("https://klasma.github.io/Logging_0188/tillsyn/A 2851-2023 tillsynsbegäran.docx", "A 2851-2023")</f>
        <v/>
      </c>
      <c r="Y81">
        <f>HYPERLINK("https://klasma.github.io/Logging_0188/tillsynsmail/A 2851-2023 tillsynsbegäran mail.docx", "A 2851-2023")</f>
        <v/>
      </c>
      <c r="Z81">
        <f>HYPERLINK("https://klasma.github.io/Logging_0188/fåglar/A 2851-2023 prioriterade fågelarter.docx", "A 2851-2023")</f>
        <v/>
      </c>
    </row>
    <row r="82" ht="15" customHeight="1">
      <c r="A82" t="inlineStr">
        <is>
          <t>A 17916-2023</t>
        </is>
      </c>
      <c r="B82" s="1" t="n">
        <v>45040</v>
      </c>
      <c r="C82" s="1" t="n">
        <v>45659</v>
      </c>
      <c r="D82" t="inlineStr">
        <is>
          <t>STOCKHOLMS LÄN</t>
        </is>
      </c>
      <c r="E82" t="inlineStr">
        <is>
          <t>NORRTÄLJE</t>
        </is>
      </c>
      <c r="G82" t="n">
        <v>9.1</v>
      </c>
      <c r="H82" t="n">
        <v>1</v>
      </c>
      <c r="I82" t="n">
        <v>2</v>
      </c>
      <c r="J82" t="n">
        <v>0</v>
      </c>
      <c r="K82" t="n">
        <v>0</v>
      </c>
      <c r="L82" t="n">
        <v>0</v>
      </c>
      <c r="M82" t="n">
        <v>0</v>
      </c>
      <c r="N82" t="n">
        <v>0</v>
      </c>
      <c r="O82" t="n">
        <v>0</v>
      </c>
      <c r="P82" t="n">
        <v>0</v>
      </c>
      <c r="Q82" t="n">
        <v>3</v>
      </c>
      <c r="R82" s="2" t="inlineStr">
        <is>
          <t>Skarp dropptaggsvamp
Sårläka
Blåsippa</t>
        </is>
      </c>
      <c r="S82">
        <f>HYPERLINK("https://klasma.github.io/Logging_0188/artfynd/A 17916-2023 artfynd.xlsx", "A 17916-2023")</f>
        <v/>
      </c>
      <c r="T82">
        <f>HYPERLINK("https://klasma.github.io/Logging_0188/kartor/A 17916-2023 karta.png", "A 17916-2023")</f>
        <v/>
      </c>
      <c r="V82">
        <f>HYPERLINK("https://klasma.github.io/Logging_0188/klagomål/A 17916-2023 FSC-klagomål.docx", "A 17916-2023")</f>
        <v/>
      </c>
      <c r="W82">
        <f>HYPERLINK("https://klasma.github.io/Logging_0188/klagomålsmail/A 17916-2023 FSC-klagomål mail.docx", "A 17916-2023")</f>
        <v/>
      </c>
      <c r="X82">
        <f>HYPERLINK("https://klasma.github.io/Logging_0188/tillsyn/A 17916-2023 tillsynsbegäran.docx", "A 17916-2023")</f>
        <v/>
      </c>
      <c r="Y82">
        <f>HYPERLINK("https://klasma.github.io/Logging_0188/tillsynsmail/A 17916-2023 tillsynsbegäran mail.docx", "A 17916-2023")</f>
        <v/>
      </c>
    </row>
    <row r="83" ht="15" customHeight="1">
      <c r="A83" t="inlineStr">
        <is>
          <t>A 36662-2023</t>
        </is>
      </c>
      <c r="B83" s="1" t="n">
        <v>45153</v>
      </c>
      <c r="C83" s="1" t="n">
        <v>45659</v>
      </c>
      <c r="D83" t="inlineStr">
        <is>
          <t>STOCKHOLMS LÄN</t>
        </is>
      </c>
      <c r="E83" t="inlineStr">
        <is>
          <t>NORRTÄLJE</t>
        </is>
      </c>
      <c r="G83" t="n">
        <v>3.1</v>
      </c>
      <c r="H83" t="n">
        <v>1</v>
      </c>
      <c r="I83" t="n">
        <v>2</v>
      </c>
      <c r="J83" t="n">
        <v>1</v>
      </c>
      <c r="K83" t="n">
        <v>0</v>
      </c>
      <c r="L83" t="n">
        <v>0</v>
      </c>
      <c r="M83" t="n">
        <v>0</v>
      </c>
      <c r="N83" t="n">
        <v>0</v>
      </c>
      <c r="O83" t="n">
        <v>1</v>
      </c>
      <c r="P83" t="n">
        <v>0</v>
      </c>
      <c r="Q83" t="n">
        <v>3</v>
      </c>
      <c r="R83" s="2" t="inlineStr">
        <is>
          <t>Svartvit taggsvamp
Skogsknipprot
Svavelriska</t>
        </is>
      </c>
      <c r="S83">
        <f>HYPERLINK("https://klasma.github.io/Logging_0188/artfynd/A 36662-2023 artfynd.xlsx", "A 36662-2023")</f>
        <v/>
      </c>
      <c r="T83">
        <f>HYPERLINK("https://klasma.github.io/Logging_0188/kartor/A 36662-2023 karta.png", "A 36662-2023")</f>
        <v/>
      </c>
      <c r="V83">
        <f>HYPERLINK("https://klasma.github.io/Logging_0188/klagomål/A 36662-2023 FSC-klagomål.docx", "A 36662-2023")</f>
        <v/>
      </c>
      <c r="W83">
        <f>HYPERLINK("https://klasma.github.io/Logging_0188/klagomålsmail/A 36662-2023 FSC-klagomål mail.docx", "A 36662-2023")</f>
        <v/>
      </c>
      <c r="X83">
        <f>HYPERLINK("https://klasma.github.io/Logging_0188/tillsyn/A 36662-2023 tillsynsbegäran.docx", "A 36662-2023")</f>
        <v/>
      </c>
      <c r="Y83">
        <f>HYPERLINK("https://klasma.github.io/Logging_0188/tillsynsmail/A 36662-2023 tillsynsbegäran mail.docx", "A 36662-2023")</f>
        <v/>
      </c>
    </row>
    <row r="84" ht="15" customHeight="1">
      <c r="A84" t="inlineStr">
        <is>
          <t>A 43304-2023</t>
        </is>
      </c>
      <c r="B84" s="1" t="n">
        <v>45183</v>
      </c>
      <c r="C84" s="1" t="n">
        <v>45659</v>
      </c>
      <c r="D84" t="inlineStr">
        <is>
          <t>STOCKHOLMS LÄN</t>
        </is>
      </c>
      <c r="E84" t="inlineStr">
        <is>
          <t>NORRTÄLJE</t>
        </is>
      </c>
      <c r="G84" t="n">
        <v>1.5</v>
      </c>
      <c r="H84" t="n">
        <v>0</v>
      </c>
      <c r="I84" t="n">
        <v>0</v>
      </c>
      <c r="J84" t="n">
        <v>2</v>
      </c>
      <c r="K84" t="n">
        <v>1</v>
      </c>
      <c r="L84" t="n">
        <v>0</v>
      </c>
      <c r="M84" t="n">
        <v>0</v>
      </c>
      <c r="N84" t="n">
        <v>0</v>
      </c>
      <c r="O84" t="n">
        <v>3</v>
      </c>
      <c r="P84" t="n">
        <v>1</v>
      </c>
      <c r="Q84" t="n">
        <v>3</v>
      </c>
      <c r="R84" s="2" t="inlineStr">
        <is>
          <t>Spricktaggsvamp
Kungsspindling
Persiljespindling</t>
        </is>
      </c>
      <c r="S84">
        <f>HYPERLINK("https://klasma.github.io/Logging_0188/artfynd/A 43304-2023 artfynd.xlsx", "A 43304-2023")</f>
        <v/>
      </c>
      <c r="T84">
        <f>HYPERLINK("https://klasma.github.io/Logging_0188/kartor/A 43304-2023 karta.png", "A 43304-2023")</f>
        <v/>
      </c>
      <c r="V84">
        <f>HYPERLINK("https://klasma.github.io/Logging_0188/klagomål/A 43304-2023 FSC-klagomål.docx", "A 43304-2023")</f>
        <v/>
      </c>
      <c r="W84">
        <f>HYPERLINK("https://klasma.github.io/Logging_0188/klagomålsmail/A 43304-2023 FSC-klagomål mail.docx", "A 43304-2023")</f>
        <v/>
      </c>
      <c r="X84">
        <f>HYPERLINK("https://klasma.github.io/Logging_0188/tillsyn/A 43304-2023 tillsynsbegäran.docx", "A 43304-2023")</f>
        <v/>
      </c>
      <c r="Y84">
        <f>HYPERLINK("https://klasma.github.io/Logging_0188/tillsynsmail/A 43304-2023 tillsynsbegäran mail.docx", "A 43304-2023")</f>
        <v/>
      </c>
    </row>
    <row r="85" ht="15" customHeight="1">
      <c r="A85" t="inlineStr">
        <is>
          <t>A 52011-2023</t>
        </is>
      </c>
      <c r="B85" s="1" t="n">
        <v>45223</v>
      </c>
      <c r="C85" s="1" t="n">
        <v>45659</v>
      </c>
      <c r="D85" t="inlineStr">
        <is>
          <t>STOCKHOLMS LÄN</t>
        </is>
      </c>
      <c r="E85" t="inlineStr">
        <is>
          <t>NORRTÄLJE</t>
        </is>
      </c>
      <c r="F85" t="inlineStr">
        <is>
          <t>Övriga Aktiebolag</t>
        </is>
      </c>
      <c r="G85" t="n">
        <v>16.6</v>
      </c>
      <c r="H85" t="n">
        <v>0</v>
      </c>
      <c r="I85" t="n">
        <v>2</v>
      </c>
      <c r="J85" t="n">
        <v>1</v>
      </c>
      <c r="K85" t="n">
        <v>0</v>
      </c>
      <c r="L85" t="n">
        <v>0</v>
      </c>
      <c r="M85" t="n">
        <v>0</v>
      </c>
      <c r="N85" t="n">
        <v>0</v>
      </c>
      <c r="O85" t="n">
        <v>1</v>
      </c>
      <c r="P85" t="n">
        <v>0</v>
      </c>
      <c r="Q85" t="n">
        <v>3</v>
      </c>
      <c r="R85" s="2" t="inlineStr">
        <is>
          <t>Vedtrappmossa
Mörk husmossa
Skogshakmossa</t>
        </is>
      </c>
      <c r="S85">
        <f>HYPERLINK("https://klasma.github.io/Logging_0188/artfynd/A 52011-2023 artfynd.xlsx", "A 52011-2023")</f>
        <v/>
      </c>
      <c r="T85">
        <f>HYPERLINK("https://klasma.github.io/Logging_0188/kartor/A 52011-2023 karta.png", "A 52011-2023")</f>
        <v/>
      </c>
      <c r="V85">
        <f>HYPERLINK("https://klasma.github.io/Logging_0188/klagomål/A 52011-2023 FSC-klagomål.docx", "A 52011-2023")</f>
        <v/>
      </c>
      <c r="W85">
        <f>HYPERLINK("https://klasma.github.io/Logging_0188/klagomålsmail/A 52011-2023 FSC-klagomål mail.docx", "A 52011-2023")</f>
        <v/>
      </c>
      <c r="X85">
        <f>HYPERLINK("https://klasma.github.io/Logging_0188/tillsyn/A 52011-2023 tillsynsbegäran.docx", "A 52011-2023")</f>
        <v/>
      </c>
      <c r="Y85">
        <f>HYPERLINK("https://klasma.github.io/Logging_0188/tillsynsmail/A 52011-2023 tillsynsbegäran mail.docx", "A 52011-2023")</f>
        <v/>
      </c>
    </row>
    <row r="86" ht="15" customHeight="1">
      <c r="A86" t="inlineStr">
        <is>
          <t>A 53065-2024</t>
        </is>
      </c>
      <c r="B86" s="1" t="n">
        <v>45611</v>
      </c>
      <c r="C86" s="1" t="n">
        <v>45659</v>
      </c>
      <c r="D86" t="inlineStr">
        <is>
          <t>STOCKHOLMS LÄN</t>
        </is>
      </c>
      <c r="E86" t="inlineStr">
        <is>
          <t>NORRTÄLJE</t>
        </is>
      </c>
      <c r="G86" t="n">
        <v>12.3</v>
      </c>
      <c r="H86" t="n">
        <v>0</v>
      </c>
      <c r="I86" t="n">
        <v>1</v>
      </c>
      <c r="J86" t="n">
        <v>1</v>
      </c>
      <c r="K86" t="n">
        <v>1</v>
      </c>
      <c r="L86" t="n">
        <v>0</v>
      </c>
      <c r="M86" t="n">
        <v>0</v>
      </c>
      <c r="N86" t="n">
        <v>0</v>
      </c>
      <c r="O86" t="n">
        <v>2</v>
      </c>
      <c r="P86" t="n">
        <v>1</v>
      </c>
      <c r="Q86" t="n">
        <v>3</v>
      </c>
      <c r="R86" s="2" t="inlineStr">
        <is>
          <t>Aspsplintbock
Grön aspvedbock
Gulröd blankbock</t>
        </is>
      </c>
      <c r="S86">
        <f>HYPERLINK("https://klasma.github.io/Logging_0188/artfynd/A 53065-2024 artfynd.xlsx", "A 53065-2024")</f>
        <v/>
      </c>
      <c r="T86">
        <f>HYPERLINK("https://klasma.github.io/Logging_0188/kartor/A 53065-2024 karta.png", "A 53065-2024")</f>
        <v/>
      </c>
      <c r="V86">
        <f>HYPERLINK("https://klasma.github.io/Logging_0188/klagomål/A 53065-2024 FSC-klagomål.docx", "A 53065-2024")</f>
        <v/>
      </c>
      <c r="W86">
        <f>HYPERLINK("https://klasma.github.io/Logging_0188/klagomålsmail/A 53065-2024 FSC-klagomål mail.docx", "A 53065-2024")</f>
        <v/>
      </c>
      <c r="X86">
        <f>HYPERLINK("https://klasma.github.io/Logging_0188/tillsyn/A 53065-2024 tillsynsbegäran.docx", "A 53065-2024")</f>
        <v/>
      </c>
      <c r="Y86">
        <f>HYPERLINK("https://klasma.github.io/Logging_0188/tillsynsmail/A 53065-2024 tillsynsbegäran mail.docx", "A 53065-2024")</f>
        <v/>
      </c>
    </row>
    <row r="87" ht="15" customHeight="1">
      <c r="A87" t="inlineStr">
        <is>
          <t>A 54110-2024</t>
        </is>
      </c>
      <c r="B87" s="1" t="n">
        <v>45616</v>
      </c>
      <c r="C87" s="1" t="n">
        <v>45659</v>
      </c>
      <c r="D87" t="inlineStr">
        <is>
          <t>STOCKHOLMS LÄN</t>
        </is>
      </c>
      <c r="E87" t="inlineStr">
        <is>
          <t>NORRTÄLJE</t>
        </is>
      </c>
      <c r="G87" t="n">
        <v>6.7</v>
      </c>
      <c r="H87" t="n">
        <v>2</v>
      </c>
      <c r="I87" t="n">
        <v>0</v>
      </c>
      <c r="J87" t="n">
        <v>1</v>
      </c>
      <c r="K87" t="n">
        <v>0</v>
      </c>
      <c r="L87" t="n">
        <v>0</v>
      </c>
      <c r="M87" t="n">
        <v>0</v>
      </c>
      <c r="N87" t="n">
        <v>0</v>
      </c>
      <c r="O87" t="n">
        <v>1</v>
      </c>
      <c r="P87" t="n">
        <v>0</v>
      </c>
      <c r="Q87" t="n">
        <v>3</v>
      </c>
      <c r="R87" s="2" t="inlineStr">
        <is>
          <t>Klasefibbla
Nattviol
Gullviva</t>
        </is>
      </c>
      <c r="S87">
        <f>HYPERLINK("https://klasma.github.io/Logging_0188/artfynd/A 54110-2024 artfynd.xlsx", "A 54110-2024")</f>
        <v/>
      </c>
      <c r="T87">
        <f>HYPERLINK("https://klasma.github.io/Logging_0188/kartor/A 54110-2024 karta.png", "A 54110-2024")</f>
        <v/>
      </c>
      <c r="V87">
        <f>HYPERLINK("https://klasma.github.io/Logging_0188/klagomål/A 54110-2024 FSC-klagomål.docx", "A 54110-2024")</f>
        <v/>
      </c>
      <c r="W87">
        <f>HYPERLINK("https://klasma.github.io/Logging_0188/klagomålsmail/A 54110-2024 FSC-klagomål mail.docx", "A 54110-2024")</f>
        <v/>
      </c>
      <c r="X87">
        <f>HYPERLINK("https://klasma.github.io/Logging_0188/tillsyn/A 54110-2024 tillsynsbegäran.docx", "A 54110-2024")</f>
        <v/>
      </c>
      <c r="Y87">
        <f>HYPERLINK("https://klasma.github.io/Logging_0188/tillsynsmail/A 54110-2024 tillsynsbegäran mail.docx", "A 54110-2024")</f>
        <v/>
      </c>
    </row>
    <row r="88" ht="15" customHeight="1">
      <c r="A88" t="inlineStr">
        <is>
          <t>A 23830-2019</t>
        </is>
      </c>
      <c r="B88" s="1" t="n">
        <v>43595</v>
      </c>
      <c r="C88" s="1" t="n">
        <v>45659</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45659</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2810-2020</t>
        </is>
      </c>
      <c r="B90" s="1" t="n">
        <v>43850</v>
      </c>
      <c r="C90" s="1" t="n">
        <v>45659</v>
      </c>
      <c r="D90" t="inlineStr">
        <is>
          <t>STOCKHOLMS LÄN</t>
        </is>
      </c>
      <c r="E90" t="inlineStr">
        <is>
          <t>NORRTÄLJE</t>
        </is>
      </c>
      <c r="G90" t="n">
        <v>0.9</v>
      </c>
      <c r="H90" t="n">
        <v>1</v>
      </c>
      <c r="I90" t="n">
        <v>1</v>
      </c>
      <c r="J90" t="n">
        <v>0</v>
      </c>
      <c r="K90" t="n">
        <v>1</v>
      </c>
      <c r="L90" t="n">
        <v>0</v>
      </c>
      <c r="M90" t="n">
        <v>0</v>
      </c>
      <c r="N90" t="n">
        <v>0</v>
      </c>
      <c r="O90" t="n">
        <v>1</v>
      </c>
      <c r="P90" t="n">
        <v>1</v>
      </c>
      <c r="Q90" t="n">
        <v>2</v>
      </c>
      <c r="R90" s="2" t="inlineStr">
        <is>
          <t>Knärot
Grönpyrola</t>
        </is>
      </c>
      <c r="S90">
        <f>HYPERLINK("https://klasma.github.io/Logging_0188/artfynd/A 2810-2020 artfynd.xlsx", "A 2810-2020")</f>
        <v/>
      </c>
      <c r="T90">
        <f>HYPERLINK("https://klasma.github.io/Logging_0188/kartor/A 2810-2020 karta.png", "A 2810-2020")</f>
        <v/>
      </c>
      <c r="U90">
        <f>HYPERLINK("https://klasma.github.io/Logging_0188/knärot/A 2810-2020 karta knärot.png", "A 2810-2020")</f>
        <v/>
      </c>
      <c r="V90">
        <f>HYPERLINK("https://klasma.github.io/Logging_0188/klagomål/A 2810-2020 FSC-klagomål.docx", "A 2810-2020")</f>
        <v/>
      </c>
      <c r="W90">
        <f>HYPERLINK("https://klasma.github.io/Logging_0188/klagomålsmail/A 2810-2020 FSC-klagomål mail.docx", "A 2810-2020")</f>
        <v/>
      </c>
      <c r="X90">
        <f>HYPERLINK("https://klasma.github.io/Logging_0188/tillsyn/A 2810-2020 tillsynsbegäran.docx", "A 2810-2020")</f>
        <v/>
      </c>
      <c r="Y90">
        <f>HYPERLINK("https://klasma.github.io/Logging_0188/tillsynsmail/A 2810-2020 tillsynsbegäran mail.docx", "A 2810-2020")</f>
        <v/>
      </c>
    </row>
    <row r="91" ht="15" customHeight="1">
      <c r="A91" t="inlineStr">
        <is>
          <t>A 6272-2020</t>
        </is>
      </c>
      <c r="B91" s="1" t="n">
        <v>43866</v>
      </c>
      <c r="C91" s="1" t="n">
        <v>45659</v>
      </c>
      <c r="D91" t="inlineStr">
        <is>
          <t>STOCKHOLMS LÄN</t>
        </is>
      </c>
      <c r="E91" t="inlineStr">
        <is>
          <t>NORRTÄLJE</t>
        </is>
      </c>
      <c r="F91" t="inlineStr">
        <is>
          <t>Övriga statliga verk och myndigheter</t>
        </is>
      </c>
      <c r="G91" t="n">
        <v>1.9</v>
      </c>
      <c r="H91" t="n">
        <v>1</v>
      </c>
      <c r="I91" t="n">
        <v>1</v>
      </c>
      <c r="J91" t="n">
        <v>1</v>
      </c>
      <c r="K91" t="n">
        <v>0</v>
      </c>
      <c r="L91" t="n">
        <v>0</v>
      </c>
      <c r="M91" t="n">
        <v>0</v>
      </c>
      <c r="N91" t="n">
        <v>0</v>
      </c>
      <c r="O91" t="n">
        <v>1</v>
      </c>
      <c r="P91" t="n">
        <v>0</v>
      </c>
      <c r="Q91" t="n">
        <v>2</v>
      </c>
      <c r="R91" s="2" t="inlineStr">
        <is>
          <t>Silversmygare
Nästrot</t>
        </is>
      </c>
      <c r="S91">
        <f>HYPERLINK("https://klasma.github.io/Logging_0188/artfynd/A 6272-2020 artfynd.xlsx", "A 6272-2020")</f>
        <v/>
      </c>
      <c r="T91">
        <f>HYPERLINK("https://klasma.github.io/Logging_0188/kartor/A 6272-2020 karta.png", "A 6272-2020")</f>
        <v/>
      </c>
      <c r="V91">
        <f>HYPERLINK("https://klasma.github.io/Logging_0188/klagomål/A 6272-2020 FSC-klagomål.docx", "A 6272-2020")</f>
        <v/>
      </c>
      <c r="W91">
        <f>HYPERLINK("https://klasma.github.io/Logging_0188/klagomålsmail/A 6272-2020 FSC-klagomål mail.docx", "A 6272-2020")</f>
        <v/>
      </c>
      <c r="X91">
        <f>HYPERLINK("https://klasma.github.io/Logging_0188/tillsyn/A 6272-2020 tillsynsbegäran.docx", "A 6272-2020")</f>
        <v/>
      </c>
      <c r="Y91">
        <f>HYPERLINK("https://klasma.github.io/Logging_0188/tillsynsmail/A 6272-2020 tillsynsbegäran mail.docx", "A 6272-2020")</f>
        <v/>
      </c>
    </row>
    <row r="92" ht="15" customHeight="1">
      <c r="A92" t="inlineStr">
        <is>
          <t>A 14565-2020</t>
        </is>
      </c>
      <c r="B92" s="1" t="n">
        <v>43908</v>
      </c>
      <c r="C92" s="1" t="n">
        <v>45659</v>
      </c>
      <c r="D92" t="inlineStr">
        <is>
          <t>STOCKHOLMS LÄN</t>
        </is>
      </c>
      <c r="E92" t="inlineStr">
        <is>
          <t>NORRTÄLJE</t>
        </is>
      </c>
      <c r="G92" t="n">
        <v>3.4</v>
      </c>
      <c r="H92" t="n">
        <v>2</v>
      </c>
      <c r="I92" t="n">
        <v>0</v>
      </c>
      <c r="J92" t="n">
        <v>0</v>
      </c>
      <c r="K92" t="n">
        <v>0</v>
      </c>
      <c r="L92" t="n">
        <v>0</v>
      </c>
      <c r="M92" t="n">
        <v>0</v>
      </c>
      <c r="N92" t="n">
        <v>0</v>
      </c>
      <c r="O92" t="n">
        <v>0</v>
      </c>
      <c r="P92" t="n">
        <v>0</v>
      </c>
      <c r="Q92" t="n">
        <v>2</v>
      </c>
      <c r="R92" s="2" t="inlineStr">
        <is>
          <t>Mindre vattensalamander
Vanlig groda</t>
        </is>
      </c>
      <c r="S92">
        <f>HYPERLINK("https://klasma.github.io/Logging_0188/artfynd/A 14565-2020 artfynd.xlsx", "A 14565-2020")</f>
        <v/>
      </c>
      <c r="T92">
        <f>HYPERLINK("https://klasma.github.io/Logging_0188/kartor/A 14565-2020 karta.png", "A 14565-2020")</f>
        <v/>
      </c>
      <c r="V92">
        <f>HYPERLINK("https://klasma.github.io/Logging_0188/klagomål/A 14565-2020 FSC-klagomål.docx", "A 14565-2020")</f>
        <v/>
      </c>
      <c r="W92">
        <f>HYPERLINK("https://klasma.github.io/Logging_0188/klagomålsmail/A 14565-2020 FSC-klagomål mail.docx", "A 14565-2020")</f>
        <v/>
      </c>
      <c r="X92">
        <f>HYPERLINK("https://klasma.github.io/Logging_0188/tillsyn/A 14565-2020 tillsynsbegäran.docx", "A 14565-2020")</f>
        <v/>
      </c>
      <c r="Y92">
        <f>HYPERLINK("https://klasma.github.io/Logging_0188/tillsynsmail/A 14565-2020 tillsynsbegäran mail.docx", "A 14565-2020")</f>
        <v/>
      </c>
    </row>
    <row r="93" ht="15" customHeight="1">
      <c r="A93" t="inlineStr">
        <is>
          <t>A 19565-2020</t>
        </is>
      </c>
      <c r="B93" s="1" t="n">
        <v>43936</v>
      </c>
      <c r="C93" s="1" t="n">
        <v>45659</v>
      </c>
      <c r="D93" t="inlineStr">
        <is>
          <t>STOCKHOLMS LÄN</t>
        </is>
      </c>
      <c r="E93" t="inlineStr">
        <is>
          <t>NORRTÄLJE</t>
        </is>
      </c>
      <c r="G93" t="n">
        <v>2.4</v>
      </c>
      <c r="H93" t="n">
        <v>0</v>
      </c>
      <c r="I93" t="n">
        <v>2</v>
      </c>
      <c r="J93" t="n">
        <v>0</v>
      </c>
      <c r="K93" t="n">
        <v>0</v>
      </c>
      <c r="L93" t="n">
        <v>0</v>
      </c>
      <c r="M93" t="n">
        <v>0</v>
      </c>
      <c r="N93" t="n">
        <v>0</v>
      </c>
      <c r="O93" t="n">
        <v>0</v>
      </c>
      <c r="P93" t="n">
        <v>0</v>
      </c>
      <c r="Q93" t="n">
        <v>2</v>
      </c>
      <c r="R93" s="2" t="inlineStr">
        <is>
          <t>Mörk husmossa
Rödgul trumpetsvamp</t>
        </is>
      </c>
      <c r="S93">
        <f>HYPERLINK("https://klasma.github.io/Logging_0188/artfynd/A 19565-2020 artfynd.xlsx", "A 19565-2020")</f>
        <v/>
      </c>
      <c r="T93">
        <f>HYPERLINK("https://klasma.github.io/Logging_0188/kartor/A 19565-2020 karta.png", "A 19565-2020")</f>
        <v/>
      </c>
      <c r="V93">
        <f>HYPERLINK("https://klasma.github.io/Logging_0188/klagomål/A 19565-2020 FSC-klagomål.docx", "A 19565-2020")</f>
        <v/>
      </c>
      <c r="W93">
        <f>HYPERLINK("https://klasma.github.io/Logging_0188/klagomålsmail/A 19565-2020 FSC-klagomål mail.docx", "A 19565-2020")</f>
        <v/>
      </c>
      <c r="X93">
        <f>HYPERLINK("https://klasma.github.io/Logging_0188/tillsyn/A 19565-2020 tillsynsbegäran.docx", "A 19565-2020")</f>
        <v/>
      </c>
      <c r="Y93">
        <f>HYPERLINK("https://klasma.github.io/Logging_0188/tillsynsmail/A 19565-2020 tillsynsbegäran mail.docx", "A 19565-2020")</f>
        <v/>
      </c>
    </row>
    <row r="94" ht="15" customHeight="1">
      <c r="A94" t="inlineStr">
        <is>
          <t>A 31803-2021</t>
        </is>
      </c>
      <c r="B94" s="1" t="n">
        <v>44370</v>
      </c>
      <c r="C94" s="1" t="n">
        <v>45659</v>
      </c>
      <c r="D94" t="inlineStr">
        <is>
          <t>STOCKHOLMS LÄN</t>
        </is>
      </c>
      <c r="E94" t="inlineStr">
        <is>
          <t>NORRTÄLJE</t>
        </is>
      </c>
      <c r="G94" t="n">
        <v>4.6</v>
      </c>
      <c r="H94" t="n">
        <v>0</v>
      </c>
      <c r="I94" t="n">
        <v>1</v>
      </c>
      <c r="J94" t="n">
        <v>1</v>
      </c>
      <c r="K94" t="n">
        <v>0</v>
      </c>
      <c r="L94" t="n">
        <v>0</v>
      </c>
      <c r="M94" t="n">
        <v>0</v>
      </c>
      <c r="N94" t="n">
        <v>0</v>
      </c>
      <c r="O94" t="n">
        <v>1</v>
      </c>
      <c r="P94" t="n">
        <v>0</v>
      </c>
      <c r="Q94" t="n">
        <v>2</v>
      </c>
      <c r="R94" s="2" t="inlineStr">
        <is>
          <t>Slåtterfibbla
Vårärt</t>
        </is>
      </c>
      <c r="S94">
        <f>HYPERLINK("https://klasma.github.io/Logging_0188/artfynd/A 31803-2021 artfynd.xlsx", "A 31803-2021")</f>
        <v/>
      </c>
      <c r="T94">
        <f>HYPERLINK("https://klasma.github.io/Logging_0188/kartor/A 31803-2021 karta.png", "A 31803-2021")</f>
        <v/>
      </c>
      <c r="V94">
        <f>HYPERLINK("https://klasma.github.io/Logging_0188/klagomål/A 31803-2021 FSC-klagomål.docx", "A 31803-2021")</f>
        <v/>
      </c>
      <c r="W94">
        <f>HYPERLINK("https://klasma.github.io/Logging_0188/klagomålsmail/A 31803-2021 FSC-klagomål mail.docx", "A 31803-2021")</f>
        <v/>
      </c>
      <c r="X94">
        <f>HYPERLINK("https://klasma.github.io/Logging_0188/tillsyn/A 31803-2021 tillsynsbegäran.docx", "A 31803-2021")</f>
        <v/>
      </c>
      <c r="Y94">
        <f>HYPERLINK("https://klasma.github.io/Logging_0188/tillsynsmail/A 31803-2021 tillsynsbegäran mail.docx", "A 31803-2021")</f>
        <v/>
      </c>
    </row>
    <row r="95" ht="15" customHeight="1">
      <c r="A95" t="inlineStr">
        <is>
          <t>A 40072-2021</t>
        </is>
      </c>
      <c r="B95" s="1" t="n">
        <v>44418</v>
      </c>
      <c r="C95" s="1" t="n">
        <v>45659</v>
      </c>
      <c r="D95" t="inlineStr">
        <is>
          <t>STOCKHOLMS LÄN</t>
        </is>
      </c>
      <c r="E95" t="inlineStr">
        <is>
          <t>NORRTÄLJE</t>
        </is>
      </c>
      <c r="G95" t="n">
        <v>1.1</v>
      </c>
      <c r="H95" t="n">
        <v>2</v>
      </c>
      <c r="I95" t="n">
        <v>0</v>
      </c>
      <c r="J95" t="n">
        <v>2</v>
      </c>
      <c r="K95" t="n">
        <v>0</v>
      </c>
      <c r="L95" t="n">
        <v>0</v>
      </c>
      <c r="M95" t="n">
        <v>0</v>
      </c>
      <c r="N95" t="n">
        <v>0</v>
      </c>
      <c r="O95" t="n">
        <v>2</v>
      </c>
      <c r="P95" t="n">
        <v>0</v>
      </c>
      <c r="Q95" t="n">
        <v>2</v>
      </c>
      <c r="R95" s="2" t="inlineStr">
        <is>
          <t>Rördrom
Slaguggla</t>
        </is>
      </c>
      <c r="S95">
        <f>HYPERLINK("https://klasma.github.io/Logging_0188/artfynd/A 40072-2021 artfynd.xlsx", "A 40072-2021")</f>
        <v/>
      </c>
      <c r="T95">
        <f>HYPERLINK("https://klasma.github.io/Logging_0188/kartor/A 40072-2021 karta.png", "A 40072-2021")</f>
        <v/>
      </c>
      <c r="V95">
        <f>HYPERLINK("https://klasma.github.io/Logging_0188/klagomål/A 40072-2021 FSC-klagomål.docx", "A 40072-2021")</f>
        <v/>
      </c>
      <c r="W95">
        <f>HYPERLINK("https://klasma.github.io/Logging_0188/klagomålsmail/A 40072-2021 FSC-klagomål mail.docx", "A 40072-2021")</f>
        <v/>
      </c>
      <c r="X95">
        <f>HYPERLINK("https://klasma.github.io/Logging_0188/tillsyn/A 40072-2021 tillsynsbegäran.docx", "A 40072-2021")</f>
        <v/>
      </c>
      <c r="Y95">
        <f>HYPERLINK("https://klasma.github.io/Logging_0188/tillsynsmail/A 40072-2021 tillsynsbegäran mail.docx", "A 40072-2021")</f>
        <v/>
      </c>
      <c r="Z95">
        <f>HYPERLINK("https://klasma.github.io/Logging_0188/fåglar/A 40072-2021 prioriterade fågelarter.docx", "A 40072-2021")</f>
        <v/>
      </c>
    </row>
    <row r="96" ht="15" customHeight="1">
      <c r="A96" t="inlineStr">
        <is>
          <t>A 58676-2021</t>
        </is>
      </c>
      <c r="B96" s="1" t="n">
        <v>44489</v>
      </c>
      <c r="C96" s="1" t="n">
        <v>45659</v>
      </c>
      <c r="D96" t="inlineStr">
        <is>
          <t>STOCKHOLMS LÄN</t>
        </is>
      </c>
      <c r="E96" t="inlineStr">
        <is>
          <t>NORRTÄLJE</t>
        </is>
      </c>
      <c r="G96" t="n">
        <v>0.6</v>
      </c>
      <c r="H96" t="n">
        <v>2</v>
      </c>
      <c r="I96" t="n">
        <v>0</v>
      </c>
      <c r="J96" t="n">
        <v>0</v>
      </c>
      <c r="K96" t="n">
        <v>0</v>
      </c>
      <c r="L96" t="n">
        <v>0</v>
      </c>
      <c r="M96" t="n">
        <v>0</v>
      </c>
      <c r="N96" t="n">
        <v>0</v>
      </c>
      <c r="O96" t="n">
        <v>0</v>
      </c>
      <c r="P96" t="n">
        <v>0</v>
      </c>
      <c r="Q96" t="n">
        <v>2</v>
      </c>
      <c r="R96" s="2" t="inlineStr">
        <is>
          <t>Nattviol
Blåsippa</t>
        </is>
      </c>
      <c r="S96">
        <f>HYPERLINK("https://klasma.github.io/Logging_0188/artfynd/A 58676-2021 artfynd.xlsx", "A 58676-2021")</f>
        <v/>
      </c>
      <c r="T96">
        <f>HYPERLINK("https://klasma.github.io/Logging_0188/kartor/A 58676-2021 karta.png", "A 58676-2021")</f>
        <v/>
      </c>
      <c r="V96">
        <f>HYPERLINK("https://klasma.github.io/Logging_0188/klagomål/A 58676-2021 FSC-klagomål.docx", "A 58676-2021")</f>
        <v/>
      </c>
      <c r="W96">
        <f>HYPERLINK("https://klasma.github.io/Logging_0188/klagomålsmail/A 58676-2021 FSC-klagomål mail.docx", "A 58676-2021")</f>
        <v/>
      </c>
      <c r="X96">
        <f>HYPERLINK("https://klasma.github.io/Logging_0188/tillsyn/A 58676-2021 tillsynsbegäran.docx", "A 58676-2021")</f>
        <v/>
      </c>
      <c r="Y96">
        <f>HYPERLINK("https://klasma.github.io/Logging_0188/tillsynsmail/A 58676-2021 tillsynsbegäran mail.docx", "A 58676-2021")</f>
        <v/>
      </c>
    </row>
    <row r="97" ht="15" customHeight="1">
      <c r="A97" t="inlineStr">
        <is>
          <t>A 8024-2022</t>
        </is>
      </c>
      <c r="B97" s="1" t="n">
        <v>44609</v>
      </c>
      <c r="C97" s="1" t="n">
        <v>45659</v>
      </c>
      <c r="D97" t="inlineStr">
        <is>
          <t>STOCKHOLMS LÄN</t>
        </is>
      </c>
      <c r="E97" t="inlineStr">
        <is>
          <t>NORRTÄLJE</t>
        </is>
      </c>
      <c r="F97" t="inlineStr">
        <is>
          <t>Kyrkan</t>
        </is>
      </c>
      <c r="G97" t="n">
        <v>28.2</v>
      </c>
      <c r="H97" t="n">
        <v>2</v>
      </c>
      <c r="I97" t="n">
        <v>0</v>
      </c>
      <c r="J97" t="n">
        <v>0</v>
      </c>
      <c r="K97" t="n">
        <v>0</v>
      </c>
      <c r="L97" t="n">
        <v>0</v>
      </c>
      <c r="M97" t="n">
        <v>0</v>
      </c>
      <c r="N97" t="n">
        <v>0</v>
      </c>
      <c r="O97" t="n">
        <v>0</v>
      </c>
      <c r="P97" t="n">
        <v>0</v>
      </c>
      <c r="Q97" t="n">
        <v>2</v>
      </c>
      <c r="R97" s="2" t="inlineStr">
        <is>
          <t>Hökuggla
Revlummer</t>
        </is>
      </c>
      <c r="S97">
        <f>HYPERLINK("https://klasma.github.io/Logging_0188/artfynd/A 8024-2022 artfynd.xlsx", "A 8024-2022")</f>
        <v/>
      </c>
      <c r="T97">
        <f>HYPERLINK("https://klasma.github.io/Logging_0188/kartor/A 8024-2022 karta.png", "A 8024-2022")</f>
        <v/>
      </c>
      <c r="V97">
        <f>HYPERLINK("https://klasma.github.io/Logging_0188/klagomål/A 8024-2022 FSC-klagomål.docx", "A 8024-2022")</f>
        <v/>
      </c>
      <c r="W97">
        <f>HYPERLINK("https://klasma.github.io/Logging_0188/klagomålsmail/A 8024-2022 FSC-klagomål mail.docx", "A 8024-2022")</f>
        <v/>
      </c>
      <c r="X97">
        <f>HYPERLINK("https://klasma.github.io/Logging_0188/tillsyn/A 8024-2022 tillsynsbegäran.docx", "A 8024-2022")</f>
        <v/>
      </c>
      <c r="Y97">
        <f>HYPERLINK("https://klasma.github.io/Logging_0188/tillsynsmail/A 8024-2022 tillsynsbegäran mail.docx", "A 8024-2022")</f>
        <v/>
      </c>
      <c r="Z97">
        <f>HYPERLINK("https://klasma.github.io/Logging_0188/fåglar/A 8024-2022 prioriterade fågelarter.docx", "A 8024-2022")</f>
        <v/>
      </c>
    </row>
    <row r="98" ht="15" customHeight="1">
      <c r="A98" t="inlineStr">
        <is>
          <t>A 16260-2022</t>
        </is>
      </c>
      <c r="B98" s="1" t="n">
        <v>44670</v>
      </c>
      <c r="C98" s="1" t="n">
        <v>45659</v>
      </c>
      <c r="D98" t="inlineStr">
        <is>
          <t>STOCKHOLMS LÄN</t>
        </is>
      </c>
      <c r="E98" t="inlineStr">
        <is>
          <t>NORRTÄLJE</t>
        </is>
      </c>
      <c r="G98" t="n">
        <v>6.6</v>
      </c>
      <c r="H98" t="n">
        <v>1</v>
      </c>
      <c r="I98" t="n">
        <v>2</v>
      </c>
      <c r="J98" t="n">
        <v>0</v>
      </c>
      <c r="K98" t="n">
        <v>0</v>
      </c>
      <c r="L98" t="n">
        <v>0</v>
      </c>
      <c r="M98" t="n">
        <v>0</v>
      </c>
      <c r="N98" t="n">
        <v>0</v>
      </c>
      <c r="O98" t="n">
        <v>0</v>
      </c>
      <c r="P98" t="n">
        <v>0</v>
      </c>
      <c r="Q98" t="n">
        <v>2</v>
      </c>
      <c r="R98" s="2" t="inlineStr">
        <is>
          <t>Nästrot
Vårärt</t>
        </is>
      </c>
      <c r="S98">
        <f>HYPERLINK("https://klasma.github.io/Logging_0188/artfynd/A 16260-2022 artfynd.xlsx", "A 16260-2022")</f>
        <v/>
      </c>
      <c r="T98">
        <f>HYPERLINK("https://klasma.github.io/Logging_0188/kartor/A 16260-2022 karta.png", "A 16260-2022")</f>
        <v/>
      </c>
      <c r="V98">
        <f>HYPERLINK("https://klasma.github.io/Logging_0188/klagomål/A 16260-2022 FSC-klagomål.docx", "A 16260-2022")</f>
        <v/>
      </c>
      <c r="W98">
        <f>HYPERLINK("https://klasma.github.io/Logging_0188/klagomålsmail/A 16260-2022 FSC-klagomål mail.docx", "A 16260-2022")</f>
        <v/>
      </c>
      <c r="X98">
        <f>HYPERLINK("https://klasma.github.io/Logging_0188/tillsyn/A 16260-2022 tillsynsbegäran.docx", "A 16260-2022")</f>
        <v/>
      </c>
      <c r="Y98">
        <f>HYPERLINK("https://klasma.github.io/Logging_0188/tillsynsmail/A 16260-2022 tillsynsbegäran mail.docx", "A 16260-2022")</f>
        <v/>
      </c>
    </row>
    <row r="99" ht="15" customHeight="1">
      <c r="A99" t="inlineStr">
        <is>
          <t>A 19862-2022</t>
        </is>
      </c>
      <c r="B99" s="1" t="n">
        <v>44696</v>
      </c>
      <c r="C99" s="1" t="n">
        <v>45659</v>
      </c>
      <c r="D99" t="inlineStr">
        <is>
          <t>STOCKHOLMS LÄN</t>
        </is>
      </c>
      <c r="E99" t="inlineStr">
        <is>
          <t>NORRTÄLJE</t>
        </is>
      </c>
      <c r="G99" t="n">
        <v>6</v>
      </c>
      <c r="H99" t="n">
        <v>1</v>
      </c>
      <c r="I99" t="n">
        <v>0</v>
      </c>
      <c r="J99" t="n">
        <v>1</v>
      </c>
      <c r="K99" t="n">
        <v>0</v>
      </c>
      <c r="L99" t="n">
        <v>0</v>
      </c>
      <c r="M99" t="n">
        <v>0</v>
      </c>
      <c r="N99" t="n">
        <v>0</v>
      </c>
      <c r="O99" t="n">
        <v>1</v>
      </c>
      <c r="P99" t="n">
        <v>0</v>
      </c>
      <c r="Q99" t="n">
        <v>2</v>
      </c>
      <c r="R99" s="2" t="inlineStr">
        <is>
          <t>Granticka
Blåsippa</t>
        </is>
      </c>
      <c r="S99">
        <f>HYPERLINK("https://klasma.github.io/Logging_0188/artfynd/A 19862-2022 artfynd.xlsx", "A 19862-2022")</f>
        <v/>
      </c>
      <c r="T99">
        <f>HYPERLINK("https://klasma.github.io/Logging_0188/kartor/A 19862-2022 karta.png", "A 19862-2022")</f>
        <v/>
      </c>
      <c r="V99">
        <f>HYPERLINK("https://klasma.github.io/Logging_0188/klagomål/A 19862-2022 FSC-klagomål.docx", "A 19862-2022")</f>
        <v/>
      </c>
      <c r="W99">
        <f>HYPERLINK("https://klasma.github.io/Logging_0188/klagomålsmail/A 19862-2022 FSC-klagomål mail.docx", "A 19862-2022")</f>
        <v/>
      </c>
      <c r="X99">
        <f>HYPERLINK("https://klasma.github.io/Logging_0188/tillsyn/A 19862-2022 tillsynsbegäran.docx", "A 19862-2022")</f>
        <v/>
      </c>
      <c r="Y99">
        <f>HYPERLINK("https://klasma.github.io/Logging_0188/tillsynsmail/A 19862-2022 tillsynsbegäran mail.docx", "A 19862-2022")</f>
        <v/>
      </c>
    </row>
    <row r="100" ht="15" customHeight="1">
      <c r="A100" t="inlineStr">
        <is>
          <t>A 27742-2022</t>
        </is>
      </c>
      <c r="B100" s="1" t="n">
        <v>44743</v>
      </c>
      <c r="C100" s="1" t="n">
        <v>45659</v>
      </c>
      <c r="D100" t="inlineStr">
        <is>
          <t>STOCKHOLMS LÄN</t>
        </is>
      </c>
      <c r="E100" t="inlineStr">
        <is>
          <t>NORRTÄLJE</t>
        </is>
      </c>
      <c r="G100" t="n">
        <v>3.9</v>
      </c>
      <c r="H100" t="n">
        <v>1</v>
      </c>
      <c r="I100" t="n">
        <v>1</v>
      </c>
      <c r="J100" t="n">
        <v>0</v>
      </c>
      <c r="K100" t="n">
        <v>0</v>
      </c>
      <c r="L100" t="n">
        <v>0</v>
      </c>
      <c r="M100" t="n">
        <v>0</v>
      </c>
      <c r="N100" t="n">
        <v>0</v>
      </c>
      <c r="O100" t="n">
        <v>0</v>
      </c>
      <c r="P100" t="n">
        <v>0</v>
      </c>
      <c r="Q100" t="n">
        <v>2</v>
      </c>
      <c r="R100" s="2" t="inlineStr">
        <is>
          <t>Svavelriska
Blåsippa</t>
        </is>
      </c>
      <c r="S100">
        <f>HYPERLINK("https://klasma.github.io/Logging_0188/artfynd/A 27742-2022 artfynd.xlsx", "A 27742-2022")</f>
        <v/>
      </c>
      <c r="T100">
        <f>HYPERLINK("https://klasma.github.io/Logging_0188/kartor/A 27742-2022 karta.png", "A 27742-2022")</f>
        <v/>
      </c>
      <c r="V100">
        <f>HYPERLINK("https://klasma.github.io/Logging_0188/klagomål/A 27742-2022 FSC-klagomål.docx", "A 27742-2022")</f>
        <v/>
      </c>
      <c r="W100">
        <f>HYPERLINK("https://klasma.github.io/Logging_0188/klagomålsmail/A 27742-2022 FSC-klagomål mail.docx", "A 27742-2022")</f>
        <v/>
      </c>
      <c r="X100">
        <f>HYPERLINK("https://klasma.github.io/Logging_0188/tillsyn/A 27742-2022 tillsynsbegäran.docx", "A 27742-2022")</f>
        <v/>
      </c>
      <c r="Y100">
        <f>HYPERLINK("https://klasma.github.io/Logging_0188/tillsynsmail/A 27742-2022 tillsynsbegäran mail.docx", "A 27742-2022")</f>
        <v/>
      </c>
    </row>
    <row r="101" ht="15" customHeight="1">
      <c r="A101" t="inlineStr">
        <is>
          <t>A 30693-2022</t>
        </is>
      </c>
      <c r="B101" s="1" t="n">
        <v>44763</v>
      </c>
      <c r="C101" s="1" t="n">
        <v>45659</v>
      </c>
      <c r="D101" t="inlineStr">
        <is>
          <t>STOCKHOLMS LÄN</t>
        </is>
      </c>
      <c r="E101" t="inlineStr">
        <is>
          <t>NORRTÄLJE</t>
        </is>
      </c>
      <c r="F101" t="inlineStr">
        <is>
          <t>Sveaskog</t>
        </is>
      </c>
      <c r="G101" t="n">
        <v>3.4</v>
      </c>
      <c r="H101" t="n">
        <v>2</v>
      </c>
      <c r="I101" t="n">
        <v>0</v>
      </c>
      <c r="J101" t="n">
        <v>1</v>
      </c>
      <c r="K101" t="n">
        <v>0</v>
      </c>
      <c r="L101" t="n">
        <v>0</v>
      </c>
      <c r="M101" t="n">
        <v>0</v>
      </c>
      <c r="N101" t="n">
        <v>0</v>
      </c>
      <c r="O101" t="n">
        <v>1</v>
      </c>
      <c r="P101" t="n">
        <v>0</v>
      </c>
      <c r="Q101" t="n">
        <v>2</v>
      </c>
      <c r="R101" s="2" t="inlineStr">
        <is>
          <t>Gulsparv
Gullviva</t>
        </is>
      </c>
      <c r="S101">
        <f>HYPERLINK("https://klasma.github.io/Logging_0188/artfynd/A 30693-2022 artfynd.xlsx", "A 30693-2022")</f>
        <v/>
      </c>
      <c r="T101">
        <f>HYPERLINK("https://klasma.github.io/Logging_0188/kartor/A 30693-2022 karta.png", "A 30693-2022")</f>
        <v/>
      </c>
      <c r="V101">
        <f>HYPERLINK("https://klasma.github.io/Logging_0188/klagomål/A 30693-2022 FSC-klagomål.docx", "A 30693-2022")</f>
        <v/>
      </c>
      <c r="W101">
        <f>HYPERLINK("https://klasma.github.io/Logging_0188/klagomålsmail/A 30693-2022 FSC-klagomål mail.docx", "A 30693-2022")</f>
        <v/>
      </c>
      <c r="X101">
        <f>HYPERLINK("https://klasma.github.io/Logging_0188/tillsyn/A 30693-2022 tillsynsbegäran.docx", "A 30693-2022")</f>
        <v/>
      </c>
      <c r="Y101">
        <f>HYPERLINK("https://klasma.github.io/Logging_0188/tillsynsmail/A 30693-2022 tillsynsbegäran mail.docx", "A 30693-2022")</f>
        <v/>
      </c>
      <c r="Z101">
        <f>HYPERLINK("https://klasma.github.io/Logging_0188/fåglar/A 30693-2022 prioriterade fågelarter.docx", "A 30693-2022")</f>
        <v/>
      </c>
    </row>
    <row r="102" ht="15" customHeight="1">
      <c r="A102" t="inlineStr">
        <is>
          <t>A 38597-2022</t>
        </is>
      </c>
      <c r="B102" s="1" t="n">
        <v>44813</v>
      </c>
      <c r="C102" s="1" t="n">
        <v>45659</v>
      </c>
      <c r="D102" t="inlineStr">
        <is>
          <t>STOCKHOLMS LÄN</t>
        </is>
      </c>
      <c r="E102" t="inlineStr">
        <is>
          <t>NORRTÄLJE</t>
        </is>
      </c>
      <c r="G102" t="n">
        <v>13.2</v>
      </c>
      <c r="H102" t="n">
        <v>1</v>
      </c>
      <c r="I102" t="n">
        <v>1</v>
      </c>
      <c r="J102" t="n">
        <v>0</v>
      </c>
      <c r="K102" t="n">
        <v>0</v>
      </c>
      <c r="L102" t="n">
        <v>1</v>
      </c>
      <c r="M102" t="n">
        <v>0</v>
      </c>
      <c r="N102" t="n">
        <v>0</v>
      </c>
      <c r="O102" t="n">
        <v>1</v>
      </c>
      <c r="P102" t="n">
        <v>1</v>
      </c>
      <c r="Q102" t="n">
        <v>2</v>
      </c>
      <c r="R102" s="2" t="inlineStr">
        <is>
          <t>Asknätfjäril
Scharlakansvårskål agg.</t>
        </is>
      </c>
      <c r="S102">
        <f>HYPERLINK("https://klasma.github.io/Logging_0188/artfynd/A 38597-2022 artfynd.xlsx", "A 38597-2022")</f>
        <v/>
      </c>
      <c r="T102">
        <f>HYPERLINK("https://klasma.github.io/Logging_0188/kartor/A 38597-2022 karta.png", "A 38597-2022")</f>
        <v/>
      </c>
      <c r="V102">
        <f>HYPERLINK("https://klasma.github.io/Logging_0188/klagomål/A 38597-2022 FSC-klagomål.docx", "A 38597-2022")</f>
        <v/>
      </c>
      <c r="W102">
        <f>HYPERLINK("https://klasma.github.io/Logging_0188/klagomålsmail/A 38597-2022 FSC-klagomål mail.docx", "A 38597-2022")</f>
        <v/>
      </c>
      <c r="X102">
        <f>HYPERLINK("https://klasma.github.io/Logging_0188/tillsyn/A 38597-2022 tillsynsbegäran.docx", "A 38597-2022")</f>
        <v/>
      </c>
      <c r="Y102">
        <f>HYPERLINK("https://klasma.github.io/Logging_0188/tillsynsmail/A 38597-2022 tillsynsbegäran mail.docx", "A 38597-2022")</f>
        <v/>
      </c>
    </row>
    <row r="103" ht="15" customHeight="1">
      <c r="A103" t="inlineStr">
        <is>
          <t>A 52124-2022</t>
        </is>
      </c>
      <c r="B103" s="1" t="n">
        <v>44868</v>
      </c>
      <c r="C103" s="1" t="n">
        <v>45659</v>
      </c>
      <c r="D103" t="inlineStr">
        <is>
          <t>STOCKHOLMS LÄN</t>
        </is>
      </c>
      <c r="E103" t="inlineStr">
        <is>
          <t>NORRTÄLJE</t>
        </is>
      </c>
      <c r="G103" t="n">
        <v>4.8</v>
      </c>
      <c r="H103" t="n">
        <v>1</v>
      </c>
      <c r="I103" t="n">
        <v>0</v>
      </c>
      <c r="J103" t="n">
        <v>1</v>
      </c>
      <c r="K103" t="n">
        <v>0</v>
      </c>
      <c r="L103" t="n">
        <v>0</v>
      </c>
      <c r="M103" t="n">
        <v>0</v>
      </c>
      <c r="N103" t="n">
        <v>0</v>
      </c>
      <c r="O103" t="n">
        <v>1</v>
      </c>
      <c r="P103" t="n">
        <v>0</v>
      </c>
      <c r="Q103" t="n">
        <v>2</v>
      </c>
      <c r="R103" s="2" t="inlineStr">
        <is>
          <t>Kandelabersvamp
Blåsippa</t>
        </is>
      </c>
      <c r="S103">
        <f>HYPERLINK("https://klasma.github.io/Logging_0188/artfynd/A 52124-2022 artfynd.xlsx", "A 52124-2022")</f>
        <v/>
      </c>
      <c r="T103">
        <f>HYPERLINK("https://klasma.github.io/Logging_0188/kartor/A 52124-2022 karta.png", "A 52124-2022")</f>
        <v/>
      </c>
      <c r="V103">
        <f>HYPERLINK("https://klasma.github.io/Logging_0188/klagomål/A 52124-2022 FSC-klagomål.docx", "A 52124-2022")</f>
        <v/>
      </c>
      <c r="W103">
        <f>HYPERLINK("https://klasma.github.io/Logging_0188/klagomålsmail/A 52124-2022 FSC-klagomål mail.docx", "A 52124-2022")</f>
        <v/>
      </c>
      <c r="X103">
        <f>HYPERLINK("https://klasma.github.io/Logging_0188/tillsyn/A 52124-2022 tillsynsbegäran.docx", "A 52124-2022")</f>
        <v/>
      </c>
      <c r="Y103">
        <f>HYPERLINK("https://klasma.github.io/Logging_0188/tillsynsmail/A 52124-2022 tillsynsbegäran mail.docx", "A 52124-2022")</f>
        <v/>
      </c>
    </row>
    <row r="104" ht="15" customHeight="1">
      <c r="A104" t="inlineStr">
        <is>
          <t>A 51980-2022</t>
        </is>
      </c>
      <c r="B104" s="1" t="n">
        <v>44872</v>
      </c>
      <c r="C104" s="1" t="n">
        <v>45659</v>
      </c>
      <c r="D104" t="inlineStr">
        <is>
          <t>STOCKHOLMS LÄN</t>
        </is>
      </c>
      <c r="E104" t="inlineStr">
        <is>
          <t>NORRTÄLJE</t>
        </is>
      </c>
      <c r="G104" t="n">
        <v>7.9</v>
      </c>
      <c r="H104" t="n">
        <v>1</v>
      </c>
      <c r="I104" t="n">
        <v>2</v>
      </c>
      <c r="J104" t="n">
        <v>0</v>
      </c>
      <c r="K104" t="n">
        <v>0</v>
      </c>
      <c r="L104" t="n">
        <v>0</v>
      </c>
      <c r="M104" t="n">
        <v>0</v>
      </c>
      <c r="N104" t="n">
        <v>0</v>
      </c>
      <c r="O104" t="n">
        <v>0</v>
      </c>
      <c r="P104" t="n">
        <v>0</v>
      </c>
      <c r="Q104" t="n">
        <v>2</v>
      </c>
      <c r="R104" s="2" t="inlineStr">
        <is>
          <t>Rödgul trumpetsvamp
Skogsknipprot</t>
        </is>
      </c>
      <c r="S104">
        <f>HYPERLINK("https://klasma.github.io/Logging_0188/artfynd/A 51980-2022 artfynd.xlsx", "A 51980-2022")</f>
        <v/>
      </c>
      <c r="T104">
        <f>HYPERLINK("https://klasma.github.io/Logging_0188/kartor/A 51980-2022 karta.png", "A 51980-2022")</f>
        <v/>
      </c>
      <c r="V104">
        <f>HYPERLINK("https://klasma.github.io/Logging_0188/klagomål/A 51980-2022 FSC-klagomål.docx", "A 51980-2022")</f>
        <v/>
      </c>
      <c r="W104">
        <f>HYPERLINK("https://klasma.github.io/Logging_0188/klagomålsmail/A 51980-2022 FSC-klagomål mail.docx", "A 51980-2022")</f>
        <v/>
      </c>
      <c r="X104">
        <f>HYPERLINK("https://klasma.github.io/Logging_0188/tillsyn/A 51980-2022 tillsynsbegäran.docx", "A 51980-2022")</f>
        <v/>
      </c>
      <c r="Y104">
        <f>HYPERLINK("https://klasma.github.io/Logging_0188/tillsynsmail/A 51980-2022 tillsynsbegäran mail.docx", "A 51980-2022")</f>
        <v/>
      </c>
    </row>
    <row r="105" ht="15" customHeight="1">
      <c r="A105" t="inlineStr">
        <is>
          <t>A 7341-2023</t>
        </is>
      </c>
      <c r="B105" s="1" t="n">
        <v>44971</v>
      </c>
      <c r="C105" s="1" t="n">
        <v>45659</v>
      </c>
      <c r="D105" t="inlineStr">
        <is>
          <t>STOCKHOLMS LÄN</t>
        </is>
      </c>
      <c r="E105" t="inlineStr">
        <is>
          <t>NORRTÄLJE</t>
        </is>
      </c>
      <c r="F105" t="inlineStr">
        <is>
          <t>Holmen skog AB</t>
        </is>
      </c>
      <c r="G105" t="n">
        <v>10.7</v>
      </c>
      <c r="H105" t="n">
        <v>0</v>
      </c>
      <c r="I105" t="n">
        <v>0</v>
      </c>
      <c r="J105" t="n">
        <v>2</v>
      </c>
      <c r="K105" t="n">
        <v>0</v>
      </c>
      <c r="L105" t="n">
        <v>0</v>
      </c>
      <c r="M105" t="n">
        <v>0</v>
      </c>
      <c r="N105" t="n">
        <v>0</v>
      </c>
      <c r="O105" t="n">
        <v>2</v>
      </c>
      <c r="P105" t="n">
        <v>0</v>
      </c>
      <c r="Q105" t="n">
        <v>2</v>
      </c>
      <c r="R105" s="2" t="inlineStr">
        <is>
          <t>Mindre bastardsvärmare
Smalsprötad bastardsvärmare</t>
        </is>
      </c>
      <c r="S105">
        <f>HYPERLINK("https://klasma.github.io/Logging_0188/artfynd/A 7341-2023 artfynd.xlsx", "A 7341-2023")</f>
        <v/>
      </c>
      <c r="T105">
        <f>HYPERLINK("https://klasma.github.io/Logging_0188/kartor/A 7341-2023 karta.png", "A 7341-2023")</f>
        <v/>
      </c>
      <c r="V105">
        <f>HYPERLINK("https://klasma.github.io/Logging_0188/klagomål/A 7341-2023 FSC-klagomål.docx", "A 7341-2023")</f>
        <v/>
      </c>
      <c r="W105">
        <f>HYPERLINK("https://klasma.github.io/Logging_0188/klagomålsmail/A 7341-2023 FSC-klagomål mail.docx", "A 7341-2023")</f>
        <v/>
      </c>
      <c r="X105">
        <f>HYPERLINK("https://klasma.github.io/Logging_0188/tillsyn/A 7341-2023 tillsynsbegäran.docx", "A 7341-2023")</f>
        <v/>
      </c>
      <c r="Y105">
        <f>HYPERLINK("https://klasma.github.io/Logging_0188/tillsynsmail/A 7341-2023 tillsynsbegäran mail.docx", "A 7341-2023")</f>
        <v/>
      </c>
    </row>
    <row r="106" ht="15" customHeight="1">
      <c r="A106" t="inlineStr">
        <is>
          <t>A 10136-2023</t>
        </is>
      </c>
      <c r="B106" s="1" t="n">
        <v>44986</v>
      </c>
      <c r="C106" s="1" t="n">
        <v>45659</v>
      </c>
      <c r="D106" t="inlineStr">
        <is>
          <t>STOCKHOLMS LÄN</t>
        </is>
      </c>
      <c r="E106" t="inlineStr">
        <is>
          <t>NORRTÄLJE</t>
        </is>
      </c>
      <c r="F106" t="inlineStr">
        <is>
          <t>Övriga statliga verk och myndigheter</t>
        </is>
      </c>
      <c r="G106" t="n">
        <v>3.6</v>
      </c>
      <c r="H106" t="n">
        <v>0</v>
      </c>
      <c r="I106" t="n">
        <v>0</v>
      </c>
      <c r="J106" t="n">
        <v>1</v>
      </c>
      <c r="K106" t="n">
        <v>1</v>
      </c>
      <c r="L106" t="n">
        <v>0</v>
      </c>
      <c r="M106" t="n">
        <v>0</v>
      </c>
      <c r="N106" t="n">
        <v>0</v>
      </c>
      <c r="O106" t="n">
        <v>2</v>
      </c>
      <c r="P106" t="n">
        <v>1</v>
      </c>
      <c r="Q106" t="n">
        <v>2</v>
      </c>
      <c r="R106" s="2" t="inlineStr">
        <is>
          <t>Svartfjällig musseron
Persiljespindling</t>
        </is>
      </c>
      <c r="S106">
        <f>HYPERLINK("https://klasma.github.io/Logging_0188/artfynd/A 10136-2023 artfynd.xlsx", "A 10136-2023")</f>
        <v/>
      </c>
      <c r="T106">
        <f>HYPERLINK("https://klasma.github.io/Logging_0188/kartor/A 10136-2023 karta.png", "A 10136-2023")</f>
        <v/>
      </c>
      <c r="V106">
        <f>HYPERLINK("https://klasma.github.io/Logging_0188/klagomål/A 10136-2023 FSC-klagomål.docx", "A 10136-2023")</f>
        <v/>
      </c>
      <c r="W106">
        <f>HYPERLINK("https://klasma.github.io/Logging_0188/klagomålsmail/A 10136-2023 FSC-klagomål mail.docx", "A 10136-2023")</f>
        <v/>
      </c>
      <c r="X106">
        <f>HYPERLINK("https://klasma.github.io/Logging_0188/tillsyn/A 10136-2023 tillsynsbegäran.docx", "A 10136-2023")</f>
        <v/>
      </c>
      <c r="Y106">
        <f>HYPERLINK("https://klasma.github.io/Logging_0188/tillsynsmail/A 10136-2023 tillsynsbegäran mail.docx", "A 10136-2023")</f>
        <v/>
      </c>
    </row>
    <row r="107" ht="15" customHeight="1">
      <c r="A107" t="inlineStr">
        <is>
          <t>A 21748-2023</t>
        </is>
      </c>
      <c r="B107" s="1" t="n">
        <v>45065</v>
      </c>
      <c r="C107" s="1" t="n">
        <v>45659</v>
      </c>
      <c r="D107" t="inlineStr">
        <is>
          <t>STOCKHOLMS LÄN</t>
        </is>
      </c>
      <c r="E107" t="inlineStr">
        <is>
          <t>NORRTÄLJE</t>
        </is>
      </c>
      <c r="F107" t="inlineStr">
        <is>
          <t>Holmen skog AB</t>
        </is>
      </c>
      <c r="G107" t="n">
        <v>2.4</v>
      </c>
      <c r="H107" t="n">
        <v>0</v>
      </c>
      <c r="I107" t="n">
        <v>2</v>
      </c>
      <c r="J107" t="n">
        <v>0</v>
      </c>
      <c r="K107" t="n">
        <v>0</v>
      </c>
      <c r="L107" t="n">
        <v>0</v>
      </c>
      <c r="M107" t="n">
        <v>0</v>
      </c>
      <c r="N107" t="n">
        <v>0</v>
      </c>
      <c r="O107" t="n">
        <v>0</v>
      </c>
      <c r="P107" t="n">
        <v>0</v>
      </c>
      <c r="Q107" t="n">
        <v>2</v>
      </c>
      <c r="R107" s="2" t="inlineStr">
        <is>
          <t>Aspvedgnagare
Tibast</t>
        </is>
      </c>
      <c r="S107">
        <f>HYPERLINK("https://klasma.github.io/Logging_0188/artfynd/A 21748-2023 artfynd.xlsx", "A 21748-2023")</f>
        <v/>
      </c>
      <c r="T107">
        <f>HYPERLINK("https://klasma.github.io/Logging_0188/kartor/A 21748-2023 karta.png", "A 21748-2023")</f>
        <v/>
      </c>
      <c r="V107">
        <f>HYPERLINK("https://klasma.github.io/Logging_0188/klagomål/A 21748-2023 FSC-klagomål.docx", "A 21748-2023")</f>
        <v/>
      </c>
      <c r="W107">
        <f>HYPERLINK("https://klasma.github.io/Logging_0188/klagomålsmail/A 21748-2023 FSC-klagomål mail.docx", "A 21748-2023")</f>
        <v/>
      </c>
      <c r="X107">
        <f>HYPERLINK("https://klasma.github.io/Logging_0188/tillsyn/A 21748-2023 tillsynsbegäran.docx", "A 21748-2023")</f>
        <v/>
      </c>
      <c r="Y107">
        <f>HYPERLINK("https://klasma.github.io/Logging_0188/tillsynsmail/A 21748-2023 tillsynsbegäran mail.docx", "A 21748-2023")</f>
        <v/>
      </c>
    </row>
    <row r="108" ht="15" customHeight="1">
      <c r="A108" t="inlineStr">
        <is>
          <t>A 23861-2023</t>
        </is>
      </c>
      <c r="B108" s="1" t="n">
        <v>45078</v>
      </c>
      <c r="C108" s="1" t="n">
        <v>45659</v>
      </c>
      <c r="D108" t="inlineStr">
        <is>
          <t>STOCKHOLMS LÄN</t>
        </is>
      </c>
      <c r="E108" t="inlineStr">
        <is>
          <t>NORRTÄLJE</t>
        </is>
      </c>
      <c r="G108" t="n">
        <v>3.3</v>
      </c>
      <c r="H108" t="n">
        <v>1</v>
      </c>
      <c r="I108" t="n">
        <v>1</v>
      </c>
      <c r="J108" t="n">
        <v>0</v>
      </c>
      <c r="K108" t="n">
        <v>0</v>
      </c>
      <c r="L108" t="n">
        <v>0</v>
      </c>
      <c r="M108" t="n">
        <v>0</v>
      </c>
      <c r="N108" t="n">
        <v>0</v>
      </c>
      <c r="O108" t="n">
        <v>0</v>
      </c>
      <c r="P108" t="n">
        <v>0</v>
      </c>
      <c r="Q108" t="n">
        <v>2</v>
      </c>
      <c r="R108" s="2" t="inlineStr">
        <is>
          <t>Tibast
Blåsippa</t>
        </is>
      </c>
      <c r="S108">
        <f>HYPERLINK("https://klasma.github.io/Logging_0188/artfynd/A 23861-2023 artfynd.xlsx", "A 23861-2023")</f>
        <v/>
      </c>
      <c r="T108">
        <f>HYPERLINK("https://klasma.github.io/Logging_0188/kartor/A 23861-2023 karta.png", "A 23861-2023")</f>
        <v/>
      </c>
      <c r="V108">
        <f>HYPERLINK("https://klasma.github.io/Logging_0188/klagomål/A 23861-2023 FSC-klagomål.docx", "A 23861-2023")</f>
        <v/>
      </c>
      <c r="W108">
        <f>HYPERLINK("https://klasma.github.io/Logging_0188/klagomålsmail/A 23861-2023 FSC-klagomål mail.docx", "A 23861-2023")</f>
        <v/>
      </c>
      <c r="X108">
        <f>HYPERLINK("https://klasma.github.io/Logging_0188/tillsyn/A 23861-2023 tillsynsbegäran.docx", "A 23861-2023")</f>
        <v/>
      </c>
      <c r="Y108">
        <f>HYPERLINK("https://klasma.github.io/Logging_0188/tillsynsmail/A 23861-2023 tillsynsbegäran mail.docx", "A 23861-2023")</f>
        <v/>
      </c>
    </row>
    <row r="109" ht="15" customHeight="1">
      <c r="A109" t="inlineStr">
        <is>
          <t>A 33287-2023</t>
        </is>
      </c>
      <c r="B109" s="1" t="n">
        <v>45127</v>
      </c>
      <c r="C109" s="1" t="n">
        <v>45659</v>
      </c>
      <c r="D109" t="inlineStr">
        <is>
          <t>STOCKHOLMS LÄN</t>
        </is>
      </c>
      <c r="E109" t="inlineStr">
        <is>
          <t>NORRTÄLJE</t>
        </is>
      </c>
      <c r="F109" t="inlineStr">
        <is>
          <t>Holmen skog AB</t>
        </is>
      </c>
      <c r="G109" t="n">
        <v>3.3</v>
      </c>
      <c r="H109" t="n">
        <v>0</v>
      </c>
      <c r="I109" t="n">
        <v>0</v>
      </c>
      <c r="J109" t="n">
        <v>2</v>
      </c>
      <c r="K109" t="n">
        <v>0</v>
      </c>
      <c r="L109" t="n">
        <v>0</v>
      </c>
      <c r="M109" t="n">
        <v>0</v>
      </c>
      <c r="N109" t="n">
        <v>0</v>
      </c>
      <c r="O109" t="n">
        <v>2</v>
      </c>
      <c r="P109" t="n">
        <v>0</v>
      </c>
      <c r="Q109" t="n">
        <v>2</v>
      </c>
      <c r="R109" s="2" t="inlineStr">
        <is>
          <t>Smalsprötad bastardsvärmare
Violettkantad guldvinge</t>
        </is>
      </c>
      <c r="S109">
        <f>HYPERLINK("https://klasma.github.io/Logging_0188/artfynd/A 33287-2023 artfynd.xlsx", "A 33287-2023")</f>
        <v/>
      </c>
      <c r="T109">
        <f>HYPERLINK("https://klasma.github.io/Logging_0188/kartor/A 33287-2023 karta.png", "A 33287-2023")</f>
        <v/>
      </c>
      <c r="V109">
        <f>HYPERLINK("https://klasma.github.io/Logging_0188/klagomål/A 33287-2023 FSC-klagomål.docx", "A 33287-2023")</f>
        <v/>
      </c>
      <c r="W109">
        <f>HYPERLINK("https://klasma.github.io/Logging_0188/klagomålsmail/A 33287-2023 FSC-klagomål mail.docx", "A 33287-2023")</f>
        <v/>
      </c>
      <c r="X109">
        <f>HYPERLINK("https://klasma.github.io/Logging_0188/tillsyn/A 33287-2023 tillsynsbegäran.docx", "A 33287-2023")</f>
        <v/>
      </c>
      <c r="Y109">
        <f>HYPERLINK("https://klasma.github.io/Logging_0188/tillsynsmail/A 33287-2023 tillsynsbegäran mail.docx", "A 33287-2023")</f>
        <v/>
      </c>
    </row>
    <row r="110" ht="15" customHeight="1">
      <c r="A110" t="inlineStr">
        <is>
          <t>A 51220-2023</t>
        </is>
      </c>
      <c r="B110" s="1" t="n">
        <v>45219</v>
      </c>
      <c r="C110" s="1" t="n">
        <v>45659</v>
      </c>
      <c r="D110" t="inlineStr">
        <is>
          <t>STOCKHOLMS LÄN</t>
        </is>
      </c>
      <c r="E110" t="inlineStr">
        <is>
          <t>NORRTÄLJE</t>
        </is>
      </c>
      <c r="G110" t="n">
        <v>7.7</v>
      </c>
      <c r="H110" t="n">
        <v>1</v>
      </c>
      <c r="I110" t="n">
        <v>0</v>
      </c>
      <c r="J110" t="n">
        <v>1</v>
      </c>
      <c r="K110" t="n">
        <v>0</v>
      </c>
      <c r="L110" t="n">
        <v>0</v>
      </c>
      <c r="M110" t="n">
        <v>0</v>
      </c>
      <c r="N110" t="n">
        <v>0</v>
      </c>
      <c r="O110" t="n">
        <v>1</v>
      </c>
      <c r="P110" t="n">
        <v>0</v>
      </c>
      <c r="Q110" t="n">
        <v>2</v>
      </c>
      <c r="R110" s="2" t="inlineStr">
        <is>
          <t>Ullticka
Blåsippa</t>
        </is>
      </c>
      <c r="S110">
        <f>HYPERLINK("https://klasma.github.io/Logging_0188/artfynd/A 51220-2023 artfynd.xlsx", "A 51220-2023")</f>
        <v/>
      </c>
      <c r="T110">
        <f>HYPERLINK("https://klasma.github.io/Logging_0188/kartor/A 51220-2023 karta.png", "A 51220-2023")</f>
        <v/>
      </c>
      <c r="V110">
        <f>HYPERLINK("https://klasma.github.io/Logging_0188/klagomål/A 51220-2023 FSC-klagomål.docx", "A 51220-2023")</f>
        <v/>
      </c>
      <c r="W110">
        <f>HYPERLINK("https://klasma.github.io/Logging_0188/klagomålsmail/A 51220-2023 FSC-klagomål mail.docx", "A 51220-2023")</f>
        <v/>
      </c>
      <c r="X110">
        <f>HYPERLINK("https://klasma.github.io/Logging_0188/tillsyn/A 51220-2023 tillsynsbegäran.docx", "A 51220-2023")</f>
        <v/>
      </c>
      <c r="Y110">
        <f>HYPERLINK("https://klasma.github.io/Logging_0188/tillsynsmail/A 51220-2023 tillsynsbegäran mail.docx", "A 51220-2023")</f>
        <v/>
      </c>
    </row>
    <row r="111" ht="15" customHeight="1">
      <c r="A111" t="inlineStr">
        <is>
          <t>A 52825-2023</t>
        </is>
      </c>
      <c r="B111" s="1" t="n">
        <v>45226</v>
      </c>
      <c r="C111" s="1" t="n">
        <v>45659</v>
      </c>
      <c r="D111" t="inlineStr">
        <is>
          <t>STOCKHOLMS LÄN</t>
        </is>
      </c>
      <c r="E111" t="inlineStr">
        <is>
          <t>NORRTÄLJE</t>
        </is>
      </c>
      <c r="G111" t="n">
        <v>1</v>
      </c>
      <c r="H111" t="n">
        <v>0</v>
      </c>
      <c r="I111" t="n">
        <v>2</v>
      </c>
      <c r="J111" t="n">
        <v>0</v>
      </c>
      <c r="K111" t="n">
        <v>0</v>
      </c>
      <c r="L111" t="n">
        <v>0</v>
      </c>
      <c r="M111" t="n">
        <v>0</v>
      </c>
      <c r="N111" t="n">
        <v>0</v>
      </c>
      <c r="O111" t="n">
        <v>0</v>
      </c>
      <c r="P111" t="n">
        <v>0</v>
      </c>
      <c r="Q111" t="n">
        <v>2</v>
      </c>
      <c r="R111" s="2" t="inlineStr">
        <is>
          <t>Fjällig taggsvamp s.str.
Strimspindling</t>
        </is>
      </c>
      <c r="S111">
        <f>HYPERLINK("https://klasma.github.io/Logging_0188/artfynd/A 52825-2023 artfynd.xlsx", "A 52825-2023")</f>
        <v/>
      </c>
      <c r="T111">
        <f>HYPERLINK("https://klasma.github.io/Logging_0188/kartor/A 52825-2023 karta.png", "A 52825-2023")</f>
        <v/>
      </c>
      <c r="V111">
        <f>HYPERLINK("https://klasma.github.io/Logging_0188/klagomål/A 52825-2023 FSC-klagomål.docx", "A 52825-2023")</f>
        <v/>
      </c>
      <c r="W111">
        <f>HYPERLINK("https://klasma.github.io/Logging_0188/klagomålsmail/A 52825-2023 FSC-klagomål mail.docx", "A 52825-2023")</f>
        <v/>
      </c>
      <c r="X111">
        <f>HYPERLINK("https://klasma.github.io/Logging_0188/tillsyn/A 52825-2023 tillsynsbegäran.docx", "A 52825-2023")</f>
        <v/>
      </c>
      <c r="Y111">
        <f>HYPERLINK("https://klasma.github.io/Logging_0188/tillsynsmail/A 52825-2023 tillsynsbegäran mail.docx", "A 52825-2023")</f>
        <v/>
      </c>
    </row>
    <row r="112" ht="15" customHeight="1">
      <c r="A112" t="inlineStr">
        <is>
          <t>A 4909-2024</t>
        </is>
      </c>
      <c r="B112" s="1" t="n">
        <v>45329</v>
      </c>
      <c r="C112" s="1" t="n">
        <v>45659</v>
      </c>
      <c r="D112" t="inlineStr">
        <is>
          <t>STOCKHOLMS LÄN</t>
        </is>
      </c>
      <c r="E112" t="inlineStr">
        <is>
          <t>NORRTÄLJE</t>
        </is>
      </c>
      <c r="G112" t="n">
        <v>4.1</v>
      </c>
      <c r="H112" t="n">
        <v>0</v>
      </c>
      <c r="I112" t="n">
        <v>2</v>
      </c>
      <c r="J112" t="n">
        <v>0</v>
      </c>
      <c r="K112" t="n">
        <v>0</v>
      </c>
      <c r="L112" t="n">
        <v>0</v>
      </c>
      <c r="M112" t="n">
        <v>0</v>
      </c>
      <c r="N112" t="n">
        <v>0</v>
      </c>
      <c r="O112" t="n">
        <v>0</v>
      </c>
      <c r="P112" t="n">
        <v>0</v>
      </c>
      <c r="Q112" t="n">
        <v>2</v>
      </c>
      <c r="R112" s="2" t="inlineStr">
        <is>
          <t>Fjällig taggsvamp s.str.
Rödgul trumpetsvamp</t>
        </is>
      </c>
      <c r="S112">
        <f>HYPERLINK("https://klasma.github.io/Logging_0188/artfynd/A 4909-2024 artfynd.xlsx", "A 4909-2024")</f>
        <v/>
      </c>
      <c r="T112">
        <f>HYPERLINK("https://klasma.github.io/Logging_0188/kartor/A 4909-2024 karta.png", "A 4909-2024")</f>
        <v/>
      </c>
      <c r="V112">
        <f>HYPERLINK("https://klasma.github.io/Logging_0188/klagomål/A 4909-2024 FSC-klagomål.docx", "A 4909-2024")</f>
        <v/>
      </c>
      <c r="W112">
        <f>HYPERLINK("https://klasma.github.io/Logging_0188/klagomålsmail/A 4909-2024 FSC-klagomål mail.docx", "A 4909-2024")</f>
        <v/>
      </c>
      <c r="X112">
        <f>HYPERLINK("https://klasma.github.io/Logging_0188/tillsyn/A 4909-2024 tillsynsbegäran.docx", "A 4909-2024")</f>
        <v/>
      </c>
      <c r="Y112">
        <f>HYPERLINK("https://klasma.github.io/Logging_0188/tillsynsmail/A 4909-2024 tillsynsbegäran mail.docx", "A 4909-2024")</f>
        <v/>
      </c>
    </row>
    <row r="113" ht="15" customHeight="1">
      <c r="A113" t="inlineStr">
        <is>
          <t>A 11995-2024</t>
        </is>
      </c>
      <c r="B113" s="1" t="n">
        <v>45377</v>
      </c>
      <c r="C113" s="1" t="n">
        <v>45659</v>
      </c>
      <c r="D113" t="inlineStr">
        <is>
          <t>STOCKHOLMS LÄN</t>
        </is>
      </c>
      <c r="E113" t="inlineStr">
        <is>
          <t>NORRTÄLJE</t>
        </is>
      </c>
      <c r="G113" t="n">
        <v>4.7</v>
      </c>
      <c r="H113" t="n">
        <v>0</v>
      </c>
      <c r="I113" t="n">
        <v>1</v>
      </c>
      <c r="J113" t="n">
        <v>1</v>
      </c>
      <c r="K113" t="n">
        <v>0</v>
      </c>
      <c r="L113" t="n">
        <v>0</v>
      </c>
      <c r="M113" t="n">
        <v>0</v>
      </c>
      <c r="N113" t="n">
        <v>0</v>
      </c>
      <c r="O113" t="n">
        <v>1</v>
      </c>
      <c r="P113" t="n">
        <v>0</v>
      </c>
      <c r="Q113" t="n">
        <v>2</v>
      </c>
      <c r="R113" s="2" t="inlineStr">
        <is>
          <t>Tallticka
Svavelriska</t>
        </is>
      </c>
      <c r="S113">
        <f>HYPERLINK("https://klasma.github.io/Logging_0188/artfynd/A 11995-2024 artfynd.xlsx", "A 11995-2024")</f>
        <v/>
      </c>
      <c r="T113">
        <f>HYPERLINK("https://klasma.github.io/Logging_0188/kartor/A 11995-2024 karta.png", "A 11995-2024")</f>
        <v/>
      </c>
      <c r="V113">
        <f>HYPERLINK("https://klasma.github.io/Logging_0188/klagomål/A 11995-2024 FSC-klagomål.docx", "A 11995-2024")</f>
        <v/>
      </c>
      <c r="W113">
        <f>HYPERLINK("https://klasma.github.io/Logging_0188/klagomålsmail/A 11995-2024 FSC-klagomål mail.docx", "A 11995-2024")</f>
        <v/>
      </c>
      <c r="X113">
        <f>HYPERLINK("https://klasma.github.io/Logging_0188/tillsyn/A 11995-2024 tillsynsbegäran.docx", "A 11995-2024")</f>
        <v/>
      </c>
      <c r="Y113">
        <f>HYPERLINK("https://klasma.github.io/Logging_0188/tillsynsmail/A 11995-2024 tillsynsbegäran mail.docx", "A 11995-2024")</f>
        <v/>
      </c>
    </row>
    <row r="114" ht="15" customHeight="1">
      <c r="A114" t="inlineStr">
        <is>
          <t>A 13150-2024</t>
        </is>
      </c>
      <c r="B114" s="1" t="n">
        <v>45386</v>
      </c>
      <c r="C114" s="1" t="n">
        <v>45659</v>
      </c>
      <c r="D114" t="inlineStr">
        <is>
          <t>STOCKHOLMS LÄN</t>
        </is>
      </c>
      <c r="E114" t="inlineStr">
        <is>
          <t>NORRTÄLJE</t>
        </is>
      </c>
      <c r="G114" t="n">
        <v>7.4</v>
      </c>
      <c r="H114" t="n">
        <v>0</v>
      </c>
      <c r="I114" t="n">
        <v>1</v>
      </c>
      <c r="J114" t="n">
        <v>1</v>
      </c>
      <c r="K114" t="n">
        <v>0</v>
      </c>
      <c r="L114" t="n">
        <v>0</v>
      </c>
      <c r="M114" t="n">
        <v>0</v>
      </c>
      <c r="N114" t="n">
        <v>0</v>
      </c>
      <c r="O114" t="n">
        <v>1</v>
      </c>
      <c r="P114" t="n">
        <v>0</v>
      </c>
      <c r="Q114" t="n">
        <v>2</v>
      </c>
      <c r="R114" s="2" t="inlineStr">
        <is>
          <t>Orange taggsvamp
Mönjevaxskivling</t>
        </is>
      </c>
      <c r="S114">
        <f>HYPERLINK("https://klasma.github.io/Logging_0188/artfynd/A 13150-2024 artfynd.xlsx", "A 13150-2024")</f>
        <v/>
      </c>
      <c r="T114">
        <f>HYPERLINK("https://klasma.github.io/Logging_0188/kartor/A 13150-2024 karta.png", "A 13150-2024")</f>
        <v/>
      </c>
      <c r="V114">
        <f>HYPERLINK("https://klasma.github.io/Logging_0188/klagomål/A 13150-2024 FSC-klagomål.docx", "A 13150-2024")</f>
        <v/>
      </c>
      <c r="W114">
        <f>HYPERLINK("https://klasma.github.io/Logging_0188/klagomålsmail/A 13150-2024 FSC-klagomål mail.docx", "A 13150-2024")</f>
        <v/>
      </c>
      <c r="X114">
        <f>HYPERLINK("https://klasma.github.io/Logging_0188/tillsyn/A 13150-2024 tillsynsbegäran.docx", "A 13150-2024")</f>
        <v/>
      </c>
      <c r="Y114">
        <f>HYPERLINK("https://klasma.github.io/Logging_0188/tillsynsmail/A 13150-2024 tillsynsbegäran mail.docx", "A 13150-2024")</f>
        <v/>
      </c>
    </row>
    <row r="115" ht="15" customHeight="1">
      <c r="A115" t="inlineStr">
        <is>
          <t>A 23583-2024</t>
        </is>
      </c>
      <c r="B115" s="1" t="n">
        <v>45454</v>
      </c>
      <c r="C115" s="1" t="n">
        <v>45659</v>
      </c>
      <c r="D115" t="inlineStr">
        <is>
          <t>STOCKHOLMS LÄN</t>
        </is>
      </c>
      <c r="E115" t="inlineStr">
        <is>
          <t>NORRTÄLJE</t>
        </is>
      </c>
      <c r="G115" t="n">
        <v>7.7</v>
      </c>
      <c r="H115" t="n">
        <v>0</v>
      </c>
      <c r="I115" t="n">
        <v>2</v>
      </c>
      <c r="J115" t="n">
        <v>0</v>
      </c>
      <c r="K115" t="n">
        <v>0</v>
      </c>
      <c r="L115" t="n">
        <v>0</v>
      </c>
      <c r="M115" t="n">
        <v>0</v>
      </c>
      <c r="N115" t="n">
        <v>0</v>
      </c>
      <c r="O115" t="n">
        <v>0</v>
      </c>
      <c r="P115" t="n">
        <v>0</v>
      </c>
      <c r="Q115" t="n">
        <v>2</v>
      </c>
      <c r="R115" s="2" t="inlineStr">
        <is>
          <t>Gulnål
Kattfotslav</t>
        </is>
      </c>
      <c r="S115">
        <f>HYPERLINK("https://klasma.github.io/Logging_0188/artfynd/A 23583-2024 artfynd.xlsx", "A 23583-2024")</f>
        <v/>
      </c>
      <c r="T115">
        <f>HYPERLINK("https://klasma.github.io/Logging_0188/kartor/A 23583-2024 karta.png", "A 23583-2024")</f>
        <v/>
      </c>
      <c r="V115">
        <f>HYPERLINK("https://klasma.github.io/Logging_0188/klagomål/A 23583-2024 FSC-klagomål.docx", "A 23583-2024")</f>
        <v/>
      </c>
      <c r="W115">
        <f>HYPERLINK("https://klasma.github.io/Logging_0188/klagomålsmail/A 23583-2024 FSC-klagomål mail.docx", "A 23583-2024")</f>
        <v/>
      </c>
      <c r="X115">
        <f>HYPERLINK("https://klasma.github.io/Logging_0188/tillsyn/A 23583-2024 tillsynsbegäran.docx", "A 23583-2024")</f>
        <v/>
      </c>
      <c r="Y115">
        <f>HYPERLINK("https://klasma.github.io/Logging_0188/tillsynsmail/A 23583-2024 tillsynsbegäran mail.docx", "A 23583-2024")</f>
        <v/>
      </c>
    </row>
    <row r="116" ht="15" customHeight="1">
      <c r="A116" t="inlineStr">
        <is>
          <t>A 24025-2024</t>
        </is>
      </c>
      <c r="B116" s="1" t="n">
        <v>45456</v>
      </c>
      <c r="C116" s="1" t="n">
        <v>45659</v>
      </c>
      <c r="D116" t="inlineStr">
        <is>
          <t>STOCKHOLMS LÄN</t>
        </is>
      </c>
      <c r="E116" t="inlineStr">
        <is>
          <t>NORRTÄLJE</t>
        </is>
      </c>
      <c r="G116" t="n">
        <v>6</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HYPERLINK("https://klasma.github.io/Logging_0188/artfynd/A 24025-2024 artfynd.xlsx", "A 24025-2024")</f>
        <v/>
      </c>
      <c r="T116">
        <f>HYPERLINK("https://klasma.github.io/Logging_0188/kartor/A 24025-2024 karta.png", "A 24025-2024")</f>
        <v/>
      </c>
      <c r="V116">
        <f>HYPERLINK("https://klasma.github.io/Logging_0188/klagomål/A 24025-2024 FSC-klagomål.docx", "A 24025-2024")</f>
        <v/>
      </c>
      <c r="W116">
        <f>HYPERLINK("https://klasma.github.io/Logging_0188/klagomålsmail/A 24025-2024 FSC-klagomål mail.docx", "A 24025-2024")</f>
        <v/>
      </c>
      <c r="X116">
        <f>HYPERLINK("https://klasma.github.io/Logging_0188/tillsyn/A 24025-2024 tillsynsbegäran.docx", "A 24025-2024")</f>
        <v/>
      </c>
      <c r="Y116">
        <f>HYPERLINK("https://klasma.github.io/Logging_0188/tillsynsmail/A 24025-2024 tillsynsbegäran mail.docx", "A 24025-2024")</f>
        <v/>
      </c>
    </row>
    <row r="117" ht="15" customHeight="1">
      <c r="A117" t="inlineStr">
        <is>
          <t>A 50326-2024</t>
        </is>
      </c>
      <c r="B117" s="1" t="n">
        <v>45600</v>
      </c>
      <c r="C117" s="1" t="n">
        <v>45659</v>
      </c>
      <c r="D117" t="inlineStr">
        <is>
          <t>STOCKHOLMS LÄN</t>
        </is>
      </c>
      <c r="E117" t="inlineStr">
        <is>
          <t>NORRTÄLJE</t>
        </is>
      </c>
      <c r="G117" t="n">
        <v>23.9</v>
      </c>
      <c r="H117" t="n">
        <v>1</v>
      </c>
      <c r="I117" t="n">
        <v>1</v>
      </c>
      <c r="J117" t="n">
        <v>1</v>
      </c>
      <c r="K117" t="n">
        <v>0</v>
      </c>
      <c r="L117" t="n">
        <v>0</v>
      </c>
      <c r="M117" t="n">
        <v>0</v>
      </c>
      <c r="N117" t="n">
        <v>0</v>
      </c>
      <c r="O117" t="n">
        <v>1</v>
      </c>
      <c r="P117" t="n">
        <v>0</v>
      </c>
      <c r="Q117" t="n">
        <v>2</v>
      </c>
      <c r="R117" s="2" t="inlineStr">
        <is>
          <t>Sommarfibbla
Nästrot</t>
        </is>
      </c>
      <c r="S117">
        <f>HYPERLINK("https://klasma.github.io/Logging_0188/artfynd/A 50326-2024 artfynd.xlsx", "A 50326-2024")</f>
        <v/>
      </c>
      <c r="T117">
        <f>HYPERLINK("https://klasma.github.io/Logging_0188/kartor/A 50326-2024 karta.png", "A 50326-2024")</f>
        <v/>
      </c>
      <c r="V117">
        <f>HYPERLINK("https://klasma.github.io/Logging_0188/klagomål/A 50326-2024 FSC-klagomål.docx", "A 50326-2024")</f>
        <v/>
      </c>
      <c r="W117">
        <f>HYPERLINK("https://klasma.github.io/Logging_0188/klagomålsmail/A 50326-2024 FSC-klagomål mail.docx", "A 50326-2024")</f>
        <v/>
      </c>
      <c r="X117">
        <f>HYPERLINK("https://klasma.github.io/Logging_0188/tillsyn/A 50326-2024 tillsynsbegäran.docx", "A 50326-2024")</f>
        <v/>
      </c>
      <c r="Y117">
        <f>HYPERLINK("https://klasma.github.io/Logging_0188/tillsynsmail/A 50326-2024 tillsynsbegäran mail.docx", "A 50326-2024")</f>
        <v/>
      </c>
    </row>
    <row r="118" ht="15" customHeight="1">
      <c r="A118" t="inlineStr">
        <is>
          <t>A 52360-2024</t>
        </is>
      </c>
      <c r="B118" s="1" t="n">
        <v>45609</v>
      </c>
      <c r="C118" s="1" t="n">
        <v>45659</v>
      </c>
      <c r="D118" t="inlineStr">
        <is>
          <t>STOCKHOLMS LÄN</t>
        </is>
      </c>
      <c r="E118" t="inlineStr">
        <is>
          <t>NORRTÄLJE</t>
        </is>
      </c>
      <c r="G118" t="n">
        <v>2.2</v>
      </c>
      <c r="H118" t="n">
        <v>1</v>
      </c>
      <c r="I118" t="n">
        <v>1</v>
      </c>
      <c r="J118" t="n">
        <v>0</v>
      </c>
      <c r="K118" t="n">
        <v>0</v>
      </c>
      <c r="L118" t="n">
        <v>0</v>
      </c>
      <c r="M118" t="n">
        <v>0</v>
      </c>
      <c r="N118" t="n">
        <v>0</v>
      </c>
      <c r="O118" t="n">
        <v>0</v>
      </c>
      <c r="P118" t="n">
        <v>0</v>
      </c>
      <c r="Q118" t="n">
        <v>2</v>
      </c>
      <c r="R118" s="2" t="inlineStr">
        <is>
          <t>Brandticka
Blåsippa</t>
        </is>
      </c>
      <c r="S118">
        <f>HYPERLINK("https://klasma.github.io/Logging_0188/artfynd/A 52360-2024 artfynd.xlsx", "A 52360-2024")</f>
        <v/>
      </c>
      <c r="T118">
        <f>HYPERLINK("https://klasma.github.io/Logging_0188/kartor/A 52360-2024 karta.png", "A 52360-2024")</f>
        <v/>
      </c>
      <c r="V118">
        <f>HYPERLINK("https://klasma.github.io/Logging_0188/klagomål/A 52360-2024 FSC-klagomål.docx", "A 52360-2024")</f>
        <v/>
      </c>
      <c r="W118">
        <f>HYPERLINK("https://klasma.github.io/Logging_0188/klagomålsmail/A 52360-2024 FSC-klagomål mail.docx", "A 52360-2024")</f>
        <v/>
      </c>
      <c r="X118">
        <f>HYPERLINK("https://klasma.github.io/Logging_0188/tillsyn/A 52360-2024 tillsynsbegäran.docx", "A 52360-2024")</f>
        <v/>
      </c>
      <c r="Y118">
        <f>HYPERLINK("https://klasma.github.io/Logging_0188/tillsynsmail/A 52360-2024 tillsynsbegäran mail.docx", "A 52360-2024")</f>
        <v/>
      </c>
    </row>
    <row r="119" ht="15" customHeight="1">
      <c r="A119" t="inlineStr">
        <is>
          <t>A 20740-2019</t>
        </is>
      </c>
      <c r="B119" s="1" t="n">
        <v>43573</v>
      </c>
      <c r="C119" s="1" t="n">
        <v>45659</v>
      </c>
      <c r="D119" t="inlineStr">
        <is>
          <t>STOCKHOLMS LÄN</t>
        </is>
      </c>
      <c r="E119" t="inlineStr">
        <is>
          <t>NORRTÄLJE</t>
        </is>
      </c>
      <c r="G119" t="n">
        <v>1.6</v>
      </c>
      <c r="H119" t="n">
        <v>0</v>
      </c>
      <c r="I119" t="n">
        <v>0</v>
      </c>
      <c r="J119" t="n">
        <v>1</v>
      </c>
      <c r="K119" t="n">
        <v>0</v>
      </c>
      <c r="L119" t="n">
        <v>0</v>
      </c>
      <c r="M119" t="n">
        <v>0</v>
      </c>
      <c r="N119" t="n">
        <v>0</v>
      </c>
      <c r="O119" t="n">
        <v>1</v>
      </c>
      <c r="P119" t="n">
        <v>0</v>
      </c>
      <c r="Q119" t="n">
        <v>1</v>
      </c>
      <c r="R119" s="2" t="inlineStr">
        <is>
          <t>Slåtterfibbla</t>
        </is>
      </c>
      <c r="S119">
        <f>HYPERLINK("https://klasma.github.io/Logging_0188/artfynd/A 20740-2019 artfynd.xlsx", "A 20740-2019")</f>
        <v/>
      </c>
      <c r="T119">
        <f>HYPERLINK("https://klasma.github.io/Logging_0188/kartor/A 20740-2019 karta.png", "A 20740-2019")</f>
        <v/>
      </c>
      <c r="V119">
        <f>HYPERLINK("https://klasma.github.io/Logging_0188/klagomål/A 20740-2019 FSC-klagomål.docx", "A 20740-2019")</f>
        <v/>
      </c>
      <c r="W119">
        <f>HYPERLINK("https://klasma.github.io/Logging_0188/klagomålsmail/A 20740-2019 FSC-klagomål mail.docx", "A 20740-2019")</f>
        <v/>
      </c>
      <c r="X119">
        <f>HYPERLINK("https://klasma.github.io/Logging_0188/tillsyn/A 20740-2019 tillsynsbegäran.docx", "A 20740-2019")</f>
        <v/>
      </c>
      <c r="Y119">
        <f>HYPERLINK("https://klasma.github.io/Logging_0188/tillsynsmail/A 20740-2019 tillsynsbegäran mail.docx", "A 20740-2019")</f>
        <v/>
      </c>
    </row>
    <row r="120" ht="15" customHeight="1">
      <c r="A120" t="inlineStr">
        <is>
          <t>A 26275-2019</t>
        </is>
      </c>
      <c r="B120" s="1" t="n">
        <v>43611</v>
      </c>
      <c r="C120" s="1" t="n">
        <v>45659</v>
      </c>
      <c r="D120" t="inlineStr">
        <is>
          <t>STOCKHOLMS LÄN</t>
        </is>
      </c>
      <c r="E120" t="inlineStr">
        <is>
          <t>NORRTÄLJE</t>
        </is>
      </c>
      <c r="G120" t="n">
        <v>0.5</v>
      </c>
      <c r="H120" t="n">
        <v>0</v>
      </c>
      <c r="I120" t="n">
        <v>1</v>
      </c>
      <c r="J120" t="n">
        <v>0</v>
      </c>
      <c r="K120" t="n">
        <v>0</v>
      </c>
      <c r="L120" t="n">
        <v>0</v>
      </c>
      <c r="M120" t="n">
        <v>0</v>
      </c>
      <c r="N120" t="n">
        <v>0</v>
      </c>
      <c r="O120" t="n">
        <v>0</v>
      </c>
      <c r="P120" t="n">
        <v>0</v>
      </c>
      <c r="Q120" t="n">
        <v>1</v>
      </c>
      <c r="R120" s="2" t="inlineStr">
        <is>
          <t>Blåmossa</t>
        </is>
      </c>
      <c r="S120">
        <f>HYPERLINK("https://klasma.github.io/Logging_0188/artfynd/A 26275-2019 artfynd.xlsx", "A 26275-2019")</f>
        <v/>
      </c>
      <c r="T120">
        <f>HYPERLINK("https://klasma.github.io/Logging_0188/kartor/A 26275-2019 karta.png", "A 26275-2019")</f>
        <v/>
      </c>
      <c r="V120">
        <f>HYPERLINK("https://klasma.github.io/Logging_0188/klagomål/A 26275-2019 FSC-klagomål.docx", "A 26275-2019")</f>
        <v/>
      </c>
      <c r="W120">
        <f>HYPERLINK("https://klasma.github.io/Logging_0188/klagomålsmail/A 26275-2019 FSC-klagomål mail.docx", "A 26275-2019")</f>
        <v/>
      </c>
      <c r="X120">
        <f>HYPERLINK("https://klasma.github.io/Logging_0188/tillsyn/A 26275-2019 tillsynsbegäran.docx", "A 26275-2019")</f>
        <v/>
      </c>
      <c r="Y120">
        <f>HYPERLINK("https://klasma.github.io/Logging_0188/tillsynsmail/A 26275-2019 tillsynsbegäran mail.docx", "A 26275-2019")</f>
        <v/>
      </c>
    </row>
    <row r="121" ht="15" customHeight="1">
      <c r="A121" t="inlineStr">
        <is>
          <t>A 30011-2019</t>
        </is>
      </c>
      <c r="B121" s="1" t="n">
        <v>43633</v>
      </c>
      <c r="C121" s="1" t="n">
        <v>45659</v>
      </c>
      <c r="D121" t="inlineStr">
        <is>
          <t>STOCKHOLMS LÄN</t>
        </is>
      </c>
      <c r="E121" t="inlineStr">
        <is>
          <t>NORRTÄLJE</t>
        </is>
      </c>
      <c r="G121" t="n">
        <v>2.6</v>
      </c>
      <c r="H121" t="n">
        <v>0</v>
      </c>
      <c r="I121" t="n">
        <v>1</v>
      </c>
      <c r="J121" t="n">
        <v>0</v>
      </c>
      <c r="K121" t="n">
        <v>0</v>
      </c>
      <c r="L121" t="n">
        <v>0</v>
      </c>
      <c r="M121" t="n">
        <v>0</v>
      </c>
      <c r="N121" t="n">
        <v>0</v>
      </c>
      <c r="O121" t="n">
        <v>0</v>
      </c>
      <c r="P121" t="n">
        <v>0</v>
      </c>
      <c r="Q121" t="n">
        <v>1</v>
      </c>
      <c r="R121" s="2" t="inlineStr">
        <is>
          <t>Tibast</t>
        </is>
      </c>
      <c r="S121">
        <f>HYPERLINK("https://klasma.github.io/Logging_0188/artfynd/A 30011-2019 artfynd.xlsx", "A 30011-2019")</f>
        <v/>
      </c>
      <c r="T121">
        <f>HYPERLINK("https://klasma.github.io/Logging_0188/kartor/A 30011-2019 karta.png", "A 30011-2019")</f>
        <v/>
      </c>
      <c r="V121">
        <f>HYPERLINK("https://klasma.github.io/Logging_0188/klagomål/A 30011-2019 FSC-klagomål.docx", "A 30011-2019")</f>
        <v/>
      </c>
      <c r="W121">
        <f>HYPERLINK("https://klasma.github.io/Logging_0188/klagomålsmail/A 30011-2019 FSC-klagomål mail.docx", "A 30011-2019")</f>
        <v/>
      </c>
      <c r="X121">
        <f>HYPERLINK("https://klasma.github.io/Logging_0188/tillsyn/A 30011-2019 tillsynsbegäran.docx", "A 30011-2019")</f>
        <v/>
      </c>
      <c r="Y121">
        <f>HYPERLINK("https://klasma.github.io/Logging_0188/tillsynsmail/A 30011-2019 tillsynsbegäran mail.docx", "A 30011-2019")</f>
        <v/>
      </c>
    </row>
    <row r="122" ht="15" customHeight="1">
      <c r="A122" t="inlineStr">
        <is>
          <t>A 38137-2019</t>
        </is>
      </c>
      <c r="B122" s="1" t="n">
        <v>43684</v>
      </c>
      <c r="C122" s="1" t="n">
        <v>45659</v>
      </c>
      <c r="D122" t="inlineStr">
        <is>
          <t>STOCKHOLMS LÄN</t>
        </is>
      </c>
      <c r="E122" t="inlineStr">
        <is>
          <t>NORRTÄLJE</t>
        </is>
      </c>
      <c r="G122" t="n">
        <v>12.9</v>
      </c>
      <c r="H122" t="n">
        <v>0</v>
      </c>
      <c r="I122" t="n">
        <v>0</v>
      </c>
      <c r="J122" t="n">
        <v>1</v>
      </c>
      <c r="K122" t="n">
        <v>0</v>
      </c>
      <c r="L122" t="n">
        <v>0</v>
      </c>
      <c r="M122" t="n">
        <v>0</v>
      </c>
      <c r="N122" t="n">
        <v>0</v>
      </c>
      <c r="O122" t="n">
        <v>1</v>
      </c>
      <c r="P122" t="n">
        <v>0</v>
      </c>
      <c r="Q122" t="n">
        <v>1</v>
      </c>
      <c r="R122" s="2" t="inlineStr">
        <is>
          <t>Rutskinn</t>
        </is>
      </c>
      <c r="S122">
        <f>HYPERLINK("https://klasma.github.io/Logging_0188/artfynd/A 38137-2019 artfynd.xlsx", "A 38137-2019")</f>
        <v/>
      </c>
      <c r="T122">
        <f>HYPERLINK("https://klasma.github.io/Logging_0188/kartor/A 38137-2019 karta.png", "A 38137-2019")</f>
        <v/>
      </c>
      <c r="V122">
        <f>HYPERLINK("https://klasma.github.io/Logging_0188/klagomål/A 38137-2019 FSC-klagomål.docx", "A 38137-2019")</f>
        <v/>
      </c>
      <c r="W122">
        <f>HYPERLINK("https://klasma.github.io/Logging_0188/klagomålsmail/A 38137-2019 FSC-klagomål mail.docx", "A 38137-2019")</f>
        <v/>
      </c>
      <c r="X122">
        <f>HYPERLINK("https://klasma.github.io/Logging_0188/tillsyn/A 38137-2019 tillsynsbegäran.docx", "A 38137-2019")</f>
        <v/>
      </c>
      <c r="Y122">
        <f>HYPERLINK("https://klasma.github.io/Logging_0188/tillsynsmail/A 38137-2019 tillsynsbegäran mail.docx", "A 38137-2019")</f>
        <v/>
      </c>
    </row>
    <row r="123" ht="15" customHeight="1">
      <c r="A123" t="inlineStr">
        <is>
          <t>A 62848-2019</t>
        </is>
      </c>
      <c r="B123" s="1" t="n">
        <v>43790</v>
      </c>
      <c r="C123" s="1" t="n">
        <v>45659</v>
      </c>
      <c r="D123" t="inlineStr">
        <is>
          <t>STOCKHOLMS LÄN</t>
        </is>
      </c>
      <c r="E123" t="inlineStr">
        <is>
          <t>NORRTÄLJE</t>
        </is>
      </c>
      <c r="F123" t="inlineStr">
        <is>
          <t>Holmen skog AB</t>
        </is>
      </c>
      <c r="G123" t="n">
        <v>6.6</v>
      </c>
      <c r="H123" t="n">
        <v>1</v>
      </c>
      <c r="I123" t="n">
        <v>0</v>
      </c>
      <c r="J123" t="n">
        <v>0</v>
      </c>
      <c r="K123" t="n">
        <v>0</v>
      </c>
      <c r="L123" t="n">
        <v>1</v>
      </c>
      <c r="M123" t="n">
        <v>0</v>
      </c>
      <c r="N123" t="n">
        <v>0</v>
      </c>
      <c r="O123" t="n">
        <v>1</v>
      </c>
      <c r="P123" t="n">
        <v>1</v>
      </c>
      <c r="Q123" t="n">
        <v>1</v>
      </c>
      <c r="R123" s="2" t="inlineStr">
        <is>
          <t>Asknätfjäril</t>
        </is>
      </c>
      <c r="S123">
        <f>HYPERLINK("https://klasma.github.io/Logging_0188/artfynd/A 62848-2019 artfynd.xlsx", "A 62848-2019")</f>
        <v/>
      </c>
      <c r="T123">
        <f>HYPERLINK("https://klasma.github.io/Logging_0188/kartor/A 62848-2019 karta.png", "A 62848-2019")</f>
        <v/>
      </c>
      <c r="V123">
        <f>HYPERLINK("https://klasma.github.io/Logging_0188/klagomål/A 62848-2019 FSC-klagomål.docx", "A 62848-2019")</f>
        <v/>
      </c>
      <c r="W123">
        <f>HYPERLINK("https://klasma.github.io/Logging_0188/klagomålsmail/A 62848-2019 FSC-klagomål mail.docx", "A 62848-2019")</f>
        <v/>
      </c>
      <c r="X123">
        <f>HYPERLINK("https://klasma.github.io/Logging_0188/tillsyn/A 62848-2019 tillsynsbegäran.docx", "A 62848-2019")</f>
        <v/>
      </c>
      <c r="Y123">
        <f>HYPERLINK("https://klasma.github.io/Logging_0188/tillsynsmail/A 62848-2019 tillsynsbegäran mail.docx", "A 62848-2019")</f>
        <v/>
      </c>
    </row>
    <row r="124" ht="15" customHeight="1">
      <c r="A124" t="inlineStr">
        <is>
          <t>A 64849-2019</t>
        </is>
      </c>
      <c r="B124" s="1" t="n">
        <v>43801</v>
      </c>
      <c r="C124" s="1" t="n">
        <v>45659</v>
      </c>
      <c r="D124" t="inlineStr">
        <is>
          <t>STOCKHOLMS LÄN</t>
        </is>
      </c>
      <c r="E124" t="inlineStr">
        <is>
          <t>NORRTÄLJE</t>
        </is>
      </c>
      <c r="G124" t="n">
        <v>1.6</v>
      </c>
      <c r="H124" t="n">
        <v>0</v>
      </c>
      <c r="I124" t="n">
        <v>0</v>
      </c>
      <c r="J124" t="n">
        <v>1</v>
      </c>
      <c r="K124" t="n">
        <v>0</v>
      </c>
      <c r="L124" t="n">
        <v>0</v>
      </c>
      <c r="M124" t="n">
        <v>0</v>
      </c>
      <c r="N124" t="n">
        <v>0</v>
      </c>
      <c r="O124" t="n">
        <v>1</v>
      </c>
      <c r="P124" t="n">
        <v>0</v>
      </c>
      <c r="Q124" t="n">
        <v>1</v>
      </c>
      <c r="R124" s="2" t="inlineStr">
        <is>
          <t>Skogsklocka</t>
        </is>
      </c>
      <c r="S124">
        <f>HYPERLINK("https://klasma.github.io/Logging_0188/artfynd/A 64849-2019 artfynd.xlsx", "A 64849-2019")</f>
        <v/>
      </c>
      <c r="T124">
        <f>HYPERLINK("https://klasma.github.io/Logging_0188/kartor/A 64849-2019 karta.png", "A 64849-2019")</f>
        <v/>
      </c>
      <c r="V124">
        <f>HYPERLINK("https://klasma.github.io/Logging_0188/klagomål/A 64849-2019 FSC-klagomål.docx", "A 64849-2019")</f>
        <v/>
      </c>
      <c r="W124">
        <f>HYPERLINK("https://klasma.github.io/Logging_0188/klagomålsmail/A 64849-2019 FSC-klagomål mail.docx", "A 64849-2019")</f>
        <v/>
      </c>
      <c r="X124">
        <f>HYPERLINK("https://klasma.github.io/Logging_0188/tillsyn/A 64849-2019 tillsynsbegäran.docx", "A 64849-2019")</f>
        <v/>
      </c>
      <c r="Y124">
        <f>HYPERLINK("https://klasma.github.io/Logging_0188/tillsynsmail/A 64849-2019 tillsynsbegäran mail.docx", "A 64849-2019")</f>
        <v/>
      </c>
    </row>
    <row r="125" ht="15" customHeight="1">
      <c r="A125" t="inlineStr">
        <is>
          <t>A 2808-2020</t>
        </is>
      </c>
      <c r="B125" s="1" t="n">
        <v>43850</v>
      </c>
      <c r="C125" s="1" t="n">
        <v>45659</v>
      </c>
      <c r="D125" t="inlineStr">
        <is>
          <t>STOCKHOLMS LÄN</t>
        </is>
      </c>
      <c r="E125" t="inlineStr">
        <is>
          <t>NORRTÄLJE</t>
        </is>
      </c>
      <c r="G125" t="n">
        <v>1</v>
      </c>
      <c r="H125" t="n">
        <v>1</v>
      </c>
      <c r="I125" t="n">
        <v>0</v>
      </c>
      <c r="J125" t="n">
        <v>0</v>
      </c>
      <c r="K125" t="n">
        <v>1</v>
      </c>
      <c r="L125" t="n">
        <v>0</v>
      </c>
      <c r="M125" t="n">
        <v>0</v>
      </c>
      <c r="N125" t="n">
        <v>0</v>
      </c>
      <c r="O125" t="n">
        <v>1</v>
      </c>
      <c r="P125" t="n">
        <v>1</v>
      </c>
      <c r="Q125" t="n">
        <v>1</v>
      </c>
      <c r="R125" s="2" t="inlineStr">
        <is>
          <t>Knärot</t>
        </is>
      </c>
      <c r="S125">
        <f>HYPERLINK("https://klasma.github.io/Logging_0188/artfynd/A 2808-2020 artfynd.xlsx", "A 2808-2020")</f>
        <v/>
      </c>
      <c r="T125">
        <f>HYPERLINK("https://klasma.github.io/Logging_0188/kartor/A 2808-2020 karta.png", "A 2808-2020")</f>
        <v/>
      </c>
      <c r="U125">
        <f>HYPERLINK("https://klasma.github.io/Logging_0188/knärot/A 2808-2020 karta knärot.png", "A 2808-2020")</f>
        <v/>
      </c>
      <c r="V125">
        <f>HYPERLINK("https://klasma.github.io/Logging_0188/klagomål/A 2808-2020 FSC-klagomål.docx", "A 2808-2020")</f>
        <v/>
      </c>
      <c r="W125">
        <f>HYPERLINK("https://klasma.github.io/Logging_0188/klagomålsmail/A 2808-2020 FSC-klagomål mail.docx", "A 2808-2020")</f>
        <v/>
      </c>
      <c r="X125">
        <f>HYPERLINK("https://klasma.github.io/Logging_0188/tillsyn/A 2808-2020 tillsynsbegäran.docx", "A 2808-2020")</f>
        <v/>
      </c>
      <c r="Y125">
        <f>HYPERLINK("https://klasma.github.io/Logging_0188/tillsynsmail/A 2808-2020 tillsynsbegäran mail.docx", "A 2808-2020")</f>
        <v/>
      </c>
    </row>
    <row r="126" ht="15" customHeight="1">
      <c r="A126" t="inlineStr">
        <is>
          <t>A 2796-2020</t>
        </is>
      </c>
      <c r="B126" s="1" t="n">
        <v>43850</v>
      </c>
      <c r="C126" s="1" t="n">
        <v>45659</v>
      </c>
      <c r="D126" t="inlineStr">
        <is>
          <t>STOCKHOLMS LÄN</t>
        </is>
      </c>
      <c r="E126" t="inlineStr">
        <is>
          <t>NORRTÄLJE</t>
        </is>
      </c>
      <c r="G126" t="n">
        <v>5.6</v>
      </c>
      <c r="H126" t="n">
        <v>1</v>
      </c>
      <c r="I126" t="n">
        <v>1</v>
      </c>
      <c r="J126" t="n">
        <v>0</v>
      </c>
      <c r="K126" t="n">
        <v>0</v>
      </c>
      <c r="L126" t="n">
        <v>0</v>
      </c>
      <c r="M126" t="n">
        <v>0</v>
      </c>
      <c r="N126" t="n">
        <v>0</v>
      </c>
      <c r="O126" t="n">
        <v>0</v>
      </c>
      <c r="P126" t="n">
        <v>0</v>
      </c>
      <c r="Q126" t="n">
        <v>1</v>
      </c>
      <c r="R126" s="2" t="inlineStr">
        <is>
          <t>Spindelblomster</t>
        </is>
      </c>
      <c r="S126">
        <f>HYPERLINK("https://klasma.github.io/Logging_0188/artfynd/A 2796-2020 artfynd.xlsx", "A 2796-2020")</f>
        <v/>
      </c>
      <c r="T126">
        <f>HYPERLINK("https://klasma.github.io/Logging_0188/kartor/A 2796-2020 karta.png", "A 2796-2020")</f>
        <v/>
      </c>
      <c r="V126">
        <f>HYPERLINK("https://klasma.github.io/Logging_0188/klagomål/A 2796-2020 FSC-klagomål.docx", "A 2796-2020")</f>
        <v/>
      </c>
      <c r="W126">
        <f>HYPERLINK("https://klasma.github.io/Logging_0188/klagomålsmail/A 2796-2020 FSC-klagomål mail.docx", "A 2796-2020")</f>
        <v/>
      </c>
      <c r="X126">
        <f>HYPERLINK("https://klasma.github.io/Logging_0188/tillsyn/A 2796-2020 tillsynsbegäran.docx", "A 2796-2020")</f>
        <v/>
      </c>
      <c r="Y126">
        <f>HYPERLINK("https://klasma.github.io/Logging_0188/tillsynsmail/A 2796-2020 tillsynsbegäran mail.docx", "A 2796-2020")</f>
        <v/>
      </c>
    </row>
    <row r="127" ht="15" customHeight="1">
      <c r="A127" t="inlineStr">
        <is>
          <t>A 9051-2020</t>
        </is>
      </c>
      <c r="B127" s="1" t="n">
        <v>43879</v>
      </c>
      <c r="C127" s="1" t="n">
        <v>45659</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9051-2020 artfynd.xlsx", "A 9051-2020")</f>
        <v/>
      </c>
      <c r="T127">
        <f>HYPERLINK("https://klasma.github.io/Logging_0188/kartor/A 9051-2020 karta.png", "A 9051-2020")</f>
        <v/>
      </c>
      <c r="V127">
        <f>HYPERLINK("https://klasma.github.io/Logging_0188/klagomål/A 9051-2020 FSC-klagomål.docx", "A 9051-2020")</f>
        <v/>
      </c>
      <c r="W127">
        <f>HYPERLINK("https://klasma.github.io/Logging_0188/klagomålsmail/A 9051-2020 FSC-klagomål mail.docx", "A 9051-2020")</f>
        <v/>
      </c>
      <c r="X127">
        <f>HYPERLINK("https://klasma.github.io/Logging_0188/tillsyn/A 9051-2020 tillsynsbegäran.docx", "A 9051-2020")</f>
        <v/>
      </c>
      <c r="Y127">
        <f>HYPERLINK("https://klasma.github.io/Logging_0188/tillsynsmail/A 9051-2020 tillsynsbegäran mail.docx", "A 9051-2020")</f>
        <v/>
      </c>
    </row>
    <row r="128" ht="15" customHeight="1">
      <c r="A128" t="inlineStr">
        <is>
          <t>A 12843-2020</t>
        </is>
      </c>
      <c r="B128" s="1" t="n">
        <v>43899</v>
      </c>
      <c r="C128" s="1" t="n">
        <v>45659</v>
      </c>
      <c r="D128" t="inlineStr">
        <is>
          <t>STOCKHOLMS LÄN</t>
        </is>
      </c>
      <c r="E128" t="inlineStr">
        <is>
          <t>NORRTÄLJE</t>
        </is>
      </c>
      <c r="G128" t="n">
        <v>7.5</v>
      </c>
      <c r="H128" t="n">
        <v>1</v>
      </c>
      <c r="I128" t="n">
        <v>0</v>
      </c>
      <c r="J128" t="n">
        <v>1</v>
      </c>
      <c r="K128" t="n">
        <v>0</v>
      </c>
      <c r="L128" t="n">
        <v>0</v>
      </c>
      <c r="M128" t="n">
        <v>0</v>
      </c>
      <c r="N128" t="n">
        <v>0</v>
      </c>
      <c r="O128" t="n">
        <v>1</v>
      </c>
      <c r="P128" t="n">
        <v>0</v>
      </c>
      <c r="Q128" t="n">
        <v>1</v>
      </c>
      <c r="R128" s="2" t="inlineStr">
        <is>
          <t>Talltita</t>
        </is>
      </c>
      <c r="S128">
        <f>HYPERLINK("https://klasma.github.io/Logging_0188/artfynd/A 12843-2020 artfynd.xlsx", "A 12843-2020")</f>
        <v/>
      </c>
      <c r="T128">
        <f>HYPERLINK("https://klasma.github.io/Logging_0188/kartor/A 12843-2020 karta.png", "A 12843-2020")</f>
        <v/>
      </c>
      <c r="V128">
        <f>HYPERLINK("https://klasma.github.io/Logging_0188/klagomål/A 12843-2020 FSC-klagomål.docx", "A 12843-2020")</f>
        <v/>
      </c>
      <c r="W128">
        <f>HYPERLINK("https://klasma.github.io/Logging_0188/klagomålsmail/A 12843-2020 FSC-klagomål mail.docx", "A 12843-2020")</f>
        <v/>
      </c>
      <c r="X128">
        <f>HYPERLINK("https://klasma.github.io/Logging_0188/tillsyn/A 12843-2020 tillsynsbegäran.docx", "A 12843-2020")</f>
        <v/>
      </c>
      <c r="Y128">
        <f>HYPERLINK("https://klasma.github.io/Logging_0188/tillsynsmail/A 12843-2020 tillsynsbegäran mail.docx", "A 12843-2020")</f>
        <v/>
      </c>
      <c r="Z128">
        <f>HYPERLINK("https://klasma.github.io/Logging_0188/fåglar/A 12843-2020 prioriterade fågelarter.docx", "A 12843-2020")</f>
        <v/>
      </c>
    </row>
    <row r="129" ht="15" customHeight="1">
      <c r="A129" t="inlineStr">
        <is>
          <t>A 28380-2020</t>
        </is>
      </c>
      <c r="B129" s="1" t="n">
        <v>43998</v>
      </c>
      <c r="C129" s="1" t="n">
        <v>45659</v>
      </c>
      <c r="D129" t="inlineStr">
        <is>
          <t>STOCKHOLMS LÄN</t>
        </is>
      </c>
      <c r="E129" t="inlineStr">
        <is>
          <t>NORRTÄLJE</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28380-2020 artfynd.xlsx", "A 28380-2020")</f>
        <v/>
      </c>
      <c r="T129">
        <f>HYPERLINK("https://klasma.github.io/Logging_0188/kartor/A 28380-2020 karta.png", "A 28380-2020")</f>
        <v/>
      </c>
      <c r="V129">
        <f>HYPERLINK("https://klasma.github.io/Logging_0188/klagomål/A 28380-2020 FSC-klagomål.docx", "A 28380-2020")</f>
        <v/>
      </c>
      <c r="W129">
        <f>HYPERLINK("https://klasma.github.io/Logging_0188/klagomålsmail/A 28380-2020 FSC-klagomål mail.docx", "A 28380-2020")</f>
        <v/>
      </c>
      <c r="X129">
        <f>HYPERLINK("https://klasma.github.io/Logging_0188/tillsyn/A 28380-2020 tillsynsbegäran.docx", "A 28380-2020")</f>
        <v/>
      </c>
      <c r="Y129">
        <f>HYPERLINK("https://klasma.github.io/Logging_0188/tillsynsmail/A 28380-2020 tillsynsbegäran mail.docx", "A 28380-2020")</f>
        <v/>
      </c>
    </row>
    <row r="130" ht="15" customHeight="1">
      <c r="A130" t="inlineStr">
        <is>
          <t>A 48288-2020</t>
        </is>
      </c>
      <c r="B130" s="1" t="n">
        <v>44102</v>
      </c>
      <c r="C130" s="1" t="n">
        <v>45659</v>
      </c>
      <c r="D130" t="inlineStr">
        <is>
          <t>STOCKHOLMS LÄN</t>
        </is>
      </c>
      <c r="E130" t="inlineStr">
        <is>
          <t>NORRTÄLJE</t>
        </is>
      </c>
      <c r="F130" t="inlineStr">
        <is>
          <t>Holmen skog AB</t>
        </is>
      </c>
      <c r="G130" t="n">
        <v>2.9</v>
      </c>
      <c r="H130" t="n">
        <v>1</v>
      </c>
      <c r="I130" t="n">
        <v>0</v>
      </c>
      <c r="J130" t="n">
        <v>0</v>
      </c>
      <c r="K130" t="n">
        <v>0</v>
      </c>
      <c r="L130" t="n">
        <v>1</v>
      </c>
      <c r="M130" t="n">
        <v>0</v>
      </c>
      <c r="N130" t="n">
        <v>0</v>
      </c>
      <c r="O130" t="n">
        <v>1</v>
      </c>
      <c r="P130" t="n">
        <v>1</v>
      </c>
      <c r="Q130" t="n">
        <v>1</v>
      </c>
      <c r="R130" s="2" t="inlineStr">
        <is>
          <t>Asknätfjäril</t>
        </is>
      </c>
      <c r="S130">
        <f>HYPERLINK("https://klasma.github.io/Logging_0188/artfynd/A 48288-2020 artfynd.xlsx", "A 48288-2020")</f>
        <v/>
      </c>
      <c r="T130">
        <f>HYPERLINK("https://klasma.github.io/Logging_0188/kartor/A 48288-2020 karta.png", "A 48288-2020")</f>
        <v/>
      </c>
      <c r="V130">
        <f>HYPERLINK("https://klasma.github.io/Logging_0188/klagomål/A 48288-2020 FSC-klagomål.docx", "A 48288-2020")</f>
        <v/>
      </c>
      <c r="W130">
        <f>HYPERLINK("https://klasma.github.io/Logging_0188/klagomålsmail/A 48288-2020 FSC-klagomål mail.docx", "A 48288-2020")</f>
        <v/>
      </c>
      <c r="X130">
        <f>HYPERLINK("https://klasma.github.io/Logging_0188/tillsyn/A 48288-2020 tillsynsbegäran.docx", "A 48288-2020")</f>
        <v/>
      </c>
      <c r="Y130">
        <f>HYPERLINK("https://klasma.github.io/Logging_0188/tillsynsmail/A 48288-2020 tillsynsbegäran mail.docx", "A 48288-2020")</f>
        <v/>
      </c>
    </row>
    <row r="131" ht="15" customHeight="1">
      <c r="A131" t="inlineStr">
        <is>
          <t>A 62846-2020</t>
        </is>
      </c>
      <c r="B131" s="1" t="n">
        <v>44161</v>
      </c>
      <c r="C131" s="1" t="n">
        <v>45659</v>
      </c>
      <c r="D131" t="inlineStr">
        <is>
          <t>STOCKHOLMS LÄN</t>
        </is>
      </c>
      <c r="E131" t="inlineStr">
        <is>
          <t>NORRTÄLJE</t>
        </is>
      </c>
      <c r="G131" t="n">
        <v>1.4</v>
      </c>
      <c r="H131" t="n">
        <v>1</v>
      </c>
      <c r="I131" t="n">
        <v>0</v>
      </c>
      <c r="J131" t="n">
        <v>0</v>
      </c>
      <c r="K131" t="n">
        <v>0</v>
      </c>
      <c r="L131" t="n">
        <v>0</v>
      </c>
      <c r="M131" t="n">
        <v>0</v>
      </c>
      <c r="N131" t="n">
        <v>0</v>
      </c>
      <c r="O131" t="n">
        <v>0</v>
      </c>
      <c r="P131" t="n">
        <v>0</v>
      </c>
      <c r="Q131" t="n">
        <v>1</v>
      </c>
      <c r="R131" s="2" t="inlineStr">
        <is>
          <t>Fläcknycklar</t>
        </is>
      </c>
      <c r="S131">
        <f>HYPERLINK("https://klasma.github.io/Logging_0188/artfynd/A 62846-2020 artfynd.xlsx", "A 62846-2020")</f>
        <v/>
      </c>
      <c r="T131">
        <f>HYPERLINK("https://klasma.github.io/Logging_0188/kartor/A 62846-2020 karta.png", "A 62846-2020")</f>
        <v/>
      </c>
      <c r="V131">
        <f>HYPERLINK("https://klasma.github.io/Logging_0188/klagomål/A 62846-2020 FSC-klagomål.docx", "A 62846-2020")</f>
        <v/>
      </c>
      <c r="W131">
        <f>HYPERLINK("https://klasma.github.io/Logging_0188/klagomålsmail/A 62846-2020 FSC-klagomål mail.docx", "A 62846-2020")</f>
        <v/>
      </c>
      <c r="X131">
        <f>HYPERLINK("https://klasma.github.io/Logging_0188/tillsyn/A 62846-2020 tillsynsbegäran.docx", "A 62846-2020")</f>
        <v/>
      </c>
      <c r="Y131">
        <f>HYPERLINK("https://klasma.github.io/Logging_0188/tillsynsmail/A 62846-2020 tillsynsbegäran mail.docx", "A 62846-2020")</f>
        <v/>
      </c>
    </row>
    <row r="132" ht="15" customHeight="1">
      <c r="A132" t="inlineStr">
        <is>
          <t>A 1162-2021</t>
        </is>
      </c>
      <c r="B132" s="1" t="n">
        <v>44207</v>
      </c>
      <c r="C132" s="1" t="n">
        <v>45659</v>
      </c>
      <c r="D132" t="inlineStr">
        <is>
          <t>STOCKHOLMS LÄN</t>
        </is>
      </c>
      <c r="E132" t="inlineStr">
        <is>
          <t>NORRTÄLJE</t>
        </is>
      </c>
      <c r="G132" t="n">
        <v>2.2</v>
      </c>
      <c r="H132" t="n">
        <v>1</v>
      </c>
      <c r="I132" t="n">
        <v>0</v>
      </c>
      <c r="J132" t="n">
        <v>0</v>
      </c>
      <c r="K132" t="n">
        <v>1</v>
      </c>
      <c r="L132" t="n">
        <v>0</v>
      </c>
      <c r="M132" t="n">
        <v>0</v>
      </c>
      <c r="N132" t="n">
        <v>0</v>
      </c>
      <c r="O132" t="n">
        <v>1</v>
      </c>
      <c r="P132" t="n">
        <v>1</v>
      </c>
      <c r="Q132" t="n">
        <v>1</v>
      </c>
      <c r="R132" s="2" t="inlineStr">
        <is>
          <t>Hällebräcka</t>
        </is>
      </c>
      <c r="S132">
        <f>HYPERLINK("https://klasma.github.io/Logging_0188/artfynd/A 1162-2021 artfynd.xlsx", "A 1162-2021")</f>
        <v/>
      </c>
      <c r="T132">
        <f>HYPERLINK("https://klasma.github.io/Logging_0188/kartor/A 1162-2021 karta.png", "A 1162-2021")</f>
        <v/>
      </c>
      <c r="V132">
        <f>HYPERLINK("https://klasma.github.io/Logging_0188/klagomål/A 1162-2021 FSC-klagomål.docx", "A 1162-2021")</f>
        <v/>
      </c>
      <c r="W132">
        <f>HYPERLINK("https://klasma.github.io/Logging_0188/klagomålsmail/A 1162-2021 FSC-klagomål mail.docx", "A 1162-2021")</f>
        <v/>
      </c>
      <c r="X132">
        <f>HYPERLINK("https://klasma.github.io/Logging_0188/tillsyn/A 1162-2021 tillsynsbegäran.docx", "A 1162-2021")</f>
        <v/>
      </c>
      <c r="Y132">
        <f>HYPERLINK("https://klasma.github.io/Logging_0188/tillsynsmail/A 1162-2021 tillsynsbegäran mail.docx", "A 1162-2021")</f>
        <v/>
      </c>
    </row>
    <row r="133" ht="15" customHeight="1">
      <c r="A133" t="inlineStr">
        <is>
          <t>A 30138-2021</t>
        </is>
      </c>
      <c r="B133" s="1" t="n">
        <v>44363</v>
      </c>
      <c r="C133" s="1" t="n">
        <v>45659</v>
      </c>
      <c r="D133" t="inlineStr">
        <is>
          <t>STOCKHOLMS LÄN</t>
        </is>
      </c>
      <c r="E133" t="inlineStr">
        <is>
          <t>NORRTÄLJE</t>
        </is>
      </c>
      <c r="G133" t="n">
        <v>4.5</v>
      </c>
      <c r="H133" t="n">
        <v>0</v>
      </c>
      <c r="I133" t="n">
        <v>1</v>
      </c>
      <c r="J133" t="n">
        <v>0</v>
      </c>
      <c r="K133" t="n">
        <v>0</v>
      </c>
      <c r="L133" t="n">
        <v>0</v>
      </c>
      <c r="M133" t="n">
        <v>0</v>
      </c>
      <c r="N133" t="n">
        <v>0</v>
      </c>
      <c r="O133" t="n">
        <v>0</v>
      </c>
      <c r="P133" t="n">
        <v>0</v>
      </c>
      <c r="Q133" t="n">
        <v>1</v>
      </c>
      <c r="R133" s="2" t="inlineStr">
        <is>
          <t>Vårärt</t>
        </is>
      </c>
      <c r="S133">
        <f>HYPERLINK("https://klasma.github.io/Logging_0188/artfynd/A 30138-2021 artfynd.xlsx", "A 30138-2021")</f>
        <v/>
      </c>
      <c r="T133">
        <f>HYPERLINK("https://klasma.github.io/Logging_0188/kartor/A 30138-2021 karta.png", "A 30138-2021")</f>
        <v/>
      </c>
      <c r="V133">
        <f>HYPERLINK("https://klasma.github.io/Logging_0188/klagomål/A 30138-2021 FSC-klagomål.docx", "A 30138-2021")</f>
        <v/>
      </c>
      <c r="W133">
        <f>HYPERLINK("https://klasma.github.io/Logging_0188/klagomålsmail/A 30138-2021 FSC-klagomål mail.docx", "A 30138-2021")</f>
        <v/>
      </c>
      <c r="X133">
        <f>HYPERLINK("https://klasma.github.io/Logging_0188/tillsyn/A 30138-2021 tillsynsbegäran.docx", "A 30138-2021")</f>
        <v/>
      </c>
      <c r="Y133">
        <f>HYPERLINK("https://klasma.github.io/Logging_0188/tillsynsmail/A 30138-2021 tillsynsbegäran mail.docx", "A 30138-2021")</f>
        <v/>
      </c>
    </row>
    <row r="134" ht="15" customHeight="1">
      <c r="A134" t="inlineStr">
        <is>
          <t>A 33302-2021</t>
        </is>
      </c>
      <c r="B134" s="1" t="n">
        <v>44377</v>
      </c>
      <c r="C134" s="1" t="n">
        <v>45659</v>
      </c>
      <c r="D134" t="inlineStr">
        <is>
          <t>STOCKHOLMS LÄN</t>
        </is>
      </c>
      <c r="E134" t="inlineStr">
        <is>
          <t>NORRTÄLJE</t>
        </is>
      </c>
      <c r="G134" t="n">
        <v>12.5</v>
      </c>
      <c r="H134" t="n">
        <v>1</v>
      </c>
      <c r="I134" t="n">
        <v>0</v>
      </c>
      <c r="J134" t="n">
        <v>1</v>
      </c>
      <c r="K134" t="n">
        <v>0</v>
      </c>
      <c r="L134" t="n">
        <v>0</v>
      </c>
      <c r="M134" t="n">
        <v>0</v>
      </c>
      <c r="N134" t="n">
        <v>0</v>
      </c>
      <c r="O134" t="n">
        <v>1</v>
      </c>
      <c r="P134" t="n">
        <v>0</v>
      </c>
      <c r="Q134" t="n">
        <v>1</v>
      </c>
      <c r="R134" s="2" t="inlineStr">
        <is>
          <t>Spillkråka</t>
        </is>
      </c>
      <c r="S134">
        <f>HYPERLINK("https://klasma.github.io/Logging_0188/artfynd/A 33302-2021 artfynd.xlsx", "A 33302-2021")</f>
        <v/>
      </c>
      <c r="T134">
        <f>HYPERLINK("https://klasma.github.io/Logging_0188/kartor/A 33302-2021 karta.png", "A 33302-2021")</f>
        <v/>
      </c>
      <c r="V134">
        <f>HYPERLINK("https://klasma.github.io/Logging_0188/klagomål/A 33302-2021 FSC-klagomål.docx", "A 33302-2021")</f>
        <v/>
      </c>
      <c r="W134">
        <f>HYPERLINK("https://klasma.github.io/Logging_0188/klagomålsmail/A 33302-2021 FSC-klagomål mail.docx", "A 33302-2021")</f>
        <v/>
      </c>
      <c r="X134">
        <f>HYPERLINK("https://klasma.github.io/Logging_0188/tillsyn/A 33302-2021 tillsynsbegäran.docx", "A 33302-2021")</f>
        <v/>
      </c>
      <c r="Y134">
        <f>HYPERLINK("https://klasma.github.io/Logging_0188/tillsynsmail/A 33302-2021 tillsynsbegäran mail.docx", "A 33302-2021")</f>
        <v/>
      </c>
      <c r="Z134">
        <f>HYPERLINK("https://klasma.github.io/Logging_0188/fåglar/A 33302-2021 prioriterade fågelarter.docx", "A 33302-2021")</f>
        <v/>
      </c>
    </row>
    <row r="135" ht="15" customHeight="1">
      <c r="A135" t="inlineStr">
        <is>
          <t>A 58888-2021</t>
        </is>
      </c>
      <c r="B135" s="1" t="n">
        <v>44489</v>
      </c>
      <c r="C135" s="1" t="n">
        <v>45659</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68692-2021</t>
        </is>
      </c>
      <c r="B136" s="1" t="n">
        <v>44529</v>
      </c>
      <c r="C136" s="1" t="n">
        <v>45659</v>
      </c>
      <c r="D136" t="inlineStr">
        <is>
          <t>STOCKHOLMS LÄN</t>
        </is>
      </c>
      <c r="E136" t="inlineStr">
        <is>
          <t>NORRTÄLJE</t>
        </is>
      </c>
      <c r="F136" t="inlineStr">
        <is>
          <t>Holmen skog AB</t>
        </is>
      </c>
      <c r="G136" t="n">
        <v>0.7</v>
      </c>
      <c r="H136" t="n">
        <v>1</v>
      </c>
      <c r="I136" t="n">
        <v>0</v>
      </c>
      <c r="J136" t="n">
        <v>0</v>
      </c>
      <c r="K136" t="n">
        <v>0</v>
      </c>
      <c r="L136" t="n">
        <v>1</v>
      </c>
      <c r="M136" t="n">
        <v>0</v>
      </c>
      <c r="N136" t="n">
        <v>0</v>
      </c>
      <c r="O136" t="n">
        <v>1</v>
      </c>
      <c r="P136" t="n">
        <v>1</v>
      </c>
      <c r="Q136" t="n">
        <v>1</v>
      </c>
      <c r="R136" s="2" t="inlineStr">
        <is>
          <t>Asknätfjäril</t>
        </is>
      </c>
      <c r="S136">
        <f>HYPERLINK("https://klasma.github.io/Logging_0188/artfynd/A 68692-2021 artfynd.xlsx", "A 68692-2021")</f>
        <v/>
      </c>
      <c r="T136">
        <f>HYPERLINK("https://klasma.github.io/Logging_0188/kartor/A 68692-2021 karta.png", "A 68692-2021")</f>
        <v/>
      </c>
      <c r="V136">
        <f>HYPERLINK("https://klasma.github.io/Logging_0188/klagomål/A 68692-2021 FSC-klagomål.docx", "A 68692-2021")</f>
        <v/>
      </c>
      <c r="W136">
        <f>HYPERLINK("https://klasma.github.io/Logging_0188/klagomålsmail/A 68692-2021 FSC-klagomål mail.docx", "A 68692-2021")</f>
        <v/>
      </c>
      <c r="X136">
        <f>HYPERLINK("https://klasma.github.io/Logging_0188/tillsyn/A 68692-2021 tillsynsbegäran.docx", "A 68692-2021")</f>
        <v/>
      </c>
      <c r="Y136">
        <f>HYPERLINK("https://klasma.github.io/Logging_0188/tillsynsmail/A 68692-2021 tillsynsbegäran mail.docx", "A 68692-2021")</f>
        <v/>
      </c>
    </row>
    <row r="137" ht="15" customHeight="1">
      <c r="A137" t="inlineStr">
        <is>
          <t>A 188-2022</t>
        </is>
      </c>
      <c r="B137" s="1" t="n">
        <v>44564</v>
      </c>
      <c r="C137" s="1" t="n">
        <v>45659</v>
      </c>
      <c r="D137" t="inlineStr">
        <is>
          <t>STOCKHOLMS LÄN</t>
        </is>
      </c>
      <c r="E137" t="inlineStr">
        <is>
          <t>NORRTÄLJE</t>
        </is>
      </c>
      <c r="G137" t="n">
        <v>4.1</v>
      </c>
      <c r="H137" t="n">
        <v>0</v>
      </c>
      <c r="I137" t="n">
        <v>1</v>
      </c>
      <c r="J137" t="n">
        <v>0</v>
      </c>
      <c r="K137" t="n">
        <v>0</v>
      </c>
      <c r="L137" t="n">
        <v>0</v>
      </c>
      <c r="M137" t="n">
        <v>0</v>
      </c>
      <c r="N137" t="n">
        <v>0</v>
      </c>
      <c r="O137" t="n">
        <v>0</v>
      </c>
      <c r="P137" t="n">
        <v>0</v>
      </c>
      <c r="Q137" t="n">
        <v>1</v>
      </c>
      <c r="R137" s="2" t="inlineStr">
        <is>
          <t>Svart trolldruva</t>
        </is>
      </c>
      <c r="S137">
        <f>HYPERLINK("https://klasma.github.io/Logging_0188/artfynd/A 188-2022 artfynd.xlsx", "A 188-2022")</f>
        <v/>
      </c>
      <c r="T137">
        <f>HYPERLINK("https://klasma.github.io/Logging_0188/kartor/A 188-2022 karta.png", "A 188-2022")</f>
        <v/>
      </c>
      <c r="V137">
        <f>HYPERLINK("https://klasma.github.io/Logging_0188/klagomål/A 188-2022 FSC-klagomål.docx", "A 188-2022")</f>
        <v/>
      </c>
      <c r="W137">
        <f>HYPERLINK("https://klasma.github.io/Logging_0188/klagomålsmail/A 188-2022 FSC-klagomål mail.docx", "A 188-2022")</f>
        <v/>
      </c>
      <c r="X137">
        <f>HYPERLINK("https://klasma.github.io/Logging_0188/tillsyn/A 188-2022 tillsynsbegäran.docx", "A 188-2022")</f>
        <v/>
      </c>
      <c r="Y137">
        <f>HYPERLINK("https://klasma.github.io/Logging_0188/tillsynsmail/A 188-2022 tillsynsbegäran mail.docx", "A 188-2022")</f>
        <v/>
      </c>
    </row>
    <row r="138" ht="15" customHeight="1">
      <c r="A138" t="inlineStr">
        <is>
          <t>A 1547-2022</t>
        </is>
      </c>
      <c r="B138" s="1" t="n">
        <v>44573</v>
      </c>
      <c r="C138" s="1" t="n">
        <v>45659</v>
      </c>
      <c r="D138" t="inlineStr">
        <is>
          <t>STOCKHOLMS LÄN</t>
        </is>
      </c>
      <c r="E138" t="inlineStr">
        <is>
          <t>NORRTÄLJE</t>
        </is>
      </c>
      <c r="G138" t="n">
        <v>1.8</v>
      </c>
      <c r="H138" t="n">
        <v>1</v>
      </c>
      <c r="I138" t="n">
        <v>0</v>
      </c>
      <c r="J138" t="n">
        <v>0</v>
      </c>
      <c r="K138" t="n">
        <v>1</v>
      </c>
      <c r="L138" t="n">
        <v>0</v>
      </c>
      <c r="M138" t="n">
        <v>0</v>
      </c>
      <c r="N138" t="n">
        <v>0</v>
      </c>
      <c r="O138" t="n">
        <v>1</v>
      </c>
      <c r="P138" t="n">
        <v>1</v>
      </c>
      <c r="Q138" t="n">
        <v>1</v>
      </c>
      <c r="R138" s="2" t="inlineStr">
        <is>
          <t>Hällebräcka</t>
        </is>
      </c>
      <c r="S138">
        <f>HYPERLINK("https://klasma.github.io/Logging_0188/artfynd/A 1547-2022 artfynd.xlsx", "A 1547-2022")</f>
        <v/>
      </c>
      <c r="T138">
        <f>HYPERLINK("https://klasma.github.io/Logging_0188/kartor/A 1547-2022 karta.png", "A 1547-2022")</f>
        <v/>
      </c>
      <c r="V138">
        <f>HYPERLINK("https://klasma.github.io/Logging_0188/klagomål/A 1547-2022 FSC-klagomål.docx", "A 1547-2022")</f>
        <v/>
      </c>
      <c r="W138">
        <f>HYPERLINK("https://klasma.github.io/Logging_0188/klagomålsmail/A 1547-2022 FSC-klagomål mail.docx", "A 1547-2022")</f>
        <v/>
      </c>
      <c r="X138">
        <f>HYPERLINK("https://klasma.github.io/Logging_0188/tillsyn/A 1547-2022 tillsynsbegäran.docx", "A 1547-2022")</f>
        <v/>
      </c>
      <c r="Y138">
        <f>HYPERLINK("https://klasma.github.io/Logging_0188/tillsynsmail/A 1547-2022 tillsynsbegäran mail.docx", "A 1547-2022")</f>
        <v/>
      </c>
    </row>
    <row r="139" ht="15" customHeight="1">
      <c r="A139" t="inlineStr">
        <is>
          <t>A 7172-2022</t>
        </is>
      </c>
      <c r="B139" s="1" t="n">
        <v>44604</v>
      </c>
      <c r="C139" s="1" t="n">
        <v>45659</v>
      </c>
      <c r="D139" t="inlineStr">
        <is>
          <t>STOCKHOLMS LÄN</t>
        </is>
      </c>
      <c r="E139" t="inlineStr">
        <is>
          <t>NORRTÄLJE</t>
        </is>
      </c>
      <c r="G139" t="n">
        <v>4.8</v>
      </c>
      <c r="H139" t="n">
        <v>0</v>
      </c>
      <c r="I139" t="n">
        <v>1</v>
      </c>
      <c r="J139" t="n">
        <v>0</v>
      </c>
      <c r="K139" t="n">
        <v>0</v>
      </c>
      <c r="L139" t="n">
        <v>0</v>
      </c>
      <c r="M139" t="n">
        <v>0</v>
      </c>
      <c r="N139" t="n">
        <v>0</v>
      </c>
      <c r="O139" t="n">
        <v>0</v>
      </c>
      <c r="P139" t="n">
        <v>0</v>
      </c>
      <c r="Q139" t="n">
        <v>1</v>
      </c>
      <c r="R139" s="2" t="inlineStr">
        <is>
          <t>Trådticka</t>
        </is>
      </c>
      <c r="S139">
        <f>HYPERLINK("https://klasma.github.io/Logging_0188/artfynd/A 7172-2022 artfynd.xlsx", "A 7172-2022")</f>
        <v/>
      </c>
      <c r="T139">
        <f>HYPERLINK("https://klasma.github.io/Logging_0188/kartor/A 7172-2022 karta.png", "A 7172-2022")</f>
        <v/>
      </c>
      <c r="U139">
        <f>HYPERLINK("https://klasma.github.io/Logging_0188/knärot/A 7172-2022 karta knärot.png", "A 7172-2022")</f>
        <v/>
      </c>
      <c r="V139">
        <f>HYPERLINK("https://klasma.github.io/Logging_0188/klagomål/A 7172-2022 FSC-klagomål.docx", "A 7172-2022")</f>
        <v/>
      </c>
      <c r="W139">
        <f>HYPERLINK("https://klasma.github.io/Logging_0188/klagomålsmail/A 7172-2022 FSC-klagomål mail.docx", "A 7172-2022")</f>
        <v/>
      </c>
      <c r="X139">
        <f>HYPERLINK("https://klasma.github.io/Logging_0188/tillsyn/A 7172-2022 tillsynsbegäran.docx", "A 7172-2022")</f>
        <v/>
      </c>
      <c r="Y139">
        <f>HYPERLINK("https://klasma.github.io/Logging_0188/tillsynsmail/A 7172-2022 tillsynsbegäran mail.docx", "A 7172-2022")</f>
        <v/>
      </c>
    </row>
    <row r="140" ht="15" customHeight="1">
      <c r="A140" t="inlineStr">
        <is>
          <t>A 9955-2022</t>
        </is>
      </c>
      <c r="B140" s="1" t="n">
        <v>44620</v>
      </c>
      <c r="C140" s="1" t="n">
        <v>45659</v>
      </c>
      <c r="D140" t="inlineStr">
        <is>
          <t>STOCKHOLMS LÄN</t>
        </is>
      </c>
      <c r="E140" t="inlineStr">
        <is>
          <t>NORRTÄLJE</t>
        </is>
      </c>
      <c r="G140" t="n">
        <v>7.8</v>
      </c>
      <c r="H140" t="n">
        <v>1</v>
      </c>
      <c r="I140" t="n">
        <v>0</v>
      </c>
      <c r="J140" t="n">
        <v>0</v>
      </c>
      <c r="K140" t="n">
        <v>0</v>
      </c>
      <c r="L140" t="n">
        <v>0</v>
      </c>
      <c r="M140" t="n">
        <v>0</v>
      </c>
      <c r="N140" t="n">
        <v>0</v>
      </c>
      <c r="O140" t="n">
        <v>0</v>
      </c>
      <c r="P140" t="n">
        <v>0</v>
      </c>
      <c r="Q140" t="n">
        <v>1</v>
      </c>
      <c r="R140" s="2" t="inlineStr">
        <is>
          <t>Åkergroda</t>
        </is>
      </c>
      <c r="S140">
        <f>HYPERLINK("https://klasma.github.io/Logging_0188/artfynd/A 9955-2022 artfynd.xlsx", "A 9955-2022")</f>
        <v/>
      </c>
      <c r="T140">
        <f>HYPERLINK("https://klasma.github.io/Logging_0188/kartor/A 9955-2022 karta.png", "A 9955-2022")</f>
        <v/>
      </c>
      <c r="V140">
        <f>HYPERLINK("https://klasma.github.io/Logging_0188/klagomål/A 9955-2022 FSC-klagomål.docx", "A 9955-2022")</f>
        <v/>
      </c>
      <c r="W140">
        <f>HYPERLINK("https://klasma.github.io/Logging_0188/klagomålsmail/A 9955-2022 FSC-klagomål mail.docx", "A 9955-2022")</f>
        <v/>
      </c>
      <c r="X140">
        <f>HYPERLINK("https://klasma.github.io/Logging_0188/tillsyn/A 9955-2022 tillsynsbegäran.docx", "A 9955-2022")</f>
        <v/>
      </c>
      <c r="Y140">
        <f>HYPERLINK("https://klasma.github.io/Logging_0188/tillsynsmail/A 9955-2022 tillsynsbegäran mail.docx", "A 9955-2022")</f>
        <v/>
      </c>
    </row>
    <row r="141" ht="15" customHeight="1">
      <c r="A141" t="inlineStr">
        <is>
          <t>A 10712-2022</t>
        </is>
      </c>
      <c r="B141" s="1" t="n">
        <v>44626</v>
      </c>
      <c r="C141" s="1" t="n">
        <v>45659</v>
      </c>
      <c r="D141" t="inlineStr">
        <is>
          <t>STOCKHOLMS LÄN</t>
        </is>
      </c>
      <c r="E141" t="inlineStr">
        <is>
          <t>NORRTÄLJE</t>
        </is>
      </c>
      <c r="G141" t="n">
        <v>4.5</v>
      </c>
      <c r="H141" t="n">
        <v>1</v>
      </c>
      <c r="I141" t="n">
        <v>0</v>
      </c>
      <c r="J141" t="n">
        <v>0</v>
      </c>
      <c r="K141" t="n">
        <v>0</v>
      </c>
      <c r="L141" t="n">
        <v>0</v>
      </c>
      <c r="M141" t="n">
        <v>0</v>
      </c>
      <c r="N141" t="n">
        <v>0</v>
      </c>
      <c r="O141" t="n">
        <v>0</v>
      </c>
      <c r="P141" t="n">
        <v>0</v>
      </c>
      <c r="Q141" t="n">
        <v>1</v>
      </c>
      <c r="R141" s="2" t="inlineStr">
        <is>
          <t>Åkergroda</t>
        </is>
      </c>
      <c r="S141">
        <f>HYPERLINK("https://klasma.github.io/Logging_0188/artfynd/A 10712-2022 artfynd.xlsx", "A 10712-2022")</f>
        <v/>
      </c>
      <c r="T141">
        <f>HYPERLINK("https://klasma.github.io/Logging_0188/kartor/A 10712-2022 karta.png", "A 10712-2022")</f>
        <v/>
      </c>
      <c r="V141">
        <f>HYPERLINK("https://klasma.github.io/Logging_0188/klagomål/A 10712-2022 FSC-klagomål.docx", "A 10712-2022")</f>
        <v/>
      </c>
      <c r="W141">
        <f>HYPERLINK("https://klasma.github.io/Logging_0188/klagomålsmail/A 10712-2022 FSC-klagomål mail.docx", "A 10712-2022")</f>
        <v/>
      </c>
      <c r="X141">
        <f>HYPERLINK("https://klasma.github.io/Logging_0188/tillsyn/A 10712-2022 tillsynsbegäran.docx", "A 10712-2022")</f>
        <v/>
      </c>
      <c r="Y141">
        <f>HYPERLINK("https://klasma.github.io/Logging_0188/tillsynsmail/A 10712-2022 tillsynsbegäran mail.docx", "A 10712-2022")</f>
        <v/>
      </c>
    </row>
    <row r="142" ht="15" customHeight="1">
      <c r="A142" t="inlineStr">
        <is>
          <t>A 14720-2022</t>
        </is>
      </c>
      <c r="B142" s="1" t="n">
        <v>44656</v>
      </c>
      <c r="C142" s="1" t="n">
        <v>45659</v>
      </c>
      <c r="D142" t="inlineStr">
        <is>
          <t>STOCKHOLMS LÄN</t>
        </is>
      </c>
      <c r="E142" t="inlineStr">
        <is>
          <t>NORRTÄLJE</t>
        </is>
      </c>
      <c r="F142" t="inlineStr">
        <is>
          <t>Sveaskog</t>
        </is>
      </c>
      <c r="G142" t="n">
        <v>5.1</v>
      </c>
      <c r="H142" t="n">
        <v>0</v>
      </c>
      <c r="I142" t="n">
        <v>0</v>
      </c>
      <c r="J142" t="n">
        <v>1</v>
      </c>
      <c r="K142" t="n">
        <v>0</v>
      </c>
      <c r="L142" t="n">
        <v>0</v>
      </c>
      <c r="M142" t="n">
        <v>0</v>
      </c>
      <c r="N142" t="n">
        <v>0</v>
      </c>
      <c r="O142" t="n">
        <v>1</v>
      </c>
      <c r="P142" t="n">
        <v>0</v>
      </c>
      <c r="Q142" t="n">
        <v>1</v>
      </c>
      <c r="R142" s="2" t="inlineStr">
        <is>
          <t>Loppstarr</t>
        </is>
      </c>
      <c r="S142">
        <f>HYPERLINK("https://klasma.github.io/Logging_0188/artfynd/A 14720-2022 artfynd.xlsx", "A 14720-2022")</f>
        <v/>
      </c>
      <c r="T142">
        <f>HYPERLINK("https://klasma.github.io/Logging_0188/kartor/A 14720-2022 karta.png", "A 14720-2022")</f>
        <v/>
      </c>
      <c r="V142">
        <f>HYPERLINK("https://klasma.github.io/Logging_0188/klagomål/A 14720-2022 FSC-klagomål.docx", "A 14720-2022")</f>
        <v/>
      </c>
      <c r="W142">
        <f>HYPERLINK("https://klasma.github.io/Logging_0188/klagomålsmail/A 14720-2022 FSC-klagomål mail.docx", "A 14720-2022")</f>
        <v/>
      </c>
      <c r="X142">
        <f>HYPERLINK("https://klasma.github.io/Logging_0188/tillsyn/A 14720-2022 tillsynsbegäran.docx", "A 14720-2022")</f>
        <v/>
      </c>
      <c r="Y142">
        <f>HYPERLINK("https://klasma.github.io/Logging_0188/tillsynsmail/A 14720-2022 tillsynsbegäran mail.docx", "A 14720-2022")</f>
        <v/>
      </c>
    </row>
    <row r="143" ht="15" customHeight="1">
      <c r="A143" t="inlineStr">
        <is>
          <t>A 16539-2022</t>
        </is>
      </c>
      <c r="B143" s="1" t="n">
        <v>44672</v>
      </c>
      <c r="C143" s="1" t="n">
        <v>45659</v>
      </c>
      <c r="D143" t="inlineStr">
        <is>
          <t>STOCKHOLMS LÄN</t>
        </is>
      </c>
      <c r="E143" t="inlineStr">
        <is>
          <t>NORRTÄLJE</t>
        </is>
      </c>
      <c r="G143" t="n">
        <v>8.6</v>
      </c>
      <c r="H143" t="n">
        <v>1</v>
      </c>
      <c r="I143" t="n">
        <v>1</v>
      </c>
      <c r="J143" t="n">
        <v>0</v>
      </c>
      <c r="K143" t="n">
        <v>0</v>
      </c>
      <c r="L143" t="n">
        <v>0</v>
      </c>
      <c r="M143" t="n">
        <v>0</v>
      </c>
      <c r="N143" t="n">
        <v>0</v>
      </c>
      <c r="O143" t="n">
        <v>0</v>
      </c>
      <c r="P143" t="n">
        <v>0</v>
      </c>
      <c r="Q143" t="n">
        <v>1</v>
      </c>
      <c r="R143" s="2" t="inlineStr">
        <is>
          <t>Nästrot</t>
        </is>
      </c>
      <c r="S143">
        <f>HYPERLINK("https://klasma.github.io/Logging_0188/artfynd/A 16539-2022 artfynd.xlsx", "A 16539-2022")</f>
        <v/>
      </c>
      <c r="T143">
        <f>HYPERLINK("https://klasma.github.io/Logging_0188/kartor/A 16539-2022 karta.png", "A 16539-2022")</f>
        <v/>
      </c>
      <c r="V143">
        <f>HYPERLINK("https://klasma.github.io/Logging_0188/klagomål/A 16539-2022 FSC-klagomål.docx", "A 16539-2022")</f>
        <v/>
      </c>
      <c r="W143">
        <f>HYPERLINK("https://klasma.github.io/Logging_0188/klagomålsmail/A 16539-2022 FSC-klagomål mail.docx", "A 16539-2022")</f>
        <v/>
      </c>
      <c r="X143">
        <f>HYPERLINK("https://klasma.github.io/Logging_0188/tillsyn/A 16539-2022 tillsynsbegäran.docx", "A 16539-2022")</f>
        <v/>
      </c>
      <c r="Y143">
        <f>HYPERLINK("https://klasma.github.io/Logging_0188/tillsynsmail/A 16539-2022 tillsynsbegäran mail.docx", "A 16539-2022")</f>
        <v/>
      </c>
    </row>
    <row r="144" ht="15" customHeight="1">
      <c r="A144" t="inlineStr">
        <is>
          <t>A 19829-2022</t>
        </is>
      </c>
      <c r="B144" s="1" t="n">
        <v>44695</v>
      </c>
      <c r="C144" s="1" t="n">
        <v>45659</v>
      </c>
      <c r="D144" t="inlineStr">
        <is>
          <t>STOCKHOLMS LÄN</t>
        </is>
      </c>
      <c r="E144" t="inlineStr">
        <is>
          <t>NORRTÄLJE</t>
        </is>
      </c>
      <c r="G144" t="n">
        <v>2</v>
      </c>
      <c r="H144" t="n">
        <v>1</v>
      </c>
      <c r="I144" t="n">
        <v>1</v>
      </c>
      <c r="J144" t="n">
        <v>0</v>
      </c>
      <c r="K144" t="n">
        <v>0</v>
      </c>
      <c r="L144" t="n">
        <v>0</v>
      </c>
      <c r="M144" t="n">
        <v>0</v>
      </c>
      <c r="N144" t="n">
        <v>0</v>
      </c>
      <c r="O144" t="n">
        <v>0</v>
      </c>
      <c r="P144" t="n">
        <v>0</v>
      </c>
      <c r="Q144" t="n">
        <v>1</v>
      </c>
      <c r="R144" s="2" t="inlineStr">
        <is>
          <t>Guckusko</t>
        </is>
      </c>
      <c r="S144">
        <f>HYPERLINK("https://klasma.github.io/Logging_0188/artfynd/A 19829-2022 artfynd.xlsx", "A 19829-2022")</f>
        <v/>
      </c>
      <c r="T144">
        <f>HYPERLINK("https://klasma.github.io/Logging_0188/kartor/A 19829-2022 karta.png", "A 19829-2022")</f>
        <v/>
      </c>
      <c r="V144">
        <f>HYPERLINK("https://klasma.github.io/Logging_0188/klagomål/A 19829-2022 FSC-klagomål.docx", "A 19829-2022")</f>
        <v/>
      </c>
      <c r="W144">
        <f>HYPERLINK("https://klasma.github.io/Logging_0188/klagomålsmail/A 19829-2022 FSC-klagomål mail.docx", "A 19829-2022")</f>
        <v/>
      </c>
      <c r="X144">
        <f>HYPERLINK("https://klasma.github.io/Logging_0188/tillsyn/A 19829-2022 tillsynsbegäran.docx", "A 19829-2022")</f>
        <v/>
      </c>
      <c r="Y144">
        <f>HYPERLINK("https://klasma.github.io/Logging_0188/tillsynsmail/A 19829-2022 tillsynsbegäran mail.docx", "A 19829-2022")</f>
        <v/>
      </c>
    </row>
    <row r="145" ht="15" customHeight="1">
      <c r="A145" t="inlineStr">
        <is>
          <t>A 21150-2022</t>
        </is>
      </c>
      <c r="B145" s="1" t="n">
        <v>44704</v>
      </c>
      <c r="C145" s="1" t="n">
        <v>45659</v>
      </c>
      <c r="D145" t="inlineStr">
        <is>
          <t>STOCKHOLMS LÄN</t>
        </is>
      </c>
      <c r="E145" t="inlineStr">
        <is>
          <t>NORRTÄLJE</t>
        </is>
      </c>
      <c r="G145" t="n">
        <v>12.5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21150-2022 artfynd.xlsx", "A 21150-2022")</f>
        <v/>
      </c>
      <c r="T145">
        <f>HYPERLINK("https://klasma.github.io/Logging_0188/kartor/A 21150-2022 karta.png", "A 21150-2022")</f>
        <v/>
      </c>
      <c r="V145">
        <f>HYPERLINK("https://klasma.github.io/Logging_0188/klagomål/A 21150-2022 FSC-klagomål.docx", "A 21150-2022")</f>
        <v/>
      </c>
      <c r="W145">
        <f>HYPERLINK("https://klasma.github.io/Logging_0188/klagomålsmail/A 21150-2022 FSC-klagomål mail.docx", "A 21150-2022")</f>
        <v/>
      </c>
      <c r="X145">
        <f>HYPERLINK("https://klasma.github.io/Logging_0188/tillsyn/A 21150-2022 tillsynsbegäran.docx", "A 21150-2022")</f>
        <v/>
      </c>
      <c r="Y145">
        <f>HYPERLINK("https://klasma.github.io/Logging_0188/tillsynsmail/A 21150-2022 tillsynsbegäran mail.docx", "A 21150-2022")</f>
        <v/>
      </c>
    </row>
    <row r="146" ht="15" customHeight="1">
      <c r="A146" t="inlineStr">
        <is>
          <t>A 31194-2022</t>
        </is>
      </c>
      <c r="B146" s="1" t="n">
        <v>44770</v>
      </c>
      <c r="C146" s="1" t="n">
        <v>45659</v>
      </c>
      <c r="D146" t="inlineStr">
        <is>
          <t>STOCKHOLMS LÄN</t>
        </is>
      </c>
      <c r="E146" t="inlineStr">
        <is>
          <t>NORRTÄLJE</t>
        </is>
      </c>
      <c r="G146" t="n">
        <v>2.7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31194-2022 artfynd.xlsx", "A 31194-2022")</f>
        <v/>
      </c>
      <c r="T146">
        <f>HYPERLINK("https://klasma.github.io/Logging_0188/kartor/A 31194-2022 karta.png", "A 31194-2022")</f>
        <v/>
      </c>
      <c r="V146">
        <f>HYPERLINK("https://klasma.github.io/Logging_0188/klagomål/A 31194-2022 FSC-klagomål.docx", "A 31194-2022")</f>
        <v/>
      </c>
      <c r="W146">
        <f>HYPERLINK("https://klasma.github.io/Logging_0188/klagomålsmail/A 31194-2022 FSC-klagomål mail.docx", "A 31194-2022")</f>
        <v/>
      </c>
      <c r="X146">
        <f>HYPERLINK("https://klasma.github.io/Logging_0188/tillsyn/A 31194-2022 tillsynsbegäran.docx", "A 31194-2022")</f>
        <v/>
      </c>
      <c r="Y146">
        <f>HYPERLINK("https://klasma.github.io/Logging_0188/tillsynsmail/A 31194-2022 tillsynsbegäran mail.docx", "A 31194-2022")</f>
        <v/>
      </c>
    </row>
    <row r="147" ht="15" customHeight="1">
      <c r="A147" t="inlineStr">
        <is>
          <t>A 33477-2022</t>
        </is>
      </c>
      <c r="B147" s="1" t="n">
        <v>44788</v>
      </c>
      <c r="C147" s="1" t="n">
        <v>45659</v>
      </c>
      <c r="D147" t="inlineStr">
        <is>
          <t>STOCKHOLMS LÄN</t>
        </is>
      </c>
      <c r="E147" t="inlineStr">
        <is>
          <t>NORRTÄLJE</t>
        </is>
      </c>
      <c r="G147" t="n">
        <v>5.7</v>
      </c>
      <c r="H147" t="n">
        <v>1</v>
      </c>
      <c r="I147" t="n">
        <v>1</v>
      </c>
      <c r="J147" t="n">
        <v>0</v>
      </c>
      <c r="K147" t="n">
        <v>0</v>
      </c>
      <c r="L147" t="n">
        <v>0</v>
      </c>
      <c r="M147" t="n">
        <v>0</v>
      </c>
      <c r="N147" t="n">
        <v>0</v>
      </c>
      <c r="O147" t="n">
        <v>0</v>
      </c>
      <c r="P147" t="n">
        <v>0</v>
      </c>
      <c r="Q147" t="n">
        <v>1</v>
      </c>
      <c r="R147" s="2" t="inlineStr">
        <is>
          <t>Nästrot</t>
        </is>
      </c>
      <c r="S147">
        <f>HYPERLINK("https://klasma.github.io/Logging_0188/artfynd/A 33477-2022 artfynd.xlsx", "A 33477-2022")</f>
        <v/>
      </c>
      <c r="T147">
        <f>HYPERLINK("https://klasma.github.io/Logging_0188/kartor/A 33477-2022 karta.png", "A 33477-2022")</f>
        <v/>
      </c>
      <c r="V147">
        <f>HYPERLINK("https://klasma.github.io/Logging_0188/klagomål/A 33477-2022 FSC-klagomål.docx", "A 33477-2022")</f>
        <v/>
      </c>
      <c r="W147">
        <f>HYPERLINK("https://klasma.github.io/Logging_0188/klagomålsmail/A 33477-2022 FSC-klagomål mail.docx", "A 33477-2022")</f>
        <v/>
      </c>
      <c r="X147">
        <f>HYPERLINK("https://klasma.github.io/Logging_0188/tillsyn/A 33477-2022 tillsynsbegäran.docx", "A 33477-2022")</f>
        <v/>
      </c>
      <c r="Y147">
        <f>HYPERLINK("https://klasma.github.io/Logging_0188/tillsynsmail/A 33477-2022 tillsynsbegäran mail.docx", "A 33477-2022")</f>
        <v/>
      </c>
    </row>
    <row r="148" ht="15" customHeight="1">
      <c r="A148" t="inlineStr">
        <is>
          <t>A 37522-2022</t>
        </is>
      </c>
      <c r="B148" s="1" t="n">
        <v>44809</v>
      </c>
      <c r="C148" s="1" t="n">
        <v>45659</v>
      </c>
      <c r="D148" t="inlineStr">
        <is>
          <t>STOCKHOLMS LÄN</t>
        </is>
      </c>
      <c r="E148" t="inlineStr">
        <is>
          <t>NORRTÄLJE</t>
        </is>
      </c>
      <c r="G148" t="n">
        <v>2.4</v>
      </c>
      <c r="H148" t="n">
        <v>1</v>
      </c>
      <c r="I148" t="n">
        <v>0</v>
      </c>
      <c r="J148" t="n">
        <v>0</v>
      </c>
      <c r="K148" t="n">
        <v>0</v>
      </c>
      <c r="L148" t="n">
        <v>0</v>
      </c>
      <c r="M148" t="n">
        <v>0</v>
      </c>
      <c r="N148" t="n">
        <v>0</v>
      </c>
      <c r="O148" t="n">
        <v>0</v>
      </c>
      <c r="P148" t="n">
        <v>0</v>
      </c>
      <c r="Q148" t="n">
        <v>1</v>
      </c>
      <c r="R148" s="2" t="inlineStr">
        <is>
          <t>Blåsippa</t>
        </is>
      </c>
      <c r="S148">
        <f>HYPERLINK("https://klasma.github.io/Logging_0188/artfynd/A 37522-2022 artfynd.xlsx", "A 37522-2022")</f>
        <v/>
      </c>
      <c r="T148">
        <f>HYPERLINK("https://klasma.github.io/Logging_0188/kartor/A 37522-2022 karta.png", "A 37522-2022")</f>
        <v/>
      </c>
      <c r="V148">
        <f>HYPERLINK("https://klasma.github.io/Logging_0188/klagomål/A 37522-2022 FSC-klagomål.docx", "A 37522-2022")</f>
        <v/>
      </c>
      <c r="W148">
        <f>HYPERLINK("https://klasma.github.io/Logging_0188/klagomålsmail/A 37522-2022 FSC-klagomål mail.docx", "A 37522-2022")</f>
        <v/>
      </c>
      <c r="X148">
        <f>HYPERLINK("https://klasma.github.io/Logging_0188/tillsyn/A 37522-2022 tillsynsbegäran.docx", "A 37522-2022")</f>
        <v/>
      </c>
      <c r="Y148">
        <f>HYPERLINK("https://klasma.github.io/Logging_0188/tillsynsmail/A 37522-2022 tillsynsbegäran mail.docx", "A 37522-2022")</f>
        <v/>
      </c>
    </row>
    <row r="149" ht="15" customHeight="1">
      <c r="A149" t="inlineStr">
        <is>
          <t>A 39318-2022</t>
        </is>
      </c>
      <c r="B149" s="1" t="n">
        <v>44817</v>
      </c>
      <c r="C149" s="1" t="n">
        <v>45659</v>
      </c>
      <c r="D149" t="inlineStr">
        <is>
          <t>STOCKHOLMS LÄN</t>
        </is>
      </c>
      <c r="E149" t="inlineStr">
        <is>
          <t>NORRTÄLJE</t>
        </is>
      </c>
      <c r="G149" t="n">
        <v>2.4</v>
      </c>
      <c r="H149" t="n">
        <v>1</v>
      </c>
      <c r="I149" t="n">
        <v>0</v>
      </c>
      <c r="J149" t="n">
        <v>0</v>
      </c>
      <c r="K149" t="n">
        <v>1</v>
      </c>
      <c r="L149" t="n">
        <v>0</v>
      </c>
      <c r="M149" t="n">
        <v>0</v>
      </c>
      <c r="N149" t="n">
        <v>0</v>
      </c>
      <c r="O149" t="n">
        <v>1</v>
      </c>
      <c r="P149" t="n">
        <v>1</v>
      </c>
      <c r="Q149" t="n">
        <v>1</v>
      </c>
      <c r="R149" s="2" t="inlineStr">
        <is>
          <t>Stare</t>
        </is>
      </c>
      <c r="S149">
        <f>HYPERLINK("https://klasma.github.io/Logging_0188/artfynd/A 39318-2022 artfynd.xlsx", "A 39318-2022")</f>
        <v/>
      </c>
      <c r="T149">
        <f>HYPERLINK("https://klasma.github.io/Logging_0188/kartor/A 39318-2022 karta.png", "A 39318-2022")</f>
        <v/>
      </c>
      <c r="V149">
        <f>HYPERLINK("https://klasma.github.io/Logging_0188/klagomål/A 39318-2022 FSC-klagomål.docx", "A 39318-2022")</f>
        <v/>
      </c>
      <c r="W149">
        <f>HYPERLINK("https://klasma.github.io/Logging_0188/klagomålsmail/A 39318-2022 FSC-klagomål mail.docx", "A 39318-2022")</f>
        <v/>
      </c>
      <c r="X149">
        <f>HYPERLINK("https://klasma.github.io/Logging_0188/tillsyn/A 39318-2022 tillsynsbegäran.docx", "A 39318-2022")</f>
        <v/>
      </c>
      <c r="Y149">
        <f>HYPERLINK("https://klasma.github.io/Logging_0188/tillsynsmail/A 39318-2022 tillsynsbegäran mail.docx", "A 39318-2022")</f>
        <v/>
      </c>
    </row>
    <row r="150" ht="15" customHeight="1">
      <c r="A150" t="inlineStr">
        <is>
          <t>A 40672-2022</t>
        </is>
      </c>
      <c r="B150" s="1" t="n">
        <v>44824</v>
      </c>
      <c r="C150" s="1" t="n">
        <v>45659</v>
      </c>
      <c r="D150" t="inlineStr">
        <is>
          <t>STOCKHOLMS LÄN</t>
        </is>
      </c>
      <c r="E150" t="inlineStr">
        <is>
          <t>NORRTÄLJE</t>
        </is>
      </c>
      <c r="F150" t="inlineStr">
        <is>
          <t>Övriga Aktiebolag</t>
        </is>
      </c>
      <c r="G150" t="n">
        <v>1.3</v>
      </c>
      <c r="H150" t="n">
        <v>0</v>
      </c>
      <c r="I150" t="n">
        <v>0</v>
      </c>
      <c r="J150" t="n">
        <v>1</v>
      </c>
      <c r="K150" t="n">
        <v>0</v>
      </c>
      <c r="L150" t="n">
        <v>0</v>
      </c>
      <c r="M150" t="n">
        <v>0</v>
      </c>
      <c r="N150" t="n">
        <v>0</v>
      </c>
      <c r="O150" t="n">
        <v>1</v>
      </c>
      <c r="P150" t="n">
        <v>0</v>
      </c>
      <c r="Q150" t="n">
        <v>1</v>
      </c>
      <c r="R150" s="2" t="inlineStr">
        <is>
          <t>Månlåsbräken</t>
        </is>
      </c>
      <c r="S150">
        <f>HYPERLINK("https://klasma.github.io/Logging_0188/artfynd/A 40672-2022 artfynd.xlsx", "A 40672-2022")</f>
        <v/>
      </c>
      <c r="T150">
        <f>HYPERLINK("https://klasma.github.io/Logging_0188/kartor/A 40672-2022 karta.png", "A 40672-2022")</f>
        <v/>
      </c>
      <c r="V150">
        <f>HYPERLINK("https://klasma.github.io/Logging_0188/klagomål/A 40672-2022 FSC-klagomål.docx", "A 40672-2022")</f>
        <v/>
      </c>
      <c r="W150">
        <f>HYPERLINK("https://klasma.github.io/Logging_0188/klagomålsmail/A 40672-2022 FSC-klagomål mail.docx", "A 40672-2022")</f>
        <v/>
      </c>
      <c r="X150">
        <f>HYPERLINK("https://klasma.github.io/Logging_0188/tillsyn/A 40672-2022 tillsynsbegäran.docx", "A 40672-2022")</f>
        <v/>
      </c>
      <c r="Y150">
        <f>HYPERLINK("https://klasma.github.io/Logging_0188/tillsynsmail/A 40672-2022 tillsynsbegäran mail.docx", "A 40672-2022")</f>
        <v/>
      </c>
    </row>
    <row r="151" ht="15" customHeight="1">
      <c r="A151" t="inlineStr">
        <is>
          <t>A 44709-2022</t>
        </is>
      </c>
      <c r="B151" s="1" t="n">
        <v>44839</v>
      </c>
      <c r="C151" s="1" t="n">
        <v>45659</v>
      </c>
      <c r="D151" t="inlineStr">
        <is>
          <t>STOCKHOLMS LÄN</t>
        </is>
      </c>
      <c r="E151" t="inlineStr">
        <is>
          <t>NORRTÄLJE</t>
        </is>
      </c>
      <c r="G151" t="n">
        <v>16.3</v>
      </c>
      <c r="H151" t="n">
        <v>0</v>
      </c>
      <c r="I151" t="n">
        <v>0</v>
      </c>
      <c r="J151" t="n">
        <v>1</v>
      </c>
      <c r="K151" t="n">
        <v>0</v>
      </c>
      <c r="L151" t="n">
        <v>0</v>
      </c>
      <c r="M151" t="n">
        <v>0</v>
      </c>
      <c r="N151" t="n">
        <v>0</v>
      </c>
      <c r="O151" t="n">
        <v>1</v>
      </c>
      <c r="P151" t="n">
        <v>0</v>
      </c>
      <c r="Q151" t="n">
        <v>1</v>
      </c>
      <c r="R151" s="2" t="inlineStr">
        <is>
          <t>Asppraktbagge</t>
        </is>
      </c>
      <c r="S151">
        <f>HYPERLINK("https://klasma.github.io/Logging_0188/artfynd/A 44709-2022 artfynd.xlsx", "A 44709-2022")</f>
        <v/>
      </c>
      <c r="T151">
        <f>HYPERLINK("https://klasma.github.io/Logging_0188/kartor/A 44709-2022 karta.png", "A 44709-2022")</f>
        <v/>
      </c>
      <c r="V151">
        <f>HYPERLINK("https://klasma.github.io/Logging_0188/klagomål/A 44709-2022 FSC-klagomål.docx", "A 44709-2022")</f>
        <v/>
      </c>
      <c r="W151">
        <f>HYPERLINK("https://klasma.github.io/Logging_0188/klagomålsmail/A 44709-2022 FSC-klagomål mail.docx", "A 44709-2022")</f>
        <v/>
      </c>
      <c r="X151">
        <f>HYPERLINK("https://klasma.github.io/Logging_0188/tillsyn/A 44709-2022 tillsynsbegäran.docx", "A 44709-2022")</f>
        <v/>
      </c>
      <c r="Y151">
        <f>HYPERLINK("https://klasma.github.io/Logging_0188/tillsynsmail/A 44709-2022 tillsynsbegäran mail.docx", "A 44709-2022")</f>
        <v/>
      </c>
    </row>
    <row r="152" ht="15" customHeight="1">
      <c r="A152" t="inlineStr">
        <is>
          <t>A 47898-2022</t>
        </is>
      </c>
      <c r="B152" s="1" t="n">
        <v>44855</v>
      </c>
      <c r="C152" s="1" t="n">
        <v>45659</v>
      </c>
      <c r="D152" t="inlineStr">
        <is>
          <t>STOCKHOLMS LÄN</t>
        </is>
      </c>
      <c r="E152" t="inlineStr">
        <is>
          <t>NORRTÄLJE</t>
        </is>
      </c>
      <c r="G152" t="n">
        <v>6.7</v>
      </c>
      <c r="H152" t="n">
        <v>1</v>
      </c>
      <c r="I152" t="n">
        <v>1</v>
      </c>
      <c r="J152" t="n">
        <v>0</v>
      </c>
      <c r="K152" t="n">
        <v>0</v>
      </c>
      <c r="L152" t="n">
        <v>0</v>
      </c>
      <c r="M152" t="n">
        <v>0</v>
      </c>
      <c r="N152" t="n">
        <v>0</v>
      </c>
      <c r="O152" t="n">
        <v>0</v>
      </c>
      <c r="P152" t="n">
        <v>0</v>
      </c>
      <c r="Q152" t="n">
        <v>1</v>
      </c>
      <c r="R152" s="2" t="inlineStr">
        <is>
          <t>Guckusko</t>
        </is>
      </c>
      <c r="S152">
        <f>HYPERLINK("https://klasma.github.io/Logging_0188/artfynd/A 47898-2022 artfynd.xlsx", "A 47898-2022")</f>
        <v/>
      </c>
      <c r="T152">
        <f>HYPERLINK("https://klasma.github.io/Logging_0188/kartor/A 47898-2022 karta.png", "A 47898-2022")</f>
        <v/>
      </c>
      <c r="V152">
        <f>HYPERLINK("https://klasma.github.io/Logging_0188/klagomål/A 47898-2022 FSC-klagomål.docx", "A 47898-2022")</f>
        <v/>
      </c>
      <c r="W152">
        <f>HYPERLINK("https://klasma.github.io/Logging_0188/klagomålsmail/A 47898-2022 FSC-klagomål mail.docx", "A 47898-2022")</f>
        <v/>
      </c>
      <c r="X152">
        <f>HYPERLINK("https://klasma.github.io/Logging_0188/tillsyn/A 47898-2022 tillsynsbegäran.docx", "A 47898-2022")</f>
        <v/>
      </c>
      <c r="Y152">
        <f>HYPERLINK("https://klasma.github.io/Logging_0188/tillsynsmail/A 47898-2022 tillsynsbegäran mail.docx", "A 47898-2022")</f>
        <v/>
      </c>
    </row>
    <row r="153" ht="15" customHeight="1">
      <c r="A153" t="inlineStr">
        <is>
          <t>A 50854-2022</t>
        </is>
      </c>
      <c r="B153" s="1" t="n">
        <v>44863</v>
      </c>
      <c r="C153" s="1" t="n">
        <v>45659</v>
      </c>
      <c r="D153" t="inlineStr">
        <is>
          <t>STOCKHOLMS LÄN</t>
        </is>
      </c>
      <c r="E153" t="inlineStr">
        <is>
          <t>NORRTÄLJE</t>
        </is>
      </c>
      <c r="G153" t="n">
        <v>2.9</v>
      </c>
      <c r="H153" t="n">
        <v>0</v>
      </c>
      <c r="I153" t="n">
        <v>1</v>
      </c>
      <c r="J153" t="n">
        <v>0</v>
      </c>
      <c r="K153" t="n">
        <v>0</v>
      </c>
      <c r="L153" t="n">
        <v>0</v>
      </c>
      <c r="M153" t="n">
        <v>0</v>
      </c>
      <c r="N153" t="n">
        <v>0</v>
      </c>
      <c r="O153" t="n">
        <v>0</v>
      </c>
      <c r="P153" t="n">
        <v>0</v>
      </c>
      <c r="Q153" t="n">
        <v>1</v>
      </c>
      <c r="R153" s="2" t="inlineStr">
        <is>
          <t>Tibast</t>
        </is>
      </c>
      <c r="S153">
        <f>HYPERLINK("https://klasma.github.io/Logging_0188/artfynd/A 50854-2022 artfynd.xlsx", "A 50854-2022")</f>
        <v/>
      </c>
      <c r="T153">
        <f>HYPERLINK("https://klasma.github.io/Logging_0188/kartor/A 50854-2022 karta.png", "A 50854-2022")</f>
        <v/>
      </c>
      <c r="V153">
        <f>HYPERLINK("https://klasma.github.io/Logging_0188/klagomål/A 50854-2022 FSC-klagomål.docx", "A 50854-2022")</f>
        <v/>
      </c>
      <c r="W153">
        <f>HYPERLINK("https://klasma.github.io/Logging_0188/klagomålsmail/A 50854-2022 FSC-klagomål mail.docx", "A 50854-2022")</f>
        <v/>
      </c>
      <c r="X153">
        <f>HYPERLINK("https://klasma.github.io/Logging_0188/tillsyn/A 50854-2022 tillsynsbegäran.docx", "A 50854-2022")</f>
        <v/>
      </c>
      <c r="Y153">
        <f>HYPERLINK("https://klasma.github.io/Logging_0188/tillsynsmail/A 50854-2022 tillsynsbegäran mail.docx", "A 50854-2022")</f>
        <v/>
      </c>
    </row>
    <row r="154" ht="15" customHeight="1">
      <c r="A154" t="inlineStr">
        <is>
          <t>A 52130-2022</t>
        </is>
      </c>
      <c r="B154" s="1" t="n">
        <v>44868</v>
      </c>
      <c r="C154" s="1" t="n">
        <v>45659</v>
      </c>
      <c r="D154" t="inlineStr">
        <is>
          <t>STOCKHOLMS LÄN</t>
        </is>
      </c>
      <c r="E154" t="inlineStr">
        <is>
          <t>NORRTÄLJE</t>
        </is>
      </c>
      <c r="G154" t="n">
        <v>3.7</v>
      </c>
      <c r="H154" t="n">
        <v>0</v>
      </c>
      <c r="I154" t="n">
        <v>0</v>
      </c>
      <c r="J154" t="n">
        <v>1</v>
      </c>
      <c r="K154" t="n">
        <v>0</v>
      </c>
      <c r="L154" t="n">
        <v>0</v>
      </c>
      <c r="M154" t="n">
        <v>0</v>
      </c>
      <c r="N154" t="n">
        <v>0</v>
      </c>
      <c r="O154" t="n">
        <v>1</v>
      </c>
      <c r="P154" t="n">
        <v>0</v>
      </c>
      <c r="Q154" t="n">
        <v>1</v>
      </c>
      <c r="R154" s="2" t="inlineStr">
        <is>
          <t>Flattoppad klubbsvamp</t>
        </is>
      </c>
      <c r="S154">
        <f>HYPERLINK("https://klasma.github.io/Logging_0188/artfynd/A 52130-2022 artfynd.xlsx", "A 52130-2022")</f>
        <v/>
      </c>
      <c r="T154">
        <f>HYPERLINK("https://klasma.github.io/Logging_0188/kartor/A 52130-2022 karta.png", "A 52130-2022")</f>
        <v/>
      </c>
      <c r="V154">
        <f>HYPERLINK("https://klasma.github.io/Logging_0188/klagomål/A 52130-2022 FSC-klagomål.docx", "A 52130-2022")</f>
        <v/>
      </c>
      <c r="W154">
        <f>HYPERLINK("https://klasma.github.io/Logging_0188/klagomålsmail/A 52130-2022 FSC-klagomål mail.docx", "A 52130-2022")</f>
        <v/>
      </c>
      <c r="X154">
        <f>HYPERLINK("https://klasma.github.io/Logging_0188/tillsyn/A 52130-2022 tillsynsbegäran.docx", "A 52130-2022")</f>
        <v/>
      </c>
      <c r="Y154">
        <f>HYPERLINK("https://klasma.github.io/Logging_0188/tillsynsmail/A 52130-2022 tillsynsbegäran mail.docx", "A 52130-2022")</f>
        <v/>
      </c>
    </row>
    <row r="155" ht="15" customHeight="1">
      <c r="A155" t="inlineStr">
        <is>
          <t>A 61011-2022</t>
        </is>
      </c>
      <c r="B155" s="1" t="n">
        <v>44914</v>
      </c>
      <c r="C155" s="1" t="n">
        <v>45659</v>
      </c>
      <c r="D155" t="inlineStr">
        <is>
          <t>STOCKHOLMS LÄN</t>
        </is>
      </c>
      <c r="E155" t="inlineStr">
        <is>
          <t>NORRTÄLJE</t>
        </is>
      </c>
      <c r="G155" t="n">
        <v>2.2</v>
      </c>
      <c r="H155" t="n">
        <v>0</v>
      </c>
      <c r="I155" t="n">
        <v>0</v>
      </c>
      <c r="J155" t="n">
        <v>1</v>
      </c>
      <c r="K155" t="n">
        <v>0</v>
      </c>
      <c r="L155" t="n">
        <v>0</v>
      </c>
      <c r="M155" t="n">
        <v>0</v>
      </c>
      <c r="N155" t="n">
        <v>0</v>
      </c>
      <c r="O155" t="n">
        <v>1</v>
      </c>
      <c r="P155" t="n">
        <v>0</v>
      </c>
      <c r="Q155" t="n">
        <v>1</v>
      </c>
      <c r="R155" s="2" t="inlineStr">
        <is>
          <t>Orange taggsvamp</t>
        </is>
      </c>
      <c r="S155">
        <f>HYPERLINK("https://klasma.github.io/Logging_0188/artfynd/A 61011-2022 artfynd.xlsx", "A 61011-2022")</f>
        <v/>
      </c>
      <c r="T155">
        <f>HYPERLINK("https://klasma.github.io/Logging_0188/kartor/A 61011-2022 karta.png", "A 61011-2022")</f>
        <v/>
      </c>
      <c r="V155">
        <f>HYPERLINK("https://klasma.github.io/Logging_0188/klagomål/A 61011-2022 FSC-klagomål.docx", "A 61011-2022")</f>
        <v/>
      </c>
      <c r="W155">
        <f>HYPERLINK("https://klasma.github.io/Logging_0188/klagomålsmail/A 61011-2022 FSC-klagomål mail.docx", "A 61011-2022")</f>
        <v/>
      </c>
      <c r="X155">
        <f>HYPERLINK("https://klasma.github.io/Logging_0188/tillsyn/A 61011-2022 tillsynsbegäran.docx", "A 61011-2022")</f>
        <v/>
      </c>
      <c r="Y155">
        <f>HYPERLINK("https://klasma.github.io/Logging_0188/tillsynsmail/A 61011-2022 tillsynsbegäran mail.docx", "A 61011-2022")</f>
        <v/>
      </c>
    </row>
    <row r="156" ht="15" customHeight="1">
      <c r="A156" t="inlineStr">
        <is>
          <t>A 4385-2023</t>
        </is>
      </c>
      <c r="B156" s="1" t="n">
        <v>44955</v>
      </c>
      <c r="C156" s="1" t="n">
        <v>45659</v>
      </c>
      <c r="D156" t="inlineStr">
        <is>
          <t>STOCKHOLMS LÄN</t>
        </is>
      </c>
      <c r="E156" t="inlineStr">
        <is>
          <t>NORRTÄLJE</t>
        </is>
      </c>
      <c r="G156" t="n">
        <v>7.8</v>
      </c>
      <c r="H156" t="n">
        <v>1</v>
      </c>
      <c r="I156" t="n">
        <v>1</v>
      </c>
      <c r="J156" t="n">
        <v>0</v>
      </c>
      <c r="K156" t="n">
        <v>0</v>
      </c>
      <c r="L156" t="n">
        <v>0</v>
      </c>
      <c r="M156" t="n">
        <v>0</v>
      </c>
      <c r="N156" t="n">
        <v>0</v>
      </c>
      <c r="O156" t="n">
        <v>0</v>
      </c>
      <c r="P156" t="n">
        <v>0</v>
      </c>
      <c r="Q156" t="n">
        <v>1</v>
      </c>
      <c r="R156" s="2" t="inlineStr">
        <is>
          <t>Skogsknipprot</t>
        </is>
      </c>
      <c r="S156">
        <f>HYPERLINK("https://klasma.github.io/Logging_0188/artfynd/A 4385-2023 artfynd.xlsx", "A 4385-2023")</f>
        <v/>
      </c>
      <c r="T156">
        <f>HYPERLINK("https://klasma.github.io/Logging_0188/kartor/A 4385-2023 karta.png", "A 4385-2023")</f>
        <v/>
      </c>
      <c r="V156">
        <f>HYPERLINK("https://klasma.github.io/Logging_0188/klagomål/A 4385-2023 FSC-klagomål.docx", "A 4385-2023")</f>
        <v/>
      </c>
      <c r="W156">
        <f>HYPERLINK("https://klasma.github.io/Logging_0188/klagomålsmail/A 4385-2023 FSC-klagomål mail.docx", "A 4385-2023")</f>
        <v/>
      </c>
      <c r="X156">
        <f>HYPERLINK("https://klasma.github.io/Logging_0188/tillsyn/A 4385-2023 tillsynsbegäran.docx", "A 4385-2023")</f>
        <v/>
      </c>
      <c r="Y156">
        <f>HYPERLINK("https://klasma.github.io/Logging_0188/tillsynsmail/A 4385-2023 tillsynsbegäran mail.docx", "A 4385-2023")</f>
        <v/>
      </c>
    </row>
    <row r="157" ht="15" customHeight="1">
      <c r="A157" t="inlineStr">
        <is>
          <t>A 4595-2023</t>
        </is>
      </c>
      <c r="B157" s="1" t="n">
        <v>44956</v>
      </c>
      <c r="C157" s="1" t="n">
        <v>45659</v>
      </c>
      <c r="D157" t="inlineStr">
        <is>
          <t>STOCKHOLMS LÄN</t>
        </is>
      </c>
      <c r="E157" t="inlineStr">
        <is>
          <t>NORRTÄLJE</t>
        </is>
      </c>
      <c r="G157" t="n">
        <v>0.6</v>
      </c>
      <c r="H157" t="n">
        <v>1</v>
      </c>
      <c r="I157" t="n">
        <v>0</v>
      </c>
      <c r="J157" t="n">
        <v>0</v>
      </c>
      <c r="K157" t="n">
        <v>0</v>
      </c>
      <c r="L157" t="n">
        <v>0</v>
      </c>
      <c r="M157" t="n">
        <v>0</v>
      </c>
      <c r="N157" t="n">
        <v>0</v>
      </c>
      <c r="O157" t="n">
        <v>0</v>
      </c>
      <c r="P157" t="n">
        <v>0</v>
      </c>
      <c r="Q157" t="n">
        <v>1</v>
      </c>
      <c r="R157" s="2" t="inlineStr">
        <is>
          <t>Blåsippa</t>
        </is>
      </c>
      <c r="S157">
        <f>HYPERLINK("https://klasma.github.io/Logging_0188/artfynd/A 4595-2023 artfynd.xlsx", "A 4595-2023")</f>
        <v/>
      </c>
      <c r="T157">
        <f>HYPERLINK("https://klasma.github.io/Logging_0188/kartor/A 4595-2023 karta.png", "A 4595-2023")</f>
        <v/>
      </c>
      <c r="V157">
        <f>HYPERLINK("https://klasma.github.io/Logging_0188/klagomål/A 4595-2023 FSC-klagomål.docx", "A 4595-2023")</f>
        <v/>
      </c>
      <c r="W157">
        <f>HYPERLINK("https://klasma.github.io/Logging_0188/klagomålsmail/A 4595-2023 FSC-klagomål mail.docx", "A 4595-2023")</f>
        <v/>
      </c>
      <c r="X157">
        <f>HYPERLINK("https://klasma.github.io/Logging_0188/tillsyn/A 4595-2023 tillsynsbegäran.docx", "A 4595-2023")</f>
        <v/>
      </c>
      <c r="Y157">
        <f>HYPERLINK("https://klasma.github.io/Logging_0188/tillsynsmail/A 4595-2023 tillsynsbegäran mail.docx", "A 4595-2023")</f>
        <v/>
      </c>
    </row>
    <row r="158" ht="15" customHeight="1">
      <c r="A158" t="inlineStr">
        <is>
          <t>A 6381-2023</t>
        </is>
      </c>
      <c r="B158" s="1" t="n">
        <v>44965</v>
      </c>
      <c r="C158" s="1" t="n">
        <v>45659</v>
      </c>
      <c r="D158" t="inlineStr">
        <is>
          <t>STOCKHOLMS LÄN</t>
        </is>
      </c>
      <c r="E158" t="inlineStr">
        <is>
          <t>NORRTÄLJE</t>
        </is>
      </c>
      <c r="G158" t="n">
        <v>3.5</v>
      </c>
      <c r="H158" t="n">
        <v>1</v>
      </c>
      <c r="I158" t="n">
        <v>1</v>
      </c>
      <c r="J158" t="n">
        <v>0</v>
      </c>
      <c r="K158" t="n">
        <v>0</v>
      </c>
      <c r="L158" t="n">
        <v>0</v>
      </c>
      <c r="M158" t="n">
        <v>0</v>
      </c>
      <c r="N158" t="n">
        <v>0</v>
      </c>
      <c r="O158" t="n">
        <v>0</v>
      </c>
      <c r="P158" t="n">
        <v>0</v>
      </c>
      <c r="Q158" t="n">
        <v>1</v>
      </c>
      <c r="R158" s="2" t="inlineStr">
        <is>
          <t>Guckusko</t>
        </is>
      </c>
      <c r="S158">
        <f>HYPERLINK("https://klasma.github.io/Logging_0188/artfynd/A 6381-2023 artfynd.xlsx", "A 6381-2023")</f>
        <v/>
      </c>
      <c r="T158">
        <f>HYPERLINK("https://klasma.github.io/Logging_0188/kartor/A 6381-2023 karta.png", "A 6381-2023")</f>
        <v/>
      </c>
      <c r="V158">
        <f>HYPERLINK("https://klasma.github.io/Logging_0188/klagomål/A 6381-2023 FSC-klagomål.docx", "A 6381-2023")</f>
        <v/>
      </c>
      <c r="W158">
        <f>HYPERLINK("https://klasma.github.io/Logging_0188/klagomålsmail/A 6381-2023 FSC-klagomål mail.docx", "A 6381-2023")</f>
        <v/>
      </c>
      <c r="X158">
        <f>HYPERLINK("https://klasma.github.io/Logging_0188/tillsyn/A 6381-2023 tillsynsbegäran.docx", "A 6381-2023")</f>
        <v/>
      </c>
      <c r="Y158">
        <f>HYPERLINK("https://klasma.github.io/Logging_0188/tillsynsmail/A 6381-2023 tillsynsbegäran mail.docx", "A 6381-2023")</f>
        <v/>
      </c>
    </row>
    <row r="159" ht="15" customHeight="1">
      <c r="A159" t="inlineStr">
        <is>
          <t>A 9214-2023</t>
        </is>
      </c>
      <c r="B159" s="1" t="n">
        <v>44980</v>
      </c>
      <c r="C159" s="1" t="n">
        <v>45659</v>
      </c>
      <c r="D159" t="inlineStr">
        <is>
          <t>STOCKHOLMS LÄN</t>
        </is>
      </c>
      <c r="E159" t="inlineStr">
        <is>
          <t>NORRTÄLJE</t>
        </is>
      </c>
      <c r="G159" t="n">
        <v>10.6</v>
      </c>
      <c r="H159" t="n">
        <v>1</v>
      </c>
      <c r="I159" t="n">
        <v>1</v>
      </c>
      <c r="J159" t="n">
        <v>0</v>
      </c>
      <c r="K159" t="n">
        <v>0</v>
      </c>
      <c r="L159" t="n">
        <v>0</v>
      </c>
      <c r="M159" t="n">
        <v>0</v>
      </c>
      <c r="N159" t="n">
        <v>0</v>
      </c>
      <c r="O159" t="n">
        <v>0</v>
      </c>
      <c r="P159" t="n">
        <v>0</v>
      </c>
      <c r="Q159" t="n">
        <v>1</v>
      </c>
      <c r="R159" s="2" t="inlineStr">
        <is>
          <t>Guckusko</t>
        </is>
      </c>
      <c r="S159">
        <f>HYPERLINK("https://klasma.github.io/Logging_0188/artfynd/A 9214-2023 artfynd.xlsx", "A 9214-2023")</f>
        <v/>
      </c>
      <c r="T159">
        <f>HYPERLINK("https://klasma.github.io/Logging_0188/kartor/A 9214-2023 karta.png", "A 9214-2023")</f>
        <v/>
      </c>
      <c r="V159">
        <f>HYPERLINK("https://klasma.github.io/Logging_0188/klagomål/A 9214-2023 FSC-klagomål.docx", "A 9214-2023")</f>
        <v/>
      </c>
      <c r="W159">
        <f>HYPERLINK("https://klasma.github.io/Logging_0188/klagomålsmail/A 9214-2023 FSC-klagomål mail.docx", "A 9214-2023")</f>
        <v/>
      </c>
      <c r="X159">
        <f>HYPERLINK("https://klasma.github.io/Logging_0188/tillsyn/A 9214-2023 tillsynsbegäran.docx", "A 9214-2023")</f>
        <v/>
      </c>
      <c r="Y159">
        <f>HYPERLINK("https://klasma.github.io/Logging_0188/tillsynsmail/A 9214-2023 tillsynsbegäran mail.docx", "A 9214-2023")</f>
        <v/>
      </c>
    </row>
    <row r="160" ht="15" customHeight="1">
      <c r="A160" t="inlineStr">
        <is>
          <t>A 9271-2023</t>
        </is>
      </c>
      <c r="B160" s="1" t="n">
        <v>44980</v>
      </c>
      <c r="C160" s="1" t="n">
        <v>45659</v>
      </c>
      <c r="D160" t="inlineStr">
        <is>
          <t>STOCKHOLMS LÄN</t>
        </is>
      </c>
      <c r="E160" t="inlineStr">
        <is>
          <t>NORRTÄLJE</t>
        </is>
      </c>
      <c r="G160" t="n">
        <v>5.3</v>
      </c>
      <c r="H160" t="n">
        <v>1</v>
      </c>
      <c r="I160" t="n">
        <v>0</v>
      </c>
      <c r="J160" t="n">
        <v>0</v>
      </c>
      <c r="K160" t="n">
        <v>1</v>
      </c>
      <c r="L160" t="n">
        <v>0</v>
      </c>
      <c r="M160" t="n">
        <v>0</v>
      </c>
      <c r="N160" t="n">
        <v>0</v>
      </c>
      <c r="O160" t="n">
        <v>1</v>
      </c>
      <c r="P160" t="n">
        <v>1</v>
      </c>
      <c r="Q160" t="n">
        <v>1</v>
      </c>
      <c r="R160" s="2" t="inlineStr">
        <is>
          <t>Hällebräcka</t>
        </is>
      </c>
      <c r="S160">
        <f>HYPERLINK("https://klasma.github.io/Logging_0188/artfynd/A 9271-2023 artfynd.xlsx", "A 9271-2023")</f>
        <v/>
      </c>
      <c r="T160">
        <f>HYPERLINK("https://klasma.github.io/Logging_0188/kartor/A 9271-2023 karta.png", "A 9271-2023")</f>
        <v/>
      </c>
      <c r="V160">
        <f>HYPERLINK("https://klasma.github.io/Logging_0188/klagomål/A 9271-2023 FSC-klagomål.docx", "A 9271-2023")</f>
        <v/>
      </c>
      <c r="W160">
        <f>HYPERLINK("https://klasma.github.io/Logging_0188/klagomålsmail/A 9271-2023 FSC-klagomål mail.docx", "A 9271-2023")</f>
        <v/>
      </c>
      <c r="X160">
        <f>HYPERLINK("https://klasma.github.io/Logging_0188/tillsyn/A 9271-2023 tillsynsbegäran.docx", "A 9271-2023")</f>
        <v/>
      </c>
      <c r="Y160">
        <f>HYPERLINK("https://klasma.github.io/Logging_0188/tillsynsmail/A 9271-2023 tillsynsbegäran mail.docx", "A 9271-2023")</f>
        <v/>
      </c>
    </row>
    <row r="161" ht="15" customHeight="1">
      <c r="A161" t="inlineStr">
        <is>
          <t>A 9522-2023</t>
        </is>
      </c>
      <c r="B161" s="1" t="n">
        <v>44981</v>
      </c>
      <c r="C161" s="1" t="n">
        <v>45659</v>
      </c>
      <c r="D161" t="inlineStr">
        <is>
          <t>STOCKHOLMS LÄN</t>
        </is>
      </c>
      <c r="E161" t="inlineStr">
        <is>
          <t>NORRTÄLJE</t>
        </is>
      </c>
      <c r="F161" t="inlineStr">
        <is>
          <t>Holmen skog AB</t>
        </is>
      </c>
      <c r="G161" t="n">
        <v>7.5</v>
      </c>
      <c r="H161" t="n">
        <v>1</v>
      </c>
      <c r="I161" t="n">
        <v>0</v>
      </c>
      <c r="J161" t="n">
        <v>0</v>
      </c>
      <c r="K161" t="n">
        <v>0</v>
      </c>
      <c r="L161" t="n">
        <v>1</v>
      </c>
      <c r="M161" t="n">
        <v>0</v>
      </c>
      <c r="N161" t="n">
        <v>0</v>
      </c>
      <c r="O161" t="n">
        <v>1</v>
      </c>
      <c r="P161" t="n">
        <v>1</v>
      </c>
      <c r="Q161" t="n">
        <v>1</v>
      </c>
      <c r="R161" s="2" t="inlineStr">
        <is>
          <t>Asknätfjäril</t>
        </is>
      </c>
      <c r="S161">
        <f>HYPERLINK("https://klasma.github.io/Logging_0188/artfynd/A 9522-2023 artfynd.xlsx", "A 9522-2023")</f>
        <v/>
      </c>
      <c r="T161">
        <f>HYPERLINK("https://klasma.github.io/Logging_0188/kartor/A 9522-2023 karta.png", "A 9522-2023")</f>
        <v/>
      </c>
      <c r="V161">
        <f>HYPERLINK("https://klasma.github.io/Logging_0188/klagomål/A 9522-2023 FSC-klagomål.docx", "A 9522-2023")</f>
        <v/>
      </c>
      <c r="W161">
        <f>HYPERLINK("https://klasma.github.io/Logging_0188/klagomålsmail/A 9522-2023 FSC-klagomål mail.docx", "A 9522-2023")</f>
        <v/>
      </c>
      <c r="X161">
        <f>HYPERLINK("https://klasma.github.io/Logging_0188/tillsyn/A 9522-2023 tillsynsbegäran.docx", "A 9522-2023")</f>
        <v/>
      </c>
      <c r="Y161">
        <f>HYPERLINK("https://klasma.github.io/Logging_0188/tillsynsmail/A 9522-2023 tillsynsbegäran mail.docx", "A 9522-2023")</f>
        <v/>
      </c>
    </row>
    <row r="162" ht="15" customHeight="1">
      <c r="A162" t="inlineStr">
        <is>
          <t>A 10019-2023</t>
        </is>
      </c>
      <c r="B162" s="1" t="n">
        <v>44985</v>
      </c>
      <c r="C162" s="1" t="n">
        <v>45659</v>
      </c>
      <c r="D162" t="inlineStr">
        <is>
          <t>STOCKHOLMS LÄN</t>
        </is>
      </c>
      <c r="E162" t="inlineStr">
        <is>
          <t>NORRTÄLJE</t>
        </is>
      </c>
      <c r="G162" t="n">
        <v>8.4</v>
      </c>
      <c r="H162" t="n">
        <v>0</v>
      </c>
      <c r="I162" t="n">
        <v>1</v>
      </c>
      <c r="J162" t="n">
        <v>0</v>
      </c>
      <c r="K162" t="n">
        <v>0</v>
      </c>
      <c r="L162" t="n">
        <v>0</v>
      </c>
      <c r="M162" t="n">
        <v>0</v>
      </c>
      <c r="N162" t="n">
        <v>0</v>
      </c>
      <c r="O162" t="n">
        <v>0</v>
      </c>
      <c r="P162" t="n">
        <v>0</v>
      </c>
      <c r="Q162" t="n">
        <v>1</v>
      </c>
      <c r="R162" s="2" t="inlineStr">
        <is>
          <t>Underviol</t>
        </is>
      </c>
      <c r="S162">
        <f>HYPERLINK("https://klasma.github.io/Logging_0188/artfynd/A 10019-2023 artfynd.xlsx", "A 10019-2023")</f>
        <v/>
      </c>
      <c r="T162">
        <f>HYPERLINK("https://klasma.github.io/Logging_0188/kartor/A 10019-2023 karta.png", "A 10019-2023")</f>
        <v/>
      </c>
      <c r="V162">
        <f>HYPERLINK("https://klasma.github.io/Logging_0188/klagomål/A 10019-2023 FSC-klagomål.docx", "A 10019-2023")</f>
        <v/>
      </c>
      <c r="W162">
        <f>HYPERLINK("https://klasma.github.io/Logging_0188/klagomålsmail/A 10019-2023 FSC-klagomål mail.docx", "A 10019-2023")</f>
        <v/>
      </c>
      <c r="X162">
        <f>HYPERLINK("https://klasma.github.io/Logging_0188/tillsyn/A 10019-2023 tillsynsbegäran.docx", "A 10019-2023")</f>
        <v/>
      </c>
      <c r="Y162">
        <f>HYPERLINK("https://klasma.github.io/Logging_0188/tillsynsmail/A 10019-2023 tillsynsbegäran mail.docx", "A 10019-2023")</f>
        <v/>
      </c>
    </row>
    <row r="163" ht="15" customHeight="1">
      <c r="A163" t="inlineStr">
        <is>
          <t>A 11429-2023</t>
        </is>
      </c>
      <c r="B163" s="1" t="n">
        <v>44993</v>
      </c>
      <c r="C163" s="1" t="n">
        <v>45659</v>
      </c>
      <c r="D163" t="inlineStr">
        <is>
          <t>STOCKHOLMS LÄN</t>
        </is>
      </c>
      <c r="E163" t="inlineStr">
        <is>
          <t>NORRTÄLJE</t>
        </is>
      </c>
      <c r="G163" t="n">
        <v>2</v>
      </c>
      <c r="H163" t="n">
        <v>0</v>
      </c>
      <c r="I163" t="n">
        <v>0</v>
      </c>
      <c r="J163" t="n">
        <v>1</v>
      </c>
      <c r="K163" t="n">
        <v>0</v>
      </c>
      <c r="L163" t="n">
        <v>0</v>
      </c>
      <c r="M163" t="n">
        <v>0</v>
      </c>
      <c r="N163" t="n">
        <v>0</v>
      </c>
      <c r="O163" t="n">
        <v>1</v>
      </c>
      <c r="P163" t="n">
        <v>0</v>
      </c>
      <c r="Q163" t="n">
        <v>1</v>
      </c>
      <c r="R163" s="2" t="inlineStr">
        <is>
          <t>Skogsklocka</t>
        </is>
      </c>
      <c r="S163">
        <f>HYPERLINK("https://klasma.github.io/Logging_0188/artfynd/A 11429-2023 artfynd.xlsx", "A 11429-2023")</f>
        <v/>
      </c>
      <c r="T163">
        <f>HYPERLINK("https://klasma.github.io/Logging_0188/kartor/A 11429-2023 karta.png", "A 11429-2023")</f>
        <v/>
      </c>
      <c r="V163">
        <f>HYPERLINK("https://klasma.github.io/Logging_0188/klagomål/A 11429-2023 FSC-klagomål.docx", "A 11429-2023")</f>
        <v/>
      </c>
      <c r="W163">
        <f>HYPERLINK("https://klasma.github.io/Logging_0188/klagomålsmail/A 11429-2023 FSC-klagomål mail.docx", "A 11429-2023")</f>
        <v/>
      </c>
      <c r="X163">
        <f>HYPERLINK("https://klasma.github.io/Logging_0188/tillsyn/A 11429-2023 tillsynsbegäran.docx", "A 11429-2023")</f>
        <v/>
      </c>
      <c r="Y163">
        <f>HYPERLINK("https://klasma.github.io/Logging_0188/tillsynsmail/A 11429-2023 tillsynsbegäran mail.docx", "A 11429-2023")</f>
        <v/>
      </c>
    </row>
    <row r="164" ht="15" customHeight="1">
      <c r="A164" t="inlineStr">
        <is>
          <t>A 12442-2023</t>
        </is>
      </c>
      <c r="B164" s="1" t="n">
        <v>44999</v>
      </c>
      <c r="C164" s="1" t="n">
        <v>45659</v>
      </c>
      <c r="D164" t="inlineStr">
        <is>
          <t>STOCKHOLMS LÄN</t>
        </is>
      </c>
      <c r="E164" t="inlineStr">
        <is>
          <t>NORRTÄLJE</t>
        </is>
      </c>
      <c r="G164" t="n">
        <v>1.9</v>
      </c>
      <c r="H164" t="n">
        <v>1</v>
      </c>
      <c r="I164" t="n">
        <v>0</v>
      </c>
      <c r="J164" t="n">
        <v>0</v>
      </c>
      <c r="K164" t="n">
        <v>0</v>
      </c>
      <c r="L164" t="n">
        <v>0</v>
      </c>
      <c r="M164" t="n">
        <v>0</v>
      </c>
      <c r="N164" t="n">
        <v>0</v>
      </c>
      <c r="O164" t="n">
        <v>0</v>
      </c>
      <c r="P164" t="n">
        <v>0</v>
      </c>
      <c r="Q164" t="n">
        <v>1</v>
      </c>
      <c r="R164" s="2" t="inlineStr">
        <is>
          <t>Gullviva</t>
        </is>
      </c>
      <c r="S164">
        <f>HYPERLINK("https://klasma.github.io/Logging_0188/artfynd/A 12442-2023 artfynd.xlsx", "A 12442-2023")</f>
        <v/>
      </c>
      <c r="T164">
        <f>HYPERLINK("https://klasma.github.io/Logging_0188/kartor/A 12442-2023 karta.png", "A 12442-2023")</f>
        <v/>
      </c>
      <c r="V164">
        <f>HYPERLINK("https://klasma.github.io/Logging_0188/klagomål/A 12442-2023 FSC-klagomål.docx", "A 12442-2023")</f>
        <v/>
      </c>
      <c r="W164">
        <f>HYPERLINK("https://klasma.github.io/Logging_0188/klagomålsmail/A 12442-2023 FSC-klagomål mail.docx", "A 12442-2023")</f>
        <v/>
      </c>
      <c r="X164">
        <f>HYPERLINK("https://klasma.github.io/Logging_0188/tillsyn/A 12442-2023 tillsynsbegäran.docx", "A 12442-2023")</f>
        <v/>
      </c>
      <c r="Y164">
        <f>HYPERLINK("https://klasma.github.io/Logging_0188/tillsynsmail/A 12442-2023 tillsynsbegäran mail.docx", "A 12442-2023")</f>
        <v/>
      </c>
    </row>
    <row r="165" ht="15" customHeight="1">
      <c r="A165" t="inlineStr">
        <is>
          <t>A 15644-2023</t>
        </is>
      </c>
      <c r="B165" s="1" t="n">
        <v>45021</v>
      </c>
      <c r="C165" s="1" t="n">
        <v>45659</v>
      </c>
      <c r="D165" t="inlineStr">
        <is>
          <t>STOCKHOLMS LÄN</t>
        </is>
      </c>
      <c r="E165" t="inlineStr">
        <is>
          <t>NORRTÄLJE</t>
        </is>
      </c>
      <c r="F165" t="inlineStr">
        <is>
          <t>Holmen skog AB</t>
        </is>
      </c>
      <c r="G165" t="n">
        <v>13</v>
      </c>
      <c r="H165" t="n">
        <v>1</v>
      </c>
      <c r="I165" t="n">
        <v>0</v>
      </c>
      <c r="J165" t="n">
        <v>0</v>
      </c>
      <c r="K165" t="n">
        <v>0</v>
      </c>
      <c r="L165" t="n">
        <v>1</v>
      </c>
      <c r="M165" t="n">
        <v>0</v>
      </c>
      <c r="N165" t="n">
        <v>0</v>
      </c>
      <c r="O165" t="n">
        <v>1</v>
      </c>
      <c r="P165" t="n">
        <v>1</v>
      </c>
      <c r="Q165" t="n">
        <v>1</v>
      </c>
      <c r="R165" s="2" t="inlineStr">
        <is>
          <t>Asknätfjäril</t>
        </is>
      </c>
      <c r="S165">
        <f>HYPERLINK("https://klasma.github.io/Logging_0188/artfynd/A 15644-2023 artfynd.xlsx", "A 15644-2023")</f>
        <v/>
      </c>
      <c r="T165">
        <f>HYPERLINK("https://klasma.github.io/Logging_0188/kartor/A 15644-2023 karta.png", "A 15644-2023")</f>
        <v/>
      </c>
      <c r="V165">
        <f>HYPERLINK("https://klasma.github.io/Logging_0188/klagomål/A 15644-2023 FSC-klagomål.docx", "A 15644-2023")</f>
        <v/>
      </c>
      <c r="W165">
        <f>HYPERLINK("https://klasma.github.io/Logging_0188/klagomålsmail/A 15644-2023 FSC-klagomål mail.docx", "A 15644-2023")</f>
        <v/>
      </c>
      <c r="X165">
        <f>HYPERLINK("https://klasma.github.io/Logging_0188/tillsyn/A 15644-2023 tillsynsbegäran.docx", "A 15644-2023")</f>
        <v/>
      </c>
      <c r="Y165">
        <f>HYPERLINK("https://klasma.github.io/Logging_0188/tillsynsmail/A 15644-2023 tillsynsbegäran mail.docx", "A 15644-2023")</f>
        <v/>
      </c>
    </row>
    <row r="166" ht="15" customHeight="1">
      <c r="A166" t="inlineStr">
        <is>
          <t>A 18216-2023</t>
        </is>
      </c>
      <c r="B166" s="1" t="n">
        <v>45041</v>
      </c>
      <c r="C166" s="1" t="n">
        <v>45659</v>
      </c>
      <c r="D166" t="inlineStr">
        <is>
          <t>STOCKHOLMS LÄN</t>
        </is>
      </c>
      <c r="E166" t="inlineStr">
        <is>
          <t>NORRTÄLJE</t>
        </is>
      </c>
      <c r="F166" t="inlineStr">
        <is>
          <t>Holmen skog AB</t>
        </is>
      </c>
      <c r="G166" t="n">
        <v>1.9</v>
      </c>
      <c r="H166" t="n">
        <v>0</v>
      </c>
      <c r="I166" t="n">
        <v>1</v>
      </c>
      <c r="J166" t="n">
        <v>0</v>
      </c>
      <c r="K166" t="n">
        <v>0</v>
      </c>
      <c r="L166" t="n">
        <v>0</v>
      </c>
      <c r="M166" t="n">
        <v>0</v>
      </c>
      <c r="N166" t="n">
        <v>0</v>
      </c>
      <c r="O166" t="n">
        <v>0</v>
      </c>
      <c r="P166" t="n">
        <v>0</v>
      </c>
      <c r="Q166" t="n">
        <v>1</v>
      </c>
      <c r="R166" s="2" t="inlineStr">
        <is>
          <t>Vårärt</t>
        </is>
      </c>
      <c r="S166">
        <f>HYPERLINK("https://klasma.github.io/Logging_0188/artfynd/A 18216-2023 artfynd.xlsx", "A 18216-2023")</f>
        <v/>
      </c>
      <c r="T166">
        <f>HYPERLINK("https://klasma.github.io/Logging_0188/kartor/A 18216-2023 karta.png", "A 18216-2023")</f>
        <v/>
      </c>
      <c r="V166">
        <f>HYPERLINK("https://klasma.github.io/Logging_0188/klagomål/A 18216-2023 FSC-klagomål.docx", "A 18216-2023")</f>
        <v/>
      </c>
      <c r="W166">
        <f>HYPERLINK("https://klasma.github.io/Logging_0188/klagomålsmail/A 18216-2023 FSC-klagomål mail.docx", "A 18216-2023")</f>
        <v/>
      </c>
      <c r="X166">
        <f>HYPERLINK("https://klasma.github.io/Logging_0188/tillsyn/A 18216-2023 tillsynsbegäran.docx", "A 18216-2023")</f>
        <v/>
      </c>
      <c r="Y166">
        <f>HYPERLINK("https://klasma.github.io/Logging_0188/tillsynsmail/A 18216-2023 tillsynsbegäran mail.docx", "A 18216-2023")</f>
        <v/>
      </c>
    </row>
    <row r="167" ht="15" customHeight="1">
      <c r="A167" t="inlineStr">
        <is>
          <t>A 21431-2023</t>
        </is>
      </c>
      <c r="B167" s="1" t="n">
        <v>45063</v>
      </c>
      <c r="C167" s="1" t="n">
        <v>45659</v>
      </c>
      <c r="D167" t="inlineStr">
        <is>
          <t>STOCKHOLMS LÄN</t>
        </is>
      </c>
      <c r="E167" t="inlineStr">
        <is>
          <t>NORRTÄLJE</t>
        </is>
      </c>
      <c r="F167" t="inlineStr">
        <is>
          <t>Holmen skog AB</t>
        </is>
      </c>
      <c r="G167" t="n">
        <v>4</v>
      </c>
      <c r="H167" t="n">
        <v>1</v>
      </c>
      <c r="I167" t="n">
        <v>1</v>
      </c>
      <c r="J167" t="n">
        <v>0</v>
      </c>
      <c r="K167" t="n">
        <v>0</v>
      </c>
      <c r="L167" t="n">
        <v>0</v>
      </c>
      <c r="M167" t="n">
        <v>0</v>
      </c>
      <c r="N167" t="n">
        <v>0</v>
      </c>
      <c r="O167" t="n">
        <v>0</v>
      </c>
      <c r="P167" t="n">
        <v>0</v>
      </c>
      <c r="Q167" t="n">
        <v>1</v>
      </c>
      <c r="R167" s="2" t="inlineStr">
        <is>
          <t>Nästrot</t>
        </is>
      </c>
      <c r="S167">
        <f>HYPERLINK("https://klasma.github.io/Logging_0188/artfynd/A 21431-2023 artfynd.xlsx", "A 21431-2023")</f>
        <v/>
      </c>
      <c r="T167">
        <f>HYPERLINK("https://klasma.github.io/Logging_0188/kartor/A 21431-2023 karta.png", "A 21431-2023")</f>
        <v/>
      </c>
      <c r="V167">
        <f>HYPERLINK("https://klasma.github.io/Logging_0188/klagomål/A 21431-2023 FSC-klagomål.docx", "A 21431-2023")</f>
        <v/>
      </c>
      <c r="W167">
        <f>HYPERLINK("https://klasma.github.io/Logging_0188/klagomålsmail/A 21431-2023 FSC-klagomål mail.docx", "A 21431-2023")</f>
        <v/>
      </c>
      <c r="X167">
        <f>HYPERLINK("https://klasma.github.io/Logging_0188/tillsyn/A 21431-2023 tillsynsbegäran.docx", "A 21431-2023")</f>
        <v/>
      </c>
      <c r="Y167">
        <f>HYPERLINK("https://klasma.github.io/Logging_0188/tillsynsmail/A 21431-2023 tillsynsbegäran mail.docx", "A 21431-2023")</f>
        <v/>
      </c>
    </row>
    <row r="168" ht="15" customHeight="1">
      <c r="A168" t="inlineStr">
        <is>
          <t>A 21744-2023</t>
        </is>
      </c>
      <c r="B168" s="1" t="n">
        <v>45065</v>
      </c>
      <c r="C168" s="1" t="n">
        <v>45659</v>
      </c>
      <c r="D168" t="inlineStr">
        <is>
          <t>STOCKHOLMS LÄN</t>
        </is>
      </c>
      <c r="E168" t="inlineStr">
        <is>
          <t>NORRTÄLJE</t>
        </is>
      </c>
      <c r="F168" t="inlineStr">
        <is>
          <t>Holmen skog AB</t>
        </is>
      </c>
      <c r="G168" t="n">
        <v>4.2</v>
      </c>
      <c r="H168" t="n">
        <v>0</v>
      </c>
      <c r="I168" t="n">
        <v>1</v>
      </c>
      <c r="J168" t="n">
        <v>0</v>
      </c>
      <c r="K168" t="n">
        <v>0</v>
      </c>
      <c r="L168" t="n">
        <v>0</v>
      </c>
      <c r="M168" t="n">
        <v>0</v>
      </c>
      <c r="N168" t="n">
        <v>0</v>
      </c>
      <c r="O168" t="n">
        <v>0</v>
      </c>
      <c r="P168" t="n">
        <v>0</v>
      </c>
      <c r="Q168" t="n">
        <v>1</v>
      </c>
      <c r="R168" s="2" t="inlineStr">
        <is>
          <t>Korallblylav</t>
        </is>
      </c>
      <c r="S168">
        <f>HYPERLINK("https://klasma.github.io/Logging_0188/artfynd/A 21744-2023 artfynd.xlsx", "A 21744-2023")</f>
        <v/>
      </c>
      <c r="T168">
        <f>HYPERLINK("https://klasma.github.io/Logging_0188/kartor/A 21744-2023 karta.png", "A 21744-2023")</f>
        <v/>
      </c>
      <c r="V168">
        <f>HYPERLINK("https://klasma.github.io/Logging_0188/klagomål/A 21744-2023 FSC-klagomål.docx", "A 21744-2023")</f>
        <v/>
      </c>
      <c r="W168">
        <f>HYPERLINK("https://klasma.github.io/Logging_0188/klagomålsmail/A 21744-2023 FSC-klagomål mail.docx", "A 21744-2023")</f>
        <v/>
      </c>
      <c r="X168">
        <f>HYPERLINK("https://klasma.github.io/Logging_0188/tillsyn/A 21744-2023 tillsynsbegäran.docx", "A 21744-2023")</f>
        <v/>
      </c>
      <c r="Y168">
        <f>HYPERLINK("https://klasma.github.io/Logging_0188/tillsynsmail/A 21744-2023 tillsynsbegäran mail.docx", "A 21744-2023")</f>
        <v/>
      </c>
    </row>
    <row r="169" ht="15" customHeight="1">
      <c r="A169" t="inlineStr">
        <is>
          <t>A 24535-2023</t>
        </is>
      </c>
      <c r="B169" s="1" t="n">
        <v>45082</v>
      </c>
      <c r="C169" s="1" t="n">
        <v>45659</v>
      </c>
      <c r="D169" t="inlineStr">
        <is>
          <t>STOCKHOLMS LÄN</t>
        </is>
      </c>
      <c r="E169" t="inlineStr">
        <is>
          <t>NORRTÄLJE</t>
        </is>
      </c>
      <c r="F169" t="inlineStr">
        <is>
          <t>Kommuner</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HYPERLINK("https://klasma.github.io/Logging_0188/artfynd/A 24535-2023 artfynd.xlsx", "A 24535-2023")</f>
        <v/>
      </c>
      <c r="T169">
        <f>HYPERLINK("https://klasma.github.io/Logging_0188/kartor/A 24535-2023 karta.png", "A 24535-2023")</f>
        <v/>
      </c>
      <c r="V169">
        <f>HYPERLINK("https://klasma.github.io/Logging_0188/klagomål/A 24535-2023 FSC-klagomål.docx", "A 24535-2023")</f>
        <v/>
      </c>
      <c r="W169">
        <f>HYPERLINK("https://klasma.github.io/Logging_0188/klagomålsmail/A 24535-2023 FSC-klagomål mail.docx", "A 24535-2023")</f>
        <v/>
      </c>
      <c r="X169">
        <f>HYPERLINK("https://klasma.github.io/Logging_0188/tillsyn/A 24535-2023 tillsynsbegäran.docx", "A 24535-2023")</f>
        <v/>
      </c>
      <c r="Y169">
        <f>HYPERLINK("https://klasma.github.io/Logging_0188/tillsynsmail/A 24535-2023 tillsynsbegäran mail.docx", "A 24535-2023")</f>
        <v/>
      </c>
    </row>
    <row r="170" ht="15" customHeight="1">
      <c r="A170" t="inlineStr">
        <is>
          <t>A 26635-2023</t>
        </is>
      </c>
      <c r="B170" s="1" t="n">
        <v>45092</v>
      </c>
      <c r="C170" s="1" t="n">
        <v>45659</v>
      </c>
      <c r="D170" t="inlineStr">
        <is>
          <t>STOCKHOLMS LÄN</t>
        </is>
      </c>
      <c r="E170" t="inlineStr">
        <is>
          <t>NORRTÄLJE</t>
        </is>
      </c>
      <c r="G170" t="n">
        <v>3.1</v>
      </c>
      <c r="H170" t="n">
        <v>1</v>
      </c>
      <c r="I170" t="n">
        <v>0</v>
      </c>
      <c r="J170" t="n">
        <v>0</v>
      </c>
      <c r="K170" t="n">
        <v>0</v>
      </c>
      <c r="L170" t="n">
        <v>0</v>
      </c>
      <c r="M170" t="n">
        <v>0</v>
      </c>
      <c r="N170" t="n">
        <v>0</v>
      </c>
      <c r="O170" t="n">
        <v>0</v>
      </c>
      <c r="P170" t="n">
        <v>0</v>
      </c>
      <c r="Q170" t="n">
        <v>1</v>
      </c>
      <c r="R170" s="2" t="inlineStr">
        <is>
          <t>Fläcknycklar</t>
        </is>
      </c>
      <c r="S170">
        <f>HYPERLINK("https://klasma.github.io/Logging_0188/artfynd/A 26635-2023 artfynd.xlsx", "A 26635-2023")</f>
        <v/>
      </c>
      <c r="T170">
        <f>HYPERLINK("https://klasma.github.io/Logging_0188/kartor/A 26635-2023 karta.png", "A 26635-2023")</f>
        <v/>
      </c>
      <c r="V170">
        <f>HYPERLINK("https://klasma.github.io/Logging_0188/klagomål/A 26635-2023 FSC-klagomål.docx", "A 26635-2023")</f>
        <v/>
      </c>
      <c r="W170">
        <f>HYPERLINK("https://klasma.github.io/Logging_0188/klagomålsmail/A 26635-2023 FSC-klagomål mail.docx", "A 26635-2023")</f>
        <v/>
      </c>
      <c r="X170">
        <f>HYPERLINK("https://klasma.github.io/Logging_0188/tillsyn/A 26635-2023 tillsynsbegäran.docx", "A 26635-2023")</f>
        <v/>
      </c>
      <c r="Y170">
        <f>HYPERLINK("https://klasma.github.io/Logging_0188/tillsynsmail/A 26635-2023 tillsynsbegäran mail.docx", "A 26635-2023")</f>
        <v/>
      </c>
    </row>
    <row r="171" ht="15" customHeight="1">
      <c r="A171" t="inlineStr">
        <is>
          <t>A 35649-2023</t>
        </is>
      </c>
      <c r="B171" s="1" t="n">
        <v>45146</v>
      </c>
      <c r="C171" s="1" t="n">
        <v>45659</v>
      </c>
      <c r="D171" t="inlineStr">
        <is>
          <t>STOCKHOLMS LÄN</t>
        </is>
      </c>
      <c r="E171" t="inlineStr">
        <is>
          <t>NORRTÄLJE</t>
        </is>
      </c>
      <c r="G171" t="n">
        <v>25.1</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35649-2023 artfynd.xlsx", "A 35649-2023")</f>
        <v/>
      </c>
      <c r="T171">
        <f>HYPERLINK("https://klasma.github.io/Logging_0188/kartor/A 35649-2023 karta.png", "A 35649-2023")</f>
        <v/>
      </c>
      <c r="V171">
        <f>HYPERLINK("https://klasma.github.io/Logging_0188/klagomål/A 35649-2023 FSC-klagomål.docx", "A 35649-2023")</f>
        <v/>
      </c>
      <c r="W171">
        <f>HYPERLINK("https://klasma.github.io/Logging_0188/klagomålsmail/A 35649-2023 FSC-klagomål mail.docx", "A 35649-2023")</f>
        <v/>
      </c>
      <c r="X171">
        <f>HYPERLINK("https://klasma.github.io/Logging_0188/tillsyn/A 35649-2023 tillsynsbegäran.docx", "A 35649-2023")</f>
        <v/>
      </c>
      <c r="Y171">
        <f>HYPERLINK("https://klasma.github.io/Logging_0188/tillsynsmail/A 35649-2023 tillsynsbegäran mail.docx", "A 35649-2023")</f>
        <v/>
      </c>
    </row>
    <row r="172" ht="15" customHeight="1">
      <c r="A172" t="inlineStr">
        <is>
          <t>A 39255-2023</t>
        </is>
      </c>
      <c r="B172" s="1" t="n">
        <v>45166</v>
      </c>
      <c r="C172" s="1" t="n">
        <v>45659</v>
      </c>
      <c r="D172" t="inlineStr">
        <is>
          <t>STOCKHOLMS LÄN</t>
        </is>
      </c>
      <c r="E172" t="inlineStr">
        <is>
          <t>NORRTÄLJE</t>
        </is>
      </c>
      <c r="G172" t="n">
        <v>14.2</v>
      </c>
      <c r="H172" t="n">
        <v>1</v>
      </c>
      <c r="I172" t="n">
        <v>0</v>
      </c>
      <c r="J172" t="n">
        <v>0</v>
      </c>
      <c r="K172" t="n">
        <v>0</v>
      </c>
      <c r="L172" t="n">
        <v>0</v>
      </c>
      <c r="M172" t="n">
        <v>0</v>
      </c>
      <c r="N172" t="n">
        <v>0</v>
      </c>
      <c r="O172" t="n">
        <v>0</v>
      </c>
      <c r="P172" t="n">
        <v>0</v>
      </c>
      <c r="Q172" t="n">
        <v>1</v>
      </c>
      <c r="R172" s="2" t="inlineStr">
        <is>
          <t>Lopplummer</t>
        </is>
      </c>
      <c r="S172">
        <f>HYPERLINK("https://klasma.github.io/Logging_0188/artfynd/A 39255-2023 artfynd.xlsx", "A 39255-2023")</f>
        <v/>
      </c>
      <c r="T172">
        <f>HYPERLINK("https://klasma.github.io/Logging_0188/kartor/A 39255-2023 karta.png", "A 39255-2023")</f>
        <v/>
      </c>
      <c r="V172">
        <f>HYPERLINK("https://klasma.github.io/Logging_0188/klagomål/A 39255-2023 FSC-klagomål.docx", "A 39255-2023")</f>
        <v/>
      </c>
      <c r="W172">
        <f>HYPERLINK("https://klasma.github.io/Logging_0188/klagomålsmail/A 39255-2023 FSC-klagomål mail.docx", "A 39255-2023")</f>
        <v/>
      </c>
      <c r="X172">
        <f>HYPERLINK("https://klasma.github.io/Logging_0188/tillsyn/A 39255-2023 tillsynsbegäran.docx", "A 39255-2023")</f>
        <v/>
      </c>
      <c r="Y172">
        <f>HYPERLINK("https://klasma.github.io/Logging_0188/tillsynsmail/A 39255-2023 tillsynsbegäran mail.docx", "A 39255-2023")</f>
        <v/>
      </c>
    </row>
    <row r="173" ht="15" customHeight="1">
      <c r="A173" t="inlineStr">
        <is>
          <t>A 43178-2023</t>
        </is>
      </c>
      <c r="B173" s="1" t="n">
        <v>45183</v>
      </c>
      <c r="C173" s="1" t="n">
        <v>45659</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45659</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45659</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45659</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45659</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45659</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45659</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45659</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45659</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45659</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45659</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45659</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45659</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45659</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45659</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45659</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45659</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45659</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45659</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45659</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45659</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45659</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45659</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45659</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45659</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45659</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45659</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45659</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45659</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45659</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45659</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45659</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45659</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45659</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45659</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45659</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45659</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45659</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45659</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45659</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45659</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45659</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45659</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45659</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45659</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45659</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45659</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45659</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45659</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45659</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45659</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45659</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45659</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45659</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45659</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45659</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45659</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45659</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45659</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45659</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45659</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45659</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45659</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45659</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45659</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45659</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45659</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45659</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45659</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45659</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45659</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45659</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45659</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45659</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45659</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45659</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45659</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45659</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45659</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45659</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45659</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45659</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45659</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45659</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45659</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45659</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45659</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45659</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45659</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45659</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45659</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45659</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45659</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45659</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45659</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45659</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45659</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45659</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45659</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45659</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45659</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45659</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45659</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45659</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45659</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45659</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45659</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45659</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45659</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45659</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45659</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45659</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45659</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45659</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45659</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45659</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45659</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45659</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45659</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45659</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45659</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45659</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45659</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45659</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45659</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45659</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45659</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45659</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45659</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45659</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45659</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45659</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45659</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45659</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45659</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45659</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45659</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45659</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45659</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45659</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45659</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45659</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45659</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45659</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45659</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45659</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45659</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45659</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45659</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45659</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45659</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45659</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45659</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45659</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45659</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45659</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45659</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45659</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45659</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45659</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45659</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45659</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45659</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45659</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45659</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45659</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45659</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45659</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45659</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45659</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45659</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45659</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45659</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45659</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45659</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45659</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45659</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45659</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45659</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45659</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45659</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45659</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45659</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45659</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45659</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45659</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45659</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45659</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45659</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45659</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45659</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45659</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45659</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45659</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45659</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45659</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45659</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45659</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45659</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45659</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45659</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45659</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45659</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45659</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45659</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45659</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45659</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45659</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45659</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45659</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45659</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45659</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45659</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45659</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45659</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45659</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45659</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45659</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45659</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45659</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45659</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45659</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45659</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45659</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45659</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45659</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45659</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45659</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45659</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45659</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45659</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45659</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45659</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45659</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45659</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45659</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45659</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45659</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45659</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45659</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45659</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45659</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45659</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45659</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45659</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45659</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45659</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45659</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45659</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45659</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45659</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45659</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45659</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45659</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45659</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45659</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45659</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45659</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45659</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45659</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45659</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45659</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45659</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45659</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45659</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45659</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45659</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45659</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45659</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45659</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45659</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45659</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45659</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45659</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45659</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45659</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45659</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45659</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45659</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45659</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45659</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45659</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45659</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45659</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45659</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45659</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45659</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45659</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45659</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45659</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45659</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45659</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45659</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45659</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45659</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45659</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45659</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45659</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45659</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45659</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45659</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45659</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45659</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45659</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45659</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45659</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45659</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45659</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45659</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45659</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45659</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45659</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45659</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45659</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45659</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45659</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45659</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45659</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45659</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45659</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45659</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45659</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45659</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45659</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45659</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45659</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45659</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45659</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45659</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45659</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45659</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45659</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45659</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45659</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45659</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45659</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45659</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45659</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45659</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45659</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45659</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45659</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45659</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45659</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45659</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45659</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45659</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45659</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45659</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45659</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45659</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45659</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45659</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45659</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45659</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45659</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45659</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45659</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45659</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45659</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45659</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45659</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45659</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45659</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45659</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45659</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45659</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45659</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45659</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45659</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45659</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45659</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45659</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45659</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45659</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45659</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45659</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45659</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45659</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45659</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45659</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45659</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45659</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45659</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45659</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45659</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45659</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45659</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45659</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45659</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45659</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45659</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45659</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45659</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45659</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45659</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45659</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45659</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45659</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45659</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45659</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45659</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45659</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45659</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45659</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45659</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45659</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45659</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45659</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45659</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45659</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45659</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45659</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45659</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45659</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45659</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45659</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45659</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45659</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45659</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45659</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45659</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45659</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45659</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45659</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45659</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45659</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45659</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45659</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45659</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45659</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45659</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45659</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45659</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45659</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45659</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45659</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45659</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45659</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45659</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45659</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45659</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45659</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45659</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45659</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45659</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45659</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45659</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45659</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45659</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45659</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45659</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45659</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45659</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45659</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45659</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45659</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45659</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45659</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45659</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45659</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45659</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45659</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45659</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45659</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45659</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45659</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45659</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45659</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45659</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45659</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45659</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45659</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45659</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45659</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45659</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45659</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45659</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45659</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45659</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45659</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45659</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45659</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45659</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45659</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45659</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45659</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45659</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45659</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45659</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45659</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45659</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45659</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45659</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45659</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45659</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45659</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45659</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45659</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45659</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45659</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45659</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45659</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45659</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45659</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45659</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45659</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45659</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45659</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45659</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45659</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45659</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45659</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45659</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45659</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45659</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45659</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45659</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45659</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45659</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45659</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45659</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45659</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45659</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45659</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45659</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45659</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45659</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459-2022</t>
        </is>
      </c>
      <c r="B701" s="1" t="n">
        <v>44565</v>
      </c>
      <c r="C701" s="1" t="n">
        <v>45659</v>
      </c>
      <c r="D701" t="inlineStr">
        <is>
          <t>STOCKHOLMS LÄN</t>
        </is>
      </c>
      <c r="E701" t="inlineStr">
        <is>
          <t>NORRTÄLJE</t>
        </is>
      </c>
      <c r="F701" t="inlineStr">
        <is>
          <t>Övriga Aktiebolag</t>
        </is>
      </c>
      <c r="G701" t="n">
        <v>17.3</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45659</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45659</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45659</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45659</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45659</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45659</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45659</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45659</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45659</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45659</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45659</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45659</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45659</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45659</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45659</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45659</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45659</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45659</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45659</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45659</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45659</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45659</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45659</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45659</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45659</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45659</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45659</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45659</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45659</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45659</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45659</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45659</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45659</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45659</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45659</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45659</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45659</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45659</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45659</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45659</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45659</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45659</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45659</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45659</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45659</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45659</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45659</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45659</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45659</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45659</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45659</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45659</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45659</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45659</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45659</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45659</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45659</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45659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45659</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45659</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45659</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45659</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45659</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45659</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45659</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45659</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45659</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45659</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45659</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45659</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45659</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45659</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45659</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45659</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45659</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45659</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45659</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45659</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45659</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45659</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45659</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45659</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45659</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45659</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45659</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45659</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45659</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45659</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45659</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45659</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45659</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45659</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45659</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45659</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45659</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45659</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45659</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45659</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45659</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45659</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45659</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45659</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45659</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45659</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45659</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45659</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45659</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45659</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45659</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45659</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45659</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45659</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45659</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45659</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45659</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45659</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45659</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45659</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45659</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45659</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45659</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45659</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45659</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45659</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45659</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45659</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45659</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45659</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45659</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45659</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45659</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45659</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45659</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45659</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45659</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45659</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45659</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45659</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45659</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45659</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45659</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45659</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45659</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45659</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45659</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45659</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45659</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45659</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45659</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45659</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45659</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45659</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45659</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45659</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45659</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45659</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45659</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45659</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45659</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45659</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45659</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45659</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45659</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45659</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45659</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45659</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45659</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45659</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45659</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45659</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45659</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45659</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45659</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45659</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45659</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45659</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45659</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45659</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45659</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45659</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45659</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45659</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45659</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45659</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45659</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45659</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45659</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45659</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45659</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45659</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45659</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45659</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45659</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45659</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45659</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45659</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45659</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45659</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45659</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45659</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45659</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45659</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45659</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45659</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45659</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45659</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45659</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45659</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45659</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45659</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45659</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45659</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45659</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45659</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45659</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45659</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45659</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45659</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45659</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45659</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45659</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45659</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45659</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45659</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45659</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45659</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45659</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45659</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45659</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45659</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45659</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45659</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45659</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45659</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45659</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45659</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45659</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45659</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45659</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45659</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45659</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45659</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45659</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45659</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45659</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45659</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45659</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45659</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45659</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45659</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45659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45659</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45659</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45659</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45659</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45659</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45659</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45659</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45659</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45659</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45659</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45659</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45659</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45659</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45659</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45659</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45659</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45659</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45659</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45659</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45659</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45659</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45659</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45659</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45659</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45659</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45659</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45659</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45659</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45659</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45659</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45659</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45659</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45659</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45659</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45659</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45659</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45659</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45659</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45659</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45659</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45659</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45659</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45659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45659</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45659</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45659</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45659</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45659</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45659</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45659</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45659</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45659</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45659</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45659</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45659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45659</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45659</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45659</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45659</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45659</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45659</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45659</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45659</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45659</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45659</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45659</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45659</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45659</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45659</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45659</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45659</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45659</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45659</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45659</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45659</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45659</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45659</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45659</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45659</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45659</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45659</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45659</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45659</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45659</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45659</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45659</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45659</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45659</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45659</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45659</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45659</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45659</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45659</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45659</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45659</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45659</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45659</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45659</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45659</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45659</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45659</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45659</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45659</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45659</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45659</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45659</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45659</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45659</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45659</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45659</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45659</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45659</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45659</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45659</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45659</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45659</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45659</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45659</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45659</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45659</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45659</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45659</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45659</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45659</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45659</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45659</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45659</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45659</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45659</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45659</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45659</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45659</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45659</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45659</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45659</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45659</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45659</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45659</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45659</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45659</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45659</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45659</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45659</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45659</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45659</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45659</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45659</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45659</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45659</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45659</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45659</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45659</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45659</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45659</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45659</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45659</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45659</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45659</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45659</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45659</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45659</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45659</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45659</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45659</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45659</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45659</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45659</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45659</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45659</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45659</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45659</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45659</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45659</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45659</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45659</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45659</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45659</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45659</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45659</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45659</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45659</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45659</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45659</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45659</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45659</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45659</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45659</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45659</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45659</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45659</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45659</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45659</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45659</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45659</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45659</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45659</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45659</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45659</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45659</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45659</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45659</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45659</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45659</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45659</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45659</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45659</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45659</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45659</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45659</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45659</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45659</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45659</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45659</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45659</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45659</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45659</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45659</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45659</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45659</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45659</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45659</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45659</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45659</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45659</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45659</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45659</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45659</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45659</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45659</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45659</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45659</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45659</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45659</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45659</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45659</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45659</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45659</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45659</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45659</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45659</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45659</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45659</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45659</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45659</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45659</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45659</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45659</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45659</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45659</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45659</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45659</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45659</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45659</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45659</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45659</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45659</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45659</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45659</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45659</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45659</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45659</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45659</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45659</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45659</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45659</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45659</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45659</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45659</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45659</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45659</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45659</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45659</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45659</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45659</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45659</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45659</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45659</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45659</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45659</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45659</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45659</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45659</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45659</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45659</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45659</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45659</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45659</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45659</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45659</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45659</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45659</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45659</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45659</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45659</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45659</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45659</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45659</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45659</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45659</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45659</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45659</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45659</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45659</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45659</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45659</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45659</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45659</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45659</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45659</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45659</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45659</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45659</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45659</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45659</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45659</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45659</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45659</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45659</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45659</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45659</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45659</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45659</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45659</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45659</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45659</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45659</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45659</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45659</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45659</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45659</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45659</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45659</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45659</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45659</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45659</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45659</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45659</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45659</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45659</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45659</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45659</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45659</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45659</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45659</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45659</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45659</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45659</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45659</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45659</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45659</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45659</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45659</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45659</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45659</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45659</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45659</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45659</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45659</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45659</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45659</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45659</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45659</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45659</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45659</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45659</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45659</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45659</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45659</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45659</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45659</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45659</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45659</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45659</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45659</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45659</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45659</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45659</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45659</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45659</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45659</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45659</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45659</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45659</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45659</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45659</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45659</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45659</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45659</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45659</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45659</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45659</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45659</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45659</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45659</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45659</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45659</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45659</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45659</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45659</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45659</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45659</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45659</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45659</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45659</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45659</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45659</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45659</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45659</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45659</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45659</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45659</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45659</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45659</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45659</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45659</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45659</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45659</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45659</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45659</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45659</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45659</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45659</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45659</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45659</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45659</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45659</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45659</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45659</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45659</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45659</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45659</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45659</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45659</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45659</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45659</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45659</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45659</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45659</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45659</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45659</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45659</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45659</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45659</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45659</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45659</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45659</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45659</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45659</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45659</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45659</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45659</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45659</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45659</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45659</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45659</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45659</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45659</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45659</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45659</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45659</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45659</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45659</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45659</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45659</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45659</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45659</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45659</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45659</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45659</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45659</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45659</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45659</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45659</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45659</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45659</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45659</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45659</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45659</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45659</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45659</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45659</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45659</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45659</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45659</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45659</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45659</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45659</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45659</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45659</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45659</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45659</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45659</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45659</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45659</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45659</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45659</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45659</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45659</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45659</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45659</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45659</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45659</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45659</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45659</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45659</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45659</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45659</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45659</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45659</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45659</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45659</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45659</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45659</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45659</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45659</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45659</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45659</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45659</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45659</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45659</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45659</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45659</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45659</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45659</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45659</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45659</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45659</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45659</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45659</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45659</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45659</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45659</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45659</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45659</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45659</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45659</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45659</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45659</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45659</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45659</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45659</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45659</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45659</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45659</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45659</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45659</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45659</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45659</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45659</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45659</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45659</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45659</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45659</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45659</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45659</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45659</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45659</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45659</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45659</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45659</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45659</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45659</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45659</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45659</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45659</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45659</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45659</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45659</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45659</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45659</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45659</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45659</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45659</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45659</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45659</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45659</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45659</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45659</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45659</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45659</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45659</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45659</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45659</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45659</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45659</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45659</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45659</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45659</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45659</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45659</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45659</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45659</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45659</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45659</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45659</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45659</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45659</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45659</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45659</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45659</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45659</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45659</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45659</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45659</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45659</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45659</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45659</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45659</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45659</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45659</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45659</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45659</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45659</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45659</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45659</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45659</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45659</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45659</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45659</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45659</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45659</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45659</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45659</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45659</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45659</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45659</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45659</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45659</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45659</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45659</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45659</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45659</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45659</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45659</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45659</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45659</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45659</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45659</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45659</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45659</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45659</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45659</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45659</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45659</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45659</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45659</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45659</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45659</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45659</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45659</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45659</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45659</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45659</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45659</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45659</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45659</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45659</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45659</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45659</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45659</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45659</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45659</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45659</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45659</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45659</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45659</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45659</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45659</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45659</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45659</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45659</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45659</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45659</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45659</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45659</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45659</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45659</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45659</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45659</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45659</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45659</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45659</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45659</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45659</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45659</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45659</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45659</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45659</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45659</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45659</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45659</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45659</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45659</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45659</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45659</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45659</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45659</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45659</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45659</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45659</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45659</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45659</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45659</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45659</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45659</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45659</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45659</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45659</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45659</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45659</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45659</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45659</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45659</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45659</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45659</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45659</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45659</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45659</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45659</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45659</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45659</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45659</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45659</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45659</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45659</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45659</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45659</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45659</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45659</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45659</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45659</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45659</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45659</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45659</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45659</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45659</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45659</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45659</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45659</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45659</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45659</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45659</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45659</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45659</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45659</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45659</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45659</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45659</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45659</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45659</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45659</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45659</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45659</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45659</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45659</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45659</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45659</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45659</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45659</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45659</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45659</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45659</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45659</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45659</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45659</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45659</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45659</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45659</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45659</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45659</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45659</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45659</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45659</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45659</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45659</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45659</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45659</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45659</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45659</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45659</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45659</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45659</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45659</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45659</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45659</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45659</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45659</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45659</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45659</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45659</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45659</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45659</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45659</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45659</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45659</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45659</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45659</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45659</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45659</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45659</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45659</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45659</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45659</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45659</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45659</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45659</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45659</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45659</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45659</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45659</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45659</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45659</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45659</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45659</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45659</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45659</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45659</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45659</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45659</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45659</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45659</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45659</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45659</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45659</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45659</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45659</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45659</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45659</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45659</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45659</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45659</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45659</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45659</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45659</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45659</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45659</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45659</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45659</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45659</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45659</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45659</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45659</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45659</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45659</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45659</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45659</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45659</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45659</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45659</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45659</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45659</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45659</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45659</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45659</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45659</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45659</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45659</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45659</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45659</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45659</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45659</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45659</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45659</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45659</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45659</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45659</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45659</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45659</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45659</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45659</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45659</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45659</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45659</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45659</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45659</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45659</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45659</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45659</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45659</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45659</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45659</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45659</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45659</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45659</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45659</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45659</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45659</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45659</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45659</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45659</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45659</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45659</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45659</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45659</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59875-2024</t>
        </is>
      </c>
      <c r="B1847" s="1" t="n">
        <v>45640</v>
      </c>
      <c r="C1847" s="1" t="n">
        <v>45659</v>
      </c>
      <c r="D1847" t="inlineStr">
        <is>
          <t>STOCKHOLMS LÄN</t>
        </is>
      </c>
      <c r="E1847" t="inlineStr">
        <is>
          <t>NORRTÄLJE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59873-2024</t>
        </is>
      </c>
      <c r="B1848" s="1" t="n">
        <v>45640</v>
      </c>
      <c r="C1848" s="1" t="n">
        <v>45659</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59877-2024</t>
        </is>
      </c>
      <c r="B1849" s="1" t="n">
        <v>45640</v>
      </c>
      <c r="C1849" s="1" t="n">
        <v>45659</v>
      </c>
      <c r="D1849" t="inlineStr">
        <is>
          <t>STOCKHOLMS LÄN</t>
        </is>
      </c>
      <c r="E1849" t="inlineStr">
        <is>
          <t>NORRTÄLJE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59874-2024</t>
        </is>
      </c>
      <c r="B1850" s="1" t="n">
        <v>45640</v>
      </c>
      <c r="C1850" s="1" t="n">
        <v>45659</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59878-2024</t>
        </is>
      </c>
      <c r="B1851" s="1" t="n">
        <v>45640</v>
      </c>
      <c r="C1851" s="1" t="n">
        <v>45659</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45659</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60160-2024</t>
        </is>
      </c>
      <c r="B1853" s="1" t="n">
        <v>45642</v>
      </c>
      <c r="C1853" s="1" t="n">
        <v>45659</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45659</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45659</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45659</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45659</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45659</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62129-2024</t>
        </is>
      </c>
      <c r="B1859" s="1" t="n">
        <v>45646</v>
      </c>
      <c r="C1859" s="1" t="n">
        <v>45659</v>
      </c>
      <c r="D1859" t="inlineStr">
        <is>
          <t>STOCKHOLMS LÄN</t>
        </is>
      </c>
      <c r="E1859" t="inlineStr">
        <is>
          <t>NORRTÄLJE</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45659</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45659</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22-2025</t>
        </is>
      </c>
      <c r="B1862" s="1" t="n">
        <v>45658</v>
      </c>
      <c r="C1862" s="1" t="n">
        <v>45659</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c r="A1863" t="inlineStr">
        <is>
          <t>A 19-2025</t>
        </is>
      </c>
      <c r="B1863" s="1" t="n">
        <v>45658</v>
      </c>
      <c r="C1863" s="1" t="n">
        <v>45659</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2025-01-02T16:23:06Z</dcterms:created>
  <dcterms:modified xmlns:dcterms="http://purl.org/dc/terms/" xmlns:xsi="http://www.w3.org/2001/XMLSchema-instance" xsi:type="dcterms:W3CDTF">2025-01-02T16:23:07Z</dcterms:modified>
</cp:coreProperties>
</file>