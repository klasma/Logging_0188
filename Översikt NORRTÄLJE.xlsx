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45672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45672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45672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45672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45672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45672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45672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45672</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45672</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45672</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45672</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45672</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45672</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45672</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45672</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45672</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45672</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45672</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45672</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45672</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45672</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45672</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45672</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45672</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45672</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45672</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45672</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45672</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45672</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45672</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45672</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45672</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45672</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45672</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45672</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45672</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45672</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45672</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45672</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59582-2024</t>
        </is>
      </c>
      <c r="B42" s="1" t="n">
        <v>45638</v>
      </c>
      <c r="C42" s="1" t="n">
        <v>45672</v>
      </c>
      <c r="D42" t="inlineStr">
        <is>
          <t>STOCKHOLMS LÄN</t>
        </is>
      </c>
      <c r="E42" t="inlineStr">
        <is>
          <t>NORRTÄLJE</t>
        </is>
      </c>
      <c r="F42" t="inlineStr">
        <is>
          <t>Holmen skog AB</t>
        </is>
      </c>
      <c r="G42" t="n">
        <v>2.7</v>
      </c>
      <c r="H42" t="n">
        <v>3</v>
      </c>
      <c r="I42" t="n">
        <v>4</v>
      </c>
      <c r="J42" t="n">
        <v>3</v>
      </c>
      <c r="K42" t="n">
        <v>0</v>
      </c>
      <c r="L42" t="n">
        <v>0</v>
      </c>
      <c r="M42" t="n">
        <v>0</v>
      </c>
      <c r="N42" t="n">
        <v>0</v>
      </c>
      <c r="O42" t="n">
        <v>3</v>
      </c>
      <c r="P42" t="n">
        <v>0</v>
      </c>
      <c r="Q42" t="n">
        <v>8</v>
      </c>
      <c r="R42" s="2" t="inlineStr">
        <is>
          <t>Duvhök
Skogshare
Spillkråka
Bronshjon
Granbräken
Spädstarr
Vågbandad barkbock
Revlummer</t>
        </is>
      </c>
      <c r="S42">
        <f>HYPERLINK("https://klasma.github.io/Logging_0188/artfynd/A 59582-2024 artfynd.xlsx", "A 59582-2024")</f>
        <v/>
      </c>
      <c r="T42">
        <f>HYPERLINK("https://klasma.github.io/Logging_0188/kartor/A 59582-2024 karta.png", "A 59582-2024")</f>
        <v/>
      </c>
      <c r="V42">
        <f>HYPERLINK("https://klasma.github.io/Logging_0188/klagomål/A 59582-2024 FSC-klagomål.docx", "A 59582-2024")</f>
        <v/>
      </c>
      <c r="W42">
        <f>HYPERLINK("https://klasma.github.io/Logging_0188/klagomålsmail/A 59582-2024 FSC-klagomål mail.docx", "A 59582-2024")</f>
        <v/>
      </c>
      <c r="X42">
        <f>HYPERLINK("https://klasma.github.io/Logging_0188/tillsyn/A 59582-2024 tillsynsbegäran.docx", "A 59582-2024")</f>
        <v/>
      </c>
      <c r="Y42">
        <f>HYPERLINK("https://klasma.github.io/Logging_0188/tillsynsmail/A 59582-2024 tillsynsbegäran mail.docx", "A 59582-2024")</f>
        <v/>
      </c>
      <c r="Z42">
        <f>HYPERLINK("https://klasma.github.io/Logging_0188/fåglar/A 59582-2024 prioriterade fågelarter.docx", "A 59582-2024")</f>
        <v/>
      </c>
    </row>
    <row r="43" ht="15" customHeight="1">
      <c r="A43" t="inlineStr">
        <is>
          <t>A 47346-2021</t>
        </is>
      </c>
      <c r="B43" s="1" t="n">
        <v>44447</v>
      </c>
      <c r="C43" s="1" t="n">
        <v>45672</v>
      </c>
      <c r="D43" t="inlineStr">
        <is>
          <t>STOCKHOLMS LÄN</t>
        </is>
      </c>
      <c r="E43" t="inlineStr">
        <is>
          <t>NORRTÄLJE</t>
        </is>
      </c>
      <c r="G43" t="n">
        <v>5.5</v>
      </c>
      <c r="H43" t="n">
        <v>1</v>
      </c>
      <c r="I43" t="n">
        <v>4</v>
      </c>
      <c r="J43" t="n">
        <v>0</v>
      </c>
      <c r="K43" t="n">
        <v>2</v>
      </c>
      <c r="L43" t="n">
        <v>0</v>
      </c>
      <c r="M43" t="n">
        <v>0</v>
      </c>
      <c r="N43" t="n">
        <v>0</v>
      </c>
      <c r="O43" t="n">
        <v>2</v>
      </c>
      <c r="P43" t="n">
        <v>2</v>
      </c>
      <c r="Q43" t="n">
        <v>7</v>
      </c>
      <c r="R43" s="2" t="inlineStr">
        <is>
          <t>Grangråticka
Violgubbe
Anisspindling
Fjällig taggsvamp s.str.
Skarp dropptaggsvamp
Toppvaxskivling
Revlummer</t>
        </is>
      </c>
      <c r="S43">
        <f>HYPERLINK("https://klasma.github.io/Logging_0188/artfynd/A 47346-2021 artfynd.xlsx", "A 47346-2021")</f>
        <v/>
      </c>
      <c r="T43">
        <f>HYPERLINK("https://klasma.github.io/Logging_0188/kartor/A 47346-2021 karta.png", "A 47346-2021")</f>
        <v/>
      </c>
      <c r="V43">
        <f>HYPERLINK("https://klasma.github.io/Logging_0188/klagomål/A 47346-2021 FSC-klagomål.docx", "A 47346-2021")</f>
        <v/>
      </c>
      <c r="W43">
        <f>HYPERLINK("https://klasma.github.io/Logging_0188/klagomålsmail/A 47346-2021 FSC-klagomål mail.docx", "A 47346-2021")</f>
        <v/>
      </c>
      <c r="X43">
        <f>HYPERLINK("https://klasma.github.io/Logging_0188/tillsyn/A 47346-2021 tillsynsbegäran.docx", "A 47346-2021")</f>
        <v/>
      </c>
      <c r="Y43">
        <f>HYPERLINK("https://klasma.github.io/Logging_0188/tillsynsmail/A 47346-2021 tillsynsbegäran mail.docx", "A 47346-2021")</f>
        <v/>
      </c>
    </row>
    <row r="44" ht="15" customHeight="1">
      <c r="A44" t="inlineStr">
        <is>
          <t>A 8644-2022</t>
        </is>
      </c>
      <c r="B44" s="1" t="n">
        <v>44613</v>
      </c>
      <c r="C44" s="1" t="n">
        <v>45672</v>
      </c>
      <c r="D44" t="inlineStr">
        <is>
          <t>STOCKHOLMS LÄN</t>
        </is>
      </c>
      <c r="E44" t="inlineStr">
        <is>
          <t>NORRTÄLJE</t>
        </is>
      </c>
      <c r="G44" t="n">
        <v>5.7</v>
      </c>
      <c r="H44" t="n">
        <v>1</v>
      </c>
      <c r="I44" t="n">
        <v>4</v>
      </c>
      <c r="J44" t="n">
        <v>1</v>
      </c>
      <c r="K44" t="n">
        <v>1</v>
      </c>
      <c r="L44" t="n">
        <v>0</v>
      </c>
      <c r="M44" t="n">
        <v>0</v>
      </c>
      <c r="N44" t="n">
        <v>0</v>
      </c>
      <c r="O44" t="n">
        <v>2</v>
      </c>
      <c r="P44" t="n">
        <v>1</v>
      </c>
      <c r="Q44" t="n">
        <v>7</v>
      </c>
      <c r="R44" s="2" t="inlineStr">
        <is>
          <t>Vågticka
Såpfingersvamp
Blomkålssvamp
Diskvaxskivling
Grönpyrola
Hasselticka
Blåsippa</t>
        </is>
      </c>
      <c r="S44">
        <f>HYPERLINK("https://klasma.github.io/Logging_0188/artfynd/A 8644-2022 artfynd.xlsx", "A 8644-2022")</f>
        <v/>
      </c>
      <c r="T44">
        <f>HYPERLINK("https://klasma.github.io/Logging_0188/kartor/A 8644-2022 karta.png", "A 8644-2022")</f>
        <v/>
      </c>
      <c r="V44">
        <f>HYPERLINK("https://klasma.github.io/Logging_0188/klagomål/A 8644-2022 FSC-klagomål.docx", "A 8644-2022")</f>
        <v/>
      </c>
      <c r="W44">
        <f>HYPERLINK("https://klasma.github.io/Logging_0188/klagomålsmail/A 8644-2022 FSC-klagomål mail.docx", "A 8644-2022")</f>
        <v/>
      </c>
      <c r="X44">
        <f>HYPERLINK("https://klasma.github.io/Logging_0188/tillsyn/A 8644-2022 tillsynsbegäran.docx", "A 8644-2022")</f>
        <v/>
      </c>
      <c r="Y44">
        <f>HYPERLINK("https://klasma.github.io/Logging_0188/tillsynsmail/A 8644-2022 tillsynsbegäran mail.docx", "A 8644-2022")</f>
        <v/>
      </c>
    </row>
    <row r="45" ht="15" customHeight="1">
      <c r="A45" t="inlineStr">
        <is>
          <t>A 13933-2022</t>
        </is>
      </c>
      <c r="B45" s="1" t="n">
        <v>44650</v>
      </c>
      <c r="C45" s="1" t="n">
        <v>45672</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24150-2022</t>
        </is>
      </c>
      <c r="B46" s="1" t="n">
        <v>44725</v>
      </c>
      <c r="C46" s="1" t="n">
        <v>45672</v>
      </c>
      <c r="D46" t="inlineStr">
        <is>
          <t>STOCKHOLMS LÄN</t>
        </is>
      </c>
      <c r="E46" t="inlineStr">
        <is>
          <t>NORRTÄLJE</t>
        </is>
      </c>
      <c r="G46" t="n">
        <v>7</v>
      </c>
      <c r="H46" t="n">
        <v>7</v>
      </c>
      <c r="I46" t="n">
        <v>0</v>
      </c>
      <c r="J46" t="n">
        <v>2</v>
      </c>
      <c r="K46" t="n">
        <v>0</v>
      </c>
      <c r="L46" t="n">
        <v>0</v>
      </c>
      <c r="M46" t="n">
        <v>0</v>
      </c>
      <c r="N46" t="n">
        <v>0</v>
      </c>
      <c r="O46" t="n">
        <v>2</v>
      </c>
      <c r="P46" t="n">
        <v>0</v>
      </c>
      <c r="Q46" t="n">
        <v>7</v>
      </c>
      <c r="R46" s="2" t="inlineStr">
        <is>
          <t>Brunlångöra
Nordfladdermus
Dvärgpipistrell
Gråskimlig fladdermus
Större brunfladdermus
Trollpipistrell
Vattenfladdermus</t>
        </is>
      </c>
      <c r="S46">
        <f>HYPERLINK("https://klasma.github.io/Logging_0188/artfynd/A 24150-2022 artfynd.xlsx", "A 24150-2022")</f>
        <v/>
      </c>
      <c r="T46">
        <f>HYPERLINK("https://klasma.github.io/Logging_0188/kartor/A 24150-2022 karta.png", "A 24150-2022")</f>
        <v/>
      </c>
      <c r="V46">
        <f>HYPERLINK("https://klasma.github.io/Logging_0188/klagomål/A 24150-2022 FSC-klagomål.docx", "A 24150-2022")</f>
        <v/>
      </c>
      <c r="W46">
        <f>HYPERLINK("https://klasma.github.io/Logging_0188/klagomålsmail/A 24150-2022 FSC-klagomål mail.docx", "A 24150-2022")</f>
        <v/>
      </c>
      <c r="X46">
        <f>HYPERLINK("https://klasma.github.io/Logging_0188/tillsyn/A 24150-2022 tillsynsbegäran.docx", "A 24150-2022")</f>
        <v/>
      </c>
      <c r="Y46">
        <f>HYPERLINK("https://klasma.github.io/Logging_0188/tillsynsmail/A 24150-2022 tillsynsbegäran mail.docx", "A 24150-2022")</f>
        <v/>
      </c>
    </row>
    <row r="47" ht="15" customHeight="1">
      <c r="A47" t="inlineStr">
        <is>
          <t>A 45811-2022</t>
        </is>
      </c>
      <c r="B47" s="1" t="n">
        <v>44846</v>
      </c>
      <c r="C47" s="1" t="n">
        <v>45672</v>
      </c>
      <c r="D47" t="inlineStr">
        <is>
          <t>STOCKHOLMS LÄN</t>
        </is>
      </c>
      <c r="E47" t="inlineStr">
        <is>
          <t>NORRTÄLJE</t>
        </is>
      </c>
      <c r="G47" t="n">
        <v>0.8</v>
      </c>
      <c r="H47" t="n">
        <v>0</v>
      </c>
      <c r="I47" t="n">
        <v>5</v>
      </c>
      <c r="J47" t="n">
        <v>0</v>
      </c>
      <c r="K47" t="n">
        <v>0</v>
      </c>
      <c r="L47" t="n">
        <v>1</v>
      </c>
      <c r="M47" t="n">
        <v>1</v>
      </c>
      <c r="N47" t="n">
        <v>0</v>
      </c>
      <c r="O47" t="n">
        <v>2</v>
      </c>
      <c r="P47" t="n">
        <v>2</v>
      </c>
      <c r="Q47" t="n">
        <v>7</v>
      </c>
      <c r="R47" s="2" t="inlineStr">
        <is>
          <t>Skogsalm
Ask
Hässleklocka
Myskmadra
Strävlosta
Tibast
Underviol</t>
        </is>
      </c>
      <c r="S47">
        <f>HYPERLINK("https://klasma.github.io/Logging_0188/artfynd/A 45811-2022 artfynd.xlsx", "A 45811-2022")</f>
        <v/>
      </c>
      <c r="T47">
        <f>HYPERLINK("https://klasma.github.io/Logging_0188/kartor/A 45811-2022 karta.png", "A 45811-2022")</f>
        <v/>
      </c>
      <c r="V47">
        <f>HYPERLINK("https://klasma.github.io/Logging_0188/klagomål/A 45811-2022 FSC-klagomål.docx", "A 45811-2022")</f>
        <v/>
      </c>
      <c r="W47">
        <f>HYPERLINK("https://klasma.github.io/Logging_0188/klagomålsmail/A 45811-2022 FSC-klagomål mail.docx", "A 45811-2022")</f>
        <v/>
      </c>
      <c r="X47">
        <f>HYPERLINK("https://klasma.github.io/Logging_0188/tillsyn/A 45811-2022 tillsynsbegäran.docx", "A 45811-2022")</f>
        <v/>
      </c>
      <c r="Y47">
        <f>HYPERLINK("https://klasma.github.io/Logging_0188/tillsynsmail/A 45811-2022 tillsynsbegäran mail.docx", "A 45811-2022")</f>
        <v/>
      </c>
    </row>
    <row r="48" ht="15" customHeight="1">
      <c r="A48" t="inlineStr">
        <is>
          <t>A 48490-2022</t>
        </is>
      </c>
      <c r="B48" s="1" t="n">
        <v>44858</v>
      </c>
      <c r="C48" s="1" t="n">
        <v>45672</v>
      </c>
      <c r="D48" t="inlineStr">
        <is>
          <t>STOCKHOLMS LÄN</t>
        </is>
      </c>
      <c r="E48" t="inlineStr">
        <is>
          <t>NORRTÄLJE</t>
        </is>
      </c>
      <c r="G48" t="n">
        <v>15.8</v>
      </c>
      <c r="H48" t="n">
        <v>2</v>
      </c>
      <c r="I48" t="n">
        <v>6</v>
      </c>
      <c r="J48" t="n">
        <v>0</v>
      </c>
      <c r="K48" t="n">
        <v>0</v>
      </c>
      <c r="L48" t="n">
        <v>0</v>
      </c>
      <c r="M48" t="n">
        <v>0</v>
      </c>
      <c r="N48" t="n">
        <v>0</v>
      </c>
      <c r="O48" t="n">
        <v>0</v>
      </c>
      <c r="P48" t="n">
        <v>0</v>
      </c>
      <c r="Q48" t="n">
        <v>7</v>
      </c>
      <c r="R48" s="2" t="inlineStr">
        <is>
          <t>Kragjordstjärna
Skogsknipprot
Svart trolldruva
Svavelriska
Tibast
Vårärt
Blåsippa</t>
        </is>
      </c>
      <c r="S48">
        <f>HYPERLINK("https://klasma.github.io/Logging_0188/artfynd/A 48490-2022 artfynd.xlsx", "A 48490-2022")</f>
        <v/>
      </c>
      <c r="T48">
        <f>HYPERLINK("https://klasma.github.io/Logging_0188/kartor/A 48490-2022 karta.png", "A 48490-2022")</f>
        <v/>
      </c>
      <c r="V48">
        <f>HYPERLINK("https://klasma.github.io/Logging_0188/klagomål/A 48490-2022 FSC-klagomål.docx", "A 48490-2022")</f>
        <v/>
      </c>
      <c r="W48">
        <f>HYPERLINK("https://klasma.github.io/Logging_0188/klagomålsmail/A 48490-2022 FSC-klagomål mail.docx", "A 48490-2022")</f>
        <v/>
      </c>
      <c r="X48">
        <f>HYPERLINK("https://klasma.github.io/Logging_0188/tillsyn/A 48490-2022 tillsynsbegäran.docx", "A 48490-2022")</f>
        <v/>
      </c>
      <c r="Y48">
        <f>HYPERLINK("https://klasma.github.io/Logging_0188/tillsynsmail/A 48490-2022 tillsynsbegäran mail.docx", "A 48490-2022")</f>
        <v/>
      </c>
    </row>
    <row r="49" ht="15" customHeight="1">
      <c r="A49" t="inlineStr">
        <is>
          <t>A 15278-2024</t>
        </is>
      </c>
      <c r="B49" s="1" t="n">
        <v>45400</v>
      </c>
      <c r="C49" s="1" t="n">
        <v>45672</v>
      </c>
      <c r="D49" t="inlineStr">
        <is>
          <t>STOCKHOLMS LÄN</t>
        </is>
      </c>
      <c r="E49" t="inlineStr">
        <is>
          <t>NORRTÄLJE</t>
        </is>
      </c>
      <c r="G49" t="n">
        <v>7.4</v>
      </c>
      <c r="H49" t="n">
        <v>2</v>
      </c>
      <c r="I49" t="n">
        <v>4</v>
      </c>
      <c r="J49" t="n">
        <v>1</v>
      </c>
      <c r="K49" t="n">
        <v>1</v>
      </c>
      <c r="L49" t="n">
        <v>0</v>
      </c>
      <c r="M49" t="n">
        <v>0</v>
      </c>
      <c r="N49" t="n">
        <v>0</v>
      </c>
      <c r="O49" t="n">
        <v>2</v>
      </c>
      <c r="P49" t="n">
        <v>1</v>
      </c>
      <c r="Q49" t="n">
        <v>7</v>
      </c>
      <c r="R49" s="2" t="inlineStr">
        <is>
          <t>Knärot
Ullticka
Fjällig taggsvamp s.str.
Grönpyrola
Kattfotslav
Vedticka
Blåsippa</t>
        </is>
      </c>
      <c r="S49">
        <f>HYPERLINK("https://klasma.github.io/Logging_0188/artfynd/A 15278-2024 artfynd.xlsx", "A 15278-2024")</f>
        <v/>
      </c>
      <c r="T49">
        <f>HYPERLINK("https://klasma.github.io/Logging_0188/kartor/A 15278-2024 karta.png", "A 15278-2024")</f>
        <v/>
      </c>
      <c r="U49">
        <f>HYPERLINK("https://klasma.github.io/Logging_0188/knärot/A 15278-2024 karta knärot.png", "A 15278-2024")</f>
        <v/>
      </c>
      <c r="V49">
        <f>HYPERLINK("https://klasma.github.io/Logging_0188/klagomål/A 15278-2024 FSC-klagomål.docx", "A 15278-2024")</f>
        <v/>
      </c>
      <c r="W49">
        <f>HYPERLINK("https://klasma.github.io/Logging_0188/klagomålsmail/A 15278-2024 FSC-klagomål mail.docx", "A 15278-2024")</f>
        <v/>
      </c>
      <c r="X49">
        <f>HYPERLINK("https://klasma.github.io/Logging_0188/tillsyn/A 15278-2024 tillsynsbegäran.docx", "A 15278-2024")</f>
        <v/>
      </c>
      <c r="Y49">
        <f>HYPERLINK("https://klasma.github.io/Logging_0188/tillsynsmail/A 15278-2024 tillsynsbegäran mail.docx", "A 15278-2024")</f>
        <v/>
      </c>
    </row>
    <row r="50" ht="15" customHeight="1">
      <c r="A50" t="inlineStr">
        <is>
          <t>A 60084-2024</t>
        </is>
      </c>
      <c r="B50" s="1" t="n">
        <v>45642</v>
      </c>
      <c r="C50" s="1" t="n">
        <v>45672</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45672</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45672</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45672</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45672</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45672</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45672</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45672</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45672</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45672</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45672</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45672</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45672</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45672</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45672</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45672</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45672</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45672</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45672</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45672</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45672</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45672</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45672</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45672</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45672</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45672</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8024-2022</t>
        </is>
      </c>
      <c r="B76" s="1" t="n">
        <v>44609</v>
      </c>
      <c r="C76" s="1" t="n">
        <v>45672</v>
      </c>
      <c r="D76" t="inlineStr">
        <is>
          <t>STOCKHOLMS LÄN</t>
        </is>
      </c>
      <c r="E76" t="inlineStr">
        <is>
          <t>NORRTÄLJE</t>
        </is>
      </c>
      <c r="F76" t="inlineStr">
        <is>
          <t>Kyrkan</t>
        </is>
      </c>
      <c r="G76" t="n">
        <v>28.2</v>
      </c>
      <c r="H76" t="n">
        <v>3</v>
      </c>
      <c r="I76" t="n">
        <v>0</v>
      </c>
      <c r="J76" t="n">
        <v>1</v>
      </c>
      <c r="K76" t="n">
        <v>0</v>
      </c>
      <c r="L76" t="n">
        <v>0</v>
      </c>
      <c r="M76" t="n">
        <v>0</v>
      </c>
      <c r="N76" t="n">
        <v>0</v>
      </c>
      <c r="O76" t="n">
        <v>1</v>
      </c>
      <c r="P76" t="n">
        <v>0</v>
      </c>
      <c r="Q76" t="n">
        <v>3</v>
      </c>
      <c r="R76" s="2" t="inlineStr">
        <is>
          <t>Björktrast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12215-2022</t>
        </is>
      </c>
      <c r="B77" s="1" t="n">
        <v>44637</v>
      </c>
      <c r="C77" s="1" t="n">
        <v>45672</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45672</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45672</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45672</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45672</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45672</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45672</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45672</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45672</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45672</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45672</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45672</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45672</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45672</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45672</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45672</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45672</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45672</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45672</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45672</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45672</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45672</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45672</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45672</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45672</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45672</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45672</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45672</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45672</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45672</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45672</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45672</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45672</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45672</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45672</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45672</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45672</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45672</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45672</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45672</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45672</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45672</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45672</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45672</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45672</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45672</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45672</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45672</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45672</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45672</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45672</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45672</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45672</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45672</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45672</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45672</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45672</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45672</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45672</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45672</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45672</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45672</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45672</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45672</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45672</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45672</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45672</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45672</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45672</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45672</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45672</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45672</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45672</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45672</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45672</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45672</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45672</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45672</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45672</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45672</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45672</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45672</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45672</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45672</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45672</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45672</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45672</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45672</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45672</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45672</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45672</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45672</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45672</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45672</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45672</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45672</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43178-2023</t>
        </is>
      </c>
      <c r="B173" s="1" t="n">
        <v>45183</v>
      </c>
      <c r="C173" s="1" t="n">
        <v>45672</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45672</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45672</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45672</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45672</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45672</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45672</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45672</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45672</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45672</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45672</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45672</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45672</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45672</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45672</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45672</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45672</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45672</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45672</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45672</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45672</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45672</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45672</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45672</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45672</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45672</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17752-2019</t>
        </is>
      </c>
      <c r="B199" s="1" t="n">
        <v>43556</v>
      </c>
      <c r="C199" s="1" t="n">
        <v>45672</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17795-2019</t>
        </is>
      </c>
      <c r="B200" s="1" t="n">
        <v>43556</v>
      </c>
      <c r="C200" s="1" t="n">
        <v>45672</v>
      </c>
      <c r="D200" t="inlineStr">
        <is>
          <t>STOCKHOLMS LÄN</t>
        </is>
      </c>
      <c r="E200" t="inlineStr">
        <is>
          <t>NORRTÄLJE</t>
        </is>
      </c>
      <c r="G200" t="n">
        <v>0.8</v>
      </c>
      <c r="H200" t="n">
        <v>0</v>
      </c>
      <c r="I200" t="n">
        <v>0</v>
      </c>
      <c r="J200" t="n">
        <v>0</v>
      </c>
      <c r="K200" t="n">
        <v>0</v>
      </c>
      <c r="L200" t="n">
        <v>0</v>
      </c>
      <c r="M200" t="n">
        <v>0</v>
      </c>
      <c r="N200" t="n">
        <v>0</v>
      </c>
      <c r="O200" t="n">
        <v>0</v>
      </c>
      <c r="P200" t="n">
        <v>0</v>
      </c>
      <c r="Q200" t="n">
        <v>0</v>
      </c>
      <c r="R200" s="2" t="inlineStr"/>
    </row>
    <row r="201" ht="15" customHeight="1">
      <c r="A201" t="inlineStr">
        <is>
          <t>A 17757-2019</t>
        </is>
      </c>
      <c r="B201" s="1" t="n">
        <v>43556</v>
      </c>
      <c r="C201" s="1" t="n">
        <v>45672</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17963-2019</t>
        </is>
      </c>
      <c r="B202" s="1" t="n">
        <v>43557</v>
      </c>
      <c r="C202" s="1" t="n">
        <v>45672</v>
      </c>
      <c r="D202" t="inlineStr">
        <is>
          <t>STOCKHOLMS LÄN</t>
        </is>
      </c>
      <c r="E202" t="inlineStr">
        <is>
          <t>NORRTÄLJE</t>
        </is>
      </c>
      <c r="G202" t="n">
        <v>0.9</v>
      </c>
      <c r="H202" t="n">
        <v>0</v>
      </c>
      <c r="I202" t="n">
        <v>0</v>
      </c>
      <c r="J202" t="n">
        <v>0</v>
      </c>
      <c r="K202" t="n">
        <v>0</v>
      </c>
      <c r="L202" t="n">
        <v>0</v>
      </c>
      <c r="M202" t="n">
        <v>0</v>
      </c>
      <c r="N202" t="n">
        <v>0</v>
      </c>
      <c r="O202" t="n">
        <v>0</v>
      </c>
      <c r="P202" t="n">
        <v>0</v>
      </c>
      <c r="Q202" t="n">
        <v>0</v>
      </c>
      <c r="R202" s="2" t="inlineStr"/>
    </row>
    <row r="203" ht="15" customHeight="1">
      <c r="A203" t="inlineStr">
        <is>
          <t>A 18378-2019</t>
        </is>
      </c>
      <c r="B203" s="1" t="n">
        <v>43559</v>
      </c>
      <c r="C203" s="1" t="n">
        <v>45672</v>
      </c>
      <c r="D203" t="inlineStr">
        <is>
          <t>STOCKHOLMS LÄN</t>
        </is>
      </c>
      <c r="E203" t="inlineStr">
        <is>
          <t>NORRTÄLJE</t>
        </is>
      </c>
      <c r="G203" t="n">
        <v>5.8</v>
      </c>
      <c r="H203" t="n">
        <v>0</v>
      </c>
      <c r="I203" t="n">
        <v>0</v>
      </c>
      <c r="J203" t="n">
        <v>0</v>
      </c>
      <c r="K203" t="n">
        <v>0</v>
      </c>
      <c r="L203" t="n">
        <v>0</v>
      </c>
      <c r="M203" t="n">
        <v>0</v>
      </c>
      <c r="N203" t="n">
        <v>0</v>
      </c>
      <c r="O203" t="n">
        <v>0</v>
      </c>
      <c r="P203" t="n">
        <v>0</v>
      </c>
      <c r="Q203" t="n">
        <v>0</v>
      </c>
      <c r="R203" s="2" t="inlineStr"/>
    </row>
    <row r="204" ht="15" customHeight="1">
      <c r="A204" t="inlineStr">
        <is>
          <t>A 18664-2019</t>
        </is>
      </c>
      <c r="B204" s="1" t="n">
        <v>43560</v>
      </c>
      <c r="C204" s="1" t="n">
        <v>45672</v>
      </c>
      <c r="D204" t="inlineStr">
        <is>
          <t>STOCKHOLMS LÄN</t>
        </is>
      </c>
      <c r="E204" t="inlineStr">
        <is>
          <t>NORRTÄLJE</t>
        </is>
      </c>
      <c r="G204" t="n">
        <v>0.6</v>
      </c>
      <c r="H204" t="n">
        <v>0</v>
      </c>
      <c r="I204" t="n">
        <v>0</v>
      </c>
      <c r="J204" t="n">
        <v>0</v>
      </c>
      <c r="K204" t="n">
        <v>0</v>
      </c>
      <c r="L204" t="n">
        <v>0</v>
      </c>
      <c r="M204" t="n">
        <v>0</v>
      </c>
      <c r="N204" t="n">
        <v>0</v>
      </c>
      <c r="O204" t="n">
        <v>0</v>
      </c>
      <c r="P204" t="n">
        <v>0</v>
      </c>
      <c r="Q204" t="n">
        <v>0</v>
      </c>
      <c r="R204" s="2" t="inlineStr"/>
    </row>
    <row r="205" ht="15" customHeight="1">
      <c r="A205" t="inlineStr">
        <is>
          <t>A 18767-2019</t>
        </is>
      </c>
      <c r="B205" s="1" t="n">
        <v>43560</v>
      </c>
      <c r="C205" s="1" t="n">
        <v>45672</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18820-2019</t>
        </is>
      </c>
      <c r="B206" s="1" t="n">
        <v>43563</v>
      </c>
      <c r="C206" s="1" t="n">
        <v>45672</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18890-2019</t>
        </is>
      </c>
      <c r="B207" s="1" t="n">
        <v>43563</v>
      </c>
      <c r="C207" s="1" t="n">
        <v>45672</v>
      </c>
      <c r="D207" t="inlineStr">
        <is>
          <t>STOCKHOLMS LÄN</t>
        </is>
      </c>
      <c r="E207" t="inlineStr">
        <is>
          <t>NORRTÄLJE</t>
        </is>
      </c>
      <c r="G207" t="n">
        <v>4.7</v>
      </c>
      <c r="H207" t="n">
        <v>0</v>
      </c>
      <c r="I207" t="n">
        <v>0</v>
      </c>
      <c r="J207" t="n">
        <v>0</v>
      </c>
      <c r="K207" t="n">
        <v>0</v>
      </c>
      <c r="L207" t="n">
        <v>0</v>
      </c>
      <c r="M207" t="n">
        <v>0</v>
      </c>
      <c r="N207" t="n">
        <v>0</v>
      </c>
      <c r="O207" t="n">
        <v>0</v>
      </c>
      <c r="P207" t="n">
        <v>0</v>
      </c>
      <c r="Q207" t="n">
        <v>0</v>
      </c>
      <c r="R207" s="2" t="inlineStr"/>
    </row>
    <row r="208" ht="15" customHeight="1">
      <c r="A208" t="inlineStr">
        <is>
          <t>A 18909-2019</t>
        </is>
      </c>
      <c r="B208" s="1" t="n">
        <v>43563</v>
      </c>
      <c r="C208" s="1" t="n">
        <v>45672</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19026-2019</t>
        </is>
      </c>
      <c r="B209" s="1" t="n">
        <v>43563</v>
      </c>
      <c r="C209" s="1" t="n">
        <v>45672</v>
      </c>
      <c r="D209" t="inlineStr">
        <is>
          <t>STOCKHOLMS LÄN</t>
        </is>
      </c>
      <c r="E209" t="inlineStr">
        <is>
          <t>NORRTÄLJE</t>
        </is>
      </c>
      <c r="G209" t="n">
        <v>4.4</v>
      </c>
      <c r="H209" t="n">
        <v>0</v>
      </c>
      <c r="I209" t="n">
        <v>0</v>
      </c>
      <c r="J209" t="n">
        <v>0</v>
      </c>
      <c r="K209" t="n">
        <v>0</v>
      </c>
      <c r="L209" t="n">
        <v>0</v>
      </c>
      <c r="M209" t="n">
        <v>0</v>
      </c>
      <c r="N209" t="n">
        <v>0</v>
      </c>
      <c r="O209" t="n">
        <v>0</v>
      </c>
      <c r="P209" t="n">
        <v>0</v>
      </c>
      <c r="Q209" t="n">
        <v>0</v>
      </c>
      <c r="R209" s="2" t="inlineStr"/>
    </row>
    <row r="210" ht="15" customHeight="1">
      <c r="A210" t="inlineStr">
        <is>
          <t>A 19014-2019</t>
        </is>
      </c>
      <c r="B210" s="1" t="n">
        <v>43563</v>
      </c>
      <c r="C210" s="1" t="n">
        <v>45672</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19247-2019</t>
        </is>
      </c>
      <c r="B211" s="1" t="n">
        <v>43564</v>
      </c>
      <c r="C211" s="1" t="n">
        <v>45672</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19255-2019</t>
        </is>
      </c>
      <c r="B212" s="1" t="n">
        <v>43564</v>
      </c>
      <c r="C212" s="1" t="n">
        <v>45672</v>
      </c>
      <c r="D212" t="inlineStr">
        <is>
          <t>STOCKHOLMS LÄN</t>
        </is>
      </c>
      <c r="E212" t="inlineStr">
        <is>
          <t>NORRTÄLJE</t>
        </is>
      </c>
      <c r="G212" t="n">
        <v>2.6</v>
      </c>
      <c r="H212" t="n">
        <v>0</v>
      </c>
      <c r="I212" t="n">
        <v>0</v>
      </c>
      <c r="J212" t="n">
        <v>0</v>
      </c>
      <c r="K212" t="n">
        <v>0</v>
      </c>
      <c r="L212" t="n">
        <v>0</v>
      </c>
      <c r="M212" t="n">
        <v>0</v>
      </c>
      <c r="N212" t="n">
        <v>0</v>
      </c>
      <c r="O212" t="n">
        <v>0</v>
      </c>
      <c r="P212" t="n">
        <v>0</v>
      </c>
      <c r="Q212" t="n">
        <v>0</v>
      </c>
      <c r="R212" s="2" t="inlineStr"/>
    </row>
    <row r="213" ht="15" customHeight="1">
      <c r="A213" t="inlineStr">
        <is>
          <t>A 19302-2019</t>
        </is>
      </c>
      <c r="B213" s="1" t="n">
        <v>43565</v>
      </c>
      <c r="C213" s="1" t="n">
        <v>45672</v>
      </c>
      <c r="D213" t="inlineStr">
        <is>
          <t>STOCKHOLMS LÄN</t>
        </is>
      </c>
      <c r="E213" t="inlineStr">
        <is>
          <t>NORRTÄLJE</t>
        </is>
      </c>
      <c r="F213" t="inlineStr">
        <is>
          <t>Kommuner</t>
        </is>
      </c>
      <c r="G213" t="n">
        <v>4.2</v>
      </c>
      <c r="H213" t="n">
        <v>0</v>
      </c>
      <c r="I213" t="n">
        <v>0</v>
      </c>
      <c r="J213" t="n">
        <v>0</v>
      </c>
      <c r="K213" t="n">
        <v>0</v>
      </c>
      <c r="L213" t="n">
        <v>0</v>
      </c>
      <c r="M213" t="n">
        <v>0</v>
      </c>
      <c r="N213" t="n">
        <v>0</v>
      </c>
      <c r="O213" t="n">
        <v>0</v>
      </c>
      <c r="P213" t="n">
        <v>0</v>
      </c>
      <c r="Q213" t="n">
        <v>0</v>
      </c>
      <c r="R213" s="2" t="inlineStr"/>
    </row>
    <row r="214" ht="15" customHeight="1">
      <c r="A214" t="inlineStr">
        <is>
          <t>A 19301-2019</t>
        </is>
      </c>
      <c r="B214" s="1" t="n">
        <v>43565</v>
      </c>
      <c r="C214" s="1" t="n">
        <v>45672</v>
      </c>
      <c r="D214" t="inlineStr">
        <is>
          <t>STOCKHOLMS LÄN</t>
        </is>
      </c>
      <c r="E214" t="inlineStr">
        <is>
          <t>NORRTÄLJE</t>
        </is>
      </c>
      <c r="F214" t="inlineStr">
        <is>
          <t>Kommuner</t>
        </is>
      </c>
      <c r="G214" t="n">
        <v>3.9</v>
      </c>
      <c r="H214" t="n">
        <v>0</v>
      </c>
      <c r="I214" t="n">
        <v>0</v>
      </c>
      <c r="J214" t="n">
        <v>0</v>
      </c>
      <c r="K214" t="n">
        <v>0</v>
      </c>
      <c r="L214" t="n">
        <v>0</v>
      </c>
      <c r="M214" t="n">
        <v>0</v>
      </c>
      <c r="N214" t="n">
        <v>0</v>
      </c>
      <c r="O214" t="n">
        <v>0</v>
      </c>
      <c r="P214" t="n">
        <v>0</v>
      </c>
      <c r="Q214" t="n">
        <v>0</v>
      </c>
      <c r="R214" s="2" t="inlineStr"/>
    </row>
    <row r="215" ht="15" customHeight="1">
      <c r="A215" t="inlineStr">
        <is>
          <t>A 19297-2019</t>
        </is>
      </c>
      <c r="B215" s="1" t="n">
        <v>43565</v>
      </c>
      <c r="C215" s="1" t="n">
        <v>45672</v>
      </c>
      <c r="D215" t="inlineStr">
        <is>
          <t>STOCKHOLMS LÄN</t>
        </is>
      </c>
      <c r="E215" t="inlineStr">
        <is>
          <t>NORRTÄLJE</t>
        </is>
      </c>
      <c r="F215" t="inlineStr">
        <is>
          <t>Kommuner</t>
        </is>
      </c>
      <c r="G215" t="n">
        <v>1.2</v>
      </c>
      <c r="H215" t="n">
        <v>0</v>
      </c>
      <c r="I215" t="n">
        <v>0</v>
      </c>
      <c r="J215" t="n">
        <v>0</v>
      </c>
      <c r="K215" t="n">
        <v>0</v>
      </c>
      <c r="L215" t="n">
        <v>0</v>
      </c>
      <c r="M215" t="n">
        <v>0</v>
      </c>
      <c r="N215" t="n">
        <v>0</v>
      </c>
      <c r="O215" t="n">
        <v>0</v>
      </c>
      <c r="P215" t="n">
        <v>0</v>
      </c>
      <c r="Q215" t="n">
        <v>0</v>
      </c>
      <c r="R215" s="2" t="inlineStr"/>
    </row>
    <row r="216" ht="15" customHeight="1">
      <c r="A216" t="inlineStr">
        <is>
          <t>A 19537-2019</t>
        </is>
      </c>
      <c r="B216" s="1" t="n">
        <v>43565</v>
      </c>
      <c r="C216" s="1" t="n">
        <v>45672</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19539-2019</t>
        </is>
      </c>
      <c r="B217" s="1" t="n">
        <v>43565</v>
      </c>
      <c r="C217" s="1" t="n">
        <v>45672</v>
      </c>
      <c r="D217" t="inlineStr">
        <is>
          <t>STOCKHOLMS LÄN</t>
        </is>
      </c>
      <c r="E217" t="inlineStr">
        <is>
          <t>NORRTÄLJE</t>
        </is>
      </c>
      <c r="G217" t="n">
        <v>2.4</v>
      </c>
      <c r="H217" t="n">
        <v>0</v>
      </c>
      <c r="I217" t="n">
        <v>0</v>
      </c>
      <c r="J217" t="n">
        <v>0</v>
      </c>
      <c r="K217" t="n">
        <v>0</v>
      </c>
      <c r="L217" t="n">
        <v>0</v>
      </c>
      <c r="M217" t="n">
        <v>0</v>
      </c>
      <c r="N217" t="n">
        <v>0</v>
      </c>
      <c r="O217" t="n">
        <v>0</v>
      </c>
      <c r="P217" t="n">
        <v>0</v>
      </c>
      <c r="Q217" t="n">
        <v>0</v>
      </c>
      <c r="R217" s="2" t="inlineStr"/>
    </row>
    <row r="218" ht="15" customHeight="1">
      <c r="A218" t="inlineStr">
        <is>
          <t>A 19540-2019</t>
        </is>
      </c>
      <c r="B218" s="1" t="n">
        <v>43565</v>
      </c>
      <c r="C218" s="1" t="n">
        <v>45672</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19638-2019</t>
        </is>
      </c>
      <c r="B219" s="1" t="n">
        <v>43566</v>
      </c>
      <c r="C219" s="1" t="n">
        <v>45672</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19593-2019</t>
        </is>
      </c>
      <c r="B220" s="1" t="n">
        <v>43566</v>
      </c>
      <c r="C220" s="1" t="n">
        <v>45672</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19872-2019</t>
        </is>
      </c>
      <c r="B221" s="1" t="n">
        <v>43567</v>
      </c>
      <c r="C221" s="1" t="n">
        <v>45672</v>
      </c>
      <c r="D221" t="inlineStr">
        <is>
          <t>STOCKHOLMS LÄN</t>
        </is>
      </c>
      <c r="E221" t="inlineStr">
        <is>
          <t>NORRTÄLJE</t>
        </is>
      </c>
      <c r="G221" t="n">
        <v>1.8</v>
      </c>
      <c r="H221" t="n">
        <v>0</v>
      </c>
      <c r="I221" t="n">
        <v>0</v>
      </c>
      <c r="J221" t="n">
        <v>0</v>
      </c>
      <c r="K221" t="n">
        <v>0</v>
      </c>
      <c r="L221" t="n">
        <v>0</v>
      </c>
      <c r="M221" t="n">
        <v>0</v>
      </c>
      <c r="N221" t="n">
        <v>0</v>
      </c>
      <c r="O221" t="n">
        <v>0</v>
      </c>
      <c r="P221" t="n">
        <v>0</v>
      </c>
      <c r="Q221" t="n">
        <v>0</v>
      </c>
      <c r="R221" s="2" t="inlineStr"/>
    </row>
    <row r="222" ht="15" customHeight="1">
      <c r="A222" t="inlineStr">
        <is>
          <t>A 19811-2019</t>
        </is>
      </c>
      <c r="B222" s="1" t="n">
        <v>43567</v>
      </c>
      <c r="C222" s="1" t="n">
        <v>45672</v>
      </c>
      <c r="D222" t="inlineStr">
        <is>
          <t>STOCKHOLMS LÄN</t>
        </is>
      </c>
      <c r="E222" t="inlineStr">
        <is>
          <t>NORRTÄLJE</t>
        </is>
      </c>
      <c r="F222" t="inlineStr">
        <is>
          <t>Kommuner</t>
        </is>
      </c>
      <c r="G222" t="n">
        <v>1.6</v>
      </c>
      <c r="H222" t="n">
        <v>0</v>
      </c>
      <c r="I222" t="n">
        <v>0</v>
      </c>
      <c r="J222" t="n">
        <v>0</v>
      </c>
      <c r="K222" t="n">
        <v>0</v>
      </c>
      <c r="L222" t="n">
        <v>0</v>
      </c>
      <c r="M222" t="n">
        <v>0</v>
      </c>
      <c r="N222" t="n">
        <v>0</v>
      </c>
      <c r="O222" t="n">
        <v>0</v>
      </c>
      <c r="P222" t="n">
        <v>0</v>
      </c>
      <c r="Q222" t="n">
        <v>0</v>
      </c>
      <c r="R222" s="2" t="inlineStr"/>
    </row>
    <row r="223" ht="15" customHeight="1">
      <c r="A223" t="inlineStr">
        <is>
          <t>A 19812-2019</t>
        </is>
      </c>
      <c r="B223" s="1" t="n">
        <v>43567</v>
      </c>
      <c r="C223" s="1" t="n">
        <v>45672</v>
      </c>
      <c r="D223" t="inlineStr">
        <is>
          <t>STOCKHOLMS LÄN</t>
        </is>
      </c>
      <c r="E223" t="inlineStr">
        <is>
          <t>NORRTÄLJE</t>
        </is>
      </c>
      <c r="F223" t="inlineStr">
        <is>
          <t>Kommuner</t>
        </is>
      </c>
      <c r="G223" t="n">
        <v>1.5</v>
      </c>
      <c r="H223" t="n">
        <v>0</v>
      </c>
      <c r="I223" t="n">
        <v>0</v>
      </c>
      <c r="J223" t="n">
        <v>0</v>
      </c>
      <c r="K223" t="n">
        <v>0</v>
      </c>
      <c r="L223" t="n">
        <v>0</v>
      </c>
      <c r="M223" t="n">
        <v>0</v>
      </c>
      <c r="N223" t="n">
        <v>0</v>
      </c>
      <c r="O223" t="n">
        <v>0</v>
      </c>
      <c r="P223" t="n">
        <v>0</v>
      </c>
      <c r="Q223" t="n">
        <v>0</v>
      </c>
      <c r="R223" s="2" t="inlineStr"/>
    </row>
    <row r="224" ht="15" customHeight="1">
      <c r="A224" t="inlineStr">
        <is>
          <t>A 19931-2019</t>
        </is>
      </c>
      <c r="B224" s="1" t="n">
        <v>43568</v>
      </c>
      <c r="C224" s="1" t="n">
        <v>45672</v>
      </c>
      <c r="D224" t="inlineStr">
        <is>
          <t>STOCKHOLMS LÄN</t>
        </is>
      </c>
      <c r="E224" t="inlineStr">
        <is>
          <t>NORRTÄLJE</t>
        </is>
      </c>
      <c r="G224" t="n">
        <v>4.2</v>
      </c>
      <c r="H224" t="n">
        <v>0</v>
      </c>
      <c r="I224" t="n">
        <v>0</v>
      </c>
      <c r="J224" t="n">
        <v>0</v>
      </c>
      <c r="K224" t="n">
        <v>0</v>
      </c>
      <c r="L224" t="n">
        <v>0</v>
      </c>
      <c r="M224" t="n">
        <v>0</v>
      </c>
      <c r="N224" t="n">
        <v>0</v>
      </c>
      <c r="O224" t="n">
        <v>0</v>
      </c>
      <c r="P224" t="n">
        <v>0</v>
      </c>
      <c r="Q224" t="n">
        <v>0</v>
      </c>
      <c r="R224" s="2" t="inlineStr"/>
    </row>
    <row r="225" ht="15" customHeight="1">
      <c r="A225" t="inlineStr">
        <is>
          <t>A 20033-2019</t>
        </is>
      </c>
      <c r="B225" s="1" t="n">
        <v>43570</v>
      </c>
      <c r="C225" s="1" t="n">
        <v>45672</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20020-2019</t>
        </is>
      </c>
      <c r="B226" s="1" t="n">
        <v>43570</v>
      </c>
      <c r="C226" s="1" t="n">
        <v>45672</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20051-2019</t>
        </is>
      </c>
      <c r="B227" s="1" t="n">
        <v>43570</v>
      </c>
      <c r="C227" s="1" t="n">
        <v>45672</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20137-2019</t>
        </is>
      </c>
      <c r="B228" s="1" t="n">
        <v>43570</v>
      </c>
      <c r="C228" s="1" t="n">
        <v>45672</v>
      </c>
      <c r="D228" t="inlineStr">
        <is>
          <t>STOCKHOLMS LÄN</t>
        </is>
      </c>
      <c r="E228" t="inlineStr">
        <is>
          <t>NORRTÄLJE</t>
        </is>
      </c>
      <c r="G228" t="n">
        <v>3</v>
      </c>
      <c r="H228" t="n">
        <v>0</v>
      </c>
      <c r="I228" t="n">
        <v>0</v>
      </c>
      <c r="J228" t="n">
        <v>0</v>
      </c>
      <c r="K228" t="n">
        <v>0</v>
      </c>
      <c r="L228" t="n">
        <v>0</v>
      </c>
      <c r="M228" t="n">
        <v>0</v>
      </c>
      <c r="N228" t="n">
        <v>0</v>
      </c>
      <c r="O228" t="n">
        <v>0</v>
      </c>
      <c r="P228" t="n">
        <v>0</v>
      </c>
      <c r="Q228" t="n">
        <v>0</v>
      </c>
      <c r="R228" s="2" t="inlineStr"/>
    </row>
    <row r="229" ht="15" customHeight="1">
      <c r="A229" t="inlineStr">
        <is>
          <t>A 20007-2019</t>
        </is>
      </c>
      <c r="B229" s="1" t="n">
        <v>43570</v>
      </c>
      <c r="C229" s="1" t="n">
        <v>45672</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20052-2019</t>
        </is>
      </c>
      <c r="B230" s="1" t="n">
        <v>43570</v>
      </c>
      <c r="C230" s="1" t="n">
        <v>45672</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20159-2019</t>
        </is>
      </c>
      <c r="B231" s="1" t="n">
        <v>43570</v>
      </c>
      <c r="C231" s="1" t="n">
        <v>45672</v>
      </c>
      <c r="D231" t="inlineStr">
        <is>
          <t>STOCKHOLMS LÄN</t>
        </is>
      </c>
      <c r="E231" t="inlineStr">
        <is>
          <t>NORRTÄLJE</t>
        </is>
      </c>
      <c r="F231" t="inlineStr">
        <is>
          <t>Kommuner</t>
        </is>
      </c>
      <c r="G231" t="n">
        <v>2</v>
      </c>
      <c r="H231" t="n">
        <v>0</v>
      </c>
      <c r="I231" t="n">
        <v>0</v>
      </c>
      <c r="J231" t="n">
        <v>0</v>
      </c>
      <c r="K231" t="n">
        <v>0</v>
      </c>
      <c r="L231" t="n">
        <v>0</v>
      </c>
      <c r="M231" t="n">
        <v>0</v>
      </c>
      <c r="N231" t="n">
        <v>0</v>
      </c>
      <c r="O231" t="n">
        <v>0</v>
      </c>
      <c r="P231" t="n">
        <v>0</v>
      </c>
      <c r="Q231" t="n">
        <v>0</v>
      </c>
      <c r="R231" s="2" t="inlineStr"/>
    </row>
    <row r="232" ht="15" customHeight="1">
      <c r="A232" t="inlineStr">
        <is>
          <t>A 20181-2019</t>
        </is>
      </c>
      <c r="B232" s="1" t="n">
        <v>43570</v>
      </c>
      <c r="C232" s="1" t="n">
        <v>45672</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20184-2019</t>
        </is>
      </c>
      <c r="B233" s="1" t="n">
        <v>43570</v>
      </c>
      <c r="C233" s="1" t="n">
        <v>45672</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20193-2019</t>
        </is>
      </c>
      <c r="B234" s="1" t="n">
        <v>43570</v>
      </c>
      <c r="C234" s="1" t="n">
        <v>45672</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20090-2019</t>
        </is>
      </c>
      <c r="B235" s="1" t="n">
        <v>43570</v>
      </c>
      <c r="C235" s="1" t="n">
        <v>45672</v>
      </c>
      <c r="D235" t="inlineStr">
        <is>
          <t>STOCKHOLMS LÄN</t>
        </is>
      </c>
      <c r="E235" t="inlineStr">
        <is>
          <t>NORRTÄLJE</t>
        </is>
      </c>
      <c r="F235" t="inlineStr">
        <is>
          <t>Kommuner</t>
        </is>
      </c>
      <c r="G235" t="n">
        <v>1.3</v>
      </c>
      <c r="H235" t="n">
        <v>0</v>
      </c>
      <c r="I235" t="n">
        <v>0</v>
      </c>
      <c r="J235" t="n">
        <v>0</v>
      </c>
      <c r="K235" t="n">
        <v>0</v>
      </c>
      <c r="L235" t="n">
        <v>0</v>
      </c>
      <c r="M235" t="n">
        <v>0</v>
      </c>
      <c r="N235" t="n">
        <v>0</v>
      </c>
      <c r="O235" t="n">
        <v>0</v>
      </c>
      <c r="P235" t="n">
        <v>0</v>
      </c>
      <c r="Q235" t="n">
        <v>0</v>
      </c>
      <c r="R235" s="2" t="inlineStr"/>
    </row>
    <row r="236" ht="15" customHeight="1">
      <c r="A236" t="inlineStr">
        <is>
          <t>A 20165-2019</t>
        </is>
      </c>
      <c r="B236" s="1" t="n">
        <v>43570</v>
      </c>
      <c r="C236" s="1" t="n">
        <v>45672</v>
      </c>
      <c r="D236" t="inlineStr">
        <is>
          <t>STOCKHOLMS LÄN</t>
        </is>
      </c>
      <c r="E236" t="inlineStr">
        <is>
          <t>NORRTÄLJE</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20023-2019</t>
        </is>
      </c>
      <c r="B237" s="1" t="n">
        <v>43570</v>
      </c>
      <c r="C237" s="1" t="n">
        <v>45672</v>
      </c>
      <c r="D237" t="inlineStr">
        <is>
          <t>STOCKHOLMS LÄN</t>
        </is>
      </c>
      <c r="E237" t="inlineStr">
        <is>
          <t>NORRTÄLJE</t>
        </is>
      </c>
      <c r="G237" t="n">
        <v>5.1</v>
      </c>
      <c r="H237" t="n">
        <v>0</v>
      </c>
      <c r="I237" t="n">
        <v>0</v>
      </c>
      <c r="J237" t="n">
        <v>0</v>
      </c>
      <c r="K237" t="n">
        <v>0</v>
      </c>
      <c r="L237" t="n">
        <v>0</v>
      </c>
      <c r="M237" t="n">
        <v>0</v>
      </c>
      <c r="N237" t="n">
        <v>0</v>
      </c>
      <c r="O237" t="n">
        <v>0</v>
      </c>
      <c r="P237" t="n">
        <v>0</v>
      </c>
      <c r="Q237" t="n">
        <v>0</v>
      </c>
      <c r="R237" s="2" t="inlineStr"/>
    </row>
    <row r="238" ht="15" customHeight="1">
      <c r="A238" t="inlineStr">
        <is>
          <t>A 20531-2019</t>
        </is>
      </c>
      <c r="B238" s="1" t="n">
        <v>43572</v>
      </c>
      <c r="C238" s="1" t="n">
        <v>45672</v>
      </c>
      <c r="D238" t="inlineStr">
        <is>
          <t>STOCKHOLMS LÄN</t>
        </is>
      </c>
      <c r="E238" t="inlineStr">
        <is>
          <t>NORRTÄLJE</t>
        </is>
      </c>
      <c r="G238" t="n">
        <v>2</v>
      </c>
      <c r="H238" t="n">
        <v>0</v>
      </c>
      <c r="I238" t="n">
        <v>0</v>
      </c>
      <c r="J238" t="n">
        <v>0</v>
      </c>
      <c r="K238" t="n">
        <v>0</v>
      </c>
      <c r="L238" t="n">
        <v>0</v>
      </c>
      <c r="M238" t="n">
        <v>0</v>
      </c>
      <c r="N238" t="n">
        <v>0</v>
      </c>
      <c r="O238" t="n">
        <v>0</v>
      </c>
      <c r="P238" t="n">
        <v>0</v>
      </c>
      <c r="Q238" t="n">
        <v>0</v>
      </c>
      <c r="R238" s="2" t="inlineStr"/>
    </row>
    <row r="239" ht="15" customHeight="1">
      <c r="A239" t="inlineStr">
        <is>
          <t>A 20743-2019</t>
        </is>
      </c>
      <c r="B239" s="1" t="n">
        <v>43573</v>
      </c>
      <c r="C239" s="1" t="n">
        <v>45672</v>
      </c>
      <c r="D239" t="inlineStr">
        <is>
          <t>STOCKHOLMS LÄN</t>
        </is>
      </c>
      <c r="E239" t="inlineStr">
        <is>
          <t>NORRTÄLJE</t>
        </is>
      </c>
      <c r="G239" t="n">
        <v>2.2</v>
      </c>
      <c r="H239" t="n">
        <v>0</v>
      </c>
      <c r="I239" t="n">
        <v>0</v>
      </c>
      <c r="J239" t="n">
        <v>0</v>
      </c>
      <c r="K239" t="n">
        <v>0</v>
      </c>
      <c r="L239" t="n">
        <v>0</v>
      </c>
      <c r="M239" t="n">
        <v>0</v>
      </c>
      <c r="N239" t="n">
        <v>0</v>
      </c>
      <c r="O239" t="n">
        <v>0</v>
      </c>
      <c r="P239" t="n">
        <v>0</v>
      </c>
      <c r="Q239" t="n">
        <v>0</v>
      </c>
      <c r="R239" s="2" t="inlineStr"/>
    </row>
    <row r="240" ht="15" customHeight="1">
      <c r="A240" t="inlineStr">
        <is>
          <t>A 20809-2019</t>
        </is>
      </c>
      <c r="B240" s="1" t="n">
        <v>43573</v>
      </c>
      <c r="C240" s="1" t="n">
        <v>45672</v>
      </c>
      <c r="D240" t="inlineStr">
        <is>
          <t>STOCKHOLMS LÄN</t>
        </is>
      </c>
      <c r="E240" t="inlineStr">
        <is>
          <t>NORRTÄLJE</t>
        </is>
      </c>
      <c r="F240" t="inlineStr">
        <is>
          <t>Kommuner</t>
        </is>
      </c>
      <c r="G240" t="n">
        <v>2.2</v>
      </c>
      <c r="H240" t="n">
        <v>0</v>
      </c>
      <c r="I240" t="n">
        <v>0</v>
      </c>
      <c r="J240" t="n">
        <v>0</v>
      </c>
      <c r="K240" t="n">
        <v>0</v>
      </c>
      <c r="L240" t="n">
        <v>0</v>
      </c>
      <c r="M240" t="n">
        <v>0</v>
      </c>
      <c r="N240" t="n">
        <v>0</v>
      </c>
      <c r="O240" t="n">
        <v>0</v>
      </c>
      <c r="P240" t="n">
        <v>0</v>
      </c>
      <c r="Q240" t="n">
        <v>0</v>
      </c>
      <c r="R240" s="2" t="inlineStr"/>
    </row>
    <row r="241" ht="15" customHeight="1">
      <c r="A241" t="inlineStr">
        <is>
          <t>A 20925-2019</t>
        </is>
      </c>
      <c r="B241" s="1" t="n">
        <v>43578</v>
      </c>
      <c r="C241" s="1" t="n">
        <v>45672</v>
      </c>
      <c r="D241" t="inlineStr">
        <is>
          <t>STOCKHOLMS LÄN</t>
        </is>
      </c>
      <c r="E241" t="inlineStr">
        <is>
          <t>NORRTÄLJE</t>
        </is>
      </c>
      <c r="G241" t="n">
        <v>5</v>
      </c>
      <c r="H241" t="n">
        <v>0</v>
      </c>
      <c r="I241" t="n">
        <v>0</v>
      </c>
      <c r="J241" t="n">
        <v>0</v>
      </c>
      <c r="K241" t="n">
        <v>0</v>
      </c>
      <c r="L241" t="n">
        <v>0</v>
      </c>
      <c r="M241" t="n">
        <v>0</v>
      </c>
      <c r="N241" t="n">
        <v>0</v>
      </c>
      <c r="O241" t="n">
        <v>0</v>
      </c>
      <c r="P241" t="n">
        <v>0</v>
      </c>
      <c r="Q241" t="n">
        <v>0</v>
      </c>
      <c r="R241" s="2" t="inlineStr"/>
    </row>
    <row r="242" ht="15" customHeight="1">
      <c r="A242" t="inlineStr">
        <is>
          <t>A 21062-2019</t>
        </is>
      </c>
      <c r="B242" s="1" t="n">
        <v>43578</v>
      </c>
      <c r="C242" s="1" t="n">
        <v>45672</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21441-2019</t>
        </is>
      </c>
      <c r="B243" s="1" t="n">
        <v>43580</v>
      </c>
      <c r="C243" s="1" t="n">
        <v>45672</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21521-2019</t>
        </is>
      </c>
      <c r="B244" s="1" t="n">
        <v>43580</v>
      </c>
      <c r="C244" s="1" t="n">
        <v>45672</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21508-2019</t>
        </is>
      </c>
      <c r="B245" s="1" t="n">
        <v>43580</v>
      </c>
      <c r="C245" s="1" t="n">
        <v>45672</v>
      </c>
      <c r="D245" t="inlineStr">
        <is>
          <t>STOCKHOLMS LÄN</t>
        </is>
      </c>
      <c r="E245" t="inlineStr">
        <is>
          <t>NORRTÄLJE</t>
        </is>
      </c>
      <c r="G245" t="n">
        <v>1.2</v>
      </c>
      <c r="H245" t="n">
        <v>0</v>
      </c>
      <c r="I245" t="n">
        <v>0</v>
      </c>
      <c r="J245" t="n">
        <v>0</v>
      </c>
      <c r="K245" t="n">
        <v>0</v>
      </c>
      <c r="L245" t="n">
        <v>0</v>
      </c>
      <c r="M245" t="n">
        <v>0</v>
      </c>
      <c r="N245" t="n">
        <v>0</v>
      </c>
      <c r="O245" t="n">
        <v>0</v>
      </c>
      <c r="P245" t="n">
        <v>0</v>
      </c>
      <c r="Q245" t="n">
        <v>0</v>
      </c>
      <c r="R245" s="2" t="inlineStr"/>
    </row>
    <row r="246" ht="15" customHeight="1">
      <c r="A246" t="inlineStr">
        <is>
          <t>A 21457-2019</t>
        </is>
      </c>
      <c r="B246" s="1" t="n">
        <v>43580</v>
      </c>
      <c r="C246" s="1" t="n">
        <v>45672</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21501-2019</t>
        </is>
      </c>
      <c r="B247" s="1" t="n">
        <v>43580</v>
      </c>
      <c r="C247" s="1" t="n">
        <v>45672</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21616-2019</t>
        </is>
      </c>
      <c r="B248" s="1" t="n">
        <v>43581</v>
      </c>
      <c r="C248" s="1" t="n">
        <v>45672</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21662-2019</t>
        </is>
      </c>
      <c r="B249" s="1" t="n">
        <v>43581</v>
      </c>
      <c r="C249" s="1" t="n">
        <v>45672</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21720-2019</t>
        </is>
      </c>
      <c r="B250" s="1" t="n">
        <v>43581</v>
      </c>
      <c r="C250" s="1" t="n">
        <v>45672</v>
      </c>
      <c r="D250" t="inlineStr">
        <is>
          <t>STOCKHOLMS LÄN</t>
        </is>
      </c>
      <c r="E250" t="inlineStr">
        <is>
          <t>NORRTÄLJE</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21692-2019</t>
        </is>
      </c>
      <c r="B251" s="1" t="n">
        <v>43581</v>
      </c>
      <c r="C251" s="1" t="n">
        <v>45672</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21811-2019</t>
        </is>
      </c>
      <c r="B252" s="1" t="n">
        <v>43582</v>
      </c>
      <c r="C252" s="1" t="n">
        <v>45672</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22207-2019</t>
        </is>
      </c>
      <c r="B253" s="1" t="n">
        <v>43585</v>
      </c>
      <c r="C253" s="1" t="n">
        <v>45672</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22211-2019</t>
        </is>
      </c>
      <c r="B254" s="1" t="n">
        <v>43585</v>
      </c>
      <c r="C254" s="1" t="n">
        <v>45672</v>
      </c>
      <c r="D254" t="inlineStr">
        <is>
          <t>STOCKHOLMS LÄN</t>
        </is>
      </c>
      <c r="E254" t="inlineStr">
        <is>
          <t>NORRTÄLJE</t>
        </is>
      </c>
      <c r="G254" t="n">
        <v>6.8</v>
      </c>
      <c r="H254" t="n">
        <v>0</v>
      </c>
      <c r="I254" t="n">
        <v>0</v>
      </c>
      <c r="J254" t="n">
        <v>0</v>
      </c>
      <c r="K254" t="n">
        <v>0</v>
      </c>
      <c r="L254" t="n">
        <v>0</v>
      </c>
      <c r="M254" t="n">
        <v>0</v>
      </c>
      <c r="N254" t="n">
        <v>0</v>
      </c>
      <c r="O254" t="n">
        <v>0</v>
      </c>
      <c r="P254" t="n">
        <v>0</v>
      </c>
      <c r="Q254" t="n">
        <v>0</v>
      </c>
      <c r="R254" s="2" t="inlineStr"/>
    </row>
    <row r="255" ht="15" customHeight="1">
      <c r="A255" t="inlineStr">
        <is>
          <t>A 22254-2019</t>
        </is>
      </c>
      <c r="B255" s="1" t="n">
        <v>43585</v>
      </c>
      <c r="C255" s="1" t="n">
        <v>45672</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22218-2019</t>
        </is>
      </c>
      <c r="B256" s="1" t="n">
        <v>43585</v>
      </c>
      <c r="C256" s="1" t="n">
        <v>45672</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22331-2019</t>
        </is>
      </c>
      <c r="B257" s="1" t="n">
        <v>43586</v>
      </c>
      <c r="C257" s="1" t="n">
        <v>45672</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22359-2019</t>
        </is>
      </c>
      <c r="B258" s="1" t="n">
        <v>43587</v>
      </c>
      <c r="C258" s="1" t="n">
        <v>45672</v>
      </c>
      <c r="D258" t="inlineStr">
        <is>
          <t>STOCKHOLMS LÄN</t>
        </is>
      </c>
      <c r="E258" t="inlineStr">
        <is>
          <t>NORRTÄLJE</t>
        </is>
      </c>
      <c r="G258" t="n">
        <v>1.1</v>
      </c>
      <c r="H258" t="n">
        <v>0</v>
      </c>
      <c r="I258" t="n">
        <v>0</v>
      </c>
      <c r="J258" t="n">
        <v>0</v>
      </c>
      <c r="K258" t="n">
        <v>0</v>
      </c>
      <c r="L258" t="n">
        <v>0</v>
      </c>
      <c r="M258" t="n">
        <v>0</v>
      </c>
      <c r="N258" t="n">
        <v>0</v>
      </c>
      <c r="O258" t="n">
        <v>0</v>
      </c>
      <c r="P258" t="n">
        <v>0</v>
      </c>
      <c r="Q258" t="n">
        <v>0</v>
      </c>
      <c r="R258" s="2" t="inlineStr"/>
    </row>
    <row r="259" ht="15" customHeight="1">
      <c r="A259" t="inlineStr">
        <is>
          <t>A 22422-2019</t>
        </is>
      </c>
      <c r="B259" s="1" t="n">
        <v>43587</v>
      </c>
      <c r="C259" s="1" t="n">
        <v>45672</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22490-2019</t>
        </is>
      </c>
      <c r="B260" s="1" t="n">
        <v>43587</v>
      </c>
      <c r="C260" s="1" t="n">
        <v>45672</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22496-2019</t>
        </is>
      </c>
      <c r="B261" s="1" t="n">
        <v>43587</v>
      </c>
      <c r="C261" s="1" t="n">
        <v>45672</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23711-2019</t>
        </is>
      </c>
      <c r="B262" s="1" t="n">
        <v>43594</v>
      </c>
      <c r="C262" s="1" t="n">
        <v>45672</v>
      </c>
      <c r="D262" t="inlineStr">
        <is>
          <t>STOCKHOLMS LÄN</t>
        </is>
      </c>
      <c r="E262" t="inlineStr">
        <is>
          <t>NORRTÄLJE</t>
        </is>
      </c>
      <c r="G262" t="n">
        <v>2.6</v>
      </c>
      <c r="H262" t="n">
        <v>0</v>
      </c>
      <c r="I262" t="n">
        <v>0</v>
      </c>
      <c r="J262" t="n">
        <v>0</v>
      </c>
      <c r="K262" t="n">
        <v>0</v>
      </c>
      <c r="L262" t="n">
        <v>0</v>
      </c>
      <c r="M262" t="n">
        <v>0</v>
      </c>
      <c r="N262" t="n">
        <v>0</v>
      </c>
      <c r="O262" t="n">
        <v>0</v>
      </c>
      <c r="P262" t="n">
        <v>0</v>
      </c>
      <c r="Q262" t="n">
        <v>0</v>
      </c>
      <c r="R262" s="2" t="inlineStr"/>
    </row>
    <row r="263" ht="15" customHeight="1">
      <c r="A263" t="inlineStr">
        <is>
          <t>A 23710-2019</t>
        </is>
      </c>
      <c r="B263" s="1" t="n">
        <v>43594</v>
      </c>
      <c r="C263" s="1" t="n">
        <v>45672</v>
      </c>
      <c r="D263" t="inlineStr">
        <is>
          <t>STOCKHOLMS LÄN</t>
        </is>
      </c>
      <c r="E263" t="inlineStr">
        <is>
          <t>NORRTÄLJE</t>
        </is>
      </c>
      <c r="G263" t="n">
        <v>2.2</v>
      </c>
      <c r="H263" t="n">
        <v>0</v>
      </c>
      <c r="I263" t="n">
        <v>0</v>
      </c>
      <c r="J263" t="n">
        <v>0</v>
      </c>
      <c r="K263" t="n">
        <v>0</v>
      </c>
      <c r="L263" t="n">
        <v>0</v>
      </c>
      <c r="M263" t="n">
        <v>0</v>
      </c>
      <c r="N263" t="n">
        <v>0</v>
      </c>
      <c r="O263" t="n">
        <v>0</v>
      </c>
      <c r="P263" t="n">
        <v>0</v>
      </c>
      <c r="Q263" t="n">
        <v>0</v>
      </c>
      <c r="R263" s="2" t="inlineStr"/>
    </row>
    <row r="264" ht="15" customHeight="1">
      <c r="A264" t="inlineStr">
        <is>
          <t>A 23862-2019</t>
        </is>
      </c>
      <c r="B264" s="1" t="n">
        <v>43595</v>
      </c>
      <c r="C264" s="1" t="n">
        <v>45672</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23878-2019</t>
        </is>
      </c>
      <c r="B265" s="1" t="n">
        <v>43595</v>
      </c>
      <c r="C265" s="1" t="n">
        <v>45672</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23961-2019</t>
        </is>
      </c>
      <c r="B266" s="1" t="n">
        <v>43597</v>
      </c>
      <c r="C266" s="1" t="n">
        <v>45672</v>
      </c>
      <c r="D266" t="inlineStr">
        <is>
          <t>STOCKHOLMS LÄN</t>
        </is>
      </c>
      <c r="E266" t="inlineStr">
        <is>
          <t>NORRTÄLJE</t>
        </is>
      </c>
      <c r="G266" t="n">
        <v>17.6</v>
      </c>
      <c r="H266" t="n">
        <v>0</v>
      </c>
      <c r="I266" t="n">
        <v>0</v>
      </c>
      <c r="J266" t="n">
        <v>0</v>
      </c>
      <c r="K266" t="n">
        <v>0</v>
      </c>
      <c r="L266" t="n">
        <v>0</v>
      </c>
      <c r="M266" t="n">
        <v>0</v>
      </c>
      <c r="N266" t="n">
        <v>0</v>
      </c>
      <c r="O266" t="n">
        <v>0</v>
      </c>
      <c r="P266" t="n">
        <v>0</v>
      </c>
      <c r="Q266" t="n">
        <v>0</v>
      </c>
      <c r="R266" s="2" t="inlineStr"/>
    </row>
    <row r="267" ht="15" customHeight="1">
      <c r="A267" t="inlineStr">
        <is>
          <t>A 23965-2019</t>
        </is>
      </c>
      <c r="B267" s="1" t="n">
        <v>43597</v>
      </c>
      <c r="C267" s="1" t="n">
        <v>45672</v>
      </c>
      <c r="D267" t="inlineStr">
        <is>
          <t>STOCKHOLMS LÄN</t>
        </is>
      </c>
      <c r="E267" t="inlineStr">
        <is>
          <t>NORRTÄLJE</t>
        </is>
      </c>
      <c r="G267" t="n">
        <v>6.1</v>
      </c>
      <c r="H267" t="n">
        <v>0</v>
      </c>
      <c r="I267" t="n">
        <v>0</v>
      </c>
      <c r="J267" t="n">
        <v>0</v>
      </c>
      <c r="K267" t="n">
        <v>0</v>
      </c>
      <c r="L267" t="n">
        <v>0</v>
      </c>
      <c r="M267" t="n">
        <v>0</v>
      </c>
      <c r="N267" t="n">
        <v>0</v>
      </c>
      <c r="O267" t="n">
        <v>0</v>
      </c>
      <c r="P267" t="n">
        <v>0</v>
      </c>
      <c r="Q267" t="n">
        <v>0</v>
      </c>
      <c r="R267" s="2" t="inlineStr"/>
    </row>
    <row r="268" ht="15" customHeight="1">
      <c r="A268" t="inlineStr">
        <is>
          <t>A 23963-2019</t>
        </is>
      </c>
      <c r="B268" s="1" t="n">
        <v>43597</v>
      </c>
      <c r="C268" s="1" t="n">
        <v>45672</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24124-2019</t>
        </is>
      </c>
      <c r="B269" s="1" t="n">
        <v>43598</v>
      </c>
      <c r="C269" s="1" t="n">
        <v>45672</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24058-2019</t>
        </is>
      </c>
      <c r="B270" s="1" t="n">
        <v>43598</v>
      </c>
      <c r="C270" s="1" t="n">
        <v>45672</v>
      </c>
      <c r="D270" t="inlineStr">
        <is>
          <t>STOCKHOLMS LÄN</t>
        </is>
      </c>
      <c r="E270" t="inlineStr">
        <is>
          <t>NORRTÄLJE</t>
        </is>
      </c>
      <c r="G270" t="n">
        <v>2.5</v>
      </c>
      <c r="H270" t="n">
        <v>0</v>
      </c>
      <c r="I270" t="n">
        <v>0</v>
      </c>
      <c r="J270" t="n">
        <v>0</v>
      </c>
      <c r="K270" t="n">
        <v>0</v>
      </c>
      <c r="L270" t="n">
        <v>0</v>
      </c>
      <c r="M270" t="n">
        <v>0</v>
      </c>
      <c r="N270" t="n">
        <v>0</v>
      </c>
      <c r="O270" t="n">
        <v>0</v>
      </c>
      <c r="P270" t="n">
        <v>0</v>
      </c>
      <c r="Q270" t="n">
        <v>0</v>
      </c>
      <c r="R270" s="2" t="inlineStr"/>
    </row>
    <row r="271" ht="15" customHeight="1">
      <c r="A271" t="inlineStr">
        <is>
          <t>A 24562-2019</t>
        </is>
      </c>
      <c r="B271" s="1" t="n">
        <v>43600</v>
      </c>
      <c r="C271" s="1" t="n">
        <v>45672</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24721-2019</t>
        </is>
      </c>
      <c r="B272" s="1" t="n">
        <v>43601</v>
      </c>
      <c r="C272" s="1" t="n">
        <v>45672</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25284-2019</t>
        </is>
      </c>
      <c r="B273" s="1" t="n">
        <v>43605</v>
      </c>
      <c r="C273" s="1" t="n">
        <v>45672</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25535-2019</t>
        </is>
      </c>
      <c r="B274" s="1" t="n">
        <v>43606</v>
      </c>
      <c r="C274" s="1" t="n">
        <v>45672</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25316-2019</t>
        </is>
      </c>
      <c r="B275" s="1" t="n">
        <v>43606</v>
      </c>
      <c r="C275" s="1" t="n">
        <v>45672</v>
      </c>
      <c r="D275" t="inlineStr">
        <is>
          <t>STOCKHOLMS LÄN</t>
        </is>
      </c>
      <c r="E275" t="inlineStr">
        <is>
          <t>NORRTÄLJE</t>
        </is>
      </c>
      <c r="G275" t="n">
        <v>1.6</v>
      </c>
      <c r="H275" t="n">
        <v>0</v>
      </c>
      <c r="I275" t="n">
        <v>0</v>
      </c>
      <c r="J275" t="n">
        <v>0</v>
      </c>
      <c r="K275" t="n">
        <v>0</v>
      </c>
      <c r="L275" t="n">
        <v>0</v>
      </c>
      <c r="M275" t="n">
        <v>0</v>
      </c>
      <c r="N275" t="n">
        <v>0</v>
      </c>
      <c r="O275" t="n">
        <v>0</v>
      </c>
      <c r="P275" t="n">
        <v>0</v>
      </c>
      <c r="Q275" t="n">
        <v>0</v>
      </c>
      <c r="R275" s="2" t="inlineStr"/>
    </row>
    <row r="276" ht="15" customHeight="1">
      <c r="A276" t="inlineStr">
        <is>
          <t>A 26374-2019</t>
        </is>
      </c>
      <c r="B276" s="1" t="n">
        <v>43606</v>
      </c>
      <c r="C276" s="1" t="n">
        <v>45672</v>
      </c>
      <c r="D276" t="inlineStr">
        <is>
          <t>STOCKHOLMS LÄN</t>
        </is>
      </c>
      <c r="E276" t="inlineStr">
        <is>
          <t>NORRTÄLJE</t>
        </is>
      </c>
      <c r="G276" t="n">
        <v>11.6</v>
      </c>
      <c r="H276" t="n">
        <v>0</v>
      </c>
      <c r="I276" t="n">
        <v>0</v>
      </c>
      <c r="J276" t="n">
        <v>0</v>
      </c>
      <c r="K276" t="n">
        <v>0</v>
      </c>
      <c r="L276" t="n">
        <v>0</v>
      </c>
      <c r="M276" t="n">
        <v>0</v>
      </c>
      <c r="N276" t="n">
        <v>0</v>
      </c>
      <c r="O276" t="n">
        <v>0</v>
      </c>
      <c r="P276" t="n">
        <v>0</v>
      </c>
      <c r="Q276" t="n">
        <v>0</v>
      </c>
      <c r="R276" s="2" t="inlineStr"/>
    </row>
    <row r="277" ht="15" customHeight="1">
      <c r="A277" t="inlineStr">
        <is>
          <t>A 25315-2019</t>
        </is>
      </c>
      <c r="B277" s="1" t="n">
        <v>43606</v>
      </c>
      <c r="C277" s="1" t="n">
        <v>45672</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25625-2019</t>
        </is>
      </c>
      <c r="B278" s="1" t="n">
        <v>43607</v>
      </c>
      <c r="C278" s="1" t="n">
        <v>45672</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26272-2019</t>
        </is>
      </c>
      <c r="B279" s="1" t="n">
        <v>43611</v>
      </c>
      <c r="C279" s="1" t="n">
        <v>45672</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26620-2019</t>
        </is>
      </c>
      <c r="B280" s="1" t="n">
        <v>43612</v>
      </c>
      <c r="C280" s="1" t="n">
        <v>45672</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26391-2019</t>
        </is>
      </c>
      <c r="B281" s="1" t="n">
        <v>43612</v>
      </c>
      <c r="C281" s="1" t="n">
        <v>45672</v>
      </c>
      <c r="D281" t="inlineStr">
        <is>
          <t>STOCKHOLMS LÄN</t>
        </is>
      </c>
      <c r="E281" t="inlineStr">
        <is>
          <t>NORRTÄLJE</t>
        </is>
      </c>
      <c r="G281" t="n">
        <v>1.9</v>
      </c>
      <c r="H281" t="n">
        <v>0</v>
      </c>
      <c r="I281" t="n">
        <v>0</v>
      </c>
      <c r="J281" t="n">
        <v>0</v>
      </c>
      <c r="K281" t="n">
        <v>0</v>
      </c>
      <c r="L281" t="n">
        <v>0</v>
      </c>
      <c r="M281" t="n">
        <v>0</v>
      </c>
      <c r="N281" t="n">
        <v>0</v>
      </c>
      <c r="O281" t="n">
        <v>0</v>
      </c>
      <c r="P281" t="n">
        <v>0</v>
      </c>
      <c r="Q281" t="n">
        <v>0</v>
      </c>
      <c r="R281" s="2" t="inlineStr"/>
    </row>
    <row r="282" ht="15" customHeight="1">
      <c r="A282" t="inlineStr">
        <is>
          <t>A 26933-2019</t>
        </is>
      </c>
      <c r="B282" s="1" t="n">
        <v>43613</v>
      </c>
      <c r="C282" s="1" t="n">
        <v>45672</v>
      </c>
      <c r="D282" t="inlineStr">
        <is>
          <t>STOCKHOLMS LÄN</t>
        </is>
      </c>
      <c r="E282" t="inlineStr">
        <is>
          <t>NORRTÄLJE</t>
        </is>
      </c>
      <c r="G282" t="n">
        <v>2.8</v>
      </c>
      <c r="H282" t="n">
        <v>0</v>
      </c>
      <c r="I282" t="n">
        <v>0</v>
      </c>
      <c r="J282" t="n">
        <v>0</v>
      </c>
      <c r="K282" t="n">
        <v>0</v>
      </c>
      <c r="L282" t="n">
        <v>0</v>
      </c>
      <c r="M282" t="n">
        <v>0</v>
      </c>
      <c r="N282" t="n">
        <v>0</v>
      </c>
      <c r="O282" t="n">
        <v>0</v>
      </c>
      <c r="P282" t="n">
        <v>0</v>
      </c>
      <c r="Q282" t="n">
        <v>0</v>
      </c>
      <c r="R282" s="2" t="inlineStr"/>
    </row>
    <row r="283" ht="15" customHeight="1">
      <c r="A283" t="inlineStr">
        <is>
          <t>A 26830-2019</t>
        </is>
      </c>
      <c r="B283" s="1" t="n">
        <v>43613</v>
      </c>
      <c r="C283" s="1" t="n">
        <v>45672</v>
      </c>
      <c r="D283" t="inlineStr">
        <is>
          <t>STOCKHOLMS LÄN</t>
        </is>
      </c>
      <c r="E283" t="inlineStr">
        <is>
          <t>NORRTÄLJE</t>
        </is>
      </c>
      <c r="G283" t="n">
        <v>2.1</v>
      </c>
      <c r="H283" t="n">
        <v>0</v>
      </c>
      <c r="I283" t="n">
        <v>0</v>
      </c>
      <c r="J283" t="n">
        <v>0</v>
      </c>
      <c r="K283" t="n">
        <v>0</v>
      </c>
      <c r="L283" t="n">
        <v>0</v>
      </c>
      <c r="M283" t="n">
        <v>0</v>
      </c>
      <c r="N283" t="n">
        <v>0</v>
      </c>
      <c r="O283" t="n">
        <v>0</v>
      </c>
      <c r="P283" t="n">
        <v>0</v>
      </c>
      <c r="Q283" t="n">
        <v>0</v>
      </c>
      <c r="R283" s="2" t="inlineStr"/>
    </row>
    <row r="284" ht="15" customHeight="1">
      <c r="A284" t="inlineStr">
        <is>
          <t>A 27095-2019</t>
        </is>
      </c>
      <c r="B284" s="1" t="n">
        <v>43614</v>
      </c>
      <c r="C284" s="1" t="n">
        <v>45672</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28157-2019</t>
        </is>
      </c>
      <c r="B285" s="1" t="n">
        <v>43614</v>
      </c>
      <c r="C285" s="1" t="n">
        <v>45672</v>
      </c>
      <c r="D285" t="inlineStr">
        <is>
          <t>STOCKHOLMS LÄN</t>
        </is>
      </c>
      <c r="E285" t="inlineStr">
        <is>
          <t>NORRTÄLJE</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27264-2019</t>
        </is>
      </c>
      <c r="B286" s="1" t="n">
        <v>43615</v>
      </c>
      <c r="C286" s="1" t="n">
        <v>45672</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27971-2019</t>
        </is>
      </c>
      <c r="B287" s="1" t="n">
        <v>43620</v>
      </c>
      <c r="C287" s="1" t="n">
        <v>45672</v>
      </c>
      <c r="D287" t="inlineStr">
        <is>
          <t>STOCKHOLMS LÄN</t>
        </is>
      </c>
      <c r="E287" t="inlineStr">
        <is>
          <t>NORRTÄLJE</t>
        </is>
      </c>
      <c r="G287" t="n">
        <v>1.7</v>
      </c>
      <c r="H287" t="n">
        <v>0</v>
      </c>
      <c r="I287" t="n">
        <v>0</v>
      </c>
      <c r="J287" t="n">
        <v>0</v>
      </c>
      <c r="K287" t="n">
        <v>0</v>
      </c>
      <c r="L287" t="n">
        <v>0</v>
      </c>
      <c r="M287" t="n">
        <v>0</v>
      </c>
      <c r="N287" t="n">
        <v>0</v>
      </c>
      <c r="O287" t="n">
        <v>0</v>
      </c>
      <c r="P287" t="n">
        <v>0</v>
      </c>
      <c r="Q287" t="n">
        <v>0</v>
      </c>
      <c r="R287" s="2" t="inlineStr"/>
    </row>
    <row r="288" ht="15" customHeight="1">
      <c r="A288" t="inlineStr">
        <is>
          <t>A 27967-2019</t>
        </is>
      </c>
      <c r="B288" s="1" t="n">
        <v>43620</v>
      </c>
      <c r="C288" s="1" t="n">
        <v>45672</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28121-2019</t>
        </is>
      </c>
      <c r="B289" s="1" t="n">
        <v>43621</v>
      </c>
      <c r="C289" s="1" t="n">
        <v>45672</v>
      </c>
      <c r="D289" t="inlineStr">
        <is>
          <t>STOCKHOLMS LÄN</t>
        </is>
      </c>
      <c r="E289" t="inlineStr">
        <is>
          <t>NORRTÄLJE</t>
        </is>
      </c>
      <c r="F289" t="inlineStr">
        <is>
          <t>Kyrkan</t>
        </is>
      </c>
      <c r="G289" t="n">
        <v>2.5</v>
      </c>
      <c r="H289" t="n">
        <v>0</v>
      </c>
      <c r="I289" t="n">
        <v>0</v>
      </c>
      <c r="J289" t="n">
        <v>0</v>
      </c>
      <c r="K289" t="n">
        <v>0</v>
      </c>
      <c r="L289" t="n">
        <v>0</v>
      </c>
      <c r="M289" t="n">
        <v>0</v>
      </c>
      <c r="N289" t="n">
        <v>0</v>
      </c>
      <c r="O289" t="n">
        <v>0</v>
      </c>
      <c r="P289" t="n">
        <v>0</v>
      </c>
      <c r="Q289" t="n">
        <v>0</v>
      </c>
      <c r="R289" s="2" t="inlineStr"/>
    </row>
    <row r="290" ht="15" customHeight="1">
      <c r="A290" t="inlineStr">
        <is>
          <t>A 28289-2019</t>
        </is>
      </c>
      <c r="B290" s="1" t="n">
        <v>43623</v>
      </c>
      <c r="C290" s="1" t="n">
        <v>45672</v>
      </c>
      <c r="D290" t="inlineStr">
        <is>
          <t>STOCKHOLMS LÄN</t>
        </is>
      </c>
      <c r="E290" t="inlineStr">
        <is>
          <t>NORRTÄLJE</t>
        </is>
      </c>
      <c r="G290" t="n">
        <v>7.7</v>
      </c>
      <c r="H290" t="n">
        <v>0</v>
      </c>
      <c r="I290" t="n">
        <v>0</v>
      </c>
      <c r="J290" t="n">
        <v>0</v>
      </c>
      <c r="K290" t="n">
        <v>0</v>
      </c>
      <c r="L290" t="n">
        <v>0</v>
      </c>
      <c r="M290" t="n">
        <v>0</v>
      </c>
      <c r="N290" t="n">
        <v>0</v>
      </c>
      <c r="O290" t="n">
        <v>0</v>
      </c>
      <c r="P290" t="n">
        <v>0</v>
      </c>
      <c r="Q290" t="n">
        <v>0</v>
      </c>
      <c r="R290" s="2" t="inlineStr"/>
    </row>
    <row r="291" ht="15" customHeight="1">
      <c r="A291" t="inlineStr">
        <is>
          <t>A 28519-2019</t>
        </is>
      </c>
      <c r="B291" s="1" t="n">
        <v>43626</v>
      </c>
      <c r="C291" s="1" t="n">
        <v>45672</v>
      </c>
      <c r="D291" t="inlineStr">
        <is>
          <t>STOCKHOLMS LÄN</t>
        </is>
      </c>
      <c r="E291" t="inlineStr">
        <is>
          <t>NORRTÄLJE</t>
        </is>
      </c>
      <c r="G291" t="n">
        <v>3</v>
      </c>
      <c r="H291" t="n">
        <v>0</v>
      </c>
      <c r="I291" t="n">
        <v>0</v>
      </c>
      <c r="J291" t="n">
        <v>0</v>
      </c>
      <c r="K291" t="n">
        <v>0</v>
      </c>
      <c r="L291" t="n">
        <v>0</v>
      </c>
      <c r="M291" t="n">
        <v>0</v>
      </c>
      <c r="N291" t="n">
        <v>0</v>
      </c>
      <c r="O291" t="n">
        <v>0</v>
      </c>
      <c r="P291" t="n">
        <v>0</v>
      </c>
      <c r="Q291" t="n">
        <v>0</v>
      </c>
      <c r="R291" s="2" t="inlineStr"/>
    </row>
    <row r="292" ht="15" customHeight="1">
      <c r="A292" t="inlineStr">
        <is>
          <t>A 28495-2019</t>
        </is>
      </c>
      <c r="B292" s="1" t="n">
        <v>43626</v>
      </c>
      <c r="C292" s="1" t="n">
        <v>45672</v>
      </c>
      <c r="D292" t="inlineStr">
        <is>
          <t>STOCKHOLMS LÄN</t>
        </is>
      </c>
      <c r="E292" t="inlineStr">
        <is>
          <t>NORRTÄLJE</t>
        </is>
      </c>
      <c r="G292" t="n">
        <v>14.7</v>
      </c>
      <c r="H292" t="n">
        <v>0</v>
      </c>
      <c r="I292" t="n">
        <v>0</v>
      </c>
      <c r="J292" t="n">
        <v>0</v>
      </c>
      <c r="K292" t="n">
        <v>0</v>
      </c>
      <c r="L292" t="n">
        <v>0</v>
      </c>
      <c r="M292" t="n">
        <v>0</v>
      </c>
      <c r="N292" t="n">
        <v>0</v>
      </c>
      <c r="O292" t="n">
        <v>0</v>
      </c>
      <c r="P292" t="n">
        <v>0</v>
      </c>
      <c r="Q292" t="n">
        <v>0</v>
      </c>
      <c r="R292" s="2" t="inlineStr"/>
    </row>
    <row r="293" ht="15" customHeight="1">
      <c r="A293" t="inlineStr">
        <is>
          <t>A 28394-2019</t>
        </is>
      </c>
      <c r="B293" s="1" t="n">
        <v>43626</v>
      </c>
      <c r="C293" s="1" t="n">
        <v>45672</v>
      </c>
      <c r="D293" t="inlineStr">
        <is>
          <t>STOCKHOLMS LÄN</t>
        </is>
      </c>
      <c r="E293" t="inlineStr">
        <is>
          <t>NORRTÄLJE</t>
        </is>
      </c>
      <c r="G293" t="n">
        <v>2.4</v>
      </c>
      <c r="H293" t="n">
        <v>0</v>
      </c>
      <c r="I293" t="n">
        <v>0</v>
      </c>
      <c r="J293" t="n">
        <v>0</v>
      </c>
      <c r="K293" t="n">
        <v>0</v>
      </c>
      <c r="L293" t="n">
        <v>0</v>
      </c>
      <c r="M293" t="n">
        <v>0</v>
      </c>
      <c r="N293" t="n">
        <v>0</v>
      </c>
      <c r="O293" t="n">
        <v>0</v>
      </c>
      <c r="P293" t="n">
        <v>0</v>
      </c>
      <c r="Q293" t="n">
        <v>0</v>
      </c>
      <c r="R293" s="2" t="inlineStr"/>
    </row>
    <row r="294" ht="15" customHeight="1">
      <c r="A294" t="inlineStr">
        <is>
          <t>A 29260-2019</t>
        </is>
      </c>
      <c r="B294" s="1" t="n">
        <v>43629</v>
      </c>
      <c r="C294" s="1" t="n">
        <v>45672</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29312-2019</t>
        </is>
      </c>
      <c r="B295" s="1" t="n">
        <v>43629</v>
      </c>
      <c r="C295" s="1" t="n">
        <v>45672</v>
      </c>
      <c r="D295" t="inlineStr">
        <is>
          <t>STOCKHOLMS LÄN</t>
        </is>
      </c>
      <c r="E295" t="inlineStr">
        <is>
          <t>NORRTÄLJE</t>
        </is>
      </c>
      <c r="G295" t="n">
        <v>7.1</v>
      </c>
      <c r="H295" t="n">
        <v>0</v>
      </c>
      <c r="I295" t="n">
        <v>0</v>
      </c>
      <c r="J295" t="n">
        <v>0</v>
      </c>
      <c r="K295" t="n">
        <v>0</v>
      </c>
      <c r="L295" t="n">
        <v>0</v>
      </c>
      <c r="M295" t="n">
        <v>0</v>
      </c>
      <c r="N295" t="n">
        <v>0</v>
      </c>
      <c r="O295" t="n">
        <v>0</v>
      </c>
      <c r="P295" t="n">
        <v>0</v>
      </c>
      <c r="Q295" t="n">
        <v>0</v>
      </c>
      <c r="R295" s="2" t="inlineStr"/>
    </row>
    <row r="296" ht="15" customHeight="1">
      <c r="A296" t="inlineStr">
        <is>
          <t>A 29759-2019</t>
        </is>
      </c>
      <c r="B296" s="1" t="n">
        <v>43631</v>
      </c>
      <c r="C296" s="1" t="n">
        <v>45672</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30000-2019</t>
        </is>
      </c>
      <c r="B297" s="1" t="n">
        <v>43633</v>
      </c>
      <c r="C297" s="1" t="n">
        <v>45672</v>
      </c>
      <c r="D297" t="inlineStr">
        <is>
          <t>STOCKHOLMS LÄN</t>
        </is>
      </c>
      <c r="E297" t="inlineStr">
        <is>
          <t>NORRTÄLJE</t>
        </is>
      </c>
      <c r="G297" t="n">
        <v>5.4</v>
      </c>
      <c r="H297" t="n">
        <v>0</v>
      </c>
      <c r="I297" t="n">
        <v>0</v>
      </c>
      <c r="J297" t="n">
        <v>0</v>
      </c>
      <c r="K297" t="n">
        <v>0</v>
      </c>
      <c r="L297" t="n">
        <v>0</v>
      </c>
      <c r="M297" t="n">
        <v>0</v>
      </c>
      <c r="N297" t="n">
        <v>0</v>
      </c>
      <c r="O297" t="n">
        <v>0</v>
      </c>
      <c r="P297" t="n">
        <v>0</v>
      </c>
      <c r="Q297" t="n">
        <v>0</v>
      </c>
      <c r="R297" s="2" t="inlineStr"/>
    </row>
    <row r="298" ht="15" customHeight="1">
      <c r="A298" t="inlineStr">
        <is>
          <t>A 30833-2019</t>
        </is>
      </c>
      <c r="B298" s="1" t="n">
        <v>43636</v>
      </c>
      <c r="C298" s="1" t="n">
        <v>45672</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31215-2019</t>
        </is>
      </c>
      <c r="B299" s="1" t="n">
        <v>43640</v>
      </c>
      <c r="C299" s="1" t="n">
        <v>45672</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31017-2019</t>
        </is>
      </c>
      <c r="B300" s="1" t="n">
        <v>43640</v>
      </c>
      <c r="C300" s="1" t="n">
        <v>45672</v>
      </c>
      <c r="D300" t="inlineStr">
        <is>
          <t>STOCKHOLMS LÄN</t>
        </is>
      </c>
      <c r="E300" t="inlineStr">
        <is>
          <t>NORRTÄLJE</t>
        </is>
      </c>
      <c r="G300" t="n">
        <v>3.4</v>
      </c>
      <c r="H300" t="n">
        <v>0</v>
      </c>
      <c r="I300" t="n">
        <v>0</v>
      </c>
      <c r="J300" t="n">
        <v>0</v>
      </c>
      <c r="K300" t="n">
        <v>0</v>
      </c>
      <c r="L300" t="n">
        <v>0</v>
      </c>
      <c r="M300" t="n">
        <v>0</v>
      </c>
      <c r="N300" t="n">
        <v>0</v>
      </c>
      <c r="O300" t="n">
        <v>0</v>
      </c>
      <c r="P300" t="n">
        <v>0</v>
      </c>
      <c r="Q300" t="n">
        <v>0</v>
      </c>
      <c r="R300" s="2" t="inlineStr"/>
    </row>
    <row r="301" ht="15" customHeight="1">
      <c r="A301" t="inlineStr">
        <is>
          <t>A 31966-2019</t>
        </is>
      </c>
      <c r="B301" s="1" t="n">
        <v>43643</v>
      </c>
      <c r="C301" s="1" t="n">
        <v>45672</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32725-2019</t>
        </is>
      </c>
      <c r="B302" s="1" t="n">
        <v>43647</v>
      </c>
      <c r="C302" s="1" t="n">
        <v>45672</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32726-2019</t>
        </is>
      </c>
      <c r="B303" s="1" t="n">
        <v>43647</v>
      </c>
      <c r="C303" s="1" t="n">
        <v>45672</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33207-2019</t>
        </is>
      </c>
      <c r="B304" s="1" t="n">
        <v>43649</v>
      </c>
      <c r="C304" s="1" t="n">
        <v>45672</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33955-2019</t>
        </is>
      </c>
      <c r="B305" s="1" t="n">
        <v>43654</v>
      </c>
      <c r="C305" s="1" t="n">
        <v>45672</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33966-2019</t>
        </is>
      </c>
      <c r="B306" s="1" t="n">
        <v>43654</v>
      </c>
      <c r="C306" s="1" t="n">
        <v>45672</v>
      </c>
      <c r="D306" t="inlineStr">
        <is>
          <t>STOCKHOLMS LÄN</t>
        </is>
      </c>
      <c r="E306" t="inlineStr">
        <is>
          <t>NORRTÄLJE</t>
        </is>
      </c>
      <c r="G306" t="n">
        <v>3.2</v>
      </c>
      <c r="H306" t="n">
        <v>0</v>
      </c>
      <c r="I306" t="n">
        <v>0</v>
      </c>
      <c r="J306" t="n">
        <v>0</v>
      </c>
      <c r="K306" t="n">
        <v>0</v>
      </c>
      <c r="L306" t="n">
        <v>0</v>
      </c>
      <c r="M306" t="n">
        <v>0</v>
      </c>
      <c r="N306" t="n">
        <v>0</v>
      </c>
      <c r="O306" t="n">
        <v>0</v>
      </c>
      <c r="P306" t="n">
        <v>0</v>
      </c>
      <c r="Q306" t="n">
        <v>0</v>
      </c>
      <c r="R306" s="2" t="inlineStr"/>
    </row>
    <row r="307" ht="15" customHeight="1">
      <c r="A307" t="inlineStr">
        <is>
          <t>A 35247-2019</t>
        </is>
      </c>
      <c r="B307" s="1" t="n">
        <v>43656</v>
      </c>
      <c r="C307" s="1" t="n">
        <v>45672</v>
      </c>
      <c r="D307" t="inlineStr">
        <is>
          <t>STOCKHOLMS LÄN</t>
        </is>
      </c>
      <c r="E307" t="inlineStr">
        <is>
          <t>NORRTÄLJE</t>
        </is>
      </c>
      <c r="G307" t="n">
        <v>1.8</v>
      </c>
      <c r="H307" t="n">
        <v>0</v>
      </c>
      <c r="I307" t="n">
        <v>0</v>
      </c>
      <c r="J307" t="n">
        <v>0</v>
      </c>
      <c r="K307" t="n">
        <v>0</v>
      </c>
      <c r="L307" t="n">
        <v>0</v>
      </c>
      <c r="M307" t="n">
        <v>0</v>
      </c>
      <c r="N307" t="n">
        <v>0</v>
      </c>
      <c r="O307" t="n">
        <v>0</v>
      </c>
      <c r="P307" t="n">
        <v>0</v>
      </c>
      <c r="Q307" t="n">
        <v>0</v>
      </c>
      <c r="R307" s="2" t="inlineStr"/>
    </row>
    <row r="308" ht="15" customHeight="1">
      <c r="A308" t="inlineStr">
        <is>
          <t>A 35244-2019</t>
        </is>
      </c>
      <c r="B308" s="1" t="n">
        <v>43656</v>
      </c>
      <c r="C308" s="1" t="n">
        <v>45672</v>
      </c>
      <c r="D308" t="inlineStr">
        <is>
          <t>STOCKHOLMS LÄN</t>
        </is>
      </c>
      <c r="E308" t="inlineStr">
        <is>
          <t>NORRTÄLJE</t>
        </is>
      </c>
      <c r="G308" t="n">
        <v>1.9</v>
      </c>
      <c r="H308" t="n">
        <v>0</v>
      </c>
      <c r="I308" t="n">
        <v>0</v>
      </c>
      <c r="J308" t="n">
        <v>0</v>
      </c>
      <c r="K308" t="n">
        <v>0</v>
      </c>
      <c r="L308" t="n">
        <v>0</v>
      </c>
      <c r="M308" t="n">
        <v>0</v>
      </c>
      <c r="N308" t="n">
        <v>0</v>
      </c>
      <c r="O308" t="n">
        <v>0</v>
      </c>
      <c r="P308" t="n">
        <v>0</v>
      </c>
      <c r="Q308" t="n">
        <v>0</v>
      </c>
      <c r="R308" s="2" t="inlineStr"/>
    </row>
    <row r="309" ht="15" customHeight="1">
      <c r="A309" t="inlineStr">
        <is>
          <t>A 35249-2019</t>
        </is>
      </c>
      <c r="B309" s="1" t="n">
        <v>43656</v>
      </c>
      <c r="C309" s="1" t="n">
        <v>45672</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35251-2019</t>
        </is>
      </c>
      <c r="B310" s="1" t="n">
        <v>43656</v>
      </c>
      <c r="C310" s="1" t="n">
        <v>45672</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35492-2019</t>
        </is>
      </c>
      <c r="B311" s="1" t="n">
        <v>43663</v>
      </c>
      <c r="C311" s="1" t="n">
        <v>45672</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35770-2019</t>
        </is>
      </c>
      <c r="B312" s="1" t="n">
        <v>43665</v>
      </c>
      <c r="C312" s="1" t="n">
        <v>45672</v>
      </c>
      <c r="D312" t="inlineStr">
        <is>
          <t>STOCKHOLMS LÄN</t>
        </is>
      </c>
      <c r="E312" t="inlineStr">
        <is>
          <t>NORRTÄLJE</t>
        </is>
      </c>
      <c r="G312" t="n">
        <v>6.3</v>
      </c>
      <c r="H312" t="n">
        <v>0</v>
      </c>
      <c r="I312" t="n">
        <v>0</v>
      </c>
      <c r="J312" t="n">
        <v>0</v>
      </c>
      <c r="K312" t="n">
        <v>0</v>
      </c>
      <c r="L312" t="n">
        <v>0</v>
      </c>
      <c r="M312" t="n">
        <v>0</v>
      </c>
      <c r="N312" t="n">
        <v>0</v>
      </c>
      <c r="O312" t="n">
        <v>0</v>
      </c>
      <c r="P312" t="n">
        <v>0</v>
      </c>
      <c r="Q312" t="n">
        <v>0</v>
      </c>
      <c r="R312" s="2" t="inlineStr"/>
    </row>
    <row r="313" ht="15" customHeight="1">
      <c r="A313" t="inlineStr">
        <is>
          <t>A 35766-2019</t>
        </is>
      </c>
      <c r="B313" s="1" t="n">
        <v>43665</v>
      </c>
      <c r="C313" s="1" t="n">
        <v>45672</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36418-2019</t>
        </is>
      </c>
      <c r="B314" s="1" t="n">
        <v>43670</v>
      </c>
      <c r="C314" s="1" t="n">
        <v>45672</v>
      </c>
      <c r="D314" t="inlineStr">
        <is>
          <t>STOCKHOLMS LÄN</t>
        </is>
      </c>
      <c r="E314" t="inlineStr">
        <is>
          <t>NORRTÄLJE</t>
        </is>
      </c>
      <c r="G314" t="n">
        <v>16.8</v>
      </c>
      <c r="H314" t="n">
        <v>0</v>
      </c>
      <c r="I314" t="n">
        <v>0</v>
      </c>
      <c r="J314" t="n">
        <v>0</v>
      </c>
      <c r="K314" t="n">
        <v>0</v>
      </c>
      <c r="L314" t="n">
        <v>0</v>
      </c>
      <c r="M314" t="n">
        <v>0</v>
      </c>
      <c r="N314" t="n">
        <v>0</v>
      </c>
      <c r="O314" t="n">
        <v>0</v>
      </c>
      <c r="P314" t="n">
        <v>0</v>
      </c>
      <c r="Q314" t="n">
        <v>0</v>
      </c>
      <c r="R314" s="2" t="inlineStr"/>
    </row>
    <row r="315" ht="15" customHeight="1">
      <c r="A315" t="inlineStr">
        <is>
          <t>A 37401-2019</t>
        </is>
      </c>
      <c r="B315" s="1" t="n">
        <v>43678</v>
      </c>
      <c r="C315" s="1" t="n">
        <v>45672</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37662-2019</t>
        </is>
      </c>
      <c r="B316" s="1" t="n">
        <v>43682</v>
      </c>
      <c r="C316" s="1" t="n">
        <v>45672</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38144-2019</t>
        </is>
      </c>
      <c r="B317" s="1" t="n">
        <v>43684</v>
      </c>
      <c r="C317" s="1" t="n">
        <v>45672</v>
      </c>
      <c r="D317" t="inlineStr">
        <is>
          <t>STOCKHOLMS LÄN</t>
        </is>
      </c>
      <c r="E317" t="inlineStr">
        <is>
          <t>NORRTÄLJE</t>
        </is>
      </c>
      <c r="G317" t="n">
        <v>3.6</v>
      </c>
      <c r="H317" t="n">
        <v>0</v>
      </c>
      <c r="I317" t="n">
        <v>0</v>
      </c>
      <c r="J317" t="n">
        <v>0</v>
      </c>
      <c r="K317" t="n">
        <v>0</v>
      </c>
      <c r="L317" t="n">
        <v>0</v>
      </c>
      <c r="M317" t="n">
        <v>0</v>
      </c>
      <c r="N317" t="n">
        <v>0</v>
      </c>
      <c r="O317" t="n">
        <v>0</v>
      </c>
      <c r="P317" t="n">
        <v>0</v>
      </c>
      <c r="Q317" t="n">
        <v>0</v>
      </c>
      <c r="R317" s="2" t="inlineStr"/>
    </row>
    <row r="318" ht="15" customHeight="1">
      <c r="A318" t="inlineStr">
        <is>
          <t>A 38139-2019</t>
        </is>
      </c>
      <c r="B318" s="1" t="n">
        <v>43684</v>
      </c>
      <c r="C318" s="1" t="n">
        <v>45672</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38145-2019</t>
        </is>
      </c>
      <c r="B319" s="1" t="n">
        <v>43684</v>
      </c>
      <c r="C319" s="1" t="n">
        <v>45672</v>
      </c>
      <c r="D319" t="inlineStr">
        <is>
          <t>STOCKHOLMS LÄN</t>
        </is>
      </c>
      <c r="E319" t="inlineStr">
        <is>
          <t>NORRTÄLJE</t>
        </is>
      </c>
      <c r="G319" t="n">
        <v>9.9</v>
      </c>
      <c r="H319" t="n">
        <v>0</v>
      </c>
      <c r="I319" t="n">
        <v>0</v>
      </c>
      <c r="J319" t="n">
        <v>0</v>
      </c>
      <c r="K319" t="n">
        <v>0</v>
      </c>
      <c r="L319" t="n">
        <v>0</v>
      </c>
      <c r="M319" t="n">
        <v>0</v>
      </c>
      <c r="N319" t="n">
        <v>0</v>
      </c>
      <c r="O319" t="n">
        <v>0</v>
      </c>
      <c r="P319" t="n">
        <v>0</v>
      </c>
      <c r="Q319" t="n">
        <v>0</v>
      </c>
      <c r="R319" s="2" t="inlineStr"/>
    </row>
    <row r="320" ht="15" customHeight="1">
      <c r="A320" t="inlineStr">
        <is>
          <t>A 38140-2019</t>
        </is>
      </c>
      <c r="B320" s="1" t="n">
        <v>43684</v>
      </c>
      <c r="C320" s="1" t="n">
        <v>45672</v>
      </c>
      <c r="D320" t="inlineStr">
        <is>
          <t>STOCKHOLMS LÄN</t>
        </is>
      </c>
      <c r="E320" t="inlineStr">
        <is>
          <t>NORRTÄLJE</t>
        </is>
      </c>
      <c r="G320" t="n">
        <v>3.4</v>
      </c>
      <c r="H320" t="n">
        <v>0</v>
      </c>
      <c r="I320" t="n">
        <v>0</v>
      </c>
      <c r="J320" t="n">
        <v>0</v>
      </c>
      <c r="K320" t="n">
        <v>0</v>
      </c>
      <c r="L320" t="n">
        <v>0</v>
      </c>
      <c r="M320" t="n">
        <v>0</v>
      </c>
      <c r="N320" t="n">
        <v>0</v>
      </c>
      <c r="O320" t="n">
        <v>0</v>
      </c>
      <c r="P320" t="n">
        <v>0</v>
      </c>
      <c r="Q320" t="n">
        <v>0</v>
      </c>
      <c r="R320" s="2" t="inlineStr"/>
    </row>
    <row r="321" ht="15" customHeight="1">
      <c r="A321" t="inlineStr">
        <is>
          <t>A 38143-2019</t>
        </is>
      </c>
      <c r="B321" s="1" t="n">
        <v>43684</v>
      </c>
      <c r="C321" s="1" t="n">
        <v>45672</v>
      </c>
      <c r="D321" t="inlineStr">
        <is>
          <t>STOCKHOLMS LÄN</t>
        </is>
      </c>
      <c r="E321" t="inlineStr">
        <is>
          <t>NORRTÄLJE</t>
        </is>
      </c>
      <c r="G321" t="n">
        <v>12.7</v>
      </c>
      <c r="H321" t="n">
        <v>0</v>
      </c>
      <c r="I321" t="n">
        <v>0</v>
      </c>
      <c r="J321" t="n">
        <v>0</v>
      </c>
      <c r="K321" t="n">
        <v>0</v>
      </c>
      <c r="L321" t="n">
        <v>0</v>
      </c>
      <c r="M321" t="n">
        <v>0</v>
      </c>
      <c r="N321" t="n">
        <v>0</v>
      </c>
      <c r="O321" t="n">
        <v>0</v>
      </c>
      <c r="P321" t="n">
        <v>0</v>
      </c>
      <c r="Q321" t="n">
        <v>0</v>
      </c>
      <c r="R321" s="2" t="inlineStr"/>
    </row>
    <row r="322" ht="15" customHeight="1">
      <c r="A322" t="inlineStr">
        <is>
          <t>A 38506-2019</t>
        </is>
      </c>
      <c r="B322" s="1" t="n">
        <v>43685</v>
      </c>
      <c r="C322" s="1" t="n">
        <v>45672</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38605-2019</t>
        </is>
      </c>
      <c r="B323" s="1" t="n">
        <v>43686</v>
      </c>
      <c r="C323" s="1" t="n">
        <v>45672</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38737-2019</t>
        </is>
      </c>
      <c r="B324" s="1" t="n">
        <v>43686</v>
      </c>
      <c r="C324" s="1" t="n">
        <v>45672</v>
      </c>
      <c r="D324" t="inlineStr">
        <is>
          <t>STOCKHOLMS LÄN</t>
        </is>
      </c>
      <c r="E324" t="inlineStr">
        <is>
          <t>NORRTÄLJE</t>
        </is>
      </c>
      <c r="G324" t="n">
        <v>4.7</v>
      </c>
      <c r="H324" t="n">
        <v>0</v>
      </c>
      <c r="I324" t="n">
        <v>0</v>
      </c>
      <c r="J324" t="n">
        <v>0</v>
      </c>
      <c r="K324" t="n">
        <v>0</v>
      </c>
      <c r="L324" t="n">
        <v>0</v>
      </c>
      <c r="M324" t="n">
        <v>0</v>
      </c>
      <c r="N324" t="n">
        <v>0</v>
      </c>
      <c r="O324" t="n">
        <v>0</v>
      </c>
      <c r="P324" t="n">
        <v>0</v>
      </c>
      <c r="Q324" t="n">
        <v>0</v>
      </c>
      <c r="R324" s="2" t="inlineStr"/>
    </row>
    <row r="325" ht="15" customHeight="1">
      <c r="A325" t="inlineStr">
        <is>
          <t>A 40571-2019</t>
        </is>
      </c>
      <c r="B325" s="1" t="n">
        <v>43696</v>
      </c>
      <c r="C325" s="1" t="n">
        <v>45672</v>
      </c>
      <c r="D325" t="inlineStr">
        <is>
          <t>STOCKHOLMS LÄN</t>
        </is>
      </c>
      <c r="E325" t="inlineStr">
        <is>
          <t>NORRTÄLJE</t>
        </is>
      </c>
      <c r="G325" t="n">
        <v>2.8</v>
      </c>
      <c r="H325" t="n">
        <v>0</v>
      </c>
      <c r="I325" t="n">
        <v>0</v>
      </c>
      <c r="J325" t="n">
        <v>0</v>
      </c>
      <c r="K325" t="n">
        <v>0</v>
      </c>
      <c r="L325" t="n">
        <v>0</v>
      </c>
      <c r="M325" t="n">
        <v>0</v>
      </c>
      <c r="N325" t="n">
        <v>0</v>
      </c>
      <c r="O325" t="n">
        <v>0</v>
      </c>
      <c r="P325" t="n">
        <v>0</v>
      </c>
      <c r="Q325" t="n">
        <v>0</v>
      </c>
      <c r="R325" s="2" t="inlineStr"/>
    </row>
    <row r="326" ht="15" customHeight="1">
      <c r="A326" t="inlineStr">
        <is>
          <t>A 42330-2019</t>
        </is>
      </c>
      <c r="B326" s="1" t="n">
        <v>43703</v>
      </c>
      <c r="C326" s="1" t="n">
        <v>45672</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43379-2019</t>
        </is>
      </c>
      <c r="B327" s="1" t="n">
        <v>43703</v>
      </c>
      <c r="C327" s="1" t="n">
        <v>45672</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43296-2019</t>
        </is>
      </c>
      <c r="B328" s="1" t="n">
        <v>43706</v>
      </c>
      <c r="C328" s="1" t="n">
        <v>45672</v>
      </c>
      <c r="D328" t="inlineStr">
        <is>
          <t>STOCKHOLMS LÄN</t>
        </is>
      </c>
      <c r="E328" t="inlineStr">
        <is>
          <t>NORRTÄLJE</t>
        </is>
      </c>
      <c r="F328" t="inlineStr">
        <is>
          <t>Kommuner</t>
        </is>
      </c>
      <c r="G328" t="n">
        <v>1.7</v>
      </c>
      <c r="H328" t="n">
        <v>0</v>
      </c>
      <c r="I328" t="n">
        <v>0</v>
      </c>
      <c r="J328" t="n">
        <v>0</v>
      </c>
      <c r="K328" t="n">
        <v>0</v>
      </c>
      <c r="L328" t="n">
        <v>0</v>
      </c>
      <c r="M328" t="n">
        <v>0</v>
      </c>
      <c r="N328" t="n">
        <v>0</v>
      </c>
      <c r="O328" t="n">
        <v>0</v>
      </c>
      <c r="P328" t="n">
        <v>0</v>
      </c>
      <c r="Q328" t="n">
        <v>0</v>
      </c>
      <c r="R328" s="2" t="inlineStr"/>
    </row>
    <row r="329" ht="15" customHeight="1">
      <c r="A329" t="inlineStr">
        <is>
          <t>A 44643-2019</t>
        </is>
      </c>
      <c r="B329" s="1" t="n">
        <v>43712</v>
      </c>
      <c r="C329" s="1" t="n">
        <v>45672</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45463-2019</t>
        </is>
      </c>
      <c r="B330" s="1" t="n">
        <v>43714</v>
      </c>
      <c r="C330" s="1" t="n">
        <v>45672</v>
      </c>
      <c r="D330" t="inlineStr">
        <is>
          <t>STOCKHOLMS LÄN</t>
        </is>
      </c>
      <c r="E330" t="inlineStr">
        <is>
          <t>NORRTÄLJE</t>
        </is>
      </c>
      <c r="F330" t="inlineStr">
        <is>
          <t>Övriga statliga verk och myndigheter</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45477-2019</t>
        </is>
      </c>
      <c r="B331" s="1" t="n">
        <v>43714</v>
      </c>
      <c r="C331" s="1" t="n">
        <v>45672</v>
      </c>
      <c r="D331" t="inlineStr">
        <is>
          <t>STOCKHOLMS LÄN</t>
        </is>
      </c>
      <c r="E331" t="inlineStr">
        <is>
          <t>NORRTÄLJE</t>
        </is>
      </c>
      <c r="F331" t="inlineStr">
        <is>
          <t>Övriga statliga verk och myndigheter</t>
        </is>
      </c>
      <c r="G331" t="n">
        <v>8.9</v>
      </c>
      <c r="H331" t="n">
        <v>0</v>
      </c>
      <c r="I331" t="n">
        <v>0</v>
      </c>
      <c r="J331" t="n">
        <v>0</v>
      </c>
      <c r="K331" t="n">
        <v>0</v>
      </c>
      <c r="L331" t="n">
        <v>0</v>
      </c>
      <c r="M331" t="n">
        <v>0</v>
      </c>
      <c r="N331" t="n">
        <v>0</v>
      </c>
      <c r="O331" t="n">
        <v>0</v>
      </c>
      <c r="P331" t="n">
        <v>0</v>
      </c>
      <c r="Q331" t="n">
        <v>0</v>
      </c>
      <c r="R331" s="2" t="inlineStr"/>
    </row>
    <row r="332" ht="15" customHeight="1">
      <c r="A332" t="inlineStr">
        <is>
          <t>A 46327-2019</t>
        </is>
      </c>
      <c r="B332" s="1" t="n">
        <v>43718</v>
      </c>
      <c r="C332" s="1" t="n">
        <v>45672</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47876-2019</t>
        </is>
      </c>
      <c r="B333" s="1" t="n">
        <v>43725</v>
      </c>
      <c r="C333" s="1" t="n">
        <v>45672</v>
      </c>
      <c r="D333" t="inlineStr">
        <is>
          <t>STOCKHOLMS LÄN</t>
        </is>
      </c>
      <c r="E333" t="inlineStr">
        <is>
          <t>NORRTÄLJE</t>
        </is>
      </c>
      <c r="G333" t="n">
        <v>11.4</v>
      </c>
      <c r="H333" t="n">
        <v>0</v>
      </c>
      <c r="I333" t="n">
        <v>0</v>
      </c>
      <c r="J333" t="n">
        <v>0</v>
      </c>
      <c r="K333" t="n">
        <v>0</v>
      </c>
      <c r="L333" t="n">
        <v>0</v>
      </c>
      <c r="M333" t="n">
        <v>0</v>
      </c>
      <c r="N333" t="n">
        <v>0</v>
      </c>
      <c r="O333" t="n">
        <v>0</v>
      </c>
      <c r="P333" t="n">
        <v>0</v>
      </c>
      <c r="Q333" t="n">
        <v>0</v>
      </c>
      <c r="R333" s="2" t="inlineStr"/>
    </row>
    <row r="334" ht="15" customHeight="1">
      <c r="A334" t="inlineStr">
        <is>
          <t>A 47877-2019</t>
        </is>
      </c>
      <c r="B334" s="1" t="n">
        <v>43725</v>
      </c>
      <c r="C334" s="1" t="n">
        <v>45672</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47903-2019</t>
        </is>
      </c>
      <c r="B335" s="1" t="n">
        <v>43725</v>
      </c>
      <c r="C335" s="1" t="n">
        <v>45672</v>
      </c>
      <c r="D335" t="inlineStr">
        <is>
          <t>STOCKHOLMS LÄN</t>
        </is>
      </c>
      <c r="E335" t="inlineStr">
        <is>
          <t>NORRTÄLJE</t>
        </is>
      </c>
      <c r="G335" t="n">
        <v>2.1</v>
      </c>
      <c r="H335" t="n">
        <v>0</v>
      </c>
      <c r="I335" t="n">
        <v>0</v>
      </c>
      <c r="J335" t="n">
        <v>0</v>
      </c>
      <c r="K335" t="n">
        <v>0</v>
      </c>
      <c r="L335" t="n">
        <v>0</v>
      </c>
      <c r="M335" t="n">
        <v>0</v>
      </c>
      <c r="N335" t="n">
        <v>0</v>
      </c>
      <c r="O335" t="n">
        <v>0</v>
      </c>
      <c r="P335" t="n">
        <v>0</v>
      </c>
      <c r="Q335" t="n">
        <v>0</v>
      </c>
      <c r="R335" s="2" t="inlineStr"/>
    </row>
    <row r="336" ht="15" customHeight="1">
      <c r="A336" t="inlineStr">
        <is>
          <t>A 47901-2019</t>
        </is>
      </c>
      <c r="B336" s="1" t="n">
        <v>43725</v>
      </c>
      <c r="C336" s="1" t="n">
        <v>45672</v>
      </c>
      <c r="D336" t="inlineStr">
        <is>
          <t>STOCKHOLMS LÄN</t>
        </is>
      </c>
      <c r="E336" t="inlineStr">
        <is>
          <t>NORRTÄLJE</t>
        </is>
      </c>
      <c r="G336" t="n">
        <v>3</v>
      </c>
      <c r="H336" t="n">
        <v>0</v>
      </c>
      <c r="I336" t="n">
        <v>0</v>
      </c>
      <c r="J336" t="n">
        <v>0</v>
      </c>
      <c r="K336" t="n">
        <v>0</v>
      </c>
      <c r="L336" t="n">
        <v>0</v>
      </c>
      <c r="M336" t="n">
        <v>0</v>
      </c>
      <c r="N336" t="n">
        <v>0</v>
      </c>
      <c r="O336" t="n">
        <v>0</v>
      </c>
      <c r="P336" t="n">
        <v>0</v>
      </c>
      <c r="Q336" t="n">
        <v>0</v>
      </c>
      <c r="R336" s="2" t="inlineStr"/>
    </row>
    <row r="337" ht="15" customHeight="1">
      <c r="A337" t="inlineStr">
        <is>
          <t>A 47939-2019</t>
        </is>
      </c>
      <c r="B337" s="1" t="n">
        <v>43725</v>
      </c>
      <c r="C337" s="1" t="n">
        <v>45672</v>
      </c>
      <c r="D337" t="inlineStr">
        <is>
          <t>STOCKHOLMS LÄN</t>
        </is>
      </c>
      <c r="E337" t="inlineStr">
        <is>
          <t>NORRTÄLJE</t>
        </is>
      </c>
      <c r="G337" t="n">
        <v>4.5</v>
      </c>
      <c r="H337" t="n">
        <v>0</v>
      </c>
      <c r="I337" t="n">
        <v>0</v>
      </c>
      <c r="J337" t="n">
        <v>0</v>
      </c>
      <c r="K337" t="n">
        <v>0</v>
      </c>
      <c r="L337" t="n">
        <v>0</v>
      </c>
      <c r="M337" t="n">
        <v>0</v>
      </c>
      <c r="N337" t="n">
        <v>0</v>
      </c>
      <c r="O337" t="n">
        <v>0</v>
      </c>
      <c r="P337" t="n">
        <v>0</v>
      </c>
      <c r="Q337" t="n">
        <v>0</v>
      </c>
      <c r="R337" s="2" t="inlineStr"/>
    </row>
    <row r="338" ht="15" customHeight="1">
      <c r="A338" t="inlineStr">
        <is>
          <t>A 47941-2019</t>
        </is>
      </c>
      <c r="B338" s="1" t="n">
        <v>43725</v>
      </c>
      <c r="C338" s="1" t="n">
        <v>45672</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47879-2019</t>
        </is>
      </c>
      <c r="B339" s="1" t="n">
        <v>43725</v>
      </c>
      <c r="C339" s="1" t="n">
        <v>45672</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48730-2019</t>
        </is>
      </c>
      <c r="B340" s="1" t="n">
        <v>43728</v>
      </c>
      <c r="C340" s="1" t="n">
        <v>45672</v>
      </c>
      <c r="D340" t="inlineStr">
        <is>
          <t>STOCKHOLMS LÄN</t>
        </is>
      </c>
      <c r="E340" t="inlineStr">
        <is>
          <t>NORRTÄLJE</t>
        </is>
      </c>
      <c r="F340" t="inlineStr">
        <is>
          <t>Övriga statliga verk och myndigheter</t>
        </is>
      </c>
      <c r="G340" t="n">
        <v>1.3</v>
      </c>
      <c r="H340" t="n">
        <v>0</v>
      </c>
      <c r="I340" t="n">
        <v>0</v>
      </c>
      <c r="J340" t="n">
        <v>0</v>
      </c>
      <c r="K340" t="n">
        <v>0</v>
      </c>
      <c r="L340" t="n">
        <v>0</v>
      </c>
      <c r="M340" t="n">
        <v>0</v>
      </c>
      <c r="N340" t="n">
        <v>0</v>
      </c>
      <c r="O340" t="n">
        <v>0</v>
      </c>
      <c r="P340" t="n">
        <v>0</v>
      </c>
      <c r="Q340" t="n">
        <v>0</v>
      </c>
      <c r="R340" s="2" t="inlineStr"/>
    </row>
    <row r="341" ht="15" customHeight="1">
      <c r="A341" t="inlineStr">
        <is>
          <t>A 49252-2019</t>
        </is>
      </c>
      <c r="B341" s="1" t="n">
        <v>43731</v>
      </c>
      <c r="C341" s="1" t="n">
        <v>45672</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51940-2019</t>
        </is>
      </c>
      <c r="B342" s="1" t="n">
        <v>43741</v>
      </c>
      <c r="C342" s="1" t="n">
        <v>45672</v>
      </c>
      <c r="D342" t="inlineStr">
        <is>
          <t>STOCKHOLMS LÄN</t>
        </is>
      </c>
      <c r="E342" t="inlineStr">
        <is>
          <t>NORRTÄLJE</t>
        </is>
      </c>
      <c r="G342" t="n">
        <v>2.7</v>
      </c>
      <c r="H342" t="n">
        <v>0</v>
      </c>
      <c r="I342" t="n">
        <v>0</v>
      </c>
      <c r="J342" t="n">
        <v>0</v>
      </c>
      <c r="K342" t="n">
        <v>0</v>
      </c>
      <c r="L342" t="n">
        <v>0</v>
      </c>
      <c r="M342" t="n">
        <v>0</v>
      </c>
      <c r="N342" t="n">
        <v>0</v>
      </c>
      <c r="O342" t="n">
        <v>0</v>
      </c>
      <c r="P342" t="n">
        <v>0</v>
      </c>
      <c r="Q342" t="n">
        <v>0</v>
      </c>
      <c r="R342" s="2" t="inlineStr"/>
    </row>
    <row r="343" ht="15" customHeight="1">
      <c r="A343" t="inlineStr">
        <is>
          <t>A 51942-2019</t>
        </is>
      </c>
      <c r="B343" s="1" t="n">
        <v>43741</v>
      </c>
      <c r="C343" s="1" t="n">
        <v>45672</v>
      </c>
      <c r="D343" t="inlineStr">
        <is>
          <t>STOCKHOLMS LÄN</t>
        </is>
      </c>
      <c r="E343" t="inlineStr">
        <is>
          <t>NORRTÄLJE</t>
        </is>
      </c>
      <c r="G343" t="n">
        <v>5.6</v>
      </c>
      <c r="H343" t="n">
        <v>0</v>
      </c>
      <c r="I343" t="n">
        <v>0</v>
      </c>
      <c r="J343" t="n">
        <v>0</v>
      </c>
      <c r="K343" t="n">
        <v>0</v>
      </c>
      <c r="L343" t="n">
        <v>0</v>
      </c>
      <c r="M343" t="n">
        <v>0</v>
      </c>
      <c r="N343" t="n">
        <v>0</v>
      </c>
      <c r="O343" t="n">
        <v>0</v>
      </c>
      <c r="P343" t="n">
        <v>0</v>
      </c>
      <c r="Q343" t="n">
        <v>0</v>
      </c>
      <c r="R343" s="2" t="inlineStr"/>
    </row>
    <row r="344" ht="15" customHeight="1">
      <c r="A344" t="inlineStr">
        <is>
          <t>A 55481-2019</t>
        </is>
      </c>
      <c r="B344" s="1" t="n">
        <v>43759</v>
      </c>
      <c r="C344" s="1" t="n">
        <v>45672</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55891-2019</t>
        </is>
      </c>
      <c r="B345" s="1" t="n">
        <v>43761</v>
      </c>
      <c r="C345" s="1" t="n">
        <v>45672</v>
      </c>
      <c r="D345" t="inlineStr">
        <is>
          <t>STOCKHOLMS LÄN</t>
        </is>
      </c>
      <c r="E345" t="inlineStr">
        <is>
          <t>NORRTÄLJE</t>
        </is>
      </c>
      <c r="G345" t="n">
        <v>7.6</v>
      </c>
      <c r="H345" t="n">
        <v>0</v>
      </c>
      <c r="I345" t="n">
        <v>0</v>
      </c>
      <c r="J345" t="n">
        <v>0</v>
      </c>
      <c r="K345" t="n">
        <v>0</v>
      </c>
      <c r="L345" t="n">
        <v>0</v>
      </c>
      <c r="M345" t="n">
        <v>0</v>
      </c>
      <c r="N345" t="n">
        <v>0</v>
      </c>
      <c r="O345" t="n">
        <v>0</v>
      </c>
      <c r="P345" t="n">
        <v>0</v>
      </c>
      <c r="Q345" t="n">
        <v>0</v>
      </c>
      <c r="R345" s="2" t="inlineStr"/>
    </row>
    <row r="346" ht="15" customHeight="1">
      <c r="A346" t="inlineStr">
        <is>
          <t>A 56349-2019</t>
        </is>
      </c>
      <c r="B346" s="1" t="n">
        <v>43762</v>
      </c>
      <c r="C346" s="1" t="n">
        <v>45672</v>
      </c>
      <c r="D346" t="inlineStr">
        <is>
          <t>STOCKHOLMS LÄN</t>
        </is>
      </c>
      <c r="E346" t="inlineStr">
        <is>
          <t>NORRTÄLJE</t>
        </is>
      </c>
      <c r="G346" t="n">
        <v>1.5</v>
      </c>
      <c r="H346" t="n">
        <v>0</v>
      </c>
      <c r="I346" t="n">
        <v>0</v>
      </c>
      <c r="J346" t="n">
        <v>0</v>
      </c>
      <c r="K346" t="n">
        <v>0</v>
      </c>
      <c r="L346" t="n">
        <v>0</v>
      </c>
      <c r="M346" t="n">
        <v>0</v>
      </c>
      <c r="N346" t="n">
        <v>0</v>
      </c>
      <c r="O346" t="n">
        <v>0</v>
      </c>
      <c r="P346" t="n">
        <v>0</v>
      </c>
      <c r="Q346" t="n">
        <v>0</v>
      </c>
      <c r="R346" s="2" t="inlineStr"/>
    </row>
    <row r="347" ht="15" customHeight="1">
      <c r="A347" t="inlineStr">
        <is>
          <t>A 57759-2019</t>
        </is>
      </c>
      <c r="B347" s="1" t="n">
        <v>43763</v>
      </c>
      <c r="C347" s="1" t="n">
        <v>45672</v>
      </c>
      <c r="D347" t="inlineStr">
        <is>
          <t>STOCKHOLMS LÄN</t>
        </is>
      </c>
      <c r="E347" t="inlineStr">
        <is>
          <t>NORRTÄLJE</t>
        </is>
      </c>
      <c r="F347" t="inlineStr">
        <is>
          <t>Övriga Aktiebolag</t>
        </is>
      </c>
      <c r="G347" t="n">
        <v>7.3</v>
      </c>
      <c r="H347" t="n">
        <v>0</v>
      </c>
      <c r="I347" t="n">
        <v>0</v>
      </c>
      <c r="J347" t="n">
        <v>0</v>
      </c>
      <c r="K347" t="n">
        <v>0</v>
      </c>
      <c r="L347" t="n">
        <v>0</v>
      </c>
      <c r="M347" t="n">
        <v>0</v>
      </c>
      <c r="N347" t="n">
        <v>0</v>
      </c>
      <c r="O347" t="n">
        <v>0</v>
      </c>
      <c r="P347" t="n">
        <v>0</v>
      </c>
      <c r="Q347" t="n">
        <v>0</v>
      </c>
      <c r="R347" s="2" t="inlineStr"/>
    </row>
    <row r="348" ht="15" customHeight="1">
      <c r="A348" t="inlineStr">
        <is>
          <t>A 57063-2019</t>
        </is>
      </c>
      <c r="B348" s="1" t="n">
        <v>43766</v>
      </c>
      <c r="C348" s="1" t="n">
        <v>45672</v>
      </c>
      <c r="D348" t="inlineStr">
        <is>
          <t>STOCKHOLMS LÄN</t>
        </is>
      </c>
      <c r="E348" t="inlineStr">
        <is>
          <t>NORRTÄLJE</t>
        </is>
      </c>
      <c r="F348" t="inlineStr">
        <is>
          <t>Kyrkan</t>
        </is>
      </c>
      <c r="G348" t="n">
        <v>1.3</v>
      </c>
      <c r="H348" t="n">
        <v>0</v>
      </c>
      <c r="I348" t="n">
        <v>0</v>
      </c>
      <c r="J348" t="n">
        <v>0</v>
      </c>
      <c r="K348" t="n">
        <v>0</v>
      </c>
      <c r="L348" t="n">
        <v>0</v>
      </c>
      <c r="M348" t="n">
        <v>0</v>
      </c>
      <c r="N348" t="n">
        <v>0</v>
      </c>
      <c r="O348" t="n">
        <v>0</v>
      </c>
      <c r="P348" t="n">
        <v>0</v>
      </c>
      <c r="Q348" t="n">
        <v>0</v>
      </c>
      <c r="R348" s="2" t="inlineStr"/>
    </row>
    <row r="349" ht="15" customHeight="1">
      <c r="A349" t="inlineStr">
        <is>
          <t>A 56950-2019</t>
        </is>
      </c>
      <c r="B349" s="1" t="n">
        <v>43766</v>
      </c>
      <c r="C349" s="1" t="n">
        <v>45672</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57605-2019</t>
        </is>
      </c>
      <c r="B350" s="1" t="n">
        <v>43768</v>
      </c>
      <c r="C350" s="1" t="n">
        <v>45672</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58064-2019</t>
        </is>
      </c>
      <c r="B351" s="1" t="n">
        <v>43769</v>
      </c>
      <c r="C351" s="1" t="n">
        <v>45672</v>
      </c>
      <c r="D351" t="inlineStr">
        <is>
          <t>STOCKHOLMS LÄN</t>
        </is>
      </c>
      <c r="E351" t="inlineStr">
        <is>
          <t>NORRTÄLJE</t>
        </is>
      </c>
      <c r="G351" t="n">
        <v>1</v>
      </c>
      <c r="H351" t="n">
        <v>0</v>
      </c>
      <c r="I351" t="n">
        <v>0</v>
      </c>
      <c r="J351" t="n">
        <v>0</v>
      </c>
      <c r="K351" t="n">
        <v>0</v>
      </c>
      <c r="L351" t="n">
        <v>0</v>
      </c>
      <c r="M351" t="n">
        <v>0</v>
      </c>
      <c r="N351" t="n">
        <v>0</v>
      </c>
      <c r="O351" t="n">
        <v>0</v>
      </c>
      <c r="P351" t="n">
        <v>0</v>
      </c>
      <c r="Q351" t="n">
        <v>0</v>
      </c>
      <c r="R351" s="2" t="inlineStr"/>
    </row>
    <row r="352" ht="15" customHeight="1">
      <c r="A352" t="inlineStr">
        <is>
          <t>A 58631-2019</t>
        </is>
      </c>
      <c r="B352" s="1" t="n">
        <v>43773</v>
      </c>
      <c r="C352" s="1" t="n">
        <v>45672</v>
      </c>
      <c r="D352" t="inlineStr">
        <is>
          <t>STOCKHOLMS LÄN</t>
        </is>
      </c>
      <c r="E352" t="inlineStr">
        <is>
          <t>NORRTÄLJE</t>
        </is>
      </c>
      <c r="G352" t="n">
        <v>6</v>
      </c>
      <c r="H352" t="n">
        <v>0</v>
      </c>
      <c r="I352" t="n">
        <v>0</v>
      </c>
      <c r="J352" t="n">
        <v>0</v>
      </c>
      <c r="K352" t="n">
        <v>0</v>
      </c>
      <c r="L352" t="n">
        <v>0</v>
      </c>
      <c r="M352" t="n">
        <v>0</v>
      </c>
      <c r="N352" t="n">
        <v>0</v>
      </c>
      <c r="O352" t="n">
        <v>0</v>
      </c>
      <c r="P352" t="n">
        <v>0</v>
      </c>
      <c r="Q352" t="n">
        <v>0</v>
      </c>
      <c r="R352" s="2" t="inlineStr"/>
    </row>
    <row r="353" ht="15" customHeight="1">
      <c r="A353" t="inlineStr">
        <is>
          <t>A 60214-2019</t>
        </is>
      </c>
      <c r="B353" s="1" t="n">
        <v>43780</v>
      </c>
      <c r="C353" s="1" t="n">
        <v>45672</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60208-2019</t>
        </is>
      </c>
      <c r="B354" s="1" t="n">
        <v>43780</v>
      </c>
      <c r="C354" s="1" t="n">
        <v>45672</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60842-2019</t>
        </is>
      </c>
      <c r="B355" s="1" t="n">
        <v>43781</v>
      </c>
      <c r="C355" s="1" t="n">
        <v>45672</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60844-2019</t>
        </is>
      </c>
      <c r="B356" s="1" t="n">
        <v>43781</v>
      </c>
      <c r="C356" s="1" t="n">
        <v>45672</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61657-2019</t>
        </is>
      </c>
      <c r="B357" s="1" t="n">
        <v>43784</v>
      </c>
      <c r="C357" s="1" t="n">
        <v>45672</v>
      </c>
      <c r="D357" t="inlineStr">
        <is>
          <t>STOCKHOLMS LÄN</t>
        </is>
      </c>
      <c r="E357" t="inlineStr">
        <is>
          <t>NORRTÄLJE</t>
        </is>
      </c>
      <c r="G357" t="n">
        <v>5</v>
      </c>
      <c r="H357" t="n">
        <v>0</v>
      </c>
      <c r="I357" t="n">
        <v>0</v>
      </c>
      <c r="J357" t="n">
        <v>0</v>
      </c>
      <c r="K357" t="n">
        <v>0</v>
      </c>
      <c r="L357" t="n">
        <v>0</v>
      </c>
      <c r="M357" t="n">
        <v>0</v>
      </c>
      <c r="N357" t="n">
        <v>0</v>
      </c>
      <c r="O357" t="n">
        <v>0</v>
      </c>
      <c r="P357" t="n">
        <v>0</v>
      </c>
      <c r="Q357" t="n">
        <v>0</v>
      </c>
      <c r="R357" s="2" t="inlineStr"/>
    </row>
    <row r="358" ht="15" customHeight="1">
      <c r="A358" t="inlineStr">
        <is>
          <t>A 62980-2019</t>
        </is>
      </c>
      <c r="B358" s="1" t="n">
        <v>43790</v>
      </c>
      <c r="C358" s="1" t="n">
        <v>45672</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63513-2019</t>
        </is>
      </c>
      <c r="B359" s="1" t="n">
        <v>43794</v>
      </c>
      <c r="C359" s="1" t="n">
        <v>45672</v>
      </c>
      <c r="D359" t="inlineStr">
        <is>
          <t>STOCKHOLMS LÄN</t>
        </is>
      </c>
      <c r="E359" t="inlineStr">
        <is>
          <t>NORRTÄLJE</t>
        </is>
      </c>
      <c r="G359" t="n">
        <v>9</v>
      </c>
      <c r="H359" t="n">
        <v>0</v>
      </c>
      <c r="I359" t="n">
        <v>0</v>
      </c>
      <c r="J359" t="n">
        <v>0</v>
      </c>
      <c r="K359" t="n">
        <v>0</v>
      </c>
      <c r="L359" t="n">
        <v>0</v>
      </c>
      <c r="M359" t="n">
        <v>0</v>
      </c>
      <c r="N359" t="n">
        <v>0</v>
      </c>
      <c r="O359" t="n">
        <v>0</v>
      </c>
      <c r="P359" t="n">
        <v>0</v>
      </c>
      <c r="Q359" t="n">
        <v>0</v>
      </c>
      <c r="R359" s="2" t="inlineStr"/>
    </row>
    <row r="360" ht="15" customHeight="1">
      <c r="A360" t="inlineStr">
        <is>
          <t>A 63529-2019</t>
        </is>
      </c>
      <c r="B360" s="1" t="n">
        <v>43794</v>
      </c>
      <c r="C360" s="1" t="n">
        <v>45672</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63495-2019</t>
        </is>
      </c>
      <c r="B361" s="1" t="n">
        <v>43794</v>
      </c>
      <c r="C361" s="1" t="n">
        <v>45672</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63504-2019</t>
        </is>
      </c>
      <c r="B362" s="1" t="n">
        <v>43794</v>
      </c>
      <c r="C362" s="1" t="n">
        <v>45672</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63528-2019</t>
        </is>
      </c>
      <c r="B363" s="1" t="n">
        <v>43794</v>
      </c>
      <c r="C363" s="1" t="n">
        <v>45672</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63515-2019</t>
        </is>
      </c>
      <c r="B364" s="1" t="n">
        <v>43794</v>
      </c>
      <c r="C364" s="1" t="n">
        <v>45672</v>
      </c>
      <c r="D364" t="inlineStr">
        <is>
          <t>STOCKHOLMS LÄN</t>
        </is>
      </c>
      <c r="E364" t="inlineStr">
        <is>
          <t>NORRTÄLJE</t>
        </is>
      </c>
      <c r="G364" t="n">
        <v>7.1</v>
      </c>
      <c r="H364" t="n">
        <v>0</v>
      </c>
      <c r="I364" t="n">
        <v>0</v>
      </c>
      <c r="J364" t="n">
        <v>0</v>
      </c>
      <c r="K364" t="n">
        <v>0</v>
      </c>
      <c r="L364" t="n">
        <v>0</v>
      </c>
      <c r="M364" t="n">
        <v>0</v>
      </c>
      <c r="N364" t="n">
        <v>0</v>
      </c>
      <c r="O364" t="n">
        <v>0</v>
      </c>
      <c r="P364" t="n">
        <v>0</v>
      </c>
      <c r="Q364" t="n">
        <v>0</v>
      </c>
      <c r="R364" s="2" t="inlineStr"/>
    </row>
    <row r="365" ht="15" customHeight="1">
      <c r="A365" t="inlineStr">
        <is>
          <t>A 64293-2019</t>
        </is>
      </c>
      <c r="B365" s="1" t="n">
        <v>43797</v>
      </c>
      <c r="C365" s="1" t="n">
        <v>45672</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65640-2019</t>
        </is>
      </c>
      <c r="B366" s="1" t="n">
        <v>43804</v>
      </c>
      <c r="C366" s="1" t="n">
        <v>45672</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65998-2019</t>
        </is>
      </c>
      <c r="B367" s="1" t="n">
        <v>43805</v>
      </c>
      <c r="C367" s="1" t="n">
        <v>45672</v>
      </c>
      <c r="D367" t="inlineStr">
        <is>
          <t>STOCKHOLMS LÄN</t>
        </is>
      </c>
      <c r="E367" t="inlineStr">
        <is>
          <t>NORRTÄLJE</t>
        </is>
      </c>
      <c r="G367" t="n">
        <v>6.5</v>
      </c>
      <c r="H367" t="n">
        <v>0</v>
      </c>
      <c r="I367" t="n">
        <v>0</v>
      </c>
      <c r="J367" t="n">
        <v>0</v>
      </c>
      <c r="K367" t="n">
        <v>0</v>
      </c>
      <c r="L367" t="n">
        <v>0</v>
      </c>
      <c r="M367" t="n">
        <v>0</v>
      </c>
      <c r="N367" t="n">
        <v>0</v>
      </c>
      <c r="O367" t="n">
        <v>0</v>
      </c>
      <c r="P367" t="n">
        <v>0</v>
      </c>
      <c r="Q367" t="n">
        <v>0</v>
      </c>
      <c r="R367" s="2" t="inlineStr"/>
    </row>
    <row r="368" ht="15" customHeight="1">
      <c r="A368" t="inlineStr">
        <is>
          <t>A 66604-2019</t>
        </is>
      </c>
      <c r="B368" s="1" t="n">
        <v>43809</v>
      </c>
      <c r="C368" s="1" t="n">
        <v>45672</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67158-2019</t>
        </is>
      </c>
      <c r="B369" s="1" t="n">
        <v>43811</v>
      </c>
      <c r="C369" s="1" t="n">
        <v>45672</v>
      </c>
      <c r="D369" t="inlineStr">
        <is>
          <t>STOCKHOLMS LÄN</t>
        </is>
      </c>
      <c r="E369" t="inlineStr">
        <is>
          <t>NORRTÄLJE</t>
        </is>
      </c>
      <c r="G369" t="n">
        <v>4.4</v>
      </c>
      <c r="H369" t="n">
        <v>0</v>
      </c>
      <c r="I369" t="n">
        <v>0</v>
      </c>
      <c r="J369" t="n">
        <v>0</v>
      </c>
      <c r="K369" t="n">
        <v>0</v>
      </c>
      <c r="L369" t="n">
        <v>0</v>
      </c>
      <c r="M369" t="n">
        <v>0</v>
      </c>
      <c r="N369" t="n">
        <v>0</v>
      </c>
      <c r="O369" t="n">
        <v>0</v>
      </c>
      <c r="P369" t="n">
        <v>0</v>
      </c>
      <c r="Q369" t="n">
        <v>0</v>
      </c>
      <c r="R369" s="2" t="inlineStr"/>
    </row>
    <row r="370" ht="15" customHeight="1">
      <c r="A370" t="inlineStr">
        <is>
          <t>A 67324-2019</t>
        </is>
      </c>
      <c r="B370" s="1" t="n">
        <v>43812</v>
      </c>
      <c r="C370" s="1" t="n">
        <v>45672</v>
      </c>
      <c r="D370" t="inlineStr">
        <is>
          <t>STOCKHOLMS LÄN</t>
        </is>
      </c>
      <c r="E370" t="inlineStr">
        <is>
          <t>NORRTÄLJE</t>
        </is>
      </c>
      <c r="G370" t="n">
        <v>7.7</v>
      </c>
      <c r="H370" t="n">
        <v>0</v>
      </c>
      <c r="I370" t="n">
        <v>0</v>
      </c>
      <c r="J370" t="n">
        <v>0</v>
      </c>
      <c r="K370" t="n">
        <v>0</v>
      </c>
      <c r="L370" t="n">
        <v>0</v>
      </c>
      <c r="M370" t="n">
        <v>0</v>
      </c>
      <c r="N370" t="n">
        <v>0</v>
      </c>
      <c r="O370" t="n">
        <v>0</v>
      </c>
      <c r="P370" t="n">
        <v>0</v>
      </c>
      <c r="Q370" t="n">
        <v>0</v>
      </c>
      <c r="R370" s="2" t="inlineStr"/>
    </row>
    <row r="371" ht="15" customHeight="1">
      <c r="A371" t="inlineStr">
        <is>
          <t>A 68865-2019</t>
        </is>
      </c>
      <c r="B371" s="1" t="n">
        <v>43821</v>
      </c>
      <c r="C371" s="1" t="n">
        <v>45672</v>
      </c>
      <c r="D371" t="inlineStr">
        <is>
          <t>STOCKHOLMS LÄN</t>
        </is>
      </c>
      <c r="E371" t="inlineStr">
        <is>
          <t>NORRTÄLJE</t>
        </is>
      </c>
      <c r="G371" t="n">
        <v>1.8</v>
      </c>
      <c r="H371" t="n">
        <v>0</v>
      </c>
      <c r="I371" t="n">
        <v>0</v>
      </c>
      <c r="J371" t="n">
        <v>0</v>
      </c>
      <c r="K371" t="n">
        <v>0</v>
      </c>
      <c r="L371" t="n">
        <v>0</v>
      </c>
      <c r="M371" t="n">
        <v>0</v>
      </c>
      <c r="N371" t="n">
        <v>0</v>
      </c>
      <c r="O371" t="n">
        <v>0</v>
      </c>
      <c r="P371" t="n">
        <v>0</v>
      </c>
      <c r="Q371" t="n">
        <v>0</v>
      </c>
      <c r="R371" s="2" t="inlineStr"/>
    </row>
    <row r="372" ht="15" customHeight="1">
      <c r="A372" t="inlineStr">
        <is>
          <t>A 1099-2020</t>
        </is>
      </c>
      <c r="B372" s="1" t="n">
        <v>43822</v>
      </c>
      <c r="C372" s="1" t="n">
        <v>45672</v>
      </c>
      <c r="D372" t="inlineStr">
        <is>
          <t>STOCKHOLMS LÄN</t>
        </is>
      </c>
      <c r="E372" t="inlineStr">
        <is>
          <t>NORRTÄLJE</t>
        </is>
      </c>
      <c r="G372" t="n">
        <v>2.7</v>
      </c>
      <c r="H372" t="n">
        <v>0</v>
      </c>
      <c r="I372" t="n">
        <v>0</v>
      </c>
      <c r="J372" t="n">
        <v>0</v>
      </c>
      <c r="K372" t="n">
        <v>0</v>
      </c>
      <c r="L372" t="n">
        <v>0</v>
      </c>
      <c r="M372" t="n">
        <v>0</v>
      </c>
      <c r="N372" t="n">
        <v>0</v>
      </c>
      <c r="O372" t="n">
        <v>0</v>
      </c>
      <c r="P372" t="n">
        <v>0</v>
      </c>
      <c r="Q372" t="n">
        <v>0</v>
      </c>
      <c r="R372" s="2" t="inlineStr"/>
    </row>
    <row r="373" ht="15" customHeight="1">
      <c r="A373" t="inlineStr">
        <is>
          <t>A 4475-2020</t>
        </is>
      </c>
      <c r="B373" s="1" t="n">
        <v>43849</v>
      </c>
      <c r="C373" s="1" t="n">
        <v>45672</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3882-2020</t>
        </is>
      </c>
      <c r="B374" s="1" t="n">
        <v>43854</v>
      </c>
      <c r="C374" s="1" t="n">
        <v>45672</v>
      </c>
      <c r="D374" t="inlineStr">
        <is>
          <t>STOCKHOLMS LÄN</t>
        </is>
      </c>
      <c r="E374" t="inlineStr">
        <is>
          <t>NORRTÄLJE</t>
        </is>
      </c>
      <c r="G374" t="n">
        <v>5.9</v>
      </c>
      <c r="H374" t="n">
        <v>0</v>
      </c>
      <c r="I374" t="n">
        <v>0</v>
      </c>
      <c r="J374" t="n">
        <v>0</v>
      </c>
      <c r="K374" t="n">
        <v>0</v>
      </c>
      <c r="L374" t="n">
        <v>0</v>
      </c>
      <c r="M374" t="n">
        <v>0</v>
      </c>
      <c r="N374" t="n">
        <v>0</v>
      </c>
      <c r="O374" t="n">
        <v>0</v>
      </c>
      <c r="P374" t="n">
        <v>0</v>
      </c>
      <c r="Q374" t="n">
        <v>0</v>
      </c>
      <c r="R374" s="2" t="inlineStr"/>
    </row>
    <row r="375" ht="15" customHeight="1">
      <c r="A375" t="inlineStr">
        <is>
          <t>A 4094-2020</t>
        </is>
      </c>
      <c r="B375" s="1" t="n">
        <v>43857</v>
      </c>
      <c r="C375" s="1" t="n">
        <v>45672</v>
      </c>
      <c r="D375" t="inlineStr">
        <is>
          <t>STOCKHOLMS LÄN</t>
        </is>
      </c>
      <c r="E375" t="inlineStr">
        <is>
          <t>NORRTÄLJE</t>
        </is>
      </c>
      <c r="G375" t="n">
        <v>2.5</v>
      </c>
      <c r="H375" t="n">
        <v>0</v>
      </c>
      <c r="I375" t="n">
        <v>0</v>
      </c>
      <c r="J375" t="n">
        <v>0</v>
      </c>
      <c r="K375" t="n">
        <v>0</v>
      </c>
      <c r="L375" t="n">
        <v>0</v>
      </c>
      <c r="M375" t="n">
        <v>0</v>
      </c>
      <c r="N375" t="n">
        <v>0</v>
      </c>
      <c r="O375" t="n">
        <v>0</v>
      </c>
      <c r="P375" t="n">
        <v>0</v>
      </c>
      <c r="Q375" t="n">
        <v>0</v>
      </c>
      <c r="R375" s="2" t="inlineStr"/>
    </row>
    <row r="376" ht="15" customHeight="1">
      <c r="A376" t="inlineStr">
        <is>
          <t>A 4950-2020</t>
        </is>
      </c>
      <c r="B376" s="1" t="n">
        <v>43859</v>
      </c>
      <c r="C376" s="1" t="n">
        <v>45672</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5084-2020</t>
        </is>
      </c>
      <c r="B377" s="1" t="n">
        <v>43859</v>
      </c>
      <c r="C377" s="1" t="n">
        <v>45672</v>
      </c>
      <c r="D377" t="inlineStr">
        <is>
          <t>STOCKHOLMS LÄN</t>
        </is>
      </c>
      <c r="E377" t="inlineStr">
        <is>
          <t>NORRTÄLJE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4952-2020</t>
        </is>
      </c>
      <c r="B378" s="1" t="n">
        <v>43859</v>
      </c>
      <c r="C378" s="1" t="n">
        <v>45672</v>
      </c>
      <c r="D378" t="inlineStr">
        <is>
          <t>STOCKHOLMS LÄN</t>
        </is>
      </c>
      <c r="E378" t="inlineStr">
        <is>
          <t>NORRTÄLJE</t>
        </is>
      </c>
      <c r="G378" t="n">
        <v>0.3</v>
      </c>
      <c r="H378" t="n">
        <v>0</v>
      </c>
      <c r="I378" t="n">
        <v>0</v>
      </c>
      <c r="J378" t="n">
        <v>0</v>
      </c>
      <c r="K378" t="n">
        <v>0</v>
      </c>
      <c r="L378" t="n">
        <v>0</v>
      </c>
      <c r="M378" t="n">
        <v>0</v>
      </c>
      <c r="N378" t="n">
        <v>0</v>
      </c>
      <c r="O378" t="n">
        <v>0</v>
      </c>
      <c r="P378" t="n">
        <v>0</v>
      </c>
      <c r="Q378" t="n">
        <v>0</v>
      </c>
      <c r="R378" s="2" t="inlineStr"/>
    </row>
    <row r="379" ht="15" customHeight="1">
      <c r="A379" t="inlineStr">
        <is>
          <t>A 5735-2020</t>
        </is>
      </c>
      <c r="B379" s="1" t="n">
        <v>43863</v>
      </c>
      <c r="C379" s="1" t="n">
        <v>45672</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5733-2020</t>
        </is>
      </c>
      <c r="B380" s="1" t="n">
        <v>43863</v>
      </c>
      <c r="C380" s="1" t="n">
        <v>45672</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5739-2020</t>
        </is>
      </c>
      <c r="B381" s="1" t="n">
        <v>43863</v>
      </c>
      <c r="C381" s="1" t="n">
        <v>45672</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7471-2020</t>
        </is>
      </c>
      <c r="B382" s="1" t="n">
        <v>43871</v>
      </c>
      <c r="C382" s="1" t="n">
        <v>45672</v>
      </c>
      <c r="D382" t="inlineStr">
        <is>
          <t>STOCKHOLMS LÄN</t>
        </is>
      </c>
      <c r="E382" t="inlineStr">
        <is>
          <t>NORRTÄLJE</t>
        </is>
      </c>
      <c r="G382" t="n">
        <v>7.8</v>
      </c>
      <c r="H382" t="n">
        <v>0</v>
      </c>
      <c r="I382" t="n">
        <v>0</v>
      </c>
      <c r="J382" t="n">
        <v>0</v>
      </c>
      <c r="K382" t="n">
        <v>0</v>
      </c>
      <c r="L382" t="n">
        <v>0</v>
      </c>
      <c r="M382" t="n">
        <v>0</v>
      </c>
      <c r="N382" t="n">
        <v>0</v>
      </c>
      <c r="O382" t="n">
        <v>0</v>
      </c>
      <c r="P382" t="n">
        <v>0</v>
      </c>
      <c r="Q382" t="n">
        <v>0</v>
      </c>
      <c r="R382" s="2" t="inlineStr"/>
    </row>
    <row r="383" ht="15" customHeight="1">
      <c r="A383" t="inlineStr">
        <is>
          <t>A 9845-2020</t>
        </is>
      </c>
      <c r="B383" s="1" t="n">
        <v>43881</v>
      </c>
      <c r="C383" s="1" t="n">
        <v>45672</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10618-2020</t>
        </is>
      </c>
      <c r="B384" s="1" t="n">
        <v>43887</v>
      </c>
      <c r="C384" s="1" t="n">
        <v>45672</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11184-2020</t>
        </is>
      </c>
      <c r="B385" s="1" t="n">
        <v>43892</v>
      </c>
      <c r="C385" s="1" t="n">
        <v>45672</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11576-2020</t>
        </is>
      </c>
      <c r="B386" s="1" t="n">
        <v>43893</v>
      </c>
      <c r="C386" s="1" t="n">
        <v>45672</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12113-2020</t>
        </is>
      </c>
      <c r="B387" s="1" t="n">
        <v>43895</v>
      </c>
      <c r="C387" s="1" t="n">
        <v>45672</v>
      </c>
      <c r="D387" t="inlineStr">
        <is>
          <t>STOCKHOLMS LÄN</t>
        </is>
      </c>
      <c r="E387" t="inlineStr">
        <is>
          <t>NORRTÄLJE</t>
        </is>
      </c>
      <c r="G387" t="n">
        <v>2.6</v>
      </c>
      <c r="H387" t="n">
        <v>0</v>
      </c>
      <c r="I387" t="n">
        <v>0</v>
      </c>
      <c r="J387" t="n">
        <v>0</v>
      </c>
      <c r="K387" t="n">
        <v>0</v>
      </c>
      <c r="L387" t="n">
        <v>0</v>
      </c>
      <c r="M387" t="n">
        <v>0</v>
      </c>
      <c r="N387" t="n">
        <v>0</v>
      </c>
      <c r="O387" t="n">
        <v>0</v>
      </c>
      <c r="P387" t="n">
        <v>0</v>
      </c>
      <c r="Q387" t="n">
        <v>0</v>
      </c>
      <c r="R387" s="2" t="inlineStr"/>
    </row>
    <row r="388" ht="15" customHeight="1">
      <c r="A388" t="inlineStr">
        <is>
          <t>A 12970-2020</t>
        </is>
      </c>
      <c r="B388" s="1" t="n">
        <v>43900</v>
      </c>
      <c r="C388" s="1" t="n">
        <v>45672</v>
      </c>
      <c r="D388" t="inlineStr">
        <is>
          <t>STOCKHOLMS LÄN</t>
        </is>
      </c>
      <c r="E388" t="inlineStr">
        <is>
          <t>NORRTÄLJE</t>
        </is>
      </c>
      <c r="F388" t="inlineStr">
        <is>
          <t>Kommuner</t>
        </is>
      </c>
      <c r="G388" t="n">
        <v>3</v>
      </c>
      <c r="H388" t="n">
        <v>0</v>
      </c>
      <c r="I388" t="n">
        <v>0</v>
      </c>
      <c r="J388" t="n">
        <v>0</v>
      </c>
      <c r="K388" t="n">
        <v>0</v>
      </c>
      <c r="L388" t="n">
        <v>0</v>
      </c>
      <c r="M388" t="n">
        <v>0</v>
      </c>
      <c r="N388" t="n">
        <v>0</v>
      </c>
      <c r="O388" t="n">
        <v>0</v>
      </c>
      <c r="P388" t="n">
        <v>0</v>
      </c>
      <c r="Q388" t="n">
        <v>0</v>
      </c>
      <c r="R388" s="2" t="inlineStr"/>
    </row>
    <row r="389" ht="15" customHeight="1">
      <c r="A389" t="inlineStr">
        <is>
          <t>A 13230-2020</t>
        </is>
      </c>
      <c r="B389" s="1" t="n">
        <v>43901</v>
      </c>
      <c r="C389" s="1" t="n">
        <v>45672</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13287-2020</t>
        </is>
      </c>
      <c r="B390" s="1" t="n">
        <v>43901</v>
      </c>
      <c r="C390" s="1" t="n">
        <v>45672</v>
      </c>
      <c r="D390" t="inlineStr">
        <is>
          <t>STOCKHOLMS LÄN</t>
        </is>
      </c>
      <c r="E390" t="inlineStr">
        <is>
          <t>NORRTÄLJE</t>
        </is>
      </c>
      <c r="F390" t="inlineStr">
        <is>
          <t>Kommuner</t>
        </is>
      </c>
      <c r="G390" t="n">
        <v>3.2</v>
      </c>
      <c r="H390" t="n">
        <v>0</v>
      </c>
      <c r="I390" t="n">
        <v>0</v>
      </c>
      <c r="J390" t="n">
        <v>0</v>
      </c>
      <c r="K390" t="n">
        <v>0</v>
      </c>
      <c r="L390" t="n">
        <v>0</v>
      </c>
      <c r="M390" t="n">
        <v>0</v>
      </c>
      <c r="N390" t="n">
        <v>0</v>
      </c>
      <c r="O390" t="n">
        <v>0</v>
      </c>
      <c r="P390" t="n">
        <v>0</v>
      </c>
      <c r="Q390" t="n">
        <v>0</v>
      </c>
      <c r="R390" s="2" t="inlineStr"/>
    </row>
    <row r="391" ht="15" customHeight="1">
      <c r="A391" t="inlineStr">
        <is>
          <t>A 13281-2020</t>
        </is>
      </c>
      <c r="B391" s="1" t="n">
        <v>43901</v>
      </c>
      <c r="C391" s="1" t="n">
        <v>45672</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13501-2020</t>
        </is>
      </c>
      <c r="B392" s="1" t="n">
        <v>43902</v>
      </c>
      <c r="C392" s="1" t="n">
        <v>45672</v>
      </c>
      <c r="D392" t="inlineStr">
        <is>
          <t>STOCKHOLMS LÄN</t>
        </is>
      </c>
      <c r="E392" t="inlineStr">
        <is>
          <t>NORRTÄLJE</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13506-2020</t>
        </is>
      </c>
      <c r="B393" s="1" t="n">
        <v>43902</v>
      </c>
      <c r="C393" s="1" t="n">
        <v>45672</v>
      </c>
      <c r="D393" t="inlineStr">
        <is>
          <t>STOCKHOLMS LÄN</t>
        </is>
      </c>
      <c r="E393" t="inlineStr">
        <is>
          <t>NORRTÄLJE</t>
        </is>
      </c>
      <c r="G393" t="n">
        <v>5.7</v>
      </c>
      <c r="H393" t="n">
        <v>0</v>
      </c>
      <c r="I393" t="n">
        <v>0</v>
      </c>
      <c r="J393" t="n">
        <v>0</v>
      </c>
      <c r="K393" t="n">
        <v>0</v>
      </c>
      <c r="L393" t="n">
        <v>0</v>
      </c>
      <c r="M393" t="n">
        <v>0</v>
      </c>
      <c r="N393" t="n">
        <v>0</v>
      </c>
      <c r="O393" t="n">
        <v>0</v>
      </c>
      <c r="P393" t="n">
        <v>0</v>
      </c>
      <c r="Q393" t="n">
        <v>0</v>
      </c>
      <c r="R393" s="2" t="inlineStr"/>
    </row>
    <row r="394" ht="15" customHeight="1">
      <c r="A394" t="inlineStr">
        <is>
          <t>A 14525-2020</t>
        </is>
      </c>
      <c r="B394" s="1" t="n">
        <v>43908</v>
      </c>
      <c r="C394" s="1" t="n">
        <v>45672</v>
      </c>
      <c r="D394" t="inlineStr">
        <is>
          <t>STOCKHOLMS LÄN</t>
        </is>
      </c>
      <c r="E394" t="inlineStr">
        <is>
          <t>NORRTÄLJE</t>
        </is>
      </c>
      <c r="G394" t="n">
        <v>10.2</v>
      </c>
      <c r="H394" t="n">
        <v>0</v>
      </c>
      <c r="I394" t="n">
        <v>0</v>
      </c>
      <c r="J394" t="n">
        <v>0</v>
      </c>
      <c r="K394" t="n">
        <v>0</v>
      </c>
      <c r="L394" t="n">
        <v>0</v>
      </c>
      <c r="M394" t="n">
        <v>0</v>
      </c>
      <c r="N394" t="n">
        <v>0</v>
      </c>
      <c r="O394" t="n">
        <v>0</v>
      </c>
      <c r="P394" t="n">
        <v>0</v>
      </c>
      <c r="Q394" t="n">
        <v>0</v>
      </c>
      <c r="R394" s="2" t="inlineStr"/>
    </row>
    <row r="395" ht="15" customHeight="1">
      <c r="A395" t="inlineStr">
        <is>
          <t>A 14831-2020</t>
        </is>
      </c>
      <c r="B395" s="1" t="n">
        <v>43909</v>
      </c>
      <c r="C395" s="1" t="n">
        <v>45672</v>
      </c>
      <c r="D395" t="inlineStr">
        <is>
          <t>STOCKHOLMS LÄN</t>
        </is>
      </c>
      <c r="E395" t="inlineStr">
        <is>
          <t>NORRTÄLJE</t>
        </is>
      </c>
      <c r="G395" t="n">
        <v>11.4</v>
      </c>
      <c r="H395" t="n">
        <v>0</v>
      </c>
      <c r="I395" t="n">
        <v>0</v>
      </c>
      <c r="J395" t="n">
        <v>0</v>
      </c>
      <c r="K395" t="n">
        <v>0</v>
      </c>
      <c r="L395" t="n">
        <v>0</v>
      </c>
      <c r="M395" t="n">
        <v>0</v>
      </c>
      <c r="N395" t="n">
        <v>0</v>
      </c>
      <c r="O395" t="n">
        <v>0</v>
      </c>
      <c r="P395" t="n">
        <v>0</v>
      </c>
      <c r="Q395" t="n">
        <v>0</v>
      </c>
      <c r="R395" s="2" t="inlineStr"/>
    </row>
    <row r="396" ht="15" customHeight="1">
      <c r="A396" t="inlineStr">
        <is>
          <t>A 15663-2020</t>
        </is>
      </c>
      <c r="B396" s="1" t="n">
        <v>43915</v>
      </c>
      <c r="C396" s="1" t="n">
        <v>45672</v>
      </c>
      <c r="D396" t="inlineStr">
        <is>
          <t>STOCKHOLMS LÄN</t>
        </is>
      </c>
      <c r="E396" t="inlineStr">
        <is>
          <t>NORRTÄLJE</t>
        </is>
      </c>
      <c r="G396" t="n">
        <v>11.1</v>
      </c>
      <c r="H396" t="n">
        <v>0</v>
      </c>
      <c r="I396" t="n">
        <v>0</v>
      </c>
      <c r="J396" t="n">
        <v>0</v>
      </c>
      <c r="K396" t="n">
        <v>0</v>
      </c>
      <c r="L396" t="n">
        <v>0</v>
      </c>
      <c r="M396" t="n">
        <v>0</v>
      </c>
      <c r="N396" t="n">
        <v>0</v>
      </c>
      <c r="O396" t="n">
        <v>0</v>
      </c>
      <c r="P396" t="n">
        <v>0</v>
      </c>
      <c r="Q396" t="n">
        <v>0</v>
      </c>
      <c r="R396" s="2" t="inlineStr"/>
    </row>
    <row r="397" ht="15" customHeight="1">
      <c r="A397" t="inlineStr">
        <is>
          <t>A 16273-2020</t>
        </is>
      </c>
      <c r="B397" s="1" t="n">
        <v>43917</v>
      </c>
      <c r="C397" s="1" t="n">
        <v>45672</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17965-2020</t>
        </is>
      </c>
      <c r="B398" s="1" t="n">
        <v>43925</v>
      </c>
      <c r="C398" s="1" t="n">
        <v>45672</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19258-2020</t>
        </is>
      </c>
      <c r="B399" s="1" t="n">
        <v>43937</v>
      </c>
      <c r="C399" s="1" t="n">
        <v>45672</v>
      </c>
      <c r="D399" t="inlineStr">
        <is>
          <t>STOCKHOLMS LÄN</t>
        </is>
      </c>
      <c r="E399" t="inlineStr">
        <is>
          <t>NORRTÄLJE</t>
        </is>
      </c>
      <c r="F399" t="inlineStr">
        <is>
          <t>Övriga statliga verk och myndigheter</t>
        </is>
      </c>
      <c r="G399" t="n">
        <v>2.9</v>
      </c>
      <c r="H399" t="n">
        <v>0</v>
      </c>
      <c r="I399" t="n">
        <v>0</v>
      </c>
      <c r="J399" t="n">
        <v>0</v>
      </c>
      <c r="K399" t="n">
        <v>0</v>
      </c>
      <c r="L399" t="n">
        <v>0</v>
      </c>
      <c r="M399" t="n">
        <v>0</v>
      </c>
      <c r="N399" t="n">
        <v>0</v>
      </c>
      <c r="O399" t="n">
        <v>0</v>
      </c>
      <c r="P399" t="n">
        <v>0</v>
      </c>
      <c r="Q399" t="n">
        <v>0</v>
      </c>
      <c r="R399" s="2" t="inlineStr"/>
    </row>
    <row r="400" ht="15" customHeight="1">
      <c r="A400" t="inlineStr">
        <is>
          <t>A 20257-2020</t>
        </is>
      </c>
      <c r="B400" s="1" t="n">
        <v>43944</v>
      </c>
      <c r="C400" s="1" t="n">
        <v>45672</v>
      </c>
      <c r="D400" t="inlineStr">
        <is>
          <t>STOCKHOLMS LÄN</t>
        </is>
      </c>
      <c r="E400" t="inlineStr">
        <is>
          <t>NORRTÄLJE</t>
        </is>
      </c>
      <c r="G400" t="n">
        <v>80.09999999999999</v>
      </c>
      <c r="H400" t="n">
        <v>0</v>
      </c>
      <c r="I400" t="n">
        <v>0</v>
      </c>
      <c r="J400" t="n">
        <v>0</v>
      </c>
      <c r="K400" t="n">
        <v>0</v>
      </c>
      <c r="L400" t="n">
        <v>0</v>
      </c>
      <c r="M400" t="n">
        <v>0</v>
      </c>
      <c r="N400" t="n">
        <v>0</v>
      </c>
      <c r="O400" t="n">
        <v>0</v>
      </c>
      <c r="P400" t="n">
        <v>0</v>
      </c>
      <c r="Q400" t="n">
        <v>0</v>
      </c>
      <c r="R400" s="2" t="inlineStr"/>
    </row>
    <row r="401" ht="15" customHeight="1">
      <c r="A401" t="inlineStr">
        <is>
          <t>A 21849-2020</t>
        </is>
      </c>
      <c r="B401" s="1" t="n">
        <v>43958</v>
      </c>
      <c r="C401" s="1" t="n">
        <v>45672</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21875-2020</t>
        </is>
      </c>
      <c r="B402" s="1" t="n">
        <v>43958</v>
      </c>
      <c r="C402" s="1" t="n">
        <v>45672</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23751-2020</t>
        </is>
      </c>
      <c r="B403" s="1" t="n">
        <v>43970</v>
      </c>
      <c r="C403" s="1" t="n">
        <v>45672</v>
      </c>
      <c r="D403" t="inlineStr">
        <is>
          <t>STOCKHOLMS LÄN</t>
        </is>
      </c>
      <c r="E403" t="inlineStr">
        <is>
          <t>NORRTÄLJE</t>
        </is>
      </c>
      <c r="G403" t="n">
        <v>5.6</v>
      </c>
      <c r="H403" t="n">
        <v>0</v>
      </c>
      <c r="I403" t="n">
        <v>0</v>
      </c>
      <c r="J403" t="n">
        <v>0</v>
      </c>
      <c r="K403" t="n">
        <v>0</v>
      </c>
      <c r="L403" t="n">
        <v>0</v>
      </c>
      <c r="M403" t="n">
        <v>0</v>
      </c>
      <c r="N403" t="n">
        <v>0</v>
      </c>
      <c r="O403" t="n">
        <v>0</v>
      </c>
      <c r="P403" t="n">
        <v>0</v>
      </c>
      <c r="Q403" t="n">
        <v>0</v>
      </c>
      <c r="R403" s="2" t="inlineStr"/>
    </row>
    <row r="404" ht="15" customHeight="1">
      <c r="A404" t="inlineStr">
        <is>
          <t>A 24136-2020</t>
        </is>
      </c>
      <c r="B404" s="1" t="n">
        <v>43973</v>
      </c>
      <c r="C404" s="1" t="n">
        <v>45672</v>
      </c>
      <c r="D404" t="inlineStr">
        <is>
          <t>STOCKHOLMS LÄN</t>
        </is>
      </c>
      <c r="E404" t="inlineStr">
        <is>
          <t>NORRTÄLJE</t>
        </is>
      </c>
      <c r="G404" t="n">
        <v>4.1</v>
      </c>
      <c r="H404" t="n">
        <v>0</v>
      </c>
      <c r="I404" t="n">
        <v>0</v>
      </c>
      <c r="J404" t="n">
        <v>0</v>
      </c>
      <c r="K404" t="n">
        <v>0</v>
      </c>
      <c r="L404" t="n">
        <v>0</v>
      </c>
      <c r="M404" t="n">
        <v>0</v>
      </c>
      <c r="N404" t="n">
        <v>0</v>
      </c>
      <c r="O404" t="n">
        <v>0</v>
      </c>
      <c r="P404" t="n">
        <v>0</v>
      </c>
      <c r="Q404" t="n">
        <v>0</v>
      </c>
      <c r="R404" s="2" t="inlineStr"/>
    </row>
    <row r="405" ht="15" customHeight="1">
      <c r="A405" t="inlineStr">
        <is>
          <t>A 25584-2020</t>
        </is>
      </c>
      <c r="B405" s="1" t="n">
        <v>43983</v>
      </c>
      <c r="C405" s="1" t="n">
        <v>45672</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25589-2020</t>
        </is>
      </c>
      <c r="B406" s="1" t="n">
        <v>43983</v>
      </c>
      <c r="C406" s="1" t="n">
        <v>45672</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25897-2020</t>
        </is>
      </c>
      <c r="B407" s="1" t="n">
        <v>43984</v>
      </c>
      <c r="C407" s="1" t="n">
        <v>45672</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30600-2020</t>
        </is>
      </c>
      <c r="B408" s="1" t="n">
        <v>44008</v>
      </c>
      <c r="C408" s="1" t="n">
        <v>45672</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31783-2020</t>
        </is>
      </c>
      <c r="B409" s="1" t="n">
        <v>44014</v>
      </c>
      <c r="C409" s="1" t="n">
        <v>45672</v>
      </c>
      <c r="D409" t="inlineStr">
        <is>
          <t>STOCKHOLMS LÄN</t>
        </is>
      </c>
      <c r="E409" t="inlineStr">
        <is>
          <t>NORRTÄLJE</t>
        </is>
      </c>
      <c r="G409" t="n">
        <v>4.8</v>
      </c>
      <c r="H409" t="n">
        <v>0</v>
      </c>
      <c r="I409" t="n">
        <v>0</v>
      </c>
      <c r="J409" t="n">
        <v>0</v>
      </c>
      <c r="K409" t="n">
        <v>0</v>
      </c>
      <c r="L409" t="n">
        <v>0</v>
      </c>
      <c r="M409" t="n">
        <v>0</v>
      </c>
      <c r="N409" t="n">
        <v>0</v>
      </c>
      <c r="O409" t="n">
        <v>0</v>
      </c>
      <c r="P409" t="n">
        <v>0</v>
      </c>
      <c r="Q409" t="n">
        <v>0</v>
      </c>
      <c r="R409" s="2" t="inlineStr"/>
    </row>
    <row r="410" ht="15" customHeight="1">
      <c r="A410" t="inlineStr">
        <is>
          <t>A 33749-2020</t>
        </is>
      </c>
      <c r="B410" s="1" t="n">
        <v>44026</v>
      </c>
      <c r="C410" s="1" t="n">
        <v>45672</v>
      </c>
      <c r="D410" t="inlineStr">
        <is>
          <t>STOCKHOLMS LÄN</t>
        </is>
      </c>
      <c r="E410" t="inlineStr">
        <is>
          <t>NORRTÄLJE</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34651-2020</t>
        </is>
      </c>
      <c r="B411" s="1" t="n">
        <v>44034</v>
      </c>
      <c r="C411" s="1" t="n">
        <v>45672</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34650-2020</t>
        </is>
      </c>
      <c r="B412" s="1" t="n">
        <v>44034</v>
      </c>
      <c r="C412" s="1" t="n">
        <v>45672</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36314-2020</t>
        </is>
      </c>
      <c r="B413" s="1" t="n">
        <v>44049</v>
      </c>
      <c r="C413" s="1" t="n">
        <v>45672</v>
      </c>
      <c r="D413" t="inlineStr">
        <is>
          <t>STOCKHOLMS LÄN</t>
        </is>
      </c>
      <c r="E413" t="inlineStr">
        <is>
          <t>NORRTÄLJE</t>
        </is>
      </c>
      <c r="G413" t="n">
        <v>5</v>
      </c>
      <c r="H413" t="n">
        <v>0</v>
      </c>
      <c r="I413" t="n">
        <v>0</v>
      </c>
      <c r="J413" t="n">
        <v>0</v>
      </c>
      <c r="K413" t="n">
        <v>0</v>
      </c>
      <c r="L413" t="n">
        <v>0</v>
      </c>
      <c r="M413" t="n">
        <v>0</v>
      </c>
      <c r="N413" t="n">
        <v>0</v>
      </c>
      <c r="O413" t="n">
        <v>0</v>
      </c>
      <c r="P413" t="n">
        <v>0</v>
      </c>
      <c r="Q413" t="n">
        <v>0</v>
      </c>
      <c r="R413" s="2" t="inlineStr"/>
    </row>
    <row r="414" ht="15" customHeight="1">
      <c r="A414" t="inlineStr">
        <is>
          <t>A 36359-2020</t>
        </is>
      </c>
      <c r="B414" s="1" t="n">
        <v>44049</v>
      </c>
      <c r="C414" s="1" t="n">
        <v>45672</v>
      </c>
      <c r="D414" t="inlineStr">
        <is>
          <t>STOCKHOLMS LÄN</t>
        </is>
      </c>
      <c r="E414" t="inlineStr">
        <is>
          <t>NORRTÄLJE</t>
        </is>
      </c>
      <c r="G414" t="n">
        <v>6.5</v>
      </c>
      <c r="H414" t="n">
        <v>0</v>
      </c>
      <c r="I414" t="n">
        <v>0</v>
      </c>
      <c r="J414" t="n">
        <v>0</v>
      </c>
      <c r="K414" t="n">
        <v>0</v>
      </c>
      <c r="L414" t="n">
        <v>0</v>
      </c>
      <c r="M414" t="n">
        <v>0</v>
      </c>
      <c r="N414" t="n">
        <v>0</v>
      </c>
      <c r="O414" t="n">
        <v>0</v>
      </c>
      <c r="P414" t="n">
        <v>0</v>
      </c>
      <c r="Q414" t="n">
        <v>0</v>
      </c>
      <c r="R414" s="2" t="inlineStr"/>
    </row>
    <row r="415" ht="15" customHeight="1">
      <c r="A415" t="inlineStr">
        <is>
          <t>A 40837-2020</t>
        </is>
      </c>
      <c r="B415" s="1" t="n">
        <v>44067</v>
      </c>
      <c r="C415" s="1" t="n">
        <v>45672</v>
      </c>
      <c r="D415" t="inlineStr">
        <is>
          <t>STOCKHOLMS LÄN</t>
        </is>
      </c>
      <c r="E415" t="inlineStr">
        <is>
          <t>NORRTÄLJE</t>
        </is>
      </c>
      <c r="G415" t="n">
        <v>20.6</v>
      </c>
      <c r="H415" t="n">
        <v>0</v>
      </c>
      <c r="I415" t="n">
        <v>0</v>
      </c>
      <c r="J415" t="n">
        <v>0</v>
      </c>
      <c r="K415" t="n">
        <v>0</v>
      </c>
      <c r="L415" t="n">
        <v>0</v>
      </c>
      <c r="M415" t="n">
        <v>0</v>
      </c>
      <c r="N415" t="n">
        <v>0</v>
      </c>
      <c r="O415" t="n">
        <v>0</v>
      </c>
      <c r="P415" t="n">
        <v>0</v>
      </c>
      <c r="Q415" t="n">
        <v>0</v>
      </c>
      <c r="R415" s="2" t="inlineStr"/>
    </row>
    <row r="416" ht="15" customHeight="1">
      <c r="A416" t="inlineStr">
        <is>
          <t>A 40661-2020</t>
        </is>
      </c>
      <c r="B416" s="1" t="n">
        <v>44069</v>
      </c>
      <c r="C416" s="1" t="n">
        <v>45672</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42247-2020</t>
        </is>
      </c>
      <c r="B417" s="1" t="n">
        <v>44074</v>
      </c>
      <c r="C417" s="1" t="n">
        <v>45672</v>
      </c>
      <c r="D417" t="inlineStr">
        <is>
          <t>STOCKHOLMS LÄN</t>
        </is>
      </c>
      <c r="E417" t="inlineStr">
        <is>
          <t>NORRTÄLJE</t>
        </is>
      </c>
      <c r="G417" t="n">
        <v>1.4</v>
      </c>
      <c r="H417" t="n">
        <v>0</v>
      </c>
      <c r="I417" t="n">
        <v>0</v>
      </c>
      <c r="J417" t="n">
        <v>0</v>
      </c>
      <c r="K417" t="n">
        <v>0</v>
      </c>
      <c r="L417" t="n">
        <v>0</v>
      </c>
      <c r="M417" t="n">
        <v>0</v>
      </c>
      <c r="N417" t="n">
        <v>0</v>
      </c>
      <c r="O417" t="n">
        <v>0</v>
      </c>
      <c r="P417" t="n">
        <v>0</v>
      </c>
      <c r="Q417" t="n">
        <v>0</v>
      </c>
      <c r="R417" s="2" t="inlineStr"/>
    </row>
    <row r="418" ht="15" customHeight="1">
      <c r="A418" t="inlineStr">
        <is>
          <t>A 42256-2020</t>
        </is>
      </c>
      <c r="B418" s="1" t="n">
        <v>44074</v>
      </c>
      <c r="C418" s="1" t="n">
        <v>45672</v>
      </c>
      <c r="D418" t="inlineStr">
        <is>
          <t>STOCKHOLMS LÄN</t>
        </is>
      </c>
      <c r="E418" t="inlineStr">
        <is>
          <t>NORRTÄLJE</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41694-2020</t>
        </is>
      </c>
      <c r="B419" s="1" t="n">
        <v>44074</v>
      </c>
      <c r="C419" s="1" t="n">
        <v>45672</v>
      </c>
      <c r="D419" t="inlineStr">
        <is>
          <t>STOCKHOLMS LÄN</t>
        </is>
      </c>
      <c r="E419" t="inlineStr">
        <is>
          <t>NORRTÄLJE</t>
        </is>
      </c>
      <c r="G419" t="n">
        <v>3</v>
      </c>
      <c r="H419" t="n">
        <v>0</v>
      </c>
      <c r="I419" t="n">
        <v>0</v>
      </c>
      <c r="J419" t="n">
        <v>0</v>
      </c>
      <c r="K419" t="n">
        <v>0</v>
      </c>
      <c r="L419" t="n">
        <v>0</v>
      </c>
      <c r="M419" t="n">
        <v>0</v>
      </c>
      <c r="N419" t="n">
        <v>0</v>
      </c>
      <c r="O419" t="n">
        <v>0</v>
      </c>
      <c r="P419" t="n">
        <v>0</v>
      </c>
      <c r="Q419" t="n">
        <v>0</v>
      </c>
      <c r="R419" s="2" t="inlineStr"/>
    </row>
    <row r="420" ht="15" customHeight="1">
      <c r="A420" t="inlineStr">
        <is>
          <t>A 42365-2020</t>
        </is>
      </c>
      <c r="B420" s="1" t="n">
        <v>44076</v>
      </c>
      <c r="C420" s="1" t="n">
        <v>45672</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42361-2020</t>
        </is>
      </c>
      <c r="B421" s="1" t="n">
        <v>44076</v>
      </c>
      <c r="C421" s="1" t="n">
        <v>45672</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42455-2020</t>
        </is>
      </c>
      <c r="B422" s="1" t="n">
        <v>44076</v>
      </c>
      <c r="C422" s="1" t="n">
        <v>45672</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43751-2020</t>
        </is>
      </c>
      <c r="B423" s="1" t="n">
        <v>44082</v>
      </c>
      <c r="C423" s="1" t="n">
        <v>45672</v>
      </c>
      <c r="D423" t="inlineStr">
        <is>
          <t>STOCKHOLMS LÄN</t>
        </is>
      </c>
      <c r="E423" t="inlineStr">
        <is>
          <t>NORRTÄLJE</t>
        </is>
      </c>
      <c r="G423" t="n">
        <v>8</v>
      </c>
      <c r="H423" t="n">
        <v>0</v>
      </c>
      <c r="I423" t="n">
        <v>0</v>
      </c>
      <c r="J423" t="n">
        <v>0</v>
      </c>
      <c r="K423" t="n">
        <v>0</v>
      </c>
      <c r="L423" t="n">
        <v>0</v>
      </c>
      <c r="M423" t="n">
        <v>0</v>
      </c>
      <c r="N423" t="n">
        <v>0</v>
      </c>
      <c r="O423" t="n">
        <v>0</v>
      </c>
      <c r="P423" t="n">
        <v>0</v>
      </c>
      <c r="Q423" t="n">
        <v>0</v>
      </c>
      <c r="R423" s="2" t="inlineStr"/>
    </row>
    <row r="424" ht="15" customHeight="1">
      <c r="A424" t="inlineStr">
        <is>
          <t>A 44096-2020</t>
        </is>
      </c>
      <c r="B424" s="1" t="n">
        <v>44083</v>
      </c>
      <c r="C424" s="1" t="n">
        <v>45672</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44071-2020</t>
        </is>
      </c>
      <c r="B425" s="1" t="n">
        <v>44083</v>
      </c>
      <c r="C425" s="1" t="n">
        <v>45672</v>
      </c>
      <c r="D425" t="inlineStr">
        <is>
          <t>STOCKHOLMS LÄN</t>
        </is>
      </c>
      <c r="E425" t="inlineStr">
        <is>
          <t>NORRTÄLJE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44183-2020</t>
        </is>
      </c>
      <c r="B426" s="1" t="n">
        <v>44083</v>
      </c>
      <c r="C426" s="1" t="n">
        <v>45672</v>
      </c>
      <c r="D426" t="inlineStr">
        <is>
          <t>STOCKHOLMS LÄN</t>
        </is>
      </c>
      <c r="E426" t="inlineStr">
        <is>
          <t>NORRTÄLJE</t>
        </is>
      </c>
      <c r="G426" t="n">
        <v>4.3</v>
      </c>
      <c r="H426" t="n">
        <v>0</v>
      </c>
      <c r="I426" t="n">
        <v>0</v>
      </c>
      <c r="J426" t="n">
        <v>0</v>
      </c>
      <c r="K426" t="n">
        <v>0</v>
      </c>
      <c r="L426" t="n">
        <v>0</v>
      </c>
      <c r="M426" t="n">
        <v>0</v>
      </c>
      <c r="N426" t="n">
        <v>0</v>
      </c>
      <c r="O426" t="n">
        <v>0</v>
      </c>
      <c r="P426" t="n">
        <v>0</v>
      </c>
      <c r="Q426" t="n">
        <v>0</v>
      </c>
      <c r="R426" s="2" t="inlineStr"/>
    </row>
    <row r="427" ht="15" customHeight="1">
      <c r="A427" t="inlineStr">
        <is>
          <t>A 44792-2020</t>
        </is>
      </c>
      <c r="B427" s="1" t="n">
        <v>44085</v>
      </c>
      <c r="C427" s="1" t="n">
        <v>45672</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45988-2020</t>
        </is>
      </c>
      <c r="B428" s="1" t="n">
        <v>44091</v>
      </c>
      <c r="C428" s="1" t="n">
        <v>45672</v>
      </c>
      <c r="D428" t="inlineStr">
        <is>
          <t>STOCKHOLMS LÄN</t>
        </is>
      </c>
      <c r="E428" t="inlineStr">
        <is>
          <t>NORRTÄLJE</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46556-2020</t>
        </is>
      </c>
      <c r="B429" s="1" t="n">
        <v>44095</v>
      </c>
      <c r="C429" s="1" t="n">
        <v>45672</v>
      </c>
      <c r="D429" t="inlineStr">
        <is>
          <t>STOCKHOLMS LÄN</t>
        </is>
      </c>
      <c r="E429" t="inlineStr">
        <is>
          <t>NORRTÄLJE</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47291-2020</t>
        </is>
      </c>
      <c r="B430" s="1" t="n">
        <v>44097</v>
      </c>
      <c r="C430" s="1" t="n">
        <v>45672</v>
      </c>
      <c r="D430" t="inlineStr">
        <is>
          <t>STOCKHOLMS LÄN</t>
        </is>
      </c>
      <c r="E430" t="inlineStr">
        <is>
          <t>NORRTÄLJE</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48392-2020</t>
        </is>
      </c>
      <c r="B431" s="1" t="n">
        <v>44097</v>
      </c>
      <c r="C431" s="1" t="n">
        <v>45672</v>
      </c>
      <c r="D431" t="inlineStr">
        <is>
          <t>STOCKHOLMS LÄN</t>
        </is>
      </c>
      <c r="E431" t="inlineStr">
        <is>
          <t>NORRTÄLJE</t>
        </is>
      </c>
      <c r="G431" t="n">
        <v>12.5</v>
      </c>
      <c r="H431" t="n">
        <v>0</v>
      </c>
      <c r="I431" t="n">
        <v>0</v>
      </c>
      <c r="J431" t="n">
        <v>0</v>
      </c>
      <c r="K431" t="n">
        <v>0</v>
      </c>
      <c r="L431" t="n">
        <v>0</v>
      </c>
      <c r="M431" t="n">
        <v>0</v>
      </c>
      <c r="N431" t="n">
        <v>0</v>
      </c>
      <c r="O431" t="n">
        <v>0</v>
      </c>
      <c r="P431" t="n">
        <v>0</v>
      </c>
      <c r="Q431" t="n">
        <v>0</v>
      </c>
      <c r="R431" s="2" t="inlineStr"/>
    </row>
    <row r="432" ht="15" customHeight="1">
      <c r="A432" t="inlineStr">
        <is>
          <t>A 47869-2020</t>
        </is>
      </c>
      <c r="B432" s="1" t="n">
        <v>44098</v>
      </c>
      <c r="C432" s="1" t="n">
        <v>45672</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47868-2020</t>
        </is>
      </c>
      <c r="B433" s="1" t="n">
        <v>44098</v>
      </c>
      <c r="C433" s="1" t="n">
        <v>45672</v>
      </c>
      <c r="D433" t="inlineStr">
        <is>
          <t>STOCKHOLMS LÄN</t>
        </is>
      </c>
      <c r="E433" t="inlineStr">
        <is>
          <t>NORRTÄLJE</t>
        </is>
      </c>
      <c r="G433" t="n">
        <v>4.7</v>
      </c>
      <c r="H433" t="n">
        <v>0</v>
      </c>
      <c r="I433" t="n">
        <v>0</v>
      </c>
      <c r="J433" t="n">
        <v>0</v>
      </c>
      <c r="K433" t="n">
        <v>0</v>
      </c>
      <c r="L433" t="n">
        <v>0</v>
      </c>
      <c r="M433" t="n">
        <v>0</v>
      </c>
      <c r="N433" t="n">
        <v>0</v>
      </c>
      <c r="O433" t="n">
        <v>0</v>
      </c>
      <c r="P433" t="n">
        <v>0</v>
      </c>
      <c r="Q433" t="n">
        <v>0</v>
      </c>
      <c r="R433" s="2" t="inlineStr"/>
    </row>
    <row r="434" ht="15" customHeight="1">
      <c r="A434" t="inlineStr">
        <is>
          <t>A 48066-2020</t>
        </is>
      </c>
      <c r="B434" s="1" t="n">
        <v>44100</v>
      </c>
      <c r="C434" s="1" t="n">
        <v>45672</v>
      </c>
      <c r="D434" t="inlineStr">
        <is>
          <t>STOCKHOLMS LÄN</t>
        </is>
      </c>
      <c r="E434" t="inlineStr">
        <is>
          <t>NORRTÄLJE</t>
        </is>
      </c>
      <c r="G434" t="n">
        <v>3.7</v>
      </c>
      <c r="H434" t="n">
        <v>0</v>
      </c>
      <c r="I434" t="n">
        <v>0</v>
      </c>
      <c r="J434" t="n">
        <v>0</v>
      </c>
      <c r="K434" t="n">
        <v>0</v>
      </c>
      <c r="L434" t="n">
        <v>0</v>
      </c>
      <c r="M434" t="n">
        <v>0</v>
      </c>
      <c r="N434" t="n">
        <v>0</v>
      </c>
      <c r="O434" t="n">
        <v>0</v>
      </c>
      <c r="P434" t="n">
        <v>0</v>
      </c>
      <c r="Q434" t="n">
        <v>0</v>
      </c>
      <c r="R434" s="2" t="inlineStr"/>
    </row>
    <row r="435" ht="15" customHeight="1">
      <c r="A435" t="inlineStr">
        <is>
          <t>A 48071-2020</t>
        </is>
      </c>
      <c r="B435" s="1" t="n">
        <v>44100</v>
      </c>
      <c r="C435" s="1" t="n">
        <v>45672</v>
      </c>
      <c r="D435" t="inlineStr">
        <is>
          <t>STOCKHOLMS LÄN</t>
        </is>
      </c>
      <c r="E435" t="inlineStr">
        <is>
          <t>NORRTÄLJE</t>
        </is>
      </c>
      <c r="G435" t="n">
        <v>6.8</v>
      </c>
      <c r="H435" t="n">
        <v>0</v>
      </c>
      <c r="I435" t="n">
        <v>0</v>
      </c>
      <c r="J435" t="n">
        <v>0</v>
      </c>
      <c r="K435" t="n">
        <v>0</v>
      </c>
      <c r="L435" t="n">
        <v>0</v>
      </c>
      <c r="M435" t="n">
        <v>0</v>
      </c>
      <c r="N435" t="n">
        <v>0</v>
      </c>
      <c r="O435" t="n">
        <v>0</v>
      </c>
      <c r="P435" t="n">
        <v>0</v>
      </c>
      <c r="Q435" t="n">
        <v>0</v>
      </c>
      <c r="R435" s="2" t="inlineStr"/>
    </row>
    <row r="436" ht="15" customHeight="1">
      <c r="A436" t="inlineStr">
        <is>
          <t>A 48496-2020</t>
        </is>
      </c>
      <c r="B436" s="1" t="n">
        <v>44103</v>
      </c>
      <c r="C436" s="1" t="n">
        <v>45672</v>
      </c>
      <c r="D436" t="inlineStr">
        <is>
          <t>STOCKHOLMS LÄN</t>
        </is>
      </c>
      <c r="E436" t="inlineStr">
        <is>
          <t>NORRTÄLJE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48522-2020</t>
        </is>
      </c>
      <c r="B437" s="1" t="n">
        <v>44103</v>
      </c>
      <c r="C437" s="1" t="n">
        <v>45672</v>
      </c>
      <c r="D437" t="inlineStr">
        <is>
          <t>STOCKHOLMS LÄN</t>
        </is>
      </c>
      <c r="E437" t="inlineStr">
        <is>
          <t>NORRTÄLJE</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49334-2020</t>
        </is>
      </c>
      <c r="B438" s="1" t="n">
        <v>44105</v>
      </c>
      <c r="C438" s="1" t="n">
        <v>45672</v>
      </c>
      <c r="D438" t="inlineStr">
        <is>
          <t>STOCKHOLMS LÄN</t>
        </is>
      </c>
      <c r="E438" t="inlineStr">
        <is>
          <t>NORRTÄLJE</t>
        </is>
      </c>
      <c r="G438" t="n">
        <v>1.5</v>
      </c>
      <c r="H438" t="n">
        <v>0</v>
      </c>
      <c r="I438" t="n">
        <v>0</v>
      </c>
      <c r="J438" t="n">
        <v>0</v>
      </c>
      <c r="K438" t="n">
        <v>0</v>
      </c>
      <c r="L438" t="n">
        <v>0</v>
      </c>
      <c r="M438" t="n">
        <v>0</v>
      </c>
      <c r="N438" t="n">
        <v>0</v>
      </c>
      <c r="O438" t="n">
        <v>0</v>
      </c>
      <c r="P438" t="n">
        <v>0</v>
      </c>
      <c r="Q438" t="n">
        <v>0</v>
      </c>
      <c r="R438" s="2" t="inlineStr"/>
    </row>
    <row r="439" ht="15" customHeight="1">
      <c r="A439" t="inlineStr">
        <is>
          <t>A 49327-2020</t>
        </is>
      </c>
      <c r="B439" s="1" t="n">
        <v>44105</v>
      </c>
      <c r="C439" s="1" t="n">
        <v>45672</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49898-2020</t>
        </is>
      </c>
      <c r="B440" s="1" t="n">
        <v>44108</v>
      </c>
      <c r="C440" s="1" t="n">
        <v>45672</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50497-2020</t>
        </is>
      </c>
      <c r="B441" s="1" t="n">
        <v>44110</v>
      </c>
      <c r="C441" s="1" t="n">
        <v>45672</v>
      </c>
      <c r="D441" t="inlineStr">
        <is>
          <t>STOCKHOLMS LÄN</t>
        </is>
      </c>
      <c r="E441" t="inlineStr">
        <is>
          <t>NORRTÄLJE</t>
        </is>
      </c>
      <c r="F441" t="inlineStr">
        <is>
          <t>Holmen skog AB</t>
        </is>
      </c>
      <c r="G441" t="n">
        <v>4.3</v>
      </c>
      <c r="H441" t="n">
        <v>0</v>
      </c>
      <c r="I441" t="n">
        <v>0</v>
      </c>
      <c r="J441" t="n">
        <v>0</v>
      </c>
      <c r="K441" t="n">
        <v>0</v>
      </c>
      <c r="L441" t="n">
        <v>0</v>
      </c>
      <c r="M441" t="n">
        <v>0</v>
      </c>
      <c r="N441" t="n">
        <v>0</v>
      </c>
      <c r="O441" t="n">
        <v>0</v>
      </c>
      <c r="P441" t="n">
        <v>0</v>
      </c>
      <c r="Q441" t="n">
        <v>0</v>
      </c>
      <c r="R441" s="2" t="inlineStr"/>
    </row>
    <row r="442" ht="15" customHeight="1">
      <c r="A442" t="inlineStr">
        <is>
          <t>A 50738-2020</t>
        </is>
      </c>
      <c r="B442" s="1" t="n">
        <v>44111</v>
      </c>
      <c r="C442" s="1" t="n">
        <v>45672</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50746-2020</t>
        </is>
      </c>
      <c r="B443" s="1" t="n">
        <v>44111</v>
      </c>
      <c r="C443" s="1" t="n">
        <v>45672</v>
      </c>
      <c r="D443" t="inlineStr">
        <is>
          <t>STOCKHOLMS LÄN</t>
        </is>
      </c>
      <c r="E443" t="inlineStr">
        <is>
          <t>NORRTÄLJE</t>
        </is>
      </c>
      <c r="G443" t="n">
        <v>4.9</v>
      </c>
      <c r="H443" t="n">
        <v>0</v>
      </c>
      <c r="I443" t="n">
        <v>0</v>
      </c>
      <c r="J443" t="n">
        <v>0</v>
      </c>
      <c r="K443" t="n">
        <v>0</v>
      </c>
      <c r="L443" t="n">
        <v>0</v>
      </c>
      <c r="M443" t="n">
        <v>0</v>
      </c>
      <c r="N443" t="n">
        <v>0</v>
      </c>
      <c r="O443" t="n">
        <v>0</v>
      </c>
      <c r="P443" t="n">
        <v>0</v>
      </c>
      <c r="Q443" t="n">
        <v>0</v>
      </c>
      <c r="R443" s="2" t="inlineStr"/>
    </row>
    <row r="444" ht="15" customHeight="1">
      <c r="A444" t="inlineStr">
        <is>
          <t>A 50742-2020</t>
        </is>
      </c>
      <c r="B444" s="1" t="n">
        <v>44111</v>
      </c>
      <c r="C444" s="1" t="n">
        <v>45672</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51720-2020</t>
        </is>
      </c>
      <c r="B445" s="1" t="n">
        <v>44113</v>
      </c>
      <c r="C445" s="1" t="n">
        <v>45672</v>
      </c>
      <c r="D445" t="inlineStr">
        <is>
          <t>STOCKHOLMS LÄN</t>
        </is>
      </c>
      <c r="E445" t="inlineStr">
        <is>
          <t>NORRTÄLJE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51787-2020</t>
        </is>
      </c>
      <c r="B446" s="1" t="n">
        <v>44116</v>
      </c>
      <c r="C446" s="1" t="n">
        <v>45672</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51798-2020</t>
        </is>
      </c>
      <c r="B447" s="1" t="n">
        <v>44116</v>
      </c>
      <c r="C447" s="1" t="n">
        <v>45672</v>
      </c>
      <c r="D447" t="inlineStr">
        <is>
          <t>STOCKHOLMS LÄN</t>
        </is>
      </c>
      <c r="E447" t="inlineStr">
        <is>
          <t>NORRTÄLJE</t>
        </is>
      </c>
      <c r="G447" t="n">
        <v>4.3</v>
      </c>
      <c r="H447" t="n">
        <v>0</v>
      </c>
      <c r="I447" t="n">
        <v>0</v>
      </c>
      <c r="J447" t="n">
        <v>0</v>
      </c>
      <c r="K447" t="n">
        <v>0</v>
      </c>
      <c r="L447" t="n">
        <v>0</v>
      </c>
      <c r="M447" t="n">
        <v>0</v>
      </c>
      <c r="N447" t="n">
        <v>0</v>
      </c>
      <c r="O447" t="n">
        <v>0</v>
      </c>
      <c r="P447" t="n">
        <v>0</v>
      </c>
      <c r="Q447" t="n">
        <v>0</v>
      </c>
      <c r="R447" s="2" t="inlineStr"/>
    </row>
    <row r="448" ht="15" customHeight="1">
      <c r="A448" t="inlineStr">
        <is>
          <t>A 53768-2020</t>
        </is>
      </c>
      <c r="B448" s="1" t="n">
        <v>44123</v>
      </c>
      <c r="C448" s="1" t="n">
        <v>45672</v>
      </c>
      <c r="D448" t="inlineStr">
        <is>
          <t>STOCKHOLMS LÄN</t>
        </is>
      </c>
      <c r="E448" t="inlineStr">
        <is>
          <t>NORRTÄLJE</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53652-2020</t>
        </is>
      </c>
      <c r="B449" s="1" t="n">
        <v>44124</v>
      </c>
      <c r="C449" s="1" t="n">
        <v>45672</v>
      </c>
      <c r="D449" t="inlineStr">
        <is>
          <t>STOCKHOLMS LÄN</t>
        </is>
      </c>
      <c r="E449" t="inlineStr">
        <is>
          <t>NORRTÄLJE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53690-2020</t>
        </is>
      </c>
      <c r="B450" s="1" t="n">
        <v>44124</v>
      </c>
      <c r="C450" s="1" t="n">
        <v>45672</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53607-2020</t>
        </is>
      </c>
      <c r="B451" s="1" t="n">
        <v>44124</v>
      </c>
      <c r="C451" s="1" t="n">
        <v>45672</v>
      </c>
      <c r="D451" t="inlineStr">
        <is>
          <t>STOCKHOLMS LÄN</t>
        </is>
      </c>
      <c r="E451" t="inlineStr">
        <is>
          <t>NORRTÄLJE</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55089-2020</t>
        </is>
      </c>
      <c r="B452" s="1" t="n">
        <v>44130</v>
      </c>
      <c r="C452" s="1" t="n">
        <v>45672</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55895-2020</t>
        </is>
      </c>
      <c r="B453" s="1" t="n">
        <v>44132</v>
      </c>
      <c r="C453" s="1" t="n">
        <v>45672</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55890-2020</t>
        </is>
      </c>
      <c r="B454" s="1" t="n">
        <v>44132</v>
      </c>
      <c r="C454" s="1" t="n">
        <v>45672</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55982-2020</t>
        </is>
      </c>
      <c r="B455" s="1" t="n">
        <v>44132</v>
      </c>
      <c r="C455" s="1" t="n">
        <v>45672</v>
      </c>
      <c r="D455" t="inlineStr">
        <is>
          <t>STOCKHOLMS LÄN</t>
        </is>
      </c>
      <c r="E455" t="inlineStr">
        <is>
          <t>NORRTÄLJE</t>
        </is>
      </c>
      <c r="G455" t="n">
        <v>11.3</v>
      </c>
      <c r="H455" t="n">
        <v>0</v>
      </c>
      <c r="I455" t="n">
        <v>0</v>
      </c>
      <c r="J455" t="n">
        <v>0</v>
      </c>
      <c r="K455" t="n">
        <v>0</v>
      </c>
      <c r="L455" t="n">
        <v>0</v>
      </c>
      <c r="M455" t="n">
        <v>0</v>
      </c>
      <c r="N455" t="n">
        <v>0</v>
      </c>
      <c r="O455" t="n">
        <v>0</v>
      </c>
      <c r="P455" t="n">
        <v>0</v>
      </c>
      <c r="Q455" t="n">
        <v>0</v>
      </c>
      <c r="R455" s="2" t="inlineStr"/>
    </row>
    <row r="456" ht="15" customHeight="1">
      <c r="A456" t="inlineStr">
        <is>
          <t>A 56166-2020</t>
        </is>
      </c>
      <c r="B456" s="1" t="n">
        <v>44133</v>
      </c>
      <c r="C456" s="1" t="n">
        <v>45672</v>
      </c>
      <c r="D456" t="inlineStr">
        <is>
          <t>STOCKHOLMS LÄN</t>
        </is>
      </c>
      <c r="E456" t="inlineStr">
        <is>
          <t>NORRTÄLJE</t>
        </is>
      </c>
      <c r="G456" t="n">
        <v>4.4</v>
      </c>
      <c r="H456" t="n">
        <v>0</v>
      </c>
      <c r="I456" t="n">
        <v>0</v>
      </c>
      <c r="J456" t="n">
        <v>0</v>
      </c>
      <c r="K456" t="n">
        <v>0</v>
      </c>
      <c r="L456" t="n">
        <v>0</v>
      </c>
      <c r="M456" t="n">
        <v>0</v>
      </c>
      <c r="N456" t="n">
        <v>0</v>
      </c>
      <c r="O456" t="n">
        <v>0</v>
      </c>
      <c r="P456" t="n">
        <v>0</v>
      </c>
      <c r="Q456" t="n">
        <v>0</v>
      </c>
      <c r="R456" s="2" t="inlineStr"/>
    </row>
    <row r="457" ht="15" customHeight="1">
      <c r="A457" t="inlineStr">
        <is>
          <t>A 56323-2020</t>
        </is>
      </c>
      <c r="B457" s="1" t="n">
        <v>44134</v>
      </c>
      <c r="C457" s="1" t="n">
        <v>45672</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57216-2020</t>
        </is>
      </c>
      <c r="B458" s="1" t="n">
        <v>44139</v>
      </c>
      <c r="C458" s="1" t="n">
        <v>45672</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57957-2020</t>
        </is>
      </c>
      <c r="B459" s="1" t="n">
        <v>44143</v>
      </c>
      <c r="C459" s="1" t="n">
        <v>45672</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57987-2020</t>
        </is>
      </c>
      <c r="B460" s="1" t="n">
        <v>44143</v>
      </c>
      <c r="C460" s="1" t="n">
        <v>45672</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58493-2020</t>
        </is>
      </c>
      <c r="B461" s="1" t="n">
        <v>44145</v>
      </c>
      <c r="C461" s="1" t="n">
        <v>45672</v>
      </c>
      <c r="D461" t="inlineStr">
        <is>
          <t>STOCKHOLMS LÄN</t>
        </is>
      </c>
      <c r="E461" t="inlineStr">
        <is>
          <t>NORRTÄLJE</t>
        </is>
      </c>
      <c r="G461" t="n">
        <v>2.8</v>
      </c>
      <c r="H461" t="n">
        <v>0</v>
      </c>
      <c r="I461" t="n">
        <v>0</v>
      </c>
      <c r="J461" t="n">
        <v>0</v>
      </c>
      <c r="K461" t="n">
        <v>0</v>
      </c>
      <c r="L461" t="n">
        <v>0</v>
      </c>
      <c r="M461" t="n">
        <v>0</v>
      </c>
      <c r="N461" t="n">
        <v>0</v>
      </c>
      <c r="O461" t="n">
        <v>0</v>
      </c>
      <c r="P461" t="n">
        <v>0</v>
      </c>
      <c r="Q461" t="n">
        <v>0</v>
      </c>
      <c r="R461" s="2" t="inlineStr"/>
    </row>
    <row r="462" ht="15" customHeight="1">
      <c r="A462" t="inlineStr">
        <is>
          <t>A 58661-2020</t>
        </is>
      </c>
      <c r="B462" s="1" t="n">
        <v>44145</v>
      </c>
      <c r="C462" s="1" t="n">
        <v>45672</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58665-2020</t>
        </is>
      </c>
      <c r="B463" s="1" t="n">
        <v>44145</v>
      </c>
      <c r="C463" s="1" t="n">
        <v>45672</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58888-2020</t>
        </is>
      </c>
      <c r="B464" s="1" t="n">
        <v>44146</v>
      </c>
      <c r="C464" s="1" t="n">
        <v>45672</v>
      </c>
      <c r="D464" t="inlineStr">
        <is>
          <t>STOCKHOLMS LÄN</t>
        </is>
      </c>
      <c r="E464" t="inlineStr">
        <is>
          <t>NORRTÄLJE</t>
        </is>
      </c>
      <c r="G464" t="n">
        <v>1.9</v>
      </c>
      <c r="H464" t="n">
        <v>0</v>
      </c>
      <c r="I464" t="n">
        <v>0</v>
      </c>
      <c r="J464" t="n">
        <v>0</v>
      </c>
      <c r="K464" t="n">
        <v>0</v>
      </c>
      <c r="L464" t="n">
        <v>0</v>
      </c>
      <c r="M464" t="n">
        <v>0</v>
      </c>
      <c r="N464" t="n">
        <v>0</v>
      </c>
      <c r="O464" t="n">
        <v>0</v>
      </c>
      <c r="P464" t="n">
        <v>0</v>
      </c>
      <c r="Q464" t="n">
        <v>0</v>
      </c>
      <c r="R464" s="2" t="inlineStr"/>
    </row>
    <row r="465" ht="15" customHeight="1">
      <c r="A465" t="inlineStr">
        <is>
          <t>A 60321-2020</t>
        </is>
      </c>
      <c r="B465" s="1" t="n">
        <v>44152</v>
      </c>
      <c r="C465" s="1" t="n">
        <v>45672</v>
      </c>
      <c r="D465" t="inlineStr">
        <is>
          <t>STOCKHOLMS LÄN</t>
        </is>
      </c>
      <c r="E465" t="inlineStr">
        <is>
          <t>NORRTÄLJE</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60542-2020</t>
        </is>
      </c>
      <c r="B466" s="1" t="n">
        <v>44153</v>
      </c>
      <c r="C466" s="1" t="n">
        <v>45672</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60977-2020</t>
        </is>
      </c>
      <c r="B467" s="1" t="n">
        <v>44154</v>
      </c>
      <c r="C467" s="1" t="n">
        <v>45672</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60891-2020</t>
        </is>
      </c>
      <c r="B468" s="1" t="n">
        <v>44154</v>
      </c>
      <c r="C468" s="1" t="n">
        <v>45672</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60961-2020</t>
        </is>
      </c>
      <c r="B469" s="1" t="n">
        <v>44154</v>
      </c>
      <c r="C469" s="1" t="n">
        <v>45672</v>
      </c>
      <c r="D469" t="inlineStr">
        <is>
          <t>STOCKHOLMS LÄN</t>
        </is>
      </c>
      <c r="E469" t="inlineStr">
        <is>
          <t>NORRTÄLJE</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61195-2020</t>
        </is>
      </c>
      <c r="B470" s="1" t="n">
        <v>44155</v>
      </c>
      <c r="C470" s="1" t="n">
        <v>45672</v>
      </c>
      <c r="D470" t="inlineStr">
        <is>
          <t>STOCKHOLMS LÄN</t>
        </is>
      </c>
      <c r="E470" t="inlineStr">
        <is>
          <t>NORRTÄLJE</t>
        </is>
      </c>
      <c r="G470" t="n">
        <v>7.8</v>
      </c>
      <c r="H470" t="n">
        <v>0</v>
      </c>
      <c r="I470" t="n">
        <v>0</v>
      </c>
      <c r="J470" t="n">
        <v>0</v>
      </c>
      <c r="K470" t="n">
        <v>0</v>
      </c>
      <c r="L470" t="n">
        <v>0</v>
      </c>
      <c r="M470" t="n">
        <v>0</v>
      </c>
      <c r="N470" t="n">
        <v>0</v>
      </c>
      <c r="O470" t="n">
        <v>0</v>
      </c>
      <c r="P470" t="n">
        <v>0</v>
      </c>
      <c r="Q470" t="n">
        <v>0</v>
      </c>
      <c r="R470" s="2" t="inlineStr"/>
    </row>
    <row r="471" ht="15" customHeight="1">
      <c r="A471" t="inlineStr">
        <is>
          <t>A 61221-2020</t>
        </is>
      </c>
      <c r="B471" s="1" t="n">
        <v>44155</v>
      </c>
      <c r="C471" s="1" t="n">
        <v>45672</v>
      </c>
      <c r="D471" t="inlineStr">
        <is>
          <t>STOCKHOLMS LÄN</t>
        </is>
      </c>
      <c r="E471" t="inlineStr">
        <is>
          <t>NORRTÄLJE</t>
        </is>
      </c>
      <c r="G471" t="n">
        <v>2.8</v>
      </c>
      <c r="H471" t="n">
        <v>0</v>
      </c>
      <c r="I471" t="n">
        <v>0</v>
      </c>
      <c r="J471" t="n">
        <v>0</v>
      </c>
      <c r="K471" t="n">
        <v>0</v>
      </c>
      <c r="L471" t="n">
        <v>0</v>
      </c>
      <c r="M471" t="n">
        <v>0</v>
      </c>
      <c r="N471" t="n">
        <v>0</v>
      </c>
      <c r="O471" t="n">
        <v>0</v>
      </c>
      <c r="P471" t="n">
        <v>0</v>
      </c>
      <c r="Q471" t="n">
        <v>0</v>
      </c>
      <c r="R471" s="2" t="inlineStr"/>
    </row>
    <row r="472" ht="15" customHeight="1">
      <c r="A472" t="inlineStr">
        <is>
          <t>A 61363-2020</t>
        </is>
      </c>
      <c r="B472" s="1" t="n">
        <v>44155</v>
      </c>
      <c r="C472" s="1" t="n">
        <v>45672</v>
      </c>
      <c r="D472" t="inlineStr">
        <is>
          <t>STOCKHOLMS LÄN</t>
        </is>
      </c>
      <c r="E472" t="inlineStr">
        <is>
          <t>NORRTÄLJE</t>
        </is>
      </c>
      <c r="G472" t="n">
        <v>2.3</v>
      </c>
      <c r="H472" t="n">
        <v>0</v>
      </c>
      <c r="I472" t="n">
        <v>0</v>
      </c>
      <c r="J472" t="n">
        <v>0</v>
      </c>
      <c r="K472" t="n">
        <v>0</v>
      </c>
      <c r="L472" t="n">
        <v>0</v>
      </c>
      <c r="M472" t="n">
        <v>0</v>
      </c>
      <c r="N472" t="n">
        <v>0</v>
      </c>
      <c r="O472" t="n">
        <v>0</v>
      </c>
      <c r="P472" t="n">
        <v>0</v>
      </c>
      <c r="Q472" t="n">
        <v>0</v>
      </c>
      <c r="R472" s="2" t="inlineStr"/>
    </row>
    <row r="473" ht="15" customHeight="1">
      <c r="A473" t="inlineStr">
        <is>
          <t>A 61469-2020</t>
        </is>
      </c>
      <c r="B473" s="1" t="n">
        <v>44155</v>
      </c>
      <c r="C473" s="1" t="n">
        <v>45672</v>
      </c>
      <c r="D473" t="inlineStr">
        <is>
          <t>STOCKHOLMS LÄN</t>
        </is>
      </c>
      <c r="E473" t="inlineStr">
        <is>
          <t>NORRTÄLJE</t>
        </is>
      </c>
      <c r="F473" t="inlineStr">
        <is>
          <t>Övriga Aktiebolag</t>
        </is>
      </c>
      <c r="G473" t="n">
        <v>2.6</v>
      </c>
      <c r="H473" t="n">
        <v>0</v>
      </c>
      <c r="I473" t="n">
        <v>0</v>
      </c>
      <c r="J473" t="n">
        <v>0</v>
      </c>
      <c r="K473" t="n">
        <v>0</v>
      </c>
      <c r="L473" t="n">
        <v>0</v>
      </c>
      <c r="M473" t="n">
        <v>0</v>
      </c>
      <c r="N473" t="n">
        <v>0</v>
      </c>
      <c r="O473" t="n">
        <v>0</v>
      </c>
      <c r="P473" t="n">
        <v>0</v>
      </c>
      <c r="Q473" t="n">
        <v>0</v>
      </c>
      <c r="R473" s="2" t="inlineStr"/>
    </row>
    <row r="474" ht="15" customHeight="1">
      <c r="A474" t="inlineStr">
        <is>
          <t>A 61192-2020</t>
        </is>
      </c>
      <c r="B474" s="1" t="n">
        <v>44155</v>
      </c>
      <c r="C474" s="1" t="n">
        <v>45672</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62460-2020</t>
        </is>
      </c>
      <c r="B475" s="1" t="n">
        <v>44160</v>
      </c>
      <c r="C475" s="1" t="n">
        <v>45672</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62854-2020</t>
        </is>
      </c>
      <c r="B476" s="1" t="n">
        <v>44161</v>
      </c>
      <c r="C476" s="1" t="n">
        <v>45672</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63824-2020</t>
        </is>
      </c>
      <c r="B477" s="1" t="n">
        <v>44162</v>
      </c>
      <c r="C477" s="1" t="n">
        <v>45672</v>
      </c>
      <c r="D477" t="inlineStr">
        <is>
          <t>STOCKHOLMS LÄN</t>
        </is>
      </c>
      <c r="E477" t="inlineStr">
        <is>
          <t>NORRTÄLJE</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66372-2020</t>
        </is>
      </c>
      <c r="B478" s="1" t="n">
        <v>44176</v>
      </c>
      <c r="C478" s="1" t="n">
        <v>45672</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66907-2020</t>
        </is>
      </c>
      <c r="B479" s="1" t="n">
        <v>44176</v>
      </c>
      <c r="C479" s="1" t="n">
        <v>45672</v>
      </c>
      <c r="D479" t="inlineStr">
        <is>
          <t>STOCKHOLMS LÄN</t>
        </is>
      </c>
      <c r="E479" t="inlineStr">
        <is>
          <t>NORRTÄLJE</t>
        </is>
      </c>
      <c r="G479" t="n">
        <v>1.7</v>
      </c>
      <c r="H479" t="n">
        <v>0</v>
      </c>
      <c r="I479" t="n">
        <v>0</v>
      </c>
      <c r="J479" t="n">
        <v>0</v>
      </c>
      <c r="K479" t="n">
        <v>0</v>
      </c>
      <c r="L479" t="n">
        <v>0</v>
      </c>
      <c r="M479" t="n">
        <v>0</v>
      </c>
      <c r="N479" t="n">
        <v>0</v>
      </c>
      <c r="O479" t="n">
        <v>0</v>
      </c>
      <c r="P479" t="n">
        <v>0</v>
      </c>
      <c r="Q479" t="n">
        <v>0</v>
      </c>
      <c r="R479" s="2" t="inlineStr"/>
    </row>
    <row r="480" ht="15" customHeight="1">
      <c r="A480" t="inlineStr">
        <is>
          <t>A 67393-2020</t>
        </is>
      </c>
      <c r="B480" s="1" t="n">
        <v>44181</v>
      </c>
      <c r="C480" s="1" t="n">
        <v>45672</v>
      </c>
      <c r="D480" t="inlineStr">
        <is>
          <t>STOCKHOLMS LÄN</t>
        </is>
      </c>
      <c r="E480" t="inlineStr">
        <is>
          <t>NORRTÄLJE</t>
        </is>
      </c>
      <c r="G480" t="n">
        <v>5.5</v>
      </c>
      <c r="H480" t="n">
        <v>0</v>
      </c>
      <c r="I480" t="n">
        <v>0</v>
      </c>
      <c r="J480" t="n">
        <v>0</v>
      </c>
      <c r="K480" t="n">
        <v>0</v>
      </c>
      <c r="L480" t="n">
        <v>0</v>
      </c>
      <c r="M480" t="n">
        <v>0</v>
      </c>
      <c r="N480" t="n">
        <v>0</v>
      </c>
      <c r="O480" t="n">
        <v>0</v>
      </c>
      <c r="P480" t="n">
        <v>0</v>
      </c>
      <c r="Q480" t="n">
        <v>0</v>
      </c>
      <c r="R480" s="2" t="inlineStr"/>
    </row>
    <row r="481" ht="15" customHeight="1">
      <c r="A481" t="inlineStr">
        <is>
          <t>A 68081-2020</t>
        </is>
      </c>
      <c r="B481" s="1" t="n">
        <v>44183</v>
      </c>
      <c r="C481" s="1" t="n">
        <v>45672</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367-2021</t>
        </is>
      </c>
      <c r="B482" s="1" t="n">
        <v>44201</v>
      </c>
      <c r="C482" s="1" t="n">
        <v>45672</v>
      </c>
      <c r="D482" t="inlineStr">
        <is>
          <t>STOCKHOLMS LÄN</t>
        </is>
      </c>
      <c r="E482" t="inlineStr">
        <is>
          <t>NORRTÄLJE</t>
        </is>
      </c>
      <c r="G482" t="n">
        <v>0.1</v>
      </c>
      <c r="H482" t="n">
        <v>0</v>
      </c>
      <c r="I482" t="n">
        <v>0</v>
      </c>
      <c r="J482" t="n">
        <v>0</v>
      </c>
      <c r="K482" t="n">
        <v>0</v>
      </c>
      <c r="L482" t="n">
        <v>0</v>
      </c>
      <c r="M482" t="n">
        <v>0</v>
      </c>
      <c r="N482" t="n">
        <v>0</v>
      </c>
      <c r="O482" t="n">
        <v>0</v>
      </c>
      <c r="P482" t="n">
        <v>0</v>
      </c>
      <c r="Q482" t="n">
        <v>0</v>
      </c>
      <c r="R482" s="2" t="inlineStr"/>
    </row>
    <row r="483" ht="15" customHeight="1">
      <c r="A483" t="inlineStr">
        <is>
          <t>A 348-2021</t>
        </is>
      </c>
      <c r="B483" s="1" t="n">
        <v>44201</v>
      </c>
      <c r="C483" s="1" t="n">
        <v>45672</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1637-2021</t>
        </is>
      </c>
      <c r="B484" s="1" t="n">
        <v>44209</v>
      </c>
      <c r="C484" s="1" t="n">
        <v>45672</v>
      </c>
      <c r="D484" t="inlineStr">
        <is>
          <t>STOCKHOLMS LÄN</t>
        </is>
      </c>
      <c r="E484" t="inlineStr">
        <is>
          <t>NORRTÄLJE</t>
        </is>
      </c>
      <c r="G484" t="n">
        <v>1.6</v>
      </c>
      <c r="H484" t="n">
        <v>0</v>
      </c>
      <c r="I484" t="n">
        <v>0</v>
      </c>
      <c r="J484" t="n">
        <v>0</v>
      </c>
      <c r="K484" t="n">
        <v>0</v>
      </c>
      <c r="L484" t="n">
        <v>0</v>
      </c>
      <c r="M484" t="n">
        <v>0</v>
      </c>
      <c r="N484" t="n">
        <v>0</v>
      </c>
      <c r="O484" t="n">
        <v>0</v>
      </c>
      <c r="P484" t="n">
        <v>0</v>
      </c>
      <c r="Q484" t="n">
        <v>0</v>
      </c>
      <c r="R484" s="2" t="inlineStr"/>
    </row>
    <row r="485" ht="15" customHeight="1">
      <c r="A485" t="inlineStr">
        <is>
          <t>A 1970-2021</t>
        </is>
      </c>
      <c r="B485" s="1" t="n">
        <v>44210</v>
      </c>
      <c r="C485" s="1" t="n">
        <v>45672</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2447-2021</t>
        </is>
      </c>
      <c r="B486" s="1" t="n">
        <v>44214</v>
      </c>
      <c r="C486" s="1" t="n">
        <v>45672</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2976-2021</t>
        </is>
      </c>
      <c r="B487" s="1" t="n">
        <v>44216</v>
      </c>
      <c r="C487" s="1" t="n">
        <v>45672</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3143-2021</t>
        </is>
      </c>
      <c r="B488" s="1" t="n">
        <v>44217</v>
      </c>
      <c r="C488" s="1" t="n">
        <v>45672</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3386-2021</t>
        </is>
      </c>
      <c r="B489" s="1" t="n">
        <v>44218</v>
      </c>
      <c r="C489" s="1" t="n">
        <v>45672</v>
      </c>
      <c r="D489" t="inlineStr">
        <is>
          <t>STOCKHOLMS LÄN</t>
        </is>
      </c>
      <c r="E489" t="inlineStr">
        <is>
          <t>NORRTÄLJE</t>
        </is>
      </c>
      <c r="G489" t="n">
        <v>8</v>
      </c>
      <c r="H489" t="n">
        <v>0</v>
      </c>
      <c r="I489" t="n">
        <v>0</v>
      </c>
      <c r="J489" t="n">
        <v>0</v>
      </c>
      <c r="K489" t="n">
        <v>0</v>
      </c>
      <c r="L489" t="n">
        <v>0</v>
      </c>
      <c r="M489" t="n">
        <v>0</v>
      </c>
      <c r="N489" t="n">
        <v>0</v>
      </c>
      <c r="O489" t="n">
        <v>0</v>
      </c>
      <c r="P489" t="n">
        <v>0</v>
      </c>
      <c r="Q489" t="n">
        <v>0</v>
      </c>
      <c r="R489" s="2" t="inlineStr"/>
    </row>
    <row r="490" ht="15" customHeight="1">
      <c r="A490" t="inlineStr">
        <is>
          <t>A 4634-2021</t>
        </is>
      </c>
      <c r="B490" s="1" t="n">
        <v>44224</v>
      </c>
      <c r="C490" s="1" t="n">
        <v>45672</v>
      </c>
      <c r="D490" t="inlineStr">
        <is>
          <t>STOCKHOLMS LÄN</t>
        </is>
      </c>
      <c r="E490" t="inlineStr">
        <is>
          <t>NORRTÄLJE</t>
        </is>
      </c>
      <c r="G490" t="n">
        <v>3.7</v>
      </c>
      <c r="H490" t="n">
        <v>0</v>
      </c>
      <c r="I490" t="n">
        <v>0</v>
      </c>
      <c r="J490" t="n">
        <v>0</v>
      </c>
      <c r="K490" t="n">
        <v>0</v>
      </c>
      <c r="L490" t="n">
        <v>0</v>
      </c>
      <c r="M490" t="n">
        <v>0</v>
      </c>
      <c r="N490" t="n">
        <v>0</v>
      </c>
      <c r="O490" t="n">
        <v>0</v>
      </c>
      <c r="P490" t="n">
        <v>0</v>
      </c>
      <c r="Q490" t="n">
        <v>0</v>
      </c>
      <c r="R490" s="2" t="inlineStr"/>
    </row>
    <row r="491" ht="15" customHeight="1">
      <c r="A491" t="inlineStr">
        <is>
          <t>A 4632-2021</t>
        </is>
      </c>
      <c r="B491" s="1" t="n">
        <v>44224</v>
      </c>
      <c r="C491" s="1" t="n">
        <v>45672</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5037-2021</t>
        </is>
      </c>
      <c r="B492" s="1" t="n">
        <v>44228</v>
      </c>
      <c r="C492" s="1" t="n">
        <v>45672</v>
      </c>
      <c r="D492" t="inlineStr">
        <is>
          <t>STOCKHOLMS LÄN</t>
        </is>
      </c>
      <c r="E492" t="inlineStr">
        <is>
          <t>NORRTÄLJE</t>
        </is>
      </c>
      <c r="F492" t="inlineStr">
        <is>
          <t>Holmen skog AB</t>
        </is>
      </c>
      <c r="G492" t="n">
        <v>3.8</v>
      </c>
      <c r="H492" t="n">
        <v>0</v>
      </c>
      <c r="I492" t="n">
        <v>0</v>
      </c>
      <c r="J492" t="n">
        <v>0</v>
      </c>
      <c r="K492" t="n">
        <v>0</v>
      </c>
      <c r="L492" t="n">
        <v>0</v>
      </c>
      <c r="M492" t="n">
        <v>0</v>
      </c>
      <c r="N492" t="n">
        <v>0</v>
      </c>
      <c r="O492" t="n">
        <v>0</v>
      </c>
      <c r="P492" t="n">
        <v>0</v>
      </c>
      <c r="Q492" t="n">
        <v>0</v>
      </c>
      <c r="R492" s="2" t="inlineStr"/>
    </row>
    <row r="493" ht="15" customHeight="1">
      <c r="A493" t="inlineStr">
        <is>
          <t>A 5562-2021</t>
        </is>
      </c>
      <c r="B493" s="1" t="n">
        <v>44230</v>
      </c>
      <c r="C493" s="1" t="n">
        <v>45672</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5566-2021</t>
        </is>
      </c>
      <c r="B494" s="1" t="n">
        <v>44230</v>
      </c>
      <c r="C494" s="1" t="n">
        <v>45672</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5950-2021</t>
        </is>
      </c>
      <c r="B495" s="1" t="n">
        <v>44231</v>
      </c>
      <c r="C495" s="1" t="n">
        <v>45672</v>
      </c>
      <c r="D495" t="inlineStr">
        <is>
          <t>STOCKHOLMS LÄN</t>
        </is>
      </c>
      <c r="E495" t="inlineStr">
        <is>
          <t>NORRTÄLJE</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6049-2021</t>
        </is>
      </c>
      <c r="B496" s="1" t="n">
        <v>44231</v>
      </c>
      <c r="C496" s="1" t="n">
        <v>45672</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7903-2021</t>
        </is>
      </c>
      <c r="B497" s="1" t="n">
        <v>44243</v>
      </c>
      <c r="C497" s="1" t="n">
        <v>45672</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7999-2021</t>
        </is>
      </c>
      <c r="B498" s="1" t="n">
        <v>44243</v>
      </c>
      <c r="C498" s="1" t="n">
        <v>45672</v>
      </c>
      <c r="D498" t="inlineStr">
        <is>
          <t>STOCKHOLMS LÄN</t>
        </is>
      </c>
      <c r="E498" t="inlineStr">
        <is>
          <t>NORRTÄLJE</t>
        </is>
      </c>
      <c r="G498" t="n">
        <v>6.8</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45672</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9467-2021</t>
        </is>
      </c>
      <c r="B500" s="1" t="n">
        <v>44251</v>
      </c>
      <c r="C500" s="1" t="n">
        <v>45672</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9469-2021</t>
        </is>
      </c>
      <c r="B501" s="1" t="n">
        <v>44251</v>
      </c>
      <c r="C501" s="1" t="n">
        <v>45672</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9446-2021</t>
        </is>
      </c>
      <c r="B502" s="1" t="n">
        <v>44251</v>
      </c>
      <c r="C502" s="1" t="n">
        <v>45672</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9719-2021</t>
        </is>
      </c>
      <c r="B503" s="1" t="n">
        <v>44252</v>
      </c>
      <c r="C503" s="1" t="n">
        <v>45672</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9703-2021</t>
        </is>
      </c>
      <c r="B504" s="1" t="n">
        <v>44252</v>
      </c>
      <c r="C504" s="1" t="n">
        <v>45672</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10687-2021</t>
        </is>
      </c>
      <c r="B505" s="1" t="n">
        <v>44258</v>
      </c>
      <c r="C505" s="1" t="n">
        <v>45672</v>
      </c>
      <c r="D505" t="inlineStr">
        <is>
          <t>STOCKHOLMS LÄN</t>
        </is>
      </c>
      <c r="E505" t="inlineStr">
        <is>
          <t>NORRTÄLJE</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10684-2021</t>
        </is>
      </c>
      <c r="B506" s="1" t="n">
        <v>44258</v>
      </c>
      <c r="C506" s="1" t="n">
        <v>45672</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11122-2021</t>
        </is>
      </c>
      <c r="B507" s="1" t="n">
        <v>44260</v>
      </c>
      <c r="C507" s="1" t="n">
        <v>45672</v>
      </c>
      <c r="D507" t="inlineStr">
        <is>
          <t>STOCKHOLMS LÄN</t>
        </is>
      </c>
      <c r="E507" t="inlineStr">
        <is>
          <t>NORRTÄLJE</t>
        </is>
      </c>
      <c r="F507" t="inlineStr">
        <is>
          <t>Holmen skog AB</t>
        </is>
      </c>
      <c r="G507" t="n">
        <v>2.1</v>
      </c>
      <c r="H507" t="n">
        <v>0</v>
      </c>
      <c r="I507" t="n">
        <v>0</v>
      </c>
      <c r="J507" t="n">
        <v>0</v>
      </c>
      <c r="K507" t="n">
        <v>0</v>
      </c>
      <c r="L507" t="n">
        <v>0</v>
      </c>
      <c r="M507" t="n">
        <v>0</v>
      </c>
      <c r="N507" t="n">
        <v>0</v>
      </c>
      <c r="O507" t="n">
        <v>0</v>
      </c>
      <c r="P507" t="n">
        <v>0</v>
      </c>
      <c r="Q507" t="n">
        <v>0</v>
      </c>
      <c r="R507" s="2" t="inlineStr"/>
    </row>
    <row r="508" ht="15" customHeight="1">
      <c r="A508" t="inlineStr">
        <is>
          <t>A 11438-2021</t>
        </is>
      </c>
      <c r="B508" s="1" t="n">
        <v>44263</v>
      </c>
      <c r="C508" s="1" t="n">
        <v>45672</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11988-2021</t>
        </is>
      </c>
      <c r="B509" s="1" t="n">
        <v>44266</v>
      </c>
      <c r="C509" s="1" t="n">
        <v>45672</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12031-2021</t>
        </is>
      </c>
      <c r="B510" s="1" t="n">
        <v>44266</v>
      </c>
      <c r="C510" s="1" t="n">
        <v>45672</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12111-2021</t>
        </is>
      </c>
      <c r="B511" s="1" t="n">
        <v>44266</v>
      </c>
      <c r="C511" s="1" t="n">
        <v>45672</v>
      </c>
      <c r="D511" t="inlineStr">
        <is>
          <t>STOCKHOLMS LÄN</t>
        </is>
      </c>
      <c r="E511" t="inlineStr">
        <is>
          <t>NORRTÄLJE</t>
        </is>
      </c>
      <c r="G511" t="n">
        <v>5.5</v>
      </c>
      <c r="H511" t="n">
        <v>0</v>
      </c>
      <c r="I511" t="n">
        <v>0</v>
      </c>
      <c r="J511" t="n">
        <v>0</v>
      </c>
      <c r="K511" t="n">
        <v>0</v>
      </c>
      <c r="L511" t="n">
        <v>0</v>
      </c>
      <c r="M511" t="n">
        <v>0</v>
      </c>
      <c r="N511" t="n">
        <v>0</v>
      </c>
      <c r="O511" t="n">
        <v>0</v>
      </c>
      <c r="P511" t="n">
        <v>0</v>
      </c>
      <c r="Q511" t="n">
        <v>0</v>
      </c>
      <c r="R511" s="2" t="inlineStr"/>
    </row>
    <row r="512" ht="15" customHeight="1">
      <c r="A512" t="inlineStr">
        <is>
          <t>A 12132-2021</t>
        </is>
      </c>
      <c r="B512" s="1" t="n">
        <v>44266</v>
      </c>
      <c r="C512" s="1" t="n">
        <v>45672</v>
      </c>
      <c r="D512" t="inlineStr">
        <is>
          <t>STOCKHOLMS LÄN</t>
        </is>
      </c>
      <c r="E512" t="inlineStr">
        <is>
          <t>NORRTÄLJE</t>
        </is>
      </c>
      <c r="G512" t="n">
        <v>4</v>
      </c>
      <c r="H512" t="n">
        <v>0</v>
      </c>
      <c r="I512" t="n">
        <v>0</v>
      </c>
      <c r="J512" t="n">
        <v>0</v>
      </c>
      <c r="K512" t="n">
        <v>0</v>
      </c>
      <c r="L512" t="n">
        <v>0</v>
      </c>
      <c r="M512" t="n">
        <v>0</v>
      </c>
      <c r="N512" t="n">
        <v>0</v>
      </c>
      <c r="O512" t="n">
        <v>0</v>
      </c>
      <c r="P512" t="n">
        <v>0</v>
      </c>
      <c r="Q512" t="n">
        <v>0</v>
      </c>
      <c r="R512" s="2" t="inlineStr"/>
    </row>
    <row r="513" ht="15" customHeight="1">
      <c r="A513" t="inlineStr">
        <is>
          <t>A 12564-2021</t>
        </is>
      </c>
      <c r="B513" s="1" t="n">
        <v>44270</v>
      </c>
      <c r="C513" s="1" t="n">
        <v>45672</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12779-2021</t>
        </is>
      </c>
      <c r="B514" s="1" t="n">
        <v>44270</v>
      </c>
      <c r="C514" s="1" t="n">
        <v>45672</v>
      </c>
      <c r="D514" t="inlineStr">
        <is>
          <t>STOCKHOLMS LÄN</t>
        </is>
      </c>
      <c r="E514" t="inlineStr">
        <is>
          <t>NORRTÄLJE</t>
        </is>
      </c>
      <c r="G514" t="n">
        <v>10.8</v>
      </c>
      <c r="H514" t="n">
        <v>0</v>
      </c>
      <c r="I514" t="n">
        <v>0</v>
      </c>
      <c r="J514" t="n">
        <v>0</v>
      </c>
      <c r="K514" t="n">
        <v>0</v>
      </c>
      <c r="L514" t="n">
        <v>0</v>
      </c>
      <c r="M514" t="n">
        <v>0</v>
      </c>
      <c r="N514" t="n">
        <v>0</v>
      </c>
      <c r="O514" t="n">
        <v>0</v>
      </c>
      <c r="P514" t="n">
        <v>0</v>
      </c>
      <c r="Q514" t="n">
        <v>0</v>
      </c>
      <c r="R514" s="2" t="inlineStr"/>
    </row>
    <row r="515" ht="15" customHeight="1">
      <c r="A515" t="inlineStr">
        <is>
          <t>A 12782-2021</t>
        </is>
      </c>
      <c r="B515" s="1" t="n">
        <v>44270</v>
      </c>
      <c r="C515" s="1" t="n">
        <v>45672</v>
      </c>
      <c r="D515" t="inlineStr">
        <is>
          <t>STOCKHOLMS LÄN</t>
        </is>
      </c>
      <c r="E515" t="inlineStr">
        <is>
          <t>NORRTÄLJE</t>
        </is>
      </c>
      <c r="G515" t="n">
        <v>3.8</v>
      </c>
      <c r="H515" t="n">
        <v>0</v>
      </c>
      <c r="I515" t="n">
        <v>0</v>
      </c>
      <c r="J515" t="n">
        <v>0</v>
      </c>
      <c r="K515" t="n">
        <v>0</v>
      </c>
      <c r="L515" t="n">
        <v>0</v>
      </c>
      <c r="M515" t="n">
        <v>0</v>
      </c>
      <c r="N515" t="n">
        <v>0</v>
      </c>
      <c r="O515" t="n">
        <v>0</v>
      </c>
      <c r="P515" t="n">
        <v>0</v>
      </c>
      <c r="Q515" t="n">
        <v>0</v>
      </c>
      <c r="R515" s="2" t="inlineStr"/>
    </row>
    <row r="516" ht="15" customHeight="1">
      <c r="A516" t="inlineStr">
        <is>
          <t>A 13051-2021</t>
        </is>
      </c>
      <c r="B516" s="1" t="n">
        <v>44272</v>
      </c>
      <c r="C516" s="1" t="n">
        <v>45672</v>
      </c>
      <c r="D516" t="inlineStr">
        <is>
          <t>STOCKHOLMS LÄN</t>
        </is>
      </c>
      <c r="E516" t="inlineStr">
        <is>
          <t>NORRTÄLJE</t>
        </is>
      </c>
      <c r="G516" t="n">
        <v>9.1</v>
      </c>
      <c r="H516" t="n">
        <v>0</v>
      </c>
      <c r="I516" t="n">
        <v>0</v>
      </c>
      <c r="J516" t="n">
        <v>0</v>
      </c>
      <c r="K516" t="n">
        <v>0</v>
      </c>
      <c r="L516" t="n">
        <v>0</v>
      </c>
      <c r="M516" t="n">
        <v>0</v>
      </c>
      <c r="N516" t="n">
        <v>0</v>
      </c>
      <c r="O516" t="n">
        <v>0</v>
      </c>
      <c r="P516" t="n">
        <v>0</v>
      </c>
      <c r="Q516" t="n">
        <v>0</v>
      </c>
      <c r="R516" s="2" t="inlineStr"/>
    </row>
    <row r="517" ht="15" customHeight="1">
      <c r="A517" t="inlineStr">
        <is>
          <t>A 13148-2021</t>
        </is>
      </c>
      <c r="B517" s="1" t="n">
        <v>44272</v>
      </c>
      <c r="C517" s="1" t="n">
        <v>45672</v>
      </c>
      <c r="D517" t="inlineStr">
        <is>
          <t>STOCKHOLMS LÄN</t>
        </is>
      </c>
      <c r="E517" t="inlineStr">
        <is>
          <t>NORRTÄLJE</t>
        </is>
      </c>
      <c r="G517" t="n">
        <v>12.4</v>
      </c>
      <c r="H517" t="n">
        <v>0</v>
      </c>
      <c r="I517" t="n">
        <v>0</v>
      </c>
      <c r="J517" t="n">
        <v>0</v>
      </c>
      <c r="K517" t="n">
        <v>0</v>
      </c>
      <c r="L517" t="n">
        <v>0</v>
      </c>
      <c r="M517" t="n">
        <v>0</v>
      </c>
      <c r="N517" t="n">
        <v>0</v>
      </c>
      <c r="O517" t="n">
        <v>0</v>
      </c>
      <c r="P517" t="n">
        <v>0</v>
      </c>
      <c r="Q517" t="n">
        <v>0</v>
      </c>
      <c r="R517" s="2" t="inlineStr"/>
    </row>
    <row r="518" ht="15" customHeight="1">
      <c r="A518" t="inlineStr">
        <is>
          <t>A 13736-2021</t>
        </is>
      </c>
      <c r="B518" s="1" t="n">
        <v>44274</v>
      </c>
      <c r="C518" s="1" t="n">
        <v>45672</v>
      </c>
      <c r="D518" t="inlineStr">
        <is>
          <t>STOCKHOLMS LÄN</t>
        </is>
      </c>
      <c r="E518" t="inlineStr">
        <is>
          <t>NORRTÄLJE</t>
        </is>
      </c>
      <c r="F518" t="inlineStr">
        <is>
          <t>Holmen skog AB</t>
        </is>
      </c>
      <c r="G518" t="n">
        <v>3.5</v>
      </c>
      <c r="H518" t="n">
        <v>0</v>
      </c>
      <c r="I518" t="n">
        <v>0</v>
      </c>
      <c r="J518" t="n">
        <v>0</v>
      </c>
      <c r="K518" t="n">
        <v>0</v>
      </c>
      <c r="L518" t="n">
        <v>0</v>
      </c>
      <c r="M518" t="n">
        <v>0</v>
      </c>
      <c r="N518" t="n">
        <v>0</v>
      </c>
      <c r="O518" t="n">
        <v>0</v>
      </c>
      <c r="P518" t="n">
        <v>0</v>
      </c>
      <c r="Q518" t="n">
        <v>0</v>
      </c>
      <c r="R518" s="2" t="inlineStr"/>
    </row>
    <row r="519" ht="15" customHeight="1">
      <c r="A519" t="inlineStr">
        <is>
          <t>A 13752-2021</t>
        </is>
      </c>
      <c r="B519" s="1" t="n">
        <v>44274</v>
      </c>
      <c r="C519" s="1" t="n">
        <v>45672</v>
      </c>
      <c r="D519" t="inlineStr">
        <is>
          <t>STOCKHOLMS LÄN</t>
        </is>
      </c>
      <c r="E519" t="inlineStr">
        <is>
          <t>NORRTÄLJE</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14381-2021</t>
        </is>
      </c>
      <c r="B520" s="1" t="n">
        <v>44279</v>
      </c>
      <c r="C520" s="1" t="n">
        <v>45672</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14922-2021</t>
        </is>
      </c>
      <c r="B521" s="1" t="n">
        <v>44281</v>
      </c>
      <c r="C521" s="1" t="n">
        <v>45672</v>
      </c>
      <c r="D521" t="inlineStr">
        <is>
          <t>STOCKHOLMS LÄN</t>
        </is>
      </c>
      <c r="E521" t="inlineStr">
        <is>
          <t>NORRTÄLJE</t>
        </is>
      </c>
      <c r="G521" t="n">
        <v>4.8</v>
      </c>
      <c r="H521" t="n">
        <v>0</v>
      </c>
      <c r="I521" t="n">
        <v>0</v>
      </c>
      <c r="J521" t="n">
        <v>0</v>
      </c>
      <c r="K521" t="n">
        <v>0</v>
      </c>
      <c r="L521" t="n">
        <v>0</v>
      </c>
      <c r="M521" t="n">
        <v>0</v>
      </c>
      <c r="N521" t="n">
        <v>0</v>
      </c>
      <c r="O521" t="n">
        <v>0</v>
      </c>
      <c r="P521" t="n">
        <v>0</v>
      </c>
      <c r="Q521" t="n">
        <v>0</v>
      </c>
      <c r="R521" s="2" t="inlineStr"/>
    </row>
    <row r="522" ht="15" customHeight="1">
      <c r="A522" t="inlineStr">
        <is>
          <t>A 14933-2021</t>
        </is>
      </c>
      <c r="B522" s="1" t="n">
        <v>44281</v>
      </c>
      <c r="C522" s="1" t="n">
        <v>45672</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15289-2021</t>
        </is>
      </c>
      <c r="B523" s="1" t="n">
        <v>44284</v>
      </c>
      <c r="C523" s="1" t="n">
        <v>45672</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15441-2021</t>
        </is>
      </c>
      <c r="B524" s="1" t="n">
        <v>44284</v>
      </c>
      <c r="C524" s="1" t="n">
        <v>45672</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15552-2021</t>
        </is>
      </c>
      <c r="B525" s="1" t="n">
        <v>44285</v>
      </c>
      <c r="C525" s="1" t="n">
        <v>45672</v>
      </c>
      <c r="D525" t="inlineStr">
        <is>
          <t>STOCKHOLMS LÄN</t>
        </is>
      </c>
      <c r="E525" t="inlineStr">
        <is>
          <t>NORRTÄLJE</t>
        </is>
      </c>
      <c r="G525" t="n">
        <v>10</v>
      </c>
      <c r="H525" t="n">
        <v>0</v>
      </c>
      <c r="I525" t="n">
        <v>0</v>
      </c>
      <c r="J525" t="n">
        <v>0</v>
      </c>
      <c r="K525" t="n">
        <v>0</v>
      </c>
      <c r="L525" t="n">
        <v>0</v>
      </c>
      <c r="M525" t="n">
        <v>0</v>
      </c>
      <c r="N525" t="n">
        <v>0</v>
      </c>
      <c r="O525" t="n">
        <v>0</v>
      </c>
      <c r="P525" t="n">
        <v>0</v>
      </c>
      <c r="Q525" t="n">
        <v>0</v>
      </c>
      <c r="R525" s="2" t="inlineStr"/>
    </row>
    <row r="526" ht="15" customHeight="1">
      <c r="A526" t="inlineStr">
        <is>
          <t>A 16668-2021</t>
        </is>
      </c>
      <c r="B526" s="1" t="n">
        <v>44294</v>
      </c>
      <c r="C526" s="1" t="n">
        <v>45672</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17460-2021</t>
        </is>
      </c>
      <c r="B527" s="1" t="n">
        <v>44299</v>
      </c>
      <c r="C527" s="1" t="n">
        <v>45672</v>
      </c>
      <c r="D527" t="inlineStr">
        <is>
          <t>STOCKHOLMS LÄN</t>
        </is>
      </c>
      <c r="E527" t="inlineStr">
        <is>
          <t>NORRTÄLJE</t>
        </is>
      </c>
      <c r="G527" t="n">
        <v>3.2</v>
      </c>
      <c r="H527" t="n">
        <v>0</v>
      </c>
      <c r="I527" t="n">
        <v>0</v>
      </c>
      <c r="J527" t="n">
        <v>0</v>
      </c>
      <c r="K527" t="n">
        <v>0</v>
      </c>
      <c r="L527" t="n">
        <v>0</v>
      </c>
      <c r="M527" t="n">
        <v>0</v>
      </c>
      <c r="N527" t="n">
        <v>0</v>
      </c>
      <c r="O527" t="n">
        <v>0</v>
      </c>
      <c r="P527" t="n">
        <v>0</v>
      </c>
      <c r="Q527" t="n">
        <v>0</v>
      </c>
      <c r="R527" s="2" t="inlineStr"/>
    </row>
    <row r="528" ht="15" customHeight="1">
      <c r="A528" t="inlineStr">
        <is>
          <t>A 17703-2021</t>
        </is>
      </c>
      <c r="B528" s="1" t="n">
        <v>44300</v>
      </c>
      <c r="C528" s="1" t="n">
        <v>45672</v>
      </c>
      <c r="D528" t="inlineStr">
        <is>
          <t>STOCKHOLMS LÄN</t>
        </is>
      </c>
      <c r="E528" t="inlineStr">
        <is>
          <t>NORRTÄLJE</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18580-2021</t>
        </is>
      </c>
      <c r="B529" s="1" t="n">
        <v>44306</v>
      </c>
      <c r="C529" s="1" t="n">
        <v>45672</v>
      </c>
      <c r="D529" t="inlineStr">
        <is>
          <t>STOCKHOLMS LÄN</t>
        </is>
      </c>
      <c r="E529" t="inlineStr">
        <is>
          <t>NORRTÄLJE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18609-2021</t>
        </is>
      </c>
      <c r="B530" s="1" t="n">
        <v>44306</v>
      </c>
      <c r="C530" s="1" t="n">
        <v>45672</v>
      </c>
      <c r="D530" t="inlineStr">
        <is>
          <t>STOCKHOLMS LÄN</t>
        </is>
      </c>
      <c r="E530" t="inlineStr">
        <is>
          <t>NORRTÄLJE</t>
        </is>
      </c>
      <c r="G530" t="n">
        <v>9.5</v>
      </c>
      <c r="H530" t="n">
        <v>0</v>
      </c>
      <c r="I530" t="n">
        <v>0</v>
      </c>
      <c r="J530" t="n">
        <v>0</v>
      </c>
      <c r="K530" t="n">
        <v>0</v>
      </c>
      <c r="L530" t="n">
        <v>0</v>
      </c>
      <c r="M530" t="n">
        <v>0</v>
      </c>
      <c r="N530" t="n">
        <v>0</v>
      </c>
      <c r="O530" t="n">
        <v>0</v>
      </c>
      <c r="P530" t="n">
        <v>0</v>
      </c>
      <c r="Q530" t="n">
        <v>0</v>
      </c>
      <c r="R530" s="2" t="inlineStr"/>
    </row>
    <row r="531" ht="15" customHeight="1">
      <c r="A531" t="inlineStr">
        <is>
          <t>A 18539-2021</t>
        </is>
      </c>
      <c r="B531" s="1" t="n">
        <v>44306</v>
      </c>
      <c r="C531" s="1" t="n">
        <v>45672</v>
      </c>
      <c r="D531" t="inlineStr">
        <is>
          <t>STOCKHOLMS LÄN</t>
        </is>
      </c>
      <c r="E531" t="inlineStr">
        <is>
          <t>NORRTÄLJE</t>
        </is>
      </c>
      <c r="F531" t="inlineStr">
        <is>
          <t>Holmen skog AB</t>
        </is>
      </c>
      <c r="G531" t="n">
        <v>5.5</v>
      </c>
      <c r="H531" t="n">
        <v>0</v>
      </c>
      <c r="I531" t="n">
        <v>0</v>
      </c>
      <c r="J531" t="n">
        <v>0</v>
      </c>
      <c r="K531" t="n">
        <v>0</v>
      </c>
      <c r="L531" t="n">
        <v>0</v>
      </c>
      <c r="M531" t="n">
        <v>0</v>
      </c>
      <c r="N531" t="n">
        <v>0</v>
      </c>
      <c r="O531" t="n">
        <v>0</v>
      </c>
      <c r="P531" t="n">
        <v>0</v>
      </c>
      <c r="Q531" t="n">
        <v>0</v>
      </c>
      <c r="R531" s="2" t="inlineStr"/>
    </row>
    <row r="532" ht="15" customHeight="1">
      <c r="A532" t="inlineStr">
        <is>
          <t>A 18570-2021</t>
        </is>
      </c>
      <c r="B532" s="1" t="n">
        <v>44306</v>
      </c>
      <c r="C532" s="1" t="n">
        <v>45672</v>
      </c>
      <c r="D532" t="inlineStr">
        <is>
          <t>STOCKHOLMS LÄN</t>
        </is>
      </c>
      <c r="E532" t="inlineStr">
        <is>
          <t>NORRTÄLJE</t>
        </is>
      </c>
      <c r="F532" t="inlineStr">
        <is>
          <t>Holmen skog AB</t>
        </is>
      </c>
      <c r="G532" t="n">
        <v>0.6</v>
      </c>
      <c r="H532" t="n">
        <v>0</v>
      </c>
      <c r="I532" t="n">
        <v>0</v>
      </c>
      <c r="J532" t="n">
        <v>0</v>
      </c>
      <c r="K532" t="n">
        <v>0</v>
      </c>
      <c r="L532" t="n">
        <v>0</v>
      </c>
      <c r="M532" t="n">
        <v>0</v>
      </c>
      <c r="N532" t="n">
        <v>0</v>
      </c>
      <c r="O532" t="n">
        <v>0</v>
      </c>
      <c r="P532" t="n">
        <v>0</v>
      </c>
      <c r="Q532" t="n">
        <v>0</v>
      </c>
      <c r="R532" s="2" t="inlineStr"/>
    </row>
    <row r="533" ht="15" customHeight="1">
      <c r="A533" t="inlineStr">
        <is>
          <t>A 19283-2021</t>
        </is>
      </c>
      <c r="B533" s="1" t="n">
        <v>44309</v>
      </c>
      <c r="C533" s="1" t="n">
        <v>45672</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19400-2021</t>
        </is>
      </c>
      <c r="B534" s="1" t="n">
        <v>44309</v>
      </c>
      <c r="C534" s="1" t="n">
        <v>45672</v>
      </c>
      <c r="D534" t="inlineStr">
        <is>
          <t>STOCKHOLMS LÄN</t>
        </is>
      </c>
      <c r="E534" t="inlineStr">
        <is>
          <t>NORRTÄLJE</t>
        </is>
      </c>
      <c r="F534" t="inlineStr">
        <is>
          <t>Kommuner</t>
        </is>
      </c>
      <c r="G534" t="n">
        <v>2.4</v>
      </c>
      <c r="H534" t="n">
        <v>0</v>
      </c>
      <c r="I534" t="n">
        <v>0</v>
      </c>
      <c r="J534" t="n">
        <v>0</v>
      </c>
      <c r="K534" t="n">
        <v>0</v>
      </c>
      <c r="L534" t="n">
        <v>0</v>
      </c>
      <c r="M534" t="n">
        <v>0</v>
      </c>
      <c r="N534" t="n">
        <v>0</v>
      </c>
      <c r="O534" t="n">
        <v>0</v>
      </c>
      <c r="P534" t="n">
        <v>0</v>
      </c>
      <c r="Q534" t="n">
        <v>0</v>
      </c>
      <c r="R534" s="2" t="inlineStr"/>
    </row>
    <row r="535" ht="15" customHeight="1">
      <c r="A535" t="inlineStr">
        <is>
          <t>A 19307-2021</t>
        </is>
      </c>
      <c r="B535" s="1" t="n">
        <v>44309</v>
      </c>
      <c r="C535" s="1" t="n">
        <v>45672</v>
      </c>
      <c r="D535" t="inlineStr">
        <is>
          <t>STOCKHOLMS LÄN</t>
        </is>
      </c>
      <c r="E535" t="inlineStr">
        <is>
          <t>NORRTÄLJE</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19398-2021</t>
        </is>
      </c>
      <c r="B536" s="1" t="n">
        <v>44309</v>
      </c>
      <c r="C536" s="1" t="n">
        <v>45672</v>
      </c>
      <c r="D536" t="inlineStr">
        <is>
          <t>STOCKHOLMS LÄN</t>
        </is>
      </c>
      <c r="E536" t="inlineStr">
        <is>
          <t>NORRTÄLJE</t>
        </is>
      </c>
      <c r="F536" t="inlineStr">
        <is>
          <t>Kommuner</t>
        </is>
      </c>
      <c r="G536" t="n">
        <v>2.1</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45672</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20473-2021</t>
        </is>
      </c>
      <c r="B538" s="1" t="n">
        <v>44315</v>
      </c>
      <c r="C538" s="1" t="n">
        <v>45672</v>
      </c>
      <c r="D538" t="inlineStr">
        <is>
          <t>STOCKHOLMS LÄN</t>
        </is>
      </c>
      <c r="E538" t="inlineStr">
        <is>
          <t>NORRTÄLJE</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21291-2021</t>
        </is>
      </c>
      <c r="B539" s="1" t="n">
        <v>44319</v>
      </c>
      <c r="C539" s="1" t="n">
        <v>45672</v>
      </c>
      <c r="D539" t="inlineStr">
        <is>
          <t>STOCKHOLMS LÄN</t>
        </is>
      </c>
      <c r="E539" t="inlineStr">
        <is>
          <t>NORRTÄLJE</t>
        </is>
      </c>
      <c r="G539" t="n">
        <v>12.7</v>
      </c>
      <c r="H539" t="n">
        <v>0</v>
      </c>
      <c r="I539" t="n">
        <v>0</v>
      </c>
      <c r="J539" t="n">
        <v>0</v>
      </c>
      <c r="K539" t="n">
        <v>0</v>
      </c>
      <c r="L539" t="n">
        <v>0</v>
      </c>
      <c r="M539" t="n">
        <v>0</v>
      </c>
      <c r="N539" t="n">
        <v>0</v>
      </c>
      <c r="O539" t="n">
        <v>0</v>
      </c>
      <c r="P539" t="n">
        <v>0</v>
      </c>
      <c r="Q539" t="n">
        <v>0</v>
      </c>
      <c r="R539" s="2" t="inlineStr"/>
    </row>
    <row r="540" ht="15" customHeight="1">
      <c r="A540" t="inlineStr">
        <is>
          <t>A 21529-2021</t>
        </is>
      </c>
      <c r="B540" s="1" t="n">
        <v>44321</v>
      </c>
      <c r="C540" s="1" t="n">
        <v>45672</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22832-2021</t>
        </is>
      </c>
      <c r="B541" s="1" t="n">
        <v>44325</v>
      </c>
      <c r="C541" s="1" t="n">
        <v>45672</v>
      </c>
      <c r="D541" t="inlineStr">
        <is>
          <t>STOCKHOLMS LÄN</t>
        </is>
      </c>
      <c r="E541" t="inlineStr">
        <is>
          <t>NORRTÄLJE</t>
        </is>
      </c>
      <c r="G541" t="n">
        <v>6.8</v>
      </c>
      <c r="H541" t="n">
        <v>0</v>
      </c>
      <c r="I541" t="n">
        <v>0</v>
      </c>
      <c r="J541" t="n">
        <v>0</v>
      </c>
      <c r="K541" t="n">
        <v>0</v>
      </c>
      <c r="L541" t="n">
        <v>0</v>
      </c>
      <c r="M541" t="n">
        <v>0</v>
      </c>
      <c r="N541" t="n">
        <v>0</v>
      </c>
      <c r="O541" t="n">
        <v>0</v>
      </c>
      <c r="P541" t="n">
        <v>0</v>
      </c>
      <c r="Q541" t="n">
        <v>0</v>
      </c>
      <c r="R541" s="2" t="inlineStr"/>
    </row>
    <row r="542" ht="15" customHeight="1">
      <c r="A542" t="inlineStr">
        <is>
          <t>A 22816-2021</t>
        </is>
      </c>
      <c r="B542" s="1" t="n">
        <v>44325</v>
      </c>
      <c r="C542" s="1" t="n">
        <v>45672</v>
      </c>
      <c r="D542" t="inlineStr">
        <is>
          <t>STOCKHOLMS LÄN</t>
        </is>
      </c>
      <c r="E542" t="inlineStr">
        <is>
          <t>NORRTÄLJE</t>
        </is>
      </c>
      <c r="G542" t="n">
        <v>4.5</v>
      </c>
      <c r="H542" t="n">
        <v>0</v>
      </c>
      <c r="I542" t="n">
        <v>0</v>
      </c>
      <c r="J542" t="n">
        <v>0</v>
      </c>
      <c r="K542" t="n">
        <v>0</v>
      </c>
      <c r="L542" t="n">
        <v>0</v>
      </c>
      <c r="M542" t="n">
        <v>0</v>
      </c>
      <c r="N542" t="n">
        <v>0</v>
      </c>
      <c r="O542" t="n">
        <v>0</v>
      </c>
      <c r="P542" t="n">
        <v>0</v>
      </c>
      <c r="Q542" t="n">
        <v>0</v>
      </c>
      <c r="R542" s="2" t="inlineStr"/>
    </row>
    <row r="543" ht="15" customHeight="1">
      <c r="A543" t="inlineStr">
        <is>
          <t>A 22369-2021</t>
        </is>
      </c>
      <c r="B543" s="1" t="n">
        <v>44326</v>
      </c>
      <c r="C543" s="1" t="n">
        <v>45672</v>
      </c>
      <c r="D543" t="inlineStr">
        <is>
          <t>STOCKHOLMS LÄN</t>
        </is>
      </c>
      <c r="E543" t="inlineStr">
        <is>
          <t>NORRTÄLJE</t>
        </is>
      </c>
      <c r="F543" t="inlineStr">
        <is>
          <t>Holmen skog AB</t>
        </is>
      </c>
      <c r="G543" t="n">
        <v>3.4</v>
      </c>
      <c r="H543" t="n">
        <v>0</v>
      </c>
      <c r="I543" t="n">
        <v>0</v>
      </c>
      <c r="J543" t="n">
        <v>0</v>
      </c>
      <c r="K543" t="n">
        <v>0</v>
      </c>
      <c r="L543" t="n">
        <v>0</v>
      </c>
      <c r="M543" t="n">
        <v>0</v>
      </c>
      <c r="N543" t="n">
        <v>0</v>
      </c>
      <c r="O543" t="n">
        <v>0</v>
      </c>
      <c r="P543" t="n">
        <v>0</v>
      </c>
      <c r="Q543" t="n">
        <v>0</v>
      </c>
      <c r="R543" s="2" t="inlineStr"/>
    </row>
    <row r="544" ht="15" customHeight="1">
      <c r="A544" t="inlineStr">
        <is>
          <t>A 22421-2021</t>
        </is>
      </c>
      <c r="B544" s="1" t="n">
        <v>44326</v>
      </c>
      <c r="C544" s="1" t="n">
        <v>45672</v>
      </c>
      <c r="D544" t="inlineStr">
        <is>
          <t>STOCKHOLMS LÄN</t>
        </is>
      </c>
      <c r="E544" t="inlineStr">
        <is>
          <t>NORRTÄLJE</t>
        </is>
      </c>
      <c r="G544" t="n">
        <v>2.1</v>
      </c>
      <c r="H544" t="n">
        <v>0</v>
      </c>
      <c r="I544" t="n">
        <v>0</v>
      </c>
      <c r="J544" t="n">
        <v>0</v>
      </c>
      <c r="K544" t="n">
        <v>0</v>
      </c>
      <c r="L544" t="n">
        <v>0</v>
      </c>
      <c r="M544" t="n">
        <v>0</v>
      </c>
      <c r="N544" t="n">
        <v>0</v>
      </c>
      <c r="O544" t="n">
        <v>0</v>
      </c>
      <c r="P544" t="n">
        <v>0</v>
      </c>
      <c r="Q544" t="n">
        <v>0</v>
      </c>
      <c r="R544" s="2" t="inlineStr"/>
    </row>
    <row r="545" ht="15" customHeight="1">
      <c r="A545" t="inlineStr">
        <is>
          <t>A 22412-2021</t>
        </is>
      </c>
      <c r="B545" s="1" t="n">
        <v>44326</v>
      </c>
      <c r="C545" s="1" t="n">
        <v>45672</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45672</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23096-2021</t>
        </is>
      </c>
      <c r="B547" s="1" t="n">
        <v>44330</v>
      </c>
      <c r="C547" s="1" t="n">
        <v>45672</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45672</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23453-2021</t>
        </is>
      </c>
      <c r="B549" s="1" t="n">
        <v>44333</v>
      </c>
      <c r="C549" s="1" t="n">
        <v>45672</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24082-2021</t>
        </is>
      </c>
      <c r="B550" s="1" t="n">
        <v>44336</v>
      </c>
      <c r="C550" s="1" t="n">
        <v>45672</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25463-2021</t>
        </is>
      </c>
      <c r="B551" s="1" t="n">
        <v>44342</v>
      </c>
      <c r="C551" s="1" t="n">
        <v>45672</v>
      </c>
      <c r="D551" t="inlineStr">
        <is>
          <t>STOCKHOLMS LÄN</t>
        </is>
      </c>
      <c r="E551" t="inlineStr">
        <is>
          <t>NORRTÄLJE</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27217-2021</t>
        </is>
      </c>
      <c r="B552" s="1" t="n">
        <v>44350</v>
      </c>
      <c r="C552" s="1" t="n">
        <v>45672</v>
      </c>
      <c r="D552" t="inlineStr">
        <is>
          <t>STOCKHOLMS LÄN</t>
        </is>
      </c>
      <c r="E552" t="inlineStr">
        <is>
          <t>NORRTÄLJE</t>
        </is>
      </c>
      <c r="G552" t="n">
        <v>5.5</v>
      </c>
      <c r="H552" t="n">
        <v>0</v>
      </c>
      <c r="I552" t="n">
        <v>0</v>
      </c>
      <c r="J552" t="n">
        <v>0</v>
      </c>
      <c r="K552" t="n">
        <v>0</v>
      </c>
      <c r="L552" t="n">
        <v>0</v>
      </c>
      <c r="M552" t="n">
        <v>0</v>
      </c>
      <c r="N552" t="n">
        <v>0</v>
      </c>
      <c r="O552" t="n">
        <v>0</v>
      </c>
      <c r="P552" t="n">
        <v>0</v>
      </c>
      <c r="Q552" t="n">
        <v>0</v>
      </c>
      <c r="R552" s="2" t="inlineStr"/>
    </row>
    <row r="553" ht="15" customHeight="1">
      <c r="A553" t="inlineStr">
        <is>
          <t>A 27214-2021</t>
        </is>
      </c>
      <c r="B553" s="1" t="n">
        <v>44350</v>
      </c>
      <c r="C553" s="1" t="n">
        <v>45672</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29357-2021</t>
        </is>
      </c>
      <c r="B554" s="1" t="n">
        <v>44361</v>
      </c>
      <c r="C554" s="1" t="n">
        <v>45672</v>
      </c>
      <c r="D554" t="inlineStr">
        <is>
          <t>STOCKHOLMS LÄN</t>
        </is>
      </c>
      <c r="E554" t="inlineStr">
        <is>
          <t>NORRTÄLJE</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29680-2021</t>
        </is>
      </c>
      <c r="B555" s="1" t="n">
        <v>44362</v>
      </c>
      <c r="C555" s="1" t="n">
        <v>45672</v>
      </c>
      <c r="D555" t="inlineStr">
        <is>
          <t>STOCKHOLMS LÄN</t>
        </is>
      </c>
      <c r="E555" t="inlineStr">
        <is>
          <t>NORRTÄLJE</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29684-2021</t>
        </is>
      </c>
      <c r="B556" s="1" t="n">
        <v>44362</v>
      </c>
      <c r="C556" s="1" t="n">
        <v>45672</v>
      </c>
      <c r="D556" t="inlineStr">
        <is>
          <t>STOCKHOLMS LÄN</t>
        </is>
      </c>
      <c r="E556" t="inlineStr">
        <is>
          <t>NORRTÄLJE</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30129-2021</t>
        </is>
      </c>
      <c r="B557" s="1" t="n">
        <v>44363</v>
      </c>
      <c r="C557" s="1" t="n">
        <v>45672</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31688-2021</t>
        </is>
      </c>
      <c r="B558" s="1" t="n">
        <v>44369</v>
      </c>
      <c r="C558" s="1" t="n">
        <v>45672</v>
      </c>
      <c r="D558" t="inlineStr">
        <is>
          <t>STOCKHOLMS LÄN</t>
        </is>
      </c>
      <c r="E558" t="inlineStr">
        <is>
          <t>NORRTÄLJE</t>
        </is>
      </c>
      <c r="G558" t="n">
        <v>2.9</v>
      </c>
      <c r="H558" t="n">
        <v>0</v>
      </c>
      <c r="I558" t="n">
        <v>0</v>
      </c>
      <c r="J558" t="n">
        <v>0</v>
      </c>
      <c r="K558" t="n">
        <v>0</v>
      </c>
      <c r="L558" t="n">
        <v>0</v>
      </c>
      <c r="M558" t="n">
        <v>0</v>
      </c>
      <c r="N558" t="n">
        <v>0</v>
      </c>
      <c r="O558" t="n">
        <v>0</v>
      </c>
      <c r="P558" t="n">
        <v>0</v>
      </c>
      <c r="Q558" t="n">
        <v>0</v>
      </c>
      <c r="R558" s="2" t="inlineStr"/>
    </row>
    <row r="559" ht="15" customHeight="1">
      <c r="A559" t="inlineStr">
        <is>
          <t>A 32002-2021</t>
        </is>
      </c>
      <c r="B559" s="1" t="n">
        <v>44370</v>
      </c>
      <c r="C559" s="1" t="n">
        <v>45672</v>
      </c>
      <c r="D559" t="inlineStr">
        <is>
          <t>STOCKHOLMS LÄN</t>
        </is>
      </c>
      <c r="E559" t="inlineStr">
        <is>
          <t>NORRTÄLJE</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32051-2021</t>
        </is>
      </c>
      <c r="B560" s="1" t="n">
        <v>44370</v>
      </c>
      <c r="C560" s="1" t="n">
        <v>45672</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32055-2021</t>
        </is>
      </c>
      <c r="B561" s="1" t="n">
        <v>44370</v>
      </c>
      <c r="C561" s="1" t="n">
        <v>45672</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32561-2021</t>
        </is>
      </c>
      <c r="B562" s="1" t="n">
        <v>44375</v>
      </c>
      <c r="C562" s="1" t="n">
        <v>45672</v>
      </c>
      <c r="D562" t="inlineStr">
        <is>
          <t>STOCKHOLMS LÄN</t>
        </is>
      </c>
      <c r="E562" t="inlineStr">
        <is>
          <t>NORRTÄLJE</t>
        </is>
      </c>
      <c r="G562" t="n">
        <v>3.4</v>
      </c>
      <c r="H562" t="n">
        <v>0</v>
      </c>
      <c r="I562" t="n">
        <v>0</v>
      </c>
      <c r="J562" t="n">
        <v>0</v>
      </c>
      <c r="K562" t="n">
        <v>0</v>
      </c>
      <c r="L562" t="n">
        <v>0</v>
      </c>
      <c r="M562" t="n">
        <v>0</v>
      </c>
      <c r="N562" t="n">
        <v>0</v>
      </c>
      <c r="O562" t="n">
        <v>0</v>
      </c>
      <c r="P562" t="n">
        <v>0</v>
      </c>
      <c r="Q562" t="n">
        <v>0</v>
      </c>
      <c r="R562" s="2" t="inlineStr"/>
    </row>
    <row r="563" ht="15" customHeight="1">
      <c r="A563" t="inlineStr">
        <is>
          <t>A 32857-2021</t>
        </is>
      </c>
      <c r="B563" s="1" t="n">
        <v>44375</v>
      </c>
      <c r="C563" s="1" t="n">
        <v>45672</v>
      </c>
      <c r="D563" t="inlineStr">
        <is>
          <t>STOCKHOLMS LÄN</t>
        </is>
      </c>
      <c r="E563" t="inlineStr">
        <is>
          <t>NORRTÄLJE</t>
        </is>
      </c>
      <c r="G563" t="n">
        <v>2.9</v>
      </c>
      <c r="H563" t="n">
        <v>0</v>
      </c>
      <c r="I563" t="n">
        <v>0</v>
      </c>
      <c r="J563" t="n">
        <v>0</v>
      </c>
      <c r="K563" t="n">
        <v>0</v>
      </c>
      <c r="L563" t="n">
        <v>0</v>
      </c>
      <c r="M563" t="n">
        <v>0</v>
      </c>
      <c r="N563" t="n">
        <v>0</v>
      </c>
      <c r="O563" t="n">
        <v>0</v>
      </c>
      <c r="P563" t="n">
        <v>0</v>
      </c>
      <c r="Q563" t="n">
        <v>0</v>
      </c>
      <c r="R563" s="2" t="inlineStr"/>
    </row>
    <row r="564" ht="15" customHeight="1">
      <c r="A564" t="inlineStr">
        <is>
          <t>A 33053-2021</t>
        </is>
      </c>
      <c r="B564" s="1" t="n">
        <v>44376</v>
      </c>
      <c r="C564" s="1" t="n">
        <v>45672</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33046-2021</t>
        </is>
      </c>
      <c r="B565" s="1" t="n">
        <v>44376</v>
      </c>
      <c r="C565" s="1" t="n">
        <v>45672</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33040-2021</t>
        </is>
      </c>
      <c r="B566" s="1" t="n">
        <v>44376</v>
      </c>
      <c r="C566" s="1" t="n">
        <v>45672</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34520-2021</t>
        </is>
      </c>
      <c r="B567" s="1" t="n">
        <v>44379</v>
      </c>
      <c r="C567" s="1" t="n">
        <v>45672</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34432-2021</t>
        </is>
      </c>
      <c r="B568" s="1" t="n">
        <v>44380</v>
      </c>
      <c r="C568" s="1" t="n">
        <v>45672</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34431-2021</t>
        </is>
      </c>
      <c r="B569" s="1" t="n">
        <v>44380</v>
      </c>
      <c r="C569" s="1" t="n">
        <v>45672</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34436-2021</t>
        </is>
      </c>
      <c r="B570" s="1" t="n">
        <v>44380</v>
      </c>
      <c r="C570" s="1" t="n">
        <v>45672</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34731-2021</t>
        </is>
      </c>
      <c r="B571" s="1" t="n">
        <v>44382</v>
      </c>
      <c r="C571" s="1" t="n">
        <v>45672</v>
      </c>
      <c r="D571" t="inlineStr">
        <is>
          <t>STOCKHOLMS LÄN</t>
        </is>
      </c>
      <c r="E571" t="inlineStr">
        <is>
          <t>NORRTÄLJE</t>
        </is>
      </c>
      <c r="G571" t="n">
        <v>0.2</v>
      </c>
      <c r="H571" t="n">
        <v>0</v>
      </c>
      <c r="I571" t="n">
        <v>0</v>
      </c>
      <c r="J571" t="n">
        <v>0</v>
      </c>
      <c r="K571" t="n">
        <v>0</v>
      </c>
      <c r="L571" t="n">
        <v>0</v>
      </c>
      <c r="M571" t="n">
        <v>0</v>
      </c>
      <c r="N571" t="n">
        <v>0</v>
      </c>
      <c r="O571" t="n">
        <v>0</v>
      </c>
      <c r="P571" t="n">
        <v>0</v>
      </c>
      <c r="Q571" t="n">
        <v>0</v>
      </c>
      <c r="R571" s="2" t="inlineStr"/>
    </row>
    <row r="572" ht="15" customHeight="1">
      <c r="A572" t="inlineStr">
        <is>
          <t>A 34792-2021</t>
        </is>
      </c>
      <c r="B572" s="1" t="n">
        <v>44383</v>
      </c>
      <c r="C572" s="1" t="n">
        <v>45672</v>
      </c>
      <c r="D572" t="inlineStr">
        <is>
          <t>STOCKHOLMS LÄN</t>
        </is>
      </c>
      <c r="E572" t="inlineStr">
        <is>
          <t>NORRTÄLJE</t>
        </is>
      </c>
      <c r="G572" t="n">
        <v>4.4</v>
      </c>
      <c r="H572" t="n">
        <v>0</v>
      </c>
      <c r="I572" t="n">
        <v>0</v>
      </c>
      <c r="J572" t="n">
        <v>0</v>
      </c>
      <c r="K572" t="n">
        <v>0</v>
      </c>
      <c r="L572" t="n">
        <v>0</v>
      </c>
      <c r="M572" t="n">
        <v>0</v>
      </c>
      <c r="N572" t="n">
        <v>0</v>
      </c>
      <c r="O572" t="n">
        <v>0</v>
      </c>
      <c r="P572" t="n">
        <v>0</v>
      </c>
      <c r="Q572" t="n">
        <v>0</v>
      </c>
      <c r="R572" s="2" t="inlineStr"/>
    </row>
    <row r="573" ht="15" customHeight="1">
      <c r="A573" t="inlineStr">
        <is>
          <t>A 36246-2021</t>
        </is>
      </c>
      <c r="B573" s="1" t="n">
        <v>44390</v>
      </c>
      <c r="C573" s="1" t="n">
        <v>45672</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36565-2021</t>
        </is>
      </c>
      <c r="B574" s="1" t="n">
        <v>44391</v>
      </c>
      <c r="C574" s="1" t="n">
        <v>45672</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37085-2021</t>
        </is>
      </c>
      <c r="B575" s="1" t="n">
        <v>44395</v>
      </c>
      <c r="C575" s="1" t="n">
        <v>45672</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37344-2021</t>
        </is>
      </c>
      <c r="B576" s="1" t="n">
        <v>44397</v>
      </c>
      <c r="C576" s="1" t="n">
        <v>45672</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37415-2021</t>
        </is>
      </c>
      <c r="B577" s="1" t="n">
        <v>44397</v>
      </c>
      <c r="C577" s="1" t="n">
        <v>45672</v>
      </c>
      <c r="D577" t="inlineStr">
        <is>
          <t>STOCKHOLMS LÄN</t>
        </is>
      </c>
      <c r="E577" t="inlineStr">
        <is>
          <t>NORRTÄLJE</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37444-2021</t>
        </is>
      </c>
      <c r="B578" s="1" t="n">
        <v>44398</v>
      </c>
      <c r="C578" s="1" t="n">
        <v>45672</v>
      </c>
      <c r="D578" t="inlineStr">
        <is>
          <t>STOCKHOLMS LÄN</t>
        </is>
      </c>
      <c r="E578" t="inlineStr">
        <is>
          <t>NORRTÄLJE</t>
        </is>
      </c>
      <c r="F578" t="inlineStr">
        <is>
          <t>Holmen skog AB</t>
        </is>
      </c>
      <c r="G578" t="n">
        <v>3.2</v>
      </c>
      <c r="H578" t="n">
        <v>0</v>
      </c>
      <c r="I578" t="n">
        <v>0</v>
      </c>
      <c r="J578" t="n">
        <v>0</v>
      </c>
      <c r="K578" t="n">
        <v>0</v>
      </c>
      <c r="L578" t="n">
        <v>0</v>
      </c>
      <c r="M578" t="n">
        <v>0</v>
      </c>
      <c r="N578" t="n">
        <v>0</v>
      </c>
      <c r="O578" t="n">
        <v>0</v>
      </c>
      <c r="P578" t="n">
        <v>0</v>
      </c>
      <c r="Q578" t="n">
        <v>0</v>
      </c>
      <c r="R578" s="2" t="inlineStr"/>
    </row>
    <row r="579" ht="15" customHeight="1">
      <c r="A579" t="inlineStr">
        <is>
          <t>A 37462-2021</t>
        </is>
      </c>
      <c r="B579" s="1" t="n">
        <v>44398</v>
      </c>
      <c r="C579" s="1" t="n">
        <v>45672</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37530-2021</t>
        </is>
      </c>
      <c r="B580" s="1" t="n">
        <v>44399</v>
      </c>
      <c r="C580" s="1" t="n">
        <v>45672</v>
      </c>
      <c r="D580" t="inlineStr">
        <is>
          <t>STOCKHOLMS LÄN</t>
        </is>
      </c>
      <c r="E580" t="inlineStr">
        <is>
          <t>NORRTÄLJE</t>
        </is>
      </c>
      <c r="F580" t="inlineStr">
        <is>
          <t>Holmen skog AB</t>
        </is>
      </c>
      <c r="G580" t="n">
        <v>2.8</v>
      </c>
      <c r="H580" t="n">
        <v>0</v>
      </c>
      <c r="I580" t="n">
        <v>0</v>
      </c>
      <c r="J580" t="n">
        <v>0</v>
      </c>
      <c r="K580" t="n">
        <v>0</v>
      </c>
      <c r="L580" t="n">
        <v>0</v>
      </c>
      <c r="M580" t="n">
        <v>0</v>
      </c>
      <c r="N580" t="n">
        <v>0</v>
      </c>
      <c r="O580" t="n">
        <v>0</v>
      </c>
      <c r="P580" t="n">
        <v>0</v>
      </c>
      <c r="Q580" t="n">
        <v>0</v>
      </c>
      <c r="R580" s="2" t="inlineStr"/>
    </row>
    <row r="581" ht="15" customHeight="1">
      <c r="A581" t="inlineStr">
        <is>
          <t>A 37522-2021</t>
        </is>
      </c>
      <c r="B581" s="1" t="n">
        <v>44399</v>
      </c>
      <c r="C581" s="1" t="n">
        <v>45672</v>
      </c>
      <c r="D581" t="inlineStr">
        <is>
          <t>STOCKHOLMS LÄN</t>
        </is>
      </c>
      <c r="E581" t="inlineStr">
        <is>
          <t>NORRTÄLJE</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37525-2021</t>
        </is>
      </c>
      <c r="B582" s="1" t="n">
        <v>44399</v>
      </c>
      <c r="C582" s="1" t="n">
        <v>45672</v>
      </c>
      <c r="D582" t="inlineStr">
        <is>
          <t>STOCKHOLMS LÄN</t>
        </is>
      </c>
      <c r="E582" t="inlineStr">
        <is>
          <t>NORRTÄLJE</t>
        </is>
      </c>
      <c r="F582" t="inlineStr">
        <is>
          <t>Holmen skog AB</t>
        </is>
      </c>
      <c r="G582" t="n">
        <v>2.5</v>
      </c>
      <c r="H582" t="n">
        <v>0</v>
      </c>
      <c r="I582" t="n">
        <v>0</v>
      </c>
      <c r="J582" t="n">
        <v>0</v>
      </c>
      <c r="K582" t="n">
        <v>0</v>
      </c>
      <c r="L582" t="n">
        <v>0</v>
      </c>
      <c r="M582" t="n">
        <v>0</v>
      </c>
      <c r="N582" t="n">
        <v>0</v>
      </c>
      <c r="O582" t="n">
        <v>0</v>
      </c>
      <c r="P582" t="n">
        <v>0</v>
      </c>
      <c r="Q582" t="n">
        <v>0</v>
      </c>
      <c r="R582" s="2" t="inlineStr"/>
    </row>
    <row r="583" ht="15" customHeight="1">
      <c r="A583" t="inlineStr">
        <is>
          <t>A 37712-2021</t>
        </is>
      </c>
      <c r="B583" s="1" t="n">
        <v>44400</v>
      </c>
      <c r="C583" s="1" t="n">
        <v>45672</v>
      </c>
      <c r="D583" t="inlineStr">
        <is>
          <t>STOCKHOLMS LÄN</t>
        </is>
      </c>
      <c r="E583" t="inlineStr">
        <is>
          <t>NORRTÄLJE</t>
        </is>
      </c>
      <c r="G583" t="n">
        <v>22.9</v>
      </c>
      <c r="H583" t="n">
        <v>0</v>
      </c>
      <c r="I583" t="n">
        <v>0</v>
      </c>
      <c r="J583" t="n">
        <v>0</v>
      </c>
      <c r="K583" t="n">
        <v>0</v>
      </c>
      <c r="L583" t="n">
        <v>0</v>
      </c>
      <c r="M583" t="n">
        <v>0</v>
      </c>
      <c r="N583" t="n">
        <v>0</v>
      </c>
      <c r="O583" t="n">
        <v>0</v>
      </c>
      <c r="P583" t="n">
        <v>0</v>
      </c>
      <c r="Q583" t="n">
        <v>0</v>
      </c>
      <c r="R583" s="2" t="inlineStr"/>
    </row>
    <row r="584" ht="15" customHeight="1">
      <c r="A584" t="inlineStr">
        <is>
          <t>A 37859-2021</t>
        </is>
      </c>
      <c r="B584" s="1" t="n">
        <v>44403</v>
      </c>
      <c r="C584" s="1" t="n">
        <v>45672</v>
      </c>
      <c r="D584" t="inlineStr">
        <is>
          <t>STOCKHOLMS LÄN</t>
        </is>
      </c>
      <c r="E584" t="inlineStr">
        <is>
          <t>NORRTÄLJE</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39157-2021</t>
        </is>
      </c>
      <c r="B585" s="1" t="n">
        <v>44412</v>
      </c>
      <c r="C585" s="1" t="n">
        <v>45672</v>
      </c>
      <c r="D585" t="inlineStr">
        <is>
          <t>STOCKHOLMS LÄN</t>
        </is>
      </c>
      <c r="E585" t="inlineStr">
        <is>
          <t>NORRTÄLJE</t>
        </is>
      </c>
      <c r="G585" t="n">
        <v>3.1</v>
      </c>
      <c r="H585" t="n">
        <v>0</v>
      </c>
      <c r="I585" t="n">
        <v>0</v>
      </c>
      <c r="J585" t="n">
        <v>0</v>
      </c>
      <c r="K585" t="n">
        <v>0</v>
      </c>
      <c r="L585" t="n">
        <v>0</v>
      </c>
      <c r="M585" t="n">
        <v>0</v>
      </c>
      <c r="N585" t="n">
        <v>0</v>
      </c>
      <c r="O585" t="n">
        <v>0</v>
      </c>
      <c r="P585" t="n">
        <v>0</v>
      </c>
      <c r="Q585" t="n">
        <v>0</v>
      </c>
      <c r="R585" s="2" t="inlineStr"/>
    </row>
    <row r="586" ht="15" customHeight="1">
      <c r="A586" t="inlineStr">
        <is>
          <t>A 39496-2021</t>
        </is>
      </c>
      <c r="B586" s="1" t="n">
        <v>44414</v>
      </c>
      <c r="C586" s="1" t="n">
        <v>45672</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v>
      </c>
      <c r="C587" s="1" t="n">
        <v>45672</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40425-2021</t>
        </is>
      </c>
      <c r="B588" s="1" t="n">
        <v>44419</v>
      </c>
      <c r="C588" s="1" t="n">
        <v>45672</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40542-2021</t>
        </is>
      </c>
      <c r="B589" s="1" t="n">
        <v>44420</v>
      </c>
      <c r="C589" s="1" t="n">
        <v>45672</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40546-2021</t>
        </is>
      </c>
      <c r="B590" s="1" t="n">
        <v>44420</v>
      </c>
      <c r="C590" s="1" t="n">
        <v>45672</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41595-2021</t>
        </is>
      </c>
      <c r="B591" s="1" t="n">
        <v>44425</v>
      </c>
      <c r="C591" s="1" t="n">
        <v>45672</v>
      </c>
      <c r="D591" t="inlineStr">
        <is>
          <t>STOCKHOLMS LÄN</t>
        </is>
      </c>
      <c r="E591" t="inlineStr">
        <is>
          <t>NORRTÄLJE</t>
        </is>
      </c>
      <c r="G591" t="n">
        <v>3.2</v>
      </c>
      <c r="H591" t="n">
        <v>0</v>
      </c>
      <c r="I591" t="n">
        <v>0</v>
      </c>
      <c r="J591" t="n">
        <v>0</v>
      </c>
      <c r="K591" t="n">
        <v>0</v>
      </c>
      <c r="L591" t="n">
        <v>0</v>
      </c>
      <c r="M591" t="n">
        <v>0</v>
      </c>
      <c r="N591" t="n">
        <v>0</v>
      </c>
      <c r="O591" t="n">
        <v>0</v>
      </c>
      <c r="P591" t="n">
        <v>0</v>
      </c>
      <c r="Q591" t="n">
        <v>0</v>
      </c>
      <c r="R591" s="2" t="inlineStr"/>
    </row>
    <row r="592" ht="15" customHeight="1">
      <c r="A592" t="inlineStr">
        <is>
          <t>A 41823-2021</t>
        </is>
      </c>
      <c r="B592" s="1" t="n">
        <v>44425</v>
      </c>
      <c r="C592" s="1" t="n">
        <v>45672</v>
      </c>
      <c r="D592" t="inlineStr">
        <is>
          <t>STOCKHOLMS LÄN</t>
        </is>
      </c>
      <c r="E592" t="inlineStr">
        <is>
          <t>NORRTÄLJE</t>
        </is>
      </c>
      <c r="G592" t="n">
        <v>2.4</v>
      </c>
      <c r="H592" t="n">
        <v>0</v>
      </c>
      <c r="I592" t="n">
        <v>0</v>
      </c>
      <c r="J592" t="n">
        <v>0</v>
      </c>
      <c r="K592" t="n">
        <v>0</v>
      </c>
      <c r="L592" t="n">
        <v>0</v>
      </c>
      <c r="M592" t="n">
        <v>0</v>
      </c>
      <c r="N592" t="n">
        <v>0</v>
      </c>
      <c r="O592" t="n">
        <v>0</v>
      </c>
      <c r="P592" t="n">
        <v>0</v>
      </c>
      <c r="Q592" t="n">
        <v>0</v>
      </c>
      <c r="R592" s="2" t="inlineStr"/>
    </row>
    <row r="593" ht="15" customHeight="1">
      <c r="A593" t="inlineStr">
        <is>
          <t>A 41822-2021</t>
        </is>
      </c>
      <c r="B593" s="1" t="n">
        <v>44425</v>
      </c>
      <c r="C593" s="1" t="n">
        <v>45672</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42396-2021</t>
        </is>
      </c>
      <c r="B594" s="1" t="n">
        <v>44427</v>
      </c>
      <c r="C594" s="1" t="n">
        <v>45672</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43478-2021</t>
        </is>
      </c>
      <c r="B595" s="1" t="n">
        <v>44432</v>
      </c>
      <c r="C595" s="1" t="n">
        <v>45672</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44274-2021</t>
        </is>
      </c>
      <c r="B596" s="1" t="n">
        <v>44435</v>
      </c>
      <c r="C596" s="1" t="n">
        <v>45672</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47344-2021</t>
        </is>
      </c>
      <c r="B597" s="1" t="n">
        <v>44447</v>
      </c>
      <c r="C597" s="1" t="n">
        <v>45672</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47349-2021</t>
        </is>
      </c>
      <c r="B598" s="1" t="n">
        <v>44447</v>
      </c>
      <c r="C598" s="1" t="n">
        <v>45672</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47691-2021</t>
        </is>
      </c>
      <c r="B599" s="1" t="n">
        <v>44448</v>
      </c>
      <c r="C599" s="1" t="n">
        <v>45672</v>
      </c>
      <c r="D599" t="inlineStr">
        <is>
          <t>STOCKHOLMS LÄN</t>
        </is>
      </c>
      <c r="E599" t="inlineStr">
        <is>
          <t>NORRTÄLJE</t>
        </is>
      </c>
      <c r="G599" t="n">
        <v>2.8</v>
      </c>
      <c r="H599" t="n">
        <v>0</v>
      </c>
      <c r="I599" t="n">
        <v>0</v>
      </c>
      <c r="J599" t="n">
        <v>0</v>
      </c>
      <c r="K599" t="n">
        <v>0</v>
      </c>
      <c r="L599" t="n">
        <v>0</v>
      </c>
      <c r="M599" t="n">
        <v>0</v>
      </c>
      <c r="N599" t="n">
        <v>0</v>
      </c>
      <c r="O599" t="n">
        <v>0</v>
      </c>
      <c r="P599" t="n">
        <v>0</v>
      </c>
      <c r="Q599" t="n">
        <v>0</v>
      </c>
      <c r="R599" s="2" t="inlineStr"/>
    </row>
    <row r="600" ht="15" customHeight="1">
      <c r="A600" t="inlineStr">
        <is>
          <t>A 48384-2021</t>
        </is>
      </c>
      <c r="B600" s="1" t="n">
        <v>44451</v>
      </c>
      <c r="C600" s="1" t="n">
        <v>45672</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48798-2021</t>
        </is>
      </c>
      <c r="B601" s="1" t="n">
        <v>44452</v>
      </c>
      <c r="C601" s="1" t="n">
        <v>45672</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48932-2021</t>
        </is>
      </c>
      <c r="B602" s="1" t="n">
        <v>44453</v>
      </c>
      <c r="C602" s="1" t="n">
        <v>45672</v>
      </c>
      <c r="D602" t="inlineStr">
        <is>
          <t>STOCKHOLMS LÄN</t>
        </is>
      </c>
      <c r="E602" t="inlineStr">
        <is>
          <t>NORRTÄLJE</t>
        </is>
      </c>
      <c r="G602" t="n">
        <v>11.2</v>
      </c>
      <c r="H602" t="n">
        <v>0</v>
      </c>
      <c r="I602" t="n">
        <v>0</v>
      </c>
      <c r="J602" t="n">
        <v>0</v>
      </c>
      <c r="K602" t="n">
        <v>0</v>
      </c>
      <c r="L602" t="n">
        <v>0</v>
      </c>
      <c r="M602" t="n">
        <v>0</v>
      </c>
      <c r="N602" t="n">
        <v>0</v>
      </c>
      <c r="O602" t="n">
        <v>0</v>
      </c>
      <c r="P602" t="n">
        <v>0</v>
      </c>
      <c r="Q602" t="n">
        <v>0</v>
      </c>
      <c r="R602" s="2" t="inlineStr"/>
    </row>
    <row r="603" ht="15" customHeight="1">
      <c r="A603" t="inlineStr">
        <is>
          <t>A 49113-2021</t>
        </is>
      </c>
      <c r="B603" s="1" t="n">
        <v>44453</v>
      </c>
      <c r="C603" s="1" t="n">
        <v>45672</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50038-2021</t>
        </is>
      </c>
      <c r="B604" s="1" t="n">
        <v>44456</v>
      </c>
      <c r="C604" s="1" t="n">
        <v>45672</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50108-2021</t>
        </is>
      </c>
      <c r="B605" s="1" t="n">
        <v>44456</v>
      </c>
      <c r="C605" s="1" t="n">
        <v>45672</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50252-2021</t>
        </is>
      </c>
      <c r="B606" s="1" t="n">
        <v>44458</v>
      </c>
      <c r="C606" s="1" t="n">
        <v>45672</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50602-2021</t>
        </is>
      </c>
      <c r="B607" s="1" t="n">
        <v>44459</v>
      </c>
      <c r="C607" s="1" t="n">
        <v>45672</v>
      </c>
      <c r="D607" t="inlineStr">
        <is>
          <t>STOCKHOLMS LÄN</t>
        </is>
      </c>
      <c r="E607" t="inlineStr">
        <is>
          <t>NORRTÄLJE</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51279-2021</t>
        </is>
      </c>
      <c r="B608" s="1" t="n">
        <v>44461</v>
      </c>
      <c r="C608" s="1" t="n">
        <v>45672</v>
      </c>
      <c r="D608" t="inlineStr">
        <is>
          <t>STOCKHOLMS LÄN</t>
        </is>
      </c>
      <c r="E608" t="inlineStr">
        <is>
          <t>NORRTÄLJE</t>
        </is>
      </c>
      <c r="F608" t="inlineStr">
        <is>
          <t>Holmen skog AB</t>
        </is>
      </c>
      <c r="G608" t="n">
        <v>2.1</v>
      </c>
      <c r="H608" t="n">
        <v>0</v>
      </c>
      <c r="I608" t="n">
        <v>0</v>
      </c>
      <c r="J608" t="n">
        <v>0</v>
      </c>
      <c r="K608" t="n">
        <v>0</v>
      </c>
      <c r="L608" t="n">
        <v>0</v>
      </c>
      <c r="M608" t="n">
        <v>0</v>
      </c>
      <c r="N608" t="n">
        <v>0</v>
      </c>
      <c r="O608" t="n">
        <v>0</v>
      </c>
      <c r="P608" t="n">
        <v>0</v>
      </c>
      <c r="Q608" t="n">
        <v>0</v>
      </c>
      <c r="R608" s="2" t="inlineStr"/>
    </row>
    <row r="609" ht="15" customHeight="1">
      <c r="A609" t="inlineStr">
        <is>
          <t>A 51315-2021</t>
        </is>
      </c>
      <c r="B609" s="1" t="n">
        <v>44461</v>
      </c>
      <c r="C609" s="1" t="n">
        <v>45672</v>
      </c>
      <c r="D609" t="inlineStr">
        <is>
          <t>STOCKHOLMS LÄN</t>
        </is>
      </c>
      <c r="E609" t="inlineStr">
        <is>
          <t>NORRTÄLJE</t>
        </is>
      </c>
      <c r="F609" t="inlineStr">
        <is>
          <t>Holmen skog AB</t>
        </is>
      </c>
      <c r="G609" t="n">
        <v>2.2</v>
      </c>
      <c r="H609" t="n">
        <v>0</v>
      </c>
      <c r="I609" t="n">
        <v>0</v>
      </c>
      <c r="J609" t="n">
        <v>0</v>
      </c>
      <c r="K609" t="n">
        <v>0</v>
      </c>
      <c r="L609" t="n">
        <v>0</v>
      </c>
      <c r="M609" t="n">
        <v>0</v>
      </c>
      <c r="N609" t="n">
        <v>0</v>
      </c>
      <c r="O609" t="n">
        <v>0</v>
      </c>
      <c r="P609" t="n">
        <v>0</v>
      </c>
      <c r="Q609" t="n">
        <v>0</v>
      </c>
      <c r="R609" s="2" t="inlineStr"/>
    </row>
    <row r="610" ht="15" customHeight="1">
      <c r="A610" t="inlineStr">
        <is>
          <t>A 52090-2021</t>
        </is>
      </c>
      <c r="B610" s="1" t="n">
        <v>44463</v>
      </c>
      <c r="C610" s="1" t="n">
        <v>45672</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52449-2021</t>
        </is>
      </c>
      <c r="B611" s="1" t="n">
        <v>44466</v>
      </c>
      <c r="C611" s="1" t="n">
        <v>45672</v>
      </c>
      <c r="D611" t="inlineStr">
        <is>
          <t>STOCKHOLMS LÄN</t>
        </is>
      </c>
      <c r="E611" t="inlineStr">
        <is>
          <t>NORRTÄLJE</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54276-2021</t>
        </is>
      </c>
      <c r="B612" s="1" t="n">
        <v>44470</v>
      </c>
      <c r="C612" s="1" t="n">
        <v>45672</v>
      </c>
      <c r="D612" t="inlineStr">
        <is>
          <t>STOCKHOLMS LÄN</t>
        </is>
      </c>
      <c r="E612" t="inlineStr">
        <is>
          <t>NORRTÄLJE</t>
        </is>
      </c>
      <c r="G612" t="n">
        <v>7.3</v>
      </c>
      <c r="H612" t="n">
        <v>0</v>
      </c>
      <c r="I612" t="n">
        <v>0</v>
      </c>
      <c r="J612" t="n">
        <v>0</v>
      </c>
      <c r="K612" t="n">
        <v>0</v>
      </c>
      <c r="L612" t="n">
        <v>0</v>
      </c>
      <c r="M612" t="n">
        <v>0</v>
      </c>
      <c r="N612" t="n">
        <v>0</v>
      </c>
      <c r="O612" t="n">
        <v>0</v>
      </c>
      <c r="P612" t="n">
        <v>0</v>
      </c>
      <c r="Q612" t="n">
        <v>0</v>
      </c>
      <c r="R612" s="2" t="inlineStr"/>
    </row>
    <row r="613" ht="15" customHeight="1">
      <c r="A613" t="inlineStr">
        <is>
          <t>A 54273-2021</t>
        </is>
      </c>
      <c r="B613" s="1" t="n">
        <v>44470</v>
      </c>
      <c r="C613" s="1" t="n">
        <v>45672</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54272-2021</t>
        </is>
      </c>
      <c r="B614" s="1" t="n">
        <v>44470</v>
      </c>
      <c r="C614" s="1" t="n">
        <v>45672</v>
      </c>
      <c r="D614" t="inlineStr">
        <is>
          <t>STOCKHOLMS LÄN</t>
        </is>
      </c>
      <c r="E614" t="inlineStr">
        <is>
          <t>NORRTÄLJE</t>
        </is>
      </c>
      <c r="G614" t="n">
        <v>5.8</v>
      </c>
      <c r="H614" t="n">
        <v>0</v>
      </c>
      <c r="I614" t="n">
        <v>0</v>
      </c>
      <c r="J614" t="n">
        <v>0</v>
      </c>
      <c r="K614" t="n">
        <v>0</v>
      </c>
      <c r="L614" t="n">
        <v>0</v>
      </c>
      <c r="M614" t="n">
        <v>0</v>
      </c>
      <c r="N614" t="n">
        <v>0</v>
      </c>
      <c r="O614" t="n">
        <v>0</v>
      </c>
      <c r="P614" t="n">
        <v>0</v>
      </c>
      <c r="Q614" t="n">
        <v>0</v>
      </c>
      <c r="R614" s="2" t="inlineStr"/>
    </row>
    <row r="615" ht="15" customHeight="1">
      <c r="A615" t="inlineStr">
        <is>
          <t>A 54396-2021</t>
        </is>
      </c>
      <c r="B615" s="1" t="n">
        <v>44472</v>
      </c>
      <c r="C615" s="1" t="n">
        <v>45672</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55058-2021</t>
        </is>
      </c>
      <c r="B616" s="1" t="n">
        <v>44474</v>
      </c>
      <c r="C616" s="1" t="n">
        <v>45672</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56219-2021</t>
        </is>
      </c>
      <c r="B617" s="1" t="n">
        <v>44477</v>
      </c>
      <c r="C617" s="1" t="n">
        <v>45672</v>
      </c>
      <c r="D617" t="inlineStr">
        <is>
          <t>STOCKHOLMS LÄN</t>
        </is>
      </c>
      <c r="E617" t="inlineStr">
        <is>
          <t>NORRTÄLJE</t>
        </is>
      </c>
      <c r="F617" t="inlineStr">
        <is>
          <t>Kommuner</t>
        </is>
      </c>
      <c r="G617" t="n">
        <v>2.3</v>
      </c>
      <c r="H617" t="n">
        <v>0</v>
      </c>
      <c r="I617" t="n">
        <v>0</v>
      </c>
      <c r="J617" t="n">
        <v>0</v>
      </c>
      <c r="K617" t="n">
        <v>0</v>
      </c>
      <c r="L617" t="n">
        <v>0</v>
      </c>
      <c r="M617" t="n">
        <v>0</v>
      </c>
      <c r="N617" t="n">
        <v>0</v>
      </c>
      <c r="O617" t="n">
        <v>0</v>
      </c>
      <c r="P617" t="n">
        <v>0</v>
      </c>
      <c r="Q617" t="n">
        <v>0</v>
      </c>
      <c r="R617" s="2" t="inlineStr"/>
    </row>
    <row r="618" ht="15" customHeight="1">
      <c r="A618" t="inlineStr">
        <is>
          <t>A 56225-2021</t>
        </is>
      </c>
      <c r="B618" s="1" t="n">
        <v>44478</v>
      </c>
      <c r="C618" s="1" t="n">
        <v>45672</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56878-2021</t>
        </is>
      </c>
      <c r="B619" s="1" t="n">
        <v>44481</v>
      </c>
      <c r="C619" s="1" t="n">
        <v>45672</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57442-2021</t>
        </is>
      </c>
      <c r="B620" s="1" t="n">
        <v>44483</v>
      </c>
      <c r="C620" s="1" t="n">
        <v>45672</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57507-2021</t>
        </is>
      </c>
      <c r="B621" s="1" t="n">
        <v>44483</v>
      </c>
      <c r="C621" s="1" t="n">
        <v>45672</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58989-2021</t>
        </is>
      </c>
      <c r="B622" s="1" t="n">
        <v>44490</v>
      </c>
      <c r="C622" s="1" t="n">
        <v>45672</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58990-2021</t>
        </is>
      </c>
      <c r="B623" s="1" t="n">
        <v>44490</v>
      </c>
      <c r="C623" s="1" t="n">
        <v>45672</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60217-2021</t>
        </is>
      </c>
      <c r="B624" s="1" t="n">
        <v>44495</v>
      </c>
      <c r="C624" s="1" t="n">
        <v>45672</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60184-2021</t>
        </is>
      </c>
      <c r="B625" s="1" t="n">
        <v>44495</v>
      </c>
      <c r="C625" s="1" t="n">
        <v>45672</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60186-2021</t>
        </is>
      </c>
      <c r="B626" s="1" t="n">
        <v>44495</v>
      </c>
      <c r="C626" s="1" t="n">
        <v>45672</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60209-2021</t>
        </is>
      </c>
      <c r="B627" s="1" t="n">
        <v>44495</v>
      </c>
      <c r="C627" s="1" t="n">
        <v>45672</v>
      </c>
      <c r="D627" t="inlineStr">
        <is>
          <t>STOCKHOLMS LÄN</t>
        </is>
      </c>
      <c r="E627" t="inlineStr">
        <is>
          <t>NORRTÄLJE</t>
        </is>
      </c>
      <c r="G627" t="n">
        <v>4.3</v>
      </c>
      <c r="H627" t="n">
        <v>0</v>
      </c>
      <c r="I627" t="n">
        <v>0</v>
      </c>
      <c r="J627" t="n">
        <v>0</v>
      </c>
      <c r="K627" t="n">
        <v>0</v>
      </c>
      <c r="L627" t="n">
        <v>0</v>
      </c>
      <c r="M627" t="n">
        <v>0</v>
      </c>
      <c r="N627" t="n">
        <v>0</v>
      </c>
      <c r="O627" t="n">
        <v>0</v>
      </c>
      <c r="P627" t="n">
        <v>0</v>
      </c>
      <c r="Q627" t="n">
        <v>0</v>
      </c>
      <c r="R627" s="2" t="inlineStr"/>
    </row>
    <row r="628" ht="15" customHeight="1">
      <c r="A628" t="inlineStr">
        <is>
          <t>A 60671-2021</t>
        </is>
      </c>
      <c r="B628" s="1" t="n">
        <v>44496</v>
      </c>
      <c r="C628" s="1" t="n">
        <v>45672</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60733-2021</t>
        </is>
      </c>
      <c r="B629" s="1" t="n">
        <v>44496</v>
      </c>
      <c r="C629" s="1" t="n">
        <v>45672</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60813-2021</t>
        </is>
      </c>
      <c r="B630" s="1" t="n">
        <v>44496</v>
      </c>
      <c r="C630" s="1" t="n">
        <v>45672</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60822-2021</t>
        </is>
      </c>
      <c r="B631" s="1" t="n">
        <v>44496</v>
      </c>
      <c r="C631" s="1" t="n">
        <v>45672</v>
      </c>
      <c r="D631" t="inlineStr">
        <is>
          <t>STOCKHOLMS LÄN</t>
        </is>
      </c>
      <c r="E631" t="inlineStr">
        <is>
          <t>NORRTÄLJE</t>
        </is>
      </c>
      <c r="G631" t="n">
        <v>7.6</v>
      </c>
      <c r="H631" t="n">
        <v>0</v>
      </c>
      <c r="I631" t="n">
        <v>0</v>
      </c>
      <c r="J631" t="n">
        <v>0</v>
      </c>
      <c r="K631" t="n">
        <v>0</v>
      </c>
      <c r="L631" t="n">
        <v>0</v>
      </c>
      <c r="M631" t="n">
        <v>0</v>
      </c>
      <c r="N631" t="n">
        <v>0</v>
      </c>
      <c r="O631" t="n">
        <v>0</v>
      </c>
      <c r="P631" t="n">
        <v>0</v>
      </c>
      <c r="Q631" t="n">
        <v>0</v>
      </c>
      <c r="R631" s="2" t="inlineStr"/>
    </row>
    <row r="632" ht="15" customHeight="1">
      <c r="A632" t="inlineStr">
        <is>
          <t>A 62030-2021</t>
        </is>
      </c>
      <c r="B632" s="1" t="n">
        <v>44502</v>
      </c>
      <c r="C632" s="1" t="n">
        <v>45672</v>
      </c>
      <c r="D632" t="inlineStr">
        <is>
          <t>STOCKHOLMS LÄN</t>
        </is>
      </c>
      <c r="E632" t="inlineStr">
        <is>
          <t>NORRTÄLJE</t>
        </is>
      </c>
      <c r="G632" t="n">
        <v>4.7</v>
      </c>
      <c r="H632" t="n">
        <v>0</v>
      </c>
      <c r="I632" t="n">
        <v>0</v>
      </c>
      <c r="J632" t="n">
        <v>0</v>
      </c>
      <c r="K632" t="n">
        <v>0</v>
      </c>
      <c r="L632" t="n">
        <v>0</v>
      </c>
      <c r="M632" t="n">
        <v>0</v>
      </c>
      <c r="N632" t="n">
        <v>0</v>
      </c>
      <c r="O632" t="n">
        <v>0</v>
      </c>
      <c r="P632" t="n">
        <v>0</v>
      </c>
      <c r="Q632" t="n">
        <v>0</v>
      </c>
      <c r="R632" s="2" t="inlineStr"/>
    </row>
    <row r="633" ht="15" customHeight="1">
      <c r="A633" t="inlineStr">
        <is>
          <t>A 63530-2021</t>
        </is>
      </c>
      <c r="B633" s="1" t="n">
        <v>44508</v>
      </c>
      <c r="C633" s="1" t="n">
        <v>45672</v>
      </c>
      <c r="D633" t="inlineStr">
        <is>
          <t>STOCKHOLMS LÄN</t>
        </is>
      </c>
      <c r="E633" t="inlineStr">
        <is>
          <t>NORRTÄLJE</t>
        </is>
      </c>
      <c r="G633" t="n">
        <v>8.9</v>
      </c>
      <c r="H633" t="n">
        <v>0</v>
      </c>
      <c r="I633" t="n">
        <v>0</v>
      </c>
      <c r="J633" t="n">
        <v>0</v>
      </c>
      <c r="K633" t="n">
        <v>0</v>
      </c>
      <c r="L633" t="n">
        <v>0</v>
      </c>
      <c r="M633" t="n">
        <v>0</v>
      </c>
      <c r="N633" t="n">
        <v>0</v>
      </c>
      <c r="O633" t="n">
        <v>0</v>
      </c>
      <c r="P633" t="n">
        <v>0</v>
      </c>
      <c r="Q633" t="n">
        <v>0</v>
      </c>
      <c r="R633" s="2" t="inlineStr"/>
    </row>
    <row r="634" ht="15" customHeight="1">
      <c r="A634" t="inlineStr">
        <is>
          <t>A 64137-2021</t>
        </is>
      </c>
      <c r="B634" s="1" t="n">
        <v>44510</v>
      </c>
      <c r="C634" s="1" t="n">
        <v>45672</v>
      </c>
      <c r="D634" t="inlineStr">
        <is>
          <t>STOCKHOLMS LÄN</t>
        </is>
      </c>
      <c r="E634" t="inlineStr">
        <is>
          <t>NORRTÄLJE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64212-2021</t>
        </is>
      </c>
      <c r="B635" s="1" t="n">
        <v>44510</v>
      </c>
      <c r="C635" s="1" t="n">
        <v>45672</v>
      </c>
      <c r="D635" t="inlineStr">
        <is>
          <t>STOCKHOLMS LÄN</t>
        </is>
      </c>
      <c r="E635" t="inlineStr">
        <is>
          <t>NORRTÄLJE</t>
        </is>
      </c>
      <c r="G635" t="n">
        <v>28.7</v>
      </c>
      <c r="H635" t="n">
        <v>0</v>
      </c>
      <c r="I635" t="n">
        <v>0</v>
      </c>
      <c r="J635" t="n">
        <v>0</v>
      </c>
      <c r="K635" t="n">
        <v>0</v>
      </c>
      <c r="L635" t="n">
        <v>0</v>
      </c>
      <c r="M635" t="n">
        <v>0</v>
      </c>
      <c r="N635" t="n">
        <v>0</v>
      </c>
      <c r="O635" t="n">
        <v>0</v>
      </c>
      <c r="P635" t="n">
        <v>0</v>
      </c>
      <c r="Q635" t="n">
        <v>0</v>
      </c>
      <c r="R635" s="2" t="inlineStr"/>
    </row>
    <row r="636" ht="15" customHeight="1">
      <c r="A636" t="inlineStr">
        <is>
          <t>A 64074-2021</t>
        </is>
      </c>
      <c r="B636" s="1" t="n">
        <v>44510</v>
      </c>
      <c r="C636" s="1" t="n">
        <v>45672</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64145-2021</t>
        </is>
      </c>
      <c r="B637" s="1" t="n">
        <v>44510</v>
      </c>
      <c r="C637" s="1" t="n">
        <v>45672</v>
      </c>
      <c r="D637" t="inlineStr">
        <is>
          <t>STOCKHOLMS LÄN</t>
        </is>
      </c>
      <c r="E637" t="inlineStr">
        <is>
          <t>NORRTÄLJE</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64600-2021</t>
        </is>
      </c>
      <c r="B638" s="1" t="n">
        <v>44511</v>
      </c>
      <c r="C638" s="1" t="n">
        <v>45672</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64599-2021</t>
        </is>
      </c>
      <c r="B639" s="1" t="n">
        <v>44511</v>
      </c>
      <c r="C639" s="1" t="n">
        <v>45672</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64628-2021</t>
        </is>
      </c>
      <c r="B640" s="1" t="n">
        <v>44511</v>
      </c>
      <c r="C640" s="1" t="n">
        <v>45672</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64915-2021</t>
        </is>
      </c>
      <c r="B641" s="1" t="n">
        <v>44512</v>
      </c>
      <c r="C641" s="1" t="n">
        <v>45672</v>
      </c>
      <c r="D641" t="inlineStr">
        <is>
          <t>STOCKHOLMS LÄN</t>
        </is>
      </c>
      <c r="E641" t="inlineStr">
        <is>
          <t>NORRTÄLJE</t>
        </is>
      </c>
      <c r="G641" t="n">
        <v>2.8</v>
      </c>
      <c r="H641" t="n">
        <v>0</v>
      </c>
      <c r="I641" t="n">
        <v>0</v>
      </c>
      <c r="J641" t="n">
        <v>0</v>
      </c>
      <c r="K641" t="n">
        <v>0</v>
      </c>
      <c r="L641" t="n">
        <v>0</v>
      </c>
      <c r="M641" t="n">
        <v>0</v>
      </c>
      <c r="N641" t="n">
        <v>0</v>
      </c>
      <c r="O641" t="n">
        <v>0</v>
      </c>
      <c r="P641" t="n">
        <v>0</v>
      </c>
      <c r="Q641" t="n">
        <v>0</v>
      </c>
      <c r="R641" s="2" t="inlineStr"/>
    </row>
    <row r="642" ht="15" customHeight="1">
      <c r="A642" t="inlineStr">
        <is>
          <t>A 65359-2021</t>
        </is>
      </c>
      <c r="B642" s="1" t="n">
        <v>44515</v>
      </c>
      <c r="C642" s="1" t="n">
        <v>45672</v>
      </c>
      <c r="D642" t="inlineStr">
        <is>
          <t>STOCKHOLMS LÄN</t>
        </is>
      </c>
      <c r="E642" t="inlineStr">
        <is>
          <t>NORRTÄLJE</t>
        </is>
      </c>
      <c r="F642" t="inlineStr">
        <is>
          <t>Kyrkan</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65499-2021</t>
        </is>
      </c>
      <c r="B643" s="1" t="n">
        <v>44516</v>
      </c>
      <c r="C643" s="1" t="n">
        <v>45672</v>
      </c>
      <c r="D643" t="inlineStr">
        <is>
          <t>STOCKHOLMS LÄN</t>
        </is>
      </c>
      <c r="E643" t="inlineStr">
        <is>
          <t>NORRTÄLJE</t>
        </is>
      </c>
      <c r="F643" t="inlineStr">
        <is>
          <t>Kommuner</t>
        </is>
      </c>
      <c r="G643" t="n">
        <v>5.2</v>
      </c>
      <c r="H643" t="n">
        <v>0</v>
      </c>
      <c r="I643" t="n">
        <v>0</v>
      </c>
      <c r="J643" t="n">
        <v>0</v>
      </c>
      <c r="K643" t="n">
        <v>0</v>
      </c>
      <c r="L643" t="n">
        <v>0</v>
      </c>
      <c r="M643" t="n">
        <v>0</v>
      </c>
      <c r="N643" t="n">
        <v>0</v>
      </c>
      <c r="O643" t="n">
        <v>0</v>
      </c>
      <c r="P643" t="n">
        <v>0</v>
      </c>
      <c r="Q643" t="n">
        <v>0</v>
      </c>
      <c r="R643" s="2" t="inlineStr"/>
    </row>
    <row r="644" ht="15" customHeight="1">
      <c r="A644" t="inlineStr">
        <is>
          <t>A 65513-2021</t>
        </is>
      </c>
      <c r="B644" s="1" t="n">
        <v>44516</v>
      </c>
      <c r="C644" s="1" t="n">
        <v>45672</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65511-2021</t>
        </is>
      </c>
      <c r="B645" s="1" t="n">
        <v>44516</v>
      </c>
      <c r="C645" s="1" t="n">
        <v>45672</v>
      </c>
      <c r="D645" t="inlineStr">
        <is>
          <t>STOCKHOLMS LÄN</t>
        </is>
      </c>
      <c r="E645" t="inlineStr">
        <is>
          <t>NORRTÄLJE</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65501-2021</t>
        </is>
      </c>
      <c r="B646" s="1" t="n">
        <v>44516</v>
      </c>
      <c r="C646" s="1" t="n">
        <v>45672</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65509-2021</t>
        </is>
      </c>
      <c r="B647" s="1" t="n">
        <v>44516</v>
      </c>
      <c r="C647" s="1" t="n">
        <v>45672</v>
      </c>
      <c r="D647" t="inlineStr">
        <is>
          <t>STOCKHOLMS LÄN</t>
        </is>
      </c>
      <c r="E647" t="inlineStr">
        <is>
          <t>NORRTÄLJE</t>
        </is>
      </c>
      <c r="F647" t="inlineStr">
        <is>
          <t>Kommuner</t>
        </is>
      </c>
      <c r="G647" t="n">
        <v>1</v>
      </c>
      <c r="H647" t="n">
        <v>0</v>
      </c>
      <c r="I647" t="n">
        <v>0</v>
      </c>
      <c r="J647" t="n">
        <v>0</v>
      </c>
      <c r="K647" t="n">
        <v>0</v>
      </c>
      <c r="L647" t="n">
        <v>0</v>
      </c>
      <c r="M647" t="n">
        <v>0</v>
      </c>
      <c r="N647" t="n">
        <v>0</v>
      </c>
      <c r="O647" t="n">
        <v>0</v>
      </c>
      <c r="P647" t="n">
        <v>0</v>
      </c>
      <c r="Q647" t="n">
        <v>0</v>
      </c>
      <c r="R647" s="2" t="inlineStr"/>
    </row>
    <row r="648" ht="15" customHeight="1">
      <c r="A648" t="inlineStr">
        <is>
          <t>A 65611-2021</t>
        </is>
      </c>
      <c r="B648" s="1" t="n">
        <v>44516</v>
      </c>
      <c r="C648" s="1" t="n">
        <v>45672</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65737-2021</t>
        </is>
      </c>
      <c r="B649" s="1" t="n">
        <v>44516</v>
      </c>
      <c r="C649" s="1" t="n">
        <v>45672</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66450-2021</t>
        </is>
      </c>
      <c r="B650" s="1" t="n">
        <v>44518</v>
      </c>
      <c r="C650" s="1" t="n">
        <v>45672</v>
      </c>
      <c r="D650" t="inlineStr">
        <is>
          <t>STOCKHOLMS LÄN</t>
        </is>
      </c>
      <c r="E650" t="inlineStr">
        <is>
          <t>NORRTÄLJE</t>
        </is>
      </c>
      <c r="G650" t="n">
        <v>9.1</v>
      </c>
      <c r="H650" t="n">
        <v>0</v>
      </c>
      <c r="I650" t="n">
        <v>0</v>
      </c>
      <c r="J650" t="n">
        <v>0</v>
      </c>
      <c r="K650" t="n">
        <v>0</v>
      </c>
      <c r="L650" t="n">
        <v>0</v>
      </c>
      <c r="M650" t="n">
        <v>0</v>
      </c>
      <c r="N650" t="n">
        <v>0</v>
      </c>
      <c r="O650" t="n">
        <v>0</v>
      </c>
      <c r="P650" t="n">
        <v>0</v>
      </c>
      <c r="Q650" t="n">
        <v>0</v>
      </c>
      <c r="R650" s="2" t="inlineStr"/>
    </row>
    <row r="651" ht="15" customHeight="1">
      <c r="A651" t="inlineStr">
        <is>
          <t>A 66608-2021</t>
        </is>
      </c>
      <c r="B651" s="1" t="n">
        <v>44519</v>
      </c>
      <c r="C651" s="1" t="n">
        <v>45672</v>
      </c>
      <c r="D651" t="inlineStr">
        <is>
          <t>STOCKHOLMS LÄN</t>
        </is>
      </c>
      <c r="E651" t="inlineStr">
        <is>
          <t>NORRTÄLJE</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66592-2021</t>
        </is>
      </c>
      <c r="B652" s="1" t="n">
        <v>44519</v>
      </c>
      <c r="C652" s="1" t="n">
        <v>45672</v>
      </c>
      <c r="D652" t="inlineStr">
        <is>
          <t>STOCKHOLMS LÄN</t>
        </is>
      </c>
      <c r="E652" t="inlineStr">
        <is>
          <t>NORRTÄLJE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66769-2021</t>
        </is>
      </c>
      <c r="B653" s="1" t="n">
        <v>44521</v>
      </c>
      <c r="C653" s="1" t="n">
        <v>45672</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67285-2021</t>
        </is>
      </c>
      <c r="B654" s="1" t="n">
        <v>44523</v>
      </c>
      <c r="C654" s="1" t="n">
        <v>45672</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67525-2021</t>
        </is>
      </c>
      <c r="B655" s="1" t="n">
        <v>44524</v>
      </c>
      <c r="C655" s="1" t="n">
        <v>45672</v>
      </c>
      <c r="D655" t="inlineStr">
        <is>
          <t>STOCKHOLMS LÄN</t>
        </is>
      </c>
      <c r="E655" t="inlineStr">
        <is>
          <t>NORRTÄLJE</t>
        </is>
      </c>
      <c r="G655" t="n">
        <v>0.8</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45672</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67921-2021</t>
        </is>
      </c>
      <c r="B657" s="1" t="n">
        <v>44525</v>
      </c>
      <c r="C657" s="1" t="n">
        <v>45672</v>
      </c>
      <c r="D657" t="inlineStr">
        <is>
          <t>STOCKHOLMS LÄN</t>
        </is>
      </c>
      <c r="E657" t="inlineStr">
        <is>
          <t>NORRTÄLJE</t>
        </is>
      </c>
      <c r="G657" t="n">
        <v>6.3</v>
      </c>
      <c r="H657" t="n">
        <v>0</v>
      </c>
      <c r="I657" t="n">
        <v>0</v>
      </c>
      <c r="J657" t="n">
        <v>0</v>
      </c>
      <c r="K657" t="n">
        <v>0</v>
      </c>
      <c r="L657" t="n">
        <v>0</v>
      </c>
      <c r="M657" t="n">
        <v>0</v>
      </c>
      <c r="N657" t="n">
        <v>0</v>
      </c>
      <c r="O657" t="n">
        <v>0</v>
      </c>
      <c r="P657" t="n">
        <v>0</v>
      </c>
      <c r="Q657" t="n">
        <v>0</v>
      </c>
      <c r="R657" s="2" t="inlineStr"/>
    </row>
    <row r="658" ht="15" customHeight="1">
      <c r="A658" t="inlineStr">
        <is>
          <t>A 67990-2021</t>
        </is>
      </c>
      <c r="B658" s="1" t="n">
        <v>44525</v>
      </c>
      <c r="C658" s="1" t="n">
        <v>45672</v>
      </c>
      <c r="D658" t="inlineStr">
        <is>
          <t>STOCKHOLMS LÄN</t>
        </is>
      </c>
      <c r="E658" t="inlineStr">
        <is>
          <t>NORRTÄLJE</t>
        </is>
      </c>
      <c r="F658" t="inlineStr">
        <is>
          <t>Sveaskog</t>
        </is>
      </c>
      <c r="G658" t="n">
        <v>7.8</v>
      </c>
      <c r="H658" t="n">
        <v>0</v>
      </c>
      <c r="I658" t="n">
        <v>0</v>
      </c>
      <c r="J658" t="n">
        <v>0</v>
      </c>
      <c r="K658" t="n">
        <v>0</v>
      </c>
      <c r="L658" t="n">
        <v>0</v>
      </c>
      <c r="M658" t="n">
        <v>0</v>
      </c>
      <c r="N658" t="n">
        <v>0</v>
      </c>
      <c r="O658" t="n">
        <v>0</v>
      </c>
      <c r="P658" t="n">
        <v>0</v>
      </c>
      <c r="Q658" t="n">
        <v>0</v>
      </c>
      <c r="R658" s="2" t="inlineStr"/>
    </row>
    <row r="659" ht="15" customHeight="1">
      <c r="A659" t="inlineStr">
        <is>
          <t>A 67992-2021</t>
        </is>
      </c>
      <c r="B659" s="1" t="n">
        <v>44525</v>
      </c>
      <c r="C659" s="1" t="n">
        <v>45672</v>
      </c>
      <c r="D659" t="inlineStr">
        <is>
          <t>STOCKHOLMS LÄN</t>
        </is>
      </c>
      <c r="E659" t="inlineStr">
        <is>
          <t>NORRTÄLJE</t>
        </is>
      </c>
      <c r="F659" t="inlineStr">
        <is>
          <t>Sveaskog</t>
        </is>
      </c>
      <c r="G659" t="n">
        <v>4.6</v>
      </c>
      <c r="H659" t="n">
        <v>0</v>
      </c>
      <c r="I659" t="n">
        <v>0</v>
      </c>
      <c r="J659" t="n">
        <v>0</v>
      </c>
      <c r="K659" t="n">
        <v>0</v>
      </c>
      <c r="L659" t="n">
        <v>0</v>
      </c>
      <c r="M659" t="n">
        <v>0</v>
      </c>
      <c r="N659" t="n">
        <v>0</v>
      </c>
      <c r="O659" t="n">
        <v>0</v>
      </c>
      <c r="P659" t="n">
        <v>0</v>
      </c>
      <c r="Q659" t="n">
        <v>0</v>
      </c>
      <c r="R659" s="2" t="inlineStr"/>
    </row>
    <row r="660" ht="15" customHeight="1">
      <c r="A660" t="inlineStr">
        <is>
          <t>A 67993-2021</t>
        </is>
      </c>
      <c r="B660" s="1" t="n">
        <v>44525</v>
      </c>
      <c r="C660" s="1" t="n">
        <v>45672</v>
      </c>
      <c r="D660" t="inlineStr">
        <is>
          <t>STOCKHOLMS LÄN</t>
        </is>
      </c>
      <c r="E660" t="inlineStr">
        <is>
          <t>NORRTÄLJE</t>
        </is>
      </c>
      <c r="F660" t="inlineStr">
        <is>
          <t>Sveaskog</t>
        </is>
      </c>
      <c r="G660" t="n">
        <v>3.4</v>
      </c>
      <c r="H660" t="n">
        <v>0</v>
      </c>
      <c r="I660" t="n">
        <v>0</v>
      </c>
      <c r="J660" t="n">
        <v>0</v>
      </c>
      <c r="K660" t="n">
        <v>0</v>
      </c>
      <c r="L660" t="n">
        <v>0</v>
      </c>
      <c r="M660" t="n">
        <v>0</v>
      </c>
      <c r="N660" t="n">
        <v>0</v>
      </c>
      <c r="O660" t="n">
        <v>0</v>
      </c>
      <c r="P660" t="n">
        <v>0</v>
      </c>
      <c r="Q660" t="n">
        <v>0</v>
      </c>
      <c r="R660" s="2" t="inlineStr"/>
    </row>
    <row r="661" ht="15" customHeight="1">
      <c r="A661" t="inlineStr">
        <is>
          <t>A 68273-2021</t>
        </is>
      </c>
      <c r="B661" s="1" t="n">
        <v>44526</v>
      </c>
      <c r="C661" s="1" t="n">
        <v>45672</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68361-2021</t>
        </is>
      </c>
      <c r="B662" s="1" t="n">
        <v>44528</v>
      </c>
      <c r="C662" s="1" t="n">
        <v>45672</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69034-2021</t>
        </is>
      </c>
      <c r="B663" s="1" t="n">
        <v>44529</v>
      </c>
      <c r="C663" s="1" t="n">
        <v>45672</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69539-2021</t>
        </is>
      </c>
      <c r="B664" s="1" t="n">
        <v>44531</v>
      </c>
      <c r="C664" s="1" t="n">
        <v>45672</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69723-2021</t>
        </is>
      </c>
      <c r="B665" s="1" t="n">
        <v>44532</v>
      </c>
      <c r="C665" s="1" t="n">
        <v>45672</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69816-2021</t>
        </is>
      </c>
      <c r="B666" s="1" t="n">
        <v>44532</v>
      </c>
      <c r="C666" s="1" t="n">
        <v>45672</v>
      </c>
      <c r="D666" t="inlineStr">
        <is>
          <t>STOCKHOLMS LÄN</t>
        </is>
      </c>
      <c r="E666" t="inlineStr">
        <is>
          <t>NORRTÄLJE</t>
        </is>
      </c>
      <c r="G666" t="n">
        <v>4.9</v>
      </c>
      <c r="H666" t="n">
        <v>0</v>
      </c>
      <c r="I666" t="n">
        <v>0</v>
      </c>
      <c r="J666" t="n">
        <v>0</v>
      </c>
      <c r="K666" t="n">
        <v>0</v>
      </c>
      <c r="L666" t="n">
        <v>0</v>
      </c>
      <c r="M666" t="n">
        <v>0</v>
      </c>
      <c r="N666" t="n">
        <v>0</v>
      </c>
      <c r="O666" t="n">
        <v>0</v>
      </c>
      <c r="P666" t="n">
        <v>0</v>
      </c>
      <c r="Q666" t="n">
        <v>0</v>
      </c>
      <c r="R666" s="2" t="inlineStr"/>
    </row>
    <row r="667" ht="15" customHeight="1">
      <c r="A667" t="inlineStr">
        <is>
          <t>A 70170-2021</t>
        </is>
      </c>
      <c r="B667" s="1" t="n">
        <v>44533</v>
      </c>
      <c r="C667" s="1" t="n">
        <v>45672</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69988-2021</t>
        </is>
      </c>
      <c r="B668" s="1" t="n">
        <v>44533</v>
      </c>
      <c r="C668" s="1" t="n">
        <v>45672</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70469-2021</t>
        </is>
      </c>
      <c r="B669" s="1" t="n">
        <v>44536</v>
      </c>
      <c r="C669" s="1" t="n">
        <v>45672</v>
      </c>
      <c r="D669" t="inlineStr">
        <is>
          <t>STOCKHOLMS LÄN</t>
        </is>
      </c>
      <c r="E669" t="inlineStr">
        <is>
          <t>NORRTÄLJE</t>
        </is>
      </c>
      <c r="F669" t="inlineStr">
        <is>
          <t>Holmen skog AB</t>
        </is>
      </c>
      <c r="G669" t="n">
        <v>2.5</v>
      </c>
      <c r="H669" t="n">
        <v>0</v>
      </c>
      <c r="I669" t="n">
        <v>0</v>
      </c>
      <c r="J669" t="n">
        <v>0</v>
      </c>
      <c r="K669" t="n">
        <v>0</v>
      </c>
      <c r="L669" t="n">
        <v>0</v>
      </c>
      <c r="M669" t="n">
        <v>0</v>
      </c>
      <c r="N669" t="n">
        <v>0</v>
      </c>
      <c r="O669" t="n">
        <v>0</v>
      </c>
      <c r="P669" t="n">
        <v>0</v>
      </c>
      <c r="Q669" t="n">
        <v>0</v>
      </c>
      <c r="R669" s="2" t="inlineStr"/>
    </row>
    <row r="670" ht="15" customHeight="1">
      <c r="A670" t="inlineStr">
        <is>
          <t>A 71325-2021</t>
        </is>
      </c>
      <c r="B670" s="1" t="n">
        <v>44539</v>
      </c>
      <c r="C670" s="1" t="n">
        <v>45672</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71552-2021</t>
        </is>
      </c>
      <c r="B671" s="1" t="n">
        <v>44540</v>
      </c>
      <c r="C671" s="1" t="n">
        <v>45672</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71479-2021</t>
        </is>
      </c>
      <c r="B672" s="1" t="n">
        <v>44540</v>
      </c>
      <c r="C672" s="1" t="n">
        <v>45672</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71543-2021</t>
        </is>
      </c>
      <c r="B673" s="1" t="n">
        <v>44540</v>
      </c>
      <c r="C673" s="1" t="n">
        <v>45672</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71873-2021</t>
        </is>
      </c>
      <c r="B674" s="1" t="n">
        <v>44543</v>
      </c>
      <c r="C674" s="1" t="n">
        <v>45672</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71876-2021</t>
        </is>
      </c>
      <c r="B675" s="1" t="n">
        <v>44543</v>
      </c>
      <c r="C675" s="1" t="n">
        <v>45672</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71880-2021</t>
        </is>
      </c>
      <c r="B676" s="1" t="n">
        <v>44543</v>
      </c>
      <c r="C676" s="1" t="n">
        <v>45672</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71871-2021</t>
        </is>
      </c>
      <c r="B677" s="1" t="n">
        <v>44543</v>
      </c>
      <c r="C677" s="1" t="n">
        <v>45672</v>
      </c>
      <c r="D677" t="inlineStr">
        <is>
          <t>STOCKHOLMS LÄN</t>
        </is>
      </c>
      <c r="E677" t="inlineStr">
        <is>
          <t>NORRTÄLJE</t>
        </is>
      </c>
      <c r="G677" t="n">
        <v>2.5</v>
      </c>
      <c r="H677" t="n">
        <v>0</v>
      </c>
      <c r="I677" t="n">
        <v>0</v>
      </c>
      <c r="J677" t="n">
        <v>0</v>
      </c>
      <c r="K677" t="n">
        <v>0</v>
      </c>
      <c r="L677" t="n">
        <v>0</v>
      </c>
      <c r="M677" t="n">
        <v>0</v>
      </c>
      <c r="N677" t="n">
        <v>0</v>
      </c>
      <c r="O677" t="n">
        <v>0</v>
      </c>
      <c r="P677" t="n">
        <v>0</v>
      </c>
      <c r="Q677" t="n">
        <v>0</v>
      </c>
      <c r="R677" s="2" t="inlineStr"/>
    </row>
    <row r="678" ht="15" customHeight="1">
      <c r="A678" t="inlineStr">
        <is>
          <t>A 71878-2021</t>
        </is>
      </c>
      <c r="B678" s="1" t="n">
        <v>44543</v>
      </c>
      <c r="C678" s="1" t="n">
        <v>45672</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72085-2021</t>
        </is>
      </c>
      <c r="B679" s="1" t="n">
        <v>44544</v>
      </c>
      <c r="C679" s="1" t="n">
        <v>45672</v>
      </c>
      <c r="D679" t="inlineStr">
        <is>
          <t>STOCKHOLMS LÄN</t>
        </is>
      </c>
      <c r="E679" t="inlineStr">
        <is>
          <t>NORRTÄLJE</t>
        </is>
      </c>
      <c r="G679" t="n">
        <v>4.9</v>
      </c>
      <c r="H679" t="n">
        <v>0</v>
      </c>
      <c r="I679" t="n">
        <v>0</v>
      </c>
      <c r="J679" t="n">
        <v>0</v>
      </c>
      <c r="K679" t="n">
        <v>0</v>
      </c>
      <c r="L679" t="n">
        <v>0</v>
      </c>
      <c r="M679" t="n">
        <v>0</v>
      </c>
      <c r="N679" t="n">
        <v>0</v>
      </c>
      <c r="O679" t="n">
        <v>0</v>
      </c>
      <c r="P679" t="n">
        <v>0</v>
      </c>
      <c r="Q679" t="n">
        <v>0</v>
      </c>
      <c r="R679" s="2" t="inlineStr"/>
    </row>
    <row r="680" ht="15" customHeight="1">
      <c r="A680" t="inlineStr">
        <is>
          <t>A 72202-2021</t>
        </is>
      </c>
      <c r="B680" s="1" t="n">
        <v>44544</v>
      </c>
      <c r="C680" s="1" t="n">
        <v>45672</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72308-2021</t>
        </is>
      </c>
      <c r="B681" s="1" t="n">
        <v>44545</v>
      </c>
      <c r="C681" s="1" t="n">
        <v>45672</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72343-2021</t>
        </is>
      </c>
      <c r="B682" s="1" t="n">
        <v>44545</v>
      </c>
      <c r="C682" s="1" t="n">
        <v>45672</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72357-2021</t>
        </is>
      </c>
      <c r="B683" s="1" t="n">
        <v>44545</v>
      </c>
      <c r="C683" s="1" t="n">
        <v>45672</v>
      </c>
      <c r="D683" t="inlineStr">
        <is>
          <t>STOCKHOLMS LÄN</t>
        </is>
      </c>
      <c r="E683" t="inlineStr">
        <is>
          <t>NORRTÄLJE</t>
        </is>
      </c>
      <c r="G683" t="n">
        <v>5.1</v>
      </c>
      <c r="H683" t="n">
        <v>0</v>
      </c>
      <c r="I683" t="n">
        <v>0</v>
      </c>
      <c r="J683" t="n">
        <v>0</v>
      </c>
      <c r="K683" t="n">
        <v>0</v>
      </c>
      <c r="L683" t="n">
        <v>0</v>
      </c>
      <c r="M683" t="n">
        <v>0</v>
      </c>
      <c r="N683" t="n">
        <v>0</v>
      </c>
      <c r="O683" t="n">
        <v>0</v>
      </c>
      <c r="P683" t="n">
        <v>0</v>
      </c>
      <c r="Q683" t="n">
        <v>0</v>
      </c>
      <c r="R683" s="2" t="inlineStr"/>
    </row>
    <row r="684" ht="15" customHeight="1">
      <c r="A684" t="inlineStr">
        <is>
          <t>A 72355-2021</t>
        </is>
      </c>
      <c r="B684" s="1" t="n">
        <v>44545</v>
      </c>
      <c r="C684" s="1" t="n">
        <v>45672</v>
      </c>
      <c r="D684" t="inlineStr">
        <is>
          <t>STOCKHOLMS LÄN</t>
        </is>
      </c>
      <c r="E684" t="inlineStr">
        <is>
          <t>NORRTÄLJE</t>
        </is>
      </c>
      <c r="G684" t="n">
        <v>3.6</v>
      </c>
      <c r="H684" t="n">
        <v>0</v>
      </c>
      <c r="I684" t="n">
        <v>0</v>
      </c>
      <c r="J684" t="n">
        <v>0</v>
      </c>
      <c r="K684" t="n">
        <v>0</v>
      </c>
      <c r="L684" t="n">
        <v>0</v>
      </c>
      <c r="M684" t="n">
        <v>0</v>
      </c>
      <c r="N684" t="n">
        <v>0</v>
      </c>
      <c r="O684" t="n">
        <v>0</v>
      </c>
      <c r="P684" t="n">
        <v>0</v>
      </c>
      <c r="Q684" t="n">
        <v>0</v>
      </c>
      <c r="R684" s="2" t="inlineStr"/>
    </row>
    <row r="685" ht="15" customHeight="1">
      <c r="A685" t="inlineStr">
        <is>
          <t>A 72353-2021</t>
        </is>
      </c>
      <c r="B685" s="1" t="n">
        <v>44545</v>
      </c>
      <c r="C685" s="1" t="n">
        <v>45672</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72747-2021</t>
        </is>
      </c>
      <c r="B686" s="1" t="n">
        <v>44546</v>
      </c>
      <c r="C686" s="1" t="n">
        <v>45672</v>
      </c>
      <c r="D686" t="inlineStr">
        <is>
          <t>STOCKHOLMS LÄN</t>
        </is>
      </c>
      <c r="E686" t="inlineStr">
        <is>
          <t>NORRTÄLJE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72704-2021</t>
        </is>
      </c>
      <c r="B687" s="1" t="n">
        <v>44546</v>
      </c>
      <c r="C687" s="1" t="n">
        <v>45672</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72890-2021</t>
        </is>
      </c>
      <c r="B688" s="1" t="n">
        <v>44547</v>
      </c>
      <c r="C688" s="1" t="n">
        <v>45672</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73311-2021</t>
        </is>
      </c>
      <c r="B689" s="1" t="n">
        <v>44549</v>
      </c>
      <c r="C689" s="1" t="n">
        <v>45672</v>
      </c>
      <c r="D689" t="inlineStr">
        <is>
          <t>STOCKHOLMS LÄN</t>
        </is>
      </c>
      <c r="E689" t="inlineStr">
        <is>
          <t>NORRTÄLJE</t>
        </is>
      </c>
      <c r="G689" t="n">
        <v>5.2</v>
      </c>
      <c r="H689" t="n">
        <v>0</v>
      </c>
      <c r="I689" t="n">
        <v>0</v>
      </c>
      <c r="J689" t="n">
        <v>0</v>
      </c>
      <c r="K689" t="n">
        <v>0</v>
      </c>
      <c r="L689" t="n">
        <v>0</v>
      </c>
      <c r="M689" t="n">
        <v>0</v>
      </c>
      <c r="N689" t="n">
        <v>0</v>
      </c>
      <c r="O689" t="n">
        <v>0</v>
      </c>
      <c r="P689" t="n">
        <v>0</v>
      </c>
      <c r="Q689" t="n">
        <v>0</v>
      </c>
      <c r="R689" s="2" t="inlineStr"/>
    </row>
    <row r="690" ht="15" customHeight="1">
      <c r="A690" t="inlineStr">
        <is>
          <t>A 73307-2021</t>
        </is>
      </c>
      <c r="B690" s="1" t="n">
        <v>44549</v>
      </c>
      <c r="C690" s="1" t="n">
        <v>45672</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73271-2021</t>
        </is>
      </c>
      <c r="B691" s="1" t="n">
        <v>44550</v>
      </c>
      <c r="C691" s="1" t="n">
        <v>45672</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73504-2021</t>
        </is>
      </c>
      <c r="B692" s="1" t="n">
        <v>44551</v>
      </c>
      <c r="C692" s="1" t="n">
        <v>45672</v>
      </c>
      <c r="D692" t="inlineStr">
        <is>
          <t>STOCKHOLMS LÄN</t>
        </is>
      </c>
      <c r="E692" t="inlineStr">
        <is>
          <t>NORRTÄLJE</t>
        </is>
      </c>
      <c r="G692" t="n">
        <v>4.7</v>
      </c>
      <c r="H692" t="n">
        <v>0</v>
      </c>
      <c r="I692" t="n">
        <v>0</v>
      </c>
      <c r="J692" t="n">
        <v>0</v>
      </c>
      <c r="K692" t="n">
        <v>0</v>
      </c>
      <c r="L692" t="n">
        <v>0</v>
      </c>
      <c r="M692" t="n">
        <v>0</v>
      </c>
      <c r="N692" t="n">
        <v>0</v>
      </c>
      <c r="O692" t="n">
        <v>0</v>
      </c>
      <c r="P692" t="n">
        <v>0</v>
      </c>
      <c r="Q692" t="n">
        <v>0</v>
      </c>
      <c r="R692" s="2" t="inlineStr"/>
    </row>
    <row r="693" ht="15" customHeight="1">
      <c r="A693" t="inlineStr">
        <is>
          <t>A 73855-2021</t>
        </is>
      </c>
      <c r="B693" s="1" t="n">
        <v>44552</v>
      </c>
      <c r="C693" s="1" t="n">
        <v>45672</v>
      </c>
      <c r="D693" t="inlineStr">
        <is>
          <t>STOCKHOLMS LÄN</t>
        </is>
      </c>
      <c r="E693" t="inlineStr">
        <is>
          <t>NORRTÄLJE</t>
        </is>
      </c>
      <c r="F693" t="inlineStr">
        <is>
          <t>Övriga Aktiebolag</t>
        </is>
      </c>
      <c r="G693" t="n">
        <v>4</v>
      </c>
      <c r="H693" t="n">
        <v>0</v>
      </c>
      <c r="I693" t="n">
        <v>0</v>
      </c>
      <c r="J693" t="n">
        <v>0</v>
      </c>
      <c r="K693" t="n">
        <v>0</v>
      </c>
      <c r="L693" t="n">
        <v>0</v>
      </c>
      <c r="M693" t="n">
        <v>0</v>
      </c>
      <c r="N693" t="n">
        <v>0</v>
      </c>
      <c r="O693" t="n">
        <v>0</v>
      </c>
      <c r="P693" t="n">
        <v>0</v>
      </c>
      <c r="Q693" t="n">
        <v>0</v>
      </c>
      <c r="R693" s="2" t="inlineStr"/>
    </row>
    <row r="694" ht="15" customHeight="1">
      <c r="A694" t="inlineStr">
        <is>
          <t>A 73992-2021</t>
        </is>
      </c>
      <c r="B694" s="1" t="n">
        <v>44556</v>
      </c>
      <c r="C694" s="1" t="n">
        <v>45672</v>
      </c>
      <c r="D694" t="inlineStr">
        <is>
          <t>STOCKHOLMS LÄN</t>
        </is>
      </c>
      <c r="E694" t="inlineStr">
        <is>
          <t>NORRTÄLJE</t>
        </is>
      </c>
      <c r="G694" t="n">
        <v>12.5</v>
      </c>
      <c r="H694" t="n">
        <v>0</v>
      </c>
      <c r="I694" t="n">
        <v>0</v>
      </c>
      <c r="J694" t="n">
        <v>0</v>
      </c>
      <c r="K694" t="n">
        <v>0</v>
      </c>
      <c r="L694" t="n">
        <v>0</v>
      </c>
      <c r="M694" t="n">
        <v>0</v>
      </c>
      <c r="N694" t="n">
        <v>0</v>
      </c>
      <c r="O694" t="n">
        <v>0</v>
      </c>
      <c r="P694" t="n">
        <v>0</v>
      </c>
      <c r="Q694" t="n">
        <v>0</v>
      </c>
      <c r="R694" s="2" t="inlineStr"/>
    </row>
    <row r="695" ht="15" customHeight="1">
      <c r="A695" t="inlineStr">
        <is>
          <t>A 73993-2021</t>
        </is>
      </c>
      <c r="B695" s="1" t="n">
        <v>44556</v>
      </c>
      <c r="C695" s="1" t="n">
        <v>45672</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74468-2021</t>
        </is>
      </c>
      <c r="B696" s="1" t="n">
        <v>44560</v>
      </c>
      <c r="C696" s="1" t="n">
        <v>45672</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185-2022</t>
        </is>
      </c>
      <c r="B697" s="1" t="n">
        <v>44564</v>
      </c>
      <c r="C697" s="1" t="n">
        <v>45672</v>
      </c>
      <c r="D697" t="inlineStr">
        <is>
          <t>STOCKHOLMS LÄN</t>
        </is>
      </c>
      <c r="E697" t="inlineStr">
        <is>
          <t>NORRTÄLJE</t>
        </is>
      </c>
      <c r="G697" t="n">
        <v>3.8</v>
      </c>
      <c r="H697" t="n">
        <v>0</v>
      </c>
      <c r="I697" t="n">
        <v>0</v>
      </c>
      <c r="J697" t="n">
        <v>0</v>
      </c>
      <c r="K697" t="n">
        <v>0</v>
      </c>
      <c r="L697" t="n">
        <v>0</v>
      </c>
      <c r="M697" t="n">
        <v>0</v>
      </c>
      <c r="N697" t="n">
        <v>0</v>
      </c>
      <c r="O697" t="n">
        <v>0</v>
      </c>
      <c r="P697" t="n">
        <v>0</v>
      </c>
      <c r="Q697" t="n">
        <v>0</v>
      </c>
      <c r="R697" s="2" t="inlineStr"/>
    </row>
    <row r="698" ht="15" customHeight="1">
      <c r="A698" t="inlineStr">
        <is>
          <t>A 190-2022</t>
        </is>
      </c>
      <c r="B698" s="1" t="n">
        <v>44564</v>
      </c>
      <c r="C698" s="1" t="n">
        <v>45672</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187-2022</t>
        </is>
      </c>
      <c r="B699" s="1" t="n">
        <v>44564</v>
      </c>
      <c r="C699" s="1" t="n">
        <v>45672</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77-2022</t>
        </is>
      </c>
      <c r="B700" s="1" t="n">
        <v>44564</v>
      </c>
      <c r="C700" s="1" t="n">
        <v>45672</v>
      </c>
      <c r="D700" t="inlineStr">
        <is>
          <t>STOCKHOLMS LÄN</t>
        </is>
      </c>
      <c r="E700" t="inlineStr">
        <is>
          <t>NORRTÄLJE</t>
        </is>
      </c>
      <c r="G700" t="n">
        <v>4.1</v>
      </c>
      <c r="H700" t="n">
        <v>0</v>
      </c>
      <c r="I700" t="n">
        <v>0</v>
      </c>
      <c r="J700" t="n">
        <v>0</v>
      </c>
      <c r="K700" t="n">
        <v>0</v>
      </c>
      <c r="L700" t="n">
        <v>0</v>
      </c>
      <c r="M700" t="n">
        <v>0</v>
      </c>
      <c r="N700" t="n">
        <v>0</v>
      </c>
      <c r="O700" t="n">
        <v>0</v>
      </c>
      <c r="P700" t="n">
        <v>0</v>
      </c>
      <c r="Q700" t="n">
        <v>0</v>
      </c>
      <c r="R700" s="2" t="inlineStr"/>
    </row>
    <row r="701" ht="15" customHeight="1">
      <c r="A701" t="inlineStr">
        <is>
          <t>A 1058-2022</t>
        </is>
      </c>
      <c r="B701" s="1" t="n">
        <v>44571</v>
      </c>
      <c r="C701" s="1" t="n">
        <v>45672</v>
      </c>
      <c r="D701" t="inlineStr">
        <is>
          <t>STOCKHOLMS LÄN</t>
        </is>
      </c>
      <c r="E701" t="inlineStr">
        <is>
          <t>NORRTÄLJE</t>
        </is>
      </c>
      <c r="G701" t="n">
        <v>2.2</v>
      </c>
      <c r="H701" t="n">
        <v>0</v>
      </c>
      <c r="I701" t="n">
        <v>0</v>
      </c>
      <c r="J701" t="n">
        <v>0</v>
      </c>
      <c r="K701" t="n">
        <v>0</v>
      </c>
      <c r="L701" t="n">
        <v>0</v>
      </c>
      <c r="M701" t="n">
        <v>0</v>
      </c>
      <c r="N701" t="n">
        <v>0</v>
      </c>
      <c r="O701" t="n">
        <v>0</v>
      </c>
      <c r="P701" t="n">
        <v>0</v>
      </c>
      <c r="Q701" t="n">
        <v>0</v>
      </c>
      <c r="R701" s="2" t="inlineStr"/>
    </row>
    <row r="702" ht="15" customHeight="1">
      <c r="A702" t="inlineStr">
        <is>
          <t>A 1051-2022</t>
        </is>
      </c>
      <c r="B702" s="1" t="n">
        <v>44571</v>
      </c>
      <c r="C702" s="1" t="n">
        <v>45672</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1054-2022</t>
        </is>
      </c>
      <c r="B703" s="1" t="n">
        <v>44571</v>
      </c>
      <c r="C703" s="1" t="n">
        <v>45672</v>
      </c>
      <c r="D703" t="inlineStr">
        <is>
          <t>STOCKHOLMS LÄN</t>
        </is>
      </c>
      <c r="E703" t="inlineStr">
        <is>
          <t>NORRTÄLJE</t>
        </is>
      </c>
      <c r="G703" t="n">
        <v>5</v>
      </c>
      <c r="H703" t="n">
        <v>0</v>
      </c>
      <c r="I703" t="n">
        <v>0</v>
      </c>
      <c r="J703" t="n">
        <v>0</v>
      </c>
      <c r="K703" t="n">
        <v>0</v>
      </c>
      <c r="L703" t="n">
        <v>0</v>
      </c>
      <c r="M703" t="n">
        <v>0</v>
      </c>
      <c r="N703" t="n">
        <v>0</v>
      </c>
      <c r="O703" t="n">
        <v>0</v>
      </c>
      <c r="P703" t="n">
        <v>0</v>
      </c>
      <c r="Q703" t="n">
        <v>0</v>
      </c>
      <c r="R703" s="2" t="inlineStr"/>
    </row>
    <row r="704" ht="15" customHeight="1">
      <c r="A704" t="inlineStr">
        <is>
          <t>A 1229-2022</t>
        </is>
      </c>
      <c r="B704" s="1" t="n">
        <v>44572</v>
      </c>
      <c r="C704" s="1" t="n">
        <v>45672</v>
      </c>
      <c r="D704" t="inlineStr">
        <is>
          <t>STOCKHOLMS LÄN</t>
        </is>
      </c>
      <c r="E704" t="inlineStr">
        <is>
          <t>NORRTÄLJE</t>
        </is>
      </c>
      <c r="G704" t="n">
        <v>11.5</v>
      </c>
      <c r="H704" t="n">
        <v>0</v>
      </c>
      <c r="I704" t="n">
        <v>0</v>
      </c>
      <c r="J704" t="n">
        <v>0</v>
      </c>
      <c r="K704" t="n">
        <v>0</v>
      </c>
      <c r="L704" t="n">
        <v>0</v>
      </c>
      <c r="M704" t="n">
        <v>0</v>
      </c>
      <c r="N704" t="n">
        <v>0</v>
      </c>
      <c r="O704" t="n">
        <v>0</v>
      </c>
      <c r="P704" t="n">
        <v>0</v>
      </c>
      <c r="Q704" t="n">
        <v>0</v>
      </c>
      <c r="R704" s="2" t="inlineStr"/>
    </row>
    <row r="705" ht="15" customHeight="1">
      <c r="A705" t="inlineStr">
        <is>
          <t>A 1704-2022</t>
        </is>
      </c>
      <c r="B705" s="1" t="n">
        <v>44574</v>
      </c>
      <c r="C705" s="1" t="n">
        <v>45672</v>
      </c>
      <c r="D705" t="inlineStr">
        <is>
          <t>STOCKHOLMS LÄN</t>
        </is>
      </c>
      <c r="E705" t="inlineStr">
        <is>
          <t>NORRTÄLJE</t>
        </is>
      </c>
      <c r="G705" t="n">
        <v>6.2</v>
      </c>
      <c r="H705" t="n">
        <v>0</v>
      </c>
      <c r="I705" t="n">
        <v>0</v>
      </c>
      <c r="J705" t="n">
        <v>0</v>
      </c>
      <c r="K705" t="n">
        <v>0</v>
      </c>
      <c r="L705" t="n">
        <v>0</v>
      </c>
      <c r="M705" t="n">
        <v>0</v>
      </c>
      <c r="N705" t="n">
        <v>0</v>
      </c>
      <c r="O705" t="n">
        <v>0</v>
      </c>
      <c r="P705" t="n">
        <v>0</v>
      </c>
      <c r="Q705" t="n">
        <v>0</v>
      </c>
      <c r="R705" s="2" t="inlineStr"/>
    </row>
    <row r="706" ht="15" customHeight="1">
      <c r="A706" t="inlineStr">
        <is>
          <t>A 1968-2022</t>
        </is>
      </c>
      <c r="B706" s="1" t="n">
        <v>44575</v>
      </c>
      <c r="C706" s="1" t="n">
        <v>45672</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row>
    <row r="707" ht="15" customHeight="1">
      <c r="A707" t="inlineStr">
        <is>
          <t>A 2182-2022</t>
        </is>
      </c>
      <c r="B707" s="1" t="n">
        <v>44578</v>
      </c>
      <c r="C707" s="1" t="n">
        <v>45672</v>
      </c>
      <c r="D707" t="inlineStr">
        <is>
          <t>STOCKHOLMS LÄN</t>
        </is>
      </c>
      <c r="E707" t="inlineStr">
        <is>
          <t>NORRTÄLJE</t>
        </is>
      </c>
      <c r="G707" t="n">
        <v>7.2</v>
      </c>
      <c r="H707" t="n">
        <v>0</v>
      </c>
      <c r="I707" t="n">
        <v>0</v>
      </c>
      <c r="J707" t="n">
        <v>0</v>
      </c>
      <c r="K707" t="n">
        <v>0</v>
      </c>
      <c r="L707" t="n">
        <v>0</v>
      </c>
      <c r="M707" t="n">
        <v>0</v>
      </c>
      <c r="N707" t="n">
        <v>0</v>
      </c>
      <c r="O707" t="n">
        <v>0</v>
      </c>
      <c r="P707" t="n">
        <v>0</v>
      </c>
      <c r="Q707" t="n">
        <v>0</v>
      </c>
      <c r="R707" s="2" t="inlineStr"/>
    </row>
    <row r="708" ht="15" customHeight="1">
      <c r="A708" t="inlineStr">
        <is>
          <t>A 2549-2022</t>
        </is>
      </c>
      <c r="B708" s="1" t="n">
        <v>44580</v>
      </c>
      <c r="C708" s="1" t="n">
        <v>45672</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2732-2022</t>
        </is>
      </c>
      <c r="B709" s="1" t="n">
        <v>44580</v>
      </c>
      <c r="C709" s="1" t="n">
        <v>45672</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2888-2022</t>
        </is>
      </c>
      <c r="B710" s="1" t="n">
        <v>44581</v>
      </c>
      <c r="C710" s="1" t="n">
        <v>45672</v>
      </c>
      <c r="D710" t="inlineStr">
        <is>
          <t>STOCKHOLMS LÄN</t>
        </is>
      </c>
      <c r="E710" t="inlineStr">
        <is>
          <t>NORRTÄLJE</t>
        </is>
      </c>
      <c r="G710" t="n">
        <v>2.4</v>
      </c>
      <c r="H710" t="n">
        <v>0</v>
      </c>
      <c r="I710" t="n">
        <v>0</v>
      </c>
      <c r="J710" t="n">
        <v>0</v>
      </c>
      <c r="K710" t="n">
        <v>0</v>
      </c>
      <c r="L710" t="n">
        <v>0</v>
      </c>
      <c r="M710" t="n">
        <v>0</v>
      </c>
      <c r="N710" t="n">
        <v>0</v>
      </c>
      <c r="O710" t="n">
        <v>0</v>
      </c>
      <c r="P710" t="n">
        <v>0</v>
      </c>
      <c r="Q710" t="n">
        <v>0</v>
      </c>
      <c r="R710" s="2" t="inlineStr"/>
    </row>
    <row r="711" ht="15" customHeight="1">
      <c r="A711" t="inlineStr">
        <is>
          <t>A 2977-2022</t>
        </is>
      </c>
      <c r="B711" s="1" t="n">
        <v>44581</v>
      </c>
      <c r="C711" s="1" t="n">
        <v>45672</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3300-2022</t>
        </is>
      </c>
      <c r="B712" s="1" t="n">
        <v>44584</v>
      </c>
      <c r="C712" s="1" t="n">
        <v>45672</v>
      </c>
      <c r="D712" t="inlineStr">
        <is>
          <t>STOCKHOLMS LÄN</t>
        </is>
      </c>
      <c r="E712" t="inlineStr">
        <is>
          <t>NORRTÄLJE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3310-2022</t>
        </is>
      </c>
      <c r="B713" s="1" t="n">
        <v>44584</v>
      </c>
      <c r="C713" s="1" t="n">
        <v>45672</v>
      </c>
      <c r="D713" t="inlineStr">
        <is>
          <t>STOCKHOLMS LÄN</t>
        </is>
      </c>
      <c r="E713" t="inlineStr">
        <is>
          <t>NORRTÄLJE</t>
        </is>
      </c>
      <c r="G713" t="n">
        <v>3.4</v>
      </c>
      <c r="H713" t="n">
        <v>0</v>
      </c>
      <c r="I713" t="n">
        <v>0</v>
      </c>
      <c r="J713" t="n">
        <v>0</v>
      </c>
      <c r="K713" t="n">
        <v>0</v>
      </c>
      <c r="L713" t="n">
        <v>0</v>
      </c>
      <c r="M713" t="n">
        <v>0</v>
      </c>
      <c r="N713" t="n">
        <v>0</v>
      </c>
      <c r="O713" t="n">
        <v>0</v>
      </c>
      <c r="P713" t="n">
        <v>0</v>
      </c>
      <c r="Q713" t="n">
        <v>0</v>
      </c>
      <c r="R713" s="2" t="inlineStr"/>
    </row>
    <row r="714" ht="15" customHeight="1">
      <c r="A714" t="inlineStr">
        <is>
          <t>A 3396-2022</t>
        </is>
      </c>
      <c r="B714" s="1" t="n">
        <v>44585</v>
      </c>
      <c r="C714" s="1" t="n">
        <v>45672</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3509-2022</t>
        </is>
      </c>
      <c r="B715" s="1" t="n">
        <v>44585</v>
      </c>
      <c r="C715" s="1" t="n">
        <v>45672</v>
      </c>
      <c r="D715" t="inlineStr">
        <is>
          <t>STOCKHOLMS LÄN</t>
        </is>
      </c>
      <c r="E715" t="inlineStr">
        <is>
          <t>NORRTÄLJE</t>
        </is>
      </c>
      <c r="F715" t="inlineStr">
        <is>
          <t>Kommuner</t>
        </is>
      </c>
      <c r="G715" t="n">
        <v>0.8</v>
      </c>
      <c r="H715" t="n">
        <v>0</v>
      </c>
      <c r="I715" t="n">
        <v>0</v>
      </c>
      <c r="J715" t="n">
        <v>0</v>
      </c>
      <c r="K715" t="n">
        <v>0</v>
      </c>
      <c r="L715" t="n">
        <v>0</v>
      </c>
      <c r="M715" t="n">
        <v>0</v>
      </c>
      <c r="N715" t="n">
        <v>0</v>
      </c>
      <c r="O715" t="n">
        <v>0</v>
      </c>
      <c r="P715" t="n">
        <v>0</v>
      </c>
      <c r="Q715" t="n">
        <v>0</v>
      </c>
      <c r="R715" s="2" t="inlineStr"/>
    </row>
    <row r="716" ht="15" customHeight="1">
      <c r="A716" t="inlineStr">
        <is>
          <t>A 4860-2022</t>
        </is>
      </c>
      <c r="B716" s="1" t="n">
        <v>44592</v>
      </c>
      <c r="C716" s="1" t="n">
        <v>45672</v>
      </c>
      <c r="D716" t="inlineStr">
        <is>
          <t>STOCKHOLMS LÄN</t>
        </is>
      </c>
      <c r="E716" t="inlineStr">
        <is>
          <t>NORRTÄLJE</t>
        </is>
      </c>
      <c r="G716" t="n">
        <v>22.3</v>
      </c>
      <c r="H716" t="n">
        <v>0</v>
      </c>
      <c r="I716" t="n">
        <v>0</v>
      </c>
      <c r="J716" t="n">
        <v>0</v>
      </c>
      <c r="K716" t="n">
        <v>0</v>
      </c>
      <c r="L716" t="n">
        <v>0</v>
      </c>
      <c r="M716" t="n">
        <v>0</v>
      </c>
      <c r="N716" t="n">
        <v>0</v>
      </c>
      <c r="O716" t="n">
        <v>0</v>
      </c>
      <c r="P716" t="n">
        <v>0</v>
      </c>
      <c r="Q716" t="n">
        <v>0</v>
      </c>
      <c r="R716" s="2" t="inlineStr"/>
    </row>
    <row r="717" ht="15" customHeight="1">
      <c r="A717" t="inlineStr">
        <is>
          <t>A 5351-2022</t>
        </is>
      </c>
      <c r="B717" s="1" t="n">
        <v>44594</v>
      </c>
      <c r="C717" s="1" t="n">
        <v>45672</v>
      </c>
      <c r="D717" t="inlineStr">
        <is>
          <t>STOCKHOLMS LÄN</t>
        </is>
      </c>
      <c r="E717" t="inlineStr">
        <is>
          <t>NORRTÄLJE</t>
        </is>
      </c>
      <c r="G717" t="n">
        <v>4</v>
      </c>
      <c r="H717" t="n">
        <v>0</v>
      </c>
      <c r="I717" t="n">
        <v>0</v>
      </c>
      <c r="J717" t="n">
        <v>0</v>
      </c>
      <c r="K717" t="n">
        <v>0</v>
      </c>
      <c r="L717" t="n">
        <v>0</v>
      </c>
      <c r="M717" t="n">
        <v>0</v>
      </c>
      <c r="N717" t="n">
        <v>0</v>
      </c>
      <c r="O717" t="n">
        <v>0</v>
      </c>
      <c r="P717" t="n">
        <v>0</v>
      </c>
      <c r="Q717" t="n">
        <v>0</v>
      </c>
      <c r="R717" s="2" t="inlineStr"/>
    </row>
    <row r="718" ht="15" customHeight="1">
      <c r="A718" t="inlineStr">
        <is>
          <t>A 5513-2022</t>
        </is>
      </c>
      <c r="B718" s="1" t="n">
        <v>44595</v>
      </c>
      <c r="C718" s="1" t="n">
        <v>45672</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5611-2022</t>
        </is>
      </c>
      <c r="B719" s="1" t="n">
        <v>44595</v>
      </c>
      <c r="C719" s="1" t="n">
        <v>45672</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5831-2022</t>
        </is>
      </c>
      <c r="B720" s="1" t="n">
        <v>44596</v>
      </c>
      <c r="C720" s="1" t="n">
        <v>45672</v>
      </c>
      <c r="D720" t="inlineStr">
        <is>
          <t>STOCKHOLMS LÄN</t>
        </is>
      </c>
      <c r="E720" t="inlineStr">
        <is>
          <t>NORRTÄLJE</t>
        </is>
      </c>
      <c r="G720" t="n">
        <v>4.8</v>
      </c>
      <c r="H720" t="n">
        <v>0</v>
      </c>
      <c r="I720" t="n">
        <v>0</v>
      </c>
      <c r="J720" t="n">
        <v>0</v>
      </c>
      <c r="K720" t="n">
        <v>0</v>
      </c>
      <c r="L720" t="n">
        <v>0</v>
      </c>
      <c r="M720" t="n">
        <v>0</v>
      </c>
      <c r="N720" t="n">
        <v>0</v>
      </c>
      <c r="O720" t="n">
        <v>0</v>
      </c>
      <c r="P720" t="n">
        <v>0</v>
      </c>
      <c r="Q720" t="n">
        <v>0</v>
      </c>
      <c r="R720" s="2" t="inlineStr"/>
    </row>
    <row r="721" ht="15" customHeight="1">
      <c r="A721" t="inlineStr">
        <is>
          <t>A 5867-2022</t>
        </is>
      </c>
      <c r="B721" s="1" t="n">
        <v>44596</v>
      </c>
      <c r="C721" s="1" t="n">
        <v>45672</v>
      </c>
      <c r="D721" t="inlineStr">
        <is>
          <t>STOCKHOLMS LÄN</t>
        </is>
      </c>
      <c r="E721" t="inlineStr">
        <is>
          <t>NORRTÄLJE</t>
        </is>
      </c>
      <c r="F721" t="inlineStr">
        <is>
          <t>Naturvårdsverket</t>
        </is>
      </c>
      <c r="G721" t="n">
        <v>1.6</v>
      </c>
      <c r="H721" t="n">
        <v>0</v>
      </c>
      <c r="I721" t="n">
        <v>0</v>
      </c>
      <c r="J721" t="n">
        <v>0</v>
      </c>
      <c r="K721" t="n">
        <v>0</v>
      </c>
      <c r="L721" t="n">
        <v>0</v>
      </c>
      <c r="M721" t="n">
        <v>0</v>
      </c>
      <c r="N721" t="n">
        <v>0</v>
      </c>
      <c r="O721" t="n">
        <v>0</v>
      </c>
      <c r="P721" t="n">
        <v>0</v>
      </c>
      <c r="Q721" t="n">
        <v>0</v>
      </c>
      <c r="R721" s="2" t="inlineStr"/>
    </row>
    <row r="722" ht="15" customHeight="1">
      <c r="A722" t="inlineStr">
        <is>
          <t>A 6070-2022</t>
        </is>
      </c>
      <c r="B722" s="1" t="n">
        <v>44599</v>
      </c>
      <c r="C722" s="1" t="n">
        <v>45672</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6332-2022</t>
        </is>
      </c>
      <c r="B723" s="1" t="n">
        <v>44600</v>
      </c>
      <c r="C723" s="1" t="n">
        <v>45672</v>
      </c>
      <c r="D723" t="inlineStr">
        <is>
          <t>STOCKHOLMS LÄN</t>
        </is>
      </c>
      <c r="E723" t="inlineStr">
        <is>
          <t>NORRTÄLJE</t>
        </is>
      </c>
      <c r="G723" t="n">
        <v>3.4</v>
      </c>
      <c r="H723" t="n">
        <v>0</v>
      </c>
      <c r="I723" t="n">
        <v>0</v>
      </c>
      <c r="J723" t="n">
        <v>0</v>
      </c>
      <c r="K723" t="n">
        <v>0</v>
      </c>
      <c r="L723" t="n">
        <v>0</v>
      </c>
      <c r="M723" t="n">
        <v>0</v>
      </c>
      <c r="N723" t="n">
        <v>0</v>
      </c>
      <c r="O723" t="n">
        <v>0</v>
      </c>
      <c r="P723" t="n">
        <v>0</v>
      </c>
      <c r="Q723" t="n">
        <v>0</v>
      </c>
      <c r="R723" s="2" t="inlineStr"/>
    </row>
    <row r="724" ht="15" customHeight="1">
      <c r="A724" t="inlineStr">
        <is>
          <t>A 7301-2022</t>
        </is>
      </c>
      <c r="B724" s="1" t="n">
        <v>44606</v>
      </c>
      <c r="C724" s="1" t="n">
        <v>45672</v>
      </c>
      <c r="D724" t="inlineStr">
        <is>
          <t>STOCKHOLMS LÄN</t>
        </is>
      </c>
      <c r="E724" t="inlineStr">
        <is>
          <t>NORRTÄLJE</t>
        </is>
      </c>
      <c r="G724" t="n">
        <v>6.1</v>
      </c>
      <c r="H724" t="n">
        <v>0</v>
      </c>
      <c r="I724" t="n">
        <v>0</v>
      </c>
      <c r="J724" t="n">
        <v>0</v>
      </c>
      <c r="K724" t="n">
        <v>0</v>
      </c>
      <c r="L724" t="n">
        <v>0</v>
      </c>
      <c r="M724" t="n">
        <v>0</v>
      </c>
      <c r="N724" t="n">
        <v>0</v>
      </c>
      <c r="O724" t="n">
        <v>0</v>
      </c>
      <c r="P724" t="n">
        <v>0</v>
      </c>
      <c r="Q724" t="n">
        <v>0</v>
      </c>
      <c r="R724" s="2" t="inlineStr"/>
    </row>
    <row r="725" ht="15" customHeight="1">
      <c r="A725" t="inlineStr">
        <is>
          <t>A 7565-2022</t>
        </is>
      </c>
      <c r="B725" s="1" t="n">
        <v>44607</v>
      </c>
      <c r="C725" s="1" t="n">
        <v>45672</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8049-2022</t>
        </is>
      </c>
      <c r="B726" s="1" t="n">
        <v>44609</v>
      </c>
      <c r="C726" s="1" t="n">
        <v>45672</v>
      </c>
      <c r="D726" t="inlineStr">
        <is>
          <t>STOCKHOLMS LÄN</t>
        </is>
      </c>
      <c r="E726" t="inlineStr">
        <is>
          <t>NORRTÄLJE</t>
        </is>
      </c>
      <c r="F726" t="inlineStr">
        <is>
          <t>Holmen skog AB</t>
        </is>
      </c>
      <c r="G726" t="n">
        <v>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45672</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8433-2022</t>
        </is>
      </c>
      <c r="B728" s="1" t="n">
        <v>44611</v>
      </c>
      <c r="C728" s="1" t="n">
        <v>45672</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9668-2022</t>
        </is>
      </c>
      <c r="B729" s="1" t="n">
        <v>44617</v>
      </c>
      <c r="C729" s="1" t="n">
        <v>45672</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9654-2022</t>
        </is>
      </c>
      <c r="B730" s="1" t="n">
        <v>44617</v>
      </c>
      <c r="C730" s="1" t="n">
        <v>45672</v>
      </c>
      <c r="D730" t="inlineStr">
        <is>
          <t>STOCKHOLMS LÄN</t>
        </is>
      </c>
      <c r="E730" t="inlineStr">
        <is>
          <t>NORRTÄLJE</t>
        </is>
      </c>
      <c r="G730" t="n">
        <v>6.4</v>
      </c>
      <c r="H730" t="n">
        <v>0</v>
      </c>
      <c r="I730" t="n">
        <v>0</v>
      </c>
      <c r="J730" t="n">
        <v>0</v>
      </c>
      <c r="K730" t="n">
        <v>0</v>
      </c>
      <c r="L730" t="n">
        <v>0</v>
      </c>
      <c r="M730" t="n">
        <v>0</v>
      </c>
      <c r="N730" t="n">
        <v>0</v>
      </c>
      <c r="O730" t="n">
        <v>0</v>
      </c>
      <c r="P730" t="n">
        <v>0</v>
      </c>
      <c r="Q730" t="n">
        <v>0</v>
      </c>
      <c r="R730" s="2" t="inlineStr"/>
    </row>
    <row r="731" ht="15" customHeight="1">
      <c r="A731" t="inlineStr">
        <is>
          <t>A 9749-2022</t>
        </is>
      </c>
      <c r="B731" s="1" t="n">
        <v>44618</v>
      </c>
      <c r="C731" s="1" t="n">
        <v>45672</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9988-2022</t>
        </is>
      </c>
      <c r="B732" s="1" t="n">
        <v>44621</v>
      </c>
      <c r="C732" s="1" t="n">
        <v>45672</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10090-2022</t>
        </is>
      </c>
      <c r="B733" s="1" t="n">
        <v>44621</v>
      </c>
      <c r="C733" s="1" t="n">
        <v>45672</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45672</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45672</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10653-2022</t>
        </is>
      </c>
      <c r="B736" s="1" t="n">
        <v>44624</v>
      </c>
      <c r="C736" s="1" t="n">
        <v>45672</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10710-2022</t>
        </is>
      </c>
      <c r="B737" s="1" t="n">
        <v>44626</v>
      </c>
      <c r="C737" s="1" t="n">
        <v>45672</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10711-2022</t>
        </is>
      </c>
      <c r="B738" s="1" t="n">
        <v>44626</v>
      </c>
      <c r="C738" s="1" t="n">
        <v>45672</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11150-2022</t>
        </is>
      </c>
      <c r="B739" s="1" t="n">
        <v>44629</v>
      </c>
      <c r="C739" s="1" t="n">
        <v>45672</v>
      </c>
      <c r="D739" t="inlineStr">
        <is>
          <t>STOCKHOLMS LÄN</t>
        </is>
      </c>
      <c r="E739" t="inlineStr">
        <is>
          <t>NORRTÄLJE</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11229-2022</t>
        </is>
      </c>
      <c r="B740" s="1" t="n">
        <v>44629</v>
      </c>
      <c r="C740" s="1" t="n">
        <v>45672</v>
      </c>
      <c r="D740" t="inlineStr">
        <is>
          <t>STOCKHOLMS LÄN</t>
        </is>
      </c>
      <c r="E740" t="inlineStr">
        <is>
          <t>NORRTÄLJE</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11533-2022</t>
        </is>
      </c>
      <c r="B741" s="1" t="n">
        <v>44631</v>
      </c>
      <c r="C741" s="1" t="n">
        <v>45672</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11821-2022</t>
        </is>
      </c>
      <c r="B742" s="1" t="n">
        <v>44634</v>
      </c>
      <c r="C742" s="1" t="n">
        <v>45672</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11900-2022</t>
        </is>
      </c>
      <c r="B743" s="1" t="n">
        <v>44635</v>
      </c>
      <c r="C743" s="1" t="n">
        <v>45672</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45672</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12270-2022</t>
        </is>
      </c>
      <c r="B745" s="1" t="n">
        <v>44637</v>
      </c>
      <c r="C745" s="1" t="n">
        <v>45672</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12314-2022</t>
        </is>
      </c>
      <c r="B746" s="1" t="n">
        <v>44637</v>
      </c>
      <c r="C746" s="1" t="n">
        <v>45672</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12268-2022</t>
        </is>
      </c>
      <c r="B747" s="1" t="n">
        <v>44637</v>
      </c>
      <c r="C747" s="1" t="n">
        <v>45672</v>
      </c>
      <c r="D747" t="inlineStr">
        <is>
          <t>STOCKHOLMS LÄN</t>
        </is>
      </c>
      <c r="E747" t="inlineStr">
        <is>
          <t>NORRTÄLJE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12357-2022</t>
        </is>
      </c>
      <c r="B748" s="1" t="n">
        <v>44637</v>
      </c>
      <c r="C748" s="1" t="n">
        <v>45672</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62765-2022</t>
        </is>
      </c>
      <c r="B749" s="1" t="n">
        <v>44637</v>
      </c>
      <c r="C749" s="1" t="n">
        <v>45672</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12874-2022</t>
        </is>
      </c>
      <c r="B750" s="1" t="n">
        <v>44642</v>
      </c>
      <c r="C750" s="1" t="n">
        <v>45672</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12816-2022</t>
        </is>
      </c>
      <c r="B751" s="1" t="n">
        <v>44642</v>
      </c>
      <c r="C751" s="1" t="n">
        <v>45672</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12877-2022</t>
        </is>
      </c>
      <c r="B752" s="1" t="n">
        <v>44642</v>
      </c>
      <c r="C752" s="1" t="n">
        <v>45672</v>
      </c>
      <c r="D752" t="inlineStr">
        <is>
          <t>STOCKHOLMS LÄN</t>
        </is>
      </c>
      <c r="E752" t="inlineStr">
        <is>
          <t>NORRTÄLJE</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12875-2022</t>
        </is>
      </c>
      <c r="B753" s="1" t="n">
        <v>44642</v>
      </c>
      <c r="C753" s="1" t="n">
        <v>45672</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13077-2022</t>
        </is>
      </c>
      <c r="B754" s="1" t="n">
        <v>44643</v>
      </c>
      <c r="C754" s="1" t="n">
        <v>45672</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13053-2022</t>
        </is>
      </c>
      <c r="B755" s="1" t="n">
        <v>44643</v>
      </c>
      <c r="C755" s="1" t="n">
        <v>45672</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13089-2022</t>
        </is>
      </c>
      <c r="B756" s="1" t="n">
        <v>44643</v>
      </c>
      <c r="C756" s="1" t="n">
        <v>45672</v>
      </c>
      <c r="D756" t="inlineStr">
        <is>
          <t>STOCKHOLMS LÄN</t>
        </is>
      </c>
      <c r="E756" t="inlineStr">
        <is>
          <t>NORRTÄLJE</t>
        </is>
      </c>
      <c r="G756" t="n">
        <v>4.5</v>
      </c>
      <c r="H756" t="n">
        <v>0</v>
      </c>
      <c r="I756" t="n">
        <v>0</v>
      </c>
      <c r="J756" t="n">
        <v>0</v>
      </c>
      <c r="K756" t="n">
        <v>0</v>
      </c>
      <c r="L756" t="n">
        <v>0</v>
      </c>
      <c r="M756" t="n">
        <v>0</v>
      </c>
      <c r="N756" t="n">
        <v>0</v>
      </c>
      <c r="O756" t="n">
        <v>0</v>
      </c>
      <c r="P756" t="n">
        <v>0</v>
      </c>
      <c r="Q756" t="n">
        <v>0</v>
      </c>
      <c r="R756" s="2" t="inlineStr"/>
    </row>
    <row r="757" ht="15" customHeight="1">
      <c r="A757" t="inlineStr">
        <is>
          <t>A 13106-2022</t>
        </is>
      </c>
      <c r="B757" s="1" t="n">
        <v>44644</v>
      </c>
      <c r="C757" s="1" t="n">
        <v>45672</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13278-2022</t>
        </is>
      </c>
      <c r="B758" s="1" t="n">
        <v>44644</v>
      </c>
      <c r="C758" s="1" t="n">
        <v>45672</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13276-2022</t>
        </is>
      </c>
      <c r="B759" s="1" t="n">
        <v>44644</v>
      </c>
      <c r="C759" s="1" t="n">
        <v>45672</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13395-2022</t>
        </is>
      </c>
      <c r="B760" s="1" t="n">
        <v>44645</v>
      </c>
      <c r="C760" s="1" t="n">
        <v>45672</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13696-2022</t>
        </is>
      </c>
      <c r="B761" s="1" t="n">
        <v>44648</v>
      </c>
      <c r="C761" s="1" t="n">
        <v>45672</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13701-2022</t>
        </is>
      </c>
      <c r="B762" s="1" t="n">
        <v>44648</v>
      </c>
      <c r="C762" s="1" t="n">
        <v>45672</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13718-2022</t>
        </is>
      </c>
      <c r="B763" s="1" t="n">
        <v>44649</v>
      </c>
      <c r="C763" s="1" t="n">
        <v>45672</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14036-2022</t>
        </is>
      </c>
      <c r="B764" s="1" t="n">
        <v>44650</v>
      </c>
      <c r="C764" s="1" t="n">
        <v>45672</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14033-2022</t>
        </is>
      </c>
      <c r="B765" s="1" t="n">
        <v>44650</v>
      </c>
      <c r="C765" s="1" t="n">
        <v>45672</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14034-2022</t>
        </is>
      </c>
      <c r="B766" s="1" t="n">
        <v>44650</v>
      </c>
      <c r="C766" s="1" t="n">
        <v>45672</v>
      </c>
      <c r="D766" t="inlineStr">
        <is>
          <t>STOCKHOLMS LÄN</t>
        </is>
      </c>
      <c r="E766" t="inlineStr">
        <is>
          <t>NORRTÄLJE</t>
        </is>
      </c>
      <c r="G766" t="n">
        <v>6.1</v>
      </c>
      <c r="H766" t="n">
        <v>0</v>
      </c>
      <c r="I766" t="n">
        <v>0</v>
      </c>
      <c r="J766" t="n">
        <v>0</v>
      </c>
      <c r="K766" t="n">
        <v>0</v>
      </c>
      <c r="L766" t="n">
        <v>0</v>
      </c>
      <c r="M766" t="n">
        <v>0</v>
      </c>
      <c r="N766" t="n">
        <v>0</v>
      </c>
      <c r="O766" t="n">
        <v>0</v>
      </c>
      <c r="P766" t="n">
        <v>0</v>
      </c>
      <c r="Q766" t="n">
        <v>0</v>
      </c>
      <c r="R766" s="2" t="inlineStr"/>
    </row>
    <row r="767" ht="15" customHeight="1">
      <c r="A767" t="inlineStr">
        <is>
          <t>A 14051-2022</t>
        </is>
      </c>
      <c r="B767" s="1" t="n">
        <v>44651</v>
      </c>
      <c r="C767" s="1" t="n">
        <v>45672</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14166-2022</t>
        </is>
      </c>
      <c r="B768" s="1" t="n">
        <v>44651</v>
      </c>
      <c r="C768" s="1" t="n">
        <v>45672</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14543-2022</t>
        </is>
      </c>
      <c r="B769" s="1" t="n">
        <v>44655</v>
      </c>
      <c r="C769" s="1" t="n">
        <v>45672</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14724-2022</t>
        </is>
      </c>
      <c r="B770" s="1" t="n">
        <v>44656</v>
      </c>
      <c r="C770" s="1" t="n">
        <v>45672</v>
      </c>
      <c r="D770" t="inlineStr">
        <is>
          <t>STOCKHOLMS LÄN</t>
        </is>
      </c>
      <c r="E770" t="inlineStr">
        <is>
          <t>NORRTÄLJE</t>
        </is>
      </c>
      <c r="F770" t="inlineStr">
        <is>
          <t>Sveaskog</t>
        </is>
      </c>
      <c r="G770" t="n">
        <v>9</v>
      </c>
      <c r="H770" t="n">
        <v>0</v>
      </c>
      <c r="I770" t="n">
        <v>0</v>
      </c>
      <c r="J770" t="n">
        <v>0</v>
      </c>
      <c r="K770" t="n">
        <v>0</v>
      </c>
      <c r="L770" t="n">
        <v>0</v>
      </c>
      <c r="M770" t="n">
        <v>0</v>
      </c>
      <c r="N770" t="n">
        <v>0</v>
      </c>
      <c r="O770" t="n">
        <v>0</v>
      </c>
      <c r="P770" t="n">
        <v>0</v>
      </c>
      <c r="Q770" t="n">
        <v>0</v>
      </c>
      <c r="R770" s="2" t="inlineStr"/>
    </row>
    <row r="771" ht="15" customHeight="1">
      <c r="A771" t="inlineStr">
        <is>
          <t>A 14716-2022</t>
        </is>
      </c>
      <c r="B771" s="1" t="n">
        <v>44656</v>
      </c>
      <c r="C771" s="1" t="n">
        <v>45672</v>
      </c>
      <c r="D771" t="inlineStr">
        <is>
          <t>STOCKHOLMS LÄN</t>
        </is>
      </c>
      <c r="E771" t="inlineStr">
        <is>
          <t>NORRTÄLJE</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14869-2022</t>
        </is>
      </c>
      <c r="B772" s="1" t="n">
        <v>44656</v>
      </c>
      <c r="C772" s="1" t="n">
        <v>45672</v>
      </c>
      <c r="D772" t="inlineStr">
        <is>
          <t>STOCKHOLMS LÄN</t>
        </is>
      </c>
      <c r="E772" t="inlineStr">
        <is>
          <t>NORRTÄLJE</t>
        </is>
      </c>
      <c r="F772" t="inlineStr">
        <is>
          <t>Holmen skog AB</t>
        </is>
      </c>
      <c r="G772" t="n">
        <v>9.1</v>
      </c>
      <c r="H772" t="n">
        <v>0</v>
      </c>
      <c r="I772" t="n">
        <v>0</v>
      </c>
      <c r="J772" t="n">
        <v>0</v>
      </c>
      <c r="K772" t="n">
        <v>0</v>
      </c>
      <c r="L772" t="n">
        <v>0</v>
      </c>
      <c r="M772" t="n">
        <v>0</v>
      </c>
      <c r="N772" t="n">
        <v>0</v>
      </c>
      <c r="O772" t="n">
        <v>0</v>
      </c>
      <c r="P772" t="n">
        <v>0</v>
      </c>
      <c r="Q772" t="n">
        <v>0</v>
      </c>
      <c r="R772" s="2" t="inlineStr"/>
    </row>
    <row r="773" ht="15" customHeight="1">
      <c r="A773" t="inlineStr">
        <is>
          <t>A 15225-2022</t>
        </is>
      </c>
      <c r="B773" s="1" t="n">
        <v>44658</v>
      </c>
      <c r="C773" s="1" t="n">
        <v>45672</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15226-2022</t>
        </is>
      </c>
      <c r="B774" s="1" t="n">
        <v>44658</v>
      </c>
      <c r="C774" s="1" t="n">
        <v>45672</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15861-2022</t>
        </is>
      </c>
      <c r="B775" s="1" t="n">
        <v>44664</v>
      </c>
      <c r="C775" s="1" t="n">
        <v>45672</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16117-2022</t>
        </is>
      </c>
      <c r="B776" s="1" t="n">
        <v>44665</v>
      </c>
      <c r="C776" s="1" t="n">
        <v>45672</v>
      </c>
      <c r="D776" t="inlineStr">
        <is>
          <t>STOCKHOLMS LÄN</t>
        </is>
      </c>
      <c r="E776" t="inlineStr">
        <is>
          <t>NORRTÄLJE</t>
        </is>
      </c>
      <c r="G776" t="n">
        <v>8.1</v>
      </c>
      <c r="H776" t="n">
        <v>0</v>
      </c>
      <c r="I776" t="n">
        <v>0</v>
      </c>
      <c r="J776" t="n">
        <v>0</v>
      </c>
      <c r="K776" t="n">
        <v>0</v>
      </c>
      <c r="L776" t="n">
        <v>0</v>
      </c>
      <c r="M776" t="n">
        <v>0</v>
      </c>
      <c r="N776" t="n">
        <v>0</v>
      </c>
      <c r="O776" t="n">
        <v>0</v>
      </c>
      <c r="P776" t="n">
        <v>0</v>
      </c>
      <c r="Q776" t="n">
        <v>0</v>
      </c>
      <c r="R776" s="2" t="inlineStr"/>
    </row>
    <row r="777" ht="15" customHeight="1">
      <c r="A777" t="inlineStr">
        <is>
          <t>A 16119-2022</t>
        </is>
      </c>
      <c r="B777" s="1" t="n">
        <v>44665</v>
      </c>
      <c r="C777" s="1" t="n">
        <v>45672</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16132-2022</t>
        </is>
      </c>
      <c r="B778" s="1" t="n">
        <v>44665</v>
      </c>
      <c r="C778" s="1" t="n">
        <v>45672</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16224-2022</t>
        </is>
      </c>
      <c r="B779" s="1" t="n">
        <v>44670</v>
      </c>
      <c r="C779" s="1" t="n">
        <v>45672</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16202-2022</t>
        </is>
      </c>
      <c r="B780" s="1" t="n">
        <v>44670</v>
      </c>
      <c r="C780" s="1" t="n">
        <v>45672</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v>
      </c>
      <c r="C781" s="1" t="n">
        <v>45672</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16442-2022</t>
        </is>
      </c>
      <c r="B782" s="1" t="n">
        <v>44671</v>
      </c>
      <c r="C782" s="1" t="n">
        <v>45672</v>
      </c>
      <c r="D782" t="inlineStr">
        <is>
          <t>STOCKHOLMS LÄN</t>
        </is>
      </c>
      <c r="E782" t="inlineStr">
        <is>
          <t>NORRTÄLJE</t>
        </is>
      </c>
      <c r="G782" t="n">
        <v>4.8</v>
      </c>
      <c r="H782" t="n">
        <v>0</v>
      </c>
      <c r="I782" t="n">
        <v>0</v>
      </c>
      <c r="J782" t="n">
        <v>0</v>
      </c>
      <c r="K782" t="n">
        <v>0</v>
      </c>
      <c r="L782" t="n">
        <v>0</v>
      </c>
      <c r="M782" t="n">
        <v>0</v>
      </c>
      <c r="N782" t="n">
        <v>0</v>
      </c>
      <c r="O782" t="n">
        <v>0</v>
      </c>
      <c r="P782" t="n">
        <v>0</v>
      </c>
      <c r="Q782" t="n">
        <v>0</v>
      </c>
      <c r="R782" s="2" t="inlineStr"/>
    </row>
    <row r="783" ht="15" customHeight="1">
      <c r="A783" t="inlineStr">
        <is>
          <t>A 16534-2022</t>
        </is>
      </c>
      <c r="B783" s="1" t="n">
        <v>44672</v>
      </c>
      <c r="C783" s="1" t="n">
        <v>45672</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16835-2022</t>
        </is>
      </c>
      <c r="B784" s="1" t="n">
        <v>44673</v>
      </c>
      <c r="C784" s="1" t="n">
        <v>45672</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17391-2022</t>
        </is>
      </c>
      <c r="B785" s="1" t="n">
        <v>44678</v>
      </c>
      <c r="C785" s="1" t="n">
        <v>45672</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17388-2022</t>
        </is>
      </c>
      <c r="B786" s="1" t="n">
        <v>44678</v>
      </c>
      <c r="C786" s="1" t="n">
        <v>45672</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17390-2022</t>
        </is>
      </c>
      <c r="B787" s="1" t="n">
        <v>44678</v>
      </c>
      <c r="C787" s="1" t="n">
        <v>45672</v>
      </c>
      <c r="D787" t="inlineStr">
        <is>
          <t>STOCKHOLMS LÄN</t>
        </is>
      </c>
      <c r="E787" t="inlineStr">
        <is>
          <t>NORRTÄLJE</t>
        </is>
      </c>
      <c r="G787" t="n">
        <v>4.9</v>
      </c>
      <c r="H787" t="n">
        <v>0</v>
      </c>
      <c r="I787" t="n">
        <v>0</v>
      </c>
      <c r="J787" t="n">
        <v>0</v>
      </c>
      <c r="K787" t="n">
        <v>0</v>
      </c>
      <c r="L787" t="n">
        <v>0</v>
      </c>
      <c r="M787" t="n">
        <v>0</v>
      </c>
      <c r="N787" t="n">
        <v>0</v>
      </c>
      <c r="O787" t="n">
        <v>0</v>
      </c>
      <c r="P787" t="n">
        <v>0</v>
      </c>
      <c r="Q787" t="n">
        <v>0</v>
      </c>
      <c r="R787" s="2" t="inlineStr"/>
    </row>
    <row r="788" ht="15" customHeight="1">
      <c r="A788" t="inlineStr">
        <is>
          <t>A 17612-2022</t>
        </is>
      </c>
      <c r="B788" s="1" t="n">
        <v>44680</v>
      </c>
      <c r="C788" s="1" t="n">
        <v>45672</v>
      </c>
      <c r="D788" t="inlineStr">
        <is>
          <t>STOCKHOLMS LÄN</t>
        </is>
      </c>
      <c r="E788" t="inlineStr">
        <is>
          <t>NORRTÄLJE</t>
        </is>
      </c>
      <c r="G788" t="n">
        <v>2.6</v>
      </c>
      <c r="H788" t="n">
        <v>0</v>
      </c>
      <c r="I788" t="n">
        <v>0</v>
      </c>
      <c r="J788" t="n">
        <v>0</v>
      </c>
      <c r="K788" t="n">
        <v>0</v>
      </c>
      <c r="L788" t="n">
        <v>0</v>
      </c>
      <c r="M788" t="n">
        <v>0</v>
      </c>
      <c r="N788" t="n">
        <v>0</v>
      </c>
      <c r="O788" t="n">
        <v>0</v>
      </c>
      <c r="P788" t="n">
        <v>0</v>
      </c>
      <c r="Q788" t="n">
        <v>0</v>
      </c>
      <c r="R788" s="2" t="inlineStr"/>
    </row>
    <row r="789" ht="15" customHeight="1">
      <c r="A789" t="inlineStr">
        <is>
          <t>A 17629-2022</t>
        </is>
      </c>
      <c r="B789" s="1" t="n">
        <v>44680</v>
      </c>
      <c r="C789" s="1" t="n">
        <v>45672</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17771-2022</t>
        </is>
      </c>
      <c r="B790" s="1" t="n">
        <v>44682</v>
      </c>
      <c r="C790" s="1" t="n">
        <v>45672</v>
      </c>
      <c r="D790" t="inlineStr">
        <is>
          <t>STOCKHOLMS LÄN</t>
        </is>
      </c>
      <c r="E790" t="inlineStr">
        <is>
          <t>NORRTÄLJE</t>
        </is>
      </c>
      <c r="G790" t="n">
        <v>13.3</v>
      </c>
      <c r="H790" t="n">
        <v>0</v>
      </c>
      <c r="I790" t="n">
        <v>0</v>
      </c>
      <c r="J790" t="n">
        <v>0</v>
      </c>
      <c r="K790" t="n">
        <v>0</v>
      </c>
      <c r="L790" t="n">
        <v>0</v>
      </c>
      <c r="M790" t="n">
        <v>0</v>
      </c>
      <c r="N790" t="n">
        <v>0</v>
      </c>
      <c r="O790" t="n">
        <v>0</v>
      </c>
      <c r="P790" t="n">
        <v>0</v>
      </c>
      <c r="Q790" t="n">
        <v>0</v>
      </c>
      <c r="R790" s="2" t="inlineStr"/>
    </row>
    <row r="791" ht="15" customHeight="1">
      <c r="A791" t="inlineStr">
        <is>
          <t>A 17775-2022</t>
        </is>
      </c>
      <c r="B791" s="1" t="n">
        <v>44682</v>
      </c>
      <c r="C791" s="1" t="n">
        <v>45672</v>
      </c>
      <c r="D791" t="inlineStr">
        <is>
          <t>STOCKHOLMS LÄN</t>
        </is>
      </c>
      <c r="E791" t="inlineStr">
        <is>
          <t>NORRTÄLJE</t>
        </is>
      </c>
      <c r="G791" t="n">
        <v>4.7</v>
      </c>
      <c r="H791" t="n">
        <v>0</v>
      </c>
      <c r="I791" t="n">
        <v>0</v>
      </c>
      <c r="J791" t="n">
        <v>0</v>
      </c>
      <c r="K791" t="n">
        <v>0</v>
      </c>
      <c r="L791" t="n">
        <v>0</v>
      </c>
      <c r="M791" t="n">
        <v>0</v>
      </c>
      <c r="N791" t="n">
        <v>0</v>
      </c>
      <c r="O791" t="n">
        <v>0</v>
      </c>
      <c r="P791" t="n">
        <v>0</v>
      </c>
      <c r="Q791" t="n">
        <v>0</v>
      </c>
      <c r="R791" s="2" t="inlineStr"/>
    </row>
    <row r="792" ht="15" customHeight="1">
      <c r="A792" t="inlineStr">
        <is>
          <t>A 17773-2022</t>
        </is>
      </c>
      <c r="B792" s="1" t="n">
        <v>44682</v>
      </c>
      <c r="C792" s="1" t="n">
        <v>45672</v>
      </c>
      <c r="D792" t="inlineStr">
        <is>
          <t>STOCKHOLMS LÄN</t>
        </is>
      </c>
      <c r="E792" t="inlineStr">
        <is>
          <t>NORRTÄLJE</t>
        </is>
      </c>
      <c r="G792" t="n">
        <v>10.8</v>
      </c>
      <c r="H792" t="n">
        <v>0</v>
      </c>
      <c r="I792" t="n">
        <v>0</v>
      </c>
      <c r="J792" t="n">
        <v>0</v>
      </c>
      <c r="K792" t="n">
        <v>0</v>
      </c>
      <c r="L792" t="n">
        <v>0</v>
      </c>
      <c r="M792" t="n">
        <v>0</v>
      </c>
      <c r="N792" t="n">
        <v>0</v>
      </c>
      <c r="O792" t="n">
        <v>0</v>
      </c>
      <c r="P792" t="n">
        <v>0</v>
      </c>
      <c r="Q792" t="n">
        <v>0</v>
      </c>
      <c r="R792" s="2" t="inlineStr"/>
    </row>
    <row r="793" ht="15" customHeight="1">
      <c r="A793" t="inlineStr">
        <is>
          <t>A 17772-2022</t>
        </is>
      </c>
      <c r="B793" s="1" t="n">
        <v>44682</v>
      </c>
      <c r="C793" s="1" t="n">
        <v>45672</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17777-2022</t>
        </is>
      </c>
      <c r="B794" s="1" t="n">
        <v>44682</v>
      </c>
      <c r="C794" s="1" t="n">
        <v>45672</v>
      </c>
      <c r="D794" t="inlineStr">
        <is>
          <t>STOCKHOLMS LÄN</t>
        </is>
      </c>
      <c r="E794" t="inlineStr">
        <is>
          <t>NORRTÄLJE</t>
        </is>
      </c>
      <c r="G794" t="n">
        <v>3.7</v>
      </c>
      <c r="H794" t="n">
        <v>0</v>
      </c>
      <c r="I794" t="n">
        <v>0</v>
      </c>
      <c r="J794" t="n">
        <v>0</v>
      </c>
      <c r="K794" t="n">
        <v>0</v>
      </c>
      <c r="L794" t="n">
        <v>0</v>
      </c>
      <c r="M794" t="n">
        <v>0</v>
      </c>
      <c r="N794" t="n">
        <v>0</v>
      </c>
      <c r="O794" t="n">
        <v>0</v>
      </c>
      <c r="P794" t="n">
        <v>0</v>
      </c>
      <c r="Q794" t="n">
        <v>0</v>
      </c>
      <c r="R794" s="2" t="inlineStr"/>
    </row>
    <row r="795" ht="15" customHeight="1">
      <c r="A795" t="inlineStr">
        <is>
          <t>A 17803-2022</t>
        </is>
      </c>
      <c r="B795" s="1" t="n">
        <v>44683</v>
      </c>
      <c r="C795" s="1" t="n">
        <v>45672</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17952-2022</t>
        </is>
      </c>
      <c r="B796" s="1" t="n">
        <v>44683</v>
      </c>
      <c r="C796" s="1" t="n">
        <v>45672</v>
      </c>
      <c r="D796" t="inlineStr">
        <is>
          <t>STOCKHOLMS LÄN</t>
        </is>
      </c>
      <c r="E796" t="inlineStr">
        <is>
          <t>NORRTÄLJE</t>
        </is>
      </c>
      <c r="G796" t="n">
        <v>51.1</v>
      </c>
      <c r="H796" t="n">
        <v>0</v>
      </c>
      <c r="I796" t="n">
        <v>0</v>
      </c>
      <c r="J796" t="n">
        <v>0</v>
      </c>
      <c r="K796" t="n">
        <v>0</v>
      </c>
      <c r="L796" t="n">
        <v>0</v>
      </c>
      <c r="M796" t="n">
        <v>0</v>
      </c>
      <c r="N796" t="n">
        <v>0</v>
      </c>
      <c r="O796" t="n">
        <v>0</v>
      </c>
      <c r="P796" t="n">
        <v>0</v>
      </c>
      <c r="Q796" t="n">
        <v>0</v>
      </c>
      <c r="R796" s="2" t="inlineStr"/>
    </row>
    <row r="797" ht="15" customHeight="1">
      <c r="A797" t="inlineStr">
        <is>
          <t>A 18092-2022</t>
        </is>
      </c>
      <c r="B797" s="1" t="n">
        <v>44684</v>
      </c>
      <c r="C797" s="1" t="n">
        <v>45672</v>
      </c>
      <c r="D797" t="inlineStr">
        <is>
          <t>STOCKHOLMS LÄN</t>
        </is>
      </c>
      <c r="E797" t="inlineStr">
        <is>
          <t>NORRTÄLJE</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18103-2022</t>
        </is>
      </c>
      <c r="B798" s="1" t="n">
        <v>44684</v>
      </c>
      <c r="C798" s="1" t="n">
        <v>45672</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18350-2022</t>
        </is>
      </c>
      <c r="B799" s="1" t="n">
        <v>44685</v>
      </c>
      <c r="C799" s="1" t="n">
        <v>45672</v>
      </c>
      <c r="D799" t="inlineStr">
        <is>
          <t>STOCKHOLMS LÄN</t>
        </is>
      </c>
      <c r="E799" t="inlineStr">
        <is>
          <t>NORRTÄLJE</t>
        </is>
      </c>
      <c r="F799" t="inlineStr">
        <is>
          <t>Holmen skog AB</t>
        </is>
      </c>
      <c r="G799" t="n">
        <v>7.1</v>
      </c>
      <c r="H799" t="n">
        <v>0</v>
      </c>
      <c r="I799" t="n">
        <v>0</v>
      </c>
      <c r="J799" t="n">
        <v>0</v>
      </c>
      <c r="K799" t="n">
        <v>0</v>
      </c>
      <c r="L799" t="n">
        <v>0</v>
      </c>
      <c r="M799" t="n">
        <v>0</v>
      </c>
      <c r="N799" t="n">
        <v>0</v>
      </c>
      <c r="O799" t="n">
        <v>0</v>
      </c>
      <c r="P799" t="n">
        <v>0</v>
      </c>
      <c r="Q799" t="n">
        <v>0</v>
      </c>
      <c r="R799" s="2" t="inlineStr"/>
    </row>
    <row r="800" ht="15" customHeight="1">
      <c r="A800" t="inlineStr">
        <is>
          <t>A 18546-2022</t>
        </is>
      </c>
      <c r="B800" s="1" t="n">
        <v>44686</v>
      </c>
      <c r="C800" s="1" t="n">
        <v>45672</v>
      </c>
      <c r="D800" t="inlineStr">
        <is>
          <t>STOCKHOLMS LÄN</t>
        </is>
      </c>
      <c r="E800" t="inlineStr">
        <is>
          <t>NORRTÄLJE</t>
        </is>
      </c>
      <c r="G800" t="n">
        <v>15.2</v>
      </c>
      <c r="H800" t="n">
        <v>0</v>
      </c>
      <c r="I800" t="n">
        <v>0</v>
      </c>
      <c r="J800" t="n">
        <v>0</v>
      </c>
      <c r="K800" t="n">
        <v>0</v>
      </c>
      <c r="L800" t="n">
        <v>0</v>
      </c>
      <c r="M800" t="n">
        <v>0</v>
      </c>
      <c r="N800" t="n">
        <v>0</v>
      </c>
      <c r="O800" t="n">
        <v>0</v>
      </c>
      <c r="P800" t="n">
        <v>0</v>
      </c>
      <c r="Q800" t="n">
        <v>0</v>
      </c>
      <c r="R800" s="2" t="inlineStr"/>
    </row>
    <row r="801" ht="15" customHeight="1">
      <c r="A801" t="inlineStr">
        <is>
          <t>A 18665-2022</t>
        </is>
      </c>
      <c r="B801" s="1" t="n">
        <v>44687</v>
      </c>
      <c r="C801" s="1" t="n">
        <v>45672</v>
      </c>
      <c r="D801" t="inlineStr">
        <is>
          <t>STOCKHOLMS LÄN</t>
        </is>
      </c>
      <c r="E801" t="inlineStr">
        <is>
          <t>NORRTÄLJE</t>
        </is>
      </c>
      <c r="F801" t="inlineStr">
        <is>
          <t>Kyrkan</t>
        </is>
      </c>
      <c r="G801" t="n">
        <v>1.1</v>
      </c>
      <c r="H801" t="n">
        <v>0</v>
      </c>
      <c r="I801" t="n">
        <v>0</v>
      </c>
      <c r="J801" t="n">
        <v>0</v>
      </c>
      <c r="K801" t="n">
        <v>0</v>
      </c>
      <c r="L801" t="n">
        <v>0</v>
      </c>
      <c r="M801" t="n">
        <v>0</v>
      </c>
      <c r="N801" t="n">
        <v>0</v>
      </c>
      <c r="O801" t="n">
        <v>0</v>
      </c>
      <c r="P801" t="n">
        <v>0</v>
      </c>
      <c r="Q801" t="n">
        <v>0</v>
      </c>
      <c r="R801" s="2" t="inlineStr"/>
    </row>
    <row r="802" ht="15" customHeight="1">
      <c r="A802" t="inlineStr">
        <is>
          <t>A 18787-2022</t>
        </is>
      </c>
      <c r="B802" s="1" t="n">
        <v>44687</v>
      </c>
      <c r="C802" s="1" t="n">
        <v>45672</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18846-2022</t>
        </is>
      </c>
      <c r="B803" s="1" t="n">
        <v>44690</v>
      </c>
      <c r="C803" s="1" t="n">
        <v>45672</v>
      </c>
      <c r="D803" t="inlineStr">
        <is>
          <t>STOCKHOLMS LÄN</t>
        </is>
      </c>
      <c r="E803" t="inlineStr">
        <is>
          <t>NORRTÄLJE</t>
        </is>
      </c>
      <c r="G803" t="n">
        <v>7</v>
      </c>
      <c r="H803" t="n">
        <v>0</v>
      </c>
      <c r="I803" t="n">
        <v>0</v>
      </c>
      <c r="J803" t="n">
        <v>0</v>
      </c>
      <c r="K803" t="n">
        <v>0</v>
      </c>
      <c r="L803" t="n">
        <v>0</v>
      </c>
      <c r="M803" t="n">
        <v>0</v>
      </c>
      <c r="N803" t="n">
        <v>0</v>
      </c>
      <c r="O803" t="n">
        <v>0</v>
      </c>
      <c r="P803" t="n">
        <v>0</v>
      </c>
      <c r="Q803" t="n">
        <v>0</v>
      </c>
      <c r="R803" s="2" t="inlineStr"/>
    </row>
    <row r="804" ht="15" customHeight="1">
      <c r="A804" t="inlineStr">
        <is>
          <t>A 18905-2022</t>
        </is>
      </c>
      <c r="B804" s="1" t="n">
        <v>44690</v>
      </c>
      <c r="C804" s="1" t="n">
        <v>45672</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18894-2022</t>
        </is>
      </c>
      <c r="B805" s="1" t="n">
        <v>44690</v>
      </c>
      <c r="C805" s="1" t="n">
        <v>45672</v>
      </c>
      <c r="D805" t="inlineStr">
        <is>
          <t>STOCKHOLMS LÄN</t>
        </is>
      </c>
      <c r="E805" t="inlineStr">
        <is>
          <t>NORRTÄLJE</t>
        </is>
      </c>
      <c r="G805" t="n">
        <v>3.6</v>
      </c>
      <c r="H805" t="n">
        <v>0</v>
      </c>
      <c r="I805" t="n">
        <v>0</v>
      </c>
      <c r="J805" t="n">
        <v>0</v>
      </c>
      <c r="K805" t="n">
        <v>0</v>
      </c>
      <c r="L805" t="n">
        <v>0</v>
      </c>
      <c r="M805" t="n">
        <v>0</v>
      </c>
      <c r="N805" t="n">
        <v>0</v>
      </c>
      <c r="O805" t="n">
        <v>0</v>
      </c>
      <c r="P805" t="n">
        <v>0</v>
      </c>
      <c r="Q805" t="n">
        <v>0</v>
      </c>
      <c r="R805" s="2" t="inlineStr"/>
    </row>
    <row r="806" ht="15" customHeight="1">
      <c r="A806" t="inlineStr">
        <is>
          <t>A 19116-2022</t>
        </is>
      </c>
      <c r="B806" s="1" t="n">
        <v>44691</v>
      </c>
      <c r="C806" s="1" t="n">
        <v>45672</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19118-2022</t>
        </is>
      </c>
      <c r="B807" s="1" t="n">
        <v>44691</v>
      </c>
      <c r="C807" s="1" t="n">
        <v>45672</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19580-2022</t>
        </is>
      </c>
      <c r="B808" s="1" t="n">
        <v>44693</v>
      </c>
      <c r="C808" s="1" t="n">
        <v>45672</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19729-2022</t>
        </is>
      </c>
      <c r="B809" s="1" t="n">
        <v>44694</v>
      </c>
      <c r="C809" s="1" t="n">
        <v>45672</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19728-2022</t>
        </is>
      </c>
      <c r="B810" s="1" t="n">
        <v>44694</v>
      </c>
      <c r="C810" s="1" t="n">
        <v>45672</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19982-2022</t>
        </is>
      </c>
      <c r="B811" s="1" t="n">
        <v>44697</v>
      </c>
      <c r="C811" s="1" t="n">
        <v>45672</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19983-2022</t>
        </is>
      </c>
      <c r="B812" s="1" t="n">
        <v>44697</v>
      </c>
      <c r="C812" s="1" t="n">
        <v>45672</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20121-2022</t>
        </is>
      </c>
      <c r="B813" s="1" t="n">
        <v>44698</v>
      </c>
      <c r="C813" s="1" t="n">
        <v>45672</v>
      </c>
      <c r="D813" t="inlineStr">
        <is>
          <t>STOCKHOLMS LÄN</t>
        </is>
      </c>
      <c r="E813" t="inlineStr">
        <is>
          <t>NORRTÄLJE</t>
        </is>
      </c>
      <c r="G813" t="n">
        <v>4.2</v>
      </c>
      <c r="H813" t="n">
        <v>0</v>
      </c>
      <c r="I813" t="n">
        <v>0</v>
      </c>
      <c r="J813" t="n">
        <v>0</v>
      </c>
      <c r="K813" t="n">
        <v>0</v>
      </c>
      <c r="L813" t="n">
        <v>0</v>
      </c>
      <c r="M813" t="n">
        <v>0</v>
      </c>
      <c r="N813" t="n">
        <v>0</v>
      </c>
      <c r="O813" t="n">
        <v>0</v>
      </c>
      <c r="P813" t="n">
        <v>0</v>
      </c>
      <c r="Q813" t="n">
        <v>0</v>
      </c>
      <c r="R813" s="2" t="inlineStr"/>
    </row>
    <row r="814" ht="15" customHeight="1">
      <c r="A814" t="inlineStr">
        <is>
          <t>A 20129-2022</t>
        </is>
      </c>
      <c r="B814" s="1" t="n">
        <v>44698</v>
      </c>
      <c r="C814" s="1" t="n">
        <v>45672</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20291-2022</t>
        </is>
      </c>
      <c r="B815" s="1" t="n">
        <v>44698</v>
      </c>
      <c r="C815" s="1" t="n">
        <v>45672</v>
      </c>
      <c r="D815" t="inlineStr">
        <is>
          <t>STOCKHOLMS LÄN</t>
        </is>
      </c>
      <c r="E815" t="inlineStr">
        <is>
          <t>NORRTÄLJE</t>
        </is>
      </c>
      <c r="F815" t="inlineStr">
        <is>
          <t>Naturvårdsverket</t>
        </is>
      </c>
      <c r="G815" t="n">
        <v>2</v>
      </c>
      <c r="H815" t="n">
        <v>0</v>
      </c>
      <c r="I815" t="n">
        <v>0</v>
      </c>
      <c r="J815" t="n">
        <v>0</v>
      </c>
      <c r="K815" t="n">
        <v>0</v>
      </c>
      <c r="L815" t="n">
        <v>0</v>
      </c>
      <c r="M815" t="n">
        <v>0</v>
      </c>
      <c r="N815" t="n">
        <v>0</v>
      </c>
      <c r="O815" t="n">
        <v>0</v>
      </c>
      <c r="P815" t="n">
        <v>0</v>
      </c>
      <c r="Q815" t="n">
        <v>0</v>
      </c>
      <c r="R815" s="2" t="inlineStr"/>
    </row>
    <row r="816" ht="15" customHeight="1">
      <c r="A816" t="inlineStr">
        <is>
          <t>A 20294-2022</t>
        </is>
      </c>
      <c r="B816" s="1" t="n">
        <v>44698</v>
      </c>
      <c r="C816" s="1" t="n">
        <v>45672</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20295-2022</t>
        </is>
      </c>
      <c r="B817" s="1" t="n">
        <v>44698</v>
      </c>
      <c r="C817" s="1" t="n">
        <v>45672</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20618-2022</t>
        </is>
      </c>
      <c r="B818" s="1" t="n">
        <v>44700</v>
      </c>
      <c r="C818" s="1" t="n">
        <v>45672</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21102-2022</t>
        </is>
      </c>
      <c r="B819" s="1" t="n">
        <v>44704</v>
      </c>
      <c r="C819" s="1" t="n">
        <v>45672</v>
      </c>
      <c r="D819" t="inlineStr">
        <is>
          <t>STOCKHOLMS LÄN</t>
        </is>
      </c>
      <c r="E819" t="inlineStr">
        <is>
          <t>NORRTÄLJE</t>
        </is>
      </c>
      <c r="G819" t="n">
        <v>0.2</v>
      </c>
      <c r="H819" t="n">
        <v>0</v>
      </c>
      <c r="I819" t="n">
        <v>0</v>
      </c>
      <c r="J819" t="n">
        <v>0</v>
      </c>
      <c r="K819" t="n">
        <v>0</v>
      </c>
      <c r="L819" t="n">
        <v>0</v>
      </c>
      <c r="M819" t="n">
        <v>0</v>
      </c>
      <c r="N819" t="n">
        <v>0</v>
      </c>
      <c r="O819" t="n">
        <v>0</v>
      </c>
      <c r="P819" t="n">
        <v>0</v>
      </c>
      <c r="Q819" t="n">
        <v>0</v>
      </c>
      <c r="R819" s="2" t="inlineStr"/>
    </row>
    <row r="820" ht="15" customHeight="1">
      <c r="A820" t="inlineStr">
        <is>
          <t>A 21158-2022</t>
        </is>
      </c>
      <c r="B820" s="1" t="n">
        <v>44704</v>
      </c>
      <c r="C820" s="1" t="n">
        <v>45672</v>
      </c>
      <c r="D820" t="inlineStr">
        <is>
          <t>STOCKHOLMS LÄN</t>
        </is>
      </c>
      <c r="E820" t="inlineStr">
        <is>
          <t>NORRTÄLJE</t>
        </is>
      </c>
      <c r="G820" t="n">
        <v>17.8</v>
      </c>
      <c r="H820" t="n">
        <v>0</v>
      </c>
      <c r="I820" t="n">
        <v>0</v>
      </c>
      <c r="J820" t="n">
        <v>0</v>
      </c>
      <c r="K820" t="n">
        <v>0</v>
      </c>
      <c r="L820" t="n">
        <v>0</v>
      </c>
      <c r="M820" t="n">
        <v>0</v>
      </c>
      <c r="N820" t="n">
        <v>0</v>
      </c>
      <c r="O820" t="n">
        <v>0</v>
      </c>
      <c r="P820" t="n">
        <v>0</v>
      </c>
      <c r="Q820" t="n">
        <v>0</v>
      </c>
      <c r="R820" s="2" t="inlineStr"/>
    </row>
    <row r="821" ht="15" customHeight="1">
      <c r="A821" t="inlineStr">
        <is>
          <t>A 21174-2022</t>
        </is>
      </c>
      <c r="B821" s="1" t="n">
        <v>44704</v>
      </c>
      <c r="C821" s="1" t="n">
        <v>45672</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21480-2022</t>
        </is>
      </c>
      <c r="B822" s="1" t="n">
        <v>44704</v>
      </c>
      <c r="C822" s="1" t="n">
        <v>45672</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21178-2022</t>
        </is>
      </c>
      <c r="B823" s="1" t="n">
        <v>44704</v>
      </c>
      <c r="C823" s="1" t="n">
        <v>45672</v>
      </c>
      <c r="D823" t="inlineStr">
        <is>
          <t>STOCKHOLMS LÄN</t>
        </is>
      </c>
      <c r="E823" t="inlineStr">
        <is>
          <t>NORRTÄLJE</t>
        </is>
      </c>
      <c r="G823" t="n">
        <v>6</v>
      </c>
      <c r="H823" t="n">
        <v>0</v>
      </c>
      <c r="I823" t="n">
        <v>0</v>
      </c>
      <c r="J823" t="n">
        <v>0</v>
      </c>
      <c r="K823" t="n">
        <v>0</v>
      </c>
      <c r="L823" t="n">
        <v>0</v>
      </c>
      <c r="M823" t="n">
        <v>0</v>
      </c>
      <c r="N823" t="n">
        <v>0</v>
      </c>
      <c r="O823" t="n">
        <v>0</v>
      </c>
      <c r="P823" t="n">
        <v>0</v>
      </c>
      <c r="Q823" t="n">
        <v>0</v>
      </c>
      <c r="R823" s="2" t="inlineStr"/>
    </row>
    <row r="824" ht="15" customHeight="1">
      <c r="A824" t="inlineStr">
        <is>
          <t>A 21329-2022</t>
        </is>
      </c>
      <c r="B824" s="1" t="n">
        <v>44705</v>
      </c>
      <c r="C824" s="1" t="n">
        <v>45672</v>
      </c>
      <c r="D824" t="inlineStr">
        <is>
          <t>STOCKHOLMS LÄN</t>
        </is>
      </c>
      <c r="E824" t="inlineStr">
        <is>
          <t>NORRTÄLJE</t>
        </is>
      </c>
      <c r="G824" t="n">
        <v>4.1</v>
      </c>
      <c r="H824" t="n">
        <v>0</v>
      </c>
      <c r="I824" t="n">
        <v>0</v>
      </c>
      <c r="J824" t="n">
        <v>0</v>
      </c>
      <c r="K824" t="n">
        <v>0</v>
      </c>
      <c r="L824" t="n">
        <v>0</v>
      </c>
      <c r="M824" t="n">
        <v>0</v>
      </c>
      <c r="N824" t="n">
        <v>0</v>
      </c>
      <c r="O824" t="n">
        <v>0</v>
      </c>
      <c r="P824" t="n">
        <v>0</v>
      </c>
      <c r="Q824" t="n">
        <v>0</v>
      </c>
      <c r="R824" s="2" t="inlineStr"/>
    </row>
    <row r="825" ht="15" customHeight="1">
      <c r="A825" t="inlineStr">
        <is>
          <t>A 21739-2022</t>
        </is>
      </c>
      <c r="B825" s="1" t="n">
        <v>44708</v>
      </c>
      <c r="C825" s="1" t="n">
        <v>45672</v>
      </c>
      <c r="D825" t="inlineStr">
        <is>
          <t>STOCKHOLMS LÄN</t>
        </is>
      </c>
      <c r="E825" t="inlineStr">
        <is>
          <t>NORRTÄLJE</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21723-2022</t>
        </is>
      </c>
      <c r="B826" s="1" t="n">
        <v>44708</v>
      </c>
      <c r="C826" s="1" t="n">
        <v>45672</v>
      </c>
      <c r="D826" t="inlineStr">
        <is>
          <t>STOCKHOLMS LÄN</t>
        </is>
      </c>
      <c r="E826" t="inlineStr">
        <is>
          <t>NORRTÄLJE</t>
        </is>
      </c>
      <c r="G826" t="n">
        <v>0.3</v>
      </c>
      <c r="H826" t="n">
        <v>0</v>
      </c>
      <c r="I826" t="n">
        <v>0</v>
      </c>
      <c r="J826" t="n">
        <v>0</v>
      </c>
      <c r="K826" t="n">
        <v>0</v>
      </c>
      <c r="L826" t="n">
        <v>0</v>
      </c>
      <c r="M826" t="n">
        <v>0</v>
      </c>
      <c r="N826" t="n">
        <v>0</v>
      </c>
      <c r="O826" t="n">
        <v>0</v>
      </c>
      <c r="P826" t="n">
        <v>0</v>
      </c>
      <c r="Q826" t="n">
        <v>0</v>
      </c>
      <c r="R826" s="2" t="inlineStr"/>
    </row>
    <row r="827" ht="15" customHeight="1">
      <c r="A827" t="inlineStr">
        <is>
          <t>A 21726-2022</t>
        </is>
      </c>
      <c r="B827" s="1" t="n">
        <v>44708</v>
      </c>
      <c r="C827" s="1" t="n">
        <v>45672</v>
      </c>
      <c r="D827" t="inlineStr">
        <is>
          <t>STOCKHOLMS LÄN</t>
        </is>
      </c>
      <c r="E827" t="inlineStr">
        <is>
          <t>NORRTÄLJE</t>
        </is>
      </c>
      <c r="G827" t="n">
        <v>0.2</v>
      </c>
      <c r="H827" t="n">
        <v>0</v>
      </c>
      <c r="I827" t="n">
        <v>0</v>
      </c>
      <c r="J827" t="n">
        <v>0</v>
      </c>
      <c r="K827" t="n">
        <v>0</v>
      </c>
      <c r="L827" t="n">
        <v>0</v>
      </c>
      <c r="M827" t="n">
        <v>0</v>
      </c>
      <c r="N827" t="n">
        <v>0</v>
      </c>
      <c r="O827" t="n">
        <v>0</v>
      </c>
      <c r="P827" t="n">
        <v>0</v>
      </c>
      <c r="Q827" t="n">
        <v>0</v>
      </c>
      <c r="R827" s="2" t="inlineStr"/>
    </row>
    <row r="828" ht="15" customHeight="1">
      <c r="A828" t="inlineStr">
        <is>
          <t>A 21803-2022</t>
        </is>
      </c>
      <c r="B828" s="1" t="n">
        <v>44708</v>
      </c>
      <c r="C828" s="1" t="n">
        <v>45672</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21970-2022</t>
        </is>
      </c>
      <c r="B829" s="1" t="n">
        <v>44711</v>
      </c>
      <c r="C829" s="1" t="n">
        <v>45672</v>
      </c>
      <c r="D829" t="inlineStr">
        <is>
          <t>STOCKHOLMS LÄN</t>
        </is>
      </c>
      <c r="E829" t="inlineStr">
        <is>
          <t>NORRTÄLJE</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22072-2022</t>
        </is>
      </c>
      <c r="B830" s="1" t="n">
        <v>44711</v>
      </c>
      <c r="C830" s="1" t="n">
        <v>45672</v>
      </c>
      <c r="D830" t="inlineStr">
        <is>
          <t>STOCKHOLMS LÄN</t>
        </is>
      </c>
      <c r="E830" t="inlineStr">
        <is>
          <t>NORRTÄLJE</t>
        </is>
      </c>
      <c r="G830" t="n">
        <v>9.6</v>
      </c>
      <c r="H830" t="n">
        <v>0</v>
      </c>
      <c r="I830" t="n">
        <v>0</v>
      </c>
      <c r="J830" t="n">
        <v>0</v>
      </c>
      <c r="K830" t="n">
        <v>0</v>
      </c>
      <c r="L830" t="n">
        <v>0</v>
      </c>
      <c r="M830" t="n">
        <v>0</v>
      </c>
      <c r="N830" t="n">
        <v>0</v>
      </c>
      <c r="O830" t="n">
        <v>0</v>
      </c>
      <c r="P830" t="n">
        <v>0</v>
      </c>
      <c r="Q830" t="n">
        <v>0</v>
      </c>
      <c r="R830" s="2" t="inlineStr"/>
    </row>
    <row r="831" ht="15" customHeight="1">
      <c r="A831" t="inlineStr">
        <is>
          <t>A 22071-2022</t>
        </is>
      </c>
      <c r="B831" s="1" t="n">
        <v>44711</v>
      </c>
      <c r="C831" s="1" t="n">
        <v>45672</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22269-2022</t>
        </is>
      </c>
      <c r="B832" s="1" t="n">
        <v>44712</v>
      </c>
      <c r="C832" s="1" t="n">
        <v>45672</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22316-2022</t>
        </is>
      </c>
      <c r="B833" s="1" t="n">
        <v>44712</v>
      </c>
      <c r="C833" s="1" t="n">
        <v>45672</v>
      </c>
      <c r="D833" t="inlineStr">
        <is>
          <t>STOCKHOLMS LÄN</t>
        </is>
      </c>
      <c r="E833" t="inlineStr">
        <is>
          <t>NORRTÄLJE</t>
        </is>
      </c>
      <c r="G833" t="n">
        <v>6.3</v>
      </c>
      <c r="H833" t="n">
        <v>0</v>
      </c>
      <c r="I833" t="n">
        <v>0</v>
      </c>
      <c r="J833" t="n">
        <v>0</v>
      </c>
      <c r="K833" t="n">
        <v>0</v>
      </c>
      <c r="L833" t="n">
        <v>0</v>
      </c>
      <c r="M833" t="n">
        <v>0</v>
      </c>
      <c r="N833" t="n">
        <v>0</v>
      </c>
      <c r="O833" t="n">
        <v>0</v>
      </c>
      <c r="P833" t="n">
        <v>0</v>
      </c>
      <c r="Q833" t="n">
        <v>0</v>
      </c>
      <c r="R833" s="2" t="inlineStr"/>
    </row>
    <row r="834" ht="15" customHeight="1">
      <c r="A834" t="inlineStr">
        <is>
          <t>A 22503-2022</t>
        </is>
      </c>
      <c r="B834" s="1" t="n">
        <v>44713</v>
      </c>
      <c r="C834" s="1" t="n">
        <v>45672</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22697-2022</t>
        </is>
      </c>
      <c r="B835" s="1" t="n">
        <v>44714</v>
      </c>
      <c r="C835" s="1" t="n">
        <v>45672</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22628-2022</t>
        </is>
      </c>
      <c r="B836" s="1" t="n">
        <v>44714</v>
      </c>
      <c r="C836" s="1" t="n">
        <v>45672</v>
      </c>
      <c r="D836" t="inlineStr">
        <is>
          <t>STOCKHOLMS LÄN</t>
        </is>
      </c>
      <c r="E836" t="inlineStr">
        <is>
          <t>NORRTÄLJE</t>
        </is>
      </c>
      <c r="G836" t="n">
        <v>11.4</v>
      </c>
      <c r="H836" t="n">
        <v>0</v>
      </c>
      <c r="I836" t="n">
        <v>0</v>
      </c>
      <c r="J836" t="n">
        <v>0</v>
      </c>
      <c r="K836" t="n">
        <v>0</v>
      </c>
      <c r="L836" t="n">
        <v>0</v>
      </c>
      <c r="M836" t="n">
        <v>0</v>
      </c>
      <c r="N836" t="n">
        <v>0</v>
      </c>
      <c r="O836" t="n">
        <v>0</v>
      </c>
      <c r="P836" t="n">
        <v>0</v>
      </c>
      <c r="Q836" t="n">
        <v>0</v>
      </c>
      <c r="R836" s="2" t="inlineStr"/>
    </row>
    <row r="837" ht="15" customHeight="1">
      <c r="A837" t="inlineStr">
        <is>
          <t>A 22636-2022</t>
        </is>
      </c>
      <c r="B837" s="1" t="n">
        <v>44714</v>
      </c>
      <c r="C837" s="1" t="n">
        <v>45672</v>
      </c>
      <c r="D837" t="inlineStr">
        <is>
          <t>STOCKHOLMS LÄN</t>
        </is>
      </c>
      <c r="E837" t="inlineStr">
        <is>
          <t>NORRTÄLJE</t>
        </is>
      </c>
      <c r="G837" t="n">
        <v>16.6</v>
      </c>
      <c r="H837" t="n">
        <v>0</v>
      </c>
      <c r="I837" t="n">
        <v>0</v>
      </c>
      <c r="J837" t="n">
        <v>0</v>
      </c>
      <c r="K837" t="n">
        <v>0</v>
      </c>
      <c r="L837" t="n">
        <v>0</v>
      </c>
      <c r="M837" t="n">
        <v>0</v>
      </c>
      <c r="N837" t="n">
        <v>0</v>
      </c>
      <c r="O837" t="n">
        <v>0</v>
      </c>
      <c r="P837" t="n">
        <v>0</v>
      </c>
      <c r="Q837" t="n">
        <v>0</v>
      </c>
      <c r="R837" s="2" t="inlineStr"/>
    </row>
    <row r="838" ht="15" customHeight="1">
      <c r="A838" t="inlineStr">
        <is>
          <t>A 22716-2022</t>
        </is>
      </c>
      <c r="B838" s="1" t="n">
        <v>44714</v>
      </c>
      <c r="C838" s="1" t="n">
        <v>45672</v>
      </c>
      <c r="D838" t="inlineStr">
        <is>
          <t>STOCKHOLMS LÄN</t>
        </is>
      </c>
      <c r="E838" t="inlineStr">
        <is>
          <t>NORRTÄLJE</t>
        </is>
      </c>
      <c r="G838" t="n">
        <v>13.5</v>
      </c>
      <c r="H838" t="n">
        <v>0</v>
      </c>
      <c r="I838" t="n">
        <v>0</v>
      </c>
      <c r="J838" t="n">
        <v>0</v>
      </c>
      <c r="K838" t="n">
        <v>0</v>
      </c>
      <c r="L838" t="n">
        <v>0</v>
      </c>
      <c r="M838" t="n">
        <v>0</v>
      </c>
      <c r="N838" t="n">
        <v>0</v>
      </c>
      <c r="O838" t="n">
        <v>0</v>
      </c>
      <c r="P838" t="n">
        <v>0</v>
      </c>
      <c r="Q838" t="n">
        <v>0</v>
      </c>
      <c r="R838" s="2" t="inlineStr"/>
    </row>
    <row r="839" ht="15" customHeight="1">
      <c r="A839" t="inlineStr">
        <is>
          <t>A 22756-2022</t>
        </is>
      </c>
      <c r="B839" s="1" t="n">
        <v>44715</v>
      </c>
      <c r="C839" s="1" t="n">
        <v>45672</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23125-2022</t>
        </is>
      </c>
      <c r="B840" s="1" t="n">
        <v>44719</v>
      </c>
      <c r="C840" s="1" t="n">
        <v>45672</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23770-2022</t>
        </is>
      </c>
      <c r="B841" s="1" t="n">
        <v>44722</v>
      </c>
      <c r="C841" s="1" t="n">
        <v>45672</v>
      </c>
      <c r="D841" t="inlineStr">
        <is>
          <t>STOCKHOLMS LÄN</t>
        </is>
      </c>
      <c r="E841" t="inlineStr">
        <is>
          <t>NORRTÄLJE</t>
        </is>
      </c>
      <c r="G841" t="n">
        <v>1.6</v>
      </c>
      <c r="H841" t="n">
        <v>0</v>
      </c>
      <c r="I841" t="n">
        <v>0</v>
      </c>
      <c r="J841" t="n">
        <v>0</v>
      </c>
      <c r="K841" t="n">
        <v>0</v>
      </c>
      <c r="L841" t="n">
        <v>0</v>
      </c>
      <c r="M841" t="n">
        <v>0</v>
      </c>
      <c r="N841" t="n">
        <v>0</v>
      </c>
      <c r="O841" t="n">
        <v>0</v>
      </c>
      <c r="P841" t="n">
        <v>0</v>
      </c>
      <c r="Q841" t="n">
        <v>0</v>
      </c>
      <c r="R841" s="2" t="inlineStr"/>
    </row>
    <row r="842" ht="15" customHeight="1">
      <c r="A842" t="inlineStr">
        <is>
          <t>A 23801-2022</t>
        </is>
      </c>
      <c r="B842" s="1" t="n">
        <v>44722</v>
      </c>
      <c r="C842" s="1" t="n">
        <v>45672</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24101-2022</t>
        </is>
      </c>
      <c r="B843" s="1" t="n">
        <v>44725</v>
      </c>
      <c r="C843" s="1" t="n">
        <v>45672</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24162-2022</t>
        </is>
      </c>
      <c r="B844" s="1" t="n">
        <v>44725</v>
      </c>
      <c r="C844" s="1" t="n">
        <v>45672</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24167-2022</t>
        </is>
      </c>
      <c r="B845" s="1" t="n">
        <v>44725</v>
      </c>
      <c r="C845" s="1" t="n">
        <v>45672</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24152-2022</t>
        </is>
      </c>
      <c r="B846" s="1" t="n">
        <v>44725</v>
      </c>
      <c r="C846" s="1" t="n">
        <v>45672</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24534-2022</t>
        </is>
      </c>
      <c r="B847" s="1" t="n">
        <v>44727</v>
      </c>
      <c r="C847" s="1" t="n">
        <v>45672</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24977-2022</t>
        </is>
      </c>
      <c r="B848" s="1" t="n">
        <v>44728</v>
      </c>
      <c r="C848" s="1" t="n">
        <v>45672</v>
      </c>
      <c r="D848" t="inlineStr">
        <is>
          <t>STOCKHOLMS LÄN</t>
        </is>
      </c>
      <c r="E848" t="inlineStr">
        <is>
          <t>NORRTÄLJE</t>
        </is>
      </c>
      <c r="F848" t="inlineStr">
        <is>
          <t>Kyrkan</t>
        </is>
      </c>
      <c r="G848" t="n">
        <v>1</v>
      </c>
      <c r="H848" t="n">
        <v>0</v>
      </c>
      <c r="I848" t="n">
        <v>0</v>
      </c>
      <c r="J848" t="n">
        <v>0</v>
      </c>
      <c r="K848" t="n">
        <v>0</v>
      </c>
      <c r="L848" t="n">
        <v>0</v>
      </c>
      <c r="M848" t="n">
        <v>0</v>
      </c>
      <c r="N848" t="n">
        <v>0</v>
      </c>
      <c r="O848" t="n">
        <v>0</v>
      </c>
      <c r="P848" t="n">
        <v>0</v>
      </c>
      <c r="Q848" t="n">
        <v>0</v>
      </c>
      <c r="R848" s="2" t="inlineStr"/>
    </row>
    <row r="849" ht="15" customHeight="1">
      <c r="A849" t="inlineStr">
        <is>
          <t>A 25525-2022</t>
        </is>
      </c>
      <c r="B849" s="1" t="n">
        <v>44732</v>
      </c>
      <c r="C849" s="1" t="n">
        <v>45672</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25621-2022</t>
        </is>
      </c>
      <c r="B850" s="1" t="n">
        <v>44732</v>
      </c>
      <c r="C850" s="1" t="n">
        <v>45672</v>
      </c>
      <c r="D850" t="inlineStr">
        <is>
          <t>STOCKHOLMS LÄN</t>
        </is>
      </c>
      <c r="E850" t="inlineStr">
        <is>
          <t>NORRTÄLJE</t>
        </is>
      </c>
      <c r="G850" t="n">
        <v>3.1</v>
      </c>
      <c r="H850" t="n">
        <v>0</v>
      </c>
      <c r="I850" t="n">
        <v>0</v>
      </c>
      <c r="J850" t="n">
        <v>0</v>
      </c>
      <c r="K850" t="n">
        <v>0</v>
      </c>
      <c r="L850" t="n">
        <v>0</v>
      </c>
      <c r="M850" t="n">
        <v>0</v>
      </c>
      <c r="N850" t="n">
        <v>0</v>
      </c>
      <c r="O850" t="n">
        <v>0</v>
      </c>
      <c r="P850" t="n">
        <v>0</v>
      </c>
      <c r="Q850" t="n">
        <v>0</v>
      </c>
      <c r="R850" s="2" t="inlineStr"/>
    </row>
    <row r="851" ht="15" customHeight="1">
      <c r="A851" t="inlineStr">
        <is>
          <t>A 25619-2022</t>
        </is>
      </c>
      <c r="B851" s="1" t="n">
        <v>44732</v>
      </c>
      <c r="C851" s="1" t="n">
        <v>45672</v>
      </c>
      <c r="D851" t="inlineStr">
        <is>
          <t>STOCKHOLMS LÄN</t>
        </is>
      </c>
      <c r="E851" t="inlineStr">
        <is>
          <t>NORRTÄLJE</t>
        </is>
      </c>
      <c r="G851" t="n">
        <v>3.9</v>
      </c>
      <c r="H851" t="n">
        <v>0</v>
      </c>
      <c r="I851" t="n">
        <v>0</v>
      </c>
      <c r="J851" t="n">
        <v>0</v>
      </c>
      <c r="K851" t="n">
        <v>0</v>
      </c>
      <c r="L851" t="n">
        <v>0</v>
      </c>
      <c r="M851" t="n">
        <v>0</v>
      </c>
      <c r="N851" t="n">
        <v>0</v>
      </c>
      <c r="O851" t="n">
        <v>0</v>
      </c>
      <c r="P851" t="n">
        <v>0</v>
      </c>
      <c r="Q851" t="n">
        <v>0</v>
      </c>
      <c r="R851" s="2" t="inlineStr"/>
    </row>
    <row r="852" ht="15" customHeight="1">
      <c r="A852" t="inlineStr">
        <is>
          <t>A 26328-2022</t>
        </is>
      </c>
      <c r="B852" s="1" t="n">
        <v>44735</v>
      </c>
      <c r="C852" s="1" t="n">
        <v>45672</v>
      </c>
      <c r="D852" t="inlineStr">
        <is>
          <t>STOCKHOLMS LÄN</t>
        </is>
      </c>
      <c r="E852" t="inlineStr">
        <is>
          <t>NORRTÄLJE</t>
        </is>
      </c>
      <c r="G852" t="n">
        <v>2.8</v>
      </c>
      <c r="H852" t="n">
        <v>0</v>
      </c>
      <c r="I852" t="n">
        <v>0</v>
      </c>
      <c r="J852" t="n">
        <v>0</v>
      </c>
      <c r="K852" t="n">
        <v>0</v>
      </c>
      <c r="L852" t="n">
        <v>0</v>
      </c>
      <c r="M852" t="n">
        <v>0</v>
      </c>
      <c r="N852" t="n">
        <v>0</v>
      </c>
      <c r="O852" t="n">
        <v>0</v>
      </c>
      <c r="P852" t="n">
        <v>0</v>
      </c>
      <c r="Q852" t="n">
        <v>0</v>
      </c>
      <c r="R852" s="2" t="inlineStr"/>
    </row>
    <row r="853" ht="15" customHeight="1">
      <c r="A853" t="inlineStr">
        <is>
          <t>A 26335-2022</t>
        </is>
      </c>
      <c r="B853" s="1" t="n">
        <v>44735</v>
      </c>
      <c r="C853" s="1" t="n">
        <v>45672</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27538-2022</t>
        </is>
      </c>
      <c r="B854" s="1" t="n">
        <v>44742</v>
      </c>
      <c r="C854" s="1" t="n">
        <v>45672</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27715-2022</t>
        </is>
      </c>
      <c r="B855" s="1" t="n">
        <v>44743</v>
      </c>
      <c r="C855" s="1" t="n">
        <v>45672</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27827-2022</t>
        </is>
      </c>
      <c r="B856" s="1" t="n">
        <v>44743</v>
      </c>
      <c r="C856" s="1" t="n">
        <v>45672</v>
      </c>
      <c r="D856" t="inlineStr">
        <is>
          <t>STOCKHOLMS LÄN</t>
        </is>
      </c>
      <c r="E856" t="inlineStr">
        <is>
          <t>NORRTÄLJE</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27870-2022</t>
        </is>
      </c>
      <c r="B857" s="1" t="n">
        <v>44743</v>
      </c>
      <c r="C857" s="1" t="n">
        <v>45672</v>
      </c>
      <c r="D857" t="inlineStr">
        <is>
          <t>STOCKHOLMS LÄN</t>
        </is>
      </c>
      <c r="E857" t="inlineStr">
        <is>
          <t>NORRTÄLJE</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27828-2022</t>
        </is>
      </c>
      <c r="B858" s="1" t="n">
        <v>44743</v>
      </c>
      <c r="C858" s="1" t="n">
        <v>45672</v>
      </c>
      <c r="D858" t="inlineStr">
        <is>
          <t>STOCKHOLMS LÄN</t>
        </is>
      </c>
      <c r="E858" t="inlineStr">
        <is>
          <t>NORRTÄLJE</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27824-2022</t>
        </is>
      </c>
      <c r="B859" s="1" t="n">
        <v>44743</v>
      </c>
      <c r="C859" s="1" t="n">
        <v>45672</v>
      </c>
      <c r="D859" t="inlineStr">
        <is>
          <t>STOCKHOLMS LÄN</t>
        </is>
      </c>
      <c r="E859" t="inlineStr">
        <is>
          <t>NORRTÄLJE</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27831-2022</t>
        </is>
      </c>
      <c r="B860" s="1" t="n">
        <v>44743</v>
      </c>
      <c r="C860" s="1" t="n">
        <v>45672</v>
      </c>
      <c r="D860" t="inlineStr">
        <is>
          <t>STOCKHOLMS LÄN</t>
        </is>
      </c>
      <c r="E860" t="inlineStr">
        <is>
          <t>NORRTÄLJE</t>
        </is>
      </c>
      <c r="F860" t="inlineStr">
        <is>
          <t>Kommuner</t>
        </is>
      </c>
      <c r="G860" t="n">
        <v>4</v>
      </c>
      <c r="H860" t="n">
        <v>0</v>
      </c>
      <c r="I860" t="n">
        <v>0</v>
      </c>
      <c r="J860" t="n">
        <v>0</v>
      </c>
      <c r="K860" t="n">
        <v>0</v>
      </c>
      <c r="L860" t="n">
        <v>0</v>
      </c>
      <c r="M860" t="n">
        <v>0</v>
      </c>
      <c r="N860" t="n">
        <v>0</v>
      </c>
      <c r="O860" t="n">
        <v>0</v>
      </c>
      <c r="P860" t="n">
        <v>0</v>
      </c>
      <c r="Q860" t="n">
        <v>0</v>
      </c>
      <c r="R860" s="2" t="inlineStr"/>
    </row>
    <row r="861" ht="15" customHeight="1">
      <c r="A861" t="inlineStr">
        <is>
          <t>A 27885-2022</t>
        </is>
      </c>
      <c r="B861" s="1" t="n">
        <v>44743</v>
      </c>
      <c r="C861" s="1" t="n">
        <v>45672</v>
      </c>
      <c r="D861" t="inlineStr">
        <is>
          <t>STOCKHOLMS LÄN</t>
        </is>
      </c>
      <c r="E861" t="inlineStr">
        <is>
          <t>NORRTÄLJE</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27867-2022</t>
        </is>
      </c>
      <c r="B862" s="1" t="n">
        <v>44743</v>
      </c>
      <c r="C862" s="1" t="n">
        <v>45672</v>
      </c>
      <c r="D862" t="inlineStr">
        <is>
          <t>STOCKHOLMS LÄN</t>
        </is>
      </c>
      <c r="E862" t="inlineStr">
        <is>
          <t>NORRTÄLJE</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28042-2022</t>
        </is>
      </c>
      <c r="B863" s="1" t="n">
        <v>44744</v>
      </c>
      <c r="C863" s="1" t="n">
        <v>45672</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28100-2022</t>
        </is>
      </c>
      <c r="B864" s="1" t="n">
        <v>44746</v>
      </c>
      <c r="C864" s="1" t="n">
        <v>45672</v>
      </c>
      <c r="D864" t="inlineStr">
        <is>
          <t>STOCKHOLMS LÄN</t>
        </is>
      </c>
      <c r="E864" t="inlineStr">
        <is>
          <t>NORRTÄLJE</t>
        </is>
      </c>
      <c r="F864" t="inlineStr">
        <is>
          <t>Holmen skog AB</t>
        </is>
      </c>
      <c r="G864" t="n">
        <v>5.8</v>
      </c>
      <c r="H864" t="n">
        <v>0</v>
      </c>
      <c r="I864" t="n">
        <v>0</v>
      </c>
      <c r="J864" t="n">
        <v>0</v>
      </c>
      <c r="K864" t="n">
        <v>0</v>
      </c>
      <c r="L864" t="n">
        <v>0</v>
      </c>
      <c r="M864" t="n">
        <v>0</v>
      </c>
      <c r="N864" t="n">
        <v>0</v>
      </c>
      <c r="O864" t="n">
        <v>0</v>
      </c>
      <c r="P864" t="n">
        <v>0</v>
      </c>
      <c r="Q864" t="n">
        <v>0</v>
      </c>
      <c r="R864" s="2" t="inlineStr"/>
    </row>
    <row r="865" ht="15" customHeight="1">
      <c r="A865" t="inlineStr">
        <is>
          <t>A 28182-2022</t>
        </is>
      </c>
      <c r="B865" s="1" t="n">
        <v>44746</v>
      </c>
      <c r="C865" s="1" t="n">
        <v>45672</v>
      </c>
      <c r="D865" t="inlineStr">
        <is>
          <t>STOCKHOLMS LÄN</t>
        </is>
      </c>
      <c r="E865" t="inlineStr">
        <is>
          <t>NORRTÄLJE</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28209-2022</t>
        </is>
      </c>
      <c r="B866" s="1" t="n">
        <v>44746</v>
      </c>
      <c r="C866" s="1" t="n">
        <v>45672</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28365-2022</t>
        </is>
      </c>
      <c r="B867" s="1" t="n">
        <v>44747</v>
      </c>
      <c r="C867" s="1" t="n">
        <v>45672</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28900-2022</t>
        </is>
      </c>
      <c r="B868" s="1" t="n">
        <v>44749</v>
      </c>
      <c r="C868" s="1" t="n">
        <v>45672</v>
      </c>
      <c r="D868" t="inlineStr">
        <is>
          <t>STOCKHOLMS LÄN</t>
        </is>
      </c>
      <c r="E868" t="inlineStr">
        <is>
          <t>NORRTÄLJE</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28959-2022</t>
        </is>
      </c>
      <c r="B869" s="1" t="n">
        <v>44749</v>
      </c>
      <c r="C869" s="1" t="n">
        <v>45672</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29070-2022</t>
        </is>
      </c>
      <c r="B870" s="1" t="n">
        <v>44750</v>
      </c>
      <c r="C870" s="1" t="n">
        <v>45672</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29266-2022</t>
        </is>
      </c>
      <c r="B871" s="1" t="n">
        <v>44750</v>
      </c>
      <c r="C871" s="1" t="n">
        <v>45672</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29278-2022</t>
        </is>
      </c>
      <c r="B872" s="1" t="n">
        <v>44750</v>
      </c>
      <c r="C872" s="1" t="n">
        <v>45672</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29362-2022</t>
        </is>
      </c>
      <c r="B873" s="1" t="n">
        <v>44753</v>
      </c>
      <c r="C873" s="1" t="n">
        <v>45672</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29395-2022</t>
        </is>
      </c>
      <c r="B874" s="1" t="n">
        <v>44753</v>
      </c>
      <c r="C874" s="1" t="n">
        <v>45672</v>
      </c>
      <c r="D874" t="inlineStr">
        <is>
          <t>STOCKHOLMS LÄN</t>
        </is>
      </c>
      <c r="E874" t="inlineStr">
        <is>
          <t>NORRTÄLJE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29868-2022</t>
        </is>
      </c>
      <c r="B875" s="1" t="n">
        <v>44756</v>
      </c>
      <c r="C875" s="1" t="n">
        <v>45672</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30151-2022</t>
        </is>
      </c>
      <c r="B876" s="1" t="n">
        <v>44757</v>
      </c>
      <c r="C876" s="1" t="n">
        <v>45672</v>
      </c>
      <c r="D876" t="inlineStr">
        <is>
          <t>STOCKHOLMS LÄN</t>
        </is>
      </c>
      <c r="E876" t="inlineStr">
        <is>
          <t>NORRTÄLJE</t>
        </is>
      </c>
      <c r="G876" t="n">
        <v>12.6</v>
      </c>
      <c r="H876" t="n">
        <v>0</v>
      </c>
      <c r="I876" t="n">
        <v>0</v>
      </c>
      <c r="J876" t="n">
        <v>0</v>
      </c>
      <c r="K876" t="n">
        <v>0</v>
      </c>
      <c r="L876" t="n">
        <v>0</v>
      </c>
      <c r="M876" t="n">
        <v>0</v>
      </c>
      <c r="N876" t="n">
        <v>0</v>
      </c>
      <c r="O876" t="n">
        <v>0</v>
      </c>
      <c r="P876" t="n">
        <v>0</v>
      </c>
      <c r="Q876" t="n">
        <v>0</v>
      </c>
      <c r="R876" s="2" t="inlineStr"/>
    </row>
    <row r="877" ht="15" customHeight="1">
      <c r="A877" t="inlineStr">
        <is>
          <t>A 30164-2022</t>
        </is>
      </c>
      <c r="B877" s="1" t="n">
        <v>44757</v>
      </c>
      <c r="C877" s="1" t="n">
        <v>45672</v>
      </c>
      <c r="D877" t="inlineStr">
        <is>
          <t>STOCKHOLMS LÄN</t>
        </is>
      </c>
      <c r="E877" t="inlineStr">
        <is>
          <t>NORRTÄLJE</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30171-2022</t>
        </is>
      </c>
      <c r="B878" s="1" t="n">
        <v>44757</v>
      </c>
      <c r="C878" s="1" t="n">
        <v>45672</v>
      </c>
      <c r="D878" t="inlineStr">
        <is>
          <t>STOCKHOLMS LÄN</t>
        </is>
      </c>
      <c r="E878" t="inlineStr">
        <is>
          <t>NORRTÄLJE</t>
        </is>
      </c>
      <c r="F878" t="inlineStr">
        <is>
          <t>Holmen skog AB</t>
        </is>
      </c>
      <c r="G878" t="n">
        <v>6.3</v>
      </c>
      <c r="H878" t="n">
        <v>0</v>
      </c>
      <c r="I878" t="n">
        <v>0</v>
      </c>
      <c r="J878" t="n">
        <v>0</v>
      </c>
      <c r="K878" t="n">
        <v>0</v>
      </c>
      <c r="L878" t="n">
        <v>0</v>
      </c>
      <c r="M878" t="n">
        <v>0</v>
      </c>
      <c r="N878" t="n">
        <v>0</v>
      </c>
      <c r="O878" t="n">
        <v>0</v>
      </c>
      <c r="P878" t="n">
        <v>0</v>
      </c>
      <c r="Q878" t="n">
        <v>0</v>
      </c>
      <c r="R878" s="2" t="inlineStr"/>
    </row>
    <row r="879" ht="15" customHeight="1">
      <c r="A879" t="inlineStr">
        <is>
          <t>A 30283-2022</t>
        </is>
      </c>
      <c r="B879" s="1" t="n">
        <v>44760</v>
      </c>
      <c r="C879" s="1" t="n">
        <v>45672</v>
      </c>
      <c r="D879" t="inlineStr">
        <is>
          <t>STOCKHOLMS LÄN</t>
        </is>
      </c>
      <c r="E879" t="inlineStr">
        <is>
          <t>NORRTÄLJE</t>
        </is>
      </c>
      <c r="G879" t="n">
        <v>6.2</v>
      </c>
      <c r="H879" t="n">
        <v>0</v>
      </c>
      <c r="I879" t="n">
        <v>0</v>
      </c>
      <c r="J879" t="n">
        <v>0</v>
      </c>
      <c r="K879" t="n">
        <v>0</v>
      </c>
      <c r="L879" t="n">
        <v>0</v>
      </c>
      <c r="M879" t="n">
        <v>0</v>
      </c>
      <c r="N879" t="n">
        <v>0</v>
      </c>
      <c r="O879" t="n">
        <v>0</v>
      </c>
      <c r="P879" t="n">
        <v>0</v>
      </c>
      <c r="Q879" t="n">
        <v>0</v>
      </c>
      <c r="R879" s="2" t="inlineStr"/>
    </row>
    <row r="880" ht="15" customHeight="1">
      <c r="A880" t="inlineStr">
        <is>
          <t>A 30338-2022</t>
        </is>
      </c>
      <c r="B880" s="1" t="n">
        <v>44760</v>
      </c>
      <c r="C880" s="1" t="n">
        <v>45672</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30286-2022</t>
        </is>
      </c>
      <c r="B881" s="1" t="n">
        <v>44760</v>
      </c>
      <c r="C881" s="1" t="n">
        <v>45672</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30290-2022</t>
        </is>
      </c>
      <c r="B882" s="1" t="n">
        <v>44760</v>
      </c>
      <c r="C882" s="1" t="n">
        <v>45672</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30620-2022</t>
        </is>
      </c>
      <c r="B883" s="1" t="n">
        <v>44763</v>
      </c>
      <c r="C883" s="1" t="n">
        <v>45672</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30624-2022</t>
        </is>
      </c>
      <c r="B884" s="1" t="n">
        <v>44763</v>
      </c>
      <c r="C884" s="1" t="n">
        <v>45672</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30758-2022</t>
        </is>
      </c>
      <c r="B885" s="1" t="n">
        <v>44764</v>
      </c>
      <c r="C885" s="1" t="n">
        <v>45672</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30740-2022</t>
        </is>
      </c>
      <c r="B886" s="1" t="n">
        <v>44764</v>
      </c>
      <c r="C886" s="1" t="n">
        <v>45672</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30750-2022</t>
        </is>
      </c>
      <c r="B887" s="1" t="n">
        <v>44764</v>
      </c>
      <c r="C887" s="1" t="n">
        <v>45672</v>
      </c>
      <c r="D887" t="inlineStr">
        <is>
          <t>STOCKHOLMS LÄN</t>
        </is>
      </c>
      <c r="E887" t="inlineStr">
        <is>
          <t>NORRTÄLJE</t>
        </is>
      </c>
      <c r="G887" t="n">
        <v>3.7</v>
      </c>
      <c r="H887" t="n">
        <v>0</v>
      </c>
      <c r="I887" t="n">
        <v>0</v>
      </c>
      <c r="J887" t="n">
        <v>0</v>
      </c>
      <c r="K887" t="n">
        <v>0</v>
      </c>
      <c r="L887" t="n">
        <v>0</v>
      </c>
      <c r="M887" t="n">
        <v>0</v>
      </c>
      <c r="N887" t="n">
        <v>0</v>
      </c>
      <c r="O887" t="n">
        <v>0</v>
      </c>
      <c r="P887" t="n">
        <v>0</v>
      </c>
      <c r="Q887" t="n">
        <v>0</v>
      </c>
      <c r="R887" s="2" t="inlineStr"/>
    </row>
    <row r="888" ht="15" customHeight="1">
      <c r="A888" t="inlineStr">
        <is>
          <t>A 30802-2022</t>
        </is>
      </c>
      <c r="B888" s="1" t="n">
        <v>44764</v>
      </c>
      <c r="C888" s="1" t="n">
        <v>45672</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30886-2022</t>
        </is>
      </c>
      <c r="B889" s="1" t="n">
        <v>44767</v>
      </c>
      <c r="C889" s="1" t="n">
        <v>45672</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31102-2022</t>
        </is>
      </c>
      <c r="B890" s="1" t="n">
        <v>44769</v>
      </c>
      <c r="C890" s="1" t="n">
        <v>45672</v>
      </c>
      <c r="D890" t="inlineStr">
        <is>
          <t>STOCKHOLMS LÄN</t>
        </is>
      </c>
      <c r="E890" t="inlineStr">
        <is>
          <t>NORRTÄLJE</t>
        </is>
      </c>
      <c r="G890" t="n">
        <v>3.7</v>
      </c>
      <c r="H890" t="n">
        <v>0</v>
      </c>
      <c r="I890" t="n">
        <v>0</v>
      </c>
      <c r="J890" t="n">
        <v>0</v>
      </c>
      <c r="K890" t="n">
        <v>0</v>
      </c>
      <c r="L890" t="n">
        <v>0</v>
      </c>
      <c r="M890" t="n">
        <v>0</v>
      </c>
      <c r="N890" t="n">
        <v>0</v>
      </c>
      <c r="O890" t="n">
        <v>0</v>
      </c>
      <c r="P890" t="n">
        <v>0</v>
      </c>
      <c r="Q890" t="n">
        <v>0</v>
      </c>
      <c r="R890" s="2" t="inlineStr"/>
    </row>
    <row r="891" ht="15" customHeight="1">
      <c r="A891" t="inlineStr">
        <is>
          <t>A 31092-2022</t>
        </is>
      </c>
      <c r="B891" s="1" t="n">
        <v>44769</v>
      </c>
      <c r="C891" s="1" t="n">
        <v>45672</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31052-2022</t>
        </is>
      </c>
      <c r="B892" s="1" t="n">
        <v>44769</v>
      </c>
      <c r="C892" s="1" t="n">
        <v>45672</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31105-2022</t>
        </is>
      </c>
      <c r="B893" s="1" t="n">
        <v>44769</v>
      </c>
      <c r="C893" s="1" t="n">
        <v>45672</v>
      </c>
      <c r="D893" t="inlineStr">
        <is>
          <t>STOCKHOLMS LÄN</t>
        </is>
      </c>
      <c r="E893" t="inlineStr">
        <is>
          <t>NORRTÄLJE</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31107-2022</t>
        </is>
      </c>
      <c r="B894" s="1" t="n">
        <v>44769</v>
      </c>
      <c r="C894" s="1" t="n">
        <v>45672</v>
      </c>
      <c r="D894" t="inlineStr">
        <is>
          <t>STOCKHOLMS LÄN</t>
        </is>
      </c>
      <c r="E894" t="inlineStr">
        <is>
          <t>NORRTÄLJE</t>
        </is>
      </c>
      <c r="G894" t="n">
        <v>3.8</v>
      </c>
      <c r="H894" t="n">
        <v>0</v>
      </c>
      <c r="I894" t="n">
        <v>0</v>
      </c>
      <c r="J894" t="n">
        <v>0</v>
      </c>
      <c r="K894" t="n">
        <v>0</v>
      </c>
      <c r="L894" t="n">
        <v>0</v>
      </c>
      <c r="M894" t="n">
        <v>0</v>
      </c>
      <c r="N894" t="n">
        <v>0</v>
      </c>
      <c r="O894" t="n">
        <v>0</v>
      </c>
      <c r="P894" t="n">
        <v>0</v>
      </c>
      <c r="Q894" t="n">
        <v>0</v>
      </c>
      <c r="R894" s="2" t="inlineStr"/>
    </row>
    <row r="895" ht="15" customHeight="1">
      <c r="A895" t="inlineStr">
        <is>
          <t>A 31057-2022</t>
        </is>
      </c>
      <c r="B895" s="1" t="n">
        <v>44769</v>
      </c>
      <c r="C895" s="1" t="n">
        <v>45672</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31236-2022</t>
        </is>
      </c>
      <c r="B896" s="1" t="n">
        <v>44771</v>
      </c>
      <c r="C896" s="1" t="n">
        <v>45672</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31281-2022</t>
        </is>
      </c>
      <c r="B897" s="1" t="n">
        <v>44771</v>
      </c>
      <c r="C897" s="1" t="n">
        <v>45672</v>
      </c>
      <c r="D897" t="inlineStr">
        <is>
          <t>STOCKHOLMS LÄN</t>
        </is>
      </c>
      <c r="E897" t="inlineStr">
        <is>
          <t>NORRTÄLJE</t>
        </is>
      </c>
      <c r="F897" t="inlineStr">
        <is>
          <t>Holmen skog AB</t>
        </is>
      </c>
      <c r="G897" t="n">
        <v>5.2</v>
      </c>
      <c r="H897" t="n">
        <v>0</v>
      </c>
      <c r="I897" t="n">
        <v>0</v>
      </c>
      <c r="J897" t="n">
        <v>0</v>
      </c>
      <c r="K897" t="n">
        <v>0</v>
      </c>
      <c r="L897" t="n">
        <v>0</v>
      </c>
      <c r="M897" t="n">
        <v>0</v>
      </c>
      <c r="N897" t="n">
        <v>0</v>
      </c>
      <c r="O897" t="n">
        <v>0</v>
      </c>
      <c r="P897" t="n">
        <v>0</v>
      </c>
      <c r="Q897" t="n">
        <v>0</v>
      </c>
      <c r="R897" s="2" t="inlineStr"/>
    </row>
    <row r="898" ht="15" customHeight="1">
      <c r="A898" t="inlineStr">
        <is>
          <t>A 31283-2022</t>
        </is>
      </c>
      <c r="B898" s="1" t="n">
        <v>44771</v>
      </c>
      <c r="C898" s="1" t="n">
        <v>45672</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31559-2022</t>
        </is>
      </c>
      <c r="B899" s="1" t="n">
        <v>44775</v>
      </c>
      <c r="C899" s="1" t="n">
        <v>45672</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31807-2022</t>
        </is>
      </c>
      <c r="B900" s="1" t="n">
        <v>44776</v>
      </c>
      <c r="C900" s="1" t="n">
        <v>45672</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31938-2022</t>
        </is>
      </c>
      <c r="B901" s="1" t="n">
        <v>44777</v>
      </c>
      <c r="C901" s="1" t="n">
        <v>45672</v>
      </c>
      <c r="D901" t="inlineStr">
        <is>
          <t>STOCKHOLMS LÄN</t>
        </is>
      </c>
      <c r="E901" t="inlineStr">
        <is>
          <t>NORRTÄLJE</t>
        </is>
      </c>
      <c r="G901" t="n">
        <v>7.8</v>
      </c>
      <c r="H901" t="n">
        <v>0</v>
      </c>
      <c r="I901" t="n">
        <v>0</v>
      </c>
      <c r="J901" t="n">
        <v>0</v>
      </c>
      <c r="K901" t="n">
        <v>0</v>
      </c>
      <c r="L901" t="n">
        <v>0</v>
      </c>
      <c r="M901" t="n">
        <v>0</v>
      </c>
      <c r="N901" t="n">
        <v>0</v>
      </c>
      <c r="O901" t="n">
        <v>0</v>
      </c>
      <c r="P901" t="n">
        <v>0</v>
      </c>
      <c r="Q901" t="n">
        <v>0</v>
      </c>
      <c r="R901" s="2" t="inlineStr"/>
    </row>
    <row r="902" ht="15" customHeight="1">
      <c r="A902" t="inlineStr">
        <is>
          <t>A 31936-2022</t>
        </is>
      </c>
      <c r="B902" s="1" t="n">
        <v>44777</v>
      </c>
      <c r="C902" s="1" t="n">
        <v>45672</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31924-2022</t>
        </is>
      </c>
      <c r="B903" s="1" t="n">
        <v>44777</v>
      </c>
      <c r="C903" s="1" t="n">
        <v>45672</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31939-2022</t>
        </is>
      </c>
      <c r="B904" s="1" t="n">
        <v>44777</v>
      </c>
      <c r="C904" s="1" t="n">
        <v>45672</v>
      </c>
      <c r="D904" t="inlineStr">
        <is>
          <t>STOCKHOLMS LÄN</t>
        </is>
      </c>
      <c r="E904" t="inlineStr">
        <is>
          <t>NORRTÄLJE</t>
        </is>
      </c>
      <c r="G904" t="n">
        <v>13.5</v>
      </c>
      <c r="H904" t="n">
        <v>0</v>
      </c>
      <c r="I904" t="n">
        <v>0</v>
      </c>
      <c r="J904" t="n">
        <v>0</v>
      </c>
      <c r="K904" t="n">
        <v>0</v>
      </c>
      <c r="L904" t="n">
        <v>0</v>
      </c>
      <c r="M904" t="n">
        <v>0</v>
      </c>
      <c r="N904" t="n">
        <v>0</v>
      </c>
      <c r="O904" t="n">
        <v>0</v>
      </c>
      <c r="P904" t="n">
        <v>0</v>
      </c>
      <c r="Q904" t="n">
        <v>0</v>
      </c>
      <c r="R904" s="2" t="inlineStr"/>
    </row>
    <row r="905" ht="15" customHeight="1">
      <c r="A905" t="inlineStr">
        <is>
          <t>A 31926-2022</t>
        </is>
      </c>
      <c r="B905" s="1" t="n">
        <v>44777</v>
      </c>
      <c r="C905" s="1" t="n">
        <v>45672</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31934-2022</t>
        </is>
      </c>
      <c r="B906" s="1" t="n">
        <v>44777</v>
      </c>
      <c r="C906" s="1" t="n">
        <v>45672</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32103-2022</t>
        </is>
      </c>
      <c r="B907" s="1" t="n">
        <v>44778</v>
      </c>
      <c r="C907" s="1" t="n">
        <v>45672</v>
      </c>
      <c r="D907" t="inlineStr">
        <is>
          <t>STOCKHOLMS LÄN</t>
        </is>
      </c>
      <c r="E907" t="inlineStr">
        <is>
          <t>NORRTÄLJE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32111-2022</t>
        </is>
      </c>
      <c r="B908" s="1" t="n">
        <v>44779</v>
      </c>
      <c r="C908" s="1" t="n">
        <v>45672</v>
      </c>
      <c r="D908" t="inlineStr">
        <is>
          <t>STOCKHOLMS LÄN</t>
        </is>
      </c>
      <c r="E908" t="inlineStr">
        <is>
          <t>NORRTÄLJE</t>
        </is>
      </c>
      <c r="G908" t="n">
        <v>3.1</v>
      </c>
      <c r="H908" t="n">
        <v>0</v>
      </c>
      <c r="I908" t="n">
        <v>0</v>
      </c>
      <c r="J908" t="n">
        <v>0</v>
      </c>
      <c r="K908" t="n">
        <v>0</v>
      </c>
      <c r="L908" t="n">
        <v>0</v>
      </c>
      <c r="M908" t="n">
        <v>0</v>
      </c>
      <c r="N908" t="n">
        <v>0</v>
      </c>
      <c r="O908" t="n">
        <v>0</v>
      </c>
      <c r="P908" t="n">
        <v>0</v>
      </c>
      <c r="Q908" t="n">
        <v>0</v>
      </c>
      <c r="R908" s="2" t="inlineStr"/>
    </row>
    <row r="909" ht="15" customHeight="1">
      <c r="A909" t="inlineStr">
        <is>
          <t>A 32101-2022</t>
        </is>
      </c>
      <c r="B909" s="1" t="n">
        <v>44778</v>
      </c>
      <c r="C909" s="1" t="n">
        <v>45672</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32100-2022</t>
        </is>
      </c>
      <c r="B910" s="1" t="n">
        <v>44778</v>
      </c>
      <c r="C910" s="1" t="n">
        <v>45672</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32102-2022</t>
        </is>
      </c>
      <c r="B911" s="1" t="n">
        <v>44778</v>
      </c>
      <c r="C911" s="1" t="n">
        <v>45672</v>
      </c>
      <c r="D911" t="inlineStr">
        <is>
          <t>STOCKHOLMS LÄN</t>
        </is>
      </c>
      <c r="E911" t="inlineStr">
        <is>
          <t>NORRTÄLJE</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32514-2022</t>
        </is>
      </c>
      <c r="B912" s="1" t="n">
        <v>44782</v>
      </c>
      <c r="C912" s="1" t="n">
        <v>45672</v>
      </c>
      <c r="D912" t="inlineStr">
        <is>
          <t>STOCKHOLMS LÄN</t>
        </is>
      </c>
      <c r="E912" t="inlineStr">
        <is>
          <t>NORRTÄLJE</t>
        </is>
      </c>
      <c r="G912" t="n">
        <v>5.1</v>
      </c>
      <c r="H912" t="n">
        <v>0</v>
      </c>
      <c r="I912" t="n">
        <v>0</v>
      </c>
      <c r="J912" t="n">
        <v>0</v>
      </c>
      <c r="K912" t="n">
        <v>0</v>
      </c>
      <c r="L912" t="n">
        <v>0</v>
      </c>
      <c r="M912" t="n">
        <v>0</v>
      </c>
      <c r="N912" t="n">
        <v>0</v>
      </c>
      <c r="O912" t="n">
        <v>0</v>
      </c>
      <c r="P912" t="n">
        <v>0</v>
      </c>
      <c r="Q912" t="n">
        <v>0</v>
      </c>
      <c r="R912" s="2" t="inlineStr"/>
    </row>
    <row r="913" ht="15" customHeight="1">
      <c r="A913" t="inlineStr">
        <is>
          <t>A 32705-2022</t>
        </is>
      </c>
      <c r="B913" s="1" t="n">
        <v>44783</v>
      </c>
      <c r="C913" s="1" t="n">
        <v>45672</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33055-2022</t>
        </is>
      </c>
      <c r="B914" s="1" t="n">
        <v>44785</v>
      </c>
      <c r="C914" s="1" t="n">
        <v>45672</v>
      </c>
      <c r="D914" t="inlineStr">
        <is>
          <t>STOCKHOLMS LÄN</t>
        </is>
      </c>
      <c r="E914" t="inlineStr">
        <is>
          <t>NORRTÄLJE</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33149-2022</t>
        </is>
      </c>
      <c r="B915" s="1" t="n">
        <v>44785</v>
      </c>
      <c r="C915" s="1" t="n">
        <v>45672</v>
      </c>
      <c r="D915" t="inlineStr">
        <is>
          <t>STOCKHOLMS LÄN</t>
        </is>
      </c>
      <c r="E915" t="inlineStr">
        <is>
          <t>NORRTÄLJE</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33445-2022</t>
        </is>
      </c>
      <c r="B916" s="1" t="n">
        <v>44788</v>
      </c>
      <c r="C916" s="1" t="n">
        <v>45672</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45672</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33895-2022</t>
        </is>
      </c>
      <c r="B918" s="1" t="n">
        <v>44790</v>
      </c>
      <c r="C918" s="1" t="n">
        <v>45672</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34773-2022</t>
        </is>
      </c>
      <c r="B919" s="1" t="n">
        <v>44795</v>
      </c>
      <c r="C919" s="1" t="n">
        <v>45672</v>
      </c>
      <c r="D919" t="inlineStr">
        <is>
          <t>STOCKHOLMS LÄN</t>
        </is>
      </c>
      <c r="E919" t="inlineStr">
        <is>
          <t>NORRTÄLJE</t>
        </is>
      </c>
      <c r="G919" t="n">
        <v>3.9</v>
      </c>
      <c r="H919" t="n">
        <v>0</v>
      </c>
      <c r="I919" t="n">
        <v>0</v>
      </c>
      <c r="J919" t="n">
        <v>0</v>
      </c>
      <c r="K919" t="n">
        <v>0</v>
      </c>
      <c r="L919" t="n">
        <v>0</v>
      </c>
      <c r="M919" t="n">
        <v>0</v>
      </c>
      <c r="N919" t="n">
        <v>0</v>
      </c>
      <c r="O919" t="n">
        <v>0</v>
      </c>
      <c r="P919" t="n">
        <v>0</v>
      </c>
      <c r="Q919" t="n">
        <v>0</v>
      </c>
      <c r="R919" s="2" t="inlineStr"/>
    </row>
    <row r="920" ht="15" customHeight="1">
      <c r="A920" t="inlineStr">
        <is>
          <t>A 35121-2022</t>
        </is>
      </c>
      <c r="B920" s="1" t="n">
        <v>44797</v>
      </c>
      <c r="C920" s="1" t="n">
        <v>45672</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35161-2022</t>
        </is>
      </c>
      <c r="B921" s="1" t="n">
        <v>44797</v>
      </c>
      <c r="C921" s="1" t="n">
        <v>45672</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35156-2022</t>
        </is>
      </c>
      <c r="B922" s="1" t="n">
        <v>44797</v>
      </c>
      <c r="C922" s="1" t="n">
        <v>45672</v>
      </c>
      <c r="D922" t="inlineStr">
        <is>
          <t>STOCKHOLMS LÄN</t>
        </is>
      </c>
      <c r="E922" t="inlineStr">
        <is>
          <t>NORRTÄLJE</t>
        </is>
      </c>
      <c r="G922" t="n">
        <v>3.6</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v>
      </c>
      <c r="C923" s="1" t="n">
        <v>45672</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36269-2022</t>
        </is>
      </c>
      <c r="B924" s="1" t="n">
        <v>44803</v>
      </c>
      <c r="C924" s="1" t="n">
        <v>45672</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36308-2022</t>
        </is>
      </c>
      <c r="B925" s="1" t="n">
        <v>44803</v>
      </c>
      <c r="C925" s="1" t="n">
        <v>45672</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36975-2022</t>
        </is>
      </c>
      <c r="B926" s="1" t="n">
        <v>44806</v>
      </c>
      <c r="C926" s="1" t="n">
        <v>45672</v>
      </c>
      <c r="D926" t="inlineStr">
        <is>
          <t>STOCKHOLMS LÄN</t>
        </is>
      </c>
      <c r="E926" t="inlineStr">
        <is>
          <t>NORRTÄLJE</t>
        </is>
      </c>
      <c r="G926" t="n">
        <v>4.7</v>
      </c>
      <c r="H926" t="n">
        <v>0</v>
      </c>
      <c r="I926" t="n">
        <v>0</v>
      </c>
      <c r="J926" t="n">
        <v>0</v>
      </c>
      <c r="K926" t="n">
        <v>0</v>
      </c>
      <c r="L926" t="n">
        <v>0</v>
      </c>
      <c r="M926" t="n">
        <v>0</v>
      </c>
      <c r="N926" t="n">
        <v>0</v>
      </c>
      <c r="O926" t="n">
        <v>0</v>
      </c>
      <c r="P926" t="n">
        <v>0</v>
      </c>
      <c r="Q926" t="n">
        <v>0</v>
      </c>
      <c r="R926" s="2" t="inlineStr"/>
    </row>
    <row r="927" ht="15" customHeight="1">
      <c r="A927" t="inlineStr">
        <is>
          <t>A 37550-2022</t>
        </is>
      </c>
      <c r="B927" s="1" t="n">
        <v>44809</v>
      </c>
      <c r="C927" s="1" t="n">
        <v>45672</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37679-2022</t>
        </is>
      </c>
      <c r="B928" s="1" t="n">
        <v>44810</v>
      </c>
      <c r="C928" s="1" t="n">
        <v>45672</v>
      </c>
      <c r="D928" t="inlineStr">
        <is>
          <t>STOCKHOLMS LÄN</t>
        </is>
      </c>
      <c r="E928" t="inlineStr">
        <is>
          <t>NORRTÄLJE</t>
        </is>
      </c>
      <c r="G928" t="n">
        <v>3.1</v>
      </c>
      <c r="H928" t="n">
        <v>0</v>
      </c>
      <c r="I928" t="n">
        <v>0</v>
      </c>
      <c r="J928" t="n">
        <v>0</v>
      </c>
      <c r="K928" t="n">
        <v>0</v>
      </c>
      <c r="L928" t="n">
        <v>0</v>
      </c>
      <c r="M928" t="n">
        <v>0</v>
      </c>
      <c r="N928" t="n">
        <v>0</v>
      </c>
      <c r="O928" t="n">
        <v>0</v>
      </c>
      <c r="P928" t="n">
        <v>0</v>
      </c>
      <c r="Q928" t="n">
        <v>0</v>
      </c>
      <c r="R928" s="2" t="inlineStr"/>
    </row>
    <row r="929" ht="15" customHeight="1">
      <c r="A929" t="inlineStr">
        <is>
          <t>A 37815-2022</t>
        </is>
      </c>
      <c r="B929" s="1" t="n">
        <v>44810</v>
      </c>
      <c r="C929" s="1" t="n">
        <v>45672</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38449-2022</t>
        </is>
      </c>
      <c r="B930" s="1" t="n">
        <v>44813</v>
      </c>
      <c r="C930" s="1" t="n">
        <v>45672</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38612-2022</t>
        </is>
      </c>
      <c r="B931" s="1" t="n">
        <v>44813</v>
      </c>
      <c r="C931" s="1" t="n">
        <v>45672</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38590-2022</t>
        </is>
      </c>
      <c r="B932" s="1" t="n">
        <v>44813</v>
      </c>
      <c r="C932" s="1" t="n">
        <v>45672</v>
      </c>
      <c r="D932" t="inlineStr">
        <is>
          <t>STOCKHOLMS LÄN</t>
        </is>
      </c>
      <c r="E932" t="inlineStr">
        <is>
          <t>NORRTÄLJE</t>
        </is>
      </c>
      <c r="G932" t="n">
        <v>5.9</v>
      </c>
      <c r="H932" t="n">
        <v>0</v>
      </c>
      <c r="I932" t="n">
        <v>0</v>
      </c>
      <c r="J932" t="n">
        <v>0</v>
      </c>
      <c r="K932" t="n">
        <v>0</v>
      </c>
      <c r="L932" t="n">
        <v>0</v>
      </c>
      <c r="M932" t="n">
        <v>0</v>
      </c>
      <c r="N932" t="n">
        <v>0</v>
      </c>
      <c r="O932" t="n">
        <v>0</v>
      </c>
      <c r="P932" t="n">
        <v>0</v>
      </c>
      <c r="Q932" t="n">
        <v>0</v>
      </c>
      <c r="R932" s="2" t="inlineStr"/>
    </row>
    <row r="933" ht="15" customHeight="1">
      <c r="A933" t="inlineStr">
        <is>
          <t>A 38610-2022</t>
        </is>
      </c>
      <c r="B933" s="1" t="n">
        <v>44813</v>
      </c>
      <c r="C933" s="1" t="n">
        <v>45672</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38720-2022</t>
        </is>
      </c>
      <c r="B934" s="1" t="n">
        <v>44815</v>
      </c>
      <c r="C934" s="1" t="n">
        <v>45672</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38721-2022</t>
        </is>
      </c>
      <c r="B935" s="1" t="n">
        <v>44815</v>
      </c>
      <c r="C935" s="1" t="n">
        <v>45672</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38927-2022</t>
        </is>
      </c>
      <c r="B936" s="1" t="n">
        <v>44816</v>
      </c>
      <c r="C936" s="1" t="n">
        <v>45672</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38759-2022</t>
        </is>
      </c>
      <c r="B937" s="1" t="n">
        <v>44816</v>
      </c>
      <c r="C937" s="1" t="n">
        <v>45672</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38990-2022</t>
        </is>
      </c>
      <c r="B938" s="1" t="n">
        <v>44816</v>
      </c>
      <c r="C938" s="1" t="n">
        <v>45672</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38991-2022</t>
        </is>
      </c>
      <c r="B939" s="1" t="n">
        <v>44816</v>
      </c>
      <c r="C939" s="1" t="n">
        <v>45672</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45672</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38992-2022</t>
        </is>
      </c>
      <c r="B941" s="1" t="n">
        <v>44817</v>
      </c>
      <c r="C941" s="1" t="n">
        <v>45672</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39213-2022</t>
        </is>
      </c>
      <c r="B942" s="1" t="n">
        <v>44817</v>
      </c>
      <c r="C942" s="1" t="n">
        <v>45672</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39319-2022</t>
        </is>
      </c>
      <c r="B943" s="1" t="n">
        <v>44817</v>
      </c>
      <c r="C943" s="1" t="n">
        <v>45672</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39854-2022</t>
        </is>
      </c>
      <c r="B944" s="1" t="n">
        <v>44819</v>
      </c>
      <c r="C944" s="1" t="n">
        <v>45672</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39869-2022</t>
        </is>
      </c>
      <c r="B945" s="1" t="n">
        <v>44819</v>
      </c>
      <c r="C945" s="1" t="n">
        <v>45672</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39867-2022</t>
        </is>
      </c>
      <c r="B946" s="1" t="n">
        <v>44819</v>
      </c>
      <c r="C946" s="1" t="n">
        <v>45672</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40504-2022</t>
        </is>
      </c>
      <c r="B947" s="1" t="n">
        <v>44823</v>
      </c>
      <c r="C947" s="1" t="n">
        <v>45672</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40503-2022</t>
        </is>
      </c>
      <c r="B948" s="1" t="n">
        <v>44823</v>
      </c>
      <c r="C948" s="1" t="n">
        <v>45672</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40656-2022</t>
        </is>
      </c>
      <c r="B949" s="1" t="n">
        <v>44824</v>
      </c>
      <c r="C949" s="1" t="n">
        <v>45672</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40751-2022</t>
        </is>
      </c>
      <c r="B950" s="1" t="n">
        <v>44824</v>
      </c>
      <c r="C950" s="1" t="n">
        <v>45672</v>
      </c>
      <c r="D950" t="inlineStr">
        <is>
          <t>STOCKHOLMS LÄN</t>
        </is>
      </c>
      <c r="E950" t="inlineStr">
        <is>
          <t>NORRTÄLJE</t>
        </is>
      </c>
      <c r="G950" t="n">
        <v>6.1</v>
      </c>
      <c r="H950" t="n">
        <v>0</v>
      </c>
      <c r="I950" t="n">
        <v>0</v>
      </c>
      <c r="J950" t="n">
        <v>0</v>
      </c>
      <c r="K950" t="n">
        <v>0</v>
      </c>
      <c r="L950" t="n">
        <v>0</v>
      </c>
      <c r="M950" t="n">
        <v>0</v>
      </c>
      <c r="N950" t="n">
        <v>0</v>
      </c>
      <c r="O950" t="n">
        <v>0</v>
      </c>
      <c r="P950" t="n">
        <v>0</v>
      </c>
      <c r="Q950" t="n">
        <v>0</v>
      </c>
      <c r="R950" s="2" t="inlineStr"/>
    </row>
    <row r="951" ht="15" customHeight="1">
      <c r="A951" t="inlineStr">
        <is>
          <t>A 41398-2022</t>
        </is>
      </c>
      <c r="B951" s="1" t="n">
        <v>44826</v>
      </c>
      <c r="C951" s="1" t="n">
        <v>45672</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41320-2022</t>
        </is>
      </c>
      <c r="B952" s="1" t="n">
        <v>44826</v>
      </c>
      <c r="C952" s="1" t="n">
        <v>45672</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42087-2022</t>
        </is>
      </c>
      <c r="B953" s="1" t="n">
        <v>44830</v>
      </c>
      <c r="C953" s="1" t="n">
        <v>45672</v>
      </c>
      <c r="D953" t="inlineStr">
        <is>
          <t>STOCKHOLMS LÄN</t>
        </is>
      </c>
      <c r="E953" t="inlineStr">
        <is>
          <t>NORRTÄLJE</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42112-2022</t>
        </is>
      </c>
      <c r="B954" s="1" t="n">
        <v>44830</v>
      </c>
      <c r="C954" s="1" t="n">
        <v>45672</v>
      </c>
      <c r="D954" t="inlineStr">
        <is>
          <t>STOCKHOLMS LÄN</t>
        </is>
      </c>
      <c r="E954" t="inlineStr">
        <is>
          <t>NORRTÄLJE</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42126-2022</t>
        </is>
      </c>
      <c r="B955" s="1" t="n">
        <v>44830</v>
      </c>
      <c r="C955" s="1" t="n">
        <v>45672</v>
      </c>
      <c r="D955" t="inlineStr">
        <is>
          <t>STOCKHOLMS LÄN</t>
        </is>
      </c>
      <c r="E955" t="inlineStr">
        <is>
          <t>NORRTÄLJE</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45672</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42955-2022</t>
        </is>
      </c>
      <c r="B957" s="1" t="n">
        <v>44833</v>
      </c>
      <c r="C957" s="1" t="n">
        <v>45672</v>
      </c>
      <c r="D957" t="inlineStr">
        <is>
          <t>STOCKHOLMS LÄN</t>
        </is>
      </c>
      <c r="E957" t="inlineStr">
        <is>
          <t>NORRTÄLJE</t>
        </is>
      </c>
      <c r="G957" t="n">
        <v>13.1</v>
      </c>
      <c r="H957" t="n">
        <v>0</v>
      </c>
      <c r="I957" t="n">
        <v>0</v>
      </c>
      <c r="J957" t="n">
        <v>0</v>
      </c>
      <c r="K957" t="n">
        <v>0</v>
      </c>
      <c r="L957" t="n">
        <v>0</v>
      </c>
      <c r="M957" t="n">
        <v>0</v>
      </c>
      <c r="N957" t="n">
        <v>0</v>
      </c>
      <c r="O957" t="n">
        <v>0</v>
      </c>
      <c r="P957" t="n">
        <v>0</v>
      </c>
      <c r="Q957" t="n">
        <v>0</v>
      </c>
      <c r="R957" s="2" t="inlineStr"/>
    </row>
    <row r="958" ht="15" customHeight="1">
      <c r="A958" t="inlineStr">
        <is>
          <t>A 43036-2022</t>
        </is>
      </c>
      <c r="B958" s="1" t="n">
        <v>44833</v>
      </c>
      <c r="C958" s="1" t="n">
        <v>45672</v>
      </c>
      <c r="D958" t="inlineStr">
        <is>
          <t>STOCKHOLMS LÄN</t>
        </is>
      </c>
      <c r="E958" t="inlineStr">
        <is>
          <t>NORRTÄLJE</t>
        </is>
      </c>
      <c r="F958" t="inlineStr">
        <is>
          <t>Kyrkan</t>
        </is>
      </c>
      <c r="G958" t="n">
        <v>1.7</v>
      </c>
      <c r="H958" t="n">
        <v>0</v>
      </c>
      <c r="I958" t="n">
        <v>0</v>
      </c>
      <c r="J958" t="n">
        <v>0</v>
      </c>
      <c r="K958" t="n">
        <v>0</v>
      </c>
      <c r="L958" t="n">
        <v>0</v>
      </c>
      <c r="M958" t="n">
        <v>0</v>
      </c>
      <c r="N958" t="n">
        <v>0</v>
      </c>
      <c r="O958" t="n">
        <v>0</v>
      </c>
      <c r="P958" t="n">
        <v>0</v>
      </c>
      <c r="Q958" t="n">
        <v>0</v>
      </c>
      <c r="R958" s="2" t="inlineStr"/>
    </row>
    <row r="959" ht="15" customHeight="1">
      <c r="A959" t="inlineStr">
        <is>
          <t>A 43212-2022</t>
        </is>
      </c>
      <c r="B959" s="1" t="n">
        <v>44834</v>
      </c>
      <c r="C959" s="1" t="n">
        <v>45672</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43374-2022</t>
        </is>
      </c>
      <c r="B960" s="1" t="n">
        <v>44834</v>
      </c>
      <c r="C960" s="1" t="n">
        <v>45672</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43972-2022</t>
        </is>
      </c>
      <c r="B961" s="1" t="n">
        <v>44838</v>
      </c>
      <c r="C961" s="1" t="n">
        <v>45672</v>
      </c>
      <c r="D961" t="inlineStr">
        <is>
          <t>STOCKHOLMS LÄN</t>
        </is>
      </c>
      <c r="E961" t="inlineStr">
        <is>
          <t>NORRTÄLJE</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44349-2022</t>
        </is>
      </c>
      <c r="B962" s="1" t="n">
        <v>44839</v>
      </c>
      <c r="C962" s="1" t="n">
        <v>45672</v>
      </c>
      <c r="D962" t="inlineStr">
        <is>
          <t>STOCKHOLMS LÄN</t>
        </is>
      </c>
      <c r="E962" t="inlineStr">
        <is>
          <t>NORRTÄLJE</t>
        </is>
      </c>
      <c r="G962" t="n">
        <v>0.8</v>
      </c>
      <c r="H962" t="n">
        <v>0</v>
      </c>
      <c r="I962" t="n">
        <v>0</v>
      </c>
      <c r="J962" t="n">
        <v>0</v>
      </c>
      <c r="K962" t="n">
        <v>0</v>
      </c>
      <c r="L962" t="n">
        <v>0</v>
      </c>
      <c r="M962" t="n">
        <v>0</v>
      </c>
      <c r="N962" t="n">
        <v>0</v>
      </c>
      <c r="O962" t="n">
        <v>0</v>
      </c>
      <c r="P962" t="n">
        <v>0</v>
      </c>
      <c r="Q962" t="n">
        <v>0</v>
      </c>
      <c r="R962" s="2" t="inlineStr"/>
    </row>
    <row r="963" ht="15" customHeight="1">
      <c r="A963" t="inlineStr">
        <is>
          <t>A 45255-2022</t>
        </is>
      </c>
      <c r="B963" s="1" t="n">
        <v>44840</v>
      </c>
      <c r="C963" s="1" t="n">
        <v>45672</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44917-2022</t>
        </is>
      </c>
      <c r="B964" s="1" t="n">
        <v>44841</v>
      </c>
      <c r="C964" s="1" t="n">
        <v>45672</v>
      </c>
      <c r="D964" t="inlineStr">
        <is>
          <t>STOCKHOLMS LÄN</t>
        </is>
      </c>
      <c r="E964" t="inlineStr">
        <is>
          <t>NORRTÄLJE</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45541-2022</t>
        </is>
      </c>
      <c r="B965" s="1" t="n">
        <v>44845</v>
      </c>
      <c r="C965" s="1" t="n">
        <v>45672</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45539-2022</t>
        </is>
      </c>
      <c r="B966" s="1" t="n">
        <v>44845</v>
      </c>
      <c r="C966" s="1" t="n">
        <v>45672</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45549-2022</t>
        </is>
      </c>
      <c r="B967" s="1" t="n">
        <v>44845</v>
      </c>
      <c r="C967" s="1" t="n">
        <v>45672</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46914-2022</t>
        </is>
      </c>
      <c r="B968" s="1" t="n">
        <v>44851</v>
      </c>
      <c r="C968" s="1" t="n">
        <v>45672</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47076-2022</t>
        </is>
      </c>
      <c r="B969" s="1" t="n">
        <v>44852</v>
      </c>
      <c r="C969" s="1" t="n">
        <v>45672</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47079-2022</t>
        </is>
      </c>
      <c r="B970" s="1" t="n">
        <v>44852</v>
      </c>
      <c r="C970" s="1" t="n">
        <v>45672</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47626-2022</t>
        </is>
      </c>
      <c r="B971" s="1" t="n">
        <v>44854</v>
      </c>
      <c r="C971" s="1" t="n">
        <v>45672</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48316-2022</t>
        </is>
      </c>
      <c r="B972" s="1" t="n">
        <v>44854</v>
      </c>
      <c r="C972" s="1" t="n">
        <v>45672</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47929-2022</t>
        </is>
      </c>
      <c r="B973" s="1" t="n">
        <v>44855</v>
      </c>
      <c r="C973" s="1" t="n">
        <v>45672</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48161-2022</t>
        </is>
      </c>
      <c r="B974" s="1" t="n">
        <v>44858</v>
      </c>
      <c r="C974" s="1" t="n">
        <v>45672</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48453-2022</t>
        </is>
      </c>
      <c r="B975" s="1" t="n">
        <v>44858</v>
      </c>
      <c r="C975" s="1" t="n">
        <v>45672</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48492-2022</t>
        </is>
      </c>
      <c r="B976" s="1" t="n">
        <v>44858</v>
      </c>
      <c r="C976" s="1" t="n">
        <v>45672</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50065-2022</t>
        </is>
      </c>
      <c r="B977" s="1" t="n">
        <v>44865</v>
      </c>
      <c r="C977" s="1" t="n">
        <v>45672</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50469-2022</t>
        </is>
      </c>
      <c r="B978" s="1" t="n">
        <v>44866</v>
      </c>
      <c r="C978" s="1" t="n">
        <v>45672</v>
      </c>
      <c r="D978" t="inlineStr">
        <is>
          <t>STOCKHOLMS LÄN</t>
        </is>
      </c>
      <c r="E978" t="inlineStr">
        <is>
          <t>NORRTÄLJE</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50481-2022</t>
        </is>
      </c>
      <c r="B979" s="1" t="n">
        <v>44866</v>
      </c>
      <c r="C979" s="1" t="n">
        <v>45672</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50465-2022</t>
        </is>
      </c>
      <c r="B980" s="1" t="n">
        <v>44866</v>
      </c>
      <c r="C980" s="1" t="n">
        <v>45672</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50488-2022</t>
        </is>
      </c>
      <c r="B981" s="1" t="n">
        <v>44866</v>
      </c>
      <c r="C981" s="1" t="n">
        <v>45672</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50563-2022</t>
        </is>
      </c>
      <c r="B982" s="1" t="n">
        <v>44866</v>
      </c>
      <c r="C982" s="1" t="n">
        <v>45672</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50569-2022</t>
        </is>
      </c>
      <c r="B983" s="1" t="n">
        <v>44866</v>
      </c>
      <c r="C983" s="1" t="n">
        <v>45672</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50484-2022</t>
        </is>
      </c>
      <c r="B984" s="1" t="n">
        <v>44866</v>
      </c>
      <c r="C984" s="1" t="n">
        <v>45672</v>
      </c>
      <c r="D984" t="inlineStr">
        <is>
          <t>STOCKHOLMS LÄN</t>
        </is>
      </c>
      <c r="E984" t="inlineStr">
        <is>
          <t>NORRTÄLJE</t>
        </is>
      </c>
      <c r="G984" t="n">
        <v>6.7</v>
      </c>
      <c r="H984" t="n">
        <v>0</v>
      </c>
      <c r="I984" t="n">
        <v>0</v>
      </c>
      <c r="J984" t="n">
        <v>0</v>
      </c>
      <c r="K984" t="n">
        <v>0</v>
      </c>
      <c r="L984" t="n">
        <v>0</v>
      </c>
      <c r="M984" t="n">
        <v>0</v>
      </c>
      <c r="N984" t="n">
        <v>0</v>
      </c>
      <c r="O984" t="n">
        <v>0</v>
      </c>
      <c r="P984" t="n">
        <v>0</v>
      </c>
      <c r="Q984" t="n">
        <v>0</v>
      </c>
      <c r="R984" s="2" t="inlineStr"/>
    </row>
    <row r="985" ht="15" customHeight="1">
      <c r="A985" t="inlineStr">
        <is>
          <t>A 50970-2022</t>
        </is>
      </c>
      <c r="B985" s="1" t="n">
        <v>44867</v>
      </c>
      <c r="C985" s="1" t="n">
        <v>45672</v>
      </c>
      <c r="D985" t="inlineStr">
        <is>
          <t>STOCKHOLMS LÄN</t>
        </is>
      </c>
      <c r="E985" t="inlineStr">
        <is>
          <t>NORRTÄLJE</t>
        </is>
      </c>
      <c r="G985" t="n">
        <v>9</v>
      </c>
      <c r="H985" t="n">
        <v>0</v>
      </c>
      <c r="I985" t="n">
        <v>0</v>
      </c>
      <c r="J985" t="n">
        <v>0</v>
      </c>
      <c r="K985" t="n">
        <v>0</v>
      </c>
      <c r="L985" t="n">
        <v>0</v>
      </c>
      <c r="M985" t="n">
        <v>0</v>
      </c>
      <c r="N985" t="n">
        <v>0</v>
      </c>
      <c r="O985" t="n">
        <v>0</v>
      </c>
      <c r="P985" t="n">
        <v>0</v>
      </c>
      <c r="Q985" t="n">
        <v>0</v>
      </c>
      <c r="R985" s="2" t="inlineStr"/>
    </row>
    <row r="986" ht="15" customHeight="1">
      <c r="A986" t="inlineStr">
        <is>
          <t>A 50983-2022</t>
        </is>
      </c>
      <c r="B986" s="1" t="n">
        <v>44867</v>
      </c>
      <c r="C986" s="1" t="n">
        <v>45672</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50907-2022</t>
        </is>
      </c>
      <c r="B987" s="1" t="n">
        <v>44867</v>
      </c>
      <c r="C987" s="1" t="n">
        <v>45672</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51653-2022</t>
        </is>
      </c>
      <c r="B988" s="1" t="n">
        <v>44867</v>
      </c>
      <c r="C988" s="1" t="n">
        <v>45672</v>
      </c>
      <c r="D988" t="inlineStr">
        <is>
          <t>STOCKHOLMS LÄN</t>
        </is>
      </c>
      <c r="E988" t="inlineStr">
        <is>
          <t>NORRTÄLJE</t>
        </is>
      </c>
      <c r="G988" t="n">
        <v>6.6</v>
      </c>
      <c r="H988" t="n">
        <v>0</v>
      </c>
      <c r="I988" t="n">
        <v>0</v>
      </c>
      <c r="J988" t="n">
        <v>0</v>
      </c>
      <c r="K988" t="n">
        <v>0</v>
      </c>
      <c r="L988" t="n">
        <v>0</v>
      </c>
      <c r="M988" t="n">
        <v>0</v>
      </c>
      <c r="N988" t="n">
        <v>0</v>
      </c>
      <c r="O988" t="n">
        <v>0</v>
      </c>
      <c r="P988" t="n">
        <v>0</v>
      </c>
      <c r="Q988" t="n">
        <v>0</v>
      </c>
      <c r="R988" s="2" t="inlineStr"/>
    </row>
    <row r="989" ht="15" customHeight="1">
      <c r="A989" t="inlineStr">
        <is>
          <t>A 51116-2022</t>
        </is>
      </c>
      <c r="B989" s="1" t="n">
        <v>44868</v>
      </c>
      <c r="C989" s="1" t="n">
        <v>45672</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51265-2022</t>
        </is>
      </c>
      <c r="B990" s="1" t="n">
        <v>44868</v>
      </c>
      <c r="C990" s="1" t="n">
        <v>45672</v>
      </c>
      <c r="D990" t="inlineStr">
        <is>
          <t>STOCKHOLMS LÄN</t>
        </is>
      </c>
      <c r="E990" t="inlineStr">
        <is>
          <t>NORRTÄLJE</t>
        </is>
      </c>
      <c r="G990" t="n">
        <v>3.1</v>
      </c>
      <c r="H990" t="n">
        <v>0</v>
      </c>
      <c r="I990" t="n">
        <v>0</v>
      </c>
      <c r="J990" t="n">
        <v>0</v>
      </c>
      <c r="K990" t="n">
        <v>0</v>
      </c>
      <c r="L990" t="n">
        <v>0</v>
      </c>
      <c r="M990" t="n">
        <v>0</v>
      </c>
      <c r="N990" t="n">
        <v>0</v>
      </c>
      <c r="O990" t="n">
        <v>0</v>
      </c>
      <c r="P990" t="n">
        <v>0</v>
      </c>
      <c r="Q990" t="n">
        <v>0</v>
      </c>
      <c r="R990" s="2" t="inlineStr"/>
    </row>
    <row r="991" ht="15" customHeight="1">
      <c r="A991" t="inlineStr">
        <is>
          <t>A 52139-2022</t>
        </is>
      </c>
      <c r="B991" s="1" t="n">
        <v>44868</v>
      </c>
      <c r="C991" s="1" t="n">
        <v>45672</v>
      </c>
      <c r="D991" t="inlineStr">
        <is>
          <t>STOCKHOLMS LÄN</t>
        </is>
      </c>
      <c r="E991" t="inlineStr">
        <is>
          <t>NORRTÄLJE</t>
        </is>
      </c>
      <c r="G991" t="n">
        <v>3.2</v>
      </c>
      <c r="H991" t="n">
        <v>0</v>
      </c>
      <c r="I991" t="n">
        <v>0</v>
      </c>
      <c r="J991" t="n">
        <v>0</v>
      </c>
      <c r="K991" t="n">
        <v>0</v>
      </c>
      <c r="L991" t="n">
        <v>0</v>
      </c>
      <c r="M991" t="n">
        <v>0</v>
      </c>
      <c r="N991" t="n">
        <v>0</v>
      </c>
      <c r="O991" t="n">
        <v>0</v>
      </c>
      <c r="P991" t="n">
        <v>0</v>
      </c>
      <c r="Q991" t="n">
        <v>0</v>
      </c>
      <c r="R991" s="2" t="inlineStr"/>
    </row>
    <row r="992" ht="15" customHeight="1">
      <c r="A992" t="inlineStr">
        <is>
          <t>A 52133-2022</t>
        </is>
      </c>
      <c r="B992" s="1" t="n">
        <v>44868</v>
      </c>
      <c r="C992" s="1" t="n">
        <v>45672</v>
      </c>
      <c r="D992" t="inlineStr">
        <is>
          <t>STOCKHOLMS LÄN</t>
        </is>
      </c>
      <c r="E992" t="inlineStr">
        <is>
          <t>NORRTÄLJE</t>
        </is>
      </c>
      <c r="G992" t="n">
        <v>11.5</v>
      </c>
      <c r="H992" t="n">
        <v>0</v>
      </c>
      <c r="I992" t="n">
        <v>0</v>
      </c>
      <c r="J992" t="n">
        <v>0</v>
      </c>
      <c r="K992" t="n">
        <v>0</v>
      </c>
      <c r="L992" t="n">
        <v>0</v>
      </c>
      <c r="M992" t="n">
        <v>0</v>
      </c>
      <c r="N992" t="n">
        <v>0</v>
      </c>
      <c r="O992" t="n">
        <v>0</v>
      </c>
      <c r="P992" t="n">
        <v>0</v>
      </c>
      <c r="Q992" t="n">
        <v>0</v>
      </c>
      <c r="R992" s="2" t="inlineStr"/>
    </row>
    <row r="993" ht="15" customHeight="1">
      <c r="A993" t="inlineStr">
        <is>
          <t>A 52260-2022</t>
        </is>
      </c>
      <c r="B993" s="1" t="n">
        <v>44869</v>
      </c>
      <c r="C993" s="1" t="n">
        <v>45672</v>
      </c>
      <c r="D993" t="inlineStr">
        <is>
          <t>STOCKHOLMS LÄN</t>
        </is>
      </c>
      <c r="E993" t="inlineStr">
        <is>
          <t>NORRTÄLJE</t>
        </is>
      </c>
      <c r="G993" t="n">
        <v>3.1</v>
      </c>
      <c r="H993" t="n">
        <v>0</v>
      </c>
      <c r="I993" t="n">
        <v>0</v>
      </c>
      <c r="J993" t="n">
        <v>0</v>
      </c>
      <c r="K993" t="n">
        <v>0</v>
      </c>
      <c r="L993" t="n">
        <v>0</v>
      </c>
      <c r="M993" t="n">
        <v>0</v>
      </c>
      <c r="N993" t="n">
        <v>0</v>
      </c>
      <c r="O993" t="n">
        <v>0</v>
      </c>
      <c r="P993" t="n">
        <v>0</v>
      </c>
      <c r="Q993" t="n">
        <v>0</v>
      </c>
      <c r="R993" s="2" t="inlineStr"/>
    </row>
    <row r="994" ht="15" customHeight="1">
      <c r="A994" t="inlineStr">
        <is>
          <t>A 51984-2022</t>
        </is>
      </c>
      <c r="B994" s="1" t="n">
        <v>44872</v>
      </c>
      <c r="C994" s="1" t="n">
        <v>45672</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52322-2022</t>
        </is>
      </c>
      <c r="B995" s="1" t="n">
        <v>44873</v>
      </c>
      <c r="C995" s="1" t="n">
        <v>45672</v>
      </c>
      <c r="D995" t="inlineStr">
        <is>
          <t>STOCKHOLMS LÄN</t>
        </is>
      </c>
      <c r="E995" t="inlineStr">
        <is>
          <t>NORRTÄLJE</t>
        </is>
      </c>
      <c r="G995" t="n">
        <v>5.5</v>
      </c>
      <c r="H995" t="n">
        <v>0</v>
      </c>
      <c r="I995" t="n">
        <v>0</v>
      </c>
      <c r="J995" t="n">
        <v>0</v>
      </c>
      <c r="K995" t="n">
        <v>0</v>
      </c>
      <c r="L995" t="n">
        <v>0</v>
      </c>
      <c r="M995" t="n">
        <v>0</v>
      </c>
      <c r="N995" t="n">
        <v>0</v>
      </c>
      <c r="O995" t="n">
        <v>0</v>
      </c>
      <c r="P995" t="n">
        <v>0</v>
      </c>
      <c r="Q995" t="n">
        <v>0</v>
      </c>
      <c r="R995" s="2" t="inlineStr"/>
    </row>
    <row r="996" ht="15" customHeight="1">
      <c r="A996" t="inlineStr">
        <is>
          <t>A 53461-2022</t>
        </is>
      </c>
      <c r="B996" s="1" t="n">
        <v>44879</v>
      </c>
      <c r="C996" s="1" t="n">
        <v>45672</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53600-2022</t>
        </is>
      </c>
      <c r="B997" s="1" t="n">
        <v>44879</v>
      </c>
      <c r="C997" s="1" t="n">
        <v>45672</v>
      </c>
      <c r="D997" t="inlineStr">
        <is>
          <t>STOCKHOLMS LÄN</t>
        </is>
      </c>
      <c r="E997" t="inlineStr">
        <is>
          <t>NORRTÄLJE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53459-2022</t>
        </is>
      </c>
      <c r="B998" s="1" t="n">
        <v>44879</v>
      </c>
      <c r="C998" s="1" t="n">
        <v>45672</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53884-2022</t>
        </is>
      </c>
      <c r="B999" s="1" t="n">
        <v>44880</v>
      </c>
      <c r="C999" s="1" t="n">
        <v>45672</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54169-2022</t>
        </is>
      </c>
      <c r="B1000" s="1" t="n">
        <v>44881</v>
      </c>
      <c r="C1000" s="1" t="n">
        <v>45672</v>
      </c>
      <c r="D1000" t="inlineStr">
        <is>
          <t>STOCKHOLMS LÄN</t>
        </is>
      </c>
      <c r="E1000" t="inlineStr">
        <is>
          <t>NORRTÄLJE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54175-2022</t>
        </is>
      </c>
      <c r="B1001" s="1" t="n">
        <v>44881</v>
      </c>
      <c r="C1001" s="1" t="n">
        <v>45672</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54355-2022</t>
        </is>
      </c>
      <c r="B1002" s="1" t="n">
        <v>44882</v>
      </c>
      <c r="C1002" s="1" t="n">
        <v>45672</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54427-2022</t>
        </is>
      </c>
      <c r="B1003" s="1" t="n">
        <v>44882</v>
      </c>
      <c r="C1003" s="1" t="n">
        <v>45672</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54340-2022</t>
        </is>
      </c>
      <c r="B1004" s="1" t="n">
        <v>44882</v>
      </c>
      <c r="C1004" s="1" t="n">
        <v>45672</v>
      </c>
      <c r="D1004" t="inlineStr">
        <is>
          <t>STOCKHOLMS LÄN</t>
        </is>
      </c>
      <c r="E1004" t="inlineStr">
        <is>
          <t>NORRTÄLJE</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54358-2022</t>
        </is>
      </c>
      <c r="B1005" s="1" t="n">
        <v>44882</v>
      </c>
      <c r="C1005" s="1" t="n">
        <v>45672</v>
      </c>
      <c r="D1005" t="inlineStr">
        <is>
          <t>STOCKHOLMS LÄN</t>
        </is>
      </c>
      <c r="E1005" t="inlineStr">
        <is>
          <t>NORRTÄLJE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54354-2022</t>
        </is>
      </c>
      <c r="B1006" s="1" t="n">
        <v>44882</v>
      </c>
      <c r="C1006" s="1" t="n">
        <v>45672</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55047-2022</t>
        </is>
      </c>
      <c r="B1007" s="1" t="n">
        <v>44886</v>
      </c>
      <c r="C1007" s="1" t="n">
        <v>45672</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55696-2022</t>
        </is>
      </c>
      <c r="B1008" s="1" t="n">
        <v>44888</v>
      </c>
      <c r="C1008" s="1" t="n">
        <v>45672</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57037-2022</t>
        </is>
      </c>
      <c r="B1009" s="1" t="n">
        <v>44895</v>
      </c>
      <c r="C1009" s="1" t="n">
        <v>45672</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59767-2022</t>
        </is>
      </c>
      <c r="B1010" s="1" t="n">
        <v>44900</v>
      </c>
      <c r="C1010" s="1" t="n">
        <v>45672</v>
      </c>
      <c r="D1010" t="inlineStr">
        <is>
          <t>STOCKHOLMS LÄN</t>
        </is>
      </c>
      <c r="E1010" t="inlineStr">
        <is>
          <t>NORRTÄLJE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58302-2022</t>
        </is>
      </c>
      <c r="B1011" s="1" t="n">
        <v>44901</v>
      </c>
      <c r="C1011" s="1" t="n">
        <v>45672</v>
      </c>
      <c r="D1011" t="inlineStr">
        <is>
          <t>STOCKHOLMS LÄN</t>
        </is>
      </c>
      <c r="E1011" t="inlineStr">
        <is>
          <t>NORRTÄLJE</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58492-2022</t>
        </is>
      </c>
      <c r="B1012" s="1" t="n">
        <v>44902</v>
      </c>
      <c r="C1012" s="1" t="n">
        <v>45672</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58543-2022</t>
        </is>
      </c>
      <c r="B1013" s="1" t="n">
        <v>44902</v>
      </c>
      <c r="C1013" s="1" t="n">
        <v>45672</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58993-2022</t>
        </is>
      </c>
      <c r="B1014" s="1" t="n">
        <v>44903</v>
      </c>
      <c r="C1014" s="1" t="n">
        <v>45672</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60525-2022</t>
        </is>
      </c>
      <c r="B1015" s="1" t="n">
        <v>44904</v>
      </c>
      <c r="C1015" s="1" t="n">
        <v>45672</v>
      </c>
      <c r="D1015" t="inlineStr">
        <is>
          <t>STOCKHOLMS LÄN</t>
        </is>
      </c>
      <c r="E1015" t="inlineStr">
        <is>
          <t>NORRTÄLJE</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59717-2022</t>
        </is>
      </c>
      <c r="B1016" s="1" t="n">
        <v>44908</v>
      </c>
      <c r="C1016" s="1" t="n">
        <v>45672</v>
      </c>
      <c r="D1016" t="inlineStr">
        <is>
          <t>STOCKHOLMS LÄN</t>
        </is>
      </c>
      <c r="E1016" t="inlineStr">
        <is>
          <t>NORRTÄLJE</t>
        </is>
      </c>
      <c r="F1016" t="inlineStr">
        <is>
          <t>Holmen skog AB</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59893-2022</t>
        </is>
      </c>
      <c r="B1017" s="1" t="n">
        <v>44908</v>
      </c>
      <c r="C1017" s="1" t="n">
        <v>45672</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59892-2022</t>
        </is>
      </c>
      <c r="B1018" s="1" t="n">
        <v>44908</v>
      </c>
      <c r="C1018" s="1" t="n">
        <v>45672</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60840-2022</t>
        </is>
      </c>
      <c r="B1019" s="1" t="n">
        <v>44914</v>
      </c>
      <c r="C1019" s="1" t="n">
        <v>45672</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61016-2022</t>
        </is>
      </c>
      <c r="B1020" s="1" t="n">
        <v>44914</v>
      </c>
      <c r="C1020" s="1" t="n">
        <v>45672</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62206-2022</t>
        </is>
      </c>
      <c r="B1021" s="1" t="n">
        <v>44922</v>
      </c>
      <c r="C1021" s="1" t="n">
        <v>45672</v>
      </c>
      <c r="D1021" t="inlineStr">
        <is>
          <t>STOCKHOLMS LÄN</t>
        </is>
      </c>
      <c r="E1021" t="inlineStr">
        <is>
          <t>NORRTÄLJE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62398-2022</t>
        </is>
      </c>
      <c r="B1022" s="1" t="n">
        <v>44923</v>
      </c>
      <c r="C1022" s="1" t="n">
        <v>45672</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62593-2022</t>
        </is>
      </c>
      <c r="B1023" s="1" t="n">
        <v>44925</v>
      </c>
      <c r="C1023" s="1" t="n">
        <v>45672</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576-2023</t>
        </is>
      </c>
      <c r="B1024" s="1" t="n">
        <v>44925</v>
      </c>
      <c r="C1024" s="1" t="n">
        <v>45672</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574-2023</t>
        </is>
      </c>
      <c r="B1025" s="1" t="n">
        <v>44925</v>
      </c>
      <c r="C1025" s="1" t="n">
        <v>45672</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755-2023</t>
        </is>
      </c>
      <c r="B1026" s="1" t="n">
        <v>44931</v>
      </c>
      <c r="C1026" s="1" t="n">
        <v>45672</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875-2023</t>
        </is>
      </c>
      <c r="B1027" s="1" t="n">
        <v>44931</v>
      </c>
      <c r="C1027" s="1" t="n">
        <v>45672</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951-2023</t>
        </is>
      </c>
      <c r="B1028" s="1" t="n">
        <v>44934</v>
      </c>
      <c r="C1028" s="1" t="n">
        <v>45672</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1183-2023</t>
        </is>
      </c>
      <c r="B1029" s="1" t="n">
        <v>44935</v>
      </c>
      <c r="C1029" s="1" t="n">
        <v>45672</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1335-2023</t>
        </is>
      </c>
      <c r="B1030" s="1" t="n">
        <v>44936</v>
      </c>
      <c r="C1030" s="1" t="n">
        <v>45672</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1373-2023</t>
        </is>
      </c>
      <c r="B1031" s="1" t="n">
        <v>44936</v>
      </c>
      <c r="C1031" s="1" t="n">
        <v>45672</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1448-2023</t>
        </is>
      </c>
      <c r="B1032" s="1" t="n">
        <v>44937</v>
      </c>
      <c r="C1032" s="1" t="n">
        <v>45672</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1740-2023</t>
        </is>
      </c>
      <c r="B1033" s="1" t="n">
        <v>44938</v>
      </c>
      <c r="C1033" s="1" t="n">
        <v>45672</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1847-2023</t>
        </is>
      </c>
      <c r="B1034" s="1" t="n">
        <v>44938</v>
      </c>
      <c r="C1034" s="1" t="n">
        <v>45672</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2103-2023</t>
        </is>
      </c>
      <c r="B1035" s="1" t="n">
        <v>44939</v>
      </c>
      <c r="C1035" s="1" t="n">
        <v>45672</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2976-2023</t>
        </is>
      </c>
      <c r="B1036" s="1" t="n">
        <v>44945</v>
      </c>
      <c r="C1036" s="1" t="n">
        <v>45672</v>
      </c>
      <c r="D1036" t="inlineStr">
        <is>
          <t>STOCKHOLMS LÄN</t>
        </is>
      </c>
      <c r="E1036" t="inlineStr">
        <is>
          <t>NORRTÄLJE</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2890-2023</t>
        </is>
      </c>
      <c r="B1037" s="1" t="n">
        <v>44945</v>
      </c>
      <c r="C1037" s="1" t="n">
        <v>45672</v>
      </c>
      <c r="D1037" t="inlineStr">
        <is>
          <t>STOCKHOLMS LÄN</t>
        </is>
      </c>
      <c r="E1037" t="inlineStr">
        <is>
          <t>NORRTÄLJE</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2982-2023</t>
        </is>
      </c>
      <c r="B1038" s="1" t="n">
        <v>44945</v>
      </c>
      <c r="C1038" s="1" t="n">
        <v>45672</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3383-2023</t>
        </is>
      </c>
      <c r="B1039" s="1" t="n">
        <v>44949</v>
      </c>
      <c r="C1039" s="1" t="n">
        <v>45672</v>
      </c>
      <c r="D1039" t="inlineStr">
        <is>
          <t>STOCKHOLMS LÄN</t>
        </is>
      </c>
      <c r="E1039" t="inlineStr">
        <is>
          <t>NORRTÄLJE</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3444-2023</t>
        </is>
      </c>
      <c r="B1040" s="1" t="n">
        <v>44949</v>
      </c>
      <c r="C1040" s="1" t="n">
        <v>45672</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4035-2023</t>
        </is>
      </c>
      <c r="B1041" s="1" t="n">
        <v>44952</v>
      </c>
      <c r="C1041" s="1" t="n">
        <v>45672</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4058-2023</t>
        </is>
      </c>
      <c r="B1042" s="1" t="n">
        <v>44952</v>
      </c>
      <c r="C1042" s="1" t="n">
        <v>45672</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4194-2023</t>
        </is>
      </c>
      <c r="B1043" s="1" t="n">
        <v>44953</v>
      </c>
      <c r="C1043" s="1" t="n">
        <v>45672</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4168-2023</t>
        </is>
      </c>
      <c r="B1044" s="1" t="n">
        <v>44953</v>
      </c>
      <c r="C1044" s="1" t="n">
        <v>45672</v>
      </c>
      <c r="D1044" t="inlineStr">
        <is>
          <t>STOCKHOLMS LÄN</t>
        </is>
      </c>
      <c r="E1044" t="inlineStr">
        <is>
          <t>NORRTÄLJE</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4316-2023</t>
        </is>
      </c>
      <c r="B1045" s="1" t="n">
        <v>44953</v>
      </c>
      <c r="C1045" s="1" t="n">
        <v>45672</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4326-2023</t>
        </is>
      </c>
      <c r="B1046" s="1" t="n">
        <v>44953</v>
      </c>
      <c r="C1046" s="1" t="n">
        <v>45672</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4322-2023</t>
        </is>
      </c>
      <c r="B1047" s="1" t="n">
        <v>44953</v>
      </c>
      <c r="C1047" s="1" t="n">
        <v>45672</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4364-2023</t>
        </is>
      </c>
      <c r="B1048" s="1" t="n">
        <v>44954</v>
      </c>
      <c r="C1048" s="1" t="n">
        <v>45672</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4395-2023</t>
        </is>
      </c>
      <c r="B1049" s="1" t="n">
        <v>44956</v>
      </c>
      <c r="C1049" s="1" t="n">
        <v>45672</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4438-2023</t>
        </is>
      </c>
      <c r="B1050" s="1" t="n">
        <v>44956</v>
      </c>
      <c r="C1050" s="1" t="n">
        <v>45672</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4593-2023</t>
        </is>
      </c>
      <c r="B1051" s="1" t="n">
        <v>44956</v>
      </c>
      <c r="C1051" s="1" t="n">
        <v>45672</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4596-2023</t>
        </is>
      </c>
      <c r="B1052" s="1" t="n">
        <v>44956</v>
      </c>
      <c r="C1052" s="1" t="n">
        <v>45672</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4553-2023</t>
        </is>
      </c>
      <c r="B1053" s="1" t="n">
        <v>44956</v>
      </c>
      <c r="C1053" s="1" t="n">
        <v>45672</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5137-2023</t>
        </is>
      </c>
      <c r="B1054" s="1" t="n">
        <v>44958</v>
      </c>
      <c r="C1054" s="1" t="n">
        <v>45672</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5207-2023</t>
        </is>
      </c>
      <c r="B1055" s="1" t="n">
        <v>44959</v>
      </c>
      <c r="C1055" s="1" t="n">
        <v>45672</v>
      </c>
      <c r="D1055" t="inlineStr">
        <is>
          <t>STOCKHOLMS LÄN</t>
        </is>
      </c>
      <c r="E1055" t="inlineStr">
        <is>
          <t>NORRTÄLJE</t>
        </is>
      </c>
      <c r="F1055" t="inlineStr">
        <is>
          <t>Holmen skog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5422-2023</t>
        </is>
      </c>
      <c r="B1056" s="1" t="n">
        <v>44959</v>
      </c>
      <c r="C1056" s="1" t="n">
        <v>45672</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5244-2023</t>
        </is>
      </c>
      <c r="B1057" s="1" t="n">
        <v>44959</v>
      </c>
      <c r="C1057" s="1" t="n">
        <v>45672</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5423-2023</t>
        </is>
      </c>
      <c r="B1058" s="1" t="n">
        <v>44959</v>
      </c>
      <c r="C1058" s="1" t="n">
        <v>45672</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6312-2023</t>
        </is>
      </c>
      <c r="B1059" s="1" t="n">
        <v>44959</v>
      </c>
      <c r="C1059" s="1" t="n">
        <v>45672</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5645-2023</t>
        </is>
      </c>
      <c r="B1060" s="1" t="n">
        <v>44960</v>
      </c>
      <c r="C1060" s="1" t="n">
        <v>45672</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5501-2023</t>
        </is>
      </c>
      <c r="B1061" s="1" t="n">
        <v>44960</v>
      </c>
      <c r="C1061" s="1" t="n">
        <v>45672</v>
      </c>
      <c r="D1061" t="inlineStr">
        <is>
          <t>STOCKHOLMS LÄN</t>
        </is>
      </c>
      <c r="E1061" t="inlineStr">
        <is>
          <t>NORRTÄLJE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6496-2023</t>
        </is>
      </c>
      <c r="B1062" s="1" t="n">
        <v>44960</v>
      </c>
      <c r="C1062" s="1" t="n">
        <v>45672</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5732-2023</t>
        </is>
      </c>
      <c r="B1063" s="1" t="n">
        <v>44962</v>
      </c>
      <c r="C1063" s="1" t="n">
        <v>45672</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5823-2023</t>
        </is>
      </c>
      <c r="B1064" s="1" t="n">
        <v>44963</v>
      </c>
      <c r="C1064" s="1" t="n">
        <v>45672</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5839-2023</t>
        </is>
      </c>
      <c r="B1065" s="1" t="n">
        <v>44963</v>
      </c>
      <c r="C1065" s="1" t="n">
        <v>45672</v>
      </c>
      <c r="D1065" t="inlineStr">
        <is>
          <t>STOCKHOLMS LÄN</t>
        </is>
      </c>
      <c r="E1065" t="inlineStr">
        <is>
          <t>NORRTÄLJE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6433-2023</t>
        </is>
      </c>
      <c r="B1066" s="1" t="n">
        <v>44965</v>
      </c>
      <c r="C1066" s="1" t="n">
        <v>45672</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7230-2023</t>
        </is>
      </c>
      <c r="B1067" s="1" t="n">
        <v>44965</v>
      </c>
      <c r="C1067" s="1" t="n">
        <v>45672</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6437-2023</t>
        </is>
      </c>
      <c r="B1068" s="1" t="n">
        <v>44965</v>
      </c>
      <c r="C1068" s="1" t="n">
        <v>45672</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7093-2023</t>
        </is>
      </c>
      <c r="B1069" s="1" t="n">
        <v>44970</v>
      </c>
      <c r="C1069" s="1" t="n">
        <v>45672</v>
      </c>
      <c r="D1069" t="inlineStr">
        <is>
          <t>STOCKHOLMS LÄN</t>
        </is>
      </c>
      <c r="E1069" t="inlineStr">
        <is>
          <t>NORRTÄLJE</t>
        </is>
      </c>
      <c r="F1069" t="inlineStr">
        <is>
          <t>Sveaskog</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7190-2023</t>
        </is>
      </c>
      <c r="B1070" s="1" t="n">
        <v>44970</v>
      </c>
      <c r="C1070" s="1" t="n">
        <v>45672</v>
      </c>
      <c r="D1070" t="inlineStr">
        <is>
          <t>STOCKHOLMS LÄN</t>
        </is>
      </c>
      <c r="E1070" t="inlineStr">
        <is>
          <t>NORRTÄLJE</t>
        </is>
      </c>
      <c r="F1070" t="inlineStr">
        <is>
          <t>Sveaskog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7120-2023</t>
        </is>
      </c>
      <c r="B1071" s="1" t="n">
        <v>44970</v>
      </c>
      <c r="C1071" s="1" t="n">
        <v>45672</v>
      </c>
      <c r="D1071" t="inlineStr">
        <is>
          <t>STOCKHOLMS LÄN</t>
        </is>
      </c>
      <c r="E1071" t="inlineStr">
        <is>
          <t>NORRTÄLJE</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7638-2023</t>
        </is>
      </c>
      <c r="B1072" s="1" t="n">
        <v>44972</v>
      </c>
      <c r="C1072" s="1" t="n">
        <v>45672</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7966-2023</t>
        </is>
      </c>
      <c r="B1073" s="1" t="n">
        <v>44973</v>
      </c>
      <c r="C1073" s="1" t="n">
        <v>45672</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7974-2023</t>
        </is>
      </c>
      <c r="B1074" s="1" t="n">
        <v>44973</v>
      </c>
      <c r="C1074" s="1" t="n">
        <v>45672</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8296-2023</t>
        </is>
      </c>
      <c r="B1075" s="1" t="n">
        <v>44974</v>
      </c>
      <c r="C1075" s="1" t="n">
        <v>45672</v>
      </c>
      <c r="D1075" t="inlineStr">
        <is>
          <t>STOCKHOLMS LÄN</t>
        </is>
      </c>
      <c r="E1075" t="inlineStr">
        <is>
          <t>NORRTÄLJE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8586-2023</t>
        </is>
      </c>
      <c r="B1076" s="1" t="n">
        <v>44977</v>
      </c>
      <c r="C1076" s="1" t="n">
        <v>45672</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9401-2023</t>
        </is>
      </c>
      <c r="B1077" s="1" t="n">
        <v>44977</v>
      </c>
      <c r="C1077" s="1" t="n">
        <v>45672</v>
      </c>
      <c r="D1077" t="inlineStr">
        <is>
          <t>STOCKHOLMS LÄN</t>
        </is>
      </c>
      <c r="E1077" t="inlineStr">
        <is>
          <t>NORRTÄLJE</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8730-2023</t>
        </is>
      </c>
      <c r="B1078" s="1" t="n">
        <v>44978</v>
      </c>
      <c r="C1078" s="1" t="n">
        <v>45672</v>
      </c>
      <c r="D1078" t="inlineStr">
        <is>
          <t>STOCKHOLMS LÄN</t>
        </is>
      </c>
      <c r="E1078" t="inlineStr">
        <is>
          <t>NORRTÄLJE</t>
        </is>
      </c>
      <c r="F1078" t="inlineStr">
        <is>
          <t>Holmen skog AB</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8762-2023</t>
        </is>
      </c>
      <c r="B1079" s="1" t="n">
        <v>44978</v>
      </c>
      <c r="C1079" s="1" t="n">
        <v>45672</v>
      </c>
      <c r="D1079" t="inlineStr">
        <is>
          <t>STOCKHOLMS LÄN</t>
        </is>
      </c>
      <c r="E1079" t="inlineStr">
        <is>
          <t>NORRTÄLJE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8899-2023</t>
        </is>
      </c>
      <c r="B1080" s="1" t="n">
        <v>44979</v>
      </c>
      <c r="C1080" s="1" t="n">
        <v>45672</v>
      </c>
      <c r="D1080" t="inlineStr">
        <is>
          <t>STOCKHOLMS LÄN</t>
        </is>
      </c>
      <c r="E1080" t="inlineStr">
        <is>
          <t>NORRTÄLJE</t>
        </is>
      </c>
      <c r="F1080" t="inlineStr">
        <is>
          <t>Naturvårdsverket</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9189-2023</t>
        </is>
      </c>
      <c r="B1081" s="1" t="n">
        <v>44980</v>
      </c>
      <c r="C1081" s="1" t="n">
        <v>45672</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9184-2023</t>
        </is>
      </c>
      <c r="B1082" s="1" t="n">
        <v>44980</v>
      </c>
      <c r="C1082" s="1" t="n">
        <v>45672</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9255-2023</t>
        </is>
      </c>
      <c r="B1083" s="1" t="n">
        <v>44980</v>
      </c>
      <c r="C1083" s="1" t="n">
        <v>45672</v>
      </c>
      <c r="D1083" t="inlineStr">
        <is>
          <t>STOCKHOLMS LÄN</t>
        </is>
      </c>
      <c r="E1083" t="inlineStr">
        <is>
          <t>NORRTÄLJE</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9329-2023</t>
        </is>
      </c>
      <c r="B1084" s="1" t="n">
        <v>44980</v>
      </c>
      <c r="C1084" s="1" t="n">
        <v>45672</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9793-2023</t>
        </is>
      </c>
      <c r="B1085" s="1" t="n">
        <v>44984</v>
      </c>
      <c r="C1085" s="1" t="n">
        <v>45672</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9914-2023</t>
        </is>
      </c>
      <c r="B1086" s="1" t="n">
        <v>44985</v>
      </c>
      <c r="C1086" s="1" t="n">
        <v>45672</v>
      </c>
      <c r="D1086" t="inlineStr">
        <is>
          <t>STOCKHOLMS LÄN</t>
        </is>
      </c>
      <c r="E1086" t="inlineStr">
        <is>
          <t>NORRTÄLJE</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9965-2023</t>
        </is>
      </c>
      <c r="B1087" s="1" t="n">
        <v>44985</v>
      </c>
      <c r="C1087" s="1" t="n">
        <v>45672</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9995-2023</t>
        </is>
      </c>
      <c r="B1088" s="1" t="n">
        <v>44985</v>
      </c>
      <c r="C1088" s="1" t="n">
        <v>45672</v>
      </c>
      <c r="D1088" t="inlineStr">
        <is>
          <t>STOCKHOLMS LÄN</t>
        </is>
      </c>
      <c r="E1088" t="inlineStr">
        <is>
          <t>NORRTÄLJE</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10036-2023</t>
        </is>
      </c>
      <c r="B1089" s="1" t="n">
        <v>44985</v>
      </c>
      <c r="C1089" s="1" t="n">
        <v>45672</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10039-2023</t>
        </is>
      </c>
      <c r="B1090" s="1" t="n">
        <v>44985</v>
      </c>
      <c r="C1090" s="1" t="n">
        <v>45672</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9945-2023</t>
        </is>
      </c>
      <c r="B1091" s="1" t="n">
        <v>44985</v>
      </c>
      <c r="C1091" s="1" t="n">
        <v>45672</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10105-2023</t>
        </is>
      </c>
      <c r="B1092" s="1" t="n">
        <v>44986</v>
      </c>
      <c r="C1092" s="1" t="n">
        <v>45672</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10215-2023</t>
        </is>
      </c>
      <c r="B1093" s="1" t="n">
        <v>44986</v>
      </c>
      <c r="C1093" s="1" t="n">
        <v>45672</v>
      </c>
      <c r="D1093" t="inlineStr">
        <is>
          <t>STOCKHOLMS LÄN</t>
        </is>
      </c>
      <c r="E1093" t="inlineStr">
        <is>
          <t>NORRTÄLJE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11280-2023</t>
        </is>
      </c>
      <c r="B1094" s="1" t="n">
        <v>44992</v>
      </c>
      <c r="C1094" s="1" t="n">
        <v>45672</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11499-2023</t>
        </is>
      </c>
      <c r="B1095" s="1" t="n">
        <v>44993</v>
      </c>
      <c r="C1095" s="1" t="n">
        <v>45672</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11844-2023</t>
        </is>
      </c>
      <c r="B1096" s="1" t="n">
        <v>44995</v>
      </c>
      <c r="C1096" s="1" t="n">
        <v>45672</v>
      </c>
      <c r="D1096" t="inlineStr">
        <is>
          <t>STOCKHOLMS LÄN</t>
        </is>
      </c>
      <c r="E1096" t="inlineStr">
        <is>
          <t>NORRTÄLJE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11940-2023</t>
        </is>
      </c>
      <c r="B1097" s="1" t="n">
        <v>44995</v>
      </c>
      <c r="C1097" s="1" t="n">
        <v>45672</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11852-2023</t>
        </is>
      </c>
      <c r="B1098" s="1" t="n">
        <v>44995</v>
      </c>
      <c r="C1098" s="1" t="n">
        <v>45672</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12609-2023</t>
        </is>
      </c>
      <c r="B1099" s="1" t="n">
        <v>45000</v>
      </c>
      <c r="C1099" s="1" t="n">
        <v>45672</v>
      </c>
      <c r="D1099" t="inlineStr">
        <is>
          <t>STOCKHOLMS LÄN</t>
        </is>
      </c>
      <c r="E1099" t="inlineStr">
        <is>
          <t>NORRTÄLJE</t>
        </is>
      </c>
      <c r="F1099" t="inlineStr">
        <is>
          <t>Holmen skog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12756-2023</t>
        </is>
      </c>
      <c r="B1100" s="1" t="n">
        <v>45000</v>
      </c>
      <c r="C1100" s="1" t="n">
        <v>45672</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13072-2023</t>
        </is>
      </c>
      <c r="B1101" s="1" t="n">
        <v>45002</v>
      </c>
      <c r="C1101" s="1" t="n">
        <v>45672</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13354-2023</t>
        </is>
      </c>
      <c r="B1102" s="1" t="n">
        <v>45005</v>
      </c>
      <c r="C1102" s="1" t="n">
        <v>45672</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13360-2023</t>
        </is>
      </c>
      <c r="B1103" s="1" t="n">
        <v>45005</v>
      </c>
      <c r="C1103" s="1" t="n">
        <v>45672</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13860-2023</t>
        </is>
      </c>
      <c r="B1104" s="1" t="n">
        <v>45007</v>
      </c>
      <c r="C1104" s="1" t="n">
        <v>45672</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13957-2023</t>
        </is>
      </c>
      <c r="B1105" s="1" t="n">
        <v>45008</v>
      </c>
      <c r="C1105" s="1" t="n">
        <v>45672</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13947-2023</t>
        </is>
      </c>
      <c r="B1106" s="1" t="n">
        <v>45008</v>
      </c>
      <c r="C1106" s="1" t="n">
        <v>45672</v>
      </c>
      <c r="D1106" t="inlineStr">
        <is>
          <t>STOCKHOLMS LÄN</t>
        </is>
      </c>
      <c r="E1106" t="inlineStr">
        <is>
          <t>NORRTÄLJE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13977-2023</t>
        </is>
      </c>
      <c r="B1107" s="1" t="n">
        <v>45008</v>
      </c>
      <c r="C1107" s="1" t="n">
        <v>45672</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14135-2023</t>
        </is>
      </c>
      <c r="B1108" s="1" t="n">
        <v>45009</v>
      </c>
      <c r="C1108" s="1" t="n">
        <v>45672</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v>
      </c>
      <c r="C1109" s="1" t="n">
        <v>45672</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15256-2023</t>
        </is>
      </c>
      <c r="B1110" s="1" t="n">
        <v>45019</v>
      </c>
      <c r="C1110" s="1" t="n">
        <v>45672</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15447-2023</t>
        </is>
      </c>
      <c r="B1111" s="1" t="n">
        <v>45020</v>
      </c>
      <c r="C1111" s="1" t="n">
        <v>45672</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15459-2023</t>
        </is>
      </c>
      <c r="B1112" s="1" t="n">
        <v>45020</v>
      </c>
      <c r="C1112" s="1" t="n">
        <v>45672</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15655-2023</t>
        </is>
      </c>
      <c r="B1113" s="1" t="n">
        <v>45021</v>
      </c>
      <c r="C1113" s="1" t="n">
        <v>45672</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45672</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15915-2023</t>
        </is>
      </c>
      <c r="B1115" s="1" t="n">
        <v>45022</v>
      </c>
      <c r="C1115" s="1" t="n">
        <v>45672</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15956-2023</t>
        </is>
      </c>
      <c r="B1116" s="1" t="n">
        <v>45022</v>
      </c>
      <c r="C1116" s="1" t="n">
        <v>45672</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15954-2023</t>
        </is>
      </c>
      <c r="B1117" s="1" t="n">
        <v>45022</v>
      </c>
      <c r="C1117" s="1" t="n">
        <v>45672</v>
      </c>
      <c r="D1117" t="inlineStr">
        <is>
          <t>STOCKHOLMS LÄN</t>
        </is>
      </c>
      <c r="E1117" t="inlineStr">
        <is>
          <t>NORRTÄLJE</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16006-2023</t>
        </is>
      </c>
      <c r="B1118" s="1" t="n">
        <v>45025</v>
      </c>
      <c r="C1118" s="1" t="n">
        <v>45672</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16980-2023</t>
        </is>
      </c>
      <c r="B1119" s="1" t="n">
        <v>45033</v>
      </c>
      <c r="C1119" s="1" t="n">
        <v>45672</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16977-2023</t>
        </is>
      </c>
      <c r="B1120" s="1" t="n">
        <v>45033</v>
      </c>
      <c r="C1120" s="1" t="n">
        <v>45672</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17140-2023</t>
        </is>
      </c>
      <c r="B1121" s="1" t="n">
        <v>45034</v>
      </c>
      <c r="C1121" s="1" t="n">
        <v>45672</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17133-2023</t>
        </is>
      </c>
      <c r="B1122" s="1" t="n">
        <v>45034</v>
      </c>
      <c r="C1122" s="1" t="n">
        <v>45672</v>
      </c>
      <c r="D1122" t="inlineStr">
        <is>
          <t>STOCKHOLMS LÄN</t>
        </is>
      </c>
      <c r="E1122" t="inlineStr">
        <is>
          <t>NORRTÄLJE</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17919-2023</t>
        </is>
      </c>
      <c r="B1123" s="1" t="n">
        <v>45040</v>
      </c>
      <c r="C1123" s="1" t="n">
        <v>45672</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17939-2023</t>
        </is>
      </c>
      <c r="B1124" s="1" t="n">
        <v>45040</v>
      </c>
      <c r="C1124" s="1" t="n">
        <v>45672</v>
      </c>
      <c r="D1124" t="inlineStr">
        <is>
          <t>STOCKHOLMS LÄN</t>
        </is>
      </c>
      <c r="E1124" t="inlineStr">
        <is>
          <t>NORRTÄLJE</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17930-2023</t>
        </is>
      </c>
      <c r="B1125" s="1" t="n">
        <v>45040</v>
      </c>
      <c r="C1125" s="1" t="n">
        <v>45672</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17984-2023</t>
        </is>
      </c>
      <c r="B1126" s="1" t="n">
        <v>45040</v>
      </c>
      <c r="C1126" s="1" t="n">
        <v>45672</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18023-2023</t>
        </is>
      </c>
      <c r="B1127" s="1" t="n">
        <v>45040</v>
      </c>
      <c r="C1127" s="1" t="n">
        <v>45672</v>
      </c>
      <c r="D1127" t="inlineStr">
        <is>
          <t>STOCKHOLMS LÄN</t>
        </is>
      </c>
      <c r="E1127" t="inlineStr">
        <is>
          <t>NORRTÄLJE</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18541-2023</t>
        </is>
      </c>
      <c r="B1128" s="1" t="n">
        <v>45042</v>
      </c>
      <c r="C1128" s="1" t="n">
        <v>45672</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18540-2023</t>
        </is>
      </c>
      <c r="B1129" s="1" t="n">
        <v>45042</v>
      </c>
      <c r="C1129" s="1" t="n">
        <v>45672</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18895-2023</t>
        </is>
      </c>
      <c r="B1130" s="1" t="n">
        <v>45044</v>
      </c>
      <c r="C1130" s="1" t="n">
        <v>45672</v>
      </c>
      <c r="D1130" t="inlineStr">
        <is>
          <t>STOCKHOLMS LÄN</t>
        </is>
      </c>
      <c r="E1130" t="inlineStr">
        <is>
          <t>NORRTÄLJE</t>
        </is>
      </c>
      <c r="F1130" t="inlineStr">
        <is>
          <t>Kommuner</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19074-2023</t>
        </is>
      </c>
      <c r="B1131" s="1" t="n">
        <v>45048</v>
      </c>
      <c r="C1131" s="1" t="n">
        <v>45672</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19058-2023</t>
        </is>
      </c>
      <c r="B1132" s="1" t="n">
        <v>45048</v>
      </c>
      <c r="C1132" s="1" t="n">
        <v>45672</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19702-2023</t>
        </is>
      </c>
      <c r="B1133" s="1" t="n">
        <v>45051</v>
      </c>
      <c r="C1133" s="1" t="n">
        <v>45672</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19706-2023</t>
        </is>
      </c>
      <c r="B1134" s="1" t="n">
        <v>45051</v>
      </c>
      <c r="C1134" s="1" t="n">
        <v>45672</v>
      </c>
      <c r="D1134" t="inlineStr">
        <is>
          <t>STOCKHOLMS LÄN</t>
        </is>
      </c>
      <c r="E1134" t="inlineStr">
        <is>
          <t>NORRTÄLJE</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19719-2023</t>
        </is>
      </c>
      <c r="B1135" s="1" t="n">
        <v>45051</v>
      </c>
      <c r="C1135" s="1" t="n">
        <v>45672</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19951-2023</t>
        </is>
      </c>
      <c r="B1136" s="1" t="n">
        <v>45054</v>
      </c>
      <c r="C1136" s="1" t="n">
        <v>45672</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19971-2023</t>
        </is>
      </c>
      <c r="B1137" s="1" t="n">
        <v>45054</v>
      </c>
      <c r="C1137" s="1" t="n">
        <v>45672</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19994-2023</t>
        </is>
      </c>
      <c r="B1138" s="1" t="n">
        <v>45054</v>
      </c>
      <c r="C1138" s="1" t="n">
        <v>45672</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19952-2023</t>
        </is>
      </c>
      <c r="B1139" s="1" t="n">
        <v>45054</v>
      </c>
      <c r="C1139" s="1" t="n">
        <v>45672</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20004-2023</t>
        </is>
      </c>
      <c r="B1140" s="1" t="n">
        <v>45054</v>
      </c>
      <c r="C1140" s="1" t="n">
        <v>45672</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20015-2023</t>
        </is>
      </c>
      <c r="B1141" s="1" t="n">
        <v>45054</v>
      </c>
      <c r="C1141" s="1" t="n">
        <v>45672</v>
      </c>
      <c r="D1141" t="inlineStr">
        <is>
          <t>STOCKHOLMS LÄN</t>
        </is>
      </c>
      <c r="E1141" t="inlineStr">
        <is>
          <t>NORRTÄLJE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20144-2023</t>
        </is>
      </c>
      <c r="B1142" s="1" t="n">
        <v>45055</v>
      </c>
      <c r="C1142" s="1" t="n">
        <v>45672</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20304-2023</t>
        </is>
      </c>
      <c r="B1143" s="1" t="n">
        <v>45056</v>
      </c>
      <c r="C1143" s="1" t="n">
        <v>45672</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20535-2023</t>
        </is>
      </c>
      <c r="B1144" s="1" t="n">
        <v>45057</v>
      </c>
      <c r="C1144" s="1" t="n">
        <v>45672</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20852-2023</t>
        </is>
      </c>
      <c r="B1145" s="1" t="n">
        <v>45058</v>
      </c>
      <c r="C1145" s="1" t="n">
        <v>45672</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21237-2023</t>
        </is>
      </c>
      <c r="B1146" s="1" t="n">
        <v>45062</v>
      </c>
      <c r="C1146" s="1" t="n">
        <v>45672</v>
      </c>
      <c r="D1146" t="inlineStr">
        <is>
          <t>STOCKHOLMS LÄN</t>
        </is>
      </c>
      <c r="E1146" t="inlineStr">
        <is>
          <t>NORRTÄLJE</t>
        </is>
      </c>
      <c r="F1146" t="inlineStr">
        <is>
          <t>Övriga Aktiebolag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21386-2023</t>
        </is>
      </c>
      <c r="B1147" s="1" t="n">
        <v>45063</v>
      </c>
      <c r="C1147" s="1" t="n">
        <v>45672</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21435-2023</t>
        </is>
      </c>
      <c r="B1148" s="1" t="n">
        <v>45063</v>
      </c>
      <c r="C1148" s="1" t="n">
        <v>45672</v>
      </c>
      <c r="D1148" t="inlineStr">
        <is>
          <t>STOCKHOLMS LÄN</t>
        </is>
      </c>
      <c r="E1148" t="inlineStr">
        <is>
          <t>NORRTÄLJE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21732-2023</t>
        </is>
      </c>
      <c r="B1149" s="1" t="n">
        <v>45063</v>
      </c>
      <c r="C1149" s="1" t="n">
        <v>45672</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21733-2023</t>
        </is>
      </c>
      <c r="B1150" s="1" t="n">
        <v>45063</v>
      </c>
      <c r="C1150" s="1" t="n">
        <v>45672</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21731-2023</t>
        </is>
      </c>
      <c r="B1151" s="1" t="n">
        <v>45063</v>
      </c>
      <c r="C1151" s="1" t="n">
        <v>45672</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21718-2023</t>
        </is>
      </c>
      <c r="B1152" s="1" t="n">
        <v>45065</v>
      </c>
      <c r="C1152" s="1" t="n">
        <v>45672</v>
      </c>
      <c r="D1152" t="inlineStr">
        <is>
          <t>STOCKHOLMS LÄN</t>
        </is>
      </c>
      <c r="E1152" t="inlineStr">
        <is>
          <t>NORRTÄLJE</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21719-2023</t>
        </is>
      </c>
      <c r="B1153" s="1" t="n">
        <v>45065</v>
      </c>
      <c r="C1153" s="1" t="n">
        <v>45672</v>
      </c>
      <c r="D1153" t="inlineStr">
        <is>
          <t>STOCKHOLMS LÄN</t>
        </is>
      </c>
      <c r="E1153" t="inlineStr">
        <is>
          <t>NORRTÄLJE</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21745-2023</t>
        </is>
      </c>
      <c r="B1154" s="1" t="n">
        <v>45065</v>
      </c>
      <c r="C1154" s="1" t="n">
        <v>45672</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21720-2023</t>
        </is>
      </c>
      <c r="B1155" s="1" t="n">
        <v>45065</v>
      </c>
      <c r="C1155" s="1" t="n">
        <v>45672</v>
      </c>
      <c r="D1155" t="inlineStr">
        <is>
          <t>STOCKHOLMS LÄN</t>
        </is>
      </c>
      <c r="E1155" t="inlineStr">
        <is>
          <t>NORRTÄLJE</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21716-2023</t>
        </is>
      </c>
      <c r="B1156" s="1" t="n">
        <v>45065</v>
      </c>
      <c r="C1156" s="1" t="n">
        <v>45672</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21894-2023</t>
        </is>
      </c>
      <c r="B1157" s="1" t="n">
        <v>45068</v>
      </c>
      <c r="C1157" s="1" t="n">
        <v>45672</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21832-2023</t>
        </is>
      </c>
      <c r="B1158" s="1" t="n">
        <v>45068</v>
      </c>
      <c r="C1158" s="1" t="n">
        <v>45672</v>
      </c>
      <c r="D1158" t="inlineStr">
        <is>
          <t>STOCKHOLMS LÄN</t>
        </is>
      </c>
      <c r="E1158" t="inlineStr">
        <is>
          <t>NORRTÄLJE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21825-2023</t>
        </is>
      </c>
      <c r="B1159" s="1" t="n">
        <v>45068</v>
      </c>
      <c r="C1159" s="1" t="n">
        <v>45672</v>
      </c>
      <c r="D1159" t="inlineStr">
        <is>
          <t>STOCKHOLMS LÄN</t>
        </is>
      </c>
      <c r="E1159" t="inlineStr">
        <is>
          <t>NORRTÄLJE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21897-2023</t>
        </is>
      </c>
      <c r="B1160" s="1" t="n">
        <v>45068</v>
      </c>
      <c r="C1160" s="1" t="n">
        <v>45672</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21993-2023</t>
        </is>
      </c>
      <c r="B1161" s="1" t="n">
        <v>45068</v>
      </c>
      <c r="C1161" s="1" t="n">
        <v>45672</v>
      </c>
      <c r="D1161" t="inlineStr">
        <is>
          <t>STOCKHOLMS LÄN</t>
        </is>
      </c>
      <c r="E1161" t="inlineStr">
        <is>
          <t>NORRTÄLJE</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21961-2023</t>
        </is>
      </c>
      <c r="B1162" s="1" t="n">
        <v>45068</v>
      </c>
      <c r="C1162" s="1" t="n">
        <v>45672</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22157-2023</t>
        </is>
      </c>
      <c r="B1163" s="1" t="n">
        <v>45069</v>
      </c>
      <c r="C1163" s="1" t="n">
        <v>45672</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c r="U1163">
        <f>HYPERLINK("https://klasma.github.io/Logging_0188/knärot/A 22157-2023 karta knärot.png", "A 22157-2023")</f>
        <v/>
      </c>
      <c r="V1163">
        <f>HYPERLINK("https://klasma.github.io/Logging_0188/klagomål/A 22157-2023 FSC-klagomål.docx", "A 22157-2023")</f>
        <v/>
      </c>
      <c r="W1163">
        <f>HYPERLINK("https://klasma.github.io/Logging_0188/klagomålsmail/A 22157-2023 FSC-klagomål mail.docx", "A 22157-2023")</f>
        <v/>
      </c>
      <c r="X1163">
        <f>HYPERLINK("https://klasma.github.io/Logging_0188/tillsyn/A 22157-2023 tillsynsbegäran.docx", "A 22157-2023")</f>
        <v/>
      </c>
      <c r="Y1163">
        <f>HYPERLINK("https://klasma.github.io/Logging_0188/tillsynsmail/A 22157-2023 tillsynsbegäran mail.docx", "A 22157-2023")</f>
        <v/>
      </c>
    </row>
    <row r="1164" ht="15" customHeight="1">
      <c r="A1164" t="inlineStr">
        <is>
          <t>A 22175-2023</t>
        </is>
      </c>
      <c r="B1164" s="1" t="n">
        <v>45069</v>
      </c>
      <c r="C1164" s="1" t="n">
        <v>45672</v>
      </c>
      <c r="D1164" t="inlineStr">
        <is>
          <t>STOCKHOLMS LÄN</t>
        </is>
      </c>
      <c r="E1164" t="inlineStr">
        <is>
          <t>NORRTÄLJE</t>
        </is>
      </c>
      <c r="G1164" t="n">
        <v>32.7</v>
      </c>
      <c r="H1164" t="n">
        <v>0</v>
      </c>
      <c r="I1164" t="n">
        <v>0</v>
      </c>
      <c r="J1164" t="n">
        <v>0</v>
      </c>
      <c r="K1164" t="n">
        <v>0</v>
      </c>
      <c r="L1164" t="n">
        <v>0</v>
      </c>
      <c r="M1164" t="n">
        <v>0</v>
      </c>
      <c r="N1164" t="n">
        <v>0</v>
      </c>
      <c r="O1164" t="n">
        <v>0</v>
      </c>
      <c r="P1164" t="n">
        <v>0</v>
      </c>
      <c r="Q1164" t="n">
        <v>0</v>
      </c>
      <c r="R1164" s="2" t="inlineStr"/>
    </row>
    <row r="1165" ht="15" customHeight="1">
      <c r="A1165" t="inlineStr">
        <is>
          <t>A 22249-2023</t>
        </is>
      </c>
      <c r="B1165" s="1" t="n">
        <v>45070</v>
      </c>
      <c r="C1165" s="1" t="n">
        <v>45672</v>
      </c>
      <c r="D1165" t="inlineStr">
        <is>
          <t>STOCKHOLMS LÄN</t>
        </is>
      </c>
      <c r="E1165" t="inlineStr">
        <is>
          <t>NORRTÄLJE</t>
        </is>
      </c>
      <c r="F1165" t="inlineStr">
        <is>
          <t>Övriga Aktiebolag</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22398-2023</t>
        </is>
      </c>
      <c r="B1166" s="1" t="n">
        <v>45070</v>
      </c>
      <c r="C1166" s="1" t="n">
        <v>45672</v>
      </c>
      <c r="D1166" t="inlineStr">
        <is>
          <t>STOCKHOLMS LÄN</t>
        </is>
      </c>
      <c r="E1166" t="inlineStr">
        <is>
          <t>NORRTÄLJE</t>
        </is>
      </c>
      <c r="F1166" t="inlineStr">
        <is>
          <t>Övriga Aktiebolag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22376-2023</t>
        </is>
      </c>
      <c r="B1167" s="1" t="n">
        <v>45070</v>
      </c>
      <c r="C1167" s="1" t="n">
        <v>45672</v>
      </c>
      <c r="D1167" t="inlineStr">
        <is>
          <t>STOCKHOLMS LÄN</t>
        </is>
      </c>
      <c r="E1167" t="inlineStr">
        <is>
          <t>NORRTÄLJE</t>
        </is>
      </c>
      <c r="F1167" t="inlineStr">
        <is>
          <t>Kommuner</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22456-2023</t>
        </is>
      </c>
      <c r="B1168" s="1" t="n">
        <v>45070</v>
      </c>
      <c r="C1168" s="1" t="n">
        <v>45672</v>
      </c>
      <c r="D1168" t="inlineStr">
        <is>
          <t>STOCKHOLMS LÄN</t>
        </is>
      </c>
      <c r="E1168" t="inlineStr">
        <is>
          <t>NORRTÄLJE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22378-2023</t>
        </is>
      </c>
      <c r="B1169" s="1" t="n">
        <v>45070</v>
      </c>
      <c r="C1169" s="1" t="n">
        <v>45672</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22406-2023</t>
        </is>
      </c>
      <c r="B1170" s="1" t="n">
        <v>45070</v>
      </c>
      <c r="C1170" s="1" t="n">
        <v>45672</v>
      </c>
      <c r="D1170" t="inlineStr">
        <is>
          <t>STOCKHOLMS LÄN</t>
        </is>
      </c>
      <c r="E1170" t="inlineStr">
        <is>
          <t>NORRTÄLJE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22553-2023</t>
        </is>
      </c>
      <c r="B1171" s="1" t="n">
        <v>45071</v>
      </c>
      <c r="C1171" s="1" t="n">
        <v>45672</v>
      </c>
      <c r="D1171" t="inlineStr">
        <is>
          <t>STOCKHOLMS LÄN</t>
        </is>
      </c>
      <c r="E1171" t="inlineStr">
        <is>
          <t>NORRTÄLJE</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22962-2023</t>
        </is>
      </c>
      <c r="B1172" s="1" t="n">
        <v>45072</v>
      </c>
      <c r="C1172" s="1" t="n">
        <v>45672</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23056-2023</t>
        </is>
      </c>
      <c r="B1173" s="1" t="n">
        <v>45075</v>
      </c>
      <c r="C1173" s="1" t="n">
        <v>45672</v>
      </c>
      <c r="D1173" t="inlineStr">
        <is>
          <t>STOCKHOLMS LÄN</t>
        </is>
      </c>
      <c r="E1173" t="inlineStr">
        <is>
          <t>NORRTÄLJE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23060-2023</t>
        </is>
      </c>
      <c r="B1174" s="1" t="n">
        <v>45075</v>
      </c>
      <c r="C1174" s="1" t="n">
        <v>45672</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23070-2023</t>
        </is>
      </c>
      <c r="B1175" s="1" t="n">
        <v>45075</v>
      </c>
      <c r="C1175" s="1" t="n">
        <v>45672</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23130-2023</t>
        </is>
      </c>
      <c r="B1176" s="1" t="n">
        <v>45075</v>
      </c>
      <c r="C1176" s="1" t="n">
        <v>45672</v>
      </c>
      <c r="D1176" t="inlineStr">
        <is>
          <t>STOCKHOLMS LÄN</t>
        </is>
      </c>
      <c r="E1176" t="inlineStr">
        <is>
          <t>NORRTÄLJE</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23265-2023</t>
        </is>
      </c>
      <c r="B1177" s="1" t="n">
        <v>45075</v>
      </c>
      <c r="C1177" s="1" t="n">
        <v>45672</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23269-2023</t>
        </is>
      </c>
      <c r="B1178" s="1" t="n">
        <v>45075</v>
      </c>
      <c r="C1178" s="1" t="n">
        <v>45672</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23273-2023</t>
        </is>
      </c>
      <c r="B1179" s="1" t="n">
        <v>45076</v>
      </c>
      <c r="C1179" s="1" t="n">
        <v>45672</v>
      </c>
      <c r="D1179" t="inlineStr">
        <is>
          <t>STOCKHOLMS LÄN</t>
        </is>
      </c>
      <c r="E1179" t="inlineStr">
        <is>
          <t>NORRTÄLJE</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23134-2023</t>
        </is>
      </c>
      <c r="B1180" s="1" t="n">
        <v>45075</v>
      </c>
      <c r="C1180" s="1" t="n">
        <v>45672</v>
      </c>
      <c r="D1180" t="inlineStr">
        <is>
          <t>STOCKHOLMS LÄN</t>
        </is>
      </c>
      <c r="E1180" t="inlineStr">
        <is>
          <t>NORRTÄLJE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23263-2023</t>
        </is>
      </c>
      <c r="B1181" s="1" t="n">
        <v>45075</v>
      </c>
      <c r="C1181" s="1" t="n">
        <v>45672</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23267-2023</t>
        </is>
      </c>
      <c r="B1182" s="1" t="n">
        <v>45075</v>
      </c>
      <c r="C1182" s="1" t="n">
        <v>45672</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23271-2023</t>
        </is>
      </c>
      <c r="B1183" s="1" t="n">
        <v>45075</v>
      </c>
      <c r="C1183" s="1" t="n">
        <v>45672</v>
      </c>
      <c r="D1183" t="inlineStr">
        <is>
          <t>STOCKHOLMS LÄN</t>
        </is>
      </c>
      <c r="E1183" t="inlineStr">
        <is>
          <t>NORRTÄLJE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23264-2023</t>
        </is>
      </c>
      <c r="B1184" s="1" t="n">
        <v>45075</v>
      </c>
      <c r="C1184" s="1" t="n">
        <v>45672</v>
      </c>
      <c r="D1184" t="inlineStr">
        <is>
          <t>STOCKHOLMS LÄN</t>
        </is>
      </c>
      <c r="E1184" t="inlineStr">
        <is>
          <t>NORRTÄLJE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23268-2023</t>
        </is>
      </c>
      <c r="B1185" s="1" t="n">
        <v>45075</v>
      </c>
      <c r="C1185" s="1" t="n">
        <v>45672</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23272-2023</t>
        </is>
      </c>
      <c r="B1186" s="1" t="n">
        <v>45075</v>
      </c>
      <c r="C1186" s="1" t="n">
        <v>45672</v>
      </c>
      <c r="D1186" t="inlineStr">
        <is>
          <t>STOCKHOLMS LÄN</t>
        </is>
      </c>
      <c r="E1186" t="inlineStr">
        <is>
          <t>NORRTÄLJE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23262-2023</t>
        </is>
      </c>
      <c r="B1187" s="1" t="n">
        <v>45075</v>
      </c>
      <c r="C1187" s="1" t="n">
        <v>45672</v>
      </c>
      <c r="D1187" t="inlineStr">
        <is>
          <t>STOCKHOLMS LÄN</t>
        </is>
      </c>
      <c r="E1187" t="inlineStr">
        <is>
          <t>NORRTÄLJE</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23266-2023</t>
        </is>
      </c>
      <c r="B1188" s="1" t="n">
        <v>45075</v>
      </c>
      <c r="C1188" s="1" t="n">
        <v>45672</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23270-2023</t>
        </is>
      </c>
      <c r="B1189" s="1" t="n">
        <v>45075</v>
      </c>
      <c r="C1189" s="1" t="n">
        <v>45672</v>
      </c>
      <c r="D1189" t="inlineStr">
        <is>
          <t>STOCKHOLMS LÄN</t>
        </is>
      </c>
      <c r="E1189" t="inlineStr">
        <is>
          <t>NORRTÄLJE</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23274-2023</t>
        </is>
      </c>
      <c r="B1190" s="1" t="n">
        <v>45076</v>
      </c>
      <c r="C1190" s="1" t="n">
        <v>45672</v>
      </c>
      <c r="D1190" t="inlineStr">
        <is>
          <t>STOCKHOLMS LÄN</t>
        </is>
      </c>
      <c r="E1190" t="inlineStr">
        <is>
          <t>NORRTÄLJE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23699-2023</t>
        </is>
      </c>
      <c r="B1191" s="1" t="n">
        <v>45077</v>
      </c>
      <c r="C1191" s="1" t="n">
        <v>45672</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24129-2023</t>
        </is>
      </c>
      <c r="B1192" s="1" t="n">
        <v>45079</v>
      </c>
      <c r="C1192" s="1" t="n">
        <v>45672</v>
      </c>
      <c r="D1192" t="inlineStr">
        <is>
          <t>STOCKHOLMS LÄN</t>
        </is>
      </c>
      <c r="E1192" t="inlineStr">
        <is>
          <t>NORRTÄLJE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24330-2023</t>
        </is>
      </c>
      <c r="B1193" s="1" t="n">
        <v>45081</v>
      </c>
      <c r="C1193" s="1" t="n">
        <v>45672</v>
      </c>
      <c r="D1193" t="inlineStr">
        <is>
          <t>STOCKHOLMS LÄN</t>
        </is>
      </c>
      <c r="E1193" t="inlineStr">
        <is>
          <t>NORRTÄLJE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24520-2023</t>
        </is>
      </c>
      <c r="B1194" s="1" t="n">
        <v>45082</v>
      </c>
      <c r="C1194" s="1" t="n">
        <v>45672</v>
      </c>
      <c r="D1194" t="inlineStr">
        <is>
          <t>STOCKHOLMS LÄN</t>
        </is>
      </c>
      <c r="E1194" t="inlineStr">
        <is>
          <t>NORRTÄLJE</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24501-2023</t>
        </is>
      </c>
      <c r="B1195" s="1" t="n">
        <v>45082</v>
      </c>
      <c r="C1195" s="1" t="n">
        <v>45672</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24522-2023</t>
        </is>
      </c>
      <c r="B1196" s="1" t="n">
        <v>45082</v>
      </c>
      <c r="C1196" s="1" t="n">
        <v>45672</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24705-2023</t>
        </is>
      </c>
      <c r="B1197" s="1" t="n">
        <v>45084</v>
      </c>
      <c r="C1197" s="1" t="n">
        <v>45672</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24727-2023</t>
        </is>
      </c>
      <c r="B1198" s="1" t="n">
        <v>45084</v>
      </c>
      <c r="C1198" s="1" t="n">
        <v>45672</v>
      </c>
      <c r="D1198" t="inlineStr">
        <is>
          <t>STOCKHOLMS LÄN</t>
        </is>
      </c>
      <c r="E1198" t="inlineStr">
        <is>
          <t>NORRTÄLJE</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24788-2023</t>
        </is>
      </c>
      <c r="B1199" s="1" t="n">
        <v>45084</v>
      </c>
      <c r="C1199" s="1" t="n">
        <v>45672</v>
      </c>
      <c r="D1199" t="inlineStr">
        <is>
          <t>STOCKHOLMS LÄN</t>
        </is>
      </c>
      <c r="E1199" t="inlineStr">
        <is>
          <t>NORRTÄLJE</t>
        </is>
      </c>
      <c r="F1199" t="inlineStr">
        <is>
          <t>Sveaskog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24789-2023</t>
        </is>
      </c>
      <c r="B1200" s="1" t="n">
        <v>45084</v>
      </c>
      <c r="C1200" s="1" t="n">
        <v>45672</v>
      </c>
      <c r="D1200" t="inlineStr">
        <is>
          <t>STOCKHOLMS LÄN</t>
        </is>
      </c>
      <c r="E1200" t="inlineStr">
        <is>
          <t>NORRTÄLJE</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24887-2023</t>
        </is>
      </c>
      <c r="B1201" s="1" t="n">
        <v>45085</v>
      </c>
      <c r="C1201" s="1" t="n">
        <v>45672</v>
      </c>
      <c r="D1201" t="inlineStr">
        <is>
          <t>STOCKHOLMS LÄN</t>
        </is>
      </c>
      <c r="E1201" t="inlineStr">
        <is>
          <t>NORRTÄLJE</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24933-2023</t>
        </is>
      </c>
      <c r="B1202" s="1" t="n">
        <v>45085</v>
      </c>
      <c r="C1202" s="1" t="n">
        <v>45672</v>
      </c>
      <c r="D1202" t="inlineStr">
        <is>
          <t>STOCKHOLMS LÄN</t>
        </is>
      </c>
      <c r="E1202" t="inlineStr">
        <is>
          <t>NORRTÄLJE</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25174-2023</t>
        </is>
      </c>
      <c r="B1203" s="1" t="n">
        <v>45086</v>
      </c>
      <c r="C1203" s="1" t="n">
        <v>45672</v>
      </c>
      <c r="D1203" t="inlineStr">
        <is>
          <t>STOCKHOLMS LÄN</t>
        </is>
      </c>
      <c r="E1203" t="inlineStr">
        <is>
          <t>NORRTÄLJE</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25094-2023</t>
        </is>
      </c>
      <c r="B1204" s="1" t="n">
        <v>45086</v>
      </c>
      <c r="C1204" s="1" t="n">
        <v>45672</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25257-2023</t>
        </is>
      </c>
      <c r="B1205" s="1" t="n">
        <v>45086</v>
      </c>
      <c r="C1205" s="1" t="n">
        <v>45672</v>
      </c>
      <c r="D1205" t="inlineStr">
        <is>
          <t>STOCKHOLMS LÄN</t>
        </is>
      </c>
      <c r="E1205" t="inlineStr">
        <is>
          <t>NORRTÄLJE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25614-2023</t>
        </is>
      </c>
      <c r="B1206" s="1" t="n">
        <v>45089</v>
      </c>
      <c r="C1206" s="1" t="n">
        <v>45672</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25625-2023</t>
        </is>
      </c>
      <c r="B1207" s="1" t="n">
        <v>45089</v>
      </c>
      <c r="C1207" s="1" t="n">
        <v>45672</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25557-2023</t>
        </is>
      </c>
      <c r="B1208" s="1" t="n">
        <v>45089</v>
      </c>
      <c r="C1208" s="1" t="n">
        <v>45672</v>
      </c>
      <c r="D1208" t="inlineStr">
        <is>
          <t>STOCKHOLMS LÄN</t>
        </is>
      </c>
      <c r="E1208" t="inlineStr">
        <is>
          <t>NORRTÄLJE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25609-2023</t>
        </is>
      </c>
      <c r="B1209" s="1" t="n">
        <v>45089</v>
      </c>
      <c r="C1209" s="1" t="n">
        <v>45672</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25618-2023</t>
        </is>
      </c>
      <c r="B1210" s="1" t="n">
        <v>45089</v>
      </c>
      <c r="C1210" s="1" t="n">
        <v>45672</v>
      </c>
      <c r="D1210" t="inlineStr">
        <is>
          <t>STOCKHOLMS LÄN</t>
        </is>
      </c>
      <c r="E1210" t="inlineStr">
        <is>
          <t>NORRTÄLJE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25656-2023</t>
        </is>
      </c>
      <c r="B1211" s="1" t="n">
        <v>45089</v>
      </c>
      <c r="C1211" s="1" t="n">
        <v>45672</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25654-2023</t>
        </is>
      </c>
      <c r="B1212" s="1" t="n">
        <v>45089</v>
      </c>
      <c r="C1212" s="1" t="n">
        <v>45672</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25831-2023</t>
        </is>
      </c>
      <c r="B1213" s="1" t="n">
        <v>45090</v>
      </c>
      <c r="C1213" s="1" t="n">
        <v>45672</v>
      </c>
      <c r="D1213" t="inlineStr">
        <is>
          <t>STOCKHOLMS LÄN</t>
        </is>
      </c>
      <c r="E1213" t="inlineStr">
        <is>
          <t>NORRTÄLJE</t>
        </is>
      </c>
      <c r="F1213" t="inlineStr">
        <is>
          <t>Övriga Aktiebolag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25915-2023</t>
        </is>
      </c>
      <c r="B1214" s="1" t="n">
        <v>45090</v>
      </c>
      <c r="C1214" s="1" t="n">
        <v>45672</v>
      </c>
      <c r="D1214" t="inlineStr">
        <is>
          <t>STOCKHOLMS LÄN</t>
        </is>
      </c>
      <c r="E1214" t="inlineStr">
        <is>
          <t>NORRTÄLJE</t>
        </is>
      </c>
      <c r="F1214" t="inlineStr">
        <is>
          <t>Naturvårdsverket</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26065-2023</t>
        </is>
      </c>
      <c r="B1215" s="1" t="n">
        <v>45091</v>
      </c>
      <c r="C1215" s="1" t="n">
        <v>45672</v>
      </c>
      <c r="D1215" t="inlineStr">
        <is>
          <t>STOCKHOLMS LÄN</t>
        </is>
      </c>
      <c r="E1215" t="inlineStr">
        <is>
          <t>NORRTÄLJE</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26315-2023</t>
        </is>
      </c>
      <c r="B1216" s="1" t="n">
        <v>45091</v>
      </c>
      <c r="C1216" s="1" t="n">
        <v>45672</v>
      </c>
      <c r="D1216" t="inlineStr">
        <is>
          <t>STOCKHOLMS LÄN</t>
        </is>
      </c>
      <c r="E1216" t="inlineStr">
        <is>
          <t>NORRTÄLJE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26570-2023</t>
        </is>
      </c>
      <c r="B1217" s="1" t="n">
        <v>45092</v>
      </c>
      <c r="C1217" s="1" t="n">
        <v>45672</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26636-2023</t>
        </is>
      </c>
      <c r="B1218" s="1" t="n">
        <v>45092</v>
      </c>
      <c r="C1218" s="1" t="n">
        <v>45672</v>
      </c>
      <c r="D1218" t="inlineStr">
        <is>
          <t>STOCKHOLMS LÄN</t>
        </is>
      </c>
      <c r="E1218" t="inlineStr">
        <is>
          <t>NORRTÄLJE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26640-2023</t>
        </is>
      </c>
      <c r="B1219" s="1" t="n">
        <v>45092</v>
      </c>
      <c r="C1219" s="1" t="n">
        <v>45672</v>
      </c>
      <c r="D1219" t="inlineStr">
        <is>
          <t>STOCKHOLMS LÄN</t>
        </is>
      </c>
      <c r="E1219" t="inlineStr">
        <is>
          <t>NORRTÄLJE</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26637-2023</t>
        </is>
      </c>
      <c r="B1220" s="1" t="n">
        <v>45092</v>
      </c>
      <c r="C1220" s="1" t="n">
        <v>45672</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26639-2023</t>
        </is>
      </c>
      <c r="B1221" s="1" t="n">
        <v>45092</v>
      </c>
      <c r="C1221" s="1" t="n">
        <v>45672</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27651-2023</t>
        </is>
      </c>
      <c r="B1222" s="1" t="n">
        <v>45097</v>
      </c>
      <c r="C1222" s="1" t="n">
        <v>45672</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28281-2023</t>
        </is>
      </c>
      <c r="B1223" s="1" t="n">
        <v>45099</v>
      </c>
      <c r="C1223" s="1" t="n">
        <v>45672</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28820-2023</t>
        </is>
      </c>
      <c r="B1224" s="1" t="n">
        <v>45104</v>
      </c>
      <c r="C1224" s="1" t="n">
        <v>45672</v>
      </c>
      <c r="D1224" t="inlineStr">
        <is>
          <t>STOCKHOLMS LÄN</t>
        </is>
      </c>
      <c r="E1224" t="inlineStr">
        <is>
          <t>NORRTÄLJE</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28813-2023</t>
        </is>
      </c>
      <c r="B1225" s="1" t="n">
        <v>45104</v>
      </c>
      <c r="C1225" s="1" t="n">
        <v>45672</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29003-2023</t>
        </is>
      </c>
      <c r="B1226" s="1" t="n">
        <v>45104</v>
      </c>
      <c r="C1226" s="1" t="n">
        <v>45672</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28816-2023</t>
        </is>
      </c>
      <c r="B1227" s="1" t="n">
        <v>45104</v>
      </c>
      <c r="C1227" s="1" t="n">
        <v>45672</v>
      </c>
      <c r="D1227" t="inlineStr">
        <is>
          <t>STOCKHOLMS LÄN</t>
        </is>
      </c>
      <c r="E1227" t="inlineStr">
        <is>
          <t>NORRTÄLJE</t>
        </is>
      </c>
      <c r="F1227" t="inlineStr">
        <is>
          <t>Kommuner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28809-2023</t>
        </is>
      </c>
      <c r="B1228" s="1" t="n">
        <v>45104</v>
      </c>
      <c r="C1228" s="1" t="n">
        <v>45672</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29254-2023</t>
        </is>
      </c>
      <c r="B1229" s="1" t="n">
        <v>45105</v>
      </c>
      <c r="C1229" s="1" t="n">
        <v>45672</v>
      </c>
      <c r="D1229" t="inlineStr">
        <is>
          <t>STOCKHOLMS LÄN</t>
        </is>
      </c>
      <c r="E1229" t="inlineStr">
        <is>
          <t>NORRTÄLJE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29433-2023</t>
        </is>
      </c>
      <c r="B1230" s="1" t="n">
        <v>45106</v>
      </c>
      <c r="C1230" s="1" t="n">
        <v>45672</v>
      </c>
      <c r="D1230" t="inlineStr">
        <is>
          <t>STOCKHOLMS LÄN</t>
        </is>
      </c>
      <c r="E1230" t="inlineStr">
        <is>
          <t>NORRTÄLJE</t>
        </is>
      </c>
      <c r="F1230" t="inlineStr">
        <is>
          <t>Övriga Aktiebolag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29681-2023</t>
        </is>
      </c>
      <c r="B1231" s="1" t="n">
        <v>45107</v>
      </c>
      <c r="C1231" s="1" t="n">
        <v>45672</v>
      </c>
      <c r="D1231" t="inlineStr">
        <is>
          <t>STOCKHOLMS LÄN</t>
        </is>
      </c>
      <c r="E1231" t="inlineStr">
        <is>
          <t>NORRTÄLJE</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29710-2023</t>
        </is>
      </c>
      <c r="B1232" s="1" t="n">
        <v>45107</v>
      </c>
      <c r="C1232" s="1" t="n">
        <v>45672</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29714-2023</t>
        </is>
      </c>
      <c r="B1233" s="1" t="n">
        <v>45107</v>
      </c>
      <c r="C1233" s="1" t="n">
        <v>45672</v>
      </c>
      <c r="D1233" t="inlineStr">
        <is>
          <t>STOCKHOLMS LÄN</t>
        </is>
      </c>
      <c r="E1233" t="inlineStr">
        <is>
          <t>NORRTÄLJE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30116-2023</t>
        </is>
      </c>
      <c r="B1234" s="1" t="n">
        <v>45110</v>
      </c>
      <c r="C1234" s="1" t="n">
        <v>45672</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30281-2023</t>
        </is>
      </c>
      <c r="B1235" s="1" t="n">
        <v>45110</v>
      </c>
      <c r="C1235" s="1" t="n">
        <v>45672</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30508-2023</t>
        </is>
      </c>
      <c r="B1236" s="1" t="n">
        <v>45111</v>
      </c>
      <c r="C1236" s="1" t="n">
        <v>45672</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30496-2023</t>
        </is>
      </c>
      <c r="B1237" s="1" t="n">
        <v>45111</v>
      </c>
      <c r="C1237" s="1" t="n">
        <v>45672</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30516-2023</t>
        </is>
      </c>
      <c r="B1238" s="1" t="n">
        <v>45111</v>
      </c>
      <c r="C1238" s="1" t="n">
        <v>45672</v>
      </c>
      <c r="D1238" t="inlineStr">
        <is>
          <t>STOCKHOLMS LÄN</t>
        </is>
      </c>
      <c r="E1238" t="inlineStr">
        <is>
          <t>NORRTÄLJE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30525-2023</t>
        </is>
      </c>
      <c r="B1239" s="1" t="n">
        <v>45111</v>
      </c>
      <c r="C1239" s="1" t="n">
        <v>45672</v>
      </c>
      <c r="D1239" t="inlineStr">
        <is>
          <t>STOCKHOLMS LÄN</t>
        </is>
      </c>
      <c r="E1239" t="inlineStr">
        <is>
          <t>NORRTÄLJE</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30424-2023</t>
        </is>
      </c>
      <c r="B1240" s="1" t="n">
        <v>45111</v>
      </c>
      <c r="C1240" s="1" t="n">
        <v>45672</v>
      </c>
      <c r="D1240" t="inlineStr">
        <is>
          <t>STOCKHOLMS LÄN</t>
        </is>
      </c>
      <c r="E1240" t="inlineStr">
        <is>
          <t>NORRTÄLJE</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30425-2023</t>
        </is>
      </c>
      <c r="B1241" s="1" t="n">
        <v>45111</v>
      </c>
      <c r="C1241" s="1" t="n">
        <v>45672</v>
      </c>
      <c r="D1241" t="inlineStr">
        <is>
          <t>STOCKHOLMS LÄN</t>
        </is>
      </c>
      <c r="E1241" t="inlineStr">
        <is>
          <t>NORRTÄLJE</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30731-2023</t>
        </is>
      </c>
      <c r="B1242" s="1" t="n">
        <v>45112</v>
      </c>
      <c r="C1242" s="1" t="n">
        <v>45672</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30663-2023</t>
        </is>
      </c>
      <c r="B1243" s="1" t="n">
        <v>45112</v>
      </c>
      <c r="C1243" s="1" t="n">
        <v>45672</v>
      </c>
      <c r="D1243" t="inlineStr">
        <is>
          <t>STOCKHOLMS LÄN</t>
        </is>
      </c>
      <c r="E1243" t="inlineStr">
        <is>
          <t>NORRTÄLJE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30780-2023</t>
        </is>
      </c>
      <c r="B1244" s="1" t="n">
        <v>45112</v>
      </c>
      <c r="C1244" s="1" t="n">
        <v>45672</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30773-2023</t>
        </is>
      </c>
      <c r="B1245" s="1" t="n">
        <v>45112</v>
      </c>
      <c r="C1245" s="1" t="n">
        <v>45672</v>
      </c>
      <c r="D1245" t="inlineStr">
        <is>
          <t>STOCKHOLMS LÄN</t>
        </is>
      </c>
      <c r="E1245" t="inlineStr">
        <is>
          <t>NORRTÄLJE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30924-2023</t>
        </is>
      </c>
      <c r="B1246" s="1" t="n">
        <v>45113</v>
      </c>
      <c r="C1246" s="1" t="n">
        <v>45672</v>
      </c>
      <c r="D1246" t="inlineStr">
        <is>
          <t>STOCKHOLMS LÄN</t>
        </is>
      </c>
      <c r="E1246" t="inlineStr">
        <is>
          <t>NORRTÄLJE</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30923-2023</t>
        </is>
      </c>
      <c r="B1247" s="1" t="n">
        <v>45113</v>
      </c>
      <c r="C1247" s="1" t="n">
        <v>45672</v>
      </c>
      <c r="D1247" t="inlineStr">
        <is>
          <t>STOCKHOLMS LÄN</t>
        </is>
      </c>
      <c r="E1247" t="inlineStr">
        <is>
          <t>NORRTÄLJE</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31140-2023</t>
        </is>
      </c>
      <c r="B1248" s="1" t="n">
        <v>45113</v>
      </c>
      <c r="C1248" s="1" t="n">
        <v>45672</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30921-2023</t>
        </is>
      </c>
      <c r="B1249" s="1" t="n">
        <v>45113</v>
      </c>
      <c r="C1249" s="1" t="n">
        <v>45672</v>
      </c>
      <c r="D1249" t="inlineStr">
        <is>
          <t>STOCKHOLMS LÄN</t>
        </is>
      </c>
      <c r="E1249" t="inlineStr">
        <is>
          <t>NORRTÄLJE</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31149-2023</t>
        </is>
      </c>
      <c r="B1250" s="1" t="n">
        <v>45113</v>
      </c>
      <c r="C1250" s="1" t="n">
        <v>45672</v>
      </c>
      <c r="D1250" t="inlineStr">
        <is>
          <t>STOCKHOLMS LÄN</t>
        </is>
      </c>
      <c r="E1250" t="inlineStr">
        <is>
          <t>NORRTÄLJE</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31153-2023</t>
        </is>
      </c>
      <c r="B1251" s="1" t="n">
        <v>45113</v>
      </c>
      <c r="C1251" s="1" t="n">
        <v>45672</v>
      </c>
      <c r="D1251" t="inlineStr">
        <is>
          <t>STOCKHOLMS LÄN</t>
        </is>
      </c>
      <c r="E1251" t="inlineStr">
        <is>
          <t>NORRTÄLJE</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31827-2023</t>
        </is>
      </c>
      <c r="B1252" s="1" t="n">
        <v>45118</v>
      </c>
      <c r="C1252" s="1" t="n">
        <v>45672</v>
      </c>
      <c r="D1252" t="inlineStr">
        <is>
          <t>STOCKHOLMS LÄN</t>
        </is>
      </c>
      <c r="E1252" t="inlineStr">
        <is>
          <t>NORRTÄLJE</t>
        </is>
      </c>
      <c r="F1252" t="inlineStr">
        <is>
          <t>Kyrkan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31832-2023</t>
        </is>
      </c>
      <c r="B1253" s="1" t="n">
        <v>45118</v>
      </c>
      <c r="C1253" s="1" t="n">
        <v>45672</v>
      </c>
      <c r="D1253" t="inlineStr">
        <is>
          <t>STOCKHOLMS LÄN</t>
        </is>
      </c>
      <c r="E1253" t="inlineStr">
        <is>
          <t>NORRTÄLJE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32071-2023</t>
        </is>
      </c>
      <c r="B1254" s="1" t="n">
        <v>45119</v>
      </c>
      <c r="C1254" s="1" t="n">
        <v>45672</v>
      </c>
      <c r="D1254" t="inlineStr">
        <is>
          <t>STOCKHOLMS LÄN</t>
        </is>
      </c>
      <c r="E1254" t="inlineStr">
        <is>
          <t>NORRTÄLJE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32621-2023</t>
        </is>
      </c>
      <c r="B1255" s="1" t="n">
        <v>45121</v>
      </c>
      <c r="C1255" s="1" t="n">
        <v>45672</v>
      </c>
      <c r="D1255" t="inlineStr">
        <is>
          <t>STOCKHOLMS LÄN</t>
        </is>
      </c>
      <c r="E1255" t="inlineStr">
        <is>
          <t>NORRTÄLJE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32595-2023</t>
        </is>
      </c>
      <c r="B1256" s="1" t="n">
        <v>45121</v>
      </c>
      <c r="C1256" s="1" t="n">
        <v>45672</v>
      </c>
      <c r="D1256" t="inlineStr">
        <is>
          <t>STOCKHOLMS LÄN</t>
        </is>
      </c>
      <c r="E1256" t="inlineStr">
        <is>
          <t>NORRTÄLJE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32948-2023</t>
        </is>
      </c>
      <c r="B1257" s="1" t="n">
        <v>45125</v>
      </c>
      <c r="C1257" s="1" t="n">
        <v>45672</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33025-2023</t>
        </is>
      </c>
      <c r="B1258" s="1" t="n">
        <v>45125</v>
      </c>
      <c r="C1258" s="1" t="n">
        <v>45672</v>
      </c>
      <c r="D1258" t="inlineStr">
        <is>
          <t>STOCKHOLMS LÄN</t>
        </is>
      </c>
      <c r="E1258" t="inlineStr">
        <is>
          <t>NORRTÄLJE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33130-2023</t>
        </is>
      </c>
      <c r="B1259" s="1" t="n">
        <v>45126</v>
      </c>
      <c r="C1259" s="1" t="n">
        <v>45672</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45672</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33270-2023</t>
        </is>
      </c>
      <c r="B1261" s="1" t="n">
        <v>45127</v>
      </c>
      <c r="C1261" s="1" t="n">
        <v>45672</v>
      </c>
      <c r="D1261" t="inlineStr">
        <is>
          <t>STOCKHOLMS LÄN</t>
        </is>
      </c>
      <c r="E1261" t="inlineStr">
        <is>
          <t>NORRTÄLJE</t>
        </is>
      </c>
      <c r="F1261" t="inlineStr">
        <is>
          <t>Holmen skog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33226-2023</t>
        </is>
      </c>
      <c r="B1262" s="1" t="n">
        <v>45127</v>
      </c>
      <c r="C1262" s="1" t="n">
        <v>45672</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33243-2023</t>
        </is>
      </c>
      <c r="B1263" s="1" t="n">
        <v>45127</v>
      </c>
      <c r="C1263" s="1" t="n">
        <v>45672</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33291-2023</t>
        </is>
      </c>
      <c r="B1264" s="1" t="n">
        <v>45127</v>
      </c>
      <c r="C1264" s="1" t="n">
        <v>45672</v>
      </c>
      <c r="D1264" t="inlineStr">
        <is>
          <t>STOCKHOLMS LÄN</t>
        </is>
      </c>
      <c r="E1264" t="inlineStr">
        <is>
          <t>NORRTÄLJE</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33353-2023</t>
        </is>
      </c>
      <c r="B1265" s="1" t="n">
        <v>45128</v>
      </c>
      <c r="C1265" s="1" t="n">
        <v>45672</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33569-2023</t>
        </is>
      </c>
      <c r="B1266" s="1" t="n">
        <v>45131</v>
      </c>
      <c r="C1266" s="1" t="n">
        <v>45672</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33646-2023</t>
        </is>
      </c>
      <c r="B1267" s="1" t="n">
        <v>45132</v>
      </c>
      <c r="C1267" s="1" t="n">
        <v>45672</v>
      </c>
      <c r="D1267" t="inlineStr">
        <is>
          <t>STOCKHOLMS LÄN</t>
        </is>
      </c>
      <c r="E1267" t="inlineStr">
        <is>
          <t>NORRTÄLJE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33641-2023</t>
        </is>
      </c>
      <c r="B1268" s="1" t="n">
        <v>45132</v>
      </c>
      <c r="C1268" s="1" t="n">
        <v>45672</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34085-2023</t>
        </is>
      </c>
      <c r="B1269" s="1" t="n">
        <v>45135</v>
      </c>
      <c r="C1269" s="1" t="n">
        <v>45672</v>
      </c>
      <c r="D1269" t="inlineStr">
        <is>
          <t>STOCKHOLMS LÄN</t>
        </is>
      </c>
      <c r="E1269" t="inlineStr">
        <is>
          <t>NORRTÄLJE</t>
        </is>
      </c>
      <c r="G1269" t="n">
        <v>10.6</v>
      </c>
      <c r="H1269" t="n">
        <v>0</v>
      </c>
      <c r="I1269" t="n">
        <v>0</v>
      </c>
      <c r="J1269" t="n">
        <v>0</v>
      </c>
      <c r="K1269" t="n">
        <v>0</v>
      </c>
      <c r="L1269" t="n">
        <v>0</v>
      </c>
      <c r="M1269" t="n">
        <v>0</v>
      </c>
      <c r="N1269" t="n">
        <v>0</v>
      </c>
      <c r="O1269" t="n">
        <v>0</v>
      </c>
      <c r="P1269" t="n">
        <v>0</v>
      </c>
      <c r="Q1269" t="n">
        <v>0</v>
      </c>
      <c r="R1269" s="2" t="inlineStr"/>
    </row>
    <row r="1270" ht="15" customHeight="1">
      <c r="A1270" t="inlineStr">
        <is>
          <t>A 34084-2023</t>
        </is>
      </c>
      <c r="B1270" s="1" t="n">
        <v>45135</v>
      </c>
      <c r="C1270" s="1" t="n">
        <v>45672</v>
      </c>
      <c r="D1270" t="inlineStr">
        <is>
          <t>STOCKHOLMS LÄN</t>
        </is>
      </c>
      <c r="E1270" t="inlineStr">
        <is>
          <t>NORRTÄLJE</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34132-2023</t>
        </is>
      </c>
      <c r="B1271" s="1" t="n">
        <v>45135</v>
      </c>
      <c r="C1271" s="1" t="n">
        <v>45672</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34391-2023</t>
        </is>
      </c>
      <c r="B1272" s="1" t="n">
        <v>45139</v>
      </c>
      <c r="C1272" s="1" t="n">
        <v>45672</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34461-2023</t>
        </is>
      </c>
      <c r="B1273" s="1" t="n">
        <v>45139</v>
      </c>
      <c r="C1273" s="1" t="n">
        <v>45672</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34462-2023</t>
        </is>
      </c>
      <c r="B1274" s="1" t="n">
        <v>45139</v>
      </c>
      <c r="C1274" s="1" t="n">
        <v>45672</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34825-2023</t>
        </is>
      </c>
      <c r="B1275" s="1" t="n">
        <v>45141</v>
      </c>
      <c r="C1275" s="1" t="n">
        <v>45672</v>
      </c>
      <c r="D1275" t="inlineStr">
        <is>
          <t>STOCKHOLMS LÄN</t>
        </is>
      </c>
      <c r="E1275" t="inlineStr">
        <is>
          <t>NORRTÄLJE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35215-2023</t>
        </is>
      </c>
      <c r="B1276" s="1" t="n">
        <v>45145</v>
      </c>
      <c r="C1276" s="1" t="n">
        <v>45672</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35219-2023</t>
        </is>
      </c>
      <c r="B1277" s="1" t="n">
        <v>45145</v>
      </c>
      <c r="C1277" s="1" t="n">
        <v>45672</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35127-2023</t>
        </is>
      </c>
      <c r="B1278" s="1" t="n">
        <v>45145</v>
      </c>
      <c r="C1278" s="1" t="n">
        <v>45672</v>
      </c>
      <c r="D1278" t="inlineStr">
        <is>
          <t>STOCKHOLMS LÄN</t>
        </is>
      </c>
      <c r="E1278" t="inlineStr">
        <is>
          <t>NORRTÄLJE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35131-2023</t>
        </is>
      </c>
      <c r="B1279" s="1" t="n">
        <v>45145</v>
      </c>
      <c r="C1279" s="1" t="n">
        <v>45672</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35128-2023</t>
        </is>
      </c>
      <c r="B1280" s="1" t="n">
        <v>45145</v>
      </c>
      <c r="C1280" s="1" t="n">
        <v>45672</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35210-2023</t>
        </is>
      </c>
      <c r="B1281" s="1" t="n">
        <v>45145</v>
      </c>
      <c r="C1281" s="1" t="n">
        <v>45672</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35438-2023</t>
        </is>
      </c>
      <c r="B1282" s="1" t="n">
        <v>45146</v>
      </c>
      <c r="C1282" s="1" t="n">
        <v>45672</v>
      </c>
      <c r="D1282" t="inlineStr">
        <is>
          <t>STOCKHOLMS LÄN</t>
        </is>
      </c>
      <c r="E1282" t="inlineStr">
        <is>
          <t>NORRTÄLJE</t>
        </is>
      </c>
      <c r="F1282" t="inlineStr">
        <is>
          <t>Kommuner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35698-2023</t>
        </is>
      </c>
      <c r="B1283" s="1" t="n">
        <v>45147</v>
      </c>
      <c r="C1283" s="1" t="n">
        <v>45672</v>
      </c>
      <c r="D1283" t="inlineStr">
        <is>
          <t>STOCKHOLMS LÄN</t>
        </is>
      </c>
      <c r="E1283" t="inlineStr">
        <is>
          <t>NORRTÄLJE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35702-2023</t>
        </is>
      </c>
      <c r="B1284" s="1" t="n">
        <v>45147</v>
      </c>
      <c r="C1284" s="1" t="n">
        <v>45672</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35691-2023</t>
        </is>
      </c>
      <c r="B1285" s="1" t="n">
        <v>45147</v>
      </c>
      <c r="C1285" s="1" t="n">
        <v>45672</v>
      </c>
      <c r="D1285" t="inlineStr">
        <is>
          <t>STOCKHOLMS LÄN</t>
        </is>
      </c>
      <c r="E1285" t="inlineStr">
        <is>
          <t>NORRTÄLJE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35695-2023</t>
        </is>
      </c>
      <c r="B1286" s="1" t="n">
        <v>45147</v>
      </c>
      <c r="C1286" s="1" t="n">
        <v>45672</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35696-2023</t>
        </is>
      </c>
      <c r="B1287" s="1" t="n">
        <v>45147</v>
      </c>
      <c r="C1287" s="1" t="n">
        <v>45672</v>
      </c>
      <c r="D1287" t="inlineStr">
        <is>
          <t>STOCKHOLMS LÄN</t>
        </is>
      </c>
      <c r="E1287" t="inlineStr">
        <is>
          <t>NORRTÄLJE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35700-2023</t>
        </is>
      </c>
      <c r="B1288" s="1" t="n">
        <v>45147</v>
      </c>
      <c r="C1288" s="1" t="n">
        <v>45672</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35704-2023</t>
        </is>
      </c>
      <c r="B1289" s="1" t="n">
        <v>45147</v>
      </c>
      <c r="C1289" s="1" t="n">
        <v>45672</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35693-2023</t>
        </is>
      </c>
      <c r="B1290" s="1" t="n">
        <v>45147</v>
      </c>
      <c r="C1290" s="1" t="n">
        <v>45672</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35701-2023</t>
        </is>
      </c>
      <c r="B1291" s="1" t="n">
        <v>45147</v>
      </c>
      <c r="C1291" s="1" t="n">
        <v>45672</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35823-2023</t>
        </is>
      </c>
      <c r="B1292" s="1" t="n">
        <v>45148</v>
      </c>
      <c r="C1292" s="1" t="n">
        <v>45672</v>
      </c>
      <c r="D1292" t="inlineStr">
        <is>
          <t>STOCKHOLMS LÄN</t>
        </is>
      </c>
      <c r="E1292" t="inlineStr">
        <is>
          <t>NORRTÄLJE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36253-2023</t>
        </is>
      </c>
      <c r="B1293" s="1" t="n">
        <v>45151</v>
      </c>
      <c r="C1293" s="1" t="n">
        <v>45672</v>
      </c>
      <c r="D1293" t="inlineStr">
        <is>
          <t>STOCKHOLMS LÄN</t>
        </is>
      </c>
      <c r="E1293" t="inlineStr">
        <is>
          <t>NORRTÄLJE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36257-2023</t>
        </is>
      </c>
      <c r="B1294" s="1" t="n">
        <v>45151</v>
      </c>
      <c r="C1294" s="1" t="n">
        <v>45672</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36259-2023</t>
        </is>
      </c>
      <c r="B1295" s="1" t="n">
        <v>45151</v>
      </c>
      <c r="C1295" s="1" t="n">
        <v>45672</v>
      </c>
      <c r="D1295" t="inlineStr">
        <is>
          <t>STOCKHOLMS LÄN</t>
        </is>
      </c>
      <c r="E1295" t="inlineStr">
        <is>
          <t>NORRTÄLJE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36254-2023</t>
        </is>
      </c>
      <c r="B1296" s="1" t="n">
        <v>45151</v>
      </c>
      <c r="C1296" s="1" t="n">
        <v>45672</v>
      </c>
      <c r="D1296" t="inlineStr">
        <is>
          <t>STOCKHOLMS LÄN</t>
        </is>
      </c>
      <c r="E1296" t="inlineStr">
        <is>
          <t>NORRTÄLJE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36258-2023</t>
        </is>
      </c>
      <c r="B1297" s="1" t="n">
        <v>45151</v>
      </c>
      <c r="C1297" s="1" t="n">
        <v>45672</v>
      </c>
      <c r="D1297" t="inlineStr">
        <is>
          <t>STOCKHOLMS LÄN</t>
        </is>
      </c>
      <c r="E1297" t="inlineStr">
        <is>
          <t>NORRTÄLJE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36689-2023</t>
        </is>
      </c>
      <c r="B1298" s="1" t="n">
        <v>45152</v>
      </c>
      <c r="C1298" s="1" t="n">
        <v>45672</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36865-2023</t>
        </is>
      </c>
      <c r="B1299" s="1" t="n">
        <v>45154</v>
      </c>
      <c r="C1299" s="1" t="n">
        <v>45672</v>
      </c>
      <c r="D1299" t="inlineStr">
        <is>
          <t>STOCKHOLMS LÄN</t>
        </is>
      </c>
      <c r="E1299" t="inlineStr">
        <is>
          <t>NORRTÄLJE</t>
        </is>
      </c>
      <c r="F1299" t="inlineStr">
        <is>
          <t>Kyrkan</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37139-2023</t>
        </is>
      </c>
      <c r="B1300" s="1" t="n">
        <v>45155</v>
      </c>
      <c r="C1300" s="1" t="n">
        <v>45672</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37136-2023</t>
        </is>
      </c>
      <c r="B1301" s="1" t="n">
        <v>45155</v>
      </c>
      <c r="C1301" s="1" t="n">
        <v>45672</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37147-2023</t>
        </is>
      </c>
      <c r="B1302" s="1" t="n">
        <v>45155</v>
      </c>
      <c r="C1302" s="1" t="n">
        <v>45672</v>
      </c>
      <c r="D1302" t="inlineStr">
        <is>
          <t>STOCKHOLMS LÄN</t>
        </is>
      </c>
      <c r="E1302" t="inlineStr">
        <is>
          <t>NORRTÄLJE</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37670-2023</t>
        </is>
      </c>
      <c r="B1303" s="1" t="n">
        <v>45159</v>
      </c>
      <c r="C1303" s="1" t="n">
        <v>45672</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38049-2023</t>
        </is>
      </c>
      <c r="B1304" s="1" t="n">
        <v>45159</v>
      </c>
      <c r="C1304" s="1" t="n">
        <v>45672</v>
      </c>
      <c r="D1304" t="inlineStr">
        <is>
          <t>STOCKHOLMS LÄN</t>
        </is>
      </c>
      <c r="E1304" t="inlineStr">
        <is>
          <t>NORRTÄLJE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38022-2023</t>
        </is>
      </c>
      <c r="B1305" s="1" t="n">
        <v>45160</v>
      </c>
      <c r="C1305" s="1" t="n">
        <v>45672</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38482-2023</t>
        </is>
      </c>
      <c r="B1306" s="1" t="n">
        <v>45162</v>
      </c>
      <c r="C1306" s="1" t="n">
        <v>45672</v>
      </c>
      <c r="D1306" t="inlineStr">
        <is>
          <t>STOCKHOLMS LÄN</t>
        </is>
      </c>
      <c r="E1306" t="inlineStr">
        <is>
          <t>NORRTÄLJE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38487-2023</t>
        </is>
      </c>
      <c r="B1307" s="1" t="n">
        <v>45162</v>
      </c>
      <c r="C1307" s="1" t="n">
        <v>45672</v>
      </c>
      <c r="D1307" t="inlineStr">
        <is>
          <t>STOCKHOLMS LÄN</t>
        </is>
      </c>
      <c r="E1307" t="inlineStr">
        <is>
          <t>NORRTÄLJE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38591-2023</t>
        </is>
      </c>
      <c r="B1308" s="1" t="n">
        <v>45162</v>
      </c>
      <c r="C1308" s="1" t="n">
        <v>45672</v>
      </c>
      <c r="D1308" t="inlineStr">
        <is>
          <t>STOCKHOLMS LÄN</t>
        </is>
      </c>
      <c r="E1308" t="inlineStr">
        <is>
          <t>NORRTÄLJE</t>
        </is>
      </c>
      <c r="F1308" t="inlineStr">
        <is>
          <t>Övriga Aktiebolag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39229-2023</t>
        </is>
      </c>
      <c r="B1309" s="1" t="n">
        <v>45166</v>
      </c>
      <c r="C1309" s="1" t="n">
        <v>45672</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39255-2023</t>
        </is>
      </c>
      <c r="B1310" s="1" t="n">
        <v>45166</v>
      </c>
      <c r="C1310" s="1" t="n">
        <v>45672</v>
      </c>
      <c r="D1310" t="inlineStr">
        <is>
          <t>STOCKHOLMS LÄN</t>
        </is>
      </c>
      <c r="E1310" t="inlineStr">
        <is>
          <t>NORRTÄLJE</t>
        </is>
      </c>
      <c r="G1310" t="n">
        <v>14.2</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45672</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45672</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45672</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45672</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45672</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45672</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45672</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45672</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45672</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45672</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45672</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45672</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45672</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45672</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45672</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45672</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45672</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45672</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45672</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45672</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45672</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45672</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45672</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45672</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45672</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45672</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45672</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45672</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45672</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45672</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45672</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45672</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45672</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45672</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45672</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45672</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45672</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45672</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45672</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45672</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45672</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45672</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45672</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45672</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45672</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45672</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45672</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45672</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45672</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45672</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45672</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45672</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45672</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45672</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45672</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45672</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45672</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45672</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45672</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45672</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45672</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45672</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45672</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45672</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45672</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45672</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45672</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45672</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45672</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45672</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45672</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45672</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45672</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45672</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45672</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45672</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45672</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45672</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45672</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45672</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45672</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45672</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45672</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45672</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45672</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45672</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45672</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45672</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45672</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45672</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45672</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45672</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45672</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45672</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45672</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45672</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45672</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45672</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45672</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45672</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45672</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45672</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45672</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45672</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45672</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45672</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45672</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45672</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45672</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45672</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45672</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45672</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45672</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45672</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45672</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45672</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45672</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45672</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45672</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45672</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45672</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45672</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45672</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45672</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45672</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45672</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45672</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45672</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45672</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45672</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45672</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45672</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45672</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45672</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45672</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45672</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45672</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45672</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45672</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45672</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45672</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45672</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45672</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45672</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45672</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45672</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45672</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45672</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45672</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45672</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45672</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45672</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45672</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45672</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45672</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45672</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45672</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45672</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45672</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45672</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45672</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45672</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45672</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45672</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45672</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45672</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45672</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45672</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45672</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45672</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45672</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45672</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45672</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45672</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45672</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45672</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45672</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45672</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45672</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45672</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45672</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45672</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45672</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45672</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45672</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45672</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45672</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45672</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45672</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45672</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45672</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45672</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45672</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45672</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45672</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45672</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45672</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45672</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45672</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45672</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45672</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45672</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45672</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45672</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45672</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45672</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45672</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45672</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45672</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45672</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45672</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45672</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45672</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45672</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45672</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45672</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45672</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45672</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45672</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45672</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45672</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45672</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45672</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45672</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45672</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45672</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45672</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45672</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45672</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45672</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45672</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45672</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45672</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45672</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45672</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45672</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45672</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45672</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45672</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45672</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45672</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45672</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45672</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45672</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45672</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45672</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45672</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45672</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45672</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45672</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45672</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45672</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45672</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45672</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45672</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45672</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45672</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45672</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45672</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45672</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45672</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45672</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45672</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45672</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45672</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45672</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45672</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45672</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45672</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45672</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45672</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45672</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45672</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45672</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45672</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45672</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45672</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45672</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45672</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45672</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45672</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45672</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45672</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45672</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45672</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45672</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45672</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45672</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45672</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45672</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45672</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45672</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45672</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45672</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45672</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45672</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45672</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45672</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45672</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45672</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45672</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45672</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45672</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45672</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45672</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45672</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45672</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45672</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45672</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45672</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45672</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45672</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45672</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45672</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45672</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45672</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45672</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45672</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45672</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45672</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45672</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45672</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45672</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45672</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45672</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45672</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45672</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45672</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45672</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45672</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45672</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45672</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45672</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45672</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45672</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45672</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45672</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45672</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45672</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45672</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45672</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45672</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45672</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45672</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45672</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45672</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45672</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45672</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45672</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45672</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45672</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45672</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45672</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45672</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45672</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45672</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45672</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45672</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45672</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45672</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45672</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45672</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45672</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45672</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45672</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45672</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45672</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45672</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45672</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45672</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45672</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45672</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45672</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45672</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45672</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45672</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45672</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45672</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45672</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45672</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45672</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45672</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45672</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45672</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45672</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45672</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45672</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45672</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45672</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45672</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45672</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45672</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45672</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45672</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45672</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45672</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45672</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45672</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45672</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45672</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45672</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45672</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45672</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45672</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45672</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45672</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45672</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45672</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45672</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45672</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45672</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45672</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45672</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45672</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45672</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45672</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45672</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45672</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45672</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45672</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45672</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45672</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45672</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45672</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45672</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45672</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45672</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45672</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45672</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45672</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45672</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45672</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45672</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45672</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45672</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45672</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45672</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45672</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45672</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45672</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45672</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45672</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45672</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45672</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45672</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45672</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45672</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45672</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45672</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45672</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45672</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45672</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45672</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45672</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45672</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45672</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45672</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45672</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45672</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45672</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45672</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45672</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45672</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45672</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45672</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45672</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45672</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45672</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45672</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45672</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45672</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45672</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45672</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45672</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45672</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45672</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45672</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45672</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45672</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45672</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45672</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45672</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45672</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45672</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45672</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45672</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45672</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45672</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45672</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45672</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45672</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45672</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45672</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45672</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45672</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45672</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45672</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45672</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45672</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45672</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45672</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45672</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45672</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45672</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45672</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45672</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45672</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45672</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45672</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45672</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45672</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45672</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45672</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45672</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45672</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45672</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45672</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45672</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45672</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45672</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45672</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45672</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45672</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45672</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45672</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45672</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45672</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45672</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45672</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45672</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45672</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45672</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45672</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45672</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59721-2024</t>
        </is>
      </c>
      <c r="B1845" s="1" t="n">
        <v>45639</v>
      </c>
      <c r="C1845" s="1" t="n">
        <v>45672</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59712-2024</t>
        </is>
      </c>
      <c r="B1846" s="1" t="n">
        <v>45639</v>
      </c>
      <c r="C1846" s="1" t="n">
        <v>45672</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59876-2024</t>
        </is>
      </c>
      <c r="B1847" s="1" t="n">
        <v>45640</v>
      </c>
      <c r="C1847" s="1" t="n">
        <v>45672</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59875-2024</t>
        </is>
      </c>
      <c r="B1848" s="1" t="n">
        <v>45640</v>
      </c>
      <c r="C1848" s="1" t="n">
        <v>45672</v>
      </c>
      <c r="D1848" t="inlineStr">
        <is>
          <t>STOCKHOLMS LÄN</t>
        </is>
      </c>
      <c r="E1848" t="inlineStr">
        <is>
          <t>NORRTÄLJE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59873-2024</t>
        </is>
      </c>
      <c r="B1849" s="1" t="n">
        <v>45640</v>
      </c>
      <c r="C1849" s="1" t="n">
        <v>45672</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59877-2024</t>
        </is>
      </c>
      <c r="B1850" s="1" t="n">
        <v>45640</v>
      </c>
      <c r="C1850" s="1" t="n">
        <v>45672</v>
      </c>
      <c r="D1850" t="inlineStr">
        <is>
          <t>STOCKHOLMS LÄN</t>
        </is>
      </c>
      <c r="E1850" t="inlineStr">
        <is>
          <t>NORRTÄLJE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59874-2024</t>
        </is>
      </c>
      <c r="B1851" s="1" t="n">
        <v>45640</v>
      </c>
      <c r="C1851" s="1" t="n">
        <v>45672</v>
      </c>
      <c r="D1851" t="inlineStr">
        <is>
          <t>STOCKHOLMS LÄN</t>
        </is>
      </c>
      <c r="E1851" t="inlineStr">
        <is>
          <t>NORRTÄLJE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59878-2024</t>
        </is>
      </c>
      <c r="B1852" s="1" t="n">
        <v>45640</v>
      </c>
      <c r="C1852" s="1" t="n">
        <v>45672</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60185-2024</t>
        </is>
      </c>
      <c r="B1853" s="1" t="n">
        <v>45642</v>
      </c>
      <c r="C1853" s="1" t="n">
        <v>45672</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60166-2024</t>
        </is>
      </c>
      <c r="B1854" s="1" t="n">
        <v>45642</v>
      </c>
      <c r="C1854" s="1" t="n">
        <v>45672</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45672</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45672</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45672</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45672</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62129-2024</t>
        </is>
      </c>
      <c r="B1859" s="1" t="n">
        <v>45646</v>
      </c>
      <c r="C1859" s="1" t="n">
        <v>45672</v>
      </c>
      <c r="D1859" t="inlineStr">
        <is>
          <t>STOCKHOLMS LÄN</t>
        </is>
      </c>
      <c r="E1859" t="inlineStr">
        <is>
          <t>NORRTÄLJE</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61516-2024</t>
        </is>
      </c>
      <c r="B1860" s="1" t="n">
        <v>45646</v>
      </c>
      <c r="C1860" s="1" t="n">
        <v>45672</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45672</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19-2025</t>
        </is>
      </c>
      <c r="B1862" s="1" t="n">
        <v>45658</v>
      </c>
      <c r="C1862" s="1" t="n">
        <v>45672</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22-2025</t>
        </is>
      </c>
      <c r="B1863" s="1" t="n">
        <v>45658</v>
      </c>
      <c r="C1863" s="1" t="n">
        <v>45672</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520-2025</t>
        </is>
      </c>
      <c r="B1864" s="1" t="n">
        <v>45664</v>
      </c>
      <c r="C1864" s="1" t="n">
        <v>45672</v>
      </c>
      <c r="D1864" t="inlineStr">
        <is>
          <t>STOCKHOLMS LÄN</t>
        </is>
      </c>
      <c r="E1864" t="inlineStr">
        <is>
          <t>NORRTÄLJE</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652-2025</t>
        </is>
      </c>
      <c r="B1865" s="1" t="n">
        <v>45664</v>
      </c>
      <c r="C1865" s="1" t="n">
        <v>45672</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827-2025</t>
        </is>
      </c>
      <c r="B1866" s="1" t="n">
        <v>45665</v>
      </c>
      <c r="C1866" s="1" t="n">
        <v>45672</v>
      </c>
      <c r="D1866" t="inlineStr">
        <is>
          <t>STOCKHOLMS LÄN</t>
        </is>
      </c>
      <c r="E1866" t="inlineStr">
        <is>
          <t>NORRTÄLJE</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824-2025</t>
        </is>
      </c>
      <c r="B1867" s="1" t="n">
        <v>45665</v>
      </c>
      <c r="C1867" s="1" t="n">
        <v>45672</v>
      </c>
      <c r="D1867" t="inlineStr">
        <is>
          <t>STOCKHOLMS LÄN</t>
        </is>
      </c>
      <c r="E1867" t="inlineStr">
        <is>
          <t>NORRTÄLJE</t>
        </is>
      </c>
      <c r="F1867" t="inlineStr">
        <is>
          <t>Övriga Aktiebolag</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1283-2025</t>
        </is>
      </c>
      <c r="B1868" s="1" t="n">
        <v>45667</v>
      </c>
      <c r="C1868" s="1" t="n">
        <v>45672</v>
      </c>
      <c r="D1868" t="inlineStr">
        <is>
          <t>STOCKHOLMS LÄN</t>
        </is>
      </c>
      <c r="E1868" t="inlineStr">
        <is>
          <t>NORRTÄLJE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1360-2025</t>
        </is>
      </c>
      <c r="B1869" s="1" t="n">
        <v>45667</v>
      </c>
      <c r="C1869" s="1" t="n">
        <v>45672</v>
      </c>
      <c r="D1869" t="inlineStr">
        <is>
          <t>STOCKHOLMS LÄN</t>
        </is>
      </c>
      <c r="E1869" t="inlineStr">
        <is>
          <t>NORRTÄLJE</t>
        </is>
      </c>
      <c r="F1869" t="inlineStr">
        <is>
          <t>Kyrkan</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1425-2025</t>
        </is>
      </c>
      <c r="B1870" s="1" t="n">
        <v>45668</v>
      </c>
      <c r="C1870" s="1" t="n">
        <v>45672</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1453-2025</t>
        </is>
      </c>
      <c r="B1871" s="1" t="n">
        <v>45670</v>
      </c>
      <c r="C1871" s="1" t="n">
        <v>45672</v>
      </c>
      <c r="D1871" t="inlineStr">
        <is>
          <t>STOCKHOLMS LÄN</t>
        </is>
      </c>
      <c r="E1871" t="inlineStr">
        <is>
          <t>NORRTÄLJE</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1654-2025</t>
        </is>
      </c>
      <c r="B1872" s="1" t="n">
        <v>45670</v>
      </c>
      <c r="C1872" s="1" t="n">
        <v>45672</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row r="1873">
      <c r="A1873" t="inlineStr">
        <is>
          <t>A 1890-2025</t>
        </is>
      </c>
      <c r="B1873" s="1" t="n">
        <v>45671</v>
      </c>
      <c r="C1873" s="1" t="n">
        <v>45672</v>
      </c>
      <c r="D1873" t="inlineStr">
        <is>
          <t>STOCKHOLMS LÄN</t>
        </is>
      </c>
      <c r="E1873" t="inlineStr">
        <is>
          <t>NORRTÄLJE</t>
        </is>
      </c>
      <c r="G1873" t="n">
        <v>3.6</v>
      </c>
      <c r="H1873" t="n">
        <v>0</v>
      </c>
      <c r="I1873" t="n">
        <v>0</v>
      </c>
      <c r="J1873" t="n">
        <v>0</v>
      </c>
      <c r="K1873" t="n">
        <v>0</v>
      </c>
      <c r="L1873" t="n">
        <v>0</v>
      </c>
      <c r="M1873" t="n">
        <v>0</v>
      </c>
      <c r="N1873" t="n">
        <v>0</v>
      </c>
      <c r="O1873" t="n">
        <v>0</v>
      </c>
      <c r="P1873" t="n">
        <v>0</v>
      </c>
      <c r="Q1873" t="n">
        <v>0</v>
      </c>
      <c r="R1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2025-01-15T15:54:01Z</dcterms:created>
  <dcterms:modified xmlns:dcterms="http://purl.org/dc/terms/" xmlns:xsi="http://www.w3.org/2001/XMLSchema-instance" xsi:type="dcterms:W3CDTF">2025-01-15T15:54:03Z</dcterms:modified>
</cp:coreProperties>
</file>