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46000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46000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46000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46000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46000</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46000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46000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46000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46000</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46000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46000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46000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10646-2024</t>
        </is>
      </c>
      <c r="B16" s="1" t="n">
        <v>45367</v>
      </c>
      <c r="C16" s="1" t="n">
        <v>46000</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46000</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46000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46000</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46000</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46000</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46000</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46000</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46000</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73093-2021</t>
        </is>
      </c>
      <c r="B25" s="1" t="n">
        <v>44550</v>
      </c>
      <c r="C25" s="1" t="n">
        <v>46000</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46000</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50326-2024</t>
        </is>
      </c>
      <c r="B27" s="1" t="n">
        <v>45600</v>
      </c>
      <c r="C27" s="1" t="n">
        <v>46000</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25732-2025</t>
        </is>
      </c>
      <c r="B28" s="1" t="n">
        <v>45800</v>
      </c>
      <c r="C28" s="1" t="n">
        <v>46000</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46000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46000</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46000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46000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46000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46000</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46000</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46000</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46000</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30687-2025</t>
        </is>
      </c>
      <c r="B38" s="1" t="n">
        <v>45831.53390046296</v>
      </c>
      <c r="C38" s="1" t="n">
        <v>46000</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3444-2023</t>
        </is>
      </c>
      <c r="B39" s="1" t="n">
        <v>44949</v>
      </c>
      <c r="C39" s="1" t="n">
        <v>46000</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56791-2025</t>
        </is>
      </c>
      <c r="B40" s="1" t="n">
        <v>45978</v>
      </c>
      <c r="C40" s="1" t="n">
        <v>46000</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72111-2021</t>
        </is>
      </c>
      <c r="B41" s="1" t="n">
        <v>44544</v>
      </c>
      <c r="C41" s="1" t="n">
        <v>46000</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46000</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46000</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22071-2022</t>
        </is>
      </c>
      <c r="B44" s="1" t="n">
        <v>44711</v>
      </c>
      <c r="C44" s="1" t="n">
        <v>46000</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25687-2025</t>
        </is>
      </c>
      <c r="B45" s="1" t="n">
        <v>45800</v>
      </c>
      <c r="C45" s="1" t="n">
        <v>46000</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41276-2025</t>
        </is>
      </c>
      <c r="B46" s="1" t="n">
        <v>45898.62723379629</v>
      </c>
      <c r="C46" s="1" t="n">
        <v>46000</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46000</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72305-2021</t>
        </is>
      </c>
      <c r="B48" s="1" t="n">
        <v>44545</v>
      </c>
      <c r="C48" s="1" t="n">
        <v>46000</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34521-2025</t>
        </is>
      </c>
      <c r="B49" s="1" t="n">
        <v>45847.47052083333</v>
      </c>
      <c r="C49" s="1" t="n">
        <v>46000</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46000</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46000</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46000</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46000</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17673-2021</t>
        </is>
      </c>
      <c r="B54" s="1" t="n">
        <v>44300</v>
      </c>
      <c r="C54" s="1" t="n">
        <v>46000</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46000</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28836-2022</t>
        </is>
      </c>
      <c r="B56" s="1" t="n">
        <v>44749</v>
      </c>
      <c r="C56" s="1" t="n">
        <v>46000</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14560-2021</t>
        </is>
      </c>
      <c r="B57" s="1" t="n">
        <v>44279</v>
      </c>
      <c r="C57" s="1" t="n">
        <v>46000</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53065-2024</t>
        </is>
      </c>
      <c r="B58" s="1" t="n">
        <v>45611.47233796296</v>
      </c>
      <c r="C58" s="1" t="n">
        <v>46000</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46000</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46000</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46000</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46000</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46000</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46000</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52726-2025</t>
        </is>
      </c>
      <c r="B65" s="1" t="n">
        <v>45957.34722222222</v>
      </c>
      <c r="C65" s="1" t="n">
        <v>46000</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46000</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46000</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52133-2022</t>
        </is>
      </c>
      <c r="B68" s="1" t="n">
        <v>44868</v>
      </c>
      <c r="C68" s="1" t="n">
        <v>46000</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46000</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46000</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46000</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46000</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46000</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46000</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46000</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50697-2025</t>
        </is>
      </c>
      <c r="B76" s="1" t="n">
        <v>45945.90854166666</v>
      </c>
      <c r="C76" s="1" t="n">
        <v>46000</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53608-2025</t>
        </is>
      </c>
      <c r="B77" s="1" t="n">
        <v>45960</v>
      </c>
      <c r="C77" s="1" t="n">
        <v>46000</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60941-2025</t>
        </is>
      </c>
      <c r="B78" s="1" t="n">
        <v>45999.64359953703</v>
      </c>
      <c r="C78" s="1" t="n">
        <v>46000</v>
      </c>
      <c r="D78" t="inlineStr">
        <is>
          <t>STOCKHOLMS LÄN</t>
        </is>
      </c>
      <c r="E78" t="inlineStr">
        <is>
          <t>NORRTÄLJE</t>
        </is>
      </c>
      <c r="G78" t="n">
        <v>4.3</v>
      </c>
      <c r="H78" t="n">
        <v>1</v>
      </c>
      <c r="I78" t="n">
        <v>1</v>
      </c>
      <c r="J78" t="n">
        <v>0</v>
      </c>
      <c r="K78" t="n">
        <v>0</v>
      </c>
      <c r="L78" t="n">
        <v>0</v>
      </c>
      <c r="M78" t="n">
        <v>0</v>
      </c>
      <c r="N78" t="n">
        <v>0</v>
      </c>
      <c r="O78" t="n">
        <v>0</v>
      </c>
      <c r="P78" t="n">
        <v>0</v>
      </c>
      <c r="Q78" t="n">
        <v>2</v>
      </c>
      <c r="R78" s="2" t="inlineStr">
        <is>
          <t>Skinnlav
Blåsippa</t>
        </is>
      </c>
      <c r="S78">
        <f>HYPERLINK("https://klasma.github.io/Logging_0188/artfynd/A 60941-2025 artfynd.xlsx", "A 60941-2025")</f>
        <v/>
      </c>
      <c r="T78">
        <f>HYPERLINK("https://klasma.github.io/Logging_0188/kartor/A 60941-2025 karta.png", "A 60941-2025")</f>
        <v/>
      </c>
      <c r="V78">
        <f>HYPERLINK("https://klasma.github.io/Logging_0188/klagomål/A 60941-2025 FSC-klagomål.docx", "A 60941-2025")</f>
        <v/>
      </c>
      <c r="W78">
        <f>HYPERLINK("https://klasma.github.io/Logging_0188/klagomålsmail/A 60941-2025 FSC-klagomål mail.docx", "A 60941-2025")</f>
        <v/>
      </c>
      <c r="X78">
        <f>HYPERLINK("https://klasma.github.io/Logging_0188/tillsyn/A 60941-2025 tillsynsbegäran.docx", "A 60941-2025")</f>
        <v/>
      </c>
      <c r="Y78">
        <f>HYPERLINK("https://klasma.github.io/Logging_0188/tillsynsmail/A 60941-2025 tillsynsbegäran mail.docx", "A 60941-2025")</f>
        <v/>
      </c>
    </row>
    <row r="79" ht="15" customHeight="1">
      <c r="A79" t="inlineStr">
        <is>
          <t>A 51980-2022</t>
        </is>
      </c>
      <c r="B79" s="1" t="n">
        <v>44872</v>
      </c>
      <c r="C79" s="1" t="n">
        <v>46000</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46000</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46000</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46000</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46000</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46000</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1547-2022</t>
        </is>
      </c>
      <c r="B85" s="1" t="n">
        <v>44573</v>
      </c>
      <c r="C85" s="1" t="n">
        <v>46000</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46000</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46000</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46000</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46000</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11429-2023</t>
        </is>
      </c>
      <c r="B90" s="1" t="n">
        <v>44993</v>
      </c>
      <c r="C90" s="1" t="n">
        <v>46000</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9955-2022</t>
        </is>
      </c>
      <c r="B91" s="1" t="n">
        <v>44620</v>
      </c>
      <c r="C91" s="1" t="n">
        <v>46000</v>
      </c>
      <c r="D91" t="inlineStr">
        <is>
          <t>STOCKHOLMS LÄN</t>
        </is>
      </c>
      <c r="E91" t="inlineStr">
        <is>
          <t>NORRTÄLJE</t>
        </is>
      </c>
      <c r="G91" t="n">
        <v>7.8</v>
      </c>
      <c r="H91" t="n">
        <v>1</v>
      </c>
      <c r="I91" t="n">
        <v>0</v>
      </c>
      <c r="J91" t="n">
        <v>0</v>
      </c>
      <c r="K91" t="n">
        <v>0</v>
      </c>
      <c r="L91" t="n">
        <v>0</v>
      </c>
      <c r="M91" t="n">
        <v>0</v>
      </c>
      <c r="N91" t="n">
        <v>0</v>
      </c>
      <c r="O91" t="n">
        <v>0</v>
      </c>
      <c r="P91" t="n">
        <v>0</v>
      </c>
      <c r="Q91" t="n">
        <v>1</v>
      </c>
      <c r="R91" s="2" t="inlineStr">
        <is>
          <t>Åkergroda</t>
        </is>
      </c>
      <c r="S91">
        <f>HYPERLINK("https://klasma.github.io/Logging_0188/artfynd/A 9955-2022 artfynd.xlsx", "A 9955-2022")</f>
        <v/>
      </c>
      <c r="T91">
        <f>HYPERLINK("https://klasma.github.io/Logging_0188/kartor/A 9955-2022 karta.png", "A 9955-2022")</f>
        <v/>
      </c>
      <c r="V91">
        <f>HYPERLINK("https://klasma.github.io/Logging_0188/klagomål/A 9955-2022 FSC-klagomål.docx", "A 9955-2022")</f>
        <v/>
      </c>
      <c r="W91">
        <f>HYPERLINK("https://klasma.github.io/Logging_0188/klagomålsmail/A 9955-2022 FSC-klagomål mail.docx", "A 9955-2022")</f>
        <v/>
      </c>
      <c r="X91">
        <f>HYPERLINK("https://klasma.github.io/Logging_0188/tillsyn/A 9955-2022 tillsynsbegäran.docx", "A 9955-2022")</f>
        <v/>
      </c>
      <c r="Y91">
        <f>HYPERLINK("https://klasma.github.io/Logging_0188/tillsynsmail/A 9955-2022 tillsynsbegäran mail.docx", "A 9955-2022")</f>
        <v/>
      </c>
    </row>
    <row r="92" ht="15" customHeight="1">
      <c r="A92" t="inlineStr">
        <is>
          <t>A 23905-2025</t>
        </is>
      </c>
      <c r="B92" s="1" t="n">
        <v>45794.63298611111</v>
      </c>
      <c r="C92" s="1" t="n">
        <v>46000</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4595-2023</t>
        </is>
      </c>
      <c r="B93" s="1" t="n">
        <v>44956</v>
      </c>
      <c r="C93" s="1" t="n">
        <v>46000</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25669-2025</t>
        </is>
      </c>
      <c r="B94" s="1" t="n">
        <v>45803.62766203703</v>
      </c>
      <c r="C94" s="1" t="n">
        <v>46000</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35764-2024</t>
        </is>
      </c>
      <c r="B95" s="1" t="n">
        <v>45532</v>
      </c>
      <c r="C95" s="1" t="n">
        <v>46000</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40861-2025</t>
        </is>
      </c>
      <c r="B96" s="1" t="n">
        <v>45897.56356481482</v>
      </c>
      <c r="C96" s="1" t="n">
        <v>46000</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46000</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35649-2023</t>
        </is>
      </c>
      <c r="B98" s="1" t="n">
        <v>45146</v>
      </c>
      <c r="C98" s="1" t="n">
        <v>46000</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24535-2023</t>
        </is>
      </c>
      <c r="B99" s="1" t="n">
        <v>45082</v>
      </c>
      <c r="C99" s="1" t="n">
        <v>46000</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42313-2025</t>
        </is>
      </c>
      <c r="B100" s="1" t="n">
        <v>45904.6575</v>
      </c>
      <c r="C100" s="1" t="n">
        <v>46000</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4532-2025</t>
        </is>
      </c>
      <c r="B101" s="1" t="n">
        <v>45687.34177083334</v>
      </c>
      <c r="C101" s="1" t="n">
        <v>46000</v>
      </c>
      <c r="D101" t="inlineStr">
        <is>
          <t>STOCKHOLMS LÄN</t>
        </is>
      </c>
      <c r="E101" t="inlineStr">
        <is>
          <t>NORRTÄLJE</t>
        </is>
      </c>
      <c r="F101" t="inlineStr">
        <is>
          <t>Holmen skog AB</t>
        </is>
      </c>
      <c r="G101" t="n">
        <v>6.4</v>
      </c>
      <c r="H101" t="n">
        <v>1</v>
      </c>
      <c r="I101" t="n">
        <v>0</v>
      </c>
      <c r="J101" t="n">
        <v>0</v>
      </c>
      <c r="K101" t="n">
        <v>0</v>
      </c>
      <c r="L101" t="n">
        <v>1</v>
      </c>
      <c r="M101" t="n">
        <v>0</v>
      </c>
      <c r="N101" t="n">
        <v>0</v>
      </c>
      <c r="O101" t="n">
        <v>1</v>
      </c>
      <c r="P101" t="n">
        <v>1</v>
      </c>
      <c r="Q101" t="n">
        <v>1</v>
      </c>
      <c r="R101" s="2" t="inlineStr">
        <is>
          <t>Asknätfjäril</t>
        </is>
      </c>
      <c r="S101">
        <f>HYPERLINK("https://klasma.github.io/Logging_0188/artfynd/A 4532-2025 artfynd.xlsx", "A 4532-2025")</f>
        <v/>
      </c>
      <c r="T101">
        <f>HYPERLINK("https://klasma.github.io/Logging_0188/kartor/A 4532-2025 karta.png", "A 4532-2025")</f>
        <v/>
      </c>
      <c r="V101">
        <f>HYPERLINK("https://klasma.github.io/Logging_0188/klagomål/A 4532-2025 FSC-klagomål.docx", "A 4532-2025")</f>
        <v/>
      </c>
      <c r="W101">
        <f>HYPERLINK("https://klasma.github.io/Logging_0188/klagomålsmail/A 4532-2025 FSC-klagomål mail.docx", "A 4532-2025")</f>
        <v/>
      </c>
      <c r="X101">
        <f>HYPERLINK("https://klasma.github.io/Logging_0188/tillsyn/A 4532-2025 tillsynsbegäran.docx", "A 4532-2025")</f>
        <v/>
      </c>
      <c r="Y101">
        <f>HYPERLINK("https://klasma.github.io/Logging_0188/tillsynsmail/A 4532-2025 tillsynsbegäran mail.docx", "A 4532-2025")</f>
        <v/>
      </c>
    </row>
    <row r="102" ht="15" customHeight="1">
      <c r="A102" t="inlineStr">
        <is>
          <t>A 6381-2023</t>
        </is>
      </c>
      <c r="B102" s="1" t="n">
        <v>44965</v>
      </c>
      <c r="C102" s="1" t="n">
        <v>46000</v>
      </c>
      <c r="D102" t="inlineStr">
        <is>
          <t>STOCKHOLMS LÄN</t>
        </is>
      </c>
      <c r="E102" t="inlineStr">
        <is>
          <t>NORRTÄLJE</t>
        </is>
      </c>
      <c r="G102" t="n">
        <v>3.5</v>
      </c>
      <c r="H102" t="n">
        <v>1</v>
      </c>
      <c r="I102" t="n">
        <v>1</v>
      </c>
      <c r="J102" t="n">
        <v>0</v>
      </c>
      <c r="K102" t="n">
        <v>0</v>
      </c>
      <c r="L102" t="n">
        <v>0</v>
      </c>
      <c r="M102" t="n">
        <v>0</v>
      </c>
      <c r="N102" t="n">
        <v>0</v>
      </c>
      <c r="O102" t="n">
        <v>0</v>
      </c>
      <c r="P102" t="n">
        <v>0</v>
      </c>
      <c r="Q102" t="n">
        <v>1</v>
      </c>
      <c r="R102" s="2" t="inlineStr">
        <is>
          <t>Guckusko</t>
        </is>
      </c>
      <c r="S102">
        <f>HYPERLINK("https://klasma.github.io/Logging_0188/artfynd/A 6381-2023 artfynd.xlsx", "A 6381-2023")</f>
        <v/>
      </c>
      <c r="T102">
        <f>HYPERLINK("https://klasma.github.io/Logging_0188/kartor/A 6381-2023 karta.png", "A 6381-2023")</f>
        <v/>
      </c>
      <c r="V102">
        <f>HYPERLINK("https://klasma.github.io/Logging_0188/klagomål/A 6381-2023 FSC-klagomål.docx", "A 6381-2023")</f>
        <v/>
      </c>
      <c r="W102">
        <f>HYPERLINK("https://klasma.github.io/Logging_0188/klagomålsmail/A 6381-2023 FSC-klagomål mail.docx", "A 6381-2023")</f>
        <v/>
      </c>
      <c r="X102">
        <f>HYPERLINK("https://klasma.github.io/Logging_0188/tillsyn/A 6381-2023 tillsynsbegäran.docx", "A 6381-2023")</f>
        <v/>
      </c>
      <c r="Y102">
        <f>HYPERLINK("https://klasma.github.io/Logging_0188/tillsynsmail/A 6381-2023 tillsynsbegäran mail.docx", "A 6381-2023")</f>
        <v/>
      </c>
    </row>
    <row r="103" ht="15" customHeight="1">
      <c r="A103" t="inlineStr">
        <is>
          <t>A 35691-2023</t>
        </is>
      </c>
      <c r="B103" s="1" t="n">
        <v>45147.65222222222</v>
      </c>
      <c r="C103" s="1" t="n">
        <v>46000</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46000</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29946-2025</t>
        </is>
      </c>
      <c r="B105" s="1" t="n">
        <v>45826.46392361111</v>
      </c>
      <c r="C105" s="1" t="n">
        <v>46000</v>
      </c>
      <c r="D105" t="inlineStr">
        <is>
          <t>STOCKHOLMS LÄN</t>
        </is>
      </c>
      <c r="E105" t="inlineStr">
        <is>
          <t>NORRTÄLJE</t>
        </is>
      </c>
      <c r="F105" t="inlineStr">
        <is>
          <t>Holmen skog AB</t>
        </is>
      </c>
      <c r="G105" t="n">
        <v>3.6</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29946-2025 artfynd.xlsx", "A 29946-2025")</f>
        <v/>
      </c>
      <c r="T105">
        <f>HYPERLINK("https://klasma.github.io/Logging_0188/kartor/A 29946-2025 karta.png", "A 29946-2025")</f>
        <v/>
      </c>
      <c r="V105">
        <f>HYPERLINK("https://klasma.github.io/Logging_0188/klagomål/A 29946-2025 FSC-klagomål.docx", "A 29946-2025")</f>
        <v/>
      </c>
      <c r="W105">
        <f>HYPERLINK("https://klasma.github.io/Logging_0188/klagomålsmail/A 29946-2025 FSC-klagomål mail.docx", "A 29946-2025")</f>
        <v/>
      </c>
      <c r="X105">
        <f>HYPERLINK("https://klasma.github.io/Logging_0188/tillsyn/A 29946-2025 tillsynsbegäran.docx", "A 29946-2025")</f>
        <v/>
      </c>
      <c r="Y105">
        <f>HYPERLINK("https://klasma.github.io/Logging_0188/tillsynsmail/A 29946-2025 tillsynsbegäran mail.docx", "A 29946-2025")</f>
        <v/>
      </c>
    </row>
    <row r="106" ht="15" customHeight="1">
      <c r="A106" t="inlineStr">
        <is>
          <t>A 53716-2025</t>
        </is>
      </c>
      <c r="B106" s="1" t="n">
        <v>45960.61782407408</v>
      </c>
      <c r="C106" s="1" t="n">
        <v>46000</v>
      </c>
      <c r="D106" t="inlineStr">
        <is>
          <t>STOCKHOLMS LÄN</t>
        </is>
      </c>
      <c r="E106" t="inlineStr">
        <is>
          <t>NORRTÄLJE</t>
        </is>
      </c>
      <c r="G106" t="n">
        <v>3.4</v>
      </c>
      <c r="H106" t="n">
        <v>0</v>
      </c>
      <c r="I106" t="n">
        <v>0</v>
      </c>
      <c r="J106" t="n">
        <v>0</v>
      </c>
      <c r="K106" t="n">
        <v>0</v>
      </c>
      <c r="L106" t="n">
        <v>1</v>
      </c>
      <c r="M106" t="n">
        <v>0</v>
      </c>
      <c r="N106" t="n">
        <v>0</v>
      </c>
      <c r="O106" t="n">
        <v>1</v>
      </c>
      <c r="P106" t="n">
        <v>1</v>
      </c>
      <c r="Q106" t="n">
        <v>1</v>
      </c>
      <c r="R106" s="2" t="inlineStr">
        <is>
          <t>Fältgentiana</t>
        </is>
      </c>
      <c r="S106">
        <f>HYPERLINK("https://klasma.github.io/Logging_0188/artfynd/A 53716-2025 artfynd.xlsx", "A 53716-2025")</f>
        <v/>
      </c>
      <c r="T106">
        <f>HYPERLINK("https://klasma.github.io/Logging_0188/kartor/A 53716-2025 karta.png", "A 53716-2025")</f>
        <v/>
      </c>
      <c r="V106">
        <f>HYPERLINK("https://klasma.github.io/Logging_0188/klagomål/A 53716-2025 FSC-klagomål.docx", "A 53716-2025")</f>
        <v/>
      </c>
      <c r="W106">
        <f>HYPERLINK("https://klasma.github.io/Logging_0188/klagomålsmail/A 53716-2025 FSC-klagomål mail.docx", "A 53716-2025")</f>
        <v/>
      </c>
      <c r="X106">
        <f>HYPERLINK("https://klasma.github.io/Logging_0188/tillsyn/A 53716-2025 tillsynsbegäran.docx", "A 53716-2025")</f>
        <v/>
      </c>
      <c r="Y106">
        <f>HYPERLINK("https://klasma.github.io/Logging_0188/tillsynsmail/A 53716-2025 tillsynsbegäran mail.docx", "A 53716-2025")</f>
        <v/>
      </c>
    </row>
    <row r="107" ht="15" customHeight="1">
      <c r="A107" t="inlineStr">
        <is>
          <t>A 50854-2022</t>
        </is>
      </c>
      <c r="B107" s="1" t="n">
        <v>44863</v>
      </c>
      <c r="C107" s="1" t="n">
        <v>46000</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33548-2025</t>
        </is>
      </c>
      <c r="B108" s="1" t="n">
        <v>45841.5721875</v>
      </c>
      <c r="C108" s="1" t="n">
        <v>46000</v>
      </c>
      <c r="D108" t="inlineStr">
        <is>
          <t>STOCKHOLMS LÄN</t>
        </is>
      </c>
      <c r="E108" t="inlineStr">
        <is>
          <t>NORRTÄLJE</t>
        </is>
      </c>
      <c r="G108" t="n">
        <v>12.2</v>
      </c>
      <c r="H108" t="n">
        <v>0</v>
      </c>
      <c r="I108" t="n">
        <v>0</v>
      </c>
      <c r="J108" t="n">
        <v>1</v>
      </c>
      <c r="K108" t="n">
        <v>0</v>
      </c>
      <c r="L108" t="n">
        <v>0</v>
      </c>
      <c r="M108" t="n">
        <v>0</v>
      </c>
      <c r="N108" t="n">
        <v>0</v>
      </c>
      <c r="O108" t="n">
        <v>1</v>
      </c>
      <c r="P108" t="n">
        <v>0</v>
      </c>
      <c r="Q108" t="n">
        <v>1</v>
      </c>
      <c r="R108" s="2" t="inlineStr">
        <is>
          <t>Dofttaggsvamp</t>
        </is>
      </c>
      <c r="S108">
        <f>HYPERLINK("https://klasma.github.io/Logging_0188/artfynd/A 33548-2025 artfynd.xlsx", "A 33548-2025")</f>
        <v/>
      </c>
      <c r="T108">
        <f>HYPERLINK("https://klasma.github.io/Logging_0188/kartor/A 33548-2025 karta.png", "A 33548-2025")</f>
        <v/>
      </c>
      <c r="V108">
        <f>HYPERLINK("https://klasma.github.io/Logging_0188/klagomål/A 33548-2025 FSC-klagomål.docx", "A 33548-2025")</f>
        <v/>
      </c>
      <c r="W108">
        <f>HYPERLINK("https://klasma.github.io/Logging_0188/klagomålsmail/A 33548-2025 FSC-klagomål mail.docx", "A 33548-2025")</f>
        <v/>
      </c>
      <c r="X108">
        <f>HYPERLINK("https://klasma.github.io/Logging_0188/tillsyn/A 33548-2025 tillsynsbegäran.docx", "A 33548-2025")</f>
        <v/>
      </c>
      <c r="Y108">
        <f>HYPERLINK("https://klasma.github.io/Logging_0188/tillsynsmail/A 33548-2025 tillsynsbegäran mail.docx", "A 33548-2025")</f>
        <v/>
      </c>
    </row>
    <row r="109" ht="15" customHeight="1">
      <c r="A109" t="inlineStr">
        <is>
          <t>A 33546-2025</t>
        </is>
      </c>
      <c r="B109" s="1" t="n">
        <v>45841.56996527778</v>
      </c>
      <c r="C109" s="1" t="n">
        <v>46000</v>
      </c>
      <c r="D109" t="inlineStr">
        <is>
          <t>STOCKHOLMS LÄN</t>
        </is>
      </c>
      <c r="E109" t="inlineStr">
        <is>
          <t>NORRTÄLJE</t>
        </is>
      </c>
      <c r="G109" t="n">
        <v>7.2</v>
      </c>
      <c r="H109" t="n">
        <v>1</v>
      </c>
      <c r="I109" t="n">
        <v>1</v>
      </c>
      <c r="J109" t="n">
        <v>0</v>
      </c>
      <c r="K109" t="n">
        <v>0</v>
      </c>
      <c r="L109" t="n">
        <v>0</v>
      </c>
      <c r="M109" t="n">
        <v>0</v>
      </c>
      <c r="N109" t="n">
        <v>0</v>
      </c>
      <c r="O109" t="n">
        <v>0</v>
      </c>
      <c r="P109" t="n">
        <v>0</v>
      </c>
      <c r="Q109" t="n">
        <v>1</v>
      </c>
      <c r="R109" s="2" t="inlineStr">
        <is>
          <t>Nästrot</t>
        </is>
      </c>
      <c r="S109">
        <f>HYPERLINK("https://klasma.github.io/Logging_0188/artfynd/A 33546-2025 artfynd.xlsx", "A 33546-2025")</f>
        <v/>
      </c>
      <c r="T109">
        <f>HYPERLINK("https://klasma.github.io/Logging_0188/kartor/A 33546-2025 karta.png", "A 33546-2025")</f>
        <v/>
      </c>
      <c r="V109">
        <f>HYPERLINK("https://klasma.github.io/Logging_0188/klagomål/A 33546-2025 FSC-klagomål.docx", "A 33546-2025")</f>
        <v/>
      </c>
      <c r="W109">
        <f>HYPERLINK("https://klasma.github.io/Logging_0188/klagomålsmail/A 33546-2025 FSC-klagomål mail.docx", "A 33546-2025")</f>
        <v/>
      </c>
      <c r="X109">
        <f>HYPERLINK("https://klasma.github.io/Logging_0188/tillsyn/A 33546-2025 tillsynsbegäran.docx", "A 33546-2025")</f>
        <v/>
      </c>
      <c r="Y109">
        <f>HYPERLINK("https://klasma.github.io/Logging_0188/tillsynsmail/A 33546-2025 tillsynsbegäran mail.docx", "A 33546-2025")</f>
        <v/>
      </c>
    </row>
    <row r="110" ht="15" customHeight="1">
      <c r="A110" t="inlineStr">
        <is>
          <t>A 39158-2025</t>
        </is>
      </c>
      <c r="B110" s="1" t="n">
        <v>45888</v>
      </c>
      <c r="C110" s="1" t="n">
        <v>46000</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26120-2024</t>
        </is>
      </c>
      <c r="B111" s="1" t="n">
        <v>45468.45995370371</v>
      </c>
      <c r="C111" s="1" t="n">
        <v>46000</v>
      </c>
      <c r="D111" t="inlineStr">
        <is>
          <t>STOCKHOLMS LÄN</t>
        </is>
      </c>
      <c r="E111" t="inlineStr">
        <is>
          <t>NORRTÄLJE</t>
        </is>
      </c>
      <c r="G111" t="n">
        <v>1.8</v>
      </c>
      <c r="H111" t="n">
        <v>0</v>
      </c>
      <c r="I111" t="n">
        <v>0</v>
      </c>
      <c r="J111" t="n">
        <v>1</v>
      </c>
      <c r="K111" t="n">
        <v>0</v>
      </c>
      <c r="L111" t="n">
        <v>0</v>
      </c>
      <c r="M111" t="n">
        <v>0</v>
      </c>
      <c r="N111" t="n">
        <v>0</v>
      </c>
      <c r="O111" t="n">
        <v>1</v>
      </c>
      <c r="P111" t="n">
        <v>0</v>
      </c>
      <c r="Q111" t="n">
        <v>1</v>
      </c>
      <c r="R111" s="2" t="inlineStr">
        <is>
          <t>Majviva</t>
        </is>
      </c>
      <c r="S111">
        <f>HYPERLINK("https://klasma.github.io/Logging_0188/artfynd/A 26120-2024 artfynd.xlsx", "A 26120-2024")</f>
        <v/>
      </c>
      <c r="T111">
        <f>HYPERLINK("https://klasma.github.io/Logging_0188/kartor/A 26120-2024 karta.png", "A 26120-2024")</f>
        <v/>
      </c>
      <c r="V111">
        <f>HYPERLINK("https://klasma.github.io/Logging_0188/klagomål/A 26120-2024 FSC-klagomål.docx", "A 26120-2024")</f>
        <v/>
      </c>
      <c r="W111">
        <f>HYPERLINK("https://klasma.github.io/Logging_0188/klagomålsmail/A 26120-2024 FSC-klagomål mail.docx", "A 26120-2024")</f>
        <v/>
      </c>
      <c r="X111">
        <f>HYPERLINK("https://klasma.github.io/Logging_0188/tillsyn/A 26120-2024 tillsynsbegäran.docx", "A 26120-2024")</f>
        <v/>
      </c>
      <c r="Y111">
        <f>HYPERLINK("https://klasma.github.io/Logging_0188/tillsynsmail/A 26120-2024 tillsynsbegäran mail.docx", "A 26120-2024")</f>
        <v/>
      </c>
    </row>
    <row r="112" ht="15" customHeight="1">
      <c r="A112" t="inlineStr">
        <is>
          <t>A 64456-2023</t>
        </is>
      </c>
      <c r="B112" s="1" t="n">
        <v>45280</v>
      </c>
      <c r="C112" s="1" t="n">
        <v>46000</v>
      </c>
      <c r="D112" t="inlineStr">
        <is>
          <t>STOCKHOLMS LÄN</t>
        </is>
      </c>
      <c r="E112" t="inlineStr">
        <is>
          <t>NORRTÄLJE</t>
        </is>
      </c>
      <c r="G112" t="n">
        <v>2.5</v>
      </c>
      <c r="H112" t="n">
        <v>0</v>
      </c>
      <c r="I112" t="n">
        <v>1</v>
      </c>
      <c r="J112" t="n">
        <v>0</v>
      </c>
      <c r="K112" t="n">
        <v>0</v>
      </c>
      <c r="L112" t="n">
        <v>0</v>
      </c>
      <c r="M112" t="n">
        <v>0</v>
      </c>
      <c r="N112" t="n">
        <v>0</v>
      </c>
      <c r="O112" t="n">
        <v>0</v>
      </c>
      <c r="P112" t="n">
        <v>0</v>
      </c>
      <c r="Q112" t="n">
        <v>1</v>
      </c>
      <c r="R112" s="2" t="inlineStr">
        <is>
          <t>Rödgul trumpetsvamp</t>
        </is>
      </c>
      <c r="S112">
        <f>HYPERLINK("https://klasma.github.io/Logging_0188/artfynd/A 64456-2023 artfynd.xlsx", "A 64456-2023")</f>
        <v/>
      </c>
      <c r="T112">
        <f>HYPERLINK("https://klasma.github.io/Logging_0188/kartor/A 64456-2023 karta.png", "A 64456-2023")</f>
        <v/>
      </c>
      <c r="V112">
        <f>HYPERLINK("https://klasma.github.io/Logging_0188/klagomål/A 64456-2023 FSC-klagomål.docx", "A 64456-2023")</f>
        <v/>
      </c>
      <c r="W112">
        <f>HYPERLINK("https://klasma.github.io/Logging_0188/klagomålsmail/A 64456-2023 FSC-klagomål mail.docx", "A 64456-2023")</f>
        <v/>
      </c>
      <c r="X112">
        <f>HYPERLINK("https://klasma.github.io/Logging_0188/tillsyn/A 64456-2023 tillsynsbegäran.docx", "A 64456-2023")</f>
        <v/>
      </c>
      <c r="Y112">
        <f>HYPERLINK("https://klasma.github.io/Logging_0188/tillsynsmail/A 64456-2023 tillsynsbegäran mail.docx", "A 64456-2023")</f>
        <v/>
      </c>
    </row>
    <row r="113" ht="15" customHeight="1">
      <c r="A113" t="inlineStr">
        <is>
          <t>A 8371-2025</t>
        </is>
      </c>
      <c r="B113" s="1" t="n">
        <v>45708</v>
      </c>
      <c r="C113" s="1" t="n">
        <v>46000</v>
      </c>
      <c r="D113" t="inlineStr">
        <is>
          <t>STOCKHOLMS LÄN</t>
        </is>
      </c>
      <c r="E113" t="inlineStr">
        <is>
          <t>NORRTÄLJE</t>
        </is>
      </c>
      <c r="F113" t="inlineStr">
        <is>
          <t>Övriga Aktiebolag</t>
        </is>
      </c>
      <c r="G113" t="n">
        <v>2.9</v>
      </c>
      <c r="H113" t="n">
        <v>1</v>
      </c>
      <c r="I113" t="n">
        <v>0</v>
      </c>
      <c r="J113" t="n">
        <v>1</v>
      </c>
      <c r="K113" t="n">
        <v>0</v>
      </c>
      <c r="L113" t="n">
        <v>0</v>
      </c>
      <c r="M113" t="n">
        <v>0</v>
      </c>
      <c r="N113" t="n">
        <v>0</v>
      </c>
      <c r="O113" t="n">
        <v>1</v>
      </c>
      <c r="P113" t="n">
        <v>0</v>
      </c>
      <c r="Q113" t="n">
        <v>1</v>
      </c>
      <c r="R113" s="2" t="inlineStr">
        <is>
          <t>Spillkråka</t>
        </is>
      </c>
      <c r="S113">
        <f>HYPERLINK("https://klasma.github.io/Logging_0188/artfynd/A 8371-2025 artfynd.xlsx", "A 8371-2025")</f>
        <v/>
      </c>
      <c r="T113">
        <f>HYPERLINK("https://klasma.github.io/Logging_0188/kartor/A 8371-2025 karta.png", "A 8371-2025")</f>
        <v/>
      </c>
      <c r="V113">
        <f>HYPERLINK("https://klasma.github.io/Logging_0188/klagomål/A 8371-2025 FSC-klagomål.docx", "A 8371-2025")</f>
        <v/>
      </c>
      <c r="W113">
        <f>HYPERLINK("https://klasma.github.io/Logging_0188/klagomålsmail/A 8371-2025 FSC-klagomål mail.docx", "A 8371-2025")</f>
        <v/>
      </c>
      <c r="X113">
        <f>HYPERLINK("https://klasma.github.io/Logging_0188/tillsyn/A 8371-2025 tillsynsbegäran.docx", "A 8371-2025")</f>
        <v/>
      </c>
      <c r="Y113">
        <f>HYPERLINK("https://klasma.github.io/Logging_0188/tillsynsmail/A 8371-2025 tillsynsbegäran mail.docx", "A 8371-2025")</f>
        <v/>
      </c>
      <c r="Z113">
        <f>HYPERLINK("https://klasma.github.io/Logging_0188/fåglar/A 8371-2025 prioriterade fågelarter.docx", "A 8371-2025")</f>
        <v/>
      </c>
    </row>
    <row r="114" ht="15" customHeight="1">
      <c r="A114" t="inlineStr">
        <is>
          <t>A 24330-2023</t>
        </is>
      </c>
      <c r="B114" s="1" t="n">
        <v>45081</v>
      </c>
      <c r="C114" s="1" t="n">
        <v>46000</v>
      </c>
      <c r="D114" t="inlineStr">
        <is>
          <t>STOCKHOLMS LÄN</t>
        </is>
      </c>
      <c r="E114" t="inlineStr">
        <is>
          <t>NORRTÄLJE</t>
        </is>
      </c>
      <c r="G114" t="n">
        <v>5</v>
      </c>
      <c r="H114" t="n">
        <v>1</v>
      </c>
      <c r="I114" t="n">
        <v>0</v>
      </c>
      <c r="J114" t="n">
        <v>1</v>
      </c>
      <c r="K114" t="n">
        <v>0</v>
      </c>
      <c r="L114" t="n">
        <v>0</v>
      </c>
      <c r="M114" t="n">
        <v>0</v>
      </c>
      <c r="N114" t="n">
        <v>0</v>
      </c>
      <c r="O114" t="n">
        <v>1</v>
      </c>
      <c r="P114" t="n">
        <v>0</v>
      </c>
      <c r="Q114" t="n">
        <v>1</v>
      </c>
      <c r="R114" s="2" t="inlineStr">
        <is>
          <t>Mindre hackspett</t>
        </is>
      </c>
      <c r="S114">
        <f>HYPERLINK("https://klasma.github.io/Logging_0188/artfynd/A 24330-2023 artfynd.xlsx", "A 24330-2023")</f>
        <v/>
      </c>
      <c r="T114">
        <f>HYPERLINK("https://klasma.github.io/Logging_0188/kartor/A 24330-2023 karta.png", "A 24330-2023")</f>
        <v/>
      </c>
      <c r="V114">
        <f>HYPERLINK("https://klasma.github.io/Logging_0188/klagomål/A 24330-2023 FSC-klagomål.docx", "A 24330-2023")</f>
        <v/>
      </c>
      <c r="W114">
        <f>HYPERLINK("https://klasma.github.io/Logging_0188/klagomålsmail/A 24330-2023 FSC-klagomål mail.docx", "A 24330-2023")</f>
        <v/>
      </c>
      <c r="X114">
        <f>HYPERLINK("https://klasma.github.io/Logging_0188/tillsyn/A 24330-2023 tillsynsbegäran.docx", "A 24330-2023")</f>
        <v/>
      </c>
      <c r="Y114">
        <f>HYPERLINK("https://klasma.github.io/Logging_0188/tillsynsmail/A 24330-2023 tillsynsbegäran mail.docx", "A 24330-2023")</f>
        <v/>
      </c>
      <c r="Z114">
        <f>HYPERLINK("https://klasma.github.io/Logging_0188/fåglar/A 24330-2023 prioriterade fågelarter.docx", "A 24330-2023")</f>
        <v/>
      </c>
    </row>
    <row r="115" ht="15" customHeight="1">
      <c r="A115" t="inlineStr">
        <is>
          <t>A 21744-2023</t>
        </is>
      </c>
      <c r="B115" s="1" t="n">
        <v>45065</v>
      </c>
      <c r="C115" s="1" t="n">
        <v>46000</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59682-2025</t>
        </is>
      </c>
      <c r="B116" s="1" t="n">
        <v>45992.47116898148</v>
      </c>
      <c r="C116" s="1" t="n">
        <v>46000</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1162-2021</t>
        </is>
      </c>
      <c r="B117" s="1" t="n">
        <v>44207</v>
      </c>
      <c r="C117" s="1" t="n">
        <v>46000</v>
      </c>
      <c r="D117" t="inlineStr">
        <is>
          <t>STOCKHOLMS LÄN</t>
        </is>
      </c>
      <c r="E117" t="inlineStr">
        <is>
          <t>NORRTÄLJE</t>
        </is>
      </c>
      <c r="G117" t="n">
        <v>2.2</v>
      </c>
      <c r="H117" t="n">
        <v>1</v>
      </c>
      <c r="I117" t="n">
        <v>0</v>
      </c>
      <c r="J117" t="n">
        <v>0</v>
      </c>
      <c r="K117" t="n">
        <v>1</v>
      </c>
      <c r="L117" t="n">
        <v>0</v>
      </c>
      <c r="M117" t="n">
        <v>0</v>
      </c>
      <c r="N117" t="n">
        <v>0</v>
      </c>
      <c r="O117" t="n">
        <v>1</v>
      </c>
      <c r="P117" t="n">
        <v>1</v>
      </c>
      <c r="Q117" t="n">
        <v>1</v>
      </c>
      <c r="R117" s="2" t="inlineStr">
        <is>
          <t>Hällebräcka</t>
        </is>
      </c>
      <c r="S117">
        <f>HYPERLINK("https://klasma.github.io/Logging_0188/artfynd/A 1162-2021 artfynd.xlsx", "A 1162-2021")</f>
        <v/>
      </c>
      <c r="T117">
        <f>HYPERLINK("https://klasma.github.io/Logging_0188/kartor/A 1162-2021 karta.png", "A 1162-2021")</f>
        <v/>
      </c>
      <c r="V117">
        <f>HYPERLINK("https://klasma.github.io/Logging_0188/klagomål/A 1162-2021 FSC-klagomål.docx", "A 1162-2021")</f>
        <v/>
      </c>
      <c r="W117">
        <f>HYPERLINK("https://klasma.github.io/Logging_0188/klagomålsmail/A 1162-2021 FSC-klagomål mail.docx", "A 1162-2021")</f>
        <v/>
      </c>
      <c r="X117">
        <f>HYPERLINK("https://klasma.github.io/Logging_0188/tillsyn/A 1162-2021 tillsynsbegäran.docx", "A 1162-2021")</f>
        <v/>
      </c>
      <c r="Y117">
        <f>HYPERLINK("https://klasma.github.io/Logging_0188/tillsynsmail/A 1162-2021 tillsynsbegäran mail.docx", "A 1162-2021")</f>
        <v/>
      </c>
    </row>
    <row r="118" ht="15" customHeight="1">
      <c r="A118" t="inlineStr">
        <is>
          <t>A 16870-2025</t>
        </is>
      </c>
      <c r="B118" s="1" t="n">
        <v>45754</v>
      </c>
      <c r="C118" s="1" t="n">
        <v>46000</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52611-2024</t>
        </is>
      </c>
      <c r="B119" s="1" t="n">
        <v>45609.83747685186</v>
      </c>
      <c r="C119" s="1" t="n">
        <v>46000</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17952-2022</t>
        </is>
      </c>
      <c r="B120" s="1" t="n">
        <v>44683</v>
      </c>
      <c r="C120" s="1" t="n">
        <v>46000</v>
      </c>
      <c r="D120" t="inlineStr">
        <is>
          <t>STOCKHOLMS LÄN</t>
        </is>
      </c>
      <c r="E120" t="inlineStr">
        <is>
          <t>NORRTÄLJE</t>
        </is>
      </c>
      <c r="G120" t="n">
        <v>51.1</v>
      </c>
      <c r="H120" t="n">
        <v>0</v>
      </c>
      <c r="I120" t="n">
        <v>0</v>
      </c>
      <c r="J120" t="n">
        <v>0</v>
      </c>
      <c r="K120" t="n">
        <v>1</v>
      </c>
      <c r="L120" t="n">
        <v>0</v>
      </c>
      <c r="M120" t="n">
        <v>0</v>
      </c>
      <c r="N120" t="n">
        <v>0</v>
      </c>
      <c r="O120" t="n">
        <v>1</v>
      </c>
      <c r="P120" t="n">
        <v>1</v>
      </c>
      <c r="Q120" t="n">
        <v>1</v>
      </c>
      <c r="R120" s="2" t="inlineStr">
        <is>
          <t>Kattunvisslare</t>
        </is>
      </c>
      <c r="S120">
        <f>HYPERLINK("https://klasma.github.io/Logging_0188/artfynd/A 17952-2022 artfynd.xlsx", "A 17952-2022")</f>
        <v/>
      </c>
      <c r="T120">
        <f>HYPERLINK("https://klasma.github.io/Logging_0188/kartor/A 17952-2022 karta.png", "A 17952-2022")</f>
        <v/>
      </c>
      <c r="V120">
        <f>HYPERLINK("https://klasma.github.io/Logging_0188/klagomål/A 17952-2022 FSC-klagomål.docx", "A 17952-2022")</f>
        <v/>
      </c>
      <c r="W120">
        <f>HYPERLINK("https://klasma.github.io/Logging_0188/klagomålsmail/A 17952-2022 FSC-klagomål mail.docx", "A 17952-2022")</f>
        <v/>
      </c>
      <c r="X120">
        <f>HYPERLINK("https://klasma.github.io/Logging_0188/tillsyn/A 17952-2022 tillsynsbegäran.docx", "A 17952-2022")</f>
        <v/>
      </c>
      <c r="Y120">
        <f>HYPERLINK("https://klasma.github.io/Logging_0188/tillsynsmail/A 17952-2022 tillsynsbegäran mail.docx", "A 17952-2022")</f>
        <v/>
      </c>
    </row>
    <row r="121" ht="15" customHeight="1">
      <c r="A121" t="inlineStr">
        <is>
          <t>A 52775-2025</t>
        </is>
      </c>
      <c r="B121" s="1" t="n">
        <v>45957.41608796296</v>
      </c>
      <c r="C121" s="1" t="n">
        <v>46000</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26635-2023</t>
        </is>
      </c>
      <c r="B122" s="1" t="n">
        <v>45092</v>
      </c>
      <c r="C122" s="1" t="n">
        <v>46000</v>
      </c>
      <c r="D122" t="inlineStr">
        <is>
          <t>STOCKHOLMS LÄN</t>
        </is>
      </c>
      <c r="E122" t="inlineStr">
        <is>
          <t>NORRTÄLJE</t>
        </is>
      </c>
      <c r="G122" t="n">
        <v>3.1</v>
      </c>
      <c r="H122" t="n">
        <v>1</v>
      </c>
      <c r="I122" t="n">
        <v>0</v>
      </c>
      <c r="J122" t="n">
        <v>0</v>
      </c>
      <c r="K122" t="n">
        <v>0</v>
      </c>
      <c r="L122" t="n">
        <v>0</v>
      </c>
      <c r="M122" t="n">
        <v>0</v>
      </c>
      <c r="N122" t="n">
        <v>0</v>
      </c>
      <c r="O122" t="n">
        <v>0</v>
      </c>
      <c r="P122" t="n">
        <v>0</v>
      </c>
      <c r="Q122" t="n">
        <v>1</v>
      </c>
      <c r="R122" s="2" t="inlineStr">
        <is>
          <t>Fläcknycklar</t>
        </is>
      </c>
      <c r="S122">
        <f>HYPERLINK("https://klasma.github.io/Logging_0188/artfynd/A 26635-2023 artfynd.xlsx", "A 26635-2023")</f>
        <v/>
      </c>
      <c r="T122">
        <f>HYPERLINK("https://klasma.github.io/Logging_0188/kartor/A 26635-2023 karta.png", "A 26635-2023")</f>
        <v/>
      </c>
      <c r="V122">
        <f>HYPERLINK("https://klasma.github.io/Logging_0188/klagomål/A 26635-2023 FSC-klagomål.docx", "A 26635-2023")</f>
        <v/>
      </c>
      <c r="W122">
        <f>HYPERLINK("https://klasma.github.io/Logging_0188/klagomålsmail/A 26635-2023 FSC-klagomål mail.docx", "A 26635-2023")</f>
        <v/>
      </c>
      <c r="X122">
        <f>HYPERLINK("https://klasma.github.io/Logging_0188/tillsyn/A 26635-2023 tillsynsbegäran.docx", "A 26635-2023")</f>
        <v/>
      </c>
      <c r="Y122">
        <f>HYPERLINK("https://klasma.github.io/Logging_0188/tillsynsmail/A 26635-2023 tillsynsbegäran mail.docx", "A 26635-2023")</f>
        <v/>
      </c>
    </row>
    <row r="123" ht="15" customHeight="1">
      <c r="A123" t="inlineStr">
        <is>
          <t>A 47898-2022</t>
        </is>
      </c>
      <c r="B123" s="1" t="n">
        <v>44855</v>
      </c>
      <c r="C123" s="1" t="n">
        <v>46000</v>
      </c>
      <c r="D123" t="inlineStr">
        <is>
          <t>STOCKHOLMS LÄN</t>
        </is>
      </c>
      <c r="E123" t="inlineStr">
        <is>
          <t>NORRTÄLJE</t>
        </is>
      </c>
      <c r="G123" t="n">
        <v>6.7</v>
      </c>
      <c r="H123" t="n">
        <v>1</v>
      </c>
      <c r="I123" t="n">
        <v>1</v>
      </c>
      <c r="J123" t="n">
        <v>0</v>
      </c>
      <c r="K123" t="n">
        <v>0</v>
      </c>
      <c r="L123" t="n">
        <v>0</v>
      </c>
      <c r="M123" t="n">
        <v>0</v>
      </c>
      <c r="N123" t="n">
        <v>0</v>
      </c>
      <c r="O123" t="n">
        <v>0</v>
      </c>
      <c r="P123" t="n">
        <v>0</v>
      </c>
      <c r="Q123" t="n">
        <v>1</v>
      </c>
      <c r="R123" s="2" t="inlineStr">
        <is>
          <t>Guckusko</t>
        </is>
      </c>
      <c r="S123">
        <f>HYPERLINK("https://klasma.github.io/Logging_0188/artfynd/A 47898-2022 artfynd.xlsx", "A 47898-2022")</f>
        <v/>
      </c>
      <c r="T123">
        <f>HYPERLINK("https://klasma.github.io/Logging_0188/kartor/A 47898-2022 karta.png", "A 47898-2022")</f>
        <v/>
      </c>
      <c r="V123">
        <f>HYPERLINK("https://klasma.github.io/Logging_0188/klagomål/A 47898-2022 FSC-klagomål.docx", "A 47898-2022")</f>
        <v/>
      </c>
      <c r="W123">
        <f>HYPERLINK("https://klasma.github.io/Logging_0188/klagomålsmail/A 47898-2022 FSC-klagomål mail.docx", "A 47898-2022")</f>
        <v/>
      </c>
      <c r="X123">
        <f>HYPERLINK("https://klasma.github.io/Logging_0188/tillsyn/A 47898-2022 tillsynsbegäran.docx", "A 47898-2022")</f>
        <v/>
      </c>
      <c r="Y123">
        <f>HYPERLINK("https://klasma.github.io/Logging_0188/tillsynsmail/A 47898-2022 tillsynsbegäran mail.docx", "A 47898-2022")</f>
        <v/>
      </c>
    </row>
    <row r="124" ht="15" customHeight="1">
      <c r="A124" t="inlineStr">
        <is>
          <t>A 14365-2025</t>
        </is>
      </c>
      <c r="B124" s="1" t="n">
        <v>45741.38688657407</v>
      </c>
      <c r="C124" s="1" t="n">
        <v>46000</v>
      </c>
      <c r="D124" t="inlineStr">
        <is>
          <t>STOCKHOLMS LÄN</t>
        </is>
      </c>
      <c r="E124" t="inlineStr">
        <is>
          <t>NORRTÄLJE</t>
        </is>
      </c>
      <c r="G124" t="n">
        <v>2.4</v>
      </c>
      <c r="H124" t="n">
        <v>0</v>
      </c>
      <c r="I124" t="n">
        <v>0</v>
      </c>
      <c r="J124" t="n">
        <v>1</v>
      </c>
      <c r="K124" t="n">
        <v>0</v>
      </c>
      <c r="L124" t="n">
        <v>0</v>
      </c>
      <c r="M124" t="n">
        <v>0</v>
      </c>
      <c r="N124" t="n">
        <v>0</v>
      </c>
      <c r="O124" t="n">
        <v>1</v>
      </c>
      <c r="P124" t="n">
        <v>0</v>
      </c>
      <c r="Q124" t="n">
        <v>1</v>
      </c>
      <c r="R124" s="2" t="inlineStr">
        <is>
          <t>Granticka</t>
        </is>
      </c>
      <c r="S124">
        <f>HYPERLINK("https://klasma.github.io/Logging_0188/artfynd/A 14365-2025 artfynd.xlsx", "A 14365-2025")</f>
        <v/>
      </c>
      <c r="T124">
        <f>HYPERLINK("https://klasma.github.io/Logging_0188/kartor/A 14365-2025 karta.png", "A 14365-2025")</f>
        <v/>
      </c>
      <c r="V124">
        <f>HYPERLINK("https://klasma.github.io/Logging_0188/klagomål/A 14365-2025 FSC-klagomål.docx", "A 14365-2025")</f>
        <v/>
      </c>
      <c r="W124">
        <f>HYPERLINK("https://klasma.github.io/Logging_0188/klagomålsmail/A 14365-2025 FSC-klagomål mail.docx", "A 14365-2025")</f>
        <v/>
      </c>
      <c r="X124">
        <f>HYPERLINK("https://klasma.github.io/Logging_0188/tillsyn/A 14365-2025 tillsynsbegäran.docx", "A 14365-2025")</f>
        <v/>
      </c>
      <c r="Y124">
        <f>HYPERLINK("https://klasma.github.io/Logging_0188/tillsynsmail/A 14365-2025 tillsynsbegäran mail.docx", "A 14365-2025")</f>
        <v/>
      </c>
    </row>
    <row r="125" ht="15" customHeight="1">
      <c r="A125" t="inlineStr">
        <is>
          <t>A 32111-2022</t>
        </is>
      </c>
      <c r="B125" s="1" t="n">
        <v>44778.92797453704</v>
      </c>
      <c r="C125" s="1" t="n">
        <v>46000</v>
      </c>
      <c r="D125" t="inlineStr">
        <is>
          <t>STOCKHOLMS LÄN</t>
        </is>
      </c>
      <c r="E125" t="inlineStr">
        <is>
          <t>NORRTÄLJE</t>
        </is>
      </c>
      <c r="G125" t="n">
        <v>3.1</v>
      </c>
      <c r="H125" t="n">
        <v>0</v>
      </c>
      <c r="I125" t="n">
        <v>0</v>
      </c>
      <c r="J125" t="n">
        <v>1</v>
      </c>
      <c r="K125" t="n">
        <v>0</v>
      </c>
      <c r="L125" t="n">
        <v>0</v>
      </c>
      <c r="M125" t="n">
        <v>0</v>
      </c>
      <c r="N125" t="n">
        <v>0</v>
      </c>
      <c r="O125" t="n">
        <v>1</v>
      </c>
      <c r="P125" t="n">
        <v>0</v>
      </c>
      <c r="Q125" t="n">
        <v>1</v>
      </c>
      <c r="R125" s="2" t="inlineStr">
        <is>
          <t>Orange taggsvamp</t>
        </is>
      </c>
      <c r="S125">
        <f>HYPERLINK("https://klasma.github.io/Logging_0188/artfynd/A 32111-2022 artfynd.xlsx", "A 32111-2022")</f>
        <v/>
      </c>
      <c r="T125">
        <f>HYPERLINK("https://klasma.github.io/Logging_0188/kartor/A 32111-2022 karta.png", "A 32111-2022")</f>
        <v/>
      </c>
      <c r="V125">
        <f>HYPERLINK("https://klasma.github.io/Logging_0188/klagomål/A 32111-2022 FSC-klagomål.docx", "A 32111-2022")</f>
        <v/>
      </c>
      <c r="W125">
        <f>HYPERLINK("https://klasma.github.io/Logging_0188/klagomålsmail/A 32111-2022 FSC-klagomål mail.docx", "A 32111-2022")</f>
        <v/>
      </c>
      <c r="X125">
        <f>HYPERLINK("https://klasma.github.io/Logging_0188/tillsyn/A 32111-2022 tillsynsbegäran.docx", "A 32111-2022")</f>
        <v/>
      </c>
      <c r="Y125">
        <f>HYPERLINK("https://klasma.github.io/Logging_0188/tillsynsmail/A 32111-2022 tillsynsbegäran mail.docx", "A 32111-2022")</f>
        <v/>
      </c>
    </row>
    <row r="126" ht="15" customHeight="1">
      <c r="A126" t="inlineStr">
        <is>
          <t>A 4385-2023</t>
        </is>
      </c>
      <c r="B126" s="1" t="n">
        <v>44955.71322916666</v>
      </c>
      <c r="C126" s="1" t="n">
        <v>46000</v>
      </c>
      <c r="D126" t="inlineStr">
        <is>
          <t>STOCKHOLMS LÄN</t>
        </is>
      </c>
      <c r="E126" t="inlineStr">
        <is>
          <t>NORRTÄLJE</t>
        </is>
      </c>
      <c r="G126" t="n">
        <v>7.8</v>
      </c>
      <c r="H126" t="n">
        <v>1</v>
      </c>
      <c r="I126" t="n">
        <v>1</v>
      </c>
      <c r="J126" t="n">
        <v>0</v>
      </c>
      <c r="K126" t="n">
        <v>0</v>
      </c>
      <c r="L126" t="n">
        <v>0</v>
      </c>
      <c r="M126" t="n">
        <v>0</v>
      </c>
      <c r="N126" t="n">
        <v>0</v>
      </c>
      <c r="O126" t="n">
        <v>0</v>
      </c>
      <c r="P126" t="n">
        <v>0</v>
      </c>
      <c r="Q126" t="n">
        <v>1</v>
      </c>
      <c r="R126" s="2" t="inlineStr">
        <is>
          <t>Skogsknipprot</t>
        </is>
      </c>
      <c r="S126">
        <f>HYPERLINK("https://klasma.github.io/Logging_0188/artfynd/A 4385-2023 artfynd.xlsx", "A 4385-2023")</f>
        <v/>
      </c>
      <c r="T126">
        <f>HYPERLINK("https://klasma.github.io/Logging_0188/kartor/A 4385-2023 karta.png", "A 4385-2023")</f>
        <v/>
      </c>
      <c r="V126">
        <f>HYPERLINK("https://klasma.github.io/Logging_0188/klagomål/A 4385-2023 FSC-klagomål.docx", "A 4385-2023")</f>
        <v/>
      </c>
      <c r="W126">
        <f>HYPERLINK("https://klasma.github.io/Logging_0188/klagomålsmail/A 4385-2023 FSC-klagomål mail.docx", "A 4385-2023")</f>
        <v/>
      </c>
      <c r="X126">
        <f>HYPERLINK("https://klasma.github.io/Logging_0188/tillsyn/A 4385-2023 tillsynsbegäran.docx", "A 4385-2023")</f>
        <v/>
      </c>
      <c r="Y126">
        <f>HYPERLINK("https://klasma.github.io/Logging_0188/tillsynsmail/A 4385-2023 tillsynsbegäran mail.docx", "A 4385-2023")</f>
        <v/>
      </c>
    </row>
    <row r="127" ht="15" customHeight="1">
      <c r="A127" t="inlineStr">
        <is>
          <t>A 4860-2022</t>
        </is>
      </c>
      <c r="B127" s="1" t="n">
        <v>44592</v>
      </c>
      <c r="C127" s="1" t="n">
        <v>46000</v>
      </c>
      <c r="D127" t="inlineStr">
        <is>
          <t>STOCKHOLMS LÄN</t>
        </is>
      </c>
      <c r="E127" t="inlineStr">
        <is>
          <t>NORRTÄLJE</t>
        </is>
      </c>
      <c r="G127" t="n">
        <v>22.3</v>
      </c>
      <c r="H127" t="n">
        <v>0</v>
      </c>
      <c r="I127" t="n">
        <v>0</v>
      </c>
      <c r="J127" t="n">
        <v>1</v>
      </c>
      <c r="K127" t="n">
        <v>0</v>
      </c>
      <c r="L127" t="n">
        <v>0</v>
      </c>
      <c r="M127" t="n">
        <v>0</v>
      </c>
      <c r="N127" t="n">
        <v>0</v>
      </c>
      <c r="O127" t="n">
        <v>1</v>
      </c>
      <c r="P127" t="n">
        <v>0</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19829-2022</t>
        </is>
      </c>
      <c r="B128" s="1" t="n">
        <v>44695.43527777777</v>
      </c>
      <c r="C128" s="1" t="n">
        <v>46000</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52508-2023</t>
        </is>
      </c>
      <c r="B129" s="1" t="n">
        <v>45225</v>
      </c>
      <c r="C129" s="1" t="n">
        <v>46000</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46000</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46000</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46000</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46000</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46000</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46000</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1970-2021</t>
        </is>
      </c>
      <c r="B136" s="1" t="n">
        <v>44210</v>
      </c>
      <c r="C136" s="1" t="n">
        <v>46000</v>
      </c>
      <c r="D136" t="inlineStr">
        <is>
          <t>STOCKHOLMS LÄN</t>
        </is>
      </c>
      <c r="E136" t="inlineStr">
        <is>
          <t>NORRTÄLJE</t>
        </is>
      </c>
      <c r="G136" t="n">
        <v>3.1</v>
      </c>
      <c r="H136" t="n">
        <v>0</v>
      </c>
      <c r="I136" t="n">
        <v>0</v>
      </c>
      <c r="J136" t="n">
        <v>0</v>
      </c>
      <c r="K136" t="n">
        <v>0</v>
      </c>
      <c r="L136" t="n">
        <v>0</v>
      </c>
      <c r="M136" t="n">
        <v>0</v>
      </c>
      <c r="N136" t="n">
        <v>0</v>
      </c>
      <c r="O136" t="n">
        <v>0</v>
      </c>
      <c r="P136" t="n">
        <v>0</v>
      </c>
      <c r="Q136" t="n">
        <v>0</v>
      </c>
      <c r="R136" s="2" t="inlineStr"/>
    </row>
    <row r="137" ht="15" customHeight="1">
      <c r="A137" t="inlineStr">
        <is>
          <t>A 1637-2021</t>
        </is>
      </c>
      <c r="B137" s="1" t="n">
        <v>44209</v>
      </c>
      <c r="C137" s="1" t="n">
        <v>46000</v>
      </c>
      <c r="D137" t="inlineStr">
        <is>
          <t>STOCKHOLMS LÄN</t>
        </is>
      </c>
      <c r="E137" t="inlineStr">
        <is>
          <t>NORRTÄLJE</t>
        </is>
      </c>
      <c r="G137" t="n">
        <v>1.6</v>
      </c>
      <c r="H137" t="n">
        <v>0</v>
      </c>
      <c r="I137" t="n">
        <v>0</v>
      </c>
      <c r="J137" t="n">
        <v>0</v>
      </c>
      <c r="K137" t="n">
        <v>0</v>
      </c>
      <c r="L137" t="n">
        <v>0</v>
      </c>
      <c r="M137" t="n">
        <v>0</v>
      </c>
      <c r="N137" t="n">
        <v>0</v>
      </c>
      <c r="O137" t="n">
        <v>0</v>
      </c>
      <c r="P137" t="n">
        <v>0</v>
      </c>
      <c r="Q137" t="n">
        <v>0</v>
      </c>
      <c r="R137" s="2" t="inlineStr"/>
    </row>
    <row r="138" ht="15" customHeight="1">
      <c r="A138" t="inlineStr">
        <is>
          <t>A 18580-2021</t>
        </is>
      </c>
      <c r="B138" s="1" t="n">
        <v>44306</v>
      </c>
      <c r="C138" s="1" t="n">
        <v>46000</v>
      </c>
      <c r="D138" t="inlineStr">
        <is>
          <t>STOCKHOLMS LÄN</t>
        </is>
      </c>
      <c r="E138" t="inlineStr">
        <is>
          <t>NORRTÄLJE</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12877-2022</t>
        </is>
      </c>
      <c r="B139" s="1" t="n">
        <v>44642</v>
      </c>
      <c r="C139" s="1" t="n">
        <v>46000</v>
      </c>
      <c r="D139" t="inlineStr">
        <is>
          <t>STOCKHOLMS LÄN</t>
        </is>
      </c>
      <c r="E139" t="inlineStr">
        <is>
          <t>NORRTÄLJE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14036-2022</t>
        </is>
      </c>
      <c r="B140" s="1" t="n">
        <v>44650.8699537037</v>
      </c>
      <c r="C140" s="1" t="n">
        <v>46000</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47344-2021</t>
        </is>
      </c>
      <c r="B141" s="1" t="n">
        <v>44447</v>
      </c>
      <c r="C141" s="1" t="n">
        <v>46000</v>
      </c>
      <c r="D141" t="inlineStr">
        <is>
          <t>STOCKHOLMS LÄN</t>
        </is>
      </c>
      <c r="E141" t="inlineStr">
        <is>
          <t>NORRTÄLJE</t>
        </is>
      </c>
      <c r="G141" t="n">
        <v>3.3</v>
      </c>
      <c r="H141" t="n">
        <v>0</v>
      </c>
      <c r="I141" t="n">
        <v>0</v>
      </c>
      <c r="J141" t="n">
        <v>0</v>
      </c>
      <c r="K141" t="n">
        <v>0</v>
      </c>
      <c r="L141" t="n">
        <v>0</v>
      </c>
      <c r="M141" t="n">
        <v>0</v>
      </c>
      <c r="N141" t="n">
        <v>0</v>
      </c>
      <c r="O141" t="n">
        <v>0</v>
      </c>
      <c r="P141" t="n">
        <v>0</v>
      </c>
      <c r="Q141" t="n">
        <v>0</v>
      </c>
      <c r="R141" s="2" t="inlineStr"/>
    </row>
    <row r="142" ht="15" customHeight="1">
      <c r="A142" t="inlineStr">
        <is>
          <t>A 43036-2022</t>
        </is>
      </c>
      <c r="B142" s="1" t="n">
        <v>44833</v>
      </c>
      <c r="C142" s="1" t="n">
        <v>46000</v>
      </c>
      <c r="D142" t="inlineStr">
        <is>
          <t>STOCKHOLMS LÄN</t>
        </is>
      </c>
      <c r="E142" t="inlineStr">
        <is>
          <t>NORRTÄLJE</t>
        </is>
      </c>
      <c r="F142" t="inlineStr">
        <is>
          <t>Kyrkan</t>
        </is>
      </c>
      <c r="G142" t="n">
        <v>1.7</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46000</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15289-2021</t>
        </is>
      </c>
      <c r="B144" s="1" t="n">
        <v>44284.59546296296</v>
      </c>
      <c r="C144" s="1" t="n">
        <v>46000</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40542-2021</t>
        </is>
      </c>
      <c r="B145" s="1" t="n">
        <v>44420</v>
      </c>
      <c r="C145" s="1" t="n">
        <v>46000</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40546-2021</t>
        </is>
      </c>
      <c r="B146" s="1" t="n">
        <v>44420</v>
      </c>
      <c r="C146" s="1" t="n">
        <v>46000</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46000</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46000</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31934-2022</t>
        </is>
      </c>
      <c r="B149" s="1" t="n">
        <v>44777</v>
      </c>
      <c r="C149" s="1" t="n">
        <v>46000</v>
      </c>
      <c r="D149" t="inlineStr">
        <is>
          <t>STOCKHOLMS LÄN</t>
        </is>
      </c>
      <c r="E149" t="inlineStr">
        <is>
          <t>NORRTÄLJE</t>
        </is>
      </c>
      <c r="G149" t="n">
        <v>1.2</v>
      </c>
      <c r="H149" t="n">
        <v>0</v>
      </c>
      <c r="I149" t="n">
        <v>0</v>
      </c>
      <c r="J149" t="n">
        <v>0</v>
      </c>
      <c r="K149" t="n">
        <v>0</v>
      </c>
      <c r="L149" t="n">
        <v>0</v>
      </c>
      <c r="M149" t="n">
        <v>0</v>
      </c>
      <c r="N149" t="n">
        <v>0</v>
      </c>
      <c r="O149" t="n">
        <v>0</v>
      </c>
      <c r="P149" t="n">
        <v>0</v>
      </c>
      <c r="Q149" t="n">
        <v>0</v>
      </c>
      <c r="R149" s="2" t="inlineStr"/>
    </row>
    <row r="150" ht="15" customHeight="1">
      <c r="A150" t="inlineStr">
        <is>
          <t>A 37815-2022</t>
        </is>
      </c>
      <c r="B150" s="1" t="n">
        <v>44810.85092592592</v>
      </c>
      <c r="C150" s="1" t="n">
        <v>46000</v>
      </c>
      <c r="D150" t="inlineStr">
        <is>
          <t>STOCKHOLMS LÄN</t>
        </is>
      </c>
      <c r="E150" t="inlineStr">
        <is>
          <t>NORRTÄLJE</t>
        </is>
      </c>
      <c r="G150" t="n">
        <v>1.3</v>
      </c>
      <c r="H150" t="n">
        <v>0</v>
      </c>
      <c r="I150" t="n">
        <v>0</v>
      </c>
      <c r="J150" t="n">
        <v>0</v>
      </c>
      <c r="K150" t="n">
        <v>0</v>
      </c>
      <c r="L150" t="n">
        <v>0</v>
      </c>
      <c r="M150" t="n">
        <v>0</v>
      </c>
      <c r="N150" t="n">
        <v>0</v>
      </c>
      <c r="O150" t="n">
        <v>0</v>
      </c>
      <c r="P150" t="n">
        <v>0</v>
      </c>
      <c r="Q150" t="n">
        <v>0</v>
      </c>
      <c r="R150" s="2" t="inlineStr"/>
    </row>
    <row r="151" ht="15" customHeight="1">
      <c r="A151" t="inlineStr">
        <is>
          <t>A 73855-2021</t>
        </is>
      </c>
      <c r="B151" s="1" t="n">
        <v>44552</v>
      </c>
      <c r="C151" s="1" t="n">
        <v>46000</v>
      </c>
      <c r="D151" t="inlineStr">
        <is>
          <t>STOCKHOLMS LÄN</t>
        </is>
      </c>
      <c r="E151" t="inlineStr">
        <is>
          <t>NORRTÄLJE</t>
        </is>
      </c>
      <c r="F151" t="inlineStr">
        <is>
          <t>Övriga Aktiebolag</t>
        </is>
      </c>
      <c r="G151" t="n">
        <v>4</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46000</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46000</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74468-2021</t>
        </is>
      </c>
      <c r="B154" s="1" t="n">
        <v>44560</v>
      </c>
      <c r="C154" s="1" t="n">
        <v>46000</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46000</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46000</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46000</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34436-2021</t>
        </is>
      </c>
      <c r="B158" s="1" t="n">
        <v>44380</v>
      </c>
      <c r="C158" s="1" t="n">
        <v>46000</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67525-2021</t>
        </is>
      </c>
      <c r="B159" s="1" t="n">
        <v>44524</v>
      </c>
      <c r="C159" s="1" t="n">
        <v>46000</v>
      </c>
      <c r="D159" t="inlineStr">
        <is>
          <t>STOCKHOLMS LÄN</t>
        </is>
      </c>
      <c r="E159" t="inlineStr">
        <is>
          <t>NORRTÄLJE</t>
        </is>
      </c>
      <c r="G159" t="n">
        <v>0.8</v>
      </c>
      <c r="H159" t="n">
        <v>0</v>
      </c>
      <c r="I159" t="n">
        <v>0</v>
      </c>
      <c r="J159" t="n">
        <v>0</v>
      </c>
      <c r="K159" t="n">
        <v>0</v>
      </c>
      <c r="L159" t="n">
        <v>0</v>
      </c>
      <c r="M159" t="n">
        <v>0</v>
      </c>
      <c r="N159" t="n">
        <v>0</v>
      </c>
      <c r="O159" t="n">
        <v>0</v>
      </c>
      <c r="P159" t="n">
        <v>0</v>
      </c>
      <c r="Q159" t="n">
        <v>0</v>
      </c>
      <c r="R159" s="2" t="inlineStr"/>
    </row>
    <row r="160" ht="15" customHeight="1">
      <c r="A160" t="inlineStr">
        <is>
          <t>A 1704-2022</t>
        </is>
      </c>
      <c r="B160" s="1" t="n">
        <v>44574.42978009259</v>
      </c>
      <c r="C160" s="1" t="n">
        <v>46000</v>
      </c>
      <c r="D160" t="inlineStr">
        <is>
          <t>STOCKHOLMS LÄN</t>
        </is>
      </c>
      <c r="E160" t="inlineStr">
        <is>
          <t>NORRTÄLJE</t>
        </is>
      </c>
      <c r="G160" t="n">
        <v>6.2</v>
      </c>
      <c r="H160" t="n">
        <v>0</v>
      </c>
      <c r="I160" t="n">
        <v>0</v>
      </c>
      <c r="J160" t="n">
        <v>0</v>
      </c>
      <c r="K160" t="n">
        <v>0</v>
      </c>
      <c r="L160" t="n">
        <v>0</v>
      </c>
      <c r="M160" t="n">
        <v>0</v>
      </c>
      <c r="N160" t="n">
        <v>0</v>
      </c>
      <c r="O160" t="n">
        <v>0</v>
      </c>
      <c r="P160" t="n">
        <v>0</v>
      </c>
      <c r="Q160" t="n">
        <v>0</v>
      </c>
      <c r="R160" s="2" t="inlineStr"/>
    </row>
    <row r="161" ht="15" customHeight="1">
      <c r="A161" t="inlineStr">
        <is>
          <t>A 65737-2021</t>
        </is>
      </c>
      <c r="B161" s="1" t="n">
        <v>44516.72827546296</v>
      </c>
      <c r="C161" s="1" t="n">
        <v>46000</v>
      </c>
      <c r="D161" t="inlineStr">
        <is>
          <t>STOCKHOLMS LÄN</t>
        </is>
      </c>
      <c r="E161" t="inlineStr">
        <is>
          <t>NORRTÄLJE</t>
        </is>
      </c>
      <c r="G161" t="n">
        <v>3</v>
      </c>
      <c r="H161" t="n">
        <v>0</v>
      </c>
      <c r="I161" t="n">
        <v>0</v>
      </c>
      <c r="J161" t="n">
        <v>0</v>
      </c>
      <c r="K161" t="n">
        <v>0</v>
      </c>
      <c r="L161" t="n">
        <v>0</v>
      </c>
      <c r="M161" t="n">
        <v>0</v>
      </c>
      <c r="N161" t="n">
        <v>0</v>
      </c>
      <c r="O161" t="n">
        <v>0</v>
      </c>
      <c r="P161" t="n">
        <v>0</v>
      </c>
      <c r="Q161" t="n">
        <v>0</v>
      </c>
      <c r="R161" s="2" t="inlineStr"/>
    </row>
    <row r="162" ht="15" customHeight="1">
      <c r="A162" t="inlineStr">
        <is>
          <t>A 43374-2022</t>
        </is>
      </c>
      <c r="B162" s="1" t="n">
        <v>44834</v>
      </c>
      <c r="C162" s="1" t="n">
        <v>46000</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19283-2021</t>
        </is>
      </c>
      <c r="B163" s="1" t="n">
        <v>44309.47061342592</v>
      </c>
      <c r="C163" s="1" t="n">
        <v>46000</v>
      </c>
      <c r="D163" t="inlineStr">
        <is>
          <t>STOCKHOLMS LÄN</t>
        </is>
      </c>
      <c r="E163" t="inlineStr">
        <is>
          <t>NORRTÄLJE</t>
        </is>
      </c>
      <c r="F163" t="inlineStr">
        <is>
          <t>Holmen skog AB</t>
        </is>
      </c>
      <c r="G163" t="n">
        <v>0.6</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46000</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46000</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37712-2021</t>
        </is>
      </c>
      <c r="B166" s="1" t="n">
        <v>44400</v>
      </c>
      <c r="C166" s="1" t="n">
        <v>46000</v>
      </c>
      <c r="D166" t="inlineStr">
        <is>
          <t>STOCKHOLMS LÄN</t>
        </is>
      </c>
      <c r="E166" t="inlineStr">
        <is>
          <t>NORRTÄLJE</t>
        </is>
      </c>
      <c r="G166" t="n">
        <v>22.9</v>
      </c>
      <c r="H166" t="n">
        <v>0</v>
      </c>
      <c r="I166" t="n">
        <v>0</v>
      </c>
      <c r="J166" t="n">
        <v>0</v>
      </c>
      <c r="K166" t="n">
        <v>0</v>
      </c>
      <c r="L166" t="n">
        <v>0</v>
      </c>
      <c r="M166" t="n">
        <v>0</v>
      </c>
      <c r="N166" t="n">
        <v>0</v>
      </c>
      <c r="O166" t="n">
        <v>0</v>
      </c>
      <c r="P166" t="n">
        <v>0</v>
      </c>
      <c r="Q166" t="n">
        <v>0</v>
      </c>
      <c r="R166" s="2" t="inlineStr"/>
    </row>
    <row r="167" ht="15" customHeight="1">
      <c r="A167" t="inlineStr">
        <is>
          <t>A 48492-2022</t>
        </is>
      </c>
      <c r="B167" s="1" t="n">
        <v>44858</v>
      </c>
      <c r="C167" s="1" t="n">
        <v>46000</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8338-2021</t>
        </is>
      </c>
      <c r="B168" s="1" t="n">
        <v>44244</v>
      </c>
      <c r="C168" s="1" t="n">
        <v>46000</v>
      </c>
      <c r="D168" t="inlineStr">
        <is>
          <t>STOCKHOLMS LÄN</t>
        </is>
      </c>
      <c r="E168" t="inlineStr">
        <is>
          <t>NORRTÄLJE</t>
        </is>
      </c>
      <c r="G168" t="n">
        <v>1.4</v>
      </c>
      <c r="H168" t="n">
        <v>0</v>
      </c>
      <c r="I168" t="n">
        <v>0</v>
      </c>
      <c r="J168" t="n">
        <v>0</v>
      </c>
      <c r="K168" t="n">
        <v>0</v>
      </c>
      <c r="L168" t="n">
        <v>0</v>
      </c>
      <c r="M168" t="n">
        <v>0</v>
      </c>
      <c r="N168" t="n">
        <v>0</v>
      </c>
      <c r="O168" t="n">
        <v>0</v>
      </c>
      <c r="P168" t="n">
        <v>0</v>
      </c>
      <c r="Q168" t="n">
        <v>0</v>
      </c>
      <c r="R168" s="2" t="inlineStr"/>
    </row>
    <row r="169" ht="15" customHeight="1">
      <c r="A169" t="inlineStr">
        <is>
          <t>A 60822-2021</t>
        </is>
      </c>
      <c r="B169" s="1" t="n">
        <v>44496</v>
      </c>
      <c r="C169" s="1" t="n">
        <v>46000</v>
      </c>
      <c r="D169" t="inlineStr">
        <is>
          <t>STOCKHOLMS LÄN</t>
        </is>
      </c>
      <c r="E169" t="inlineStr">
        <is>
          <t>NORRTÄLJE</t>
        </is>
      </c>
      <c r="G169" t="n">
        <v>7.6</v>
      </c>
      <c r="H169" t="n">
        <v>0</v>
      </c>
      <c r="I169" t="n">
        <v>0</v>
      </c>
      <c r="J169" t="n">
        <v>0</v>
      </c>
      <c r="K169" t="n">
        <v>0</v>
      </c>
      <c r="L169" t="n">
        <v>0</v>
      </c>
      <c r="M169" t="n">
        <v>0</v>
      </c>
      <c r="N169" t="n">
        <v>0</v>
      </c>
      <c r="O169" t="n">
        <v>0</v>
      </c>
      <c r="P169" t="n">
        <v>0</v>
      </c>
      <c r="Q169" t="n">
        <v>0</v>
      </c>
      <c r="R169" s="2" t="inlineStr"/>
    </row>
    <row r="170" ht="15" customHeight="1">
      <c r="A170" t="inlineStr">
        <is>
          <t>A 18905-2022</t>
        </is>
      </c>
      <c r="B170" s="1" t="n">
        <v>44690</v>
      </c>
      <c r="C170" s="1" t="n">
        <v>46000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46000</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17777-2022</t>
        </is>
      </c>
      <c r="B172" s="1" t="n">
        <v>44682.79203703703</v>
      </c>
      <c r="C172" s="1" t="n">
        <v>46000</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21723-2022</t>
        </is>
      </c>
      <c r="B173" s="1" t="n">
        <v>44708</v>
      </c>
      <c r="C173" s="1" t="n">
        <v>46000</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12816-2022</t>
        </is>
      </c>
      <c r="B174" s="1" t="n">
        <v>44642</v>
      </c>
      <c r="C174" s="1" t="n">
        <v>46000</v>
      </c>
      <c r="D174" t="inlineStr">
        <is>
          <t>STOCKHOLMS LÄN</t>
        </is>
      </c>
      <c r="E174" t="inlineStr">
        <is>
          <t>NORRTÄLJE</t>
        </is>
      </c>
      <c r="G174" t="n">
        <v>4.4</v>
      </c>
      <c r="H174" t="n">
        <v>0</v>
      </c>
      <c r="I174" t="n">
        <v>0</v>
      </c>
      <c r="J174" t="n">
        <v>0</v>
      </c>
      <c r="K174" t="n">
        <v>0</v>
      </c>
      <c r="L174" t="n">
        <v>0</v>
      </c>
      <c r="M174" t="n">
        <v>0</v>
      </c>
      <c r="N174" t="n">
        <v>0</v>
      </c>
      <c r="O174" t="n">
        <v>0</v>
      </c>
      <c r="P174" t="n">
        <v>0</v>
      </c>
      <c r="Q174" t="n">
        <v>0</v>
      </c>
      <c r="R174" s="2" t="inlineStr"/>
    </row>
    <row r="175" ht="15" customHeight="1">
      <c r="A175" t="inlineStr">
        <is>
          <t>A 31807-2022</t>
        </is>
      </c>
      <c r="B175" s="1" t="n">
        <v>44776</v>
      </c>
      <c r="C175" s="1" t="n">
        <v>46000</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28209-2022</t>
        </is>
      </c>
      <c r="B176" s="1" t="n">
        <v>44746</v>
      </c>
      <c r="C176" s="1" t="n">
        <v>46000</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66907-2020</t>
        </is>
      </c>
      <c r="B177" s="1" t="n">
        <v>44176</v>
      </c>
      <c r="C177" s="1" t="n">
        <v>46000</v>
      </c>
      <c r="D177" t="inlineStr">
        <is>
          <t>STOCKHOLMS LÄN</t>
        </is>
      </c>
      <c r="E177" t="inlineStr">
        <is>
          <t>NORRTÄLJE</t>
        </is>
      </c>
      <c r="G177" t="n">
        <v>1.7</v>
      </c>
      <c r="H177" t="n">
        <v>0</v>
      </c>
      <c r="I177" t="n">
        <v>0</v>
      </c>
      <c r="J177" t="n">
        <v>0</v>
      </c>
      <c r="K177" t="n">
        <v>0</v>
      </c>
      <c r="L177" t="n">
        <v>0</v>
      </c>
      <c r="M177" t="n">
        <v>0</v>
      </c>
      <c r="N177" t="n">
        <v>0</v>
      </c>
      <c r="O177" t="n">
        <v>0</v>
      </c>
      <c r="P177" t="n">
        <v>0</v>
      </c>
      <c r="Q177" t="n">
        <v>0</v>
      </c>
      <c r="R177" s="2" t="inlineStr"/>
    </row>
    <row r="178" ht="15" customHeight="1">
      <c r="A178" t="inlineStr">
        <is>
          <t>A 2447-2021</t>
        </is>
      </c>
      <c r="B178" s="1" t="n">
        <v>44214</v>
      </c>
      <c r="C178" s="1" t="n">
        <v>46000</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46000</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46000</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46000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46000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46000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46000</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46000</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46000</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46000</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46000</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46000</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46000</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46000</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46000</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46000</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46000</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46000</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46000</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46000</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46000</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46000</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46000</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46000</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46000</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46000</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46000</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46000</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46000</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46000</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46000</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348-2021</t>
        </is>
      </c>
      <c r="B209" s="1" t="n">
        <v>44201</v>
      </c>
      <c r="C209" s="1" t="n">
        <v>46000</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367-2021</t>
        </is>
      </c>
      <c r="B210" s="1" t="n">
        <v>44201</v>
      </c>
      <c r="C210" s="1" t="n">
        <v>46000</v>
      </c>
      <c r="D210" t="inlineStr">
        <is>
          <t>STOCKHOLMS LÄN</t>
        </is>
      </c>
      <c r="E210" t="inlineStr">
        <is>
          <t>NORRTÄLJE</t>
        </is>
      </c>
      <c r="G210" t="n">
        <v>0.1</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46000</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46000</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46000</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71325-2021</t>
        </is>
      </c>
      <c r="B214" s="1" t="n">
        <v>44539</v>
      </c>
      <c r="C214" s="1" t="n">
        <v>46000</v>
      </c>
      <c r="D214" t="inlineStr">
        <is>
          <t>STOCKHOLMS LÄN</t>
        </is>
      </c>
      <c r="E214" t="inlineStr">
        <is>
          <t>NORRTÄLJE</t>
        </is>
      </c>
      <c r="G214" t="n">
        <v>2.1</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46000</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46000</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46000</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46000</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46000</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46000</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46000</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46000</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46000</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46000</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46000</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46000</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46000</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46000</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46000</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46000</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46000</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46000</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46000</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46000</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66372-2020</t>
        </is>
      </c>
      <c r="B235" s="1" t="n">
        <v>44176</v>
      </c>
      <c r="C235" s="1" t="n">
        <v>46000</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46000</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46000</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46000</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46000</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46000</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46000</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46000</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46000</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46000</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46000</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46000</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46000</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46000</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46000</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46000</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46000</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46000</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46000</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46000</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46000</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46000</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46000</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46000</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5562-2021</t>
        </is>
      </c>
      <c r="B259" s="1" t="n">
        <v>44230</v>
      </c>
      <c r="C259" s="1" t="n">
        <v>46000</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5566-2021</t>
        </is>
      </c>
      <c r="B260" s="1" t="n">
        <v>44230</v>
      </c>
      <c r="C260" s="1" t="n">
        <v>46000</v>
      </c>
      <c r="D260" t="inlineStr">
        <is>
          <t>STOCKHOLMS LÄN</t>
        </is>
      </c>
      <c r="E260" t="inlineStr">
        <is>
          <t>NORRTÄLJE</t>
        </is>
      </c>
      <c r="G260" t="n">
        <v>3.1</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46000</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46000</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46000</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46000</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46000</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46000</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46000</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12355-2022</t>
        </is>
      </c>
      <c r="B268" s="1" t="n">
        <v>44637</v>
      </c>
      <c r="C268" s="1" t="n">
        <v>46000</v>
      </c>
      <c r="D268" t="inlineStr">
        <is>
          <t>STOCKHOLMS LÄN</t>
        </is>
      </c>
      <c r="E268" t="inlineStr">
        <is>
          <t>NORRTÄLJE</t>
        </is>
      </c>
      <c r="G268" t="n">
        <v>10.4</v>
      </c>
      <c r="H268" t="n">
        <v>0</v>
      </c>
      <c r="I268" t="n">
        <v>0</v>
      </c>
      <c r="J268" t="n">
        <v>0</v>
      </c>
      <c r="K268" t="n">
        <v>0</v>
      </c>
      <c r="L268" t="n">
        <v>0</v>
      </c>
      <c r="M268" t="n">
        <v>0</v>
      </c>
      <c r="N268" t="n">
        <v>0</v>
      </c>
      <c r="O268" t="n">
        <v>0</v>
      </c>
      <c r="P268" t="n">
        <v>0</v>
      </c>
      <c r="Q268" t="n">
        <v>0</v>
      </c>
      <c r="R268" s="2" t="inlineStr"/>
    </row>
    <row r="269" ht="15" customHeight="1">
      <c r="A269" t="inlineStr">
        <is>
          <t>A 27214-2021</t>
        </is>
      </c>
      <c r="B269" s="1" t="n">
        <v>44350</v>
      </c>
      <c r="C269" s="1" t="n">
        <v>46000</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46000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46000</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46000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46000</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46000</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46000</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46000</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46000</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46000</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46000</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46000</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46000</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46000</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46000</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46000</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16117-2022</t>
        </is>
      </c>
      <c r="B285" s="1" t="n">
        <v>44665.65474537037</v>
      </c>
      <c r="C285" s="1" t="n">
        <v>46000</v>
      </c>
      <c r="D285" t="inlineStr">
        <is>
          <t>STOCKHOLMS LÄN</t>
        </is>
      </c>
      <c r="E285" t="inlineStr">
        <is>
          <t>NORRTÄLJE</t>
        </is>
      </c>
      <c r="G285" t="n">
        <v>8.1</v>
      </c>
      <c r="H285" t="n">
        <v>0</v>
      </c>
      <c r="I285" t="n">
        <v>0</v>
      </c>
      <c r="J285" t="n">
        <v>0</v>
      </c>
      <c r="K285" t="n">
        <v>0</v>
      </c>
      <c r="L285" t="n">
        <v>0</v>
      </c>
      <c r="M285" t="n">
        <v>0</v>
      </c>
      <c r="N285" t="n">
        <v>0</v>
      </c>
      <c r="O285" t="n">
        <v>0</v>
      </c>
      <c r="P285" t="n">
        <v>0</v>
      </c>
      <c r="Q285" t="n">
        <v>0</v>
      </c>
      <c r="R285" s="2" t="inlineStr"/>
    </row>
    <row r="286" ht="15" customHeight="1">
      <c r="A286" t="inlineStr">
        <is>
          <t>A 16132-2022</t>
        </is>
      </c>
      <c r="B286" s="1" t="n">
        <v>44665.78351851852</v>
      </c>
      <c r="C286" s="1" t="n">
        <v>46000</v>
      </c>
      <c r="D286" t="inlineStr">
        <is>
          <t>STOCKHOLMS LÄN</t>
        </is>
      </c>
      <c r="E286" t="inlineStr">
        <is>
          <t>NORRTÄLJE</t>
        </is>
      </c>
      <c r="G286" t="n">
        <v>4.4</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46000</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25463-2021</t>
        </is>
      </c>
      <c r="B288" s="1" t="n">
        <v>44342</v>
      </c>
      <c r="C288" s="1" t="n">
        <v>46000</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21102-2022</t>
        </is>
      </c>
      <c r="B289" s="1" t="n">
        <v>44704</v>
      </c>
      <c r="C289" s="1" t="n">
        <v>46000</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71880-2021</t>
        </is>
      </c>
      <c r="B290" s="1" t="n">
        <v>44543</v>
      </c>
      <c r="C290" s="1" t="n">
        <v>46000</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46000</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24101-2022</t>
        </is>
      </c>
      <c r="B292" s="1" t="n">
        <v>44725</v>
      </c>
      <c r="C292" s="1" t="n">
        <v>46000</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46000</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46000</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67285-2021</t>
        </is>
      </c>
      <c r="B295" s="1" t="n">
        <v>44523.61635416667</v>
      </c>
      <c r="C295" s="1" t="n">
        <v>46000</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46000</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46000</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15915-2023</t>
        </is>
      </c>
      <c r="B298" s="1" t="n">
        <v>45022</v>
      </c>
      <c r="C298" s="1" t="n">
        <v>46000</v>
      </c>
      <c r="D298" t="inlineStr">
        <is>
          <t>STOCKHOLMS LÄN</t>
        </is>
      </c>
      <c r="E298" t="inlineStr">
        <is>
          <t>NORRTÄLJE</t>
        </is>
      </c>
      <c r="G298" t="n">
        <v>2.9</v>
      </c>
      <c r="H298" t="n">
        <v>0</v>
      </c>
      <c r="I298" t="n">
        <v>0</v>
      </c>
      <c r="J298" t="n">
        <v>0</v>
      </c>
      <c r="K298" t="n">
        <v>0</v>
      </c>
      <c r="L298" t="n">
        <v>0</v>
      </c>
      <c r="M298" t="n">
        <v>0</v>
      </c>
      <c r="N298" t="n">
        <v>0</v>
      </c>
      <c r="O298" t="n">
        <v>0</v>
      </c>
      <c r="P298" t="n">
        <v>0</v>
      </c>
      <c r="Q298" t="n">
        <v>0</v>
      </c>
      <c r="R298" s="2" t="inlineStr"/>
    </row>
    <row r="299" ht="15" customHeight="1">
      <c r="A299" t="inlineStr">
        <is>
          <t>A 27828-2022</t>
        </is>
      </c>
      <c r="B299" s="1" t="n">
        <v>44743.59765046297</v>
      </c>
      <c r="C299" s="1" t="n">
        <v>46000</v>
      </c>
      <c r="D299" t="inlineStr">
        <is>
          <t>STOCKHOLMS LÄN</t>
        </is>
      </c>
      <c r="E299" t="inlineStr">
        <is>
          <t>NORRTÄLJE</t>
        </is>
      </c>
      <c r="F299" t="inlineStr">
        <is>
          <t>Kommuner</t>
        </is>
      </c>
      <c r="G299" t="n">
        <v>1.6</v>
      </c>
      <c r="H299" t="n">
        <v>0</v>
      </c>
      <c r="I299" t="n">
        <v>0</v>
      </c>
      <c r="J299" t="n">
        <v>0</v>
      </c>
      <c r="K299" t="n">
        <v>0</v>
      </c>
      <c r="L299" t="n">
        <v>0</v>
      </c>
      <c r="M299" t="n">
        <v>0</v>
      </c>
      <c r="N299" t="n">
        <v>0</v>
      </c>
      <c r="O299" t="n">
        <v>0</v>
      </c>
      <c r="P299" t="n">
        <v>0</v>
      </c>
      <c r="Q299" t="n">
        <v>0</v>
      </c>
      <c r="R299" s="2" t="inlineStr"/>
    </row>
    <row r="300" ht="15" customHeight="1">
      <c r="A300" t="inlineStr">
        <is>
          <t>A 16229-2022</t>
        </is>
      </c>
      <c r="B300" s="1" t="n">
        <v>44670.4190162037</v>
      </c>
      <c r="C300" s="1" t="n">
        <v>46000</v>
      </c>
      <c r="D300" t="inlineStr">
        <is>
          <t>STOCKHOLMS LÄN</t>
        </is>
      </c>
      <c r="E300" t="inlineStr">
        <is>
          <t>NORRTÄLJE</t>
        </is>
      </c>
      <c r="G300" t="n">
        <v>7.4</v>
      </c>
      <c r="H300" t="n">
        <v>0</v>
      </c>
      <c r="I300" t="n">
        <v>0</v>
      </c>
      <c r="J300" t="n">
        <v>0</v>
      </c>
      <c r="K300" t="n">
        <v>0</v>
      </c>
      <c r="L300" t="n">
        <v>0</v>
      </c>
      <c r="M300" t="n">
        <v>0</v>
      </c>
      <c r="N300" t="n">
        <v>0</v>
      </c>
      <c r="O300" t="n">
        <v>0</v>
      </c>
      <c r="P300" t="n">
        <v>0</v>
      </c>
      <c r="Q300" t="n">
        <v>0</v>
      </c>
      <c r="R300" s="2" t="inlineStr"/>
    </row>
    <row r="301" ht="15" customHeight="1">
      <c r="A301" t="inlineStr">
        <is>
          <t>A 55243-2023</t>
        </is>
      </c>
      <c r="B301" s="1" t="n">
        <v>45237</v>
      </c>
      <c r="C301" s="1" t="n">
        <v>46000</v>
      </c>
      <c r="D301" t="inlineStr">
        <is>
          <t>STOCKHOLMS LÄN</t>
        </is>
      </c>
      <c r="E301" t="inlineStr">
        <is>
          <t>NORRTÄLJE</t>
        </is>
      </c>
      <c r="G301" t="n">
        <v>6.5</v>
      </c>
      <c r="H301" t="n">
        <v>0</v>
      </c>
      <c r="I301" t="n">
        <v>0</v>
      </c>
      <c r="J301" t="n">
        <v>0</v>
      </c>
      <c r="K301" t="n">
        <v>0</v>
      </c>
      <c r="L301" t="n">
        <v>0</v>
      </c>
      <c r="M301" t="n">
        <v>0</v>
      </c>
      <c r="N301" t="n">
        <v>0</v>
      </c>
      <c r="O301" t="n">
        <v>0</v>
      </c>
      <c r="P301" t="n">
        <v>0</v>
      </c>
      <c r="Q301" t="n">
        <v>0</v>
      </c>
      <c r="R301" s="2" t="inlineStr"/>
    </row>
    <row r="302" ht="15" customHeight="1">
      <c r="A302" t="inlineStr">
        <is>
          <t>A 33226-2024</t>
        </is>
      </c>
      <c r="B302" s="1" t="n">
        <v>45518</v>
      </c>
      <c r="C302" s="1" t="n">
        <v>46000</v>
      </c>
      <c r="D302" t="inlineStr">
        <is>
          <t>STOCKHOLMS LÄN</t>
        </is>
      </c>
      <c r="E302" t="inlineStr">
        <is>
          <t>NORRTÄLJE</t>
        </is>
      </c>
      <c r="G302" t="n">
        <v>13.8</v>
      </c>
      <c r="H302" t="n">
        <v>0</v>
      </c>
      <c r="I302" t="n">
        <v>0</v>
      </c>
      <c r="J302" t="n">
        <v>0</v>
      </c>
      <c r="K302" t="n">
        <v>0</v>
      </c>
      <c r="L302" t="n">
        <v>0</v>
      </c>
      <c r="M302" t="n">
        <v>0</v>
      </c>
      <c r="N302" t="n">
        <v>0</v>
      </c>
      <c r="O302" t="n">
        <v>0</v>
      </c>
      <c r="P302" t="n">
        <v>0</v>
      </c>
      <c r="Q302" t="n">
        <v>0</v>
      </c>
      <c r="R302" s="2" t="inlineStr"/>
    </row>
    <row r="303" ht="15" customHeight="1">
      <c r="A303" t="inlineStr">
        <is>
          <t>A 52260-2022</t>
        </is>
      </c>
      <c r="B303" s="1" t="n">
        <v>44869</v>
      </c>
      <c r="C303" s="1" t="n">
        <v>46000</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22008-2024</t>
        </is>
      </c>
      <c r="B304" s="1" t="n">
        <v>45443</v>
      </c>
      <c r="C304" s="1" t="n">
        <v>46000</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25557-2023</t>
        </is>
      </c>
      <c r="B305" s="1" t="n">
        <v>45089</v>
      </c>
      <c r="C305" s="1" t="n">
        <v>46000</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27715-2022</t>
        </is>
      </c>
      <c r="B306" s="1" t="n">
        <v>44743.47407407407</v>
      </c>
      <c r="C306" s="1" t="n">
        <v>46000</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64137-2021</t>
        </is>
      </c>
      <c r="B307" s="1" t="n">
        <v>44510.51422453704</v>
      </c>
      <c r="C307" s="1" t="n">
        <v>46000</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29972-2024</t>
        </is>
      </c>
      <c r="B308" s="1" t="n">
        <v>45485</v>
      </c>
      <c r="C308" s="1" t="n">
        <v>46000</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48716-2023</t>
        </is>
      </c>
      <c r="B309" s="1" t="n">
        <v>45208.69671296296</v>
      </c>
      <c r="C309" s="1" t="n">
        <v>46000</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5027-2025</t>
        </is>
      </c>
      <c r="B310" s="1" t="n">
        <v>45691.41101851852</v>
      </c>
      <c r="C310" s="1" t="n">
        <v>46000</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11122-2021</t>
        </is>
      </c>
      <c r="B311" s="1" t="n">
        <v>44260</v>
      </c>
      <c r="C311" s="1" t="n">
        <v>46000</v>
      </c>
      <c r="D311" t="inlineStr">
        <is>
          <t>STOCKHOLMS LÄN</t>
        </is>
      </c>
      <c r="E311" t="inlineStr">
        <is>
          <t>NORRTÄLJE</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12268-2022</t>
        </is>
      </c>
      <c r="B312" s="1" t="n">
        <v>44637</v>
      </c>
      <c r="C312" s="1" t="n">
        <v>46000</v>
      </c>
      <c r="D312" t="inlineStr">
        <is>
          <t>STOCKHOLMS LÄN</t>
        </is>
      </c>
      <c r="E312" t="inlineStr">
        <is>
          <t>NORRTÄLJE</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20015-2023</t>
        </is>
      </c>
      <c r="B313" s="1" t="n">
        <v>45054</v>
      </c>
      <c r="C313" s="1" t="n">
        <v>46000</v>
      </c>
      <c r="D313" t="inlineStr">
        <is>
          <t>STOCKHOLMS LÄN</t>
        </is>
      </c>
      <c r="E313" t="inlineStr">
        <is>
          <t>NORRTÄLJE</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3273-2025</t>
        </is>
      </c>
      <c r="B314" s="1" t="n">
        <v>45679</v>
      </c>
      <c r="C314" s="1" t="n">
        <v>46000</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24245-2024</t>
        </is>
      </c>
      <c r="B315" s="1" t="n">
        <v>45457</v>
      </c>
      <c r="C315" s="1" t="n">
        <v>46000</v>
      </c>
      <c r="D315" t="inlineStr">
        <is>
          <t>STOCKHOLMS LÄN</t>
        </is>
      </c>
      <c r="E315" t="inlineStr">
        <is>
          <t>NORRTÄLJE</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21291-2021</t>
        </is>
      </c>
      <c r="B316" s="1" t="n">
        <v>44319</v>
      </c>
      <c r="C316" s="1" t="n">
        <v>46000</v>
      </c>
      <c r="D316" t="inlineStr">
        <is>
          <t>STOCKHOLMS LÄN</t>
        </is>
      </c>
      <c r="E316" t="inlineStr">
        <is>
          <t>NORRTÄLJE</t>
        </is>
      </c>
      <c r="G316" t="n">
        <v>12.7</v>
      </c>
      <c r="H316" t="n">
        <v>0</v>
      </c>
      <c r="I316" t="n">
        <v>0</v>
      </c>
      <c r="J316" t="n">
        <v>0</v>
      </c>
      <c r="K316" t="n">
        <v>0</v>
      </c>
      <c r="L316" t="n">
        <v>0</v>
      </c>
      <c r="M316" t="n">
        <v>0</v>
      </c>
      <c r="N316" t="n">
        <v>0</v>
      </c>
      <c r="O316" t="n">
        <v>0</v>
      </c>
      <c r="P316" t="n">
        <v>0</v>
      </c>
      <c r="Q316" t="n">
        <v>0</v>
      </c>
      <c r="R316" s="2" t="inlineStr"/>
    </row>
    <row r="317" ht="15" customHeight="1">
      <c r="A317" t="inlineStr">
        <is>
          <t>A 55696-2022</t>
        </is>
      </c>
      <c r="B317" s="1" t="n">
        <v>44888</v>
      </c>
      <c r="C317" s="1" t="n">
        <v>46000</v>
      </c>
      <c r="D317" t="inlineStr">
        <is>
          <t>STOCKHOLMS LÄN</t>
        </is>
      </c>
      <c r="E317" t="inlineStr">
        <is>
          <t>NORRTÄLJE</t>
        </is>
      </c>
      <c r="G317" t="n">
        <v>2.2</v>
      </c>
      <c r="H317" t="n">
        <v>0</v>
      </c>
      <c r="I317" t="n">
        <v>0</v>
      </c>
      <c r="J317" t="n">
        <v>0</v>
      </c>
      <c r="K317" t="n">
        <v>0</v>
      </c>
      <c r="L317" t="n">
        <v>0</v>
      </c>
      <c r="M317" t="n">
        <v>0</v>
      </c>
      <c r="N317" t="n">
        <v>0</v>
      </c>
      <c r="O317" t="n">
        <v>0</v>
      </c>
      <c r="P317" t="n">
        <v>0</v>
      </c>
      <c r="Q317" t="n">
        <v>0</v>
      </c>
      <c r="R317" s="2" t="inlineStr"/>
    </row>
    <row r="318" ht="15" customHeight="1">
      <c r="A318" t="inlineStr">
        <is>
          <t>A 22412-2021</t>
        </is>
      </c>
      <c r="B318" s="1" t="n">
        <v>44326.61967592593</v>
      </c>
      <c r="C318" s="1" t="n">
        <v>46000</v>
      </c>
      <c r="D318" t="inlineStr">
        <is>
          <t>STOCKHOLMS LÄN</t>
        </is>
      </c>
      <c r="E318" t="inlineStr">
        <is>
          <t>NORRTÄLJE</t>
        </is>
      </c>
      <c r="G318" t="n">
        <v>1.7</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46000</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46000</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13172-2025</t>
        </is>
      </c>
      <c r="B321" s="1" t="n">
        <v>45735.36873842592</v>
      </c>
      <c r="C321" s="1" t="n">
        <v>46000</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64145-2021</t>
        </is>
      </c>
      <c r="B322" s="1" t="n">
        <v>44510</v>
      </c>
      <c r="C322" s="1" t="n">
        <v>46000</v>
      </c>
      <c r="D322" t="inlineStr">
        <is>
          <t>STOCKHOLMS LÄN</t>
        </is>
      </c>
      <c r="E322" t="inlineStr">
        <is>
          <t>NORRTÄLJE</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1740-2023</t>
        </is>
      </c>
      <c r="B323" s="1" t="n">
        <v>44938</v>
      </c>
      <c r="C323" s="1" t="n">
        <v>46000</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4596-2023</t>
        </is>
      </c>
      <c r="B324" s="1" t="n">
        <v>44956</v>
      </c>
      <c r="C324" s="1" t="n">
        <v>46000</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22456-2023</t>
        </is>
      </c>
      <c r="B325" s="1" t="n">
        <v>45070</v>
      </c>
      <c r="C325" s="1" t="n">
        <v>46000</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17785-2024</t>
        </is>
      </c>
      <c r="B326" s="1" t="n">
        <v>45418.6968287037</v>
      </c>
      <c r="C326" s="1" t="n">
        <v>46000</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10676-2025</t>
        </is>
      </c>
      <c r="B327" s="1" t="n">
        <v>45721.88684027778</v>
      </c>
      <c r="C327" s="1" t="n">
        <v>46000</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6678-2025</t>
        </is>
      </c>
      <c r="B328" s="1" t="n">
        <v>45700</v>
      </c>
      <c r="C328" s="1" t="n">
        <v>46000</v>
      </c>
      <c r="D328" t="inlineStr">
        <is>
          <t>STOCKHOLMS LÄN</t>
        </is>
      </c>
      <c r="E328" t="inlineStr">
        <is>
          <t>NORRTÄLJE</t>
        </is>
      </c>
      <c r="F328" t="inlineStr">
        <is>
          <t>Övriga Aktiebolag</t>
        </is>
      </c>
      <c r="G328" t="n">
        <v>6.6</v>
      </c>
      <c r="H328" t="n">
        <v>0</v>
      </c>
      <c r="I328" t="n">
        <v>0</v>
      </c>
      <c r="J328" t="n">
        <v>0</v>
      </c>
      <c r="K328" t="n">
        <v>0</v>
      </c>
      <c r="L328" t="n">
        <v>0</v>
      </c>
      <c r="M328" t="n">
        <v>0</v>
      </c>
      <c r="N328" t="n">
        <v>0</v>
      </c>
      <c r="O328" t="n">
        <v>0</v>
      </c>
      <c r="P328" t="n">
        <v>0</v>
      </c>
      <c r="Q328" t="n">
        <v>0</v>
      </c>
      <c r="R328" s="2" t="inlineStr"/>
    </row>
    <row r="329" ht="15" customHeight="1">
      <c r="A329" t="inlineStr">
        <is>
          <t>A 20852-2023</t>
        </is>
      </c>
      <c r="B329" s="1" t="n">
        <v>45058.78607638889</v>
      </c>
      <c r="C329" s="1" t="n">
        <v>46000</v>
      </c>
      <c r="D329" t="inlineStr">
        <is>
          <t>STOCKHOLMS LÄN</t>
        </is>
      </c>
      <c r="E329" t="inlineStr">
        <is>
          <t>NORRTÄLJE</t>
        </is>
      </c>
      <c r="G329" t="n">
        <v>3.5</v>
      </c>
      <c r="H329" t="n">
        <v>0</v>
      </c>
      <c r="I329" t="n">
        <v>0</v>
      </c>
      <c r="J329" t="n">
        <v>0</v>
      </c>
      <c r="K329" t="n">
        <v>0</v>
      </c>
      <c r="L329" t="n">
        <v>0</v>
      </c>
      <c r="M329" t="n">
        <v>0</v>
      </c>
      <c r="N329" t="n">
        <v>0</v>
      </c>
      <c r="O329" t="n">
        <v>0</v>
      </c>
      <c r="P329" t="n">
        <v>0</v>
      </c>
      <c r="Q329" t="n">
        <v>0</v>
      </c>
      <c r="R329" s="2" t="inlineStr"/>
    </row>
    <row r="330" ht="15" customHeight="1">
      <c r="A330" t="inlineStr">
        <is>
          <t>A 19982-2022</t>
        </is>
      </c>
      <c r="B330" s="1" t="n">
        <v>44697</v>
      </c>
      <c r="C330" s="1" t="n">
        <v>46000</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16620-2024</t>
        </is>
      </c>
      <c r="B331" s="1" t="n">
        <v>45408.57707175926</v>
      </c>
      <c r="C331" s="1" t="n">
        <v>46000</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46000</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13053-2022</t>
        </is>
      </c>
      <c r="B333" s="1" t="n">
        <v>44643</v>
      </c>
      <c r="C333" s="1" t="n">
        <v>46000</v>
      </c>
      <c r="D333" t="inlineStr">
        <is>
          <t>STOCKHOLMS LÄN</t>
        </is>
      </c>
      <c r="E333" t="inlineStr">
        <is>
          <t>NORRTÄLJE</t>
        </is>
      </c>
      <c r="G333" t="n">
        <v>2.8</v>
      </c>
      <c r="H333" t="n">
        <v>0</v>
      </c>
      <c r="I333" t="n">
        <v>0</v>
      </c>
      <c r="J333" t="n">
        <v>0</v>
      </c>
      <c r="K333" t="n">
        <v>0</v>
      </c>
      <c r="L333" t="n">
        <v>0</v>
      </c>
      <c r="M333" t="n">
        <v>0</v>
      </c>
      <c r="N333" t="n">
        <v>0</v>
      </c>
      <c r="O333" t="n">
        <v>0</v>
      </c>
      <c r="P333" t="n">
        <v>0</v>
      </c>
      <c r="Q333" t="n">
        <v>0</v>
      </c>
      <c r="R333" s="2" t="inlineStr"/>
    </row>
    <row r="334" ht="15" customHeight="1">
      <c r="A334" t="inlineStr">
        <is>
          <t>A 50108-2021</t>
        </is>
      </c>
      <c r="B334" s="1" t="n">
        <v>44456</v>
      </c>
      <c r="C334" s="1" t="n">
        <v>46000</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22416-2025</t>
        </is>
      </c>
      <c r="B335" s="1" t="n">
        <v>45786.55645833333</v>
      </c>
      <c r="C335" s="1" t="n">
        <v>46000</v>
      </c>
      <c r="D335" t="inlineStr">
        <is>
          <t>STOCKHOLMS LÄN</t>
        </is>
      </c>
      <c r="E335" t="inlineStr">
        <is>
          <t>NORRTÄLJE</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58785-2024</t>
        </is>
      </c>
      <c r="B336" s="1" t="n">
        <v>45635.88849537037</v>
      </c>
      <c r="C336" s="1" t="n">
        <v>46000</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50355-2024</t>
        </is>
      </c>
      <c r="B337" s="1" t="n">
        <v>45600.86128472222</v>
      </c>
      <c r="C337" s="1" t="n">
        <v>46000</v>
      </c>
      <c r="D337" t="inlineStr">
        <is>
          <t>STOCKHOLMS LÄN</t>
        </is>
      </c>
      <c r="E337" t="inlineStr">
        <is>
          <t>NORRTÄLJE</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2182-2022</t>
        </is>
      </c>
      <c r="B338" s="1" t="n">
        <v>44578</v>
      </c>
      <c r="C338" s="1" t="n">
        <v>46000</v>
      </c>
      <c r="D338" t="inlineStr">
        <is>
          <t>STOCKHOLMS LÄN</t>
        </is>
      </c>
      <c r="E338" t="inlineStr">
        <is>
          <t>NORRTÄLJE</t>
        </is>
      </c>
      <c r="G338" t="n">
        <v>7.2</v>
      </c>
      <c r="H338" t="n">
        <v>0</v>
      </c>
      <c r="I338" t="n">
        <v>0</v>
      </c>
      <c r="J338" t="n">
        <v>0</v>
      </c>
      <c r="K338" t="n">
        <v>0</v>
      </c>
      <c r="L338" t="n">
        <v>0</v>
      </c>
      <c r="M338" t="n">
        <v>0</v>
      </c>
      <c r="N338" t="n">
        <v>0</v>
      </c>
      <c r="O338" t="n">
        <v>0</v>
      </c>
      <c r="P338" t="n">
        <v>0</v>
      </c>
      <c r="Q338" t="n">
        <v>0</v>
      </c>
      <c r="R338" s="2" t="inlineStr"/>
    </row>
    <row r="339" ht="15" customHeight="1">
      <c r="A339" t="inlineStr">
        <is>
          <t>A 68081-2020</t>
        </is>
      </c>
      <c r="B339" s="1" t="n">
        <v>44183</v>
      </c>
      <c r="C339" s="1" t="n">
        <v>46000</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38720-2025</t>
        </is>
      </c>
      <c r="B340" s="1" t="n">
        <v>45886</v>
      </c>
      <c r="C340" s="1" t="n">
        <v>46000</v>
      </c>
      <c r="D340" t="inlineStr">
        <is>
          <t>STOCKHOLMS LÄN</t>
        </is>
      </c>
      <c r="E340" t="inlineStr">
        <is>
          <t>NORRTÄLJE</t>
        </is>
      </c>
      <c r="G340" t="n">
        <v>1.6</v>
      </c>
      <c r="H340" t="n">
        <v>0</v>
      </c>
      <c r="I340" t="n">
        <v>0</v>
      </c>
      <c r="J340" t="n">
        <v>0</v>
      </c>
      <c r="K340" t="n">
        <v>0</v>
      </c>
      <c r="L340" t="n">
        <v>0</v>
      </c>
      <c r="M340" t="n">
        <v>0</v>
      </c>
      <c r="N340" t="n">
        <v>0</v>
      </c>
      <c r="O340" t="n">
        <v>0</v>
      </c>
      <c r="P340" t="n">
        <v>0</v>
      </c>
      <c r="Q340" t="n">
        <v>0</v>
      </c>
      <c r="R340" s="2" t="inlineStr"/>
    </row>
    <row r="341" ht="15" customHeight="1">
      <c r="A341" t="inlineStr">
        <is>
          <t>A 13268-2025</t>
        </is>
      </c>
      <c r="B341" s="1" t="n">
        <v>45735</v>
      </c>
      <c r="C341" s="1" t="n">
        <v>46000</v>
      </c>
      <c r="D341" t="inlineStr">
        <is>
          <t>STOCKHOLMS LÄN</t>
        </is>
      </c>
      <c r="E341" t="inlineStr">
        <is>
          <t>NORRTÄLJE</t>
        </is>
      </c>
      <c r="G341" t="n">
        <v>11.4</v>
      </c>
      <c r="H341" t="n">
        <v>0</v>
      </c>
      <c r="I341" t="n">
        <v>0</v>
      </c>
      <c r="J341" t="n">
        <v>0</v>
      </c>
      <c r="K341" t="n">
        <v>0</v>
      </c>
      <c r="L341" t="n">
        <v>0</v>
      </c>
      <c r="M341" t="n">
        <v>0</v>
      </c>
      <c r="N341" t="n">
        <v>0</v>
      </c>
      <c r="O341" t="n">
        <v>0</v>
      </c>
      <c r="P341" t="n">
        <v>0</v>
      </c>
      <c r="Q341" t="n">
        <v>0</v>
      </c>
      <c r="R341" s="2" t="inlineStr"/>
    </row>
    <row r="342" ht="15" customHeight="1">
      <c r="A342" t="inlineStr">
        <is>
          <t>A 44917-2022</t>
        </is>
      </c>
      <c r="B342" s="1" t="n">
        <v>44841.52804398148</v>
      </c>
      <c r="C342" s="1" t="n">
        <v>46000</v>
      </c>
      <c r="D342" t="inlineStr">
        <is>
          <t>STOCKHOLMS LÄN</t>
        </is>
      </c>
      <c r="E342" t="inlineStr">
        <is>
          <t>NORRTÄLJE</t>
        </is>
      </c>
      <c r="F342" t="inlineStr">
        <is>
          <t>Holmen skog AB</t>
        </is>
      </c>
      <c r="G342" t="n">
        <v>3.3</v>
      </c>
      <c r="H342" t="n">
        <v>0</v>
      </c>
      <c r="I342" t="n">
        <v>0</v>
      </c>
      <c r="J342" t="n">
        <v>0</v>
      </c>
      <c r="K342" t="n">
        <v>0</v>
      </c>
      <c r="L342" t="n">
        <v>0</v>
      </c>
      <c r="M342" t="n">
        <v>0</v>
      </c>
      <c r="N342" t="n">
        <v>0</v>
      </c>
      <c r="O342" t="n">
        <v>0</v>
      </c>
      <c r="P342" t="n">
        <v>0</v>
      </c>
      <c r="Q342" t="n">
        <v>0</v>
      </c>
      <c r="R342" s="2" t="inlineStr"/>
    </row>
    <row r="343" ht="15" customHeight="1">
      <c r="A343" t="inlineStr">
        <is>
          <t>A 8414-2025</t>
        </is>
      </c>
      <c r="B343" s="1" t="n">
        <v>45709.39361111111</v>
      </c>
      <c r="C343" s="1" t="n">
        <v>46000</v>
      </c>
      <c r="D343" t="inlineStr">
        <is>
          <t>STOCKHOLMS LÄN</t>
        </is>
      </c>
      <c r="E343" t="inlineStr">
        <is>
          <t>NORRTÄLJE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36625-2024</t>
        </is>
      </c>
      <c r="B344" s="1" t="n">
        <v>45537</v>
      </c>
      <c r="C344" s="1" t="n">
        <v>46000</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44891-2023</t>
        </is>
      </c>
      <c r="B345" s="1" t="n">
        <v>45187</v>
      </c>
      <c r="C345" s="1" t="n">
        <v>46000</v>
      </c>
      <c r="D345" t="inlineStr">
        <is>
          <t>STOCKHOLMS LÄN</t>
        </is>
      </c>
      <c r="E345" t="inlineStr">
        <is>
          <t>NORRTÄLJE</t>
        </is>
      </c>
      <c r="G345" t="n">
        <v>15</v>
      </c>
      <c r="H345" t="n">
        <v>0</v>
      </c>
      <c r="I345" t="n">
        <v>0</v>
      </c>
      <c r="J345" t="n">
        <v>0</v>
      </c>
      <c r="K345" t="n">
        <v>0</v>
      </c>
      <c r="L345" t="n">
        <v>0</v>
      </c>
      <c r="M345" t="n">
        <v>0</v>
      </c>
      <c r="N345" t="n">
        <v>0</v>
      </c>
      <c r="O345" t="n">
        <v>0</v>
      </c>
      <c r="P345" t="n">
        <v>0</v>
      </c>
      <c r="Q345" t="n">
        <v>0</v>
      </c>
      <c r="R345" s="2" t="inlineStr"/>
    </row>
    <row r="346" ht="15" customHeight="1">
      <c r="A346" t="inlineStr">
        <is>
          <t>A 12902-2024</t>
        </is>
      </c>
      <c r="B346" s="1" t="n">
        <v>45385.38146990741</v>
      </c>
      <c r="C346" s="1" t="n">
        <v>46000</v>
      </c>
      <c r="D346" t="inlineStr">
        <is>
          <t>STOCKHOLMS LÄN</t>
        </is>
      </c>
      <c r="E346" t="inlineStr">
        <is>
          <t>NORRTÄLJE</t>
        </is>
      </c>
      <c r="G346" t="n">
        <v>3.7</v>
      </c>
      <c r="H346" t="n">
        <v>0</v>
      </c>
      <c r="I346" t="n">
        <v>0</v>
      </c>
      <c r="J346" t="n">
        <v>0</v>
      </c>
      <c r="K346" t="n">
        <v>0</v>
      </c>
      <c r="L346" t="n">
        <v>0</v>
      </c>
      <c r="M346" t="n">
        <v>0</v>
      </c>
      <c r="N346" t="n">
        <v>0</v>
      </c>
      <c r="O346" t="n">
        <v>0</v>
      </c>
      <c r="P346" t="n">
        <v>0</v>
      </c>
      <c r="Q346" t="n">
        <v>0</v>
      </c>
      <c r="R346" s="2" t="inlineStr"/>
    </row>
    <row r="347" ht="15" customHeight="1">
      <c r="A347" t="inlineStr">
        <is>
          <t>A 55058-2021</t>
        </is>
      </c>
      <c r="B347" s="1" t="n">
        <v>44474.62141203704</v>
      </c>
      <c r="C347" s="1" t="n">
        <v>46000</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44032-2024</t>
        </is>
      </c>
      <c r="B348" s="1" t="n">
        <v>45572.57828703704</v>
      </c>
      <c r="C348" s="1" t="n">
        <v>46000</v>
      </c>
      <c r="D348" t="inlineStr">
        <is>
          <t>STOCKHOLMS LÄN</t>
        </is>
      </c>
      <c r="E348" t="inlineStr">
        <is>
          <t>NORRTÄLJE</t>
        </is>
      </c>
      <c r="G348" t="n">
        <v>8.6</v>
      </c>
      <c r="H348" t="n">
        <v>0</v>
      </c>
      <c r="I348" t="n">
        <v>0</v>
      </c>
      <c r="J348" t="n">
        <v>0</v>
      </c>
      <c r="K348" t="n">
        <v>0</v>
      </c>
      <c r="L348" t="n">
        <v>0</v>
      </c>
      <c r="M348" t="n">
        <v>0</v>
      </c>
      <c r="N348" t="n">
        <v>0</v>
      </c>
      <c r="O348" t="n">
        <v>0</v>
      </c>
      <c r="P348" t="n">
        <v>0</v>
      </c>
      <c r="Q348" t="n">
        <v>0</v>
      </c>
      <c r="R348" s="2" t="inlineStr"/>
    </row>
    <row r="349" ht="15" customHeight="1">
      <c r="A349" t="inlineStr">
        <is>
          <t>A 24563-2024</t>
        </is>
      </c>
      <c r="B349" s="1" t="n">
        <v>45460.44347222222</v>
      </c>
      <c r="C349" s="1" t="n">
        <v>46000</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39237-2024</t>
        </is>
      </c>
      <c r="B350" s="1" t="n">
        <v>45549</v>
      </c>
      <c r="C350" s="1" t="n">
        <v>46000</v>
      </c>
      <c r="D350" t="inlineStr">
        <is>
          <t>STOCKHOLMS LÄN</t>
        </is>
      </c>
      <c r="E350" t="inlineStr">
        <is>
          <t>NORRTÄLJE</t>
        </is>
      </c>
      <c r="G350" t="n">
        <v>13.3</v>
      </c>
      <c r="H350" t="n">
        <v>0</v>
      </c>
      <c r="I350" t="n">
        <v>0</v>
      </c>
      <c r="J350" t="n">
        <v>0</v>
      </c>
      <c r="K350" t="n">
        <v>0</v>
      </c>
      <c r="L350" t="n">
        <v>0</v>
      </c>
      <c r="M350" t="n">
        <v>0</v>
      </c>
      <c r="N350" t="n">
        <v>0</v>
      </c>
      <c r="O350" t="n">
        <v>0</v>
      </c>
      <c r="P350" t="n">
        <v>0</v>
      </c>
      <c r="Q350" t="n">
        <v>0</v>
      </c>
      <c r="R350" s="2" t="inlineStr"/>
    </row>
    <row r="351" ht="15" customHeight="1">
      <c r="A351" t="inlineStr">
        <is>
          <t>A 45746-2024</t>
        </is>
      </c>
      <c r="B351" s="1" t="n">
        <v>45579</v>
      </c>
      <c r="C351" s="1" t="n">
        <v>46000</v>
      </c>
      <c r="D351" t="inlineStr">
        <is>
          <t>STOCKHOLMS LÄN</t>
        </is>
      </c>
      <c r="E351" t="inlineStr">
        <is>
          <t>NORRTÄLJE</t>
        </is>
      </c>
      <c r="G351" t="n">
        <v>3.3</v>
      </c>
      <c r="H351" t="n">
        <v>0</v>
      </c>
      <c r="I351" t="n">
        <v>0</v>
      </c>
      <c r="J351" t="n">
        <v>0</v>
      </c>
      <c r="K351" t="n">
        <v>0</v>
      </c>
      <c r="L351" t="n">
        <v>0</v>
      </c>
      <c r="M351" t="n">
        <v>0</v>
      </c>
      <c r="N351" t="n">
        <v>0</v>
      </c>
      <c r="O351" t="n">
        <v>0</v>
      </c>
      <c r="P351" t="n">
        <v>0</v>
      </c>
      <c r="Q351" t="n">
        <v>0</v>
      </c>
      <c r="R351" s="2" t="inlineStr"/>
    </row>
    <row r="352" ht="15" customHeight="1">
      <c r="A352" t="inlineStr">
        <is>
          <t>A 8400-2024</t>
        </is>
      </c>
      <c r="B352" s="1" t="n">
        <v>45352.74090277778</v>
      </c>
      <c r="C352" s="1" t="n">
        <v>46000</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55012-2024</t>
        </is>
      </c>
      <c r="B353" s="1" t="n">
        <v>45621.34813657407</v>
      </c>
      <c r="C353" s="1" t="n">
        <v>46000</v>
      </c>
      <c r="D353" t="inlineStr">
        <is>
          <t>STOCKHOLMS LÄN</t>
        </is>
      </c>
      <c r="E353" t="inlineStr">
        <is>
          <t>NORRTÄLJE</t>
        </is>
      </c>
      <c r="F353" t="inlineStr">
        <is>
          <t>Sveaskog</t>
        </is>
      </c>
      <c r="G353" t="n">
        <v>5.2</v>
      </c>
      <c r="H353" t="n">
        <v>0</v>
      </c>
      <c r="I353" t="n">
        <v>0</v>
      </c>
      <c r="J353" t="n">
        <v>0</v>
      </c>
      <c r="K353" t="n">
        <v>0</v>
      </c>
      <c r="L353" t="n">
        <v>0</v>
      </c>
      <c r="M353" t="n">
        <v>0</v>
      </c>
      <c r="N353" t="n">
        <v>0</v>
      </c>
      <c r="O353" t="n">
        <v>0</v>
      </c>
      <c r="P353" t="n">
        <v>0</v>
      </c>
      <c r="Q353" t="n">
        <v>0</v>
      </c>
      <c r="R353" s="2" t="inlineStr"/>
    </row>
    <row r="354" ht="15" customHeight="1">
      <c r="A354" t="inlineStr">
        <is>
          <t>A 7413-2024</t>
        </is>
      </c>
      <c r="B354" s="1" t="n">
        <v>45345.6059837963</v>
      </c>
      <c r="C354" s="1" t="n">
        <v>46000</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12251-2025</t>
        </is>
      </c>
      <c r="B355" s="1" t="n">
        <v>45729.60859953704</v>
      </c>
      <c r="C355" s="1" t="n">
        <v>46000</v>
      </c>
      <c r="D355" t="inlineStr">
        <is>
          <t>STOCKHOLMS LÄN</t>
        </is>
      </c>
      <c r="E355" t="inlineStr">
        <is>
          <t>NORRTÄLJE</t>
        </is>
      </c>
      <c r="F355" t="inlineStr">
        <is>
          <t>Holmen skog AB</t>
        </is>
      </c>
      <c r="G355" t="n">
        <v>5.9</v>
      </c>
      <c r="H355" t="n">
        <v>0</v>
      </c>
      <c r="I355" t="n">
        <v>0</v>
      </c>
      <c r="J355" t="n">
        <v>0</v>
      </c>
      <c r="K355" t="n">
        <v>0</v>
      </c>
      <c r="L355" t="n">
        <v>0</v>
      </c>
      <c r="M355" t="n">
        <v>0</v>
      </c>
      <c r="N355" t="n">
        <v>0</v>
      </c>
      <c r="O355" t="n">
        <v>0</v>
      </c>
      <c r="P355" t="n">
        <v>0</v>
      </c>
      <c r="Q355" t="n">
        <v>0</v>
      </c>
      <c r="R355" s="2" t="inlineStr"/>
    </row>
    <row r="356" ht="15" customHeight="1">
      <c r="A356" t="inlineStr">
        <is>
          <t>A 58863-2024</t>
        </is>
      </c>
      <c r="B356" s="1" t="n">
        <v>45636.41572916666</v>
      </c>
      <c r="C356" s="1" t="n">
        <v>46000</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38593-2025</t>
        </is>
      </c>
      <c r="B357" s="1" t="n">
        <v>45884.48696759259</v>
      </c>
      <c r="C357" s="1" t="n">
        <v>46000</v>
      </c>
      <c r="D357" t="inlineStr">
        <is>
          <t>STOCKHOLMS LÄN</t>
        </is>
      </c>
      <c r="E357" t="inlineStr">
        <is>
          <t>NORRTÄLJE</t>
        </is>
      </c>
      <c r="G357" t="n">
        <v>3</v>
      </c>
      <c r="H357" t="n">
        <v>0</v>
      </c>
      <c r="I357" t="n">
        <v>0</v>
      </c>
      <c r="J357" t="n">
        <v>0</v>
      </c>
      <c r="K357" t="n">
        <v>0</v>
      </c>
      <c r="L357" t="n">
        <v>0</v>
      </c>
      <c r="M357" t="n">
        <v>0</v>
      </c>
      <c r="N357" t="n">
        <v>0</v>
      </c>
      <c r="O357" t="n">
        <v>0</v>
      </c>
      <c r="P357" t="n">
        <v>0</v>
      </c>
      <c r="Q357" t="n">
        <v>0</v>
      </c>
      <c r="R357" s="2" t="inlineStr"/>
    </row>
    <row r="358" ht="15" customHeight="1">
      <c r="A358" t="inlineStr">
        <is>
          <t>A 50154-2024</t>
        </is>
      </c>
      <c r="B358" s="1" t="n">
        <v>45600.4558912037</v>
      </c>
      <c r="C358" s="1" t="n">
        <v>46000</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11900-2024</t>
        </is>
      </c>
      <c r="B359" s="1" t="n">
        <v>45376.55484953704</v>
      </c>
      <c r="C359" s="1" t="n">
        <v>46000</v>
      </c>
      <c r="D359" t="inlineStr">
        <is>
          <t>STOCKHOLMS LÄN</t>
        </is>
      </c>
      <c r="E359" t="inlineStr">
        <is>
          <t>NORRTÄLJE</t>
        </is>
      </c>
      <c r="G359" t="n">
        <v>4.2</v>
      </c>
      <c r="H359" t="n">
        <v>0</v>
      </c>
      <c r="I359" t="n">
        <v>0</v>
      </c>
      <c r="J359" t="n">
        <v>0</v>
      </c>
      <c r="K359" t="n">
        <v>0</v>
      </c>
      <c r="L359" t="n">
        <v>0</v>
      </c>
      <c r="M359" t="n">
        <v>0</v>
      </c>
      <c r="N359" t="n">
        <v>0</v>
      </c>
      <c r="O359" t="n">
        <v>0</v>
      </c>
      <c r="P359" t="n">
        <v>0</v>
      </c>
      <c r="Q359" t="n">
        <v>0</v>
      </c>
      <c r="R359" s="2" t="inlineStr"/>
    </row>
    <row r="360" ht="15" customHeight="1">
      <c r="A360" t="inlineStr">
        <is>
          <t>A 27677-2025</t>
        </is>
      </c>
      <c r="B360" s="1" t="n">
        <v>45813.63650462963</v>
      </c>
      <c r="C360" s="1" t="n">
        <v>46000</v>
      </c>
      <c r="D360" t="inlineStr">
        <is>
          <t>STOCKHOLMS LÄN</t>
        </is>
      </c>
      <c r="E360" t="inlineStr">
        <is>
          <t>NORRTÄLJE</t>
        </is>
      </c>
      <c r="G360" t="n">
        <v>2</v>
      </c>
      <c r="H360" t="n">
        <v>0</v>
      </c>
      <c r="I360" t="n">
        <v>0</v>
      </c>
      <c r="J360" t="n">
        <v>0</v>
      </c>
      <c r="K360" t="n">
        <v>0</v>
      </c>
      <c r="L360" t="n">
        <v>0</v>
      </c>
      <c r="M360" t="n">
        <v>0</v>
      </c>
      <c r="N360" t="n">
        <v>0</v>
      </c>
      <c r="O360" t="n">
        <v>0</v>
      </c>
      <c r="P360" t="n">
        <v>0</v>
      </c>
      <c r="Q360" t="n">
        <v>0</v>
      </c>
      <c r="R360" s="2" t="inlineStr"/>
    </row>
    <row r="361" ht="15" customHeight="1">
      <c r="A361" t="inlineStr">
        <is>
          <t>A 39152-2025</t>
        </is>
      </c>
      <c r="B361" s="1" t="n">
        <v>45888</v>
      </c>
      <c r="C361" s="1" t="n">
        <v>46000</v>
      </c>
      <c r="D361" t="inlineStr">
        <is>
          <t>STOCKHOLMS LÄN</t>
        </is>
      </c>
      <c r="E361" t="inlineStr">
        <is>
          <t>NORRTÄLJE</t>
        </is>
      </c>
      <c r="G361" t="n">
        <v>4.6</v>
      </c>
      <c r="H361" t="n">
        <v>0</v>
      </c>
      <c r="I361" t="n">
        <v>0</v>
      </c>
      <c r="J361" t="n">
        <v>0</v>
      </c>
      <c r="K361" t="n">
        <v>0</v>
      </c>
      <c r="L361" t="n">
        <v>0</v>
      </c>
      <c r="M361" t="n">
        <v>0</v>
      </c>
      <c r="N361" t="n">
        <v>0</v>
      </c>
      <c r="O361" t="n">
        <v>0</v>
      </c>
      <c r="P361" t="n">
        <v>0</v>
      </c>
      <c r="Q361" t="n">
        <v>0</v>
      </c>
      <c r="R361" s="2" t="inlineStr"/>
    </row>
    <row r="362" ht="15" customHeight="1">
      <c r="A362" t="inlineStr">
        <is>
          <t>A 62998-2023</t>
        </is>
      </c>
      <c r="B362" s="1" t="n">
        <v>45272.64479166667</v>
      </c>
      <c r="C362" s="1" t="n">
        <v>46000</v>
      </c>
      <c r="D362" t="inlineStr">
        <is>
          <t>STOCKHOLMS LÄN</t>
        </is>
      </c>
      <c r="E362" t="inlineStr">
        <is>
          <t>NORRTÄLJE</t>
        </is>
      </c>
      <c r="G362" t="n">
        <v>16.3</v>
      </c>
      <c r="H362" t="n">
        <v>0</v>
      </c>
      <c r="I362" t="n">
        <v>0</v>
      </c>
      <c r="J362" t="n">
        <v>0</v>
      </c>
      <c r="K362" t="n">
        <v>0</v>
      </c>
      <c r="L362" t="n">
        <v>0</v>
      </c>
      <c r="M362" t="n">
        <v>0</v>
      </c>
      <c r="N362" t="n">
        <v>0</v>
      </c>
      <c r="O362" t="n">
        <v>0</v>
      </c>
      <c r="P362" t="n">
        <v>0</v>
      </c>
      <c r="Q362" t="n">
        <v>0</v>
      </c>
      <c r="R362" s="2" t="inlineStr"/>
    </row>
    <row r="363" ht="15" customHeight="1">
      <c r="A363" t="inlineStr">
        <is>
          <t>A 63015-2023</t>
        </is>
      </c>
      <c r="B363" s="1" t="n">
        <v>45272</v>
      </c>
      <c r="C363" s="1" t="n">
        <v>46000</v>
      </c>
      <c r="D363" t="inlineStr">
        <is>
          <t>STOCKHOLMS LÄN</t>
        </is>
      </c>
      <c r="E363" t="inlineStr">
        <is>
          <t>NORRTÄLJE</t>
        </is>
      </c>
      <c r="G363" t="n">
        <v>13.1</v>
      </c>
      <c r="H363" t="n">
        <v>0</v>
      </c>
      <c r="I363" t="n">
        <v>0</v>
      </c>
      <c r="J363" t="n">
        <v>0</v>
      </c>
      <c r="K363" t="n">
        <v>0</v>
      </c>
      <c r="L363" t="n">
        <v>0</v>
      </c>
      <c r="M363" t="n">
        <v>0</v>
      </c>
      <c r="N363" t="n">
        <v>0</v>
      </c>
      <c r="O363" t="n">
        <v>0</v>
      </c>
      <c r="P363" t="n">
        <v>0</v>
      </c>
      <c r="Q363" t="n">
        <v>0</v>
      </c>
      <c r="R363" s="2" t="inlineStr"/>
    </row>
    <row r="364" ht="15" customHeight="1">
      <c r="A364" t="inlineStr">
        <is>
          <t>A 42867-2022</t>
        </is>
      </c>
      <c r="B364" s="1" t="n">
        <v>44832</v>
      </c>
      <c r="C364" s="1" t="n">
        <v>46000</v>
      </c>
      <c r="D364" t="inlineStr">
        <is>
          <t>STOCKHOLMS LÄN</t>
        </is>
      </c>
      <c r="E364" t="inlineStr">
        <is>
          <t>NORRTÄLJE</t>
        </is>
      </c>
      <c r="G364" t="n">
        <v>6.4</v>
      </c>
      <c r="H364" t="n">
        <v>0</v>
      </c>
      <c r="I364" t="n">
        <v>0</v>
      </c>
      <c r="J364" t="n">
        <v>0</v>
      </c>
      <c r="K364" t="n">
        <v>0</v>
      </c>
      <c r="L364" t="n">
        <v>0</v>
      </c>
      <c r="M364" t="n">
        <v>0</v>
      </c>
      <c r="N364" t="n">
        <v>0</v>
      </c>
      <c r="O364" t="n">
        <v>0</v>
      </c>
      <c r="P364" t="n">
        <v>0</v>
      </c>
      <c r="Q364" t="n">
        <v>0</v>
      </c>
      <c r="R364" s="2" t="inlineStr"/>
    </row>
    <row r="365" ht="15" customHeight="1">
      <c r="A365" t="inlineStr">
        <is>
          <t>A 27831-2024</t>
        </is>
      </c>
      <c r="B365" s="1" t="n">
        <v>45475.61896990741</v>
      </c>
      <c r="C365" s="1" t="n">
        <v>46000</v>
      </c>
      <c r="D365" t="inlineStr">
        <is>
          <t>STOCKHOLMS LÄN</t>
        </is>
      </c>
      <c r="E365" t="inlineStr">
        <is>
          <t>NORRTÄLJE</t>
        </is>
      </c>
      <c r="G365" t="n">
        <v>3.8</v>
      </c>
      <c r="H365" t="n">
        <v>0</v>
      </c>
      <c r="I365" t="n">
        <v>0</v>
      </c>
      <c r="J365" t="n">
        <v>0</v>
      </c>
      <c r="K365" t="n">
        <v>0</v>
      </c>
      <c r="L365" t="n">
        <v>0</v>
      </c>
      <c r="M365" t="n">
        <v>0</v>
      </c>
      <c r="N365" t="n">
        <v>0</v>
      </c>
      <c r="O365" t="n">
        <v>0</v>
      </c>
      <c r="P365" t="n">
        <v>0</v>
      </c>
      <c r="Q365" t="n">
        <v>0</v>
      </c>
      <c r="R365" s="2" t="inlineStr"/>
    </row>
    <row r="366" ht="15" customHeight="1">
      <c r="A366" t="inlineStr">
        <is>
          <t>A 39149-2025</t>
        </is>
      </c>
      <c r="B366" s="1" t="n">
        <v>45888.60714120371</v>
      </c>
      <c r="C366" s="1" t="n">
        <v>46000</v>
      </c>
      <c r="D366" t="inlineStr">
        <is>
          <t>STOCKHOLMS LÄN</t>
        </is>
      </c>
      <c r="E366" t="inlineStr">
        <is>
          <t>NORRTÄLJE</t>
        </is>
      </c>
      <c r="G366" t="n">
        <v>3.5</v>
      </c>
      <c r="H366" t="n">
        <v>0</v>
      </c>
      <c r="I366" t="n">
        <v>0</v>
      </c>
      <c r="J366" t="n">
        <v>0</v>
      </c>
      <c r="K366" t="n">
        <v>0</v>
      </c>
      <c r="L366" t="n">
        <v>0</v>
      </c>
      <c r="M366" t="n">
        <v>0</v>
      </c>
      <c r="N366" t="n">
        <v>0</v>
      </c>
      <c r="O366" t="n">
        <v>0</v>
      </c>
      <c r="P366" t="n">
        <v>0</v>
      </c>
      <c r="Q366" t="n">
        <v>0</v>
      </c>
      <c r="R366" s="2" t="inlineStr"/>
    </row>
    <row r="367" ht="15" customHeight="1">
      <c r="A367" t="inlineStr">
        <is>
          <t>A 33175-2024</t>
        </is>
      </c>
      <c r="B367" s="1" t="n">
        <v>45518</v>
      </c>
      <c r="C367" s="1" t="n">
        <v>46000</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23749-2024</t>
        </is>
      </c>
      <c r="B368" s="1" t="n">
        <v>45455.33037037037</v>
      </c>
      <c r="C368" s="1" t="n">
        <v>46000</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21803-2022</t>
        </is>
      </c>
      <c r="B369" s="1" t="n">
        <v>44708.67822916667</v>
      </c>
      <c r="C369" s="1" t="n">
        <v>46000</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20730-2024</t>
        </is>
      </c>
      <c r="B370" s="1" t="n">
        <v>45436</v>
      </c>
      <c r="C370" s="1" t="n">
        <v>46000</v>
      </c>
      <c r="D370" t="inlineStr">
        <is>
          <t>STOCKHOLMS LÄN</t>
        </is>
      </c>
      <c r="E370" t="inlineStr">
        <is>
          <t>NORRTÄLJE</t>
        </is>
      </c>
      <c r="G370" t="n">
        <v>7.3</v>
      </c>
      <c r="H370" t="n">
        <v>0</v>
      </c>
      <c r="I370" t="n">
        <v>0</v>
      </c>
      <c r="J370" t="n">
        <v>0</v>
      </c>
      <c r="K370" t="n">
        <v>0</v>
      </c>
      <c r="L370" t="n">
        <v>0</v>
      </c>
      <c r="M370" t="n">
        <v>0</v>
      </c>
      <c r="N370" t="n">
        <v>0</v>
      </c>
      <c r="O370" t="n">
        <v>0</v>
      </c>
      <c r="P370" t="n">
        <v>0</v>
      </c>
      <c r="Q370" t="n">
        <v>0</v>
      </c>
      <c r="R370" s="2" t="inlineStr"/>
    </row>
    <row r="371" ht="15" customHeight="1">
      <c r="A371" t="inlineStr">
        <is>
          <t>A 58277-2023</t>
        </is>
      </c>
      <c r="B371" s="1" t="n">
        <v>45245</v>
      </c>
      <c r="C371" s="1" t="n">
        <v>46000</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32705-2022</t>
        </is>
      </c>
      <c r="B372" s="1" t="n">
        <v>44783</v>
      </c>
      <c r="C372" s="1" t="n">
        <v>46000</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12901-2024</t>
        </is>
      </c>
      <c r="B373" s="1" t="n">
        <v>45385.37922453704</v>
      </c>
      <c r="C373" s="1" t="n">
        <v>46000</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8950-2025</t>
        </is>
      </c>
      <c r="B374" s="1" t="n">
        <v>45713</v>
      </c>
      <c r="C374" s="1" t="n">
        <v>46000</v>
      </c>
      <c r="D374" t="inlineStr">
        <is>
          <t>STOCKHOLMS LÄN</t>
        </is>
      </c>
      <c r="E374" t="inlineStr">
        <is>
          <t>NORRTÄLJE</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39692-2025</t>
        </is>
      </c>
      <c r="B375" s="1" t="n">
        <v>45890.68083333333</v>
      </c>
      <c r="C375" s="1" t="n">
        <v>46000</v>
      </c>
      <c r="D375" t="inlineStr">
        <is>
          <t>STOCKHOLMS LÄN</t>
        </is>
      </c>
      <c r="E375" t="inlineStr">
        <is>
          <t>NORRTÄLJE</t>
        </is>
      </c>
      <c r="G375" t="n">
        <v>10.5</v>
      </c>
      <c r="H375" t="n">
        <v>0</v>
      </c>
      <c r="I375" t="n">
        <v>0</v>
      </c>
      <c r="J375" t="n">
        <v>0</v>
      </c>
      <c r="K375" t="n">
        <v>0</v>
      </c>
      <c r="L375" t="n">
        <v>0</v>
      </c>
      <c r="M375" t="n">
        <v>0</v>
      </c>
      <c r="N375" t="n">
        <v>0</v>
      </c>
      <c r="O375" t="n">
        <v>0</v>
      </c>
      <c r="P375" t="n">
        <v>0</v>
      </c>
      <c r="Q375" t="n">
        <v>0</v>
      </c>
      <c r="R375" s="2" t="inlineStr"/>
    </row>
    <row r="376" ht="15" customHeight="1">
      <c r="A376" t="inlineStr">
        <is>
          <t>A 47481-2024</t>
        </is>
      </c>
      <c r="B376" s="1" t="n">
        <v>45587</v>
      </c>
      <c r="C376" s="1" t="n">
        <v>46000</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57037-2022</t>
        </is>
      </c>
      <c r="B377" s="1" t="n">
        <v>44895</v>
      </c>
      <c r="C377" s="1" t="n">
        <v>46000</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12301-2025</t>
        </is>
      </c>
      <c r="B378" s="1" t="n">
        <v>45729.7271875</v>
      </c>
      <c r="C378" s="1" t="n">
        <v>46000</v>
      </c>
      <c r="D378" t="inlineStr">
        <is>
          <t>STOCKHOLMS LÄN</t>
        </is>
      </c>
      <c r="E378" t="inlineStr">
        <is>
          <t>NORRTÄLJE</t>
        </is>
      </c>
      <c r="G378" t="n">
        <v>3.2</v>
      </c>
      <c r="H378" t="n">
        <v>0</v>
      </c>
      <c r="I378" t="n">
        <v>0</v>
      </c>
      <c r="J378" t="n">
        <v>0</v>
      </c>
      <c r="K378" t="n">
        <v>0</v>
      </c>
      <c r="L378" t="n">
        <v>0</v>
      </c>
      <c r="M378" t="n">
        <v>0</v>
      </c>
      <c r="N378" t="n">
        <v>0</v>
      </c>
      <c r="O378" t="n">
        <v>0</v>
      </c>
      <c r="P378" t="n">
        <v>0</v>
      </c>
      <c r="Q378" t="n">
        <v>0</v>
      </c>
      <c r="R378" s="2" t="inlineStr"/>
    </row>
    <row r="379" ht="15" customHeight="1">
      <c r="A379" t="inlineStr">
        <is>
          <t>A 11940-2023</t>
        </is>
      </c>
      <c r="B379" s="1" t="n">
        <v>44995</v>
      </c>
      <c r="C379" s="1" t="n">
        <v>46000</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24351-2025</t>
        </is>
      </c>
      <c r="B380" s="1" t="n">
        <v>45797.58399305555</v>
      </c>
      <c r="C380" s="1" t="n">
        <v>46000</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13283-2025</t>
        </is>
      </c>
      <c r="B381" s="1" t="n">
        <v>45735</v>
      </c>
      <c r="C381" s="1" t="n">
        <v>46000</v>
      </c>
      <c r="D381" t="inlineStr">
        <is>
          <t>STOCKHOLMS LÄN</t>
        </is>
      </c>
      <c r="E381" t="inlineStr">
        <is>
          <t>NORRTÄLJE</t>
        </is>
      </c>
      <c r="G381" t="n">
        <v>4.9</v>
      </c>
      <c r="H381" t="n">
        <v>0</v>
      </c>
      <c r="I381" t="n">
        <v>0</v>
      </c>
      <c r="J381" t="n">
        <v>0</v>
      </c>
      <c r="K381" t="n">
        <v>0</v>
      </c>
      <c r="L381" t="n">
        <v>0</v>
      </c>
      <c r="M381" t="n">
        <v>0</v>
      </c>
      <c r="N381" t="n">
        <v>0</v>
      </c>
      <c r="O381" t="n">
        <v>0</v>
      </c>
      <c r="P381" t="n">
        <v>0</v>
      </c>
      <c r="Q381" t="n">
        <v>0</v>
      </c>
      <c r="R381" s="2" t="inlineStr"/>
    </row>
    <row r="382" ht="15" customHeight="1">
      <c r="A382" t="inlineStr">
        <is>
          <t>A 35639-2025</t>
        </is>
      </c>
      <c r="B382" s="1" t="n">
        <v>45859</v>
      </c>
      <c r="C382" s="1" t="n">
        <v>46000</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2281-2024</t>
        </is>
      </c>
      <c r="B383" s="1" t="n">
        <v>45310.40628472222</v>
      </c>
      <c r="C383" s="1" t="n">
        <v>46000</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60525-2022</t>
        </is>
      </c>
      <c r="B384" s="1" t="n">
        <v>44904</v>
      </c>
      <c r="C384" s="1" t="n">
        <v>46000</v>
      </c>
      <c r="D384" t="inlineStr">
        <is>
          <t>STOCKHOLMS LÄN</t>
        </is>
      </c>
      <c r="E384" t="inlineStr">
        <is>
          <t>NORRTÄLJE</t>
        </is>
      </c>
      <c r="G384" t="n">
        <v>13.4</v>
      </c>
      <c r="H384" t="n">
        <v>0</v>
      </c>
      <c r="I384" t="n">
        <v>0</v>
      </c>
      <c r="J384" t="n">
        <v>0</v>
      </c>
      <c r="K384" t="n">
        <v>0</v>
      </c>
      <c r="L384" t="n">
        <v>0</v>
      </c>
      <c r="M384" t="n">
        <v>0</v>
      </c>
      <c r="N384" t="n">
        <v>0</v>
      </c>
      <c r="O384" t="n">
        <v>0</v>
      </c>
      <c r="P384" t="n">
        <v>0</v>
      </c>
      <c r="Q384" t="n">
        <v>0</v>
      </c>
      <c r="R384" s="2" t="inlineStr"/>
    </row>
    <row r="385" ht="15" customHeight="1">
      <c r="A385" t="inlineStr">
        <is>
          <t>A 35636-2025</t>
        </is>
      </c>
      <c r="B385" s="1" t="n">
        <v>45859</v>
      </c>
      <c r="C385" s="1" t="n">
        <v>46000</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24687-2025</t>
        </is>
      </c>
      <c r="B386" s="1" t="n">
        <v>45798.66767361111</v>
      </c>
      <c r="C386" s="1" t="n">
        <v>46000</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7903-2021</t>
        </is>
      </c>
      <c r="B387" s="1" t="n">
        <v>44243.33587962963</v>
      </c>
      <c r="C387" s="1" t="n">
        <v>46000</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39213-2022</t>
        </is>
      </c>
      <c r="B388" s="1" t="n">
        <v>44817.56120370371</v>
      </c>
      <c r="C388" s="1" t="n">
        <v>46000</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40172-2025</t>
        </is>
      </c>
      <c r="B389" s="1" t="n">
        <v>45894.6353125</v>
      </c>
      <c r="C389" s="1" t="n">
        <v>46000</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40033-2025</t>
        </is>
      </c>
      <c r="B390" s="1" t="n">
        <v>45893</v>
      </c>
      <c r="C390" s="1" t="n">
        <v>46000</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40032-2025</t>
        </is>
      </c>
      <c r="B391" s="1" t="n">
        <v>45893</v>
      </c>
      <c r="C391" s="1" t="n">
        <v>46000</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40292-2025</t>
        </is>
      </c>
      <c r="B392" s="1" t="n">
        <v>45895.3867824074</v>
      </c>
      <c r="C392" s="1" t="n">
        <v>46000</v>
      </c>
      <c r="D392" t="inlineStr">
        <is>
          <t>STOCKHOLMS LÄN</t>
        </is>
      </c>
      <c r="E392" t="inlineStr">
        <is>
          <t>NORRTÄLJE</t>
        </is>
      </c>
      <c r="G392" t="n">
        <v>3.5</v>
      </c>
      <c r="H392" t="n">
        <v>0</v>
      </c>
      <c r="I392" t="n">
        <v>0</v>
      </c>
      <c r="J392" t="n">
        <v>0</v>
      </c>
      <c r="K392" t="n">
        <v>0</v>
      </c>
      <c r="L392" t="n">
        <v>0</v>
      </c>
      <c r="M392" t="n">
        <v>0</v>
      </c>
      <c r="N392" t="n">
        <v>0</v>
      </c>
      <c r="O392" t="n">
        <v>0</v>
      </c>
      <c r="P392" t="n">
        <v>0</v>
      </c>
      <c r="Q392" t="n">
        <v>0</v>
      </c>
      <c r="R392" s="2" t="inlineStr"/>
    </row>
    <row r="393" ht="15" customHeight="1">
      <c r="A393" t="inlineStr">
        <is>
          <t>A 40294-2025</t>
        </is>
      </c>
      <c r="B393" s="1" t="n">
        <v>45895.38778935185</v>
      </c>
      <c r="C393" s="1" t="n">
        <v>46000</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24638-2025</t>
        </is>
      </c>
      <c r="B394" s="1" t="n">
        <v>45798</v>
      </c>
      <c r="C394" s="1" t="n">
        <v>46000</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41976-2024</t>
        </is>
      </c>
      <c r="B395" s="1" t="n">
        <v>45561.62141203704</v>
      </c>
      <c r="C395" s="1" t="n">
        <v>46000</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40228-2025</t>
        </is>
      </c>
      <c r="B396" s="1" t="n">
        <v>45894.70854166667</v>
      </c>
      <c r="C396" s="1" t="n">
        <v>46000</v>
      </c>
      <c r="D396" t="inlineStr">
        <is>
          <t>STOCKHOLMS LÄN</t>
        </is>
      </c>
      <c r="E396" t="inlineStr">
        <is>
          <t>NORRTÄLJE</t>
        </is>
      </c>
      <c r="G396" t="n">
        <v>2.1</v>
      </c>
      <c r="H396" t="n">
        <v>0</v>
      </c>
      <c r="I396" t="n">
        <v>0</v>
      </c>
      <c r="J396" t="n">
        <v>0</v>
      </c>
      <c r="K396" t="n">
        <v>0</v>
      </c>
      <c r="L396" t="n">
        <v>0</v>
      </c>
      <c r="M396" t="n">
        <v>0</v>
      </c>
      <c r="N396" t="n">
        <v>0</v>
      </c>
      <c r="O396" t="n">
        <v>0</v>
      </c>
      <c r="P396" t="n">
        <v>0</v>
      </c>
      <c r="Q396" t="n">
        <v>0</v>
      </c>
      <c r="R396" s="2" t="inlineStr"/>
    </row>
    <row r="397" ht="15" customHeight="1">
      <c r="A397" t="inlineStr">
        <is>
          <t>A 51325-2023</t>
        </is>
      </c>
      <c r="B397" s="1" t="n">
        <v>45219</v>
      </c>
      <c r="C397" s="1" t="n">
        <v>46000</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59534-2024</t>
        </is>
      </c>
      <c r="B398" s="1" t="n">
        <v>45638.5987037037</v>
      </c>
      <c r="C398" s="1" t="n">
        <v>46000</v>
      </c>
      <c r="D398" t="inlineStr">
        <is>
          <t>STOCKHOLMS LÄN</t>
        </is>
      </c>
      <c r="E398" t="inlineStr">
        <is>
          <t>NORRTÄLJE</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31107-2022</t>
        </is>
      </c>
      <c r="B399" s="1" t="n">
        <v>44769.66864583334</v>
      </c>
      <c r="C399" s="1" t="n">
        <v>46000</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13860-2023</t>
        </is>
      </c>
      <c r="B400" s="1" t="n">
        <v>45007</v>
      </c>
      <c r="C400" s="1" t="n">
        <v>46000</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6855-2025</t>
        </is>
      </c>
      <c r="B401" s="1" t="n">
        <v>45700</v>
      </c>
      <c r="C401" s="1" t="n">
        <v>46000</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40230-2025</t>
        </is>
      </c>
      <c r="B402" s="1" t="n">
        <v>45894.71101851852</v>
      </c>
      <c r="C402" s="1" t="n">
        <v>46000</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28603-2024</t>
        </is>
      </c>
      <c r="B403" s="1" t="n">
        <v>45478.42887731481</v>
      </c>
      <c r="C403" s="1" t="n">
        <v>46000</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40217-2025</t>
        </is>
      </c>
      <c r="B404" s="1" t="n">
        <v>45894.68864583333</v>
      </c>
      <c r="C404" s="1" t="n">
        <v>46000</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13314-2025</t>
        </is>
      </c>
      <c r="B405" s="1" t="n">
        <v>45735.59287037037</v>
      </c>
      <c r="C405" s="1" t="n">
        <v>46000</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40097-2025</t>
        </is>
      </c>
      <c r="B406" s="1" t="n">
        <v>45894.48322916667</v>
      </c>
      <c r="C406" s="1" t="n">
        <v>46000</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40829-2025</t>
        </is>
      </c>
      <c r="B407" s="1" t="n">
        <v>45897.50802083333</v>
      </c>
      <c r="C407" s="1" t="n">
        <v>46000</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40837-2025</t>
        </is>
      </c>
      <c r="B408" s="1" t="n">
        <v>45897.51328703704</v>
      </c>
      <c r="C408" s="1" t="n">
        <v>46000</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40529-2025</t>
        </is>
      </c>
      <c r="B409" s="1" t="n">
        <v>45896.38466435186</v>
      </c>
      <c r="C409" s="1" t="n">
        <v>46000</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34432-2021</t>
        </is>
      </c>
      <c r="B410" s="1" t="n">
        <v>44380.77346064815</v>
      </c>
      <c r="C410" s="1" t="n">
        <v>46000</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40831-2025</t>
        </is>
      </c>
      <c r="B411" s="1" t="n">
        <v>45897.51077546296</v>
      </c>
      <c r="C411" s="1" t="n">
        <v>46000</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24690-2025</t>
        </is>
      </c>
      <c r="B412" s="1" t="n">
        <v>45798.67082175926</v>
      </c>
      <c r="C412" s="1" t="n">
        <v>46000</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47259-2024</t>
        </is>
      </c>
      <c r="B413" s="1" t="n">
        <v>45586</v>
      </c>
      <c r="C413" s="1" t="n">
        <v>46000</v>
      </c>
      <c r="D413" t="inlineStr">
        <is>
          <t>STOCKHOLMS LÄN</t>
        </is>
      </c>
      <c r="E413" t="inlineStr">
        <is>
          <t>NORRTÄLJE</t>
        </is>
      </c>
      <c r="G413" t="n">
        <v>1.8</v>
      </c>
      <c r="H413" t="n">
        <v>0</v>
      </c>
      <c r="I413" t="n">
        <v>0</v>
      </c>
      <c r="J413" t="n">
        <v>0</v>
      </c>
      <c r="K413" t="n">
        <v>0</v>
      </c>
      <c r="L413" t="n">
        <v>0</v>
      </c>
      <c r="M413" t="n">
        <v>0</v>
      </c>
      <c r="N413" t="n">
        <v>0</v>
      </c>
      <c r="O413" t="n">
        <v>0</v>
      </c>
      <c r="P413" t="n">
        <v>0</v>
      </c>
      <c r="Q413" t="n">
        <v>0</v>
      </c>
      <c r="R413" s="2" t="inlineStr"/>
    </row>
    <row r="414" ht="15" customHeight="1">
      <c r="A414" t="inlineStr">
        <is>
          <t>A 25702-2025</t>
        </is>
      </c>
      <c r="B414" s="1" t="n">
        <v>45800</v>
      </c>
      <c r="C414" s="1" t="n">
        <v>46000</v>
      </c>
      <c r="D414" t="inlineStr">
        <is>
          <t>STOCKHOLMS LÄN</t>
        </is>
      </c>
      <c r="E414" t="inlineStr">
        <is>
          <t>NORRTÄLJE</t>
        </is>
      </c>
      <c r="G414" t="n">
        <v>5.3</v>
      </c>
      <c r="H414" t="n">
        <v>0</v>
      </c>
      <c r="I414" t="n">
        <v>0</v>
      </c>
      <c r="J414" t="n">
        <v>0</v>
      </c>
      <c r="K414" t="n">
        <v>0</v>
      </c>
      <c r="L414" t="n">
        <v>0</v>
      </c>
      <c r="M414" t="n">
        <v>0</v>
      </c>
      <c r="N414" t="n">
        <v>0</v>
      </c>
      <c r="O414" t="n">
        <v>0</v>
      </c>
      <c r="P414" t="n">
        <v>0</v>
      </c>
      <c r="Q414" t="n">
        <v>0</v>
      </c>
      <c r="R414" s="2" t="inlineStr"/>
    </row>
    <row r="415" ht="15" customHeight="1">
      <c r="A415" t="inlineStr">
        <is>
          <t>A 25712-2025</t>
        </is>
      </c>
      <c r="B415" s="1" t="n">
        <v>45803.69228009259</v>
      </c>
      <c r="C415" s="1" t="n">
        <v>46000</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25725-2025</t>
        </is>
      </c>
      <c r="B416" s="1" t="n">
        <v>45800</v>
      </c>
      <c r="C416" s="1" t="n">
        <v>46000</v>
      </c>
      <c r="D416" t="inlineStr">
        <is>
          <t>STOCKHOLMS LÄN</t>
        </is>
      </c>
      <c r="E416" t="inlineStr">
        <is>
          <t>NORRTÄLJE</t>
        </is>
      </c>
      <c r="G416" t="n">
        <v>5.2</v>
      </c>
      <c r="H416" t="n">
        <v>0</v>
      </c>
      <c r="I416" t="n">
        <v>0</v>
      </c>
      <c r="J416" t="n">
        <v>0</v>
      </c>
      <c r="K416" t="n">
        <v>0</v>
      </c>
      <c r="L416" t="n">
        <v>0</v>
      </c>
      <c r="M416" t="n">
        <v>0</v>
      </c>
      <c r="N416" t="n">
        <v>0</v>
      </c>
      <c r="O416" t="n">
        <v>0</v>
      </c>
      <c r="P416" t="n">
        <v>0</v>
      </c>
      <c r="Q416" t="n">
        <v>0</v>
      </c>
      <c r="R416" s="2" t="inlineStr"/>
    </row>
    <row r="417" ht="15" customHeight="1">
      <c r="A417" t="inlineStr">
        <is>
          <t>A 25733-2025</t>
        </is>
      </c>
      <c r="B417" s="1" t="n">
        <v>45800</v>
      </c>
      <c r="C417" s="1" t="n">
        <v>46000</v>
      </c>
      <c r="D417" t="inlineStr">
        <is>
          <t>STOCKHOLMS LÄN</t>
        </is>
      </c>
      <c r="E417" t="inlineStr">
        <is>
          <t>NORRTÄLJE</t>
        </is>
      </c>
      <c r="G417" t="n">
        <v>2.2</v>
      </c>
      <c r="H417" t="n">
        <v>0</v>
      </c>
      <c r="I417" t="n">
        <v>0</v>
      </c>
      <c r="J417" t="n">
        <v>0</v>
      </c>
      <c r="K417" t="n">
        <v>0</v>
      </c>
      <c r="L417" t="n">
        <v>0</v>
      </c>
      <c r="M417" t="n">
        <v>0</v>
      </c>
      <c r="N417" t="n">
        <v>0</v>
      </c>
      <c r="O417" t="n">
        <v>0</v>
      </c>
      <c r="P417" t="n">
        <v>0</v>
      </c>
      <c r="Q417" t="n">
        <v>0</v>
      </c>
      <c r="R417" s="2" t="inlineStr"/>
    </row>
    <row r="418" ht="15" customHeight="1">
      <c r="A418" t="inlineStr">
        <is>
          <t>A 39238-2024</t>
        </is>
      </c>
      <c r="B418" s="1" t="n">
        <v>45549</v>
      </c>
      <c r="C418" s="1" t="n">
        <v>46000</v>
      </c>
      <c r="D418" t="inlineStr">
        <is>
          <t>STOCKHOLMS LÄN</t>
        </is>
      </c>
      <c r="E418" t="inlineStr">
        <is>
          <t>NORRTÄLJE</t>
        </is>
      </c>
      <c r="G418" t="n">
        <v>3.6</v>
      </c>
      <c r="H418" t="n">
        <v>0</v>
      </c>
      <c r="I418" t="n">
        <v>0</v>
      </c>
      <c r="J418" t="n">
        <v>0</v>
      </c>
      <c r="K418" t="n">
        <v>0</v>
      </c>
      <c r="L418" t="n">
        <v>0</v>
      </c>
      <c r="M418" t="n">
        <v>0</v>
      </c>
      <c r="N418" t="n">
        <v>0</v>
      </c>
      <c r="O418" t="n">
        <v>0</v>
      </c>
      <c r="P418" t="n">
        <v>0</v>
      </c>
      <c r="Q418" t="n">
        <v>0</v>
      </c>
      <c r="R418" s="2" t="inlineStr"/>
    </row>
    <row r="419" ht="15" customHeight="1">
      <c r="A419" t="inlineStr">
        <is>
          <t>A 25571-2025</t>
        </is>
      </c>
      <c r="B419" s="1" t="n">
        <v>45803.4675</v>
      </c>
      <c r="C419" s="1" t="n">
        <v>46000</v>
      </c>
      <c r="D419" t="inlineStr">
        <is>
          <t>STOCKHOLMS LÄN</t>
        </is>
      </c>
      <c r="E419" t="inlineStr">
        <is>
          <t>NORRTÄLJE</t>
        </is>
      </c>
      <c r="G419" t="n">
        <v>5.4</v>
      </c>
      <c r="H419" t="n">
        <v>0</v>
      </c>
      <c r="I419" t="n">
        <v>0</v>
      </c>
      <c r="J419" t="n">
        <v>0</v>
      </c>
      <c r="K419" t="n">
        <v>0</v>
      </c>
      <c r="L419" t="n">
        <v>0</v>
      </c>
      <c r="M419" t="n">
        <v>0</v>
      </c>
      <c r="N419" t="n">
        <v>0</v>
      </c>
      <c r="O419" t="n">
        <v>0</v>
      </c>
      <c r="P419" t="n">
        <v>0</v>
      </c>
      <c r="Q419" t="n">
        <v>0</v>
      </c>
      <c r="R419" s="2" t="inlineStr"/>
    </row>
    <row r="420" ht="15" customHeight="1">
      <c r="A420" t="inlineStr">
        <is>
          <t>A 25721-2025</t>
        </is>
      </c>
      <c r="B420" s="1" t="n">
        <v>45800</v>
      </c>
      <c r="C420" s="1" t="n">
        <v>46000</v>
      </c>
      <c r="D420" t="inlineStr">
        <is>
          <t>STOCKHOLMS LÄN</t>
        </is>
      </c>
      <c r="E420" t="inlineStr">
        <is>
          <t>NORRTÄLJE</t>
        </is>
      </c>
      <c r="G420" t="n">
        <v>6</v>
      </c>
      <c r="H420" t="n">
        <v>0</v>
      </c>
      <c r="I420" t="n">
        <v>0</v>
      </c>
      <c r="J420" t="n">
        <v>0</v>
      </c>
      <c r="K420" t="n">
        <v>0</v>
      </c>
      <c r="L420" t="n">
        <v>0</v>
      </c>
      <c r="M420" t="n">
        <v>0</v>
      </c>
      <c r="N420" t="n">
        <v>0</v>
      </c>
      <c r="O420" t="n">
        <v>0</v>
      </c>
      <c r="P420" t="n">
        <v>0</v>
      </c>
      <c r="Q420" t="n">
        <v>0</v>
      </c>
      <c r="R420" s="2" t="inlineStr"/>
    </row>
    <row r="421" ht="15" customHeight="1">
      <c r="A421" t="inlineStr">
        <is>
          <t>A 41158-2025</t>
        </is>
      </c>
      <c r="B421" s="1" t="n">
        <v>45898.5315625</v>
      </c>
      <c r="C421" s="1" t="n">
        <v>46000</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15733-2025</t>
        </is>
      </c>
      <c r="B422" s="1" t="n">
        <v>45748</v>
      </c>
      <c r="C422" s="1" t="n">
        <v>46000</v>
      </c>
      <c r="D422" t="inlineStr">
        <is>
          <t>STOCKHOLMS LÄN</t>
        </is>
      </c>
      <c r="E422" t="inlineStr">
        <is>
          <t>NORRTÄLJE</t>
        </is>
      </c>
      <c r="G422" t="n">
        <v>13.3</v>
      </c>
      <c r="H422" t="n">
        <v>0</v>
      </c>
      <c r="I422" t="n">
        <v>0</v>
      </c>
      <c r="J422" t="n">
        <v>0</v>
      </c>
      <c r="K422" t="n">
        <v>0</v>
      </c>
      <c r="L422" t="n">
        <v>0</v>
      </c>
      <c r="M422" t="n">
        <v>0</v>
      </c>
      <c r="N422" t="n">
        <v>0</v>
      </c>
      <c r="O422" t="n">
        <v>0</v>
      </c>
      <c r="P422" t="n">
        <v>0</v>
      </c>
      <c r="Q422" t="n">
        <v>0</v>
      </c>
      <c r="R422" s="2" t="inlineStr"/>
    </row>
    <row r="423" ht="15" customHeight="1">
      <c r="A423" t="inlineStr">
        <is>
          <t>A 25697-2025</t>
        </is>
      </c>
      <c r="B423" s="1" t="n">
        <v>45803.66587962963</v>
      </c>
      <c r="C423" s="1" t="n">
        <v>46000</v>
      </c>
      <c r="D423" t="inlineStr">
        <is>
          <t>STOCKHOLMS LÄN</t>
        </is>
      </c>
      <c r="E423" t="inlineStr">
        <is>
          <t>NORRTÄLJE</t>
        </is>
      </c>
      <c r="G423" t="n">
        <v>2.5</v>
      </c>
      <c r="H423" t="n">
        <v>0</v>
      </c>
      <c r="I423" t="n">
        <v>0</v>
      </c>
      <c r="J423" t="n">
        <v>0</v>
      </c>
      <c r="K423" t="n">
        <v>0</v>
      </c>
      <c r="L423" t="n">
        <v>0</v>
      </c>
      <c r="M423" t="n">
        <v>0</v>
      </c>
      <c r="N423" t="n">
        <v>0</v>
      </c>
      <c r="O423" t="n">
        <v>0</v>
      </c>
      <c r="P423" t="n">
        <v>0</v>
      </c>
      <c r="Q423" t="n">
        <v>0</v>
      </c>
      <c r="R423" s="2" t="inlineStr"/>
    </row>
    <row r="424" ht="15" customHeight="1">
      <c r="A424" t="inlineStr">
        <is>
          <t>A 41218-2024</t>
        </is>
      </c>
      <c r="B424" s="1" t="n">
        <v>45559.54706018518</v>
      </c>
      <c r="C424" s="1" t="n">
        <v>46000</v>
      </c>
      <c r="D424" t="inlineStr">
        <is>
          <t>STOCKHOLMS LÄN</t>
        </is>
      </c>
      <c r="E424" t="inlineStr">
        <is>
          <t>NORRTÄLJE</t>
        </is>
      </c>
      <c r="G424" t="n">
        <v>6</v>
      </c>
      <c r="H424" t="n">
        <v>0</v>
      </c>
      <c r="I424" t="n">
        <v>0</v>
      </c>
      <c r="J424" t="n">
        <v>0</v>
      </c>
      <c r="K424" t="n">
        <v>0</v>
      </c>
      <c r="L424" t="n">
        <v>0</v>
      </c>
      <c r="M424" t="n">
        <v>0</v>
      </c>
      <c r="N424" t="n">
        <v>0</v>
      </c>
      <c r="O424" t="n">
        <v>0</v>
      </c>
      <c r="P424" t="n">
        <v>0</v>
      </c>
      <c r="Q424" t="n">
        <v>0</v>
      </c>
      <c r="R424" s="2" t="inlineStr"/>
    </row>
    <row r="425" ht="15" customHeight="1">
      <c r="A425" t="inlineStr">
        <is>
          <t>A 23149-2024</t>
        </is>
      </c>
      <c r="B425" s="1" t="n">
        <v>45450.64208333333</v>
      </c>
      <c r="C425" s="1" t="n">
        <v>46000</v>
      </c>
      <c r="D425" t="inlineStr">
        <is>
          <t>STOCKHOLMS LÄN</t>
        </is>
      </c>
      <c r="E425" t="inlineStr">
        <is>
          <t>NORRTÄLJE</t>
        </is>
      </c>
      <c r="F425" t="inlineStr">
        <is>
          <t>Kommuner</t>
        </is>
      </c>
      <c r="G425" t="n">
        <v>1.3</v>
      </c>
      <c r="H425" t="n">
        <v>0</v>
      </c>
      <c r="I425" t="n">
        <v>0</v>
      </c>
      <c r="J425" t="n">
        <v>0</v>
      </c>
      <c r="K425" t="n">
        <v>0</v>
      </c>
      <c r="L425" t="n">
        <v>0</v>
      </c>
      <c r="M425" t="n">
        <v>0</v>
      </c>
      <c r="N425" t="n">
        <v>0</v>
      </c>
      <c r="O425" t="n">
        <v>0</v>
      </c>
      <c r="P425" t="n">
        <v>0</v>
      </c>
      <c r="Q425" t="n">
        <v>0</v>
      </c>
      <c r="R425" s="2" t="inlineStr"/>
    </row>
    <row r="426" ht="15" customHeight="1">
      <c r="A426" t="inlineStr">
        <is>
          <t>A 23151-2024</t>
        </is>
      </c>
      <c r="B426" s="1" t="n">
        <v>45450</v>
      </c>
      <c r="C426" s="1" t="n">
        <v>46000</v>
      </c>
      <c r="D426" t="inlineStr">
        <is>
          <t>STOCKHOLMS LÄN</t>
        </is>
      </c>
      <c r="E426" t="inlineStr">
        <is>
          <t>NORRTÄLJE</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19058-2024</t>
        </is>
      </c>
      <c r="B427" s="1" t="n">
        <v>45427.89121527778</v>
      </c>
      <c r="C427" s="1" t="n">
        <v>46000</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25709-2025</t>
        </is>
      </c>
      <c r="B428" s="1" t="n">
        <v>45800</v>
      </c>
      <c r="C428" s="1" t="n">
        <v>46000</v>
      </c>
      <c r="D428" t="inlineStr">
        <is>
          <t>STOCKHOLMS LÄN</t>
        </is>
      </c>
      <c r="E428" t="inlineStr">
        <is>
          <t>NORRTÄLJE</t>
        </is>
      </c>
      <c r="G428" t="n">
        <v>4.6</v>
      </c>
      <c r="H428" t="n">
        <v>0</v>
      </c>
      <c r="I428" t="n">
        <v>0</v>
      </c>
      <c r="J428" t="n">
        <v>0</v>
      </c>
      <c r="K428" t="n">
        <v>0</v>
      </c>
      <c r="L428" t="n">
        <v>0</v>
      </c>
      <c r="M428" t="n">
        <v>0</v>
      </c>
      <c r="N428" t="n">
        <v>0</v>
      </c>
      <c r="O428" t="n">
        <v>0</v>
      </c>
      <c r="P428" t="n">
        <v>0</v>
      </c>
      <c r="Q428" t="n">
        <v>0</v>
      </c>
      <c r="R428" s="2" t="inlineStr"/>
    </row>
    <row r="429" ht="15" customHeight="1">
      <c r="A429" t="inlineStr">
        <is>
          <t>A 41053-2025</t>
        </is>
      </c>
      <c r="B429" s="1" t="n">
        <v>45898.40480324074</v>
      </c>
      <c r="C429" s="1" t="n">
        <v>46000</v>
      </c>
      <c r="D429" t="inlineStr">
        <is>
          <t>STOCKHOLMS LÄN</t>
        </is>
      </c>
      <c r="E429" t="inlineStr">
        <is>
          <t>NORRTÄLJE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41275-2025</t>
        </is>
      </c>
      <c r="B430" s="1" t="n">
        <v>45898.62625</v>
      </c>
      <c r="C430" s="1" t="n">
        <v>46000</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41272-2025</t>
        </is>
      </c>
      <c r="B431" s="1" t="n">
        <v>45898.62373842593</v>
      </c>
      <c r="C431" s="1" t="n">
        <v>46000</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38449-2022</t>
        </is>
      </c>
      <c r="B432" s="1" t="n">
        <v>44813</v>
      </c>
      <c r="C432" s="1" t="n">
        <v>46000</v>
      </c>
      <c r="D432" t="inlineStr">
        <is>
          <t>STOCKHOLMS LÄN</t>
        </is>
      </c>
      <c r="E432" t="inlineStr">
        <is>
          <t>NORRTÄLJE</t>
        </is>
      </c>
      <c r="G432" t="n">
        <v>4.2</v>
      </c>
      <c r="H432" t="n">
        <v>0</v>
      </c>
      <c r="I432" t="n">
        <v>0</v>
      </c>
      <c r="J432" t="n">
        <v>0</v>
      </c>
      <c r="K432" t="n">
        <v>0</v>
      </c>
      <c r="L432" t="n">
        <v>0</v>
      </c>
      <c r="M432" t="n">
        <v>0</v>
      </c>
      <c r="N432" t="n">
        <v>0</v>
      </c>
      <c r="O432" t="n">
        <v>0</v>
      </c>
      <c r="P432" t="n">
        <v>0</v>
      </c>
      <c r="Q432" t="n">
        <v>0</v>
      </c>
      <c r="R432" s="2" t="inlineStr"/>
    </row>
    <row r="433" ht="15" customHeight="1">
      <c r="A433" t="inlineStr">
        <is>
          <t>A 52001-2023</t>
        </is>
      </c>
      <c r="B433" s="1" t="n">
        <v>45223</v>
      </c>
      <c r="C433" s="1" t="n">
        <v>46000</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41301-2025</t>
        </is>
      </c>
      <c r="B434" s="1" t="n">
        <v>45898.68826388889</v>
      </c>
      <c r="C434" s="1" t="n">
        <v>46000</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34478-2025</t>
        </is>
      </c>
      <c r="B435" s="1" t="n">
        <v>45847.37414351852</v>
      </c>
      <c r="C435" s="1" t="n">
        <v>46000</v>
      </c>
      <c r="D435" t="inlineStr">
        <is>
          <t>STOCKHOLMS LÄN</t>
        </is>
      </c>
      <c r="E435" t="inlineStr">
        <is>
          <t>NORRTÄLJE</t>
        </is>
      </c>
      <c r="F435" t="inlineStr">
        <is>
          <t>Övriga Aktiebolag</t>
        </is>
      </c>
      <c r="G435" t="n">
        <v>10.8</v>
      </c>
      <c r="H435" t="n">
        <v>0</v>
      </c>
      <c r="I435" t="n">
        <v>0</v>
      </c>
      <c r="J435" t="n">
        <v>0</v>
      </c>
      <c r="K435" t="n">
        <v>0</v>
      </c>
      <c r="L435" t="n">
        <v>0</v>
      </c>
      <c r="M435" t="n">
        <v>0</v>
      </c>
      <c r="N435" t="n">
        <v>0</v>
      </c>
      <c r="O435" t="n">
        <v>0</v>
      </c>
      <c r="P435" t="n">
        <v>0</v>
      </c>
      <c r="Q435" t="n">
        <v>0</v>
      </c>
      <c r="R435" s="2" t="inlineStr"/>
    </row>
    <row r="436" ht="15" customHeight="1">
      <c r="A436" t="inlineStr">
        <is>
          <t>A 60185-2024</t>
        </is>
      </c>
      <c r="B436" s="1" t="n">
        <v>45642.64634259259</v>
      </c>
      <c r="C436" s="1" t="n">
        <v>46000</v>
      </c>
      <c r="D436" t="inlineStr">
        <is>
          <t>STOCKHOLMS LÄN</t>
        </is>
      </c>
      <c r="E436" t="inlineStr">
        <is>
          <t>NORRTÄLJE</t>
        </is>
      </c>
      <c r="G436" t="n">
        <v>0.3</v>
      </c>
      <c r="H436" t="n">
        <v>0</v>
      </c>
      <c r="I436" t="n">
        <v>0</v>
      </c>
      <c r="J436" t="n">
        <v>0</v>
      </c>
      <c r="K436" t="n">
        <v>0</v>
      </c>
      <c r="L436" t="n">
        <v>0</v>
      </c>
      <c r="M436" t="n">
        <v>0</v>
      </c>
      <c r="N436" t="n">
        <v>0</v>
      </c>
      <c r="O436" t="n">
        <v>0</v>
      </c>
      <c r="P436" t="n">
        <v>0</v>
      </c>
      <c r="Q436" t="n">
        <v>0</v>
      </c>
      <c r="R436" s="2" t="inlineStr"/>
    </row>
    <row r="437" ht="15" customHeight="1">
      <c r="A437" t="inlineStr">
        <is>
          <t>A 41174-2025</t>
        </is>
      </c>
      <c r="B437" s="1" t="n">
        <v>45898.54921296296</v>
      </c>
      <c r="C437" s="1" t="n">
        <v>46000</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48686-2023</t>
        </is>
      </c>
      <c r="B438" s="1" t="n">
        <v>45208</v>
      </c>
      <c r="C438" s="1" t="n">
        <v>46000</v>
      </c>
      <c r="D438" t="inlineStr">
        <is>
          <t>STOCKHOLMS LÄN</t>
        </is>
      </c>
      <c r="E438" t="inlineStr">
        <is>
          <t>NORRTÄLJE</t>
        </is>
      </c>
      <c r="G438" t="n">
        <v>6</v>
      </c>
      <c r="H438" t="n">
        <v>0</v>
      </c>
      <c r="I438" t="n">
        <v>0</v>
      </c>
      <c r="J438" t="n">
        <v>0</v>
      </c>
      <c r="K438" t="n">
        <v>0</v>
      </c>
      <c r="L438" t="n">
        <v>0</v>
      </c>
      <c r="M438" t="n">
        <v>0</v>
      </c>
      <c r="N438" t="n">
        <v>0</v>
      </c>
      <c r="O438" t="n">
        <v>0</v>
      </c>
      <c r="P438" t="n">
        <v>0</v>
      </c>
      <c r="Q438" t="n">
        <v>0</v>
      </c>
      <c r="R438" s="2" t="inlineStr"/>
    </row>
    <row r="439" ht="15" customHeight="1">
      <c r="A439" t="inlineStr">
        <is>
          <t>A 48691-2023</t>
        </is>
      </c>
      <c r="B439" s="1" t="n">
        <v>45208</v>
      </c>
      <c r="C439" s="1" t="n">
        <v>46000</v>
      </c>
      <c r="D439" t="inlineStr">
        <is>
          <t>STOCKHOLMS LÄN</t>
        </is>
      </c>
      <c r="E439" t="inlineStr">
        <is>
          <t>NORRTÄLJE</t>
        </is>
      </c>
      <c r="G439" t="n">
        <v>5.8</v>
      </c>
      <c r="H439" t="n">
        <v>0</v>
      </c>
      <c r="I439" t="n">
        <v>0</v>
      </c>
      <c r="J439" t="n">
        <v>0</v>
      </c>
      <c r="K439" t="n">
        <v>0</v>
      </c>
      <c r="L439" t="n">
        <v>0</v>
      </c>
      <c r="M439" t="n">
        <v>0</v>
      </c>
      <c r="N439" t="n">
        <v>0</v>
      </c>
      <c r="O439" t="n">
        <v>0</v>
      </c>
      <c r="P439" t="n">
        <v>0</v>
      </c>
      <c r="Q439" t="n">
        <v>0</v>
      </c>
      <c r="R439" s="2" t="inlineStr"/>
    </row>
    <row r="440" ht="15" customHeight="1">
      <c r="A440" t="inlineStr">
        <is>
          <t>A 41030-2025</t>
        </is>
      </c>
      <c r="B440" s="1" t="n">
        <v>45898.37636574074</v>
      </c>
      <c r="C440" s="1" t="n">
        <v>46000</v>
      </c>
      <c r="D440" t="inlineStr">
        <is>
          <t>STOCKHOLMS LÄN</t>
        </is>
      </c>
      <c r="E440" t="inlineStr">
        <is>
          <t>NORRTÄLJE</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53561-2023</t>
        </is>
      </c>
      <c r="B441" s="1" t="n">
        <v>45224</v>
      </c>
      <c r="C441" s="1" t="n">
        <v>46000</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41036-2025</t>
        </is>
      </c>
      <c r="B442" s="1" t="n">
        <v>45898.38552083333</v>
      </c>
      <c r="C442" s="1" t="n">
        <v>46000</v>
      </c>
      <c r="D442" t="inlineStr">
        <is>
          <t>STOCKHOLMS LÄN</t>
        </is>
      </c>
      <c r="E442" t="inlineStr">
        <is>
          <t>NORRTÄLJE</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41106-2025</t>
        </is>
      </c>
      <c r="B443" s="1" t="n">
        <v>45898.45636574074</v>
      </c>
      <c r="C443" s="1" t="n">
        <v>46000</v>
      </c>
      <c r="D443" t="inlineStr">
        <is>
          <t>STOCKHOLMS LÄN</t>
        </is>
      </c>
      <c r="E443" t="inlineStr">
        <is>
          <t>NORRTÄLJE</t>
        </is>
      </c>
      <c r="G443" t="n">
        <v>2.6</v>
      </c>
      <c r="H443" t="n">
        <v>0</v>
      </c>
      <c r="I443" t="n">
        <v>0</v>
      </c>
      <c r="J443" t="n">
        <v>0</v>
      </c>
      <c r="K443" t="n">
        <v>0</v>
      </c>
      <c r="L443" t="n">
        <v>0</v>
      </c>
      <c r="M443" t="n">
        <v>0</v>
      </c>
      <c r="N443" t="n">
        <v>0</v>
      </c>
      <c r="O443" t="n">
        <v>0</v>
      </c>
      <c r="P443" t="n">
        <v>0</v>
      </c>
      <c r="Q443" t="n">
        <v>0</v>
      </c>
      <c r="R443" s="2" t="inlineStr"/>
    </row>
    <row r="444" ht="15" customHeight="1">
      <c r="A444" t="inlineStr">
        <is>
          <t>A 41110-2025</t>
        </is>
      </c>
      <c r="B444" s="1" t="n">
        <v>45898.45976851852</v>
      </c>
      <c r="C444" s="1" t="n">
        <v>46000</v>
      </c>
      <c r="D444" t="inlineStr">
        <is>
          <t>STOCKHOLMS LÄN</t>
        </is>
      </c>
      <c r="E444" t="inlineStr">
        <is>
          <t>NORRTÄLJE</t>
        </is>
      </c>
      <c r="F444" t="inlineStr">
        <is>
          <t>Holmen skog AB</t>
        </is>
      </c>
      <c r="G444" t="n">
        <v>6.7</v>
      </c>
      <c r="H444" t="n">
        <v>0</v>
      </c>
      <c r="I444" t="n">
        <v>0</v>
      </c>
      <c r="J444" t="n">
        <v>0</v>
      </c>
      <c r="K444" t="n">
        <v>0</v>
      </c>
      <c r="L444" t="n">
        <v>0</v>
      </c>
      <c r="M444" t="n">
        <v>0</v>
      </c>
      <c r="N444" t="n">
        <v>0</v>
      </c>
      <c r="O444" t="n">
        <v>0</v>
      </c>
      <c r="P444" t="n">
        <v>0</v>
      </c>
      <c r="Q444" t="n">
        <v>0</v>
      </c>
      <c r="R444" s="2" t="inlineStr"/>
    </row>
    <row r="445" ht="15" customHeight="1">
      <c r="A445" t="inlineStr">
        <is>
          <t>A 41259-2025</t>
        </is>
      </c>
      <c r="B445" s="1" t="n">
        <v>45898.61054398148</v>
      </c>
      <c r="C445" s="1" t="n">
        <v>46000</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10511-2025</t>
        </is>
      </c>
      <c r="B446" s="1" t="n">
        <v>45721.40780092592</v>
      </c>
      <c r="C446" s="1" t="n">
        <v>46000</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19057-2024</t>
        </is>
      </c>
      <c r="B447" s="1" t="n">
        <v>45427.88731481481</v>
      </c>
      <c r="C447" s="1" t="n">
        <v>46000</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21726-2022</t>
        </is>
      </c>
      <c r="B448" s="1" t="n">
        <v>44708</v>
      </c>
      <c r="C448" s="1" t="n">
        <v>46000</v>
      </c>
      <c r="D448" t="inlineStr">
        <is>
          <t>STOCKHOLMS LÄN</t>
        </is>
      </c>
      <c r="E448" t="inlineStr">
        <is>
          <t>NORRTÄLJE</t>
        </is>
      </c>
      <c r="G448" t="n">
        <v>0.2</v>
      </c>
      <c r="H448" t="n">
        <v>0</v>
      </c>
      <c r="I448" t="n">
        <v>0</v>
      </c>
      <c r="J448" t="n">
        <v>0</v>
      </c>
      <c r="K448" t="n">
        <v>0</v>
      </c>
      <c r="L448" t="n">
        <v>0</v>
      </c>
      <c r="M448" t="n">
        <v>0</v>
      </c>
      <c r="N448" t="n">
        <v>0</v>
      </c>
      <c r="O448" t="n">
        <v>0</v>
      </c>
      <c r="P448" t="n">
        <v>0</v>
      </c>
      <c r="Q448" t="n">
        <v>0</v>
      </c>
      <c r="R448" s="2" t="inlineStr"/>
    </row>
    <row r="449" ht="15" customHeight="1">
      <c r="A449" t="inlineStr">
        <is>
          <t>A 21739-2022</t>
        </is>
      </c>
      <c r="B449" s="1" t="n">
        <v>44708.36708333333</v>
      </c>
      <c r="C449" s="1" t="n">
        <v>46000</v>
      </c>
      <c r="D449" t="inlineStr">
        <is>
          <t>STOCKHOLMS LÄN</t>
        </is>
      </c>
      <c r="E449" t="inlineStr">
        <is>
          <t>NORRTÄLJE</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35210-2023</t>
        </is>
      </c>
      <c r="B450" s="1" t="n">
        <v>45145.63584490741</v>
      </c>
      <c r="C450" s="1" t="n">
        <v>46000</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26051-2025</t>
        </is>
      </c>
      <c r="B451" s="1" t="n">
        <v>45804.74479166666</v>
      </c>
      <c r="C451" s="1" t="n">
        <v>46000</v>
      </c>
      <c r="D451" t="inlineStr">
        <is>
          <t>STOCKHOLMS LÄN</t>
        </is>
      </c>
      <c r="E451" t="inlineStr">
        <is>
          <t>NORRTÄLJE</t>
        </is>
      </c>
      <c r="G451" t="n">
        <v>3.2</v>
      </c>
      <c r="H451" t="n">
        <v>0</v>
      </c>
      <c r="I451" t="n">
        <v>0</v>
      </c>
      <c r="J451" t="n">
        <v>0</v>
      </c>
      <c r="K451" t="n">
        <v>0</v>
      </c>
      <c r="L451" t="n">
        <v>0</v>
      </c>
      <c r="M451" t="n">
        <v>0</v>
      </c>
      <c r="N451" t="n">
        <v>0</v>
      </c>
      <c r="O451" t="n">
        <v>0</v>
      </c>
      <c r="P451" t="n">
        <v>0</v>
      </c>
      <c r="Q451" t="n">
        <v>0</v>
      </c>
      <c r="R451" s="2" t="inlineStr"/>
    </row>
    <row r="452" ht="15" customHeight="1">
      <c r="A452" t="inlineStr">
        <is>
          <t>A 59767-2022</t>
        </is>
      </c>
      <c r="B452" s="1" t="n">
        <v>44900</v>
      </c>
      <c r="C452" s="1" t="n">
        <v>46000</v>
      </c>
      <c r="D452" t="inlineStr">
        <is>
          <t>STOCKHOLMS LÄN</t>
        </is>
      </c>
      <c r="E452" t="inlineStr">
        <is>
          <t>NORRTÄLJE</t>
        </is>
      </c>
      <c r="G452" t="n">
        <v>2.2</v>
      </c>
      <c r="H452" t="n">
        <v>0</v>
      </c>
      <c r="I452" t="n">
        <v>0</v>
      </c>
      <c r="J452" t="n">
        <v>0</v>
      </c>
      <c r="K452" t="n">
        <v>0</v>
      </c>
      <c r="L452" t="n">
        <v>0</v>
      </c>
      <c r="M452" t="n">
        <v>0</v>
      </c>
      <c r="N452" t="n">
        <v>0</v>
      </c>
      <c r="O452" t="n">
        <v>0</v>
      </c>
      <c r="P452" t="n">
        <v>0</v>
      </c>
      <c r="Q452" t="n">
        <v>0</v>
      </c>
      <c r="R452" s="2" t="inlineStr"/>
    </row>
    <row r="453" ht="15" customHeight="1">
      <c r="A453" t="inlineStr">
        <is>
          <t>A 5823-2023</t>
        </is>
      </c>
      <c r="B453" s="1" t="n">
        <v>44963</v>
      </c>
      <c r="C453" s="1" t="n">
        <v>46000</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41966-2025</t>
        </is>
      </c>
      <c r="B454" s="1" t="n">
        <v>45903.47456018518</v>
      </c>
      <c r="C454" s="1" t="n">
        <v>46000</v>
      </c>
      <c r="D454" t="inlineStr">
        <is>
          <t>STOCKHOLMS LÄN</t>
        </is>
      </c>
      <c r="E454" t="inlineStr">
        <is>
          <t>NORRTÄLJE</t>
        </is>
      </c>
      <c r="F454" t="inlineStr">
        <is>
          <t>Sveaskog</t>
        </is>
      </c>
      <c r="G454" t="n">
        <v>3.7</v>
      </c>
      <c r="H454" t="n">
        <v>0</v>
      </c>
      <c r="I454" t="n">
        <v>0</v>
      </c>
      <c r="J454" t="n">
        <v>0</v>
      </c>
      <c r="K454" t="n">
        <v>0</v>
      </c>
      <c r="L454" t="n">
        <v>0</v>
      </c>
      <c r="M454" t="n">
        <v>0</v>
      </c>
      <c r="N454" t="n">
        <v>0</v>
      </c>
      <c r="O454" t="n">
        <v>0</v>
      </c>
      <c r="P454" t="n">
        <v>0</v>
      </c>
      <c r="Q454" t="n">
        <v>0</v>
      </c>
      <c r="R454" s="2" t="inlineStr"/>
    </row>
    <row r="455" ht="15" customHeight="1">
      <c r="A455" t="inlineStr">
        <is>
          <t>A 19915-2024</t>
        </is>
      </c>
      <c r="B455" s="1" t="n">
        <v>45433.58431712963</v>
      </c>
      <c r="C455" s="1" t="n">
        <v>46000</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15217-2023</t>
        </is>
      </c>
      <c r="B456" s="1" t="n">
        <v>45019.28847222222</v>
      </c>
      <c r="C456" s="1" t="n">
        <v>46000</v>
      </c>
      <c r="D456" t="inlineStr">
        <is>
          <t>STOCKHOLMS LÄN</t>
        </is>
      </c>
      <c r="E456" t="inlineStr">
        <is>
          <t>NORRTÄLJE</t>
        </is>
      </c>
      <c r="G456" t="n">
        <v>3.6</v>
      </c>
      <c r="H456" t="n">
        <v>0</v>
      </c>
      <c r="I456" t="n">
        <v>0</v>
      </c>
      <c r="J456" t="n">
        <v>0</v>
      </c>
      <c r="K456" t="n">
        <v>0</v>
      </c>
      <c r="L456" t="n">
        <v>0</v>
      </c>
      <c r="M456" t="n">
        <v>0</v>
      </c>
      <c r="N456" t="n">
        <v>0</v>
      </c>
      <c r="O456" t="n">
        <v>0</v>
      </c>
      <c r="P456" t="n">
        <v>0</v>
      </c>
      <c r="Q456" t="n">
        <v>0</v>
      </c>
      <c r="R456" s="2" t="inlineStr"/>
    </row>
    <row r="457" ht="15" customHeight="1">
      <c r="A457" t="inlineStr">
        <is>
          <t>A 42038-2025</t>
        </is>
      </c>
      <c r="B457" s="1" t="n">
        <v>45903.61431712963</v>
      </c>
      <c r="C457" s="1" t="n">
        <v>46000</v>
      </c>
      <c r="D457" t="inlineStr">
        <is>
          <t>STOCKHOLMS LÄN</t>
        </is>
      </c>
      <c r="E457" t="inlineStr">
        <is>
          <t>NORRTÄLJE</t>
        </is>
      </c>
      <c r="F457" t="inlineStr">
        <is>
          <t>Sveaskog</t>
        </is>
      </c>
      <c r="G457" t="n">
        <v>6.4</v>
      </c>
      <c r="H457" t="n">
        <v>0</v>
      </c>
      <c r="I457" t="n">
        <v>0</v>
      </c>
      <c r="J457" t="n">
        <v>0</v>
      </c>
      <c r="K457" t="n">
        <v>0</v>
      </c>
      <c r="L457" t="n">
        <v>0</v>
      </c>
      <c r="M457" t="n">
        <v>0</v>
      </c>
      <c r="N457" t="n">
        <v>0</v>
      </c>
      <c r="O457" t="n">
        <v>0</v>
      </c>
      <c r="P457" t="n">
        <v>0</v>
      </c>
      <c r="Q457" t="n">
        <v>0</v>
      </c>
      <c r="R457" s="2" t="inlineStr"/>
    </row>
    <row r="458" ht="15" customHeight="1">
      <c r="A458" t="inlineStr">
        <is>
          <t>A 50143-2023</t>
        </is>
      </c>
      <c r="B458" s="1" t="n">
        <v>45215</v>
      </c>
      <c r="C458" s="1" t="n">
        <v>46000</v>
      </c>
      <c r="D458" t="inlineStr">
        <is>
          <t>STOCKHOLMS LÄN</t>
        </is>
      </c>
      <c r="E458" t="inlineStr">
        <is>
          <t>NORRTÄLJE</t>
        </is>
      </c>
      <c r="G458" t="n">
        <v>10.3</v>
      </c>
      <c r="H458" t="n">
        <v>0</v>
      </c>
      <c r="I458" t="n">
        <v>0</v>
      </c>
      <c r="J458" t="n">
        <v>0</v>
      </c>
      <c r="K458" t="n">
        <v>0</v>
      </c>
      <c r="L458" t="n">
        <v>0</v>
      </c>
      <c r="M458" t="n">
        <v>0</v>
      </c>
      <c r="N458" t="n">
        <v>0</v>
      </c>
      <c r="O458" t="n">
        <v>0</v>
      </c>
      <c r="P458" t="n">
        <v>0</v>
      </c>
      <c r="Q458" t="n">
        <v>0</v>
      </c>
      <c r="R458" s="2" t="inlineStr"/>
    </row>
    <row r="459" ht="15" customHeight="1">
      <c r="A459" t="inlineStr">
        <is>
          <t>A 26708-2025</t>
        </is>
      </c>
      <c r="B459" s="1" t="n">
        <v>45810.45633101852</v>
      </c>
      <c r="C459" s="1" t="n">
        <v>46000</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29176-2024</t>
        </is>
      </c>
      <c r="B460" s="1" t="n">
        <v>45482.53388888889</v>
      </c>
      <c r="C460" s="1" t="n">
        <v>46000</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41964-2025</t>
        </is>
      </c>
      <c r="B461" s="1" t="n">
        <v>45903.47270833333</v>
      </c>
      <c r="C461" s="1" t="n">
        <v>46000</v>
      </c>
      <c r="D461" t="inlineStr">
        <is>
          <t>STOCKHOLMS LÄN</t>
        </is>
      </c>
      <c r="E461" t="inlineStr">
        <is>
          <t>NORRTÄLJE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36430-2024</t>
        </is>
      </c>
      <c r="B462" s="1" t="n">
        <v>45536</v>
      </c>
      <c r="C462" s="1" t="n">
        <v>46000</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51312-2023</t>
        </is>
      </c>
      <c r="B463" s="1" t="n">
        <v>45219.56697916667</v>
      </c>
      <c r="C463" s="1" t="n">
        <v>46000</v>
      </c>
      <c r="D463" t="inlineStr">
        <is>
          <t>STOCKHOLMS LÄN</t>
        </is>
      </c>
      <c r="E463" t="inlineStr">
        <is>
          <t>NORRTÄLJE</t>
        </is>
      </c>
      <c r="G463" t="n">
        <v>1.9</v>
      </c>
      <c r="H463" t="n">
        <v>0</v>
      </c>
      <c r="I463" t="n">
        <v>0</v>
      </c>
      <c r="J463" t="n">
        <v>0</v>
      </c>
      <c r="K463" t="n">
        <v>0</v>
      </c>
      <c r="L463" t="n">
        <v>0</v>
      </c>
      <c r="M463" t="n">
        <v>0</v>
      </c>
      <c r="N463" t="n">
        <v>0</v>
      </c>
      <c r="O463" t="n">
        <v>0</v>
      </c>
      <c r="P463" t="n">
        <v>0</v>
      </c>
      <c r="Q463" t="n">
        <v>0</v>
      </c>
      <c r="R463" s="2" t="inlineStr"/>
    </row>
    <row r="464" ht="15" customHeight="1">
      <c r="A464" t="inlineStr">
        <is>
          <t>A 35640-2024</t>
        </is>
      </c>
      <c r="B464" s="1" t="n">
        <v>45531</v>
      </c>
      <c r="C464" s="1" t="n">
        <v>46000</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26702-2025</t>
        </is>
      </c>
      <c r="B465" s="1" t="n">
        <v>45810.45236111111</v>
      </c>
      <c r="C465" s="1" t="n">
        <v>46000</v>
      </c>
      <c r="D465" t="inlineStr">
        <is>
          <t>STOCKHOLMS LÄN</t>
        </is>
      </c>
      <c r="E465" t="inlineStr">
        <is>
          <t>NORRTÄLJE</t>
        </is>
      </c>
      <c r="G465" t="n">
        <v>7.3</v>
      </c>
      <c r="H465" t="n">
        <v>0</v>
      </c>
      <c r="I465" t="n">
        <v>0</v>
      </c>
      <c r="J465" t="n">
        <v>0</v>
      </c>
      <c r="K465" t="n">
        <v>0</v>
      </c>
      <c r="L465" t="n">
        <v>0</v>
      </c>
      <c r="M465" t="n">
        <v>0</v>
      </c>
      <c r="N465" t="n">
        <v>0</v>
      </c>
      <c r="O465" t="n">
        <v>0</v>
      </c>
      <c r="P465" t="n">
        <v>0</v>
      </c>
      <c r="Q465" t="n">
        <v>0</v>
      </c>
      <c r="R465" s="2" t="inlineStr"/>
    </row>
    <row r="466" ht="15" customHeight="1">
      <c r="A466" t="inlineStr">
        <is>
          <t>A 23061-2025</t>
        </is>
      </c>
      <c r="B466" s="1" t="n">
        <v>45790.81410879629</v>
      </c>
      <c r="C466" s="1" t="n">
        <v>46000</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27040-2025</t>
        </is>
      </c>
      <c r="B467" s="1" t="n">
        <v>45811.60451388889</v>
      </c>
      <c r="C467" s="1" t="n">
        <v>46000</v>
      </c>
      <c r="D467" t="inlineStr">
        <is>
          <t>STOCKHOLMS LÄN</t>
        </is>
      </c>
      <c r="E467" t="inlineStr">
        <is>
          <t>NORRTÄLJE</t>
        </is>
      </c>
      <c r="G467" t="n">
        <v>4.3</v>
      </c>
      <c r="H467" t="n">
        <v>0</v>
      </c>
      <c r="I467" t="n">
        <v>0</v>
      </c>
      <c r="J467" t="n">
        <v>0</v>
      </c>
      <c r="K467" t="n">
        <v>0</v>
      </c>
      <c r="L467" t="n">
        <v>0</v>
      </c>
      <c r="M467" t="n">
        <v>0</v>
      </c>
      <c r="N467" t="n">
        <v>0</v>
      </c>
      <c r="O467" t="n">
        <v>0</v>
      </c>
      <c r="P467" t="n">
        <v>0</v>
      </c>
      <c r="Q467" t="n">
        <v>0</v>
      </c>
      <c r="R467" s="2" t="inlineStr"/>
    </row>
    <row r="468" ht="15" customHeight="1">
      <c r="A468" t="inlineStr">
        <is>
          <t>A 26747-2025</t>
        </is>
      </c>
      <c r="B468" s="1" t="n">
        <v>45810.5333912037</v>
      </c>
      <c r="C468" s="1" t="n">
        <v>46000</v>
      </c>
      <c r="D468" t="inlineStr">
        <is>
          <t>STOCKHOLMS LÄN</t>
        </is>
      </c>
      <c r="E468" t="inlineStr">
        <is>
          <t>NORRTÄLJE</t>
        </is>
      </c>
      <c r="G468" t="n">
        <v>1.9</v>
      </c>
      <c r="H468" t="n">
        <v>0</v>
      </c>
      <c r="I468" t="n">
        <v>0</v>
      </c>
      <c r="J468" t="n">
        <v>0</v>
      </c>
      <c r="K468" t="n">
        <v>0</v>
      </c>
      <c r="L468" t="n">
        <v>0</v>
      </c>
      <c r="M468" t="n">
        <v>0</v>
      </c>
      <c r="N468" t="n">
        <v>0</v>
      </c>
      <c r="O468" t="n">
        <v>0</v>
      </c>
      <c r="P468" t="n">
        <v>0</v>
      </c>
      <c r="Q468" t="n">
        <v>0</v>
      </c>
      <c r="R468" s="2" t="inlineStr"/>
    </row>
    <row r="469" ht="15" customHeight="1">
      <c r="A469" t="inlineStr">
        <is>
          <t>A 30699-2025</t>
        </is>
      </c>
      <c r="B469" s="1" t="n">
        <v>45831.54618055555</v>
      </c>
      <c r="C469" s="1" t="n">
        <v>46000</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43212-2022</t>
        </is>
      </c>
      <c r="B470" s="1" t="n">
        <v>44834.38636574074</v>
      </c>
      <c r="C470" s="1" t="n">
        <v>46000</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51653-2022</t>
        </is>
      </c>
      <c r="B471" s="1" t="n">
        <v>44867</v>
      </c>
      <c r="C471" s="1" t="n">
        <v>46000</v>
      </c>
      <c r="D471" t="inlineStr">
        <is>
          <t>STOCKHOLMS LÄN</t>
        </is>
      </c>
      <c r="E471" t="inlineStr">
        <is>
          <t>NORRTÄLJE</t>
        </is>
      </c>
      <c r="G471" t="n">
        <v>6.6</v>
      </c>
      <c r="H471" t="n">
        <v>0</v>
      </c>
      <c r="I471" t="n">
        <v>0</v>
      </c>
      <c r="J471" t="n">
        <v>0</v>
      </c>
      <c r="K471" t="n">
        <v>0</v>
      </c>
      <c r="L471" t="n">
        <v>0</v>
      </c>
      <c r="M471" t="n">
        <v>0</v>
      </c>
      <c r="N471" t="n">
        <v>0</v>
      </c>
      <c r="O471" t="n">
        <v>0</v>
      </c>
      <c r="P471" t="n">
        <v>0</v>
      </c>
      <c r="Q471" t="n">
        <v>0</v>
      </c>
      <c r="R471" s="2" t="inlineStr"/>
    </row>
    <row r="472" ht="15" customHeight="1">
      <c r="A472" t="inlineStr">
        <is>
          <t>A 26675-2025</t>
        </is>
      </c>
      <c r="B472" s="1" t="n">
        <v>45810.42393518519</v>
      </c>
      <c r="C472" s="1" t="n">
        <v>46000</v>
      </c>
      <c r="D472" t="inlineStr">
        <is>
          <t>STOCKHOLMS LÄN</t>
        </is>
      </c>
      <c r="E472" t="inlineStr">
        <is>
          <t>NORRTÄLJE</t>
        </is>
      </c>
      <c r="G472" t="n">
        <v>2.7</v>
      </c>
      <c r="H472" t="n">
        <v>0</v>
      </c>
      <c r="I472" t="n">
        <v>0</v>
      </c>
      <c r="J472" t="n">
        <v>0</v>
      </c>
      <c r="K472" t="n">
        <v>0</v>
      </c>
      <c r="L472" t="n">
        <v>0</v>
      </c>
      <c r="M472" t="n">
        <v>0</v>
      </c>
      <c r="N472" t="n">
        <v>0</v>
      </c>
      <c r="O472" t="n">
        <v>0</v>
      </c>
      <c r="P472" t="n">
        <v>0</v>
      </c>
      <c r="Q472" t="n">
        <v>0</v>
      </c>
      <c r="R472" s="2" t="inlineStr"/>
    </row>
    <row r="473" ht="15" customHeight="1">
      <c r="A473" t="inlineStr">
        <is>
          <t>A 4322-2023</t>
        </is>
      </c>
      <c r="B473" s="1" t="n">
        <v>44953.69298611111</v>
      </c>
      <c r="C473" s="1" t="n">
        <v>46000</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20011-2025</t>
        </is>
      </c>
      <c r="B474" s="1" t="n">
        <v>45772.29622685185</v>
      </c>
      <c r="C474" s="1" t="n">
        <v>46000</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27554-2025</t>
        </is>
      </c>
      <c r="B475" s="1" t="n">
        <v>45813.4709375</v>
      </c>
      <c r="C475" s="1" t="n">
        <v>46000</v>
      </c>
      <c r="D475" t="inlineStr">
        <is>
          <t>STOCKHOLMS LÄN</t>
        </is>
      </c>
      <c r="E475" t="inlineStr">
        <is>
          <t>NORRTÄLJE</t>
        </is>
      </c>
      <c r="F475" t="inlineStr">
        <is>
          <t>Övriga Aktiebolag</t>
        </is>
      </c>
      <c r="G475" t="n">
        <v>2.5</v>
      </c>
      <c r="H475" t="n">
        <v>0</v>
      </c>
      <c r="I475" t="n">
        <v>0</v>
      </c>
      <c r="J475" t="n">
        <v>0</v>
      </c>
      <c r="K475" t="n">
        <v>0</v>
      </c>
      <c r="L475" t="n">
        <v>0</v>
      </c>
      <c r="M475" t="n">
        <v>0</v>
      </c>
      <c r="N475" t="n">
        <v>0</v>
      </c>
      <c r="O475" t="n">
        <v>0</v>
      </c>
      <c r="P475" t="n">
        <v>0</v>
      </c>
      <c r="Q475" t="n">
        <v>0</v>
      </c>
      <c r="R475" s="2" t="inlineStr"/>
    </row>
    <row r="476" ht="15" customHeight="1">
      <c r="A476" t="inlineStr">
        <is>
          <t>A 42856-2025</t>
        </is>
      </c>
      <c r="B476" s="1" t="n">
        <v>45908</v>
      </c>
      <c r="C476" s="1" t="n">
        <v>46000</v>
      </c>
      <c r="D476" t="inlineStr">
        <is>
          <t>STOCKHOLMS LÄN</t>
        </is>
      </c>
      <c r="E476" t="inlineStr">
        <is>
          <t>NORRTÄLJE</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38990-2022</t>
        </is>
      </c>
      <c r="B477" s="1" t="n">
        <v>44816</v>
      </c>
      <c r="C477" s="1" t="n">
        <v>46000</v>
      </c>
      <c r="D477" t="inlineStr">
        <is>
          <t>STOCKHOLMS LÄN</t>
        </is>
      </c>
      <c r="E477" t="inlineStr">
        <is>
          <t>NORRTÄLJE</t>
        </is>
      </c>
      <c r="G477" t="n">
        <v>5.7</v>
      </c>
      <c r="H477" t="n">
        <v>0</v>
      </c>
      <c r="I477" t="n">
        <v>0</v>
      </c>
      <c r="J477" t="n">
        <v>0</v>
      </c>
      <c r="K477" t="n">
        <v>0</v>
      </c>
      <c r="L477" t="n">
        <v>0</v>
      </c>
      <c r="M477" t="n">
        <v>0</v>
      </c>
      <c r="N477" t="n">
        <v>0</v>
      </c>
      <c r="O477" t="n">
        <v>0</v>
      </c>
      <c r="P477" t="n">
        <v>0</v>
      </c>
      <c r="Q477" t="n">
        <v>0</v>
      </c>
      <c r="R477" s="2" t="inlineStr"/>
    </row>
    <row r="478" ht="15" customHeight="1">
      <c r="A478" t="inlineStr">
        <is>
          <t>A 17956-2025</t>
        </is>
      </c>
      <c r="B478" s="1" t="n">
        <v>45760.91174768518</v>
      </c>
      <c r="C478" s="1" t="n">
        <v>46000</v>
      </c>
      <c r="D478" t="inlineStr">
        <is>
          <t>STOCKHOLMS LÄN</t>
        </is>
      </c>
      <c r="E478" t="inlineStr">
        <is>
          <t>NORRTÄLJE</t>
        </is>
      </c>
      <c r="G478" t="n">
        <v>4.3</v>
      </c>
      <c r="H478" t="n">
        <v>0</v>
      </c>
      <c r="I478" t="n">
        <v>0</v>
      </c>
      <c r="J478" t="n">
        <v>0</v>
      </c>
      <c r="K478" t="n">
        <v>0</v>
      </c>
      <c r="L478" t="n">
        <v>0</v>
      </c>
      <c r="M478" t="n">
        <v>0</v>
      </c>
      <c r="N478" t="n">
        <v>0</v>
      </c>
      <c r="O478" t="n">
        <v>0</v>
      </c>
      <c r="P478" t="n">
        <v>0</v>
      </c>
      <c r="Q478" t="n">
        <v>0</v>
      </c>
      <c r="R478" s="2" t="inlineStr"/>
    </row>
    <row r="479" ht="15" customHeight="1">
      <c r="A479" t="inlineStr">
        <is>
          <t>A 875-2023</t>
        </is>
      </c>
      <c r="B479" s="1" t="n">
        <v>44931.65626157408</v>
      </c>
      <c r="C479" s="1" t="n">
        <v>46000</v>
      </c>
      <c r="D479" t="inlineStr">
        <is>
          <t>STOCKHOLMS LÄN</t>
        </is>
      </c>
      <c r="E479" t="inlineStr">
        <is>
          <t>NORRTÄLJE</t>
        </is>
      </c>
      <c r="G479" t="n">
        <v>2.2</v>
      </c>
      <c r="H479" t="n">
        <v>0</v>
      </c>
      <c r="I479" t="n">
        <v>0</v>
      </c>
      <c r="J479" t="n">
        <v>0</v>
      </c>
      <c r="K479" t="n">
        <v>0</v>
      </c>
      <c r="L479" t="n">
        <v>0</v>
      </c>
      <c r="M479" t="n">
        <v>0</v>
      </c>
      <c r="N479" t="n">
        <v>0</v>
      </c>
      <c r="O479" t="n">
        <v>0</v>
      </c>
      <c r="P479" t="n">
        <v>0</v>
      </c>
      <c r="Q479" t="n">
        <v>0</v>
      </c>
      <c r="R479" s="2" t="inlineStr"/>
    </row>
    <row r="480" ht="15" customHeight="1">
      <c r="A480" t="inlineStr">
        <is>
          <t>A 31236-2022</t>
        </is>
      </c>
      <c r="B480" s="1" t="n">
        <v>44771</v>
      </c>
      <c r="C480" s="1" t="n">
        <v>46000</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8315-2025</t>
        </is>
      </c>
      <c r="B481" s="1" t="n">
        <v>45708.61761574074</v>
      </c>
      <c r="C481" s="1" t="n">
        <v>46000</v>
      </c>
      <c r="D481" t="inlineStr">
        <is>
          <t>STOCKHOLMS LÄN</t>
        </is>
      </c>
      <c r="E481" t="inlineStr">
        <is>
          <t>NORRTÄLJE</t>
        </is>
      </c>
      <c r="G481" t="n">
        <v>3.9</v>
      </c>
      <c r="H481" t="n">
        <v>0</v>
      </c>
      <c r="I481" t="n">
        <v>0</v>
      </c>
      <c r="J481" t="n">
        <v>0</v>
      </c>
      <c r="K481" t="n">
        <v>0</v>
      </c>
      <c r="L481" t="n">
        <v>0</v>
      </c>
      <c r="M481" t="n">
        <v>0</v>
      </c>
      <c r="N481" t="n">
        <v>0</v>
      </c>
      <c r="O481" t="n">
        <v>0</v>
      </c>
      <c r="P481" t="n">
        <v>0</v>
      </c>
      <c r="Q481" t="n">
        <v>0</v>
      </c>
      <c r="R481" s="2" t="inlineStr"/>
    </row>
    <row r="482" ht="15" customHeight="1">
      <c r="A482" t="inlineStr">
        <is>
          <t>A 31281-2022</t>
        </is>
      </c>
      <c r="B482" s="1" t="n">
        <v>44771</v>
      </c>
      <c r="C482" s="1" t="n">
        <v>46000</v>
      </c>
      <c r="D482" t="inlineStr">
        <is>
          <t>STOCKHOLMS LÄN</t>
        </is>
      </c>
      <c r="E482" t="inlineStr">
        <is>
          <t>NORRTÄLJE</t>
        </is>
      </c>
      <c r="F482" t="inlineStr">
        <is>
          <t>Holmen skog AB</t>
        </is>
      </c>
      <c r="G482" t="n">
        <v>5.2</v>
      </c>
      <c r="H482" t="n">
        <v>0</v>
      </c>
      <c r="I482" t="n">
        <v>0</v>
      </c>
      <c r="J482" t="n">
        <v>0</v>
      </c>
      <c r="K482" t="n">
        <v>0</v>
      </c>
      <c r="L482" t="n">
        <v>0</v>
      </c>
      <c r="M482" t="n">
        <v>0</v>
      </c>
      <c r="N482" t="n">
        <v>0</v>
      </c>
      <c r="O482" t="n">
        <v>0</v>
      </c>
      <c r="P482" t="n">
        <v>0</v>
      </c>
      <c r="Q482" t="n">
        <v>0</v>
      </c>
      <c r="R482" s="2" t="inlineStr"/>
    </row>
    <row r="483" ht="15" customHeight="1">
      <c r="A483" t="inlineStr">
        <is>
          <t>A 27700-2025</t>
        </is>
      </c>
      <c r="B483" s="1" t="n">
        <v>45813.6799537037</v>
      </c>
      <c r="C483" s="1" t="n">
        <v>46000</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27697-2025</t>
        </is>
      </c>
      <c r="B484" s="1" t="n">
        <v>45813.66961805556</v>
      </c>
      <c r="C484" s="1" t="n">
        <v>46000</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27802-2025</t>
        </is>
      </c>
      <c r="B485" s="1" t="n">
        <v>45817.2565625</v>
      </c>
      <c r="C485" s="1" t="n">
        <v>46000</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27806-2025</t>
        </is>
      </c>
      <c r="B486" s="1" t="n">
        <v>45817.30329861111</v>
      </c>
      <c r="C486" s="1" t="n">
        <v>46000</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27808-2025</t>
        </is>
      </c>
      <c r="B487" s="1" t="n">
        <v>45817.31085648148</v>
      </c>
      <c r="C487" s="1" t="n">
        <v>46000</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27810-2025</t>
        </is>
      </c>
      <c r="B488" s="1" t="n">
        <v>45817.31708333334</v>
      </c>
      <c r="C488" s="1" t="n">
        <v>46000</v>
      </c>
      <c r="D488" t="inlineStr">
        <is>
          <t>STOCKHOLMS LÄN</t>
        </is>
      </c>
      <c r="E488" t="inlineStr">
        <is>
          <t>NORRTÄLJE</t>
        </is>
      </c>
      <c r="G488" t="n">
        <v>3.9</v>
      </c>
      <c r="H488" t="n">
        <v>0</v>
      </c>
      <c r="I488" t="n">
        <v>0</v>
      </c>
      <c r="J488" t="n">
        <v>0</v>
      </c>
      <c r="K488" t="n">
        <v>0</v>
      </c>
      <c r="L488" t="n">
        <v>0</v>
      </c>
      <c r="M488" t="n">
        <v>0</v>
      </c>
      <c r="N488" t="n">
        <v>0</v>
      </c>
      <c r="O488" t="n">
        <v>0</v>
      </c>
      <c r="P488" t="n">
        <v>0</v>
      </c>
      <c r="Q488" t="n">
        <v>0</v>
      </c>
      <c r="R488" s="2" t="inlineStr"/>
    </row>
    <row r="489" ht="15" customHeight="1">
      <c r="A489" t="inlineStr">
        <is>
          <t>A 27811-2025</t>
        </is>
      </c>
      <c r="B489" s="1" t="n">
        <v>45817.31986111111</v>
      </c>
      <c r="C489" s="1" t="n">
        <v>46000</v>
      </c>
      <c r="D489" t="inlineStr">
        <is>
          <t>STOCKHOLMS LÄN</t>
        </is>
      </c>
      <c r="E489" t="inlineStr">
        <is>
          <t>NORRTÄLJE</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27818-2025</t>
        </is>
      </c>
      <c r="B490" s="1" t="n">
        <v>45817.33503472222</v>
      </c>
      <c r="C490" s="1" t="n">
        <v>46000</v>
      </c>
      <c r="D490" t="inlineStr">
        <is>
          <t>STOCKHOLMS LÄN</t>
        </is>
      </c>
      <c r="E490" t="inlineStr">
        <is>
          <t>NORRTÄLJE</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18665-2022</t>
        </is>
      </c>
      <c r="B491" s="1" t="n">
        <v>44687</v>
      </c>
      <c r="C491" s="1" t="n">
        <v>46000</v>
      </c>
      <c r="D491" t="inlineStr">
        <is>
          <t>STOCKHOLMS LÄN</t>
        </is>
      </c>
      <c r="E491" t="inlineStr">
        <is>
          <t>NORRTÄLJE</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27801-2025</t>
        </is>
      </c>
      <c r="B492" s="1" t="n">
        <v>45817.25471064815</v>
      </c>
      <c r="C492" s="1" t="n">
        <v>46000</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24835-2025</t>
        </is>
      </c>
      <c r="B493" s="1" t="n">
        <v>45799</v>
      </c>
      <c r="C493" s="1" t="n">
        <v>46000</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27803-2025</t>
        </is>
      </c>
      <c r="B494" s="1" t="n">
        <v>45817.291875</v>
      </c>
      <c r="C494" s="1" t="n">
        <v>46000</v>
      </c>
      <c r="D494" t="inlineStr">
        <is>
          <t>STOCKHOLMS LÄN</t>
        </is>
      </c>
      <c r="E494" t="inlineStr">
        <is>
          <t>NORRTÄLJE</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27813-2025</t>
        </is>
      </c>
      <c r="B495" s="1" t="n">
        <v>45817.32538194444</v>
      </c>
      <c r="C495" s="1" t="n">
        <v>46000</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27821-2025</t>
        </is>
      </c>
      <c r="B496" s="1" t="n">
        <v>45817.34083333334</v>
      </c>
      <c r="C496" s="1" t="n">
        <v>46000</v>
      </c>
      <c r="D496" t="inlineStr">
        <is>
          <t>STOCKHOLMS LÄN</t>
        </is>
      </c>
      <c r="E496" t="inlineStr">
        <is>
          <t>NORRTÄLJE</t>
        </is>
      </c>
      <c r="G496" t="n">
        <v>3.2</v>
      </c>
      <c r="H496" t="n">
        <v>0</v>
      </c>
      <c r="I496" t="n">
        <v>0</v>
      </c>
      <c r="J496" t="n">
        <v>0</v>
      </c>
      <c r="K496" t="n">
        <v>0</v>
      </c>
      <c r="L496" t="n">
        <v>0</v>
      </c>
      <c r="M496" t="n">
        <v>0</v>
      </c>
      <c r="N496" t="n">
        <v>0</v>
      </c>
      <c r="O496" t="n">
        <v>0</v>
      </c>
      <c r="P496" t="n">
        <v>0</v>
      </c>
      <c r="Q496" t="n">
        <v>0</v>
      </c>
      <c r="R496" s="2" t="inlineStr"/>
    </row>
    <row r="497" ht="15" customHeight="1">
      <c r="A497" t="inlineStr">
        <is>
          <t>A 58302-2022</t>
        </is>
      </c>
      <c r="B497" s="1" t="n">
        <v>44901</v>
      </c>
      <c r="C497" s="1" t="n">
        <v>46000</v>
      </c>
      <c r="D497" t="inlineStr">
        <is>
          <t>STOCKHOLMS LÄN</t>
        </is>
      </c>
      <c r="E497" t="inlineStr">
        <is>
          <t>NORRTÄLJE</t>
        </is>
      </c>
      <c r="G497" t="n">
        <v>3.9</v>
      </c>
      <c r="H497" t="n">
        <v>0</v>
      </c>
      <c r="I497" t="n">
        <v>0</v>
      </c>
      <c r="J497" t="n">
        <v>0</v>
      </c>
      <c r="K497" t="n">
        <v>0</v>
      </c>
      <c r="L497" t="n">
        <v>0</v>
      </c>
      <c r="M497" t="n">
        <v>0</v>
      </c>
      <c r="N497" t="n">
        <v>0</v>
      </c>
      <c r="O497" t="n">
        <v>0</v>
      </c>
      <c r="P497" t="n">
        <v>0</v>
      </c>
      <c r="Q497" t="n">
        <v>0</v>
      </c>
      <c r="R497" s="2" t="inlineStr"/>
    </row>
    <row r="498" ht="15" customHeight="1">
      <c r="A498" t="inlineStr">
        <is>
          <t>A 43169-2025</t>
        </is>
      </c>
      <c r="B498" s="1" t="n">
        <v>45910</v>
      </c>
      <c r="C498" s="1" t="n">
        <v>46000</v>
      </c>
      <c r="D498" t="inlineStr">
        <is>
          <t>STOCKHOLMS LÄN</t>
        </is>
      </c>
      <c r="E498" t="inlineStr">
        <is>
          <t>NORRTÄLJE</t>
        </is>
      </c>
      <c r="G498" t="n">
        <v>6.9</v>
      </c>
      <c r="H498" t="n">
        <v>0</v>
      </c>
      <c r="I498" t="n">
        <v>0</v>
      </c>
      <c r="J498" t="n">
        <v>0</v>
      </c>
      <c r="K498" t="n">
        <v>0</v>
      </c>
      <c r="L498" t="n">
        <v>0</v>
      </c>
      <c r="M498" t="n">
        <v>0</v>
      </c>
      <c r="N498" t="n">
        <v>0</v>
      </c>
      <c r="O498" t="n">
        <v>0</v>
      </c>
      <c r="P498" t="n">
        <v>0</v>
      </c>
      <c r="Q498" t="n">
        <v>0</v>
      </c>
      <c r="R498" s="2" t="inlineStr"/>
    </row>
    <row r="499" ht="15" customHeight="1">
      <c r="A499" t="inlineStr">
        <is>
          <t>A 30719-2025</t>
        </is>
      </c>
      <c r="B499" s="1" t="n">
        <v>45831</v>
      </c>
      <c r="C499" s="1" t="n">
        <v>46000</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38591-2023</t>
        </is>
      </c>
      <c r="B500" s="1" t="n">
        <v>45162</v>
      </c>
      <c r="C500" s="1" t="n">
        <v>46000</v>
      </c>
      <c r="D500" t="inlineStr">
        <is>
          <t>STOCKHOLMS LÄN</t>
        </is>
      </c>
      <c r="E500" t="inlineStr">
        <is>
          <t>NORRTÄLJE</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15528-2025</t>
        </is>
      </c>
      <c r="B501" s="1" t="n">
        <v>45747.63471064815</v>
      </c>
      <c r="C501" s="1" t="n">
        <v>46000</v>
      </c>
      <c r="D501" t="inlineStr">
        <is>
          <t>STOCKHOLMS LÄN</t>
        </is>
      </c>
      <c r="E501" t="inlineStr">
        <is>
          <t>NORRTÄLJE</t>
        </is>
      </c>
      <c r="G501" t="n">
        <v>10</v>
      </c>
      <c r="H501" t="n">
        <v>0</v>
      </c>
      <c r="I501" t="n">
        <v>0</v>
      </c>
      <c r="J501" t="n">
        <v>0</v>
      </c>
      <c r="K501" t="n">
        <v>0</v>
      </c>
      <c r="L501" t="n">
        <v>0</v>
      </c>
      <c r="M501" t="n">
        <v>0</v>
      </c>
      <c r="N501" t="n">
        <v>0</v>
      </c>
      <c r="O501" t="n">
        <v>0</v>
      </c>
      <c r="P501" t="n">
        <v>0</v>
      </c>
      <c r="Q501" t="n">
        <v>0</v>
      </c>
      <c r="R501" s="2" t="inlineStr"/>
    </row>
    <row r="502" ht="15" customHeight="1">
      <c r="A502" t="inlineStr">
        <is>
          <t>A 11901-2024</t>
        </is>
      </c>
      <c r="B502" s="1" t="n">
        <v>45376.55638888889</v>
      </c>
      <c r="C502" s="1" t="n">
        <v>46000</v>
      </c>
      <c r="D502" t="inlineStr">
        <is>
          <t>STOCKHOLMS LÄN</t>
        </is>
      </c>
      <c r="E502" t="inlineStr">
        <is>
          <t>NORRTÄLJE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43269-2025</t>
        </is>
      </c>
      <c r="B503" s="1" t="n">
        <v>45910.5819212963</v>
      </c>
      <c r="C503" s="1" t="n">
        <v>46000</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30338-2022</t>
        </is>
      </c>
      <c r="B504" s="1" t="n">
        <v>44760</v>
      </c>
      <c r="C504" s="1" t="n">
        <v>46000</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2888-2022</t>
        </is>
      </c>
      <c r="B505" s="1" t="n">
        <v>44581</v>
      </c>
      <c r="C505" s="1" t="n">
        <v>46000</v>
      </c>
      <c r="D505" t="inlineStr">
        <is>
          <t>STOCKHOLMS LÄN</t>
        </is>
      </c>
      <c r="E505" t="inlineStr">
        <is>
          <t>NORRTÄLJE</t>
        </is>
      </c>
      <c r="G505" t="n">
        <v>2.4</v>
      </c>
      <c r="H505" t="n">
        <v>0</v>
      </c>
      <c r="I505" t="n">
        <v>0</v>
      </c>
      <c r="J505" t="n">
        <v>0</v>
      </c>
      <c r="K505" t="n">
        <v>0</v>
      </c>
      <c r="L505" t="n">
        <v>0</v>
      </c>
      <c r="M505" t="n">
        <v>0</v>
      </c>
      <c r="N505" t="n">
        <v>0</v>
      </c>
      <c r="O505" t="n">
        <v>0</v>
      </c>
      <c r="P505" t="n">
        <v>0</v>
      </c>
      <c r="Q505" t="n">
        <v>0</v>
      </c>
      <c r="R505" s="2" t="inlineStr"/>
    </row>
    <row r="506" ht="15" customHeight="1">
      <c r="A506" t="inlineStr">
        <is>
          <t>A 52686-2024</t>
        </is>
      </c>
      <c r="B506" s="1" t="n">
        <v>45610.39271990741</v>
      </c>
      <c r="C506" s="1" t="n">
        <v>46000</v>
      </c>
      <c r="D506" t="inlineStr">
        <is>
          <t>STOCKHOLMS LÄN</t>
        </is>
      </c>
      <c r="E506" t="inlineStr">
        <is>
          <t>NORRTÄLJE</t>
        </is>
      </c>
      <c r="G506" t="n">
        <v>5.7</v>
      </c>
      <c r="H506" t="n">
        <v>0</v>
      </c>
      <c r="I506" t="n">
        <v>0</v>
      </c>
      <c r="J506" t="n">
        <v>0</v>
      </c>
      <c r="K506" t="n">
        <v>0</v>
      </c>
      <c r="L506" t="n">
        <v>0</v>
      </c>
      <c r="M506" t="n">
        <v>0</v>
      </c>
      <c r="N506" t="n">
        <v>0</v>
      </c>
      <c r="O506" t="n">
        <v>0</v>
      </c>
      <c r="P506" t="n">
        <v>0</v>
      </c>
      <c r="Q506" t="n">
        <v>0</v>
      </c>
      <c r="R506" s="2" t="inlineStr"/>
    </row>
    <row r="507" ht="15" customHeight="1">
      <c r="A507" t="inlineStr">
        <is>
          <t>A 20343-2024</t>
        </is>
      </c>
      <c r="B507" s="1" t="n">
        <v>45435.43466435185</v>
      </c>
      <c r="C507" s="1" t="n">
        <v>46000</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20345-2024</t>
        </is>
      </c>
      <c r="B508" s="1" t="n">
        <v>45435.43820601852</v>
      </c>
      <c r="C508" s="1" t="n">
        <v>46000</v>
      </c>
      <c r="D508" t="inlineStr">
        <is>
          <t>STOCKHOLMS LÄN</t>
        </is>
      </c>
      <c r="E508" t="inlineStr">
        <is>
          <t>NORRTÄLJE</t>
        </is>
      </c>
      <c r="G508" t="n">
        <v>3.8</v>
      </c>
      <c r="H508" t="n">
        <v>0</v>
      </c>
      <c r="I508" t="n">
        <v>0</v>
      </c>
      <c r="J508" t="n">
        <v>0</v>
      </c>
      <c r="K508" t="n">
        <v>0</v>
      </c>
      <c r="L508" t="n">
        <v>0</v>
      </c>
      <c r="M508" t="n">
        <v>0</v>
      </c>
      <c r="N508" t="n">
        <v>0</v>
      </c>
      <c r="O508" t="n">
        <v>0</v>
      </c>
      <c r="P508" t="n">
        <v>0</v>
      </c>
      <c r="Q508" t="n">
        <v>0</v>
      </c>
      <c r="R508" s="2" t="inlineStr"/>
    </row>
    <row r="509" ht="15" customHeight="1">
      <c r="A509" t="inlineStr">
        <is>
          <t>A 9765-2024</t>
        </is>
      </c>
      <c r="B509" s="1" t="n">
        <v>45362.62811342593</v>
      </c>
      <c r="C509" s="1" t="n">
        <v>46000</v>
      </c>
      <c r="D509" t="inlineStr">
        <is>
          <t>STOCKHOLMS LÄN</t>
        </is>
      </c>
      <c r="E509" t="inlineStr">
        <is>
          <t>NORRTÄLJE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59875-2024</t>
        </is>
      </c>
      <c r="B510" s="1" t="n">
        <v>45640.58716435185</v>
      </c>
      <c r="C510" s="1" t="n">
        <v>46000</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11-2024</t>
        </is>
      </c>
      <c r="B511" s="1" t="n">
        <v>45293</v>
      </c>
      <c r="C511" s="1" t="n">
        <v>46000</v>
      </c>
      <c r="D511" t="inlineStr">
        <is>
          <t>STOCKHOLMS LÄN</t>
        </is>
      </c>
      <c r="E511" t="inlineStr">
        <is>
          <t>NORRTÄLJE</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14559-2024</t>
        </is>
      </c>
      <c r="B512" s="1" t="n">
        <v>45394.72869212963</v>
      </c>
      <c r="C512" s="1" t="n">
        <v>46000</v>
      </c>
      <c r="D512" t="inlineStr">
        <is>
          <t>STOCKHOLMS LÄN</t>
        </is>
      </c>
      <c r="E512" t="inlineStr">
        <is>
          <t>NORRTÄLJE</t>
        </is>
      </c>
      <c r="G512" t="n">
        <v>4.2</v>
      </c>
      <c r="H512" t="n">
        <v>0</v>
      </c>
      <c r="I512" t="n">
        <v>0</v>
      </c>
      <c r="J512" t="n">
        <v>0</v>
      </c>
      <c r="K512" t="n">
        <v>0</v>
      </c>
      <c r="L512" t="n">
        <v>0</v>
      </c>
      <c r="M512" t="n">
        <v>0</v>
      </c>
      <c r="N512" t="n">
        <v>0</v>
      </c>
      <c r="O512" t="n">
        <v>0</v>
      </c>
      <c r="P512" t="n">
        <v>0</v>
      </c>
      <c r="Q512" t="n">
        <v>0</v>
      </c>
      <c r="R512" s="2" t="inlineStr"/>
    </row>
    <row r="513" ht="15" customHeight="1">
      <c r="A513" t="inlineStr">
        <is>
          <t>A 43916-2025</t>
        </is>
      </c>
      <c r="B513" s="1" t="n">
        <v>45914.78884259259</v>
      </c>
      <c r="C513" s="1" t="n">
        <v>46000</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8433-2022</t>
        </is>
      </c>
      <c r="B514" s="1" t="n">
        <v>44611</v>
      </c>
      <c r="C514" s="1" t="n">
        <v>46000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44075-2023</t>
        </is>
      </c>
      <c r="B515" s="1" t="n">
        <v>45188.41637731482</v>
      </c>
      <c r="C515" s="1" t="n">
        <v>46000</v>
      </c>
      <c r="D515" t="inlineStr">
        <is>
          <t>STOCKHOLMS LÄN</t>
        </is>
      </c>
      <c r="E515" t="inlineStr">
        <is>
          <t>NORRTÄLJE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25525-2022</t>
        </is>
      </c>
      <c r="B516" s="1" t="n">
        <v>44732</v>
      </c>
      <c r="C516" s="1" t="n">
        <v>46000</v>
      </c>
      <c r="D516" t="inlineStr">
        <is>
          <t>STOCKHOLMS LÄN</t>
        </is>
      </c>
      <c r="E516" t="inlineStr">
        <is>
          <t>NORRTÄLJE</t>
        </is>
      </c>
      <c r="G516" t="n">
        <v>2.2</v>
      </c>
      <c r="H516" t="n">
        <v>0</v>
      </c>
      <c r="I516" t="n">
        <v>0</v>
      </c>
      <c r="J516" t="n">
        <v>0</v>
      </c>
      <c r="K516" t="n">
        <v>0</v>
      </c>
      <c r="L516" t="n">
        <v>0</v>
      </c>
      <c r="M516" t="n">
        <v>0</v>
      </c>
      <c r="N516" t="n">
        <v>0</v>
      </c>
      <c r="O516" t="n">
        <v>0</v>
      </c>
      <c r="P516" t="n">
        <v>0</v>
      </c>
      <c r="Q516" t="n">
        <v>0</v>
      </c>
      <c r="R516" s="2" t="inlineStr"/>
    </row>
    <row r="517" ht="15" customHeight="1">
      <c r="A517" t="inlineStr">
        <is>
          <t>A 12302-2025</t>
        </is>
      </c>
      <c r="B517" s="1" t="n">
        <v>45729.72851851852</v>
      </c>
      <c r="C517" s="1" t="n">
        <v>46000</v>
      </c>
      <c r="D517" t="inlineStr">
        <is>
          <t>STOCKHOLMS LÄN</t>
        </is>
      </c>
      <c r="E517" t="inlineStr">
        <is>
          <t>NORRTÄLJE</t>
        </is>
      </c>
      <c r="F517" t="inlineStr">
        <is>
          <t>Holmen skog AB</t>
        </is>
      </c>
      <c r="G517" t="n">
        <v>0.8</v>
      </c>
      <c r="H517" t="n">
        <v>0</v>
      </c>
      <c r="I517" t="n">
        <v>0</v>
      </c>
      <c r="J517" t="n">
        <v>0</v>
      </c>
      <c r="K517" t="n">
        <v>0</v>
      </c>
      <c r="L517" t="n">
        <v>0</v>
      </c>
      <c r="M517" t="n">
        <v>0</v>
      </c>
      <c r="N517" t="n">
        <v>0</v>
      </c>
      <c r="O517" t="n">
        <v>0</v>
      </c>
      <c r="P517" t="n">
        <v>0</v>
      </c>
      <c r="Q517" t="n">
        <v>0</v>
      </c>
      <c r="R517" s="2" t="inlineStr"/>
    </row>
    <row r="518" ht="15" customHeight="1">
      <c r="A518" t="inlineStr">
        <is>
          <t>A 38889-2024</t>
        </is>
      </c>
      <c r="B518" s="1" t="n">
        <v>45547</v>
      </c>
      <c r="C518" s="1" t="n">
        <v>46000</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45451-2024</t>
        </is>
      </c>
      <c r="B519" s="1" t="n">
        <v>45576</v>
      </c>
      <c r="C519" s="1" t="n">
        <v>46000</v>
      </c>
      <c r="D519" t="inlineStr">
        <is>
          <t>STOCKHOLMS LÄN</t>
        </is>
      </c>
      <c r="E519" t="inlineStr">
        <is>
          <t>NORRTÄLJE</t>
        </is>
      </c>
      <c r="G519" t="n">
        <v>1.3</v>
      </c>
      <c r="H519" t="n">
        <v>0</v>
      </c>
      <c r="I519" t="n">
        <v>0</v>
      </c>
      <c r="J519" t="n">
        <v>0</v>
      </c>
      <c r="K519" t="n">
        <v>0</v>
      </c>
      <c r="L519" t="n">
        <v>0</v>
      </c>
      <c r="M519" t="n">
        <v>0</v>
      </c>
      <c r="N519" t="n">
        <v>0</v>
      </c>
      <c r="O519" t="n">
        <v>0</v>
      </c>
      <c r="P519" t="n">
        <v>0</v>
      </c>
      <c r="Q519" t="n">
        <v>0</v>
      </c>
      <c r="R519" s="2" t="inlineStr"/>
    </row>
    <row r="520" ht="15" customHeight="1">
      <c r="A520" t="inlineStr">
        <is>
          <t>A 44354-2025</t>
        </is>
      </c>
      <c r="B520" s="1" t="n">
        <v>45916.44655092592</v>
      </c>
      <c r="C520" s="1" t="n">
        <v>46000</v>
      </c>
      <c r="D520" t="inlineStr">
        <is>
          <t>STOCKHOLMS LÄN</t>
        </is>
      </c>
      <c r="E520" t="inlineStr">
        <is>
          <t>NORRTÄLJE</t>
        </is>
      </c>
      <c r="G520" t="n">
        <v>2.3</v>
      </c>
      <c r="H520" t="n">
        <v>0</v>
      </c>
      <c r="I520" t="n">
        <v>0</v>
      </c>
      <c r="J520" t="n">
        <v>0</v>
      </c>
      <c r="K520" t="n">
        <v>0</v>
      </c>
      <c r="L520" t="n">
        <v>0</v>
      </c>
      <c r="M520" t="n">
        <v>0</v>
      </c>
      <c r="N520" t="n">
        <v>0</v>
      </c>
      <c r="O520" t="n">
        <v>0</v>
      </c>
      <c r="P520" t="n">
        <v>0</v>
      </c>
      <c r="Q520" t="n">
        <v>0</v>
      </c>
      <c r="R520" s="2" t="inlineStr"/>
    </row>
    <row r="521" ht="15" customHeight="1">
      <c r="A521" t="inlineStr">
        <is>
          <t>A 29250-2025</t>
        </is>
      </c>
      <c r="B521" s="1" t="n">
        <v>45824.37275462963</v>
      </c>
      <c r="C521" s="1" t="n">
        <v>46000</v>
      </c>
      <c r="D521" t="inlineStr">
        <is>
          <t>STOCKHOLMS LÄN</t>
        </is>
      </c>
      <c r="E521" t="inlineStr">
        <is>
          <t>NORRTÄLJE</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44306-2025</t>
        </is>
      </c>
      <c r="B522" s="1" t="n">
        <v>45916.37736111111</v>
      </c>
      <c r="C522" s="1" t="n">
        <v>46000</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44343-2025</t>
        </is>
      </c>
      <c r="B523" s="1" t="n">
        <v>45916.43378472222</v>
      </c>
      <c r="C523" s="1" t="n">
        <v>46000</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44349-2025</t>
        </is>
      </c>
      <c r="B524" s="1" t="n">
        <v>45916.43929398148</v>
      </c>
      <c r="C524" s="1" t="n">
        <v>46000</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44311-2025</t>
        </is>
      </c>
      <c r="B525" s="1" t="n">
        <v>45916.38394675926</v>
      </c>
      <c r="C525" s="1" t="n">
        <v>46000</v>
      </c>
      <c r="D525" t="inlineStr">
        <is>
          <t>STOCKHOLMS LÄN</t>
        </is>
      </c>
      <c r="E525" t="inlineStr">
        <is>
          <t>NORRTÄLJE</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26644-2024</t>
        </is>
      </c>
      <c r="B526" s="1" t="n">
        <v>45469</v>
      </c>
      <c r="C526" s="1" t="n">
        <v>46000</v>
      </c>
      <c r="D526" t="inlineStr">
        <is>
          <t>STOCKHOLMS LÄN</t>
        </is>
      </c>
      <c r="E526" t="inlineStr">
        <is>
          <t>NORRTÄLJE</t>
        </is>
      </c>
      <c r="G526" t="n">
        <v>4.3</v>
      </c>
      <c r="H526" t="n">
        <v>0</v>
      </c>
      <c r="I526" t="n">
        <v>0</v>
      </c>
      <c r="J526" t="n">
        <v>0</v>
      </c>
      <c r="K526" t="n">
        <v>0</v>
      </c>
      <c r="L526" t="n">
        <v>0</v>
      </c>
      <c r="M526" t="n">
        <v>0</v>
      </c>
      <c r="N526" t="n">
        <v>0</v>
      </c>
      <c r="O526" t="n">
        <v>0</v>
      </c>
      <c r="P526" t="n">
        <v>0</v>
      </c>
      <c r="Q526" t="n">
        <v>0</v>
      </c>
      <c r="R526" s="2" t="inlineStr"/>
    </row>
    <row r="527" ht="15" customHeight="1">
      <c r="A527" t="inlineStr">
        <is>
          <t>A 53299-2025</t>
        </is>
      </c>
      <c r="B527" s="1" t="n">
        <v>45959.31901620371</v>
      </c>
      <c r="C527" s="1" t="n">
        <v>46000</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44333-2025</t>
        </is>
      </c>
      <c r="B528" s="1" t="n">
        <v>45916.42293981482</v>
      </c>
      <c r="C528" s="1" t="n">
        <v>46000</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53087-2025</t>
        </is>
      </c>
      <c r="B529" s="1" t="n">
        <v>45958.41065972222</v>
      </c>
      <c r="C529" s="1" t="n">
        <v>46000</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53115-2025</t>
        </is>
      </c>
      <c r="B530" s="1" t="n">
        <v>45958.44614583333</v>
      </c>
      <c r="C530" s="1" t="n">
        <v>46000</v>
      </c>
      <c r="D530" t="inlineStr">
        <is>
          <t>STOCKHOLMS LÄN</t>
        </is>
      </c>
      <c r="E530" t="inlineStr">
        <is>
          <t>NORRTÄLJE</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2982-2023</t>
        </is>
      </c>
      <c r="B531" s="1" t="n">
        <v>44945.67409722223</v>
      </c>
      <c r="C531" s="1" t="n">
        <v>46000</v>
      </c>
      <c r="D531" t="inlineStr">
        <is>
          <t>STOCKHOLMS LÄN</t>
        </is>
      </c>
      <c r="E531" t="inlineStr">
        <is>
          <t>NORRTÄLJE</t>
        </is>
      </c>
      <c r="G531" t="n">
        <v>3.3</v>
      </c>
      <c r="H531" t="n">
        <v>0</v>
      </c>
      <c r="I531" t="n">
        <v>0</v>
      </c>
      <c r="J531" t="n">
        <v>0</v>
      </c>
      <c r="K531" t="n">
        <v>0</v>
      </c>
      <c r="L531" t="n">
        <v>0</v>
      </c>
      <c r="M531" t="n">
        <v>0</v>
      </c>
      <c r="N531" t="n">
        <v>0</v>
      </c>
      <c r="O531" t="n">
        <v>0</v>
      </c>
      <c r="P531" t="n">
        <v>0</v>
      </c>
      <c r="Q531" t="n">
        <v>0</v>
      </c>
      <c r="R531" s="2" t="inlineStr"/>
    </row>
    <row r="532" ht="15" customHeight="1">
      <c r="A532" t="inlineStr">
        <is>
          <t>A 12535-2025</t>
        </is>
      </c>
      <c r="B532" s="1" t="n">
        <v>45730.69502314815</v>
      </c>
      <c r="C532" s="1" t="n">
        <v>46000</v>
      </c>
      <c r="D532" t="inlineStr">
        <is>
          <t>STOCKHOLMS LÄN</t>
        </is>
      </c>
      <c r="E532" t="inlineStr">
        <is>
          <t>NORRTÄLJE</t>
        </is>
      </c>
      <c r="G532" t="n">
        <v>7.1</v>
      </c>
      <c r="H532" t="n">
        <v>0</v>
      </c>
      <c r="I532" t="n">
        <v>0</v>
      </c>
      <c r="J532" t="n">
        <v>0</v>
      </c>
      <c r="K532" t="n">
        <v>0</v>
      </c>
      <c r="L532" t="n">
        <v>0</v>
      </c>
      <c r="M532" t="n">
        <v>0</v>
      </c>
      <c r="N532" t="n">
        <v>0</v>
      </c>
      <c r="O532" t="n">
        <v>0</v>
      </c>
      <c r="P532" t="n">
        <v>0</v>
      </c>
      <c r="Q532" t="n">
        <v>0</v>
      </c>
      <c r="R532" s="2" t="inlineStr"/>
    </row>
    <row r="533" ht="15" customHeight="1">
      <c r="A533" t="inlineStr">
        <is>
          <t>A 37136-2023</t>
        </is>
      </c>
      <c r="B533" s="1" t="n">
        <v>45155</v>
      </c>
      <c r="C533" s="1" t="n">
        <v>46000</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18787-2022</t>
        </is>
      </c>
      <c r="B534" s="1" t="n">
        <v>44687</v>
      </c>
      <c r="C534" s="1" t="n">
        <v>46000</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13718-2022</t>
        </is>
      </c>
      <c r="B535" s="1" t="n">
        <v>44649</v>
      </c>
      <c r="C535" s="1" t="n">
        <v>46000</v>
      </c>
      <c r="D535" t="inlineStr">
        <is>
          <t>STOCKHOLMS LÄN</t>
        </is>
      </c>
      <c r="E535" t="inlineStr">
        <is>
          <t>NORRTÄLJE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25621-2022</t>
        </is>
      </c>
      <c r="B536" s="1" t="n">
        <v>44732</v>
      </c>
      <c r="C536" s="1" t="n">
        <v>46000</v>
      </c>
      <c r="D536" t="inlineStr">
        <is>
          <t>STOCKHOLMS LÄN</t>
        </is>
      </c>
      <c r="E536" t="inlineStr">
        <is>
          <t>NORRTÄLJE</t>
        </is>
      </c>
      <c r="G536" t="n">
        <v>3.1</v>
      </c>
      <c r="H536" t="n">
        <v>0</v>
      </c>
      <c r="I536" t="n">
        <v>0</v>
      </c>
      <c r="J536" t="n">
        <v>0</v>
      </c>
      <c r="K536" t="n">
        <v>0</v>
      </c>
      <c r="L536" t="n">
        <v>0</v>
      </c>
      <c r="M536" t="n">
        <v>0</v>
      </c>
      <c r="N536" t="n">
        <v>0</v>
      </c>
      <c r="O536" t="n">
        <v>0</v>
      </c>
      <c r="P536" t="n">
        <v>0</v>
      </c>
      <c r="Q536" t="n">
        <v>0</v>
      </c>
      <c r="R536" s="2" t="inlineStr"/>
    </row>
    <row r="537" ht="15" customHeight="1">
      <c r="A537" t="inlineStr">
        <is>
          <t>A 53747-2025</t>
        </is>
      </c>
      <c r="B537" s="1" t="n">
        <v>45960.65415509259</v>
      </c>
      <c r="C537" s="1" t="n">
        <v>46000</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36269-2022</t>
        </is>
      </c>
      <c r="B538" s="1" t="n">
        <v>44803</v>
      </c>
      <c r="C538" s="1" t="n">
        <v>46000</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36308-2022</t>
        </is>
      </c>
      <c r="B539" s="1" t="n">
        <v>44803</v>
      </c>
      <c r="C539" s="1" t="n">
        <v>46000</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6919-2025</t>
        </is>
      </c>
      <c r="B540" s="1" t="n">
        <v>45701.44372685185</v>
      </c>
      <c r="C540" s="1" t="n">
        <v>46000</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32100-2022</t>
        </is>
      </c>
      <c r="B541" s="1" t="n">
        <v>44778</v>
      </c>
      <c r="C541" s="1" t="n">
        <v>46000</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53629-2025</t>
        </is>
      </c>
      <c r="B542" s="1" t="n">
        <v>45960.49570601852</v>
      </c>
      <c r="C542" s="1" t="n">
        <v>46000</v>
      </c>
      <c r="D542" t="inlineStr">
        <is>
          <t>STOCKHOLMS LÄN</t>
        </is>
      </c>
      <c r="E542" t="inlineStr">
        <is>
          <t>NORRTÄLJE</t>
        </is>
      </c>
      <c r="F542" t="inlineStr">
        <is>
          <t>Naturvårdsverket</t>
        </is>
      </c>
      <c r="G542" t="n">
        <v>7.9</v>
      </c>
      <c r="H542" t="n">
        <v>0</v>
      </c>
      <c r="I542" t="n">
        <v>0</v>
      </c>
      <c r="J542" t="n">
        <v>0</v>
      </c>
      <c r="K542" t="n">
        <v>0</v>
      </c>
      <c r="L542" t="n">
        <v>0</v>
      </c>
      <c r="M542" t="n">
        <v>0</v>
      </c>
      <c r="N542" t="n">
        <v>0</v>
      </c>
      <c r="O542" t="n">
        <v>0</v>
      </c>
      <c r="P542" t="n">
        <v>0</v>
      </c>
      <c r="Q542" t="n">
        <v>0</v>
      </c>
      <c r="R542" s="2" t="inlineStr"/>
    </row>
    <row r="543" ht="15" customHeight="1">
      <c r="A543" t="inlineStr">
        <is>
          <t>A 44937-2025</t>
        </is>
      </c>
      <c r="B543" s="1" t="n">
        <v>45918</v>
      </c>
      <c r="C543" s="1" t="n">
        <v>46000</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30639-2025</t>
        </is>
      </c>
      <c r="B544" s="1" t="n">
        <v>45831.4844212963</v>
      </c>
      <c r="C544" s="1" t="n">
        <v>46000</v>
      </c>
      <c r="D544" t="inlineStr">
        <is>
          <t>STOCKHOLMS LÄN</t>
        </is>
      </c>
      <c r="E544" t="inlineStr">
        <is>
          <t>NORRTÄLJE</t>
        </is>
      </c>
      <c r="G544" t="n">
        <v>2</v>
      </c>
      <c r="H544" t="n">
        <v>0</v>
      </c>
      <c r="I544" t="n">
        <v>0</v>
      </c>
      <c r="J544" t="n">
        <v>0</v>
      </c>
      <c r="K544" t="n">
        <v>0</v>
      </c>
      <c r="L544" t="n">
        <v>0</v>
      </c>
      <c r="M544" t="n">
        <v>0</v>
      </c>
      <c r="N544" t="n">
        <v>0</v>
      </c>
      <c r="O544" t="n">
        <v>0</v>
      </c>
      <c r="P544" t="n">
        <v>0</v>
      </c>
      <c r="Q544" t="n">
        <v>0</v>
      </c>
      <c r="R544" s="2" t="inlineStr"/>
    </row>
    <row r="545" ht="15" customHeight="1">
      <c r="A545" t="inlineStr">
        <is>
          <t>A 30668-2025</t>
        </is>
      </c>
      <c r="B545" s="1" t="n">
        <v>45831.51659722222</v>
      </c>
      <c r="C545" s="1" t="n">
        <v>46000</v>
      </c>
      <c r="D545" t="inlineStr">
        <is>
          <t>STOCKHOLMS LÄN</t>
        </is>
      </c>
      <c r="E545" t="inlineStr">
        <is>
          <t>NORRTÄLJE</t>
        </is>
      </c>
      <c r="G545" t="n">
        <v>4.9</v>
      </c>
      <c r="H545" t="n">
        <v>0</v>
      </c>
      <c r="I545" t="n">
        <v>0</v>
      </c>
      <c r="J545" t="n">
        <v>0</v>
      </c>
      <c r="K545" t="n">
        <v>0</v>
      </c>
      <c r="L545" t="n">
        <v>0</v>
      </c>
      <c r="M545" t="n">
        <v>0</v>
      </c>
      <c r="N545" t="n">
        <v>0</v>
      </c>
      <c r="O545" t="n">
        <v>0</v>
      </c>
      <c r="P545" t="n">
        <v>0</v>
      </c>
      <c r="Q545" t="n">
        <v>0</v>
      </c>
      <c r="R545" s="2" t="inlineStr"/>
    </row>
    <row r="546" ht="15" customHeight="1">
      <c r="A546" t="inlineStr">
        <is>
          <t>A 11332-2025</t>
        </is>
      </c>
      <c r="B546" s="1" t="n">
        <v>45726.48152777777</v>
      </c>
      <c r="C546" s="1" t="n">
        <v>46000</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37444-2021</t>
        </is>
      </c>
      <c r="B547" s="1" t="n">
        <v>44398</v>
      </c>
      <c r="C547" s="1" t="n">
        <v>46000</v>
      </c>
      <c r="D547" t="inlineStr">
        <is>
          <t>STOCKHOLMS LÄN</t>
        </is>
      </c>
      <c r="E547" t="inlineStr">
        <is>
          <t>NORRTÄLJE</t>
        </is>
      </c>
      <c r="F547" t="inlineStr">
        <is>
          <t>Holmen skog AB</t>
        </is>
      </c>
      <c r="G547" t="n">
        <v>3.2</v>
      </c>
      <c r="H547" t="n">
        <v>0</v>
      </c>
      <c r="I547" t="n">
        <v>0</v>
      </c>
      <c r="J547" t="n">
        <v>0</v>
      </c>
      <c r="K547" t="n">
        <v>0</v>
      </c>
      <c r="L547" t="n">
        <v>0</v>
      </c>
      <c r="M547" t="n">
        <v>0</v>
      </c>
      <c r="N547" t="n">
        <v>0</v>
      </c>
      <c r="O547" t="n">
        <v>0</v>
      </c>
      <c r="P547" t="n">
        <v>0</v>
      </c>
      <c r="Q547" t="n">
        <v>0</v>
      </c>
      <c r="R547" s="2" t="inlineStr"/>
    </row>
    <row r="548" ht="15" customHeight="1">
      <c r="A548" t="inlineStr">
        <is>
          <t>A 30886-2022</t>
        </is>
      </c>
      <c r="B548" s="1" t="n">
        <v>44767.60601851852</v>
      </c>
      <c r="C548" s="1" t="n">
        <v>46000</v>
      </c>
      <c r="D548" t="inlineStr">
        <is>
          <t>STOCKHOLMS LÄN</t>
        </is>
      </c>
      <c r="E548" t="inlineStr">
        <is>
          <t>NORRTÄLJE</t>
        </is>
      </c>
      <c r="G548" t="n">
        <v>2.6</v>
      </c>
      <c r="H548" t="n">
        <v>0</v>
      </c>
      <c r="I548" t="n">
        <v>0</v>
      </c>
      <c r="J548" t="n">
        <v>0</v>
      </c>
      <c r="K548" t="n">
        <v>0</v>
      </c>
      <c r="L548" t="n">
        <v>0</v>
      </c>
      <c r="M548" t="n">
        <v>0</v>
      </c>
      <c r="N548" t="n">
        <v>0</v>
      </c>
      <c r="O548" t="n">
        <v>0</v>
      </c>
      <c r="P548" t="n">
        <v>0</v>
      </c>
      <c r="Q548" t="n">
        <v>0</v>
      </c>
      <c r="R548" s="2" t="inlineStr"/>
    </row>
    <row r="549" ht="15" customHeight="1">
      <c r="A549" t="inlineStr">
        <is>
          <t>A 9654-2022</t>
        </is>
      </c>
      <c r="B549" s="1" t="n">
        <v>44617</v>
      </c>
      <c r="C549" s="1" t="n">
        <v>46000</v>
      </c>
      <c r="D549" t="inlineStr">
        <is>
          <t>STOCKHOLMS LÄN</t>
        </is>
      </c>
      <c r="E549" t="inlineStr">
        <is>
          <t>NORRTÄLJE</t>
        </is>
      </c>
      <c r="G549" t="n">
        <v>6.4</v>
      </c>
      <c r="H549" t="n">
        <v>0</v>
      </c>
      <c r="I549" t="n">
        <v>0</v>
      </c>
      <c r="J549" t="n">
        <v>0</v>
      </c>
      <c r="K549" t="n">
        <v>0</v>
      </c>
      <c r="L549" t="n">
        <v>0</v>
      </c>
      <c r="M549" t="n">
        <v>0</v>
      </c>
      <c r="N549" t="n">
        <v>0</v>
      </c>
      <c r="O549" t="n">
        <v>0</v>
      </c>
      <c r="P549" t="n">
        <v>0</v>
      </c>
      <c r="Q549" t="n">
        <v>0</v>
      </c>
      <c r="R549" s="2" t="inlineStr"/>
    </row>
    <row r="550" ht="15" customHeight="1">
      <c r="A550" t="inlineStr">
        <is>
          <t>A 1453-2025</t>
        </is>
      </c>
      <c r="B550" s="1" t="n">
        <v>45670.3079050926</v>
      </c>
      <c r="C550" s="1" t="n">
        <v>46000</v>
      </c>
      <c r="D550" t="inlineStr">
        <is>
          <t>STOCKHOLMS LÄN</t>
        </is>
      </c>
      <c r="E550" t="inlineStr">
        <is>
          <t>NORRTÄLJE</t>
        </is>
      </c>
      <c r="G550" t="n">
        <v>2.6</v>
      </c>
      <c r="H550" t="n">
        <v>0</v>
      </c>
      <c r="I550" t="n">
        <v>0</v>
      </c>
      <c r="J550" t="n">
        <v>0</v>
      </c>
      <c r="K550" t="n">
        <v>0</v>
      </c>
      <c r="L550" t="n">
        <v>0</v>
      </c>
      <c r="M550" t="n">
        <v>0</v>
      </c>
      <c r="N550" t="n">
        <v>0</v>
      </c>
      <c r="O550" t="n">
        <v>0</v>
      </c>
      <c r="P550" t="n">
        <v>0</v>
      </c>
      <c r="Q550" t="n">
        <v>0</v>
      </c>
      <c r="R550" s="2" t="inlineStr"/>
    </row>
    <row r="551" ht="15" customHeight="1">
      <c r="A551" t="inlineStr">
        <is>
          <t>A 5804-2025</t>
        </is>
      </c>
      <c r="B551" s="1" t="n">
        <v>45694.68207175926</v>
      </c>
      <c r="C551" s="1" t="n">
        <v>46000</v>
      </c>
      <c r="D551" t="inlineStr">
        <is>
          <t>STOCKHOLMS LÄN</t>
        </is>
      </c>
      <c r="E551" t="inlineStr">
        <is>
          <t>NORRTÄLJE</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31170-2025</t>
        </is>
      </c>
      <c r="B552" s="1" t="n">
        <v>45832.66385416667</v>
      </c>
      <c r="C552" s="1" t="n">
        <v>46000</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50907-2022</t>
        </is>
      </c>
      <c r="B553" s="1" t="n">
        <v>44867.62090277778</v>
      </c>
      <c r="C553" s="1" t="n">
        <v>46000</v>
      </c>
      <c r="D553" t="inlineStr">
        <is>
          <t>STOCKHOLMS LÄN</t>
        </is>
      </c>
      <c r="E553" t="inlineStr">
        <is>
          <t>NORRTÄLJE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29003-2023</t>
        </is>
      </c>
      <c r="B554" s="1" t="n">
        <v>45104</v>
      </c>
      <c r="C554" s="1" t="n">
        <v>46000</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31880-2025</t>
        </is>
      </c>
      <c r="B555" s="1" t="n">
        <v>45834.65538194445</v>
      </c>
      <c r="C555" s="1" t="n">
        <v>46000</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33295-2023</t>
        </is>
      </c>
      <c r="B556" s="1" t="n">
        <v>45127.69371527778</v>
      </c>
      <c r="C556" s="1" t="n">
        <v>46000</v>
      </c>
      <c r="D556" t="inlineStr">
        <is>
          <t>STOCKHOLMS LÄN</t>
        </is>
      </c>
      <c r="E556" t="inlineStr">
        <is>
          <t>NORRTÄLJE</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14127-2025</t>
        </is>
      </c>
      <c r="B557" s="1" t="n">
        <v>45740.47055555556</v>
      </c>
      <c r="C557" s="1" t="n">
        <v>46000</v>
      </c>
      <c r="D557" t="inlineStr">
        <is>
          <t>STOCKHOLMS LÄN</t>
        </is>
      </c>
      <c r="E557" t="inlineStr">
        <is>
          <t>NORRTÄLJE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32122-2025</t>
        </is>
      </c>
      <c r="B558" s="1" t="n">
        <v>45835.4928125</v>
      </c>
      <c r="C558" s="1" t="n">
        <v>46000</v>
      </c>
      <c r="D558" t="inlineStr">
        <is>
          <t>STOCKHOLMS LÄN</t>
        </is>
      </c>
      <c r="E558" t="inlineStr">
        <is>
          <t>NORRTÄLJE</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16980-2023</t>
        </is>
      </c>
      <c r="B559" s="1" t="n">
        <v>45033</v>
      </c>
      <c r="C559" s="1" t="n">
        <v>46000</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22359-2025</t>
        </is>
      </c>
      <c r="B560" s="1" t="n">
        <v>45786</v>
      </c>
      <c r="C560" s="1" t="n">
        <v>46000</v>
      </c>
      <c r="D560" t="inlineStr">
        <is>
          <t>STOCKHOLMS LÄN</t>
        </is>
      </c>
      <c r="E560" t="inlineStr">
        <is>
          <t>NORRTÄLJE</t>
        </is>
      </c>
      <c r="G560" t="n">
        <v>5</v>
      </c>
      <c r="H560" t="n">
        <v>0</v>
      </c>
      <c r="I560" t="n">
        <v>0</v>
      </c>
      <c r="J560" t="n">
        <v>0</v>
      </c>
      <c r="K560" t="n">
        <v>0</v>
      </c>
      <c r="L560" t="n">
        <v>0</v>
      </c>
      <c r="M560" t="n">
        <v>0</v>
      </c>
      <c r="N560" t="n">
        <v>0</v>
      </c>
      <c r="O560" t="n">
        <v>0</v>
      </c>
      <c r="P560" t="n">
        <v>0</v>
      </c>
      <c r="Q560" t="n">
        <v>0</v>
      </c>
      <c r="R560" s="2" t="inlineStr"/>
    </row>
    <row r="561" ht="15" customHeight="1">
      <c r="A561" t="inlineStr">
        <is>
          <t>A 31868-2025</t>
        </is>
      </c>
      <c r="B561" s="1" t="n">
        <v>45834.6447337963</v>
      </c>
      <c r="C561" s="1" t="n">
        <v>46000</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6413-2025</t>
        </is>
      </c>
      <c r="B562" s="1" t="n">
        <v>45699.46283564815</v>
      </c>
      <c r="C562" s="1" t="n">
        <v>46000</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32595-2023</t>
        </is>
      </c>
      <c r="B563" s="1" t="n">
        <v>45121</v>
      </c>
      <c r="C563" s="1" t="n">
        <v>46000</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32016-2025</t>
        </is>
      </c>
      <c r="B564" s="1" t="n">
        <v>45835</v>
      </c>
      <c r="C564" s="1" t="n">
        <v>46000</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32283-2025</t>
        </is>
      </c>
      <c r="B565" s="1" t="n">
        <v>45835.68076388889</v>
      </c>
      <c r="C565" s="1" t="n">
        <v>46000</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37550-2022</t>
        </is>
      </c>
      <c r="B566" s="1" t="n">
        <v>44809</v>
      </c>
      <c r="C566" s="1" t="n">
        <v>46000</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31874-2025</t>
        </is>
      </c>
      <c r="B567" s="1" t="n">
        <v>45834</v>
      </c>
      <c r="C567" s="1" t="n">
        <v>46000</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32094-2025</t>
        </is>
      </c>
      <c r="B568" s="1" t="n">
        <v>45835.46034722222</v>
      </c>
      <c r="C568" s="1" t="n">
        <v>46000</v>
      </c>
      <c r="D568" t="inlineStr">
        <is>
          <t>STOCKHOLMS LÄN</t>
        </is>
      </c>
      <c r="E568" t="inlineStr">
        <is>
          <t>NORRTÄLJE</t>
        </is>
      </c>
      <c r="F568" t="inlineStr">
        <is>
          <t>Holmen skog AB</t>
        </is>
      </c>
      <c r="G568" t="n">
        <v>2.9</v>
      </c>
      <c r="H568" t="n">
        <v>0</v>
      </c>
      <c r="I568" t="n">
        <v>0</v>
      </c>
      <c r="J568" t="n">
        <v>0</v>
      </c>
      <c r="K568" t="n">
        <v>0</v>
      </c>
      <c r="L568" t="n">
        <v>0</v>
      </c>
      <c r="M568" t="n">
        <v>0</v>
      </c>
      <c r="N568" t="n">
        <v>0</v>
      </c>
      <c r="O568" t="n">
        <v>0</v>
      </c>
      <c r="P568" t="n">
        <v>0</v>
      </c>
      <c r="Q568" t="n">
        <v>0</v>
      </c>
      <c r="R568" s="2" t="inlineStr"/>
    </row>
    <row r="569" ht="15" customHeight="1">
      <c r="A569" t="inlineStr">
        <is>
          <t>A 45697-2025</t>
        </is>
      </c>
      <c r="B569" s="1" t="n">
        <v>45923.39877314815</v>
      </c>
      <c r="C569" s="1" t="n">
        <v>46000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32480-2025</t>
        </is>
      </c>
      <c r="B570" s="1" t="n">
        <v>45838.43261574074</v>
      </c>
      <c r="C570" s="1" t="n">
        <v>46000</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32872-2025</t>
        </is>
      </c>
      <c r="B571" s="1" t="n">
        <v>45839</v>
      </c>
      <c r="C571" s="1" t="n">
        <v>46000</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32903-2025</t>
        </is>
      </c>
      <c r="B572" s="1" t="n">
        <v>45839.62398148148</v>
      </c>
      <c r="C572" s="1" t="n">
        <v>46000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32395-2025</t>
        </is>
      </c>
      <c r="B573" s="1" t="n">
        <v>45837.93730324074</v>
      </c>
      <c r="C573" s="1" t="n">
        <v>46000</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32396-2025</t>
        </is>
      </c>
      <c r="B574" s="1" t="n">
        <v>45837</v>
      </c>
      <c r="C574" s="1" t="n">
        <v>46000</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32397-2025</t>
        </is>
      </c>
      <c r="B575" s="1" t="n">
        <v>45837.94081018519</v>
      </c>
      <c r="C575" s="1" t="n">
        <v>46000</v>
      </c>
      <c r="D575" t="inlineStr">
        <is>
          <t>STOCKHOLMS LÄN</t>
        </is>
      </c>
      <c r="E575" t="inlineStr">
        <is>
          <t>NORRTÄLJE</t>
        </is>
      </c>
      <c r="G575" t="n">
        <v>5.9</v>
      </c>
      <c r="H575" t="n">
        <v>0</v>
      </c>
      <c r="I575" t="n">
        <v>0</v>
      </c>
      <c r="J575" t="n">
        <v>0</v>
      </c>
      <c r="K575" t="n">
        <v>0</v>
      </c>
      <c r="L575" t="n">
        <v>0</v>
      </c>
      <c r="M575" t="n">
        <v>0</v>
      </c>
      <c r="N575" t="n">
        <v>0</v>
      </c>
      <c r="O575" t="n">
        <v>0</v>
      </c>
      <c r="P575" t="n">
        <v>0</v>
      </c>
      <c r="Q575" t="n">
        <v>0</v>
      </c>
      <c r="R575" s="2" t="inlineStr"/>
    </row>
    <row r="576" ht="15" customHeight="1">
      <c r="A576" t="inlineStr">
        <is>
          <t>A 48161-2022</t>
        </is>
      </c>
      <c r="B576" s="1" t="n">
        <v>44858</v>
      </c>
      <c r="C576" s="1" t="n">
        <v>46000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48798-2021</t>
        </is>
      </c>
      <c r="B577" s="1" t="n">
        <v>44452</v>
      </c>
      <c r="C577" s="1" t="n">
        <v>46000</v>
      </c>
      <c r="D577" t="inlineStr">
        <is>
          <t>STOCKHOLMS LÄN</t>
        </is>
      </c>
      <c r="E577" t="inlineStr">
        <is>
          <t>NORRTÄLJE</t>
        </is>
      </c>
      <c r="G577" t="n">
        <v>2</v>
      </c>
      <c r="H577" t="n">
        <v>0</v>
      </c>
      <c r="I577" t="n">
        <v>0</v>
      </c>
      <c r="J577" t="n">
        <v>0</v>
      </c>
      <c r="K577" t="n">
        <v>0</v>
      </c>
      <c r="L577" t="n">
        <v>0</v>
      </c>
      <c r="M577" t="n">
        <v>0</v>
      </c>
      <c r="N577" t="n">
        <v>0</v>
      </c>
      <c r="O577" t="n">
        <v>0</v>
      </c>
      <c r="P577" t="n">
        <v>0</v>
      </c>
      <c r="Q577" t="n">
        <v>0</v>
      </c>
      <c r="R577" s="2" t="inlineStr"/>
    </row>
    <row r="578" ht="15" customHeight="1">
      <c r="A578" t="inlineStr">
        <is>
          <t>A 12111-2021</t>
        </is>
      </c>
      <c r="B578" s="1" t="n">
        <v>44266</v>
      </c>
      <c r="C578" s="1" t="n">
        <v>46000</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54776-2023</t>
        </is>
      </c>
      <c r="B579" s="1" t="n">
        <v>45236.46369212963</v>
      </c>
      <c r="C579" s="1" t="n">
        <v>46000</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46415-2025</t>
        </is>
      </c>
      <c r="B580" s="1" t="n">
        <v>45925.58636574074</v>
      </c>
      <c r="C580" s="1" t="n">
        <v>46000</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57442-2021</t>
        </is>
      </c>
      <c r="B581" s="1" t="n">
        <v>44483</v>
      </c>
      <c r="C581" s="1" t="n">
        <v>46000</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55952-2024</t>
        </is>
      </c>
      <c r="B582" s="1" t="n">
        <v>45623.62563657408</v>
      </c>
      <c r="C582" s="1" t="n">
        <v>46000</v>
      </c>
      <c r="D582" t="inlineStr">
        <is>
          <t>STOCKHOLMS LÄN</t>
        </is>
      </c>
      <c r="E582" t="inlineStr">
        <is>
          <t>NORRTÄLJE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8135-2025</t>
        </is>
      </c>
      <c r="B583" s="1" t="n">
        <v>45707.84997685185</v>
      </c>
      <c r="C583" s="1" t="n">
        <v>46000</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3383-2023</t>
        </is>
      </c>
      <c r="B584" s="1" t="n">
        <v>44949</v>
      </c>
      <c r="C584" s="1" t="n">
        <v>46000</v>
      </c>
      <c r="D584" t="inlineStr">
        <is>
          <t>STOCKHOLMS LÄN</t>
        </is>
      </c>
      <c r="E584" t="inlineStr">
        <is>
          <t>NORRTÄLJE</t>
        </is>
      </c>
      <c r="G584" t="n">
        <v>14.6</v>
      </c>
      <c r="H584" t="n">
        <v>0</v>
      </c>
      <c r="I584" t="n">
        <v>0</v>
      </c>
      <c r="J584" t="n">
        <v>0</v>
      </c>
      <c r="K584" t="n">
        <v>0</v>
      </c>
      <c r="L584" t="n">
        <v>0</v>
      </c>
      <c r="M584" t="n">
        <v>0</v>
      </c>
      <c r="N584" t="n">
        <v>0</v>
      </c>
      <c r="O584" t="n">
        <v>0</v>
      </c>
      <c r="P584" t="n">
        <v>0</v>
      </c>
      <c r="Q584" t="n">
        <v>0</v>
      </c>
      <c r="R584" s="2" t="inlineStr"/>
    </row>
    <row r="585" ht="15" customHeight="1">
      <c r="A585" t="inlineStr">
        <is>
          <t>A 33702-2025</t>
        </is>
      </c>
      <c r="B585" s="1" t="n">
        <v>45841.74596064815</v>
      </c>
      <c r="C585" s="1" t="n">
        <v>46000</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54907-2025</t>
        </is>
      </c>
      <c r="B586" s="1" t="n">
        <v>45967.37137731481</v>
      </c>
      <c r="C586" s="1" t="n">
        <v>46000</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13148-2021</t>
        </is>
      </c>
      <c r="B587" s="1" t="n">
        <v>44272</v>
      </c>
      <c r="C587" s="1" t="n">
        <v>46000</v>
      </c>
      <c r="D587" t="inlineStr">
        <is>
          <t>STOCKHOLMS LÄN</t>
        </is>
      </c>
      <c r="E587" t="inlineStr">
        <is>
          <t>NORRTÄLJE</t>
        </is>
      </c>
      <c r="G587" t="n">
        <v>12.4</v>
      </c>
      <c r="H587" t="n">
        <v>0</v>
      </c>
      <c r="I587" t="n">
        <v>0</v>
      </c>
      <c r="J587" t="n">
        <v>0</v>
      </c>
      <c r="K587" t="n">
        <v>0</v>
      </c>
      <c r="L587" t="n">
        <v>0</v>
      </c>
      <c r="M587" t="n">
        <v>0</v>
      </c>
      <c r="N587" t="n">
        <v>0</v>
      </c>
      <c r="O587" t="n">
        <v>0</v>
      </c>
      <c r="P587" t="n">
        <v>0</v>
      </c>
      <c r="Q587" t="n">
        <v>0</v>
      </c>
      <c r="R587" s="2" t="inlineStr"/>
    </row>
    <row r="588" ht="15" customHeight="1">
      <c r="A588" t="inlineStr">
        <is>
          <t>A 33211-2025</t>
        </is>
      </c>
      <c r="B588" s="1" t="n">
        <v>45840.62755787037</v>
      </c>
      <c r="C588" s="1" t="n">
        <v>46000</v>
      </c>
      <c r="D588" t="inlineStr">
        <is>
          <t>STOCKHOLMS LÄN</t>
        </is>
      </c>
      <c r="E588" t="inlineStr">
        <is>
          <t>NORRTÄLJE</t>
        </is>
      </c>
      <c r="G588" t="n">
        <v>5.1</v>
      </c>
      <c r="H588" t="n">
        <v>0</v>
      </c>
      <c r="I588" t="n">
        <v>0</v>
      </c>
      <c r="J588" t="n">
        <v>0</v>
      </c>
      <c r="K588" t="n">
        <v>0</v>
      </c>
      <c r="L588" t="n">
        <v>0</v>
      </c>
      <c r="M588" t="n">
        <v>0</v>
      </c>
      <c r="N588" t="n">
        <v>0</v>
      </c>
      <c r="O588" t="n">
        <v>0</v>
      </c>
      <c r="P588" t="n">
        <v>0</v>
      </c>
      <c r="Q588" t="n">
        <v>0</v>
      </c>
      <c r="R588" s="2" t="inlineStr"/>
    </row>
    <row r="589" ht="15" customHeight="1">
      <c r="A589" t="inlineStr">
        <is>
          <t>A 21732-2023</t>
        </is>
      </c>
      <c r="B589" s="1" t="n">
        <v>45063</v>
      </c>
      <c r="C589" s="1" t="n">
        <v>46000</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23307-2024</t>
        </is>
      </c>
      <c r="B590" s="1" t="n">
        <v>45453</v>
      </c>
      <c r="C590" s="1" t="n">
        <v>46000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33265-2025</t>
        </is>
      </c>
      <c r="B591" s="1" t="n">
        <v>45840.67829861111</v>
      </c>
      <c r="C591" s="1" t="n">
        <v>46000</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33552-2025</t>
        </is>
      </c>
      <c r="B592" s="1" t="n">
        <v>45841.5737962963</v>
      </c>
      <c r="C592" s="1" t="n">
        <v>46000</v>
      </c>
      <c r="D592" t="inlineStr">
        <is>
          <t>STOCKHOLMS LÄN</t>
        </is>
      </c>
      <c r="E592" t="inlineStr">
        <is>
          <t>NORRTÄLJE</t>
        </is>
      </c>
      <c r="G592" t="n">
        <v>8.9</v>
      </c>
      <c r="H592" t="n">
        <v>0</v>
      </c>
      <c r="I592" t="n">
        <v>0</v>
      </c>
      <c r="J592" t="n">
        <v>0</v>
      </c>
      <c r="K592" t="n">
        <v>0</v>
      </c>
      <c r="L592" t="n">
        <v>0</v>
      </c>
      <c r="M592" t="n">
        <v>0</v>
      </c>
      <c r="N592" t="n">
        <v>0</v>
      </c>
      <c r="O592" t="n">
        <v>0</v>
      </c>
      <c r="P592" t="n">
        <v>0</v>
      </c>
      <c r="Q592" t="n">
        <v>0</v>
      </c>
      <c r="R592" s="2" t="inlineStr"/>
    </row>
    <row r="593" ht="15" customHeight="1">
      <c r="A593" t="inlineStr">
        <is>
          <t>A 33336-2025</t>
        </is>
      </c>
      <c r="B593" s="1" t="n">
        <v>45841.35611111111</v>
      </c>
      <c r="C593" s="1" t="n">
        <v>46000</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46900-2025</t>
        </is>
      </c>
      <c r="B594" s="1" t="n">
        <v>45929.38712962963</v>
      </c>
      <c r="C594" s="1" t="n">
        <v>46000</v>
      </c>
      <c r="D594" t="inlineStr">
        <is>
          <t>STOCKHOLMS LÄN</t>
        </is>
      </c>
      <c r="E594" t="inlineStr">
        <is>
          <t>NORRTÄLJE</t>
        </is>
      </c>
      <c r="F594" t="inlineStr">
        <is>
          <t>Holmen skog AB</t>
        </is>
      </c>
      <c r="G594" t="n">
        <v>6.2</v>
      </c>
      <c r="H594" t="n">
        <v>0</v>
      </c>
      <c r="I594" t="n">
        <v>0</v>
      </c>
      <c r="J594" t="n">
        <v>0</v>
      </c>
      <c r="K594" t="n">
        <v>0</v>
      </c>
      <c r="L594" t="n">
        <v>0</v>
      </c>
      <c r="M594" t="n">
        <v>0</v>
      </c>
      <c r="N594" t="n">
        <v>0</v>
      </c>
      <c r="O594" t="n">
        <v>0</v>
      </c>
      <c r="P594" t="n">
        <v>0</v>
      </c>
      <c r="Q594" t="n">
        <v>0</v>
      </c>
      <c r="R594" s="2" t="inlineStr"/>
    </row>
    <row r="595" ht="15" customHeight="1">
      <c r="A595" t="inlineStr">
        <is>
          <t>A 33824-2025</t>
        </is>
      </c>
      <c r="B595" s="1" t="n">
        <v>45842.46885416667</v>
      </c>
      <c r="C595" s="1" t="n">
        <v>46000</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55599-2025</t>
        </is>
      </c>
      <c r="B596" s="1" t="n">
        <v>45971.76810185185</v>
      </c>
      <c r="C596" s="1" t="n">
        <v>46000</v>
      </c>
      <c r="D596" t="inlineStr">
        <is>
          <t>STOCKHOLMS LÄN</t>
        </is>
      </c>
      <c r="E596" t="inlineStr">
        <is>
          <t>NORRTÄLJE</t>
        </is>
      </c>
      <c r="F596" t="inlineStr">
        <is>
          <t>Holmen skog AB</t>
        </is>
      </c>
      <c r="G596" t="n">
        <v>6.4</v>
      </c>
      <c r="H596" t="n">
        <v>0</v>
      </c>
      <c r="I596" t="n">
        <v>0</v>
      </c>
      <c r="J596" t="n">
        <v>0</v>
      </c>
      <c r="K596" t="n">
        <v>0</v>
      </c>
      <c r="L596" t="n">
        <v>0</v>
      </c>
      <c r="M596" t="n">
        <v>0</v>
      </c>
      <c r="N596" t="n">
        <v>0</v>
      </c>
      <c r="O596" t="n">
        <v>0</v>
      </c>
      <c r="P596" t="n">
        <v>0</v>
      </c>
      <c r="Q596" t="n">
        <v>0</v>
      </c>
      <c r="R596" s="2" t="inlineStr"/>
    </row>
    <row r="597" ht="15" customHeight="1">
      <c r="A597" t="inlineStr">
        <is>
          <t>A 3386-2021</t>
        </is>
      </c>
      <c r="B597" s="1" t="n">
        <v>44218</v>
      </c>
      <c r="C597" s="1" t="n">
        <v>46000</v>
      </c>
      <c r="D597" t="inlineStr">
        <is>
          <t>STOCKHOLMS LÄN</t>
        </is>
      </c>
      <c r="E597" t="inlineStr">
        <is>
          <t>NORRTÄLJE</t>
        </is>
      </c>
      <c r="G597" t="n">
        <v>8</v>
      </c>
      <c r="H597" t="n">
        <v>0</v>
      </c>
      <c r="I597" t="n">
        <v>0</v>
      </c>
      <c r="J597" t="n">
        <v>0</v>
      </c>
      <c r="K597" t="n">
        <v>0</v>
      </c>
      <c r="L597" t="n">
        <v>0</v>
      </c>
      <c r="M597" t="n">
        <v>0</v>
      </c>
      <c r="N597" t="n">
        <v>0</v>
      </c>
      <c r="O597" t="n">
        <v>0</v>
      </c>
      <c r="P597" t="n">
        <v>0</v>
      </c>
      <c r="Q597" t="n">
        <v>0</v>
      </c>
      <c r="R597" s="2" t="inlineStr"/>
    </row>
    <row r="598" ht="15" customHeight="1">
      <c r="A598" t="inlineStr">
        <is>
          <t>A 34006-2025</t>
        </is>
      </c>
      <c r="B598" s="1" t="n">
        <v>45844.62609953704</v>
      </c>
      <c r="C598" s="1" t="n">
        <v>46000</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34139-2025</t>
        </is>
      </c>
      <c r="B599" s="1" t="n">
        <v>45845</v>
      </c>
      <c r="C599" s="1" t="n">
        <v>46000</v>
      </c>
      <c r="D599" t="inlineStr">
        <is>
          <t>STOCKHOLMS LÄN</t>
        </is>
      </c>
      <c r="E599" t="inlineStr">
        <is>
          <t>NORRTÄLJE</t>
        </is>
      </c>
      <c r="G599" t="n">
        <v>5.5</v>
      </c>
      <c r="H599" t="n">
        <v>0</v>
      </c>
      <c r="I599" t="n">
        <v>0</v>
      </c>
      <c r="J599" t="n">
        <v>0</v>
      </c>
      <c r="K599" t="n">
        <v>0</v>
      </c>
      <c r="L599" t="n">
        <v>0</v>
      </c>
      <c r="M599" t="n">
        <v>0</v>
      </c>
      <c r="N599" t="n">
        <v>0</v>
      </c>
      <c r="O599" t="n">
        <v>0</v>
      </c>
      <c r="P599" t="n">
        <v>0</v>
      </c>
      <c r="Q599" t="n">
        <v>0</v>
      </c>
      <c r="R599" s="2" t="inlineStr"/>
    </row>
    <row r="600" ht="15" customHeight="1">
      <c r="A600" t="inlineStr">
        <is>
          <t>A 37085-2021</t>
        </is>
      </c>
      <c r="B600" s="1" t="n">
        <v>44395</v>
      </c>
      <c r="C600" s="1" t="n">
        <v>46000</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34010-2025</t>
        </is>
      </c>
      <c r="B601" s="1" t="n">
        <v>45844.91234953704</v>
      </c>
      <c r="C601" s="1" t="n">
        <v>46000</v>
      </c>
      <c r="D601" t="inlineStr">
        <is>
          <t>STOCKHOLMS LÄN</t>
        </is>
      </c>
      <c r="E601" t="inlineStr">
        <is>
          <t>NORRTÄLJE</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56428-2023</t>
        </is>
      </c>
      <c r="B602" s="1" t="n">
        <v>45243.45289351852</v>
      </c>
      <c r="C602" s="1" t="n">
        <v>46000</v>
      </c>
      <c r="D602" t="inlineStr">
        <is>
          <t>STOCKHOLMS LÄN</t>
        </is>
      </c>
      <c r="E602" t="inlineStr">
        <is>
          <t>NORRTÄLJE</t>
        </is>
      </c>
      <c r="F602" t="inlineStr">
        <is>
          <t>Kyrkan</t>
        </is>
      </c>
      <c r="G602" t="n">
        <v>1.3</v>
      </c>
      <c r="H602" t="n">
        <v>0</v>
      </c>
      <c r="I602" t="n">
        <v>0</v>
      </c>
      <c r="J602" t="n">
        <v>0</v>
      </c>
      <c r="K602" t="n">
        <v>0</v>
      </c>
      <c r="L602" t="n">
        <v>0</v>
      </c>
      <c r="M602" t="n">
        <v>0</v>
      </c>
      <c r="N602" t="n">
        <v>0</v>
      </c>
      <c r="O602" t="n">
        <v>0</v>
      </c>
      <c r="P602" t="n">
        <v>0</v>
      </c>
      <c r="Q602" t="n">
        <v>0</v>
      </c>
      <c r="R602" s="2" t="inlineStr"/>
    </row>
    <row r="603" ht="15" customHeight="1">
      <c r="A603" t="inlineStr">
        <is>
          <t>A 36689-2023</t>
        </is>
      </c>
      <c r="B603" s="1" t="n">
        <v>45152</v>
      </c>
      <c r="C603" s="1" t="n">
        <v>46000</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46073-2024</t>
        </is>
      </c>
      <c r="B604" s="1" t="n">
        <v>45581</v>
      </c>
      <c r="C604" s="1" t="n">
        <v>46000</v>
      </c>
      <c r="D604" t="inlineStr">
        <is>
          <t>STOCKHOLMS LÄN</t>
        </is>
      </c>
      <c r="E604" t="inlineStr">
        <is>
          <t>NORRTÄLJE</t>
        </is>
      </c>
      <c r="G604" t="n">
        <v>2</v>
      </c>
      <c r="H604" t="n">
        <v>0</v>
      </c>
      <c r="I604" t="n">
        <v>0</v>
      </c>
      <c r="J604" t="n">
        <v>0</v>
      </c>
      <c r="K604" t="n">
        <v>0</v>
      </c>
      <c r="L604" t="n">
        <v>0</v>
      </c>
      <c r="M604" t="n">
        <v>0</v>
      </c>
      <c r="N604" t="n">
        <v>0</v>
      </c>
      <c r="O604" t="n">
        <v>0</v>
      </c>
      <c r="P604" t="n">
        <v>0</v>
      </c>
      <c r="Q604" t="n">
        <v>0</v>
      </c>
      <c r="R604" s="2" t="inlineStr"/>
    </row>
    <row r="605" ht="15" customHeight="1">
      <c r="A605" t="inlineStr">
        <is>
          <t>A 17556-2025</t>
        </is>
      </c>
      <c r="B605" s="1" t="n">
        <v>45757.62482638889</v>
      </c>
      <c r="C605" s="1" t="n">
        <v>46000</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35256-2025</t>
        </is>
      </c>
      <c r="B606" s="1" t="n">
        <v>45853</v>
      </c>
      <c r="C606" s="1" t="n">
        <v>46000</v>
      </c>
      <c r="D606" t="inlineStr">
        <is>
          <t>STOCKHOLMS LÄN</t>
        </is>
      </c>
      <c r="E606" t="inlineStr">
        <is>
          <t>NORRTÄLJE</t>
        </is>
      </c>
      <c r="G606" t="n">
        <v>6.4</v>
      </c>
      <c r="H606" t="n">
        <v>0</v>
      </c>
      <c r="I606" t="n">
        <v>0</v>
      </c>
      <c r="J606" t="n">
        <v>0</v>
      </c>
      <c r="K606" t="n">
        <v>0</v>
      </c>
      <c r="L606" t="n">
        <v>0</v>
      </c>
      <c r="M606" t="n">
        <v>0</v>
      </c>
      <c r="N606" t="n">
        <v>0</v>
      </c>
      <c r="O606" t="n">
        <v>0</v>
      </c>
      <c r="P606" t="n">
        <v>0</v>
      </c>
      <c r="Q606" t="n">
        <v>0</v>
      </c>
      <c r="R606" s="2" t="inlineStr"/>
    </row>
    <row r="607" ht="15" customHeight="1">
      <c r="A607" t="inlineStr">
        <is>
          <t>A 42094-2023</t>
        </is>
      </c>
      <c r="B607" s="1" t="n">
        <v>45177.61498842593</v>
      </c>
      <c r="C607" s="1" t="n">
        <v>46000</v>
      </c>
      <c r="D607" t="inlineStr">
        <is>
          <t>STOCKHOLMS LÄN</t>
        </is>
      </c>
      <c r="E607" t="inlineStr">
        <is>
          <t>NORRTÄLJE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8370-2025</t>
        </is>
      </c>
      <c r="B608" s="1" t="n">
        <v>45708</v>
      </c>
      <c r="C608" s="1" t="n">
        <v>46000</v>
      </c>
      <c r="D608" t="inlineStr">
        <is>
          <t>STOCKHOLMS LÄN</t>
        </is>
      </c>
      <c r="E608" t="inlineStr">
        <is>
          <t>NORRTÄLJE</t>
        </is>
      </c>
      <c r="F608" t="inlineStr">
        <is>
          <t>Övriga Aktiebolag</t>
        </is>
      </c>
      <c r="G608" t="n">
        <v>5.6</v>
      </c>
      <c r="H608" t="n">
        <v>0</v>
      </c>
      <c r="I608" t="n">
        <v>0</v>
      </c>
      <c r="J608" t="n">
        <v>0</v>
      </c>
      <c r="K608" t="n">
        <v>0</v>
      </c>
      <c r="L608" t="n">
        <v>0</v>
      </c>
      <c r="M608" t="n">
        <v>0</v>
      </c>
      <c r="N608" t="n">
        <v>0</v>
      </c>
      <c r="O608" t="n">
        <v>0</v>
      </c>
      <c r="P608" t="n">
        <v>0</v>
      </c>
      <c r="Q608" t="n">
        <v>0</v>
      </c>
      <c r="R608" s="2" t="inlineStr"/>
    </row>
    <row r="609" ht="15" customHeight="1">
      <c r="A609" t="inlineStr">
        <is>
          <t>A 3299-2022</t>
        </is>
      </c>
      <c r="B609" s="1" t="n">
        <v>44584.91001157407</v>
      </c>
      <c r="C609" s="1" t="n">
        <v>46000</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39610-2025</t>
        </is>
      </c>
      <c r="B610" s="1" t="n">
        <v>45890.56001157407</v>
      </c>
      <c r="C610" s="1" t="n">
        <v>46000</v>
      </c>
      <c r="D610" t="inlineStr">
        <is>
          <t>STOCKHOLMS LÄN</t>
        </is>
      </c>
      <c r="E610" t="inlineStr">
        <is>
          <t>NORRTÄLJE</t>
        </is>
      </c>
      <c r="G610" t="n">
        <v>28.6</v>
      </c>
      <c r="H610" t="n">
        <v>0</v>
      </c>
      <c r="I610" t="n">
        <v>0</v>
      </c>
      <c r="J610" t="n">
        <v>0</v>
      </c>
      <c r="K610" t="n">
        <v>0</v>
      </c>
      <c r="L610" t="n">
        <v>0</v>
      </c>
      <c r="M610" t="n">
        <v>0</v>
      </c>
      <c r="N610" t="n">
        <v>0</v>
      </c>
      <c r="O610" t="n">
        <v>0</v>
      </c>
      <c r="P610" t="n">
        <v>0</v>
      </c>
      <c r="Q610" t="n">
        <v>0</v>
      </c>
      <c r="R610" s="2" t="inlineStr"/>
    </row>
    <row r="611" ht="15" customHeight="1">
      <c r="A611" t="inlineStr">
        <is>
          <t>A 12348-2025</t>
        </is>
      </c>
      <c r="B611" s="1" t="n">
        <v>45730.35026620371</v>
      </c>
      <c r="C611" s="1" t="n">
        <v>46000</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17545-2025</t>
        </is>
      </c>
      <c r="B612" s="1" t="n">
        <v>45757.60658564815</v>
      </c>
      <c r="C612" s="1" t="n">
        <v>46000</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35110-2025</t>
        </is>
      </c>
      <c r="B613" s="1" t="n">
        <v>45852.58030092593</v>
      </c>
      <c r="C613" s="1" t="n">
        <v>46000</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25094-2023</t>
        </is>
      </c>
      <c r="B614" s="1" t="n">
        <v>45086.3629050926</v>
      </c>
      <c r="C614" s="1" t="n">
        <v>46000</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36157-2024</t>
        </is>
      </c>
      <c r="B615" s="1" t="n">
        <v>45534.38240740741</v>
      </c>
      <c r="C615" s="1" t="n">
        <v>46000</v>
      </c>
      <c r="D615" t="inlineStr">
        <is>
          <t>STOCKHOLMS LÄN</t>
        </is>
      </c>
      <c r="E615" t="inlineStr">
        <is>
          <t>NORRTÄLJE</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35254-2025</t>
        </is>
      </c>
      <c r="B616" s="1" t="n">
        <v>45853</v>
      </c>
      <c r="C616" s="1" t="n">
        <v>46000</v>
      </c>
      <c r="D616" t="inlineStr">
        <is>
          <t>STOCKHOLMS LÄN</t>
        </is>
      </c>
      <c r="E616" t="inlineStr">
        <is>
          <t>NORRTÄLJE</t>
        </is>
      </c>
      <c r="G616" t="n">
        <v>6.5</v>
      </c>
      <c r="H616" t="n">
        <v>0</v>
      </c>
      <c r="I616" t="n">
        <v>0</v>
      </c>
      <c r="J616" t="n">
        <v>0</v>
      </c>
      <c r="K616" t="n">
        <v>0</v>
      </c>
      <c r="L616" t="n">
        <v>0</v>
      </c>
      <c r="M616" t="n">
        <v>0</v>
      </c>
      <c r="N616" t="n">
        <v>0</v>
      </c>
      <c r="O616" t="n">
        <v>0</v>
      </c>
      <c r="P616" t="n">
        <v>0</v>
      </c>
      <c r="Q616" t="n">
        <v>0</v>
      </c>
      <c r="R616" s="2" t="inlineStr"/>
    </row>
    <row r="617" ht="15" customHeight="1">
      <c r="A617" t="inlineStr">
        <is>
          <t>A 47694-2023</t>
        </is>
      </c>
      <c r="B617" s="1" t="n">
        <v>45203.63303240741</v>
      </c>
      <c r="C617" s="1" t="n">
        <v>46000</v>
      </c>
      <c r="D617" t="inlineStr">
        <is>
          <t>STOCKHOLMS LÄN</t>
        </is>
      </c>
      <c r="E617" t="inlineStr">
        <is>
          <t>NORRTÄLJE</t>
        </is>
      </c>
      <c r="G617" t="n">
        <v>5.2</v>
      </c>
      <c r="H617" t="n">
        <v>0</v>
      </c>
      <c r="I617" t="n">
        <v>0</v>
      </c>
      <c r="J617" t="n">
        <v>0</v>
      </c>
      <c r="K617" t="n">
        <v>0</v>
      </c>
      <c r="L617" t="n">
        <v>0</v>
      </c>
      <c r="M617" t="n">
        <v>0</v>
      </c>
      <c r="N617" t="n">
        <v>0</v>
      </c>
      <c r="O617" t="n">
        <v>0</v>
      </c>
      <c r="P617" t="n">
        <v>0</v>
      </c>
      <c r="Q617" t="n">
        <v>0</v>
      </c>
      <c r="R617" s="2" t="inlineStr"/>
    </row>
    <row r="618" ht="15" customHeight="1">
      <c r="A618" t="inlineStr">
        <is>
          <t>A 35532-2024</t>
        </is>
      </c>
      <c r="B618" s="1" t="n">
        <v>45531</v>
      </c>
      <c r="C618" s="1" t="n">
        <v>46000</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47498-2025</t>
        </is>
      </c>
      <c r="B619" s="1" t="n">
        <v>45930.8134375</v>
      </c>
      <c r="C619" s="1" t="n">
        <v>46000</v>
      </c>
      <c r="D619" t="inlineStr">
        <is>
          <t>STOCKHOLMS LÄN</t>
        </is>
      </c>
      <c r="E619" t="inlineStr">
        <is>
          <t>NORRTÄLJE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56114-2025</t>
        </is>
      </c>
      <c r="B620" s="1" t="n">
        <v>45973.74474537037</v>
      </c>
      <c r="C620" s="1" t="n">
        <v>46000</v>
      </c>
      <c r="D620" t="inlineStr">
        <is>
          <t>STOCKHOLMS LÄN</t>
        </is>
      </c>
      <c r="E620" t="inlineStr">
        <is>
          <t>NORRTÄLJE</t>
        </is>
      </c>
      <c r="G620" t="n">
        <v>0.8</v>
      </c>
      <c r="H620" t="n">
        <v>0</v>
      </c>
      <c r="I620" t="n">
        <v>0</v>
      </c>
      <c r="J620" t="n">
        <v>0</v>
      </c>
      <c r="K620" t="n">
        <v>0</v>
      </c>
      <c r="L620" t="n">
        <v>0</v>
      </c>
      <c r="M620" t="n">
        <v>0</v>
      </c>
      <c r="N620" t="n">
        <v>0</v>
      </c>
      <c r="O620" t="n">
        <v>0</v>
      </c>
      <c r="P620" t="n">
        <v>0</v>
      </c>
      <c r="Q620" t="n">
        <v>0</v>
      </c>
      <c r="R620" s="2" t="inlineStr"/>
    </row>
    <row r="621" ht="15" customHeight="1">
      <c r="A621" t="inlineStr">
        <is>
          <t>A 1654-2025</t>
        </is>
      </c>
      <c r="B621" s="1" t="n">
        <v>45670.65921296296</v>
      </c>
      <c r="C621" s="1" t="n">
        <v>46000</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47460-2025</t>
        </is>
      </c>
      <c r="B622" s="1" t="n">
        <v>45930.66012731481</v>
      </c>
      <c r="C622" s="1" t="n">
        <v>46000</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62644-2023</t>
        </is>
      </c>
      <c r="B623" s="1" t="n">
        <v>45271</v>
      </c>
      <c r="C623" s="1" t="n">
        <v>46000</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47496-2025</t>
        </is>
      </c>
      <c r="B624" s="1" t="n">
        <v>45930.79252314815</v>
      </c>
      <c r="C624" s="1" t="n">
        <v>46000</v>
      </c>
      <c r="D624" t="inlineStr">
        <is>
          <t>STOCKHOLMS LÄN</t>
        </is>
      </c>
      <c r="E624" t="inlineStr">
        <is>
          <t>NORRTÄLJE</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47497-2025</t>
        </is>
      </c>
      <c r="B625" s="1" t="n">
        <v>45930.80217592593</v>
      </c>
      <c r="C625" s="1" t="n">
        <v>46000</v>
      </c>
      <c r="D625" t="inlineStr">
        <is>
          <t>STOCKHOLMS LÄN</t>
        </is>
      </c>
      <c r="E625" t="inlineStr">
        <is>
          <t>NORRTÄLJE</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35479-2025</t>
        </is>
      </c>
      <c r="B626" s="1" t="n">
        <v>45855.69387731481</v>
      </c>
      <c r="C626" s="1" t="n">
        <v>46000</v>
      </c>
      <c r="D626" t="inlineStr">
        <is>
          <t>STOCKHOLMS LÄN</t>
        </is>
      </c>
      <c r="E626" t="inlineStr">
        <is>
          <t>NORRTÄLJE</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35451-2025</t>
        </is>
      </c>
      <c r="B627" s="1" t="n">
        <v>45855.57033564815</v>
      </c>
      <c r="C627" s="1" t="n">
        <v>46000</v>
      </c>
      <c r="D627" t="inlineStr">
        <is>
          <t>STOCKHOLMS LÄN</t>
        </is>
      </c>
      <c r="E627" t="inlineStr">
        <is>
          <t>NORRTÄLJE</t>
        </is>
      </c>
      <c r="F627" t="inlineStr">
        <is>
          <t>Holmen skog AB</t>
        </is>
      </c>
      <c r="G627" t="n">
        <v>7.4</v>
      </c>
      <c r="H627" t="n">
        <v>0</v>
      </c>
      <c r="I627" t="n">
        <v>0</v>
      </c>
      <c r="J627" t="n">
        <v>0</v>
      </c>
      <c r="K627" t="n">
        <v>0</v>
      </c>
      <c r="L627" t="n">
        <v>0</v>
      </c>
      <c r="M627" t="n">
        <v>0</v>
      </c>
      <c r="N627" t="n">
        <v>0</v>
      </c>
      <c r="O627" t="n">
        <v>0</v>
      </c>
      <c r="P627" t="n">
        <v>0</v>
      </c>
      <c r="Q627" t="n">
        <v>0</v>
      </c>
      <c r="R627" s="2" t="inlineStr"/>
    </row>
    <row r="628" ht="15" customHeight="1">
      <c r="A628" t="inlineStr">
        <is>
          <t>A 35478-2025</t>
        </is>
      </c>
      <c r="B628" s="1" t="n">
        <v>45855.68413194444</v>
      </c>
      <c r="C628" s="1" t="n">
        <v>46000</v>
      </c>
      <c r="D628" t="inlineStr">
        <is>
          <t>STOCKHOLMS LÄN</t>
        </is>
      </c>
      <c r="E628" t="inlineStr">
        <is>
          <t>NORRTÄLJE</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11229-2022</t>
        </is>
      </c>
      <c r="B629" s="1" t="n">
        <v>44629</v>
      </c>
      <c r="C629" s="1" t="n">
        <v>46000</v>
      </c>
      <c r="D629" t="inlineStr">
        <is>
          <t>STOCKHOLMS LÄN</t>
        </is>
      </c>
      <c r="E629" t="inlineStr">
        <is>
          <t>NORRTÄLJE</t>
        </is>
      </c>
      <c r="F629" t="inlineStr">
        <is>
          <t>Övriga Aktiebolag</t>
        </is>
      </c>
      <c r="G629" t="n">
        <v>4.1</v>
      </c>
      <c r="H629" t="n">
        <v>0</v>
      </c>
      <c r="I629" t="n">
        <v>0</v>
      </c>
      <c r="J629" t="n">
        <v>0</v>
      </c>
      <c r="K629" t="n">
        <v>0</v>
      </c>
      <c r="L629" t="n">
        <v>0</v>
      </c>
      <c r="M629" t="n">
        <v>0</v>
      </c>
      <c r="N629" t="n">
        <v>0</v>
      </c>
      <c r="O629" t="n">
        <v>0</v>
      </c>
      <c r="P629" t="n">
        <v>0</v>
      </c>
      <c r="Q629" t="n">
        <v>0</v>
      </c>
      <c r="R629" s="2" t="inlineStr"/>
    </row>
    <row r="630" ht="15" customHeight="1">
      <c r="A630" t="inlineStr">
        <is>
          <t>A 48360-2025</t>
        </is>
      </c>
      <c r="B630" s="1" t="n">
        <v>45933.66253472222</v>
      </c>
      <c r="C630" s="1" t="n">
        <v>46000</v>
      </c>
      <c r="D630" t="inlineStr">
        <is>
          <t>STOCKHOLMS LÄN</t>
        </is>
      </c>
      <c r="E630" t="inlineStr">
        <is>
          <t>NORRTÄLJE</t>
        </is>
      </c>
      <c r="G630" t="n">
        <v>4.1</v>
      </c>
      <c r="H630" t="n">
        <v>0</v>
      </c>
      <c r="I630" t="n">
        <v>0</v>
      </c>
      <c r="J630" t="n">
        <v>0</v>
      </c>
      <c r="K630" t="n">
        <v>0</v>
      </c>
      <c r="L630" t="n">
        <v>0</v>
      </c>
      <c r="M630" t="n">
        <v>0</v>
      </c>
      <c r="N630" t="n">
        <v>0</v>
      </c>
      <c r="O630" t="n">
        <v>0</v>
      </c>
      <c r="P630" t="n">
        <v>0</v>
      </c>
      <c r="Q630" t="n">
        <v>0</v>
      </c>
      <c r="R630" s="2" t="inlineStr"/>
    </row>
    <row r="631" ht="15" customHeight="1">
      <c r="A631" t="inlineStr">
        <is>
          <t>A 48370-2025</t>
        </is>
      </c>
      <c r="B631" s="1" t="n">
        <v>45933.67854166667</v>
      </c>
      <c r="C631" s="1" t="n">
        <v>46000</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48364-2025</t>
        </is>
      </c>
      <c r="B632" s="1" t="n">
        <v>45933.66796296297</v>
      </c>
      <c r="C632" s="1" t="n">
        <v>46000</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57353-2024</t>
        </is>
      </c>
      <c r="B633" s="1" t="n">
        <v>45629.65143518519</v>
      </c>
      <c r="C633" s="1" t="n">
        <v>46000</v>
      </c>
      <c r="D633" t="inlineStr">
        <is>
          <t>STOCKHOLMS LÄN</t>
        </is>
      </c>
      <c r="E633" t="inlineStr">
        <is>
          <t>NORRTÄLJE</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48587-2023</t>
        </is>
      </c>
      <c r="B634" s="1" t="n">
        <v>45208</v>
      </c>
      <c r="C634" s="1" t="n">
        <v>46000</v>
      </c>
      <c r="D634" t="inlineStr">
        <is>
          <t>STOCKHOLMS LÄN</t>
        </is>
      </c>
      <c r="E634" t="inlineStr">
        <is>
          <t>NORRTÄLJE</t>
        </is>
      </c>
      <c r="G634" t="n">
        <v>7</v>
      </c>
      <c r="H634" t="n">
        <v>0</v>
      </c>
      <c r="I634" t="n">
        <v>0</v>
      </c>
      <c r="J634" t="n">
        <v>0</v>
      </c>
      <c r="K634" t="n">
        <v>0</v>
      </c>
      <c r="L634" t="n">
        <v>0</v>
      </c>
      <c r="M634" t="n">
        <v>0</v>
      </c>
      <c r="N634" t="n">
        <v>0</v>
      </c>
      <c r="O634" t="n">
        <v>0</v>
      </c>
      <c r="P634" t="n">
        <v>0</v>
      </c>
      <c r="Q634" t="n">
        <v>0</v>
      </c>
      <c r="R634" s="2" t="inlineStr"/>
    </row>
    <row r="635" ht="15" customHeight="1">
      <c r="A635" t="inlineStr">
        <is>
          <t>A 13291-2025</t>
        </is>
      </c>
      <c r="B635" s="1" t="n">
        <v>45735</v>
      </c>
      <c r="C635" s="1" t="n">
        <v>46000</v>
      </c>
      <c r="D635" t="inlineStr">
        <is>
          <t>STOCKHOLMS LÄN</t>
        </is>
      </c>
      <c r="E635" t="inlineStr">
        <is>
          <t>NORRTÄLJE</t>
        </is>
      </c>
      <c r="G635" t="n">
        <v>3.8</v>
      </c>
      <c r="H635" t="n">
        <v>0</v>
      </c>
      <c r="I635" t="n">
        <v>0</v>
      </c>
      <c r="J635" t="n">
        <v>0</v>
      </c>
      <c r="K635" t="n">
        <v>0</v>
      </c>
      <c r="L635" t="n">
        <v>0</v>
      </c>
      <c r="M635" t="n">
        <v>0</v>
      </c>
      <c r="N635" t="n">
        <v>0</v>
      </c>
      <c r="O635" t="n">
        <v>0</v>
      </c>
      <c r="P635" t="n">
        <v>0</v>
      </c>
      <c r="Q635" t="n">
        <v>0</v>
      </c>
      <c r="R635" s="2" t="inlineStr"/>
    </row>
    <row r="636" ht="15" customHeight="1">
      <c r="A636" t="inlineStr">
        <is>
          <t>A 2549-2022</t>
        </is>
      </c>
      <c r="B636" s="1" t="n">
        <v>44580</v>
      </c>
      <c r="C636" s="1" t="n">
        <v>46000</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4438-2023</t>
        </is>
      </c>
      <c r="B637" s="1" t="n">
        <v>44956</v>
      </c>
      <c r="C637" s="1" t="n">
        <v>46000</v>
      </c>
      <c r="D637" t="inlineStr">
        <is>
          <t>STOCKHOLMS LÄN</t>
        </is>
      </c>
      <c r="E637" t="inlineStr">
        <is>
          <t>NORRTÄLJE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47758-2023</t>
        </is>
      </c>
      <c r="B638" s="1" t="n">
        <v>45203.83891203703</v>
      </c>
      <c r="C638" s="1" t="n">
        <v>46000</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56207-2025</t>
        </is>
      </c>
      <c r="B639" s="1" t="n">
        <v>45974.47329861111</v>
      </c>
      <c r="C639" s="1" t="n">
        <v>46000</v>
      </c>
      <c r="D639" t="inlineStr">
        <is>
          <t>STOCKHOLMS LÄN</t>
        </is>
      </c>
      <c r="E639" t="inlineStr">
        <is>
          <t>NORRTÄLJE</t>
        </is>
      </c>
      <c r="G639" t="n">
        <v>3.2</v>
      </c>
      <c r="H639" t="n">
        <v>0</v>
      </c>
      <c r="I639" t="n">
        <v>0</v>
      </c>
      <c r="J639" t="n">
        <v>0</v>
      </c>
      <c r="K639" t="n">
        <v>0</v>
      </c>
      <c r="L639" t="n">
        <v>0</v>
      </c>
      <c r="M639" t="n">
        <v>0</v>
      </c>
      <c r="N639" t="n">
        <v>0</v>
      </c>
      <c r="O639" t="n">
        <v>0</v>
      </c>
      <c r="P639" t="n">
        <v>0</v>
      </c>
      <c r="Q639" t="n">
        <v>0</v>
      </c>
      <c r="R639" s="2" t="inlineStr"/>
    </row>
    <row r="640" ht="15" customHeight="1">
      <c r="A640" t="inlineStr">
        <is>
          <t>A 48174-2025</t>
        </is>
      </c>
      <c r="B640" s="1" t="n">
        <v>45933.44230324074</v>
      </c>
      <c r="C640" s="1" t="n">
        <v>46000</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34444-2024</t>
        </is>
      </c>
      <c r="B641" s="1" t="n">
        <v>45525</v>
      </c>
      <c r="C641" s="1" t="n">
        <v>46000</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48127-2025</t>
        </is>
      </c>
      <c r="B642" s="1" t="n">
        <v>45933.36621527778</v>
      </c>
      <c r="C642" s="1" t="n">
        <v>46000</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20698-2025</t>
        </is>
      </c>
      <c r="B643" s="1" t="n">
        <v>45776.47122685185</v>
      </c>
      <c r="C643" s="1" t="n">
        <v>46000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48179-2025</t>
        </is>
      </c>
      <c r="B644" s="1" t="n">
        <v>45933.44907407407</v>
      </c>
      <c r="C644" s="1" t="n">
        <v>46000</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51061-2023</t>
        </is>
      </c>
      <c r="B645" s="1" t="n">
        <v>45218.65849537037</v>
      </c>
      <c r="C645" s="1" t="n">
        <v>46000</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48718-2025</t>
        </is>
      </c>
      <c r="B646" s="1" t="n">
        <v>45936</v>
      </c>
      <c r="C646" s="1" t="n">
        <v>46000</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22697-2022</t>
        </is>
      </c>
      <c r="B647" s="1" t="n">
        <v>44714.56040509259</v>
      </c>
      <c r="C647" s="1" t="n">
        <v>46000</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45549-2022</t>
        </is>
      </c>
      <c r="B648" s="1" t="n">
        <v>44845.48064814815</v>
      </c>
      <c r="C648" s="1" t="n">
        <v>46000</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46000</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22232-2024</t>
        </is>
      </c>
      <c r="B650" s="1" t="n">
        <v>45446.4287962963</v>
      </c>
      <c r="C650" s="1" t="n">
        <v>46000</v>
      </c>
      <c r="D650" t="inlineStr">
        <is>
          <t>STOCKHOLMS LÄN</t>
        </is>
      </c>
      <c r="E650" t="inlineStr">
        <is>
          <t>NORRTÄLJE</t>
        </is>
      </c>
      <c r="G650" t="n">
        <v>12.8</v>
      </c>
      <c r="H650" t="n">
        <v>0</v>
      </c>
      <c r="I650" t="n">
        <v>0</v>
      </c>
      <c r="J650" t="n">
        <v>0</v>
      </c>
      <c r="K650" t="n">
        <v>0</v>
      </c>
      <c r="L650" t="n">
        <v>0</v>
      </c>
      <c r="M650" t="n">
        <v>0</v>
      </c>
      <c r="N650" t="n">
        <v>0</v>
      </c>
      <c r="O650" t="n">
        <v>0</v>
      </c>
      <c r="P650" t="n">
        <v>0</v>
      </c>
      <c r="Q650" t="n">
        <v>0</v>
      </c>
      <c r="R650" s="2" t="inlineStr"/>
    </row>
    <row r="651" ht="15" customHeight="1">
      <c r="A651" t="inlineStr">
        <is>
          <t>A 24727-2023</t>
        </is>
      </c>
      <c r="B651" s="1" t="n">
        <v>45084.57695601852</v>
      </c>
      <c r="C651" s="1" t="n">
        <v>46000</v>
      </c>
      <c r="D651" t="inlineStr">
        <is>
          <t>STOCKHOLMS LÄN</t>
        </is>
      </c>
      <c r="E651" t="inlineStr">
        <is>
          <t>NORRTÄLJE</t>
        </is>
      </c>
      <c r="F651" t="inlineStr">
        <is>
          <t>Holmen skog AB</t>
        </is>
      </c>
      <c r="G651" t="n">
        <v>2.2</v>
      </c>
      <c r="H651" t="n">
        <v>0</v>
      </c>
      <c r="I651" t="n">
        <v>0</v>
      </c>
      <c r="J651" t="n">
        <v>0</v>
      </c>
      <c r="K651" t="n">
        <v>0</v>
      </c>
      <c r="L651" t="n">
        <v>0</v>
      </c>
      <c r="M651" t="n">
        <v>0</v>
      </c>
      <c r="N651" t="n">
        <v>0</v>
      </c>
      <c r="O651" t="n">
        <v>0</v>
      </c>
      <c r="P651" t="n">
        <v>0</v>
      </c>
      <c r="Q651" t="n">
        <v>0</v>
      </c>
      <c r="R651" s="2" t="inlineStr"/>
    </row>
    <row r="652" ht="15" customHeight="1">
      <c r="A652" t="inlineStr">
        <is>
          <t>A 48593-2025</t>
        </is>
      </c>
      <c r="B652" s="1" t="n">
        <v>45936.4627662037</v>
      </c>
      <c r="C652" s="1" t="n">
        <v>46000</v>
      </c>
      <c r="D652" t="inlineStr">
        <is>
          <t>STOCKHOLMS LÄN</t>
        </is>
      </c>
      <c r="E652" t="inlineStr">
        <is>
          <t>NORRTÄLJE</t>
        </is>
      </c>
      <c r="G652" t="n">
        <v>4.2</v>
      </c>
      <c r="H652" t="n">
        <v>0</v>
      </c>
      <c r="I652" t="n">
        <v>0</v>
      </c>
      <c r="J652" t="n">
        <v>0</v>
      </c>
      <c r="K652" t="n">
        <v>0</v>
      </c>
      <c r="L652" t="n">
        <v>0</v>
      </c>
      <c r="M652" t="n">
        <v>0</v>
      </c>
      <c r="N652" t="n">
        <v>0</v>
      </c>
      <c r="O652" t="n">
        <v>0</v>
      </c>
      <c r="P652" t="n">
        <v>0</v>
      </c>
      <c r="Q652" t="n">
        <v>0</v>
      </c>
      <c r="R652" s="2" t="inlineStr"/>
    </row>
    <row r="653" ht="15" customHeight="1">
      <c r="A653" t="inlineStr">
        <is>
          <t>A 48722-2023</t>
        </is>
      </c>
      <c r="B653" s="1" t="n">
        <v>45208.70996527778</v>
      </c>
      <c r="C653" s="1" t="n">
        <v>46000</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36396-2025</t>
        </is>
      </c>
      <c r="B654" s="1" t="n">
        <v>45868.62267361111</v>
      </c>
      <c r="C654" s="1" t="n">
        <v>46000</v>
      </c>
      <c r="D654" t="inlineStr">
        <is>
          <t>STOCKHOLMS LÄN</t>
        </is>
      </c>
      <c r="E654" t="inlineStr">
        <is>
          <t>NORRTÄLJE</t>
        </is>
      </c>
      <c r="G654" t="n">
        <v>4.1</v>
      </c>
      <c r="H654" t="n">
        <v>0</v>
      </c>
      <c r="I654" t="n">
        <v>0</v>
      </c>
      <c r="J654" t="n">
        <v>0</v>
      </c>
      <c r="K654" t="n">
        <v>0</v>
      </c>
      <c r="L654" t="n">
        <v>0</v>
      </c>
      <c r="M654" t="n">
        <v>0</v>
      </c>
      <c r="N654" t="n">
        <v>0</v>
      </c>
      <c r="O654" t="n">
        <v>0</v>
      </c>
      <c r="P654" t="n">
        <v>0</v>
      </c>
      <c r="Q654" t="n">
        <v>0</v>
      </c>
      <c r="R654" s="2" t="inlineStr"/>
    </row>
    <row r="655" ht="15" customHeight="1">
      <c r="A655" t="inlineStr">
        <is>
          <t>A 35235-2024</t>
        </is>
      </c>
      <c r="B655" s="1" t="n">
        <v>45530</v>
      </c>
      <c r="C655" s="1" t="n">
        <v>46000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33279-2025</t>
        </is>
      </c>
      <c r="B656" s="1" t="n">
        <v>45840</v>
      </c>
      <c r="C656" s="1" t="n">
        <v>46000</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1448-2023</t>
        </is>
      </c>
      <c r="B657" s="1" t="n">
        <v>44937</v>
      </c>
      <c r="C657" s="1" t="n">
        <v>46000</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48443-2025</t>
        </is>
      </c>
      <c r="B658" s="1" t="n">
        <v>45935.55326388889</v>
      </c>
      <c r="C658" s="1" t="n">
        <v>46000</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8736-2024</t>
        </is>
      </c>
      <c r="B659" s="1" t="n">
        <v>45356.4722800926</v>
      </c>
      <c r="C659" s="1" t="n">
        <v>46000</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33149-2022</t>
        </is>
      </c>
      <c r="B660" s="1" t="n">
        <v>44785</v>
      </c>
      <c r="C660" s="1" t="n">
        <v>46000</v>
      </c>
      <c r="D660" t="inlineStr">
        <is>
          <t>STOCKHOLMS LÄN</t>
        </is>
      </c>
      <c r="E660" t="inlineStr">
        <is>
          <t>NORRTÄLJE</t>
        </is>
      </c>
      <c r="F660" t="inlineStr">
        <is>
          <t>Holmen skog AB</t>
        </is>
      </c>
      <c r="G660" t="n">
        <v>4.4</v>
      </c>
      <c r="H660" t="n">
        <v>0</v>
      </c>
      <c r="I660" t="n">
        <v>0</v>
      </c>
      <c r="J660" t="n">
        <v>0</v>
      </c>
      <c r="K660" t="n">
        <v>0</v>
      </c>
      <c r="L660" t="n">
        <v>0</v>
      </c>
      <c r="M660" t="n">
        <v>0</v>
      </c>
      <c r="N660" t="n">
        <v>0</v>
      </c>
      <c r="O660" t="n">
        <v>0</v>
      </c>
      <c r="P660" t="n">
        <v>0</v>
      </c>
      <c r="Q660" t="n">
        <v>0</v>
      </c>
      <c r="R660" s="2" t="inlineStr"/>
    </row>
    <row r="661" ht="15" customHeight="1">
      <c r="A661" t="inlineStr">
        <is>
          <t>A 48780-2025</t>
        </is>
      </c>
      <c r="B661" s="1" t="n">
        <v>45937.30377314815</v>
      </c>
      <c r="C661" s="1" t="n">
        <v>46000</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37261-2025</t>
        </is>
      </c>
      <c r="B662" s="1" t="n">
        <v>45876.45253472222</v>
      </c>
      <c r="C662" s="1" t="n">
        <v>46000</v>
      </c>
      <c r="D662" t="inlineStr">
        <is>
          <t>STOCKHOLMS LÄN</t>
        </is>
      </c>
      <c r="E662" t="inlineStr">
        <is>
          <t>NORRTÄLJE</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6537-2024</t>
        </is>
      </c>
      <c r="B663" s="1" t="n">
        <v>45341.39853009259</v>
      </c>
      <c r="C663" s="1" t="n">
        <v>46000</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40175-2024</t>
        </is>
      </c>
      <c r="B664" s="1" t="n">
        <v>45554.55707175926</v>
      </c>
      <c r="C664" s="1" t="n">
        <v>46000</v>
      </c>
      <c r="D664" t="inlineStr">
        <is>
          <t>STOCKHOLMS LÄN</t>
        </is>
      </c>
      <c r="E664" t="inlineStr">
        <is>
          <t>NORRTÄLJE</t>
        </is>
      </c>
      <c r="G664" t="n">
        <v>7.7</v>
      </c>
      <c r="H664" t="n">
        <v>0</v>
      </c>
      <c r="I664" t="n">
        <v>0</v>
      </c>
      <c r="J664" t="n">
        <v>0</v>
      </c>
      <c r="K664" t="n">
        <v>0</v>
      </c>
      <c r="L664" t="n">
        <v>0</v>
      </c>
      <c r="M664" t="n">
        <v>0</v>
      </c>
      <c r="N664" t="n">
        <v>0</v>
      </c>
      <c r="O664" t="n">
        <v>0</v>
      </c>
      <c r="P664" t="n">
        <v>0</v>
      </c>
      <c r="Q664" t="n">
        <v>0</v>
      </c>
      <c r="R664" s="2" t="inlineStr"/>
    </row>
    <row r="665" ht="15" customHeight="1">
      <c r="A665" t="inlineStr">
        <is>
          <t>A 54558-2024</t>
        </is>
      </c>
      <c r="B665" s="1" t="n">
        <v>45617.62358796296</v>
      </c>
      <c r="C665" s="1" t="n">
        <v>46000</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23056-2023</t>
        </is>
      </c>
      <c r="B666" s="1" t="n">
        <v>45075</v>
      </c>
      <c r="C666" s="1" t="n">
        <v>46000</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67393-2020</t>
        </is>
      </c>
      <c r="B667" s="1" t="n">
        <v>44181</v>
      </c>
      <c r="C667" s="1" t="n">
        <v>46000</v>
      </c>
      <c r="D667" t="inlineStr">
        <is>
          <t>STOCKHOLMS LÄN</t>
        </is>
      </c>
      <c r="E667" t="inlineStr">
        <is>
          <t>NORRTÄLJE</t>
        </is>
      </c>
      <c r="G667" t="n">
        <v>5.5</v>
      </c>
      <c r="H667" t="n">
        <v>0</v>
      </c>
      <c r="I667" t="n">
        <v>0</v>
      </c>
      <c r="J667" t="n">
        <v>0</v>
      </c>
      <c r="K667" t="n">
        <v>0</v>
      </c>
      <c r="L667" t="n">
        <v>0</v>
      </c>
      <c r="M667" t="n">
        <v>0</v>
      </c>
      <c r="N667" t="n">
        <v>0</v>
      </c>
      <c r="O667" t="n">
        <v>0</v>
      </c>
      <c r="P667" t="n">
        <v>0</v>
      </c>
      <c r="Q667" t="n">
        <v>0</v>
      </c>
      <c r="R667" s="2" t="inlineStr"/>
    </row>
    <row r="668" ht="15" customHeight="1">
      <c r="A668" t="inlineStr">
        <is>
          <t>A 47431-2023</t>
        </is>
      </c>
      <c r="B668" s="1" t="n">
        <v>45202</v>
      </c>
      <c r="C668" s="1" t="n">
        <v>46000</v>
      </c>
      <c r="D668" t="inlineStr">
        <is>
          <t>STOCKHOLMS LÄN</t>
        </is>
      </c>
      <c r="E668" t="inlineStr">
        <is>
          <t>NORRTÄLJE</t>
        </is>
      </c>
      <c r="F668" t="inlineStr">
        <is>
          <t>Naturvårdsverket</t>
        </is>
      </c>
      <c r="G668" t="n">
        <v>1.2</v>
      </c>
      <c r="H668" t="n">
        <v>0</v>
      </c>
      <c r="I668" t="n">
        <v>0</v>
      </c>
      <c r="J668" t="n">
        <v>0</v>
      </c>
      <c r="K668" t="n">
        <v>0</v>
      </c>
      <c r="L668" t="n">
        <v>0</v>
      </c>
      <c r="M668" t="n">
        <v>0</v>
      </c>
      <c r="N668" t="n">
        <v>0</v>
      </c>
      <c r="O668" t="n">
        <v>0</v>
      </c>
      <c r="P668" t="n">
        <v>0</v>
      </c>
      <c r="Q668" t="n">
        <v>0</v>
      </c>
      <c r="R668" s="2" t="inlineStr"/>
    </row>
    <row r="669" ht="15" customHeight="1">
      <c r="A669" t="inlineStr">
        <is>
          <t>A 37628-2025</t>
        </is>
      </c>
      <c r="B669" s="1" t="n">
        <v>45880.46189814815</v>
      </c>
      <c r="C669" s="1" t="n">
        <v>46000</v>
      </c>
      <c r="D669" t="inlineStr">
        <is>
          <t>STOCKHOLMS LÄN</t>
        </is>
      </c>
      <c r="E669" t="inlineStr">
        <is>
          <t>NORRTÄLJE</t>
        </is>
      </c>
      <c r="F669" t="inlineStr">
        <is>
          <t>Sveaskog</t>
        </is>
      </c>
      <c r="G669" t="n">
        <v>2.6</v>
      </c>
      <c r="H669" t="n">
        <v>0</v>
      </c>
      <c r="I669" t="n">
        <v>0</v>
      </c>
      <c r="J669" t="n">
        <v>0</v>
      </c>
      <c r="K669" t="n">
        <v>0</v>
      </c>
      <c r="L669" t="n">
        <v>0</v>
      </c>
      <c r="M669" t="n">
        <v>0</v>
      </c>
      <c r="N669" t="n">
        <v>0</v>
      </c>
      <c r="O669" t="n">
        <v>0</v>
      </c>
      <c r="P669" t="n">
        <v>0</v>
      </c>
      <c r="Q669" t="n">
        <v>0</v>
      </c>
      <c r="R669" s="2" t="inlineStr"/>
    </row>
    <row r="670" ht="15" customHeight="1">
      <c r="A670" t="inlineStr">
        <is>
          <t>A 59499-2023</t>
        </is>
      </c>
      <c r="B670" s="1" t="n">
        <v>45254</v>
      </c>
      <c r="C670" s="1" t="n">
        <v>46000</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29369-2024</t>
        </is>
      </c>
      <c r="B671" s="1" t="n">
        <v>45483.57244212963</v>
      </c>
      <c r="C671" s="1" t="n">
        <v>46000</v>
      </c>
      <c r="D671" t="inlineStr">
        <is>
          <t>STOCKHOLMS LÄN</t>
        </is>
      </c>
      <c r="E671" t="inlineStr">
        <is>
          <t>NORRTÄLJE</t>
        </is>
      </c>
      <c r="G671" t="n">
        <v>15.9</v>
      </c>
      <c r="H671" t="n">
        <v>0</v>
      </c>
      <c r="I671" t="n">
        <v>0</v>
      </c>
      <c r="J671" t="n">
        <v>0</v>
      </c>
      <c r="K671" t="n">
        <v>0</v>
      </c>
      <c r="L671" t="n">
        <v>0</v>
      </c>
      <c r="M671" t="n">
        <v>0</v>
      </c>
      <c r="N671" t="n">
        <v>0</v>
      </c>
      <c r="O671" t="n">
        <v>0</v>
      </c>
      <c r="P671" t="n">
        <v>0</v>
      </c>
      <c r="Q671" t="n">
        <v>0</v>
      </c>
      <c r="R671" s="2" t="inlineStr"/>
    </row>
    <row r="672" ht="15" customHeight="1">
      <c r="A672" t="inlineStr">
        <is>
          <t>A 37632-2025</t>
        </is>
      </c>
      <c r="B672" s="1" t="n">
        <v>45880.46524305556</v>
      </c>
      <c r="C672" s="1" t="n">
        <v>46000</v>
      </c>
      <c r="D672" t="inlineStr">
        <is>
          <t>STOCKHOLMS LÄN</t>
        </is>
      </c>
      <c r="E672" t="inlineStr">
        <is>
          <t>NORRTÄLJE</t>
        </is>
      </c>
      <c r="F672" t="inlineStr">
        <is>
          <t>Sveaskog</t>
        </is>
      </c>
      <c r="G672" t="n">
        <v>6.4</v>
      </c>
      <c r="H672" t="n">
        <v>0</v>
      </c>
      <c r="I672" t="n">
        <v>0</v>
      </c>
      <c r="J672" t="n">
        <v>0</v>
      </c>
      <c r="K672" t="n">
        <v>0</v>
      </c>
      <c r="L672" t="n">
        <v>0</v>
      </c>
      <c r="M672" t="n">
        <v>0</v>
      </c>
      <c r="N672" t="n">
        <v>0</v>
      </c>
      <c r="O672" t="n">
        <v>0</v>
      </c>
      <c r="P672" t="n">
        <v>0</v>
      </c>
      <c r="Q672" t="n">
        <v>0</v>
      </c>
      <c r="R672" s="2" t="inlineStr"/>
    </row>
    <row r="673" ht="15" customHeight="1">
      <c r="A673" t="inlineStr">
        <is>
          <t>A 29841-2024</t>
        </is>
      </c>
      <c r="B673" s="1" t="n">
        <v>45485.60261574074</v>
      </c>
      <c r="C673" s="1" t="n">
        <v>46000</v>
      </c>
      <c r="D673" t="inlineStr">
        <is>
          <t>STOCKHOLMS LÄN</t>
        </is>
      </c>
      <c r="E673" t="inlineStr">
        <is>
          <t>NORRTÄLJE</t>
        </is>
      </c>
      <c r="G673" t="n">
        <v>15.9</v>
      </c>
      <c r="H673" t="n">
        <v>0</v>
      </c>
      <c r="I673" t="n">
        <v>0</v>
      </c>
      <c r="J673" t="n">
        <v>0</v>
      </c>
      <c r="K673" t="n">
        <v>0</v>
      </c>
      <c r="L673" t="n">
        <v>0</v>
      </c>
      <c r="M673" t="n">
        <v>0</v>
      </c>
      <c r="N673" t="n">
        <v>0</v>
      </c>
      <c r="O673" t="n">
        <v>0</v>
      </c>
      <c r="P673" t="n">
        <v>0</v>
      </c>
      <c r="Q673" t="n">
        <v>0</v>
      </c>
      <c r="R673" s="2" t="inlineStr"/>
    </row>
    <row r="674" ht="15" customHeight="1">
      <c r="A674" t="inlineStr">
        <is>
          <t>A 59468-2023</t>
        </is>
      </c>
      <c r="B674" s="1" t="n">
        <v>45254.41509259259</v>
      </c>
      <c r="C674" s="1" t="n">
        <v>46000</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20692-2025</t>
        </is>
      </c>
      <c r="B675" s="1" t="n">
        <v>45776.46369212963</v>
      </c>
      <c r="C675" s="1" t="n">
        <v>46000</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49129-2025</t>
        </is>
      </c>
      <c r="B676" s="1" t="n">
        <v>45937.89517361111</v>
      </c>
      <c r="C676" s="1" t="n">
        <v>46000</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37630-2025</t>
        </is>
      </c>
      <c r="B677" s="1" t="n">
        <v>45880.46372685185</v>
      </c>
      <c r="C677" s="1" t="n">
        <v>46000</v>
      </c>
      <c r="D677" t="inlineStr">
        <is>
          <t>STOCKHOLMS LÄN</t>
        </is>
      </c>
      <c r="E677" t="inlineStr">
        <is>
          <t>NORRTÄLJE</t>
        </is>
      </c>
      <c r="F677" t="inlineStr">
        <is>
          <t>Sveaskog</t>
        </is>
      </c>
      <c r="G677" t="n">
        <v>12.9</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46000</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46000</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46000</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57788-2025</t>
        </is>
      </c>
      <c r="B681" s="1" t="n">
        <v>45981.5778125</v>
      </c>
      <c r="C681" s="1" t="n">
        <v>46000</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21729-2024</t>
        </is>
      </c>
      <c r="B682" s="1" t="n">
        <v>45442</v>
      </c>
      <c r="C682" s="1" t="n">
        <v>46000</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46071-2024</t>
        </is>
      </c>
      <c r="B683" s="1" t="n">
        <v>45581</v>
      </c>
      <c r="C683" s="1" t="n">
        <v>46000</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55503-2025</t>
        </is>
      </c>
      <c r="B684" s="1" t="n">
        <v>45971</v>
      </c>
      <c r="C684" s="1" t="n">
        <v>46000</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11854-2025</t>
        </is>
      </c>
      <c r="B685" s="1" t="n">
        <v>45728.38924768518</v>
      </c>
      <c r="C685" s="1" t="n">
        <v>46000</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14762-2024</t>
        </is>
      </c>
      <c r="B686" s="1" t="n">
        <v>45397</v>
      </c>
      <c r="C686" s="1" t="n">
        <v>46000</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13137-2024</t>
        </is>
      </c>
      <c r="B687" s="1" t="n">
        <v>45386.34175925926</v>
      </c>
      <c r="C687" s="1" t="n">
        <v>46000</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24350-2025</t>
        </is>
      </c>
      <c r="B688" s="1" t="n">
        <v>45797.58350694444</v>
      </c>
      <c r="C688" s="1" t="n">
        <v>46000</v>
      </c>
      <c r="D688" t="inlineStr">
        <is>
          <t>STOCKHOLMS LÄN</t>
        </is>
      </c>
      <c r="E688" t="inlineStr">
        <is>
          <t>NORRTÄLJE</t>
        </is>
      </c>
      <c r="G688" t="n">
        <v>4.5</v>
      </c>
      <c r="H688" t="n">
        <v>0</v>
      </c>
      <c r="I688" t="n">
        <v>0</v>
      </c>
      <c r="J688" t="n">
        <v>0</v>
      </c>
      <c r="K688" t="n">
        <v>0</v>
      </c>
      <c r="L688" t="n">
        <v>0</v>
      </c>
      <c r="M688" t="n">
        <v>0</v>
      </c>
      <c r="N688" t="n">
        <v>0</v>
      </c>
      <c r="O688" t="n">
        <v>0</v>
      </c>
      <c r="P688" t="n">
        <v>0</v>
      </c>
      <c r="Q688" t="n">
        <v>0</v>
      </c>
      <c r="R688" s="2" t="inlineStr"/>
    </row>
    <row r="689" ht="15" customHeight="1">
      <c r="A689" t="inlineStr">
        <is>
          <t>A 26703-2025</t>
        </is>
      </c>
      <c r="B689" s="1" t="n">
        <v>45810.45263888889</v>
      </c>
      <c r="C689" s="1" t="n">
        <v>46000</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59712-2024</t>
        </is>
      </c>
      <c r="B690" s="1" t="n">
        <v>45639.45166666667</v>
      </c>
      <c r="C690" s="1" t="n">
        <v>46000</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57953-2025</t>
        </is>
      </c>
      <c r="B691" s="1" t="n">
        <v>45982.35016203704</v>
      </c>
      <c r="C691" s="1" t="n">
        <v>46000</v>
      </c>
      <c r="D691" t="inlineStr">
        <is>
          <t>STOCKHOLMS LÄN</t>
        </is>
      </c>
      <c r="E691" t="inlineStr">
        <is>
          <t>NORRTÄLJE</t>
        </is>
      </c>
      <c r="F691" t="inlineStr">
        <is>
          <t>Sveaskog</t>
        </is>
      </c>
      <c r="G691" t="n">
        <v>3</v>
      </c>
      <c r="H691" t="n">
        <v>0</v>
      </c>
      <c r="I691" t="n">
        <v>0</v>
      </c>
      <c r="J691" t="n">
        <v>0</v>
      </c>
      <c r="K691" t="n">
        <v>0</v>
      </c>
      <c r="L691" t="n">
        <v>0</v>
      </c>
      <c r="M691" t="n">
        <v>0</v>
      </c>
      <c r="N691" t="n">
        <v>0</v>
      </c>
      <c r="O691" t="n">
        <v>0</v>
      </c>
      <c r="P691" t="n">
        <v>0</v>
      </c>
      <c r="Q691" t="n">
        <v>0</v>
      </c>
      <c r="R691" s="2" t="inlineStr"/>
    </row>
    <row r="692" ht="15" customHeight="1">
      <c r="A692" t="inlineStr">
        <is>
          <t>A 38153-2025</t>
        </is>
      </c>
      <c r="B692" s="1" t="n">
        <v>45882.59722222222</v>
      </c>
      <c r="C692" s="1" t="n">
        <v>46000</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35127-2023</t>
        </is>
      </c>
      <c r="B693" s="1" t="n">
        <v>45145.51</v>
      </c>
      <c r="C693" s="1" t="n">
        <v>46000</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22816-2021</t>
        </is>
      </c>
      <c r="B694" s="1" t="n">
        <v>44325</v>
      </c>
      <c r="C694" s="1" t="n">
        <v>46000</v>
      </c>
      <c r="D694" t="inlineStr">
        <is>
          <t>STOCKHOLMS LÄN</t>
        </is>
      </c>
      <c r="E694" t="inlineStr">
        <is>
          <t>NORRTÄLJE</t>
        </is>
      </c>
      <c r="G694" t="n">
        <v>4.5</v>
      </c>
      <c r="H694" t="n">
        <v>0</v>
      </c>
      <c r="I694" t="n">
        <v>0</v>
      </c>
      <c r="J694" t="n">
        <v>0</v>
      </c>
      <c r="K694" t="n">
        <v>0</v>
      </c>
      <c r="L694" t="n">
        <v>0</v>
      </c>
      <c r="M694" t="n">
        <v>0</v>
      </c>
      <c r="N694" t="n">
        <v>0</v>
      </c>
      <c r="O694" t="n">
        <v>0</v>
      </c>
      <c r="P694" t="n">
        <v>0</v>
      </c>
      <c r="Q694" t="n">
        <v>0</v>
      </c>
      <c r="R694" s="2" t="inlineStr"/>
    </row>
    <row r="695" ht="15" customHeight="1">
      <c r="A695" t="inlineStr">
        <is>
          <t>A 45255-2022</t>
        </is>
      </c>
      <c r="B695" s="1" t="n">
        <v>44840</v>
      </c>
      <c r="C695" s="1" t="n">
        <v>46000</v>
      </c>
      <c r="D695" t="inlineStr">
        <is>
          <t>STOCKHOLMS LÄN</t>
        </is>
      </c>
      <c r="E695" t="inlineStr">
        <is>
          <t>NORRTÄLJE</t>
        </is>
      </c>
      <c r="G695" t="n">
        <v>4.1</v>
      </c>
      <c r="H695" t="n">
        <v>0</v>
      </c>
      <c r="I695" t="n">
        <v>0</v>
      </c>
      <c r="J695" t="n">
        <v>0</v>
      </c>
      <c r="K695" t="n">
        <v>0</v>
      </c>
      <c r="L695" t="n">
        <v>0</v>
      </c>
      <c r="M695" t="n">
        <v>0</v>
      </c>
      <c r="N695" t="n">
        <v>0</v>
      </c>
      <c r="O695" t="n">
        <v>0</v>
      </c>
      <c r="P695" t="n">
        <v>0</v>
      </c>
      <c r="Q695" t="n">
        <v>0</v>
      </c>
      <c r="R695" s="2" t="inlineStr"/>
    </row>
    <row r="696" ht="15" customHeight="1">
      <c r="A696" t="inlineStr">
        <is>
          <t>A 58142-2025</t>
        </is>
      </c>
      <c r="B696" s="1" t="n">
        <v>45982.63791666667</v>
      </c>
      <c r="C696" s="1" t="n">
        <v>46000</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50097-2025</t>
        </is>
      </c>
      <c r="B697" s="1" t="n">
        <v>45943.50207175926</v>
      </c>
      <c r="C697" s="1" t="n">
        <v>46000</v>
      </c>
      <c r="D697" t="inlineStr">
        <is>
          <t>STOCKHOLMS LÄN</t>
        </is>
      </c>
      <c r="E697" t="inlineStr">
        <is>
          <t>NORRTÄLJE</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59893-2022</t>
        </is>
      </c>
      <c r="B698" s="1" t="n">
        <v>44908.77368055555</v>
      </c>
      <c r="C698" s="1" t="n">
        <v>46000</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49836-2025</t>
        </is>
      </c>
      <c r="B699" s="1" t="n">
        <v>45940.46862268518</v>
      </c>
      <c r="C699" s="1" t="n">
        <v>46000</v>
      </c>
      <c r="D699" t="inlineStr">
        <is>
          <t>STOCKHOLMS LÄN</t>
        </is>
      </c>
      <c r="E699" t="inlineStr">
        <is>
          <t>NORRTÄLJE</t>
        </is>
      </c>
      <c r="G699" t="n">
        <v>3.5</v>
      </c>
      <c r="H699" t="n">
        <v>0</v>
      </c>
      <c r="I699" t="n">
        <v>0</v>
      </c>
      <c r="J699" t="n">
        <v>0</v>
      </c>
      <c r="K699" t="n">
        <v>0</v>
      </c>
      <c r="L699" t="n">
        <v>0</v>
      </c>
      <c r="M699" t="n">
        <v>0</v>
      </c>
      <c r="N699" t="n">
        <v>0</v>
      </c>
      <c r="O699" t="n">
        <v>0</v>
      </c>
      <c r="P699" t="n">
        <v>0</v>
      </c>
      <c r="Q699" t="n">
        <v>0</v>
      </c>
      <c r="R699" s="2" t="inlineStr"/>
    </row>
    <row r="700" ht="15" customHeight="1">
      <c r="A700" t="inlineStr">
        <is>
          <t>A 39905-2023</t>
        </is>
      </c>
      <c r="B700" s="1" t="n">
        <v>45168.44489583333</v>
      </c>
      <c r="C700" s="1" t="n">
        <v>46000</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5645-2023</t>
        </is>
      </c>
      <c r="B701" s="1" t="n">
        <v>44960.60469907407</v>
      </c>
      <c r="C701" s="1" t="n">
        <v>46000</v>
      </c>
      <c r="D701" t="inlineStr">
        <is>
          <t>STOCKHOLMS LÄN</t>
        </is>
      </c>
      <c r="E701" t="inlineStr">
        <is>
          <t>NORRTÄLJE</t>
        </is>
      </c>
      <c r="G701" t="n">
        <v>1.7</v>
      </c>
      <c r="H701" t="n">
        <v>0</v>
      </c>
      <c r="I701" t="n">
        <v>0</v>
      </c>
      <c r="J701" t="n">
        <v>0</v>
      </c>
      <c r="K701" t="n">
        <v>0</v>
      </c>
      <c r="L701" t="n">
        <v>0</v>
      </c>
      <c r="M701" t="n">
        <v>0</v>
      </c>
      <c r="N701" t="n">
        <v>0</v>
      </c>
      <c r="O701" t="n">
        <v>0</v>
      </c>
      <c r="P701" t="n">
        <v>0</v>
      </c>
      <c r="Q701" t="n">
        <v>0</v>
      </c>
      <c r="R701" s="2" t="inlineStr"/>
    </row>
    <row r="702" ht="15" customHeight="1">
      <c r="A702" t="inlineStr">
        <is>
          <t>A 68361-2021</t>
        </is>
      </c>
      <c r="B702" s="1" t="n">
        <v>44528.91494212963</v>
      </c>
      <c r="C702" s="1" t="n">
        <v>46000</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58403-2025</t>
        </is>
      </c>
      <c r="B703" s="1" t="n">
        <v>45985.56777777777</v>
      </c>
      <c r="C703" s="1" t="n">
        <v>46000</v>
      </c>
      <c r="D703" t="inlineStr">
        <is>
          <t>STOCKHOLMS LÄN</t>
        </is>
      </c>
      <c r="E703" t="inlineStr">
        <is>
          <t>NORRTÄLJE</t>
        </is>
      </c>
      <c r="F703" t="inlineStr">
        <is>
          <t>Naturvårdsverket</t>
        </is>
      </c>
      <c r="G703" t="n">
        <v>13.5</v>
      </c>
      <c r="H703" t="n">
        <v>0</v>
      </c>
      <c r="I703" t="n">
        <v>0</v>
      </c>
      <c r="J703" t="n">
        <v>0</v>
      </c>
      <c r="K703" t="n">
        <v>0</v>
      </c>
      <c r="L703" t="n">
        <v>0</v>
      </c>
      <c r="M703" t="n">
        <v>0</v>
      </c>
      <c r="N703" t="n">
        <v>0</v>
      </c>
      <c r="O703" t="n">
        <v>0</v>
      </c>
      <c r="P703" t="n">
        <v>0</v>
      </c>
      <c r="Q703" t="n">
        <v>0</v>
      </c>
      <c r="R703" s="2" t="inlineStr"/>
    </row>
    <row r="704" ht="15" customHeight="1">
      <c r="A704" t="inlineStr">
        <is>
          <t>A 60529-2023</t>
        </is>
      </c>
      <c r="B704" s="1" t="n">
        <v>45259</v>
      </c>
      <c r="C704" s="1" t="n">
        <v>46000</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58939-2025</t>
        </is>
      </c>
      <c r="B705" s="1" t="n">
        <v>45987.5681712963</v>
      </c>
      <c r="C705" s="1" t="n">
        <v>46000</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50327-2025</t>
        </is>
      </c>
      <c r="B706" s="1" t="n">
        <v>45944.46387731482</v>
      </c>
      <c r="C706" s="1" t="n">
        <v>46000</v>
      </c>
      <c r="D706" t="inlineStr">
        <is>
          <t>STOCKHOLMS LÄN</t>
        </is>
      </c>
      <c r="E706" t="inlineStr">
        <is>
          <t>NORRTÄLJE</t>
        </is>
      </c>
      <c r="G706" t="n">
        <v>0.3</v>
      </c>
      <c r="H706" t="n">
        <v>0</v>
      </c>
      <c r="I706" t="n">
        <v>0</v>
      </c>
      <c r="J706" t="n">
        <v>0</v>
      </c>
      <c r="K706" t="n">
        <v>0</v>
      </c>
      <c r="L706" t="n">
        <v>0</v>
      </c>
      <c r="M706" t="n">
        <v>0</v>
      </c>
      <c r="N706" t="n">
        <v>0</v>
      </c>
      <c r="O706" t="n">
        <v>0</v>
      </c>
      <c r="P706" t="n">
        <v>0</v>
      </c>
      <c r="Q706" t="n">
        <v>0</v>
      </c>
      <c r="R706" s="2" t="inlineStr"/>
    </row>
    <row r="707" ht="15" customHeight="1">
      <c r="A707" t="inlineStr">
        <is>
          <t>A 19706-2023</t>
        </is>
      </c>
      <c r="B707" s="1" t="n">
        <v>45051.455</v>
      </c>
      <c r="C707" s="1" t="n">
        <v>46000</v>
      </c>
      <c r="D707" t="inlineStr">
        <is>
          <t>STOCKHOLMS LÄN</t>
        </is>
      </c>
      <c r="E707" t="inlineStr">
        <is>
          <t>NORRTÄLJE</t>
        </is>
      </c>
      <c r="G707" t="n">
        <v>0.2</v>
      </c>
      <c r="H707" t="n">
        <v>0</v>
      </c>
      <c r="I707" t="n">
        <v>0</v>
      </c>
      <c r="J707" t="n">
        <v>0</v>
      </c>
      <c r="K707" t="n">
        <v>0</v>
      </c>
      <c r="L707" t="n">
        <v>0</v>
      </c>
      <c r="M707" t="n">
        <v>0</v>
      </c>
      <c r="N707" t="n">
        <v>0</v>
      </c>
      <c r="O707" t="n">
        <v>0</v>
      </c>
      <c r="P707" t="n">
        <v>0</v>
      </c>
      <c r="Q707" t="n">
        <v>0</v>
      </c>
      <c r="R707" s="2" t="inlineStr"/>
    </row>
    <row r="708" ht="15" customHeight="1">
      <c r="A708" t="inlineStr">
        <is>
          <t>A 18539-2021</t>
        </is>
      </c>
      <c r="B708" s="1" t="n">
        <v>44306</v>
      </c>
      <c r="C708" s="1" t="n">
        <v>46000</v>
      </c>
      <c r="D708" t="inlineStr">
        <is>
          <t>STOCKHOLMS LÄN</t>
        </is>
      </c>
      <c r="E708" t="inlineStr">
        <is>
          <t>NORRTÄLJE</t>
        </is>
      </c>
      <c r="F708" t="inlineStr">
        <is>
          <t>Holmen skog AB</t>
        </is>
      </c>
      <c r="G708" t="n">
        <v>5.5</v>
      </c>
      <c r="H708" t="n">
        <v>0</v>
      </c>
      <c r="I708" t="n">
        <v>0</v>
      </c>
      <c r="J708" t="n">
        <v>0</v>
      </c>
      <c r="K708" t="n">
        <v>0</v>
      </c>
      <c r="L708" t="n">
        <v>0</v>
      </c>
      <c r="M708" t="n">
        <v>0</v>
      </c>
      <c r="N708" t="n">
        <v>0</v>
      </c>
      <c r="O708" t="n">
        <v>0</v>
      </c>
      <c r="P708" t="n">
        <v>0</v>
      </c>
      <c r="Q708" t="n">
        <v>0</v>
      </c>
      <c r="R708" s="2" t="inlineStr"/>
    </row>
    <row r="709" ht="15" customHeight="1">
      <c r="A709" t="inlineStr">
        <is>
          <t>A 17612-2022</t>
        </is>
      </c>
      <c r="B709" s="1" t="n">
        <v>44680</v>
      </c>
      <c r="C709" s="1" t="n">
        <v>46000</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67921-2021</t>
        </is>
      </c>
      <c r="B710" s="1" t="n">
        <v>44525</v>
      </c>
      <c r="C710" s="1" t="n">
        <v>46000</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16835-2022</t>
        </is>
      </c>
      <c r="B711" s="1" t="n">
        <v>44673</v>
      </c>
      <c r="C711" s="1" t="n">
        <v>46000</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50563-2025</t>
        </is>
      </c>
      <c r="B712" s="1" t="n">
        <v>45944</v>
      </c>
      <c r="C712" s="1" t="n">
        <v>46000</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62765-2022</t>
        </is>
      </c>
      <c r="B713" s="1" t="n">
        <v>44637</v>
      </c>
      <c r="C713" s="1" t="n">
        <v>46000</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50333-2025</t>
        </is>
      </c>
      <c r="B714" s="1" t="n">
        <v>45944.47178240741</v>
      </c>
      <c r="C714" s="1" t="n">
        <v>46000</v>
      </c>
      <c r="D714" t="inlineStr">
        <is>
          <t>STOCKHOLMS LÄN</t>
        </is>
      </c>
      <c r="E714" t="inlineStr">
        <is>
          <t>NORRTÄLJE</t>
        </is>
      </c>
      <c r="G714" t="n">
        <v>4.2</v>
      </c>
      <c r="H714" t="n">
        <v>0</v>
      </c>
      <c r="I714" t="n">
        <v>0</v>
      </c>
      <c r="J714" t="n">
        <v>0</v>
      </c>
      <c r="K714" t="n">
        <v>0</v>
      </c>
      <c r="L714" t="n">
        <v>0</v>
      </c>
      <c r="M714" t="n">
        <v>0</v>
      </c>
      <c r="N714" t="n">
        <v>0</v>
      </c>
      <c r="O714" t="n">
        <v>0</v>
      </c>
      <c r="P714" t="n">
        <v>0</v>
      </c>
      <c r="Q714" t="n">
        <v>0</v>
      </c>
      <c r="R714" s="2" t="inlineStr"/>
    </row>
    <row r="715" ht="15" customHeight="1">
      <c r="A715" t="inlineStr">
        <is>
          <t>A 58404-2023</t>
        </is>
      </c>
      <c r="B715" s="1" t="n">
        <v>45245</v>
      </c>
      <c r="C715" s="1" t="n">
        <v>46000</v>
      </c>
      <c r="D715" t="inlineStr">
        <is>
          <t>STOCKHOLMS LÄN</t>
        </is>
      </c>
      <c r="E715" t="inlineStr">
        <is>
          <t>NORRTÄLJE</t>
        </is>
      </c>
      <c r="G715" t="n">
        <v>53.5</v>
      </c>
      <c r="H715" t="n">
        <v>0</v>
      </c>
      <c r="I715" t="n">
        <v>0</v>
      </c>
      <c r="J715" t="n">
        <v>0</v>
      </c>
      <c r="K715" t="n">
        <v>0</v>
      </c>
      <c r="L715" t="n">
        <v>0</v>
      </c>
      <c r="M715" t="n">
        <v>0</v>
      </c>
      <c r="N715" t="n">
        <v>0</v>
      </c>
      <c r="O715" t="n">
        <v>0</v>
      </c>
      <c r="P715" t="n">
        <v>0</v>
      </c>
      <c r="Q715" t="n">
        <v>0</v>
      </c>
      <c r="R715" s="2" t="inlineStr"/>
    </row>
    <row r="716" ht="15" customHeight="1">
      <c r="A716" t="inlineStr">
        <is>
          <t>A 8586-2023</t>
        </is>
      </c>
      <c r="B716" s="1" t="n">
        <v>44977</v>
      </c>
      <c r="C716" s="1" t="n">
        <v>46000</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51122-2025</t>
        </is>
      </c>
      <c r="B717" s="1" t="n">
        <v>45947.53693287037</v>
      </c>
      <c r="C717" s="1" t="n">
        <v>46000</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16202-2022</t>
        </is>
      </c>
      <c r="B718" s="1" t="n">
        <v>44670</v>
      </c>
      <c r="C718" s="1" t="n">
        <v>46000</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51233-2025</t>
        </is>
      </c>
      <c r="B719" s="1" t="n">
        <v>45947.68232638889</v>
      </c>
      <c r="C719" s="1" t="n">
        <v>46000</v>
      </c>
      <c r="D719" t="inlineStr">
        <is>
          <t>STOCKHOLMS LÄN</t>
        </is>
      </c>
      <c r="E719" t="inlineStr">
        <is>
          <t>NORRTÄLJE</t>
        </is>
      </c>
      <c r="F719" t="inlineStr">
        <is>
          <t>Naturvårdsverket</t>
        </is>
      </c>
      <c r="G719" t="n">
        <v>8.1</v>
      </c>
      <c r="H719" t="n">
        <v>0</v>
      </c>
      <c r="I719" t="n">
        <v>0</v>
      </c>
      <c r="J719" t="n">
        <v>0</v>
      </c>
      <c r="K719" t="n">
        <v>0</v>
      </c>
      <c r="L719" t="n">
        <v>0</v>
      </c>
      <c r="M719" t="n">
        <v>0</v>
      </c>
      <c r="N719" t="n">
        <v>0</v>
      </c>
      <c r="O719" t="n">
        <v>0</v>
      </c>
      <c r="P719" t="n">
        <v>0</v>
      </c>
      <c r="Q719" t="n">
        <v>0</v>
      </c>
      <c r="R719" s="2" t="inlineStr"/>
    </row>
    <row r="720" ht="15" customHeight="1">
      <c r="A720" t="inlineStr">
        <is>
          <t>A 51236-2025</t>
        </is>
      </c>
      <c r="B720" s="1" t="n">
        <v>45947.69078703703</v>
      </c>
      <c r="C720" s="1" t="n">
        <v>46000</v>
      </c>
      <c r="D720" t="inlineStr">
        <is>
          <t>STOCKHOLMS LÄN</t>
        </is>
      </c>
      <c r="E720" t="inlineStr">
        <is>
          <t>NORRTÄLJE</t>
        </is>
      </c>
      <c r="F720" t="inlineStr">
        <is>
          <t>Naturvårdsverket</t>
        </is>
      </c>
      <c r="G720" t="n">
        <v>6.3</v>
      </c>
      <c r="H720" t="n">
        <v>0</v>
      </c>
      <c r="I720" t="n">
        <v>0</v>
      </c>
      <c r="J720" t="n">
        <v>0</v>
      </c>
      <c r="K720" t="n">
        <v>0</v>
      </c>
      <c r="L720" t="n">
        <v>0</v>
      </c>
      <c r="M720" t="n">
        <v>0</v>
      </c>
      <c r="N720" t="n">
        <v>0</v>
      </c>
      <c r="O720" t="n">
        <v>0</v>
      </c>
      <c r="P720" t="n">
        <v>0</v>
      </c>
      <c r="Q720" t="n">
        <v>0</v>
      </c>
      <c r="R720" s="2" t="inlineStr"/>
    </row>
    <row r="721" ht="15" customHeight="1">
      <c r="A721" t="inlineStr">
        <is>
          <t>A 51241-2025</t>
        </is>
      </c>
      <c r="B721" s="1" t="n">
        <v>45947.71726851852</v>
      </c>
      <c r="C721" s="1" t="n">
        <v>46000</v>
      </c>
      <c r="D721" t="inlineStr">
        <is>
          <t>STOCKHOLMS LÄN</t>
        </is>
      </c>
      <c r="E721" t="inlineStr">
        <is>
          <t>NORRTÄLJE</t>
        </is>
      </c>
      <c r="F721" t="inlineStr">
        <is>
          <t>Naturvårdsverket</t>
        </is>
      </c>
      <c r="G721" t="n">
        <v>6.4</v>
      </c>
      <c r="H721" t="n">
        <v>0</v>
      </c>
      <c r="I721" t="n">
        <v>0</v>
      </c>
      <c r="J721" t="n">
        <v>0</v>
      </c>
      <c r="K721" t="n">
        <v>0</v>
      </c>
      <c r="L721" t="n">
        <v>0</v>
      </c>
      <c r="M721" t="n">
        <v>0</v>
      </c>
      <c r="N721" t="n">
        <v>0</v>
      </c>
      <c r="O721" t="n">
        <v>0</v>
      </c>
      <c r="P721" t="n">
        <v>0</v>
      </c>
      <c r="Q721" t="n">
        <v>0</v>
      </c>
      <c r="R721" s="2" t="inlineStr"/>
    </row>
    <row r="722" ht="15" customHeight="1">
      <c r="A722" t="inlineStr">
        <is>
          <t>A 55018-2024</t>
        </is>
      </c>
      <c r="B722" s="1" t="n">
        <v>45621.35712962963</v>
      </c>
      <c r="C722" s="1" t="n">
        <v>46000</v>
      </c>
      <c r="D722" t="inlineStr">
        <is>
          <t>STOCKHOLMS LÄN</t>
        </is>
      </c>
      <c r="E722" t="inlineStr">
        <is>
          <t>NORRTÄLJE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51240-2025</t>
        </is>
      </c>
      <c r="B723" s="1" t="n">
        <v>45947.70420138889</v>
      </c>
      <c r="C723" s="1" t="n">
        <v>46000</v>
      </c>
      <c r="D723" t="inlineStr">
        <is>
          <t>STOCKHOLMS LÄN</t>
        </is>
      </c>
      <c r="E723" t="inlineStr">
        <is>
          <t>NORRTÄLJE</t>
        </is>
      </c>
      <c r="F723" t="inlineStr">
        <is>
          <t>Naturvårdsverket</t>
        </is>
      </c>
      <c r="G723" t="n">
        <v>3</v>
      </c>
      <c r="H723" t="n">
        <v>0</v>
      </c>
      <c r="I723" t="n">
        <v>0</v>
      </c>
      <c r="J723" t="n">
        <v>0</v>
      </c>
      <c r="K723" t="n">
        <v>0</v>
      </c>
      <c r="L723" t="n">
        <v>0</v>
      </c>
      <c r="M723" t="n">
        <v>0</v>
      </c>
      <c r="N723" t="n">
        <v>0</v>
      </c>
      <c r="O723" t="n">
        <v>0</v>
      </c>
      <c r="P723" t="n">
        <v>0</v>
      </c>
      <c r="Q723" t="n">
        <v>0</v>
      </c>
      <c r="R723" s="2" t="inlineStr"/>
    </row>
    <row r="724" ht="15" customHeight="1">
      <c r="A724" t="inlineStr">
        <is>
          <t>A 65499-2021</t>
        </is>
      </c>
      <c r="B724" s="1" t="n">
        <v>44516</v>
      </c>
      <c r="C724" s="1" t="n">
        <v>46000</v>
      </c>
      <c r="D724" t="inlineStr">
        <is>
          <t>STOCKHOLMS LÄN</t>
        </is>
      </c>
      <c r="E724" t="inlineStr">
        <is>
          <t>NORRTÄLJE</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50136-2023</t>
        </is>
      </c>
      <c r="B725" s="1" t="n">
        <v>45215</v>
      </c>
      <c r="C725" s="1" t="n">
        <v>46000</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25656-2023</t>
        </is>
      </c>
      <c r="B726" s="1" t="n">
        <v>45089</v>
      </c>
      <c r="C726" s="1" t="n">
        <v>46000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6003-2025</t>
        </is>
      </c>
      <c r="B727" s="1" t="n">
        <v>45695.57881944445</v>
      </c>
      <c r="C727" s="1" t="n">
        <v>46000</v>
      </c>
      <c r="D727" t="inlineStr">
        <is>
          <t>STOCKHOLMS LÄN</t>
        </is>
      </c>
      <c r="E727" t="inlineStr">
        <is>
          <t>NORRTÄLJE</t>
        </is>
      </c>
      <c r="F727" t="inlineStr">
        <is>
          <t>Holmen skog AB</t>
        </is>
      </c>
      <c r="G727" t="n">
        <v>2.3</v>
      </c>
      <c r="H727" t="n">
        <v>0</v>
      </c>
      <c r="I727" t="n">
        <v>0</v>
      </c>
      <c r="J727" t="n">
        <v>0</v>
      </c>
      <c r="K727" t="n">
        <v>0</v>
      </c>
      <c r="L727" t="n">
        <v>0</v>
      </c>
      <c r="M727" t="n">
        <v>0</v>
      </c>
      <c r="N727" t="n">
        <v>0</v>
      </c>
      <c r="O727" t="n">
        <v>0</v>
      </c>
      <c r="P727" t="n">
        <v>0</v>
      </c>
      <c r="Q727" t="n">
        <v>0</v>
      </c>
      <c r="R727" s="2" t="inlineStr"/>
    </row>
    <row r="728" ht="15" customHeight="1">
      <c r="A728" t="inlineStr">
        <is>
          <t>A 11902-2024</t>
        </is>
      </c>
      <c r="B728" s="1" t="n">
        <v>45376.55704861111</v>
      </c>
      <c r="C728" s="1" t="n">
        <v>46000</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51121-2025</t>
        </is>
      </c>
      <c r="B729" s="1" t="n">
        <v>45947.53293981482</v>
      </c>
      <c r="C729" s="1" t="n">
        <v>46000</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38049-2023</t>
        </is>
      </c>
      <c r="B730" s="1" t="n">
        <v>45159</v>
      </c>
      <c r="C730" s="1" t="n">
        <v>46000</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59535-2024</t>
        </is>
      </c>
      <c r="B731" s="1" t="n">
        <v>45638.59979166667</v>
      </c>
      <c r="C731" s="1" t="n">
        <v>46000</v>
      </c>
      <c r="D731" t="inlineStr">
        <is>
          <t>STOCKHOLMS LÄN</t>
        </is>
      </c>
      <c r="E731" t="inlineStr">
        <is>
          <t>NORRTÄLJE</t>
        </is>
      </c>
      <c r="F731" t="inlineStr">
        <is>
          <t>Holmen skog AB</t>
        </is>
      </c>
      <c r="G731" t="n">
        <v>1.1</v>
      </c>
      <c r="H731" t="n">
        <v>0</v>
      </c>
      <c r="I731" t="n">
        <v>0</v>
      </c>
      <c r="J731" t="n">
        <v>0</v>
      </c>
      <c r="K731" t="n">
        <v>0</v>
      </c>
      <c r="L731" t="n">
        <v>0</v>
      </c>
      <c r="M731" t="n">
        <v>0</v>
      </c>
      <c r="N731" t="n">
        <v>0</v>
      </c>
      <c r="O731" t="n">
        <v>0</v>
      </c>
      <c r="P731" t="n">
        <v>0</v>
      </c>
      <c r="Q731" t="n">
        <v>0</v>
      </c>
      <c r="R731" s="2" t="inlineStr"/>
    </row>
    <row r="732" ht="15" customHeight="1">
      <c r="A732" t="inlineStr">
        <is>
          <t>A 59477-2025</t>
        </is>
      </c>
      <c r="B732" s="1" t="n">
        <v>45989.58679398148</v>
      </c>
      <c r="C732" s="1" t="n">
        <v>46000</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4183-2025</t>
        </is>
      </c>
      <c r="B733" s="1" t="n">
        <v>45685.44592592592</v>
      </c>
      <c r="C733" s="1" t="n">
        <v>46000</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9480-2025</t>
        </is>
      </c>
      <c r="B734" s="1" t="n">
        <v>45715</v>
      </c>
      <c r="C734" s="1" t="n">
        <v>46000</v>
      </c>
      <c r="D734" t="inlineStr">
        <is>
          <t>STOCKHOLMS LÄN</t>
        </is>
      </c>
      <c r="E734" t="inlineStr">
        <is>
          <t>NORRTÄLJE</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51532-2025</t>
        </is>
      </c>
      <c r="B735" s="1" t="n">
        <v>45950.68297453703</v>
      </c>
      <c r="C735" s="1" t="n">
        <v>46000</v>
      </c>
      <c r="D735" t="inlineStr">
        <is>
          <t>STOCKHOLMS LÄN</t>
        </is>
      </c>
      <c r="E735" t="inlineStr">
        <is>
          <t>NORRTÄLJE</t>
        </is>
      </c>
      <c r="F735" t="inlineStr">
        <is>
          <t>Naturvårdsverket</t>
        </is>
      </c>
      <c r="G735" t="n">
        <v>17.3</v>
      </c>
      <c r="H735" t="n">
        <v>0</v>
      </c>
      <c r="I735" t="n">
        <v>0</v>
      </c>
      <c r="J735" t="n">
        <v>0</v>
      </c>
      <c r="K735" t="n">
        <v>0</v>
      </c>
      <c r="L735" t="n">
        <v>0</v>
      </c>
      <c r="M735" t="n">
        <v>0</v>
      </c>
      <c r="N735" t="n">
        <v>0</v>
      </c>
      <c r="O735" t="n">
        <v>0</v>
      </c>
      <c r="P735" t="n">
        <v>0</v>
      </c>
      <c r="Q735" t="n">
        <v>0</v>
      </c>
      <c r="R735" s="2" t="inlineStr"/>
    </row>
    <row r="736" ht="15" customHeight="1">
      <c r="A736" t="inlineStr">
        <is>
          <t>A 51789-2025</t>
        </is>
      </c>
      <c r="B736" s="1" t="n">
        <v>45951.68046296296</v>
      </c>
      <c r="C736" s="1" t="n">
        <v>46000</v>
      </c>
      <c r="D736" t="inlineStr">
        <is>
          <t>STOCKHOLMS LÄN</t>
        </is>
      </c>
      <c r="E736" t="inlineStr">
        <is>
          <t>NORRTÄLJE</t>
        </is>
      </c>
      <c r="F736" t="inlineStr">
        <is>
          <t>Naturvårdsverket</t>
        </is>
      </c>
      <c r="G736" t="n">
        <v>8.9</v>
      </c>
      <c r="H736" t="n">
        <v>0</v>
      </c>
      <c r="I736" t="n">
        <v>0</v>
      </c>
      <c r="J736" t="n">
        <v>0</v>
      </c>
      <c r="K736" t="n">
        <v>0</v>
      </c>
      <c r="L736" t="n">
        <v>0</v>
      </c>
      <c r="M736" t="n">
        <v>0</v>
      </c>
      <c r="N736" t="n">
        <v>0</v>
      </c>
      <c r="O736" t="n">
        <v>0</v>
      </c>
      <c r="P736" t="n">
        <v>0</v>
      </c>
      <c r="Q736" t="n">
        <v>0</v>
      </c>
      <c r="R736" s="2" t="inlineStr"/>
    </row>
    <row r="737" ht="15" customHeight="1">
      <c r="A737" t="inlineStr">
        <is>
          <t>A 59907-2025</t>
        </is>
      </c>
      <c r="B737" s="1" t="n">
        <v>45993.35350694445</v>
      </c>
      <c r="C737" s="1" t="n">
        <v>46000</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59914-2025</t>
        </is>
      </c>
      <c r="B738" s="1" t="n">
        <v>45993.37056712963</v>
      </c>
      <c r="C738" s="1" t="n">
        <v>46000</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24522-2023</t>
        </is>
      </c>
      <c r="B739" s="1" t="n">
        <v>45082.69179398148</v>
      </c>
      <c r="C739" s="1" t="n">
        <v>46000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25625-2023</t>
        </is>
      </c>
      <c r="B740" s="1" t="n">
        <v>45089</v>
      </c>
      <c r="C740" s="1" t="n">
        <v>46000</v>
      </c>
      <c r="D740" t="inlineStr">
        <is>
          <t>STOCKHOLMS LÄN</t>
        </is>
      </c>
      <c r="E740" t="inlineStr">
        <is>
          <t>NORRTÄLJE</t>
        </is>
      </c>
      <c r="G740" t="n">
        <v>5.5</v>
      </c>
      <c r="H740" t="n">
        <v>0</v>
      </c>
      <c r="I740" t="n">
        <v>0</v>
      </c>
      <c r="J740" t="n">
        <v>0</v>
      </c>
      <c r="K740" t="n">
        <v>0</v>
      </c>
      <c r="L740" t="n">
        <v>0</v>
      </c>
      <c r="M740" t="n">
        <v>0</v>
      </c>
      <c r="N740" t="n">
        <v>0</v>
      </c>
      <c r="O740" t="n">
        <v>0</v>
      </c>
      <c r="P740" t="n">
        <v>0</v>
      </c>
      <c r="Q740" t="n">
        <v>0</v>
      </c>
      <c r="R740" s="2" t="inlineStr"/>
    </row>
    <row r="741" ht="15" customHeight="1">
      <c r="A741" t="inlineStr">
        <is>
          <t>A 37147-2023</t>
        </is>
      </c>
      <c r="B741" s="1" t="n">
        <v>45155</v>
      </c>
      <c r="C741" s="1" t="n">
        <v>46000</v>
      </c>
      <c r="D741" t="inlineStr">
        <is>
          <t>STOCKHOLMS LÄN</t>
        </is>
      </c>
      <c r="E741" t="inlineStr">
        <is>
          <t>NORRTÄLJE</t>
        </is>
      </c>
      <c r="G741" t="n">
        <v>8</v>
      </c>
      <c r="H741" t="n">
        <v>0</v>
      </c>
      <c r="I741" t="n">
        <v>0</v>
      </c>
      <c r="J741" t="n">
        <v>0</v>
      </c>
      <c r="K741" t="n">
        <v>0</v>
      </c>
      <c r="L741" t="n">
        <v>0</v>
      </c>
      <c r="M741" t="n">
        <v>0</v>
      </c>
      <c r="N741" t="n">
        <v>0</v>
      </c>
      <c r="O741" t="n">
        <v>0</v>
      </c>
      <c r="P741" t="n">
        <v>0</v>
      </c>
      <c r="Q741" t="n">
        <v>0</v>
      </c>
      <c r="R741" s="2" t="inlineStr"/>
    </row>
    <row r="742" ht="15" customHeight="1">
      <c r="A742" t="inlineStr">
        <is>
          <t>A 7186-2024</t>
        </is>
      </c>
      <c r="B742" s="1" t="n">
        <v>45344</v>
      </c>
      <c r="C742" s="1" t="n">
        <v>46000</v>
      </c>
      <c r="D742" t="inlineStr">
        <is>
          <t>STOCKHOLMS LÄN</t>
        </is>
      </c>
      <c r="E742" t="inlineStr">
        <is>
          <t>NORRTÄLJE</t>
        </is>
      </c>
      <c r="G742" t="n">
        <v>4.9</v>
      </c>
      <c r="H742" t="n">
        <v>0</v>
      </c>
      <c r="I742" t="n">
        <v>0</v>
      </c>
      <c r="J742" t="n">
        <v>0</v>
      </c>
      <c r="K742" t="n">
        <v>0</v>
      </c>
      <c r="L742" t="n">
        <v>0</v>
      </c>
      <c r="M742" t="n">
        <v>0</v>
      </c>
      <c r="N742" t="n">
        <v>0</v>
      </c>
      <c r="O742" t="n">
        <v>0</v>
      </c>
      <c r="P742" t="n">
        <v>0</v>
      </c>
      <c r="Q742" t="n">
        <v>0</v>
      </c>
      <c r="R742" s="2" t="inlineStr"/>
    </row>
    <row r="743" ht="15" customHeight="1">
      <c r="A743" t="inlineStr">
        <is>
          <t>A 59924-2025</t>
        </is>
      </c>
      <c r="B743" s="1" t="n">
        <v>45993.38928240741</v>
      </c>
      <c r="C743" s="1" t="n">
        <v>46000</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57602-2024</t>
        </is>
      </c>
      <c r="B744" s="1" t="n">
        <v>45630.52866898148</v>
      </c>
      <c r="C744" s="1" t="n">
        <v>46000</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64600-2021</t>
        </is>
      </c>
      <c r="B745" s="1" t="n">
        <v>44511.70518518519</v>
      </c>
      <c r="C745" s="1" t="n">
        <v>46000</v>
      </c>
      <c r="D745" t="inlineStr">
        <is>
          <t>STOCKHOLMS LÄN</t>
        </is>
      </c>
      <c r="E745" t="inlineStr">
        <is>
          <t>NORRTÄLJE</t>
        </is>
      </c>
      <c r="G745" t="n">
        <v>6.2</v>
      </c>
      <c r="H745" t="n">
        <v>0</v>
      </c>
      <c r="I745" t="n">
        <v>0</v>
      </c>
      <c r="J745" t="n">
        <v>0</v>
      </c>
      <c r="K745" t="n">
        <v>0</v>
      </c>
      <c r="L745" t="n">
        <v>0</v>
      </c>
      <c r="M745" t="n">
        <v>0</v>
      </c>
      <c r="N745" t="n">
        <v>0</v>
      </c>
      <c r="O745" t="n">
        <v>0</v>
      </c>
      <c r="P745" t="n">
        <v>0</v>
      </c>
      <c r="Q745" t="n">
        <v>0</v>
      </c>
      <c r="R745" s="2" t="inlineStr"/>
    </row>
    <row r="746" ht="15" customHeight="1">
      <c r="A746" t="inlineStr">
        <is>
          <t>A 50602-2021</t>
        </is>
      </c>
      <c r="B746" s="1" t="n">
        <v>44459</v>
      </c>
      <c r="C746" s="1" t="n">
        <v>46000</v>
      </c>
      <c r="D746" t="inlineStr">
        <is>
          <t>STOCKHOLMS LÄN</t>
        </is>
      </c>
      <c r="E746" t="inlineStr">
        <is>
          <t>NORRTÄLJE</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26365-2024</t>
        </is>
      </c>
      <c r="B747" s="1" t="n">
        <v>45469</v>
      </c>
      <c r="C747" s="1" t="n">
        <v>46000</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26640-2023</t>
        </is>
      </c>
      <c r="B748" s="1" t="n">
        <v>45092</v>
      </c>
      <c r="C748" s="1" t="n">
        <v>46000</v>
      </c>
      <c r="D748" t="inlineStr">
        <is>
          <t>STOCKHOLMS LÄN</t>
        </is>
      </c>
      <c r="E748" t="inlineStr">
        <is>
          <t>NORRTÄLJE</t>
        </is>
      </c>
      <c r="G748" t="n">
        <v>5.7</v>
      </c>
      <c r="H748" t="n">
        <v>0</v>
      </c>
      <c r="I748" t="n">
        <v>0</v>
      </c>
      <c r="J748" t="n">
        <v>0</v>
      </c>
      <c r="K748" t="n">
        <v>0</v>
      </c>
      <c r="L748" t="n">
        <v>0</v>
      </c>
      <c r="M748" t="n">
        <v>0</v>
      </c>
      <c r="N748" t="n">
        <v>0</v>
      </c>
      <c r="O748" t="n">
        <v>0</v>
      </c>
      <c r="P748" t="n">
        <v>0</v>
      </c>
      <c r="Q748" t="n">
        <v>0</v>
      </c>
      <c r="R748" s="2" t="inlineStr"/>
    </row>
    <row r="749" ht="15" customHeight="1">
      <c r="A749" t="inlineStr">
        <is>
          <t>A 31827-2023</t>
        </is>
      </c>
      <c r="B749" s="1" t="n">
        <v>45118</v>
      </c>
      <c r="C749" s="1" t="n">
        <v>46000</v>
      </c>
      <c r="D749" t="inlineStr">
        <is>
          <t>STOCKHOLMS LÄN</t>
        </is>
      </c>
      <c r="E749" t="inlineStr">
        <is>
          <t>NORRTÄLJE</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58993-2022</t>
        </is>
      </c>
      <c r="B750" s="1" t="n">
        <v>44903</v>
      </c>
      <c r="C750" s="1" t="n">
        <v>46000</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28900-2022</t>
        </is>
      </c>
      <c r="B751" s="1" t="n">
        <v>44749.55258101852</v>
      </c>
      <c r="C751" s="1" t="n">
        <v>46000</v>
      </c>
      <c r="D751" t="inlineStr">
        <is>
          <t>STOCKHOLMS LÄN</t>
        </is>
      </c>
      <c r="E751" t="inlineStr">
        <is>
          <t>NORRTÄLJE</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17574-2025</t>
        </is>
      </c>
      <c r="B752" s="1" t="n">
        <v>45757.65178240741</v>
      </c>
      <c r="C752" s="1" t="n">
        <v>46000</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58297-2023</t>
        </is>
      </c>
      <c r="B753" s="1" t="n">
        <v>45245</v>
      </c>
      <c r="C753" s="1" t="n">
        <v>46000</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20304-2023</t>
        </is>
      </c>
      <c r="B754" s="1" t="n">
        <v>45056</v>
      </c>
      <c r="C754" s="1" t="n">
        <v>46000</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59672-2025</t>
        </is>
      </c>
      <c r="B755" s="1" t="n">
        <v>45992.45884259259</v>
      </c>
      <c r="C755" s="1" t="n">
        <v>46000</v>
      </c>
      <c r="D755" t="inlineStr">
        <is>
          <t>STOCKHOLMS LÄN</t>
        </is>
      </c>
      <c r="E755" t="inlineStr">
        <is>
          <t>NORRTÄLJE</t>
        </is>
      </c>
      <c r="G755" t="n">
        <v>4</v>
      </c>
      <c r="H755" t="n">
        <v>0</v>
      </c>
      <c r="I755" t="n">
        <v>0</v>
      </c>
      <c r="J755" t="n">
        <v>0</v>
      </c>
      <c r="K755" t="n">
        <v>0</v>
      </c>
      <c r="L755" t="n">
        <v>0</v>
      </c>
      <c r="M755" t="n">
        <v>0</v>
      </c>
      <c r="N755" t="n">
        <v>0</v>
      </c>
      <c r="O755" t="n">
        <v>0</v>
      </c>
      <c r="P755" t="n">
        <v>0</v>
      </c>
      <c r="Q755" t="n">
        <v>0</v>
      </c>
      <c r="R755" s="2" t="inlineStr"/>
    </row>
    <row r="756" ht="15" customHeight="1">
      <c r="A756" t="inlineStr">
        <is>
          <t>A 12299-2025</t>
        </is>
      </c>
      <c r="B756" s="1" t="n">
        <v>45729.71065972222</v>
      </c>
      <c r="C756" s="1" t="n">
        <v>46000</v>
      </c>
      <c r="D756" t="inlineStr">
        <is>
          <t>STOCKHOLMS LÄN</t>
        </is>
      </c>
      <c r="E756" t="inlineStr">
        <is>
          <t>NORRTÄLJE</t>
        </is>
      </c>
      <c r="F756" t="inlineStr">
        <is>
          <t>Holmen skog AB</t>
        </is>
      </c>
      <c r="G756" t="n">
        <v>6.9</v>
      </c>
      <c r="H756" t="n">
        <v>0</v>
      </c>
      <c r="I756" t="n">
        <v>0</v>
      </c>
      <c r="J756" t="n">
        <v>0</v>
      </c>
      <c r="K756" t="n">
        <v>0</v>
      </c>
      <c r="L756" t="n">
        <v>0</v>
      </c>
      <c r="M756" t="n">
        <v>0</v>
      </c>
      <c r="N756" t="n">
        <v>0</v>
      </c>
      <c r="O756" t="n">
        <v>0</v>
      </c>
      <c r="P756" t="n">
        <v>0</v>
      </c>
      <c r="Q756" t="n">
        <v>0</v>
      </c>
      <c r="R756" s="2" t="inlineStr"/>
    </row>
    <row r="757" ht="15" customHeight="1">
      <c r="A757" t="inlineStr">
        <is>
          <t>A 22157-2023</t>
        </is>
      </c>
      <c r="B757" s="1" t="n">
        <v>45069</v>
      </c>
      <c r="C757" s="1" t="n">
        <v>46000</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c r="U757">
        <f>HYPERLINK("https://klasma.github.io/Logging_0188/knärot/A 22157-2023 karta knärot.png", "A 22157-2023")</f>
        <v/>
      </c>
      <c r="V757">
        <f>HYPERLINK("https://klasma.github.io/Logging_0188/klagomål/A 22157-2023 FSC-klagomål.docx", "A 22157-2023")</f>
        <v/>
      </c>
      <c r="W757">
        <f>HYPERLINK("https://klasma.github.io/Logging_0188/klagomålsmail/A 22157-2023 FSC-klagomål mail.docx", "A 22157-2023")</f>
        <v/>
      </c>
      <c r="X757">
        <f>HYPERLINK("https://klasma.github.io/Logging_0188/tillsyn/A 22157-2023 tillsynsbegäran.docx", "A 22157-2023")</f>
        <v/>
      </c>
      <c r="Y757">
        <f>HYPERLINK("https://klasma.github.io/Logging_0188/tillsynsmail/A 22157-2023 tillsynsbegäran mail.docx", "A 22157-2023")</f>
        <v/>
      </c>
    </row>
    <row r="758" ht="15" customHeight="1">
      <c r="A758" t="inlineStr">
        <is>
          <t>A 11929-2024</t>
        </is>
      </c>
      <c r="B758" s="1" t="n">
        <v>45376.64532407407</v>
      </c>
      <c r="C758" s="1" t="n">
        <v>46000</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51960-2025</t>
        </is>
      </c>
      <c r="B759" s="1" t="n">
        <v>45952.54755787037</v>
      </c>
      <c r="C759" s="1" t="n">
        <v>46000</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60253-2025</t>
        </is>
      </c>
      <c r="B760" s="1" t="n">
        <v>45994.59827546297</v>
      </c>
      <c r="C760" s="1" t="n">
        <v>46000</v>
      </c>
      <c r="D760" t="inlineStr">
        <is>
          <t>STOCKHOLMS LÄN</t>
        </is>
      </c>
      <c r="E760" t="inlineStr">
        <is>
          <t>NORRTÄLJE</t>
        </is>
      </c>
      <c r="F760" t="inlineStr">
        <is>
          <t>Holmen skog AB</t>
        </is>
      </c>
      <c r="G760" t="n">
        <v>3.6</v>
      </c>
      <c r="H760" t="n">
        <v>0</v>
      </c>
      <c r="I760" t="n">
        <v>0</v>
      </c>
      <c r="J760" t="n">
        <v>0</v>
      </c>
      <c r="K760" t="n">
        <v>0</v>
      </c>
      <c r="L760" t="n">
        <v>0</v>
      </c>
      <c r="M760" t="n">
        <v>0</v>
      </c>
      <c r="N760" t="n">
        <v>0</v>
      </c>
      <c r="O760" t="n">
        <v>0</v>
      </c>
      <c r="P760" t="n">
        <v>0</v>
      </c>
      <c r="Q760" t="n">
        <v>0</v>
      </c>
      <c r="R760" s="2" t="inlineStr"/>
    </row>
    <row r="761" ht="15" customHeight="1">
      <c r="A761" t="inlineStr">
        <is>
          <t>A 8296-2023</t>
        </is>
      </c>
      <c r="B761" s="1" t="n">
        <v>44974</v>
      </c>
      <c r="C761" s="1" t="n">
        <v>46000</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24575-2024</t>
        </is>
      </c>
      <c r="B762" s="1" t="n">
        <v>45460.45523148148</v>
      </c>
      <c r="C762" s="1" t="n">
        <v>46000</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64899-2023</t>
        </is>
      </c>
      <c r="B763" s="1" t="n">
        <v>45282</v>
      </c>
      <c r="C763" s="1" t="n">
        <v>46000</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51941-2025</t>
        </is>
      </c>
      <c r="B764" s="1" t="n">
        <v>45952.52261574074</v>
      </c>
      <c r="C764" s="1" t="n">
        <v>46000</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52593-2024</t>
        </is>
      </c>
      <c r="B765" s="1" t="n">
        <v>45609.70778935185</v>
      </c>
      <c r="C765" s="1" t="n">
        <v>46000</v>
      </c>
      <c r="D765" t="inlineStr">
        <is>
          <t>STOCKHOLMS LÄN</t>
        </is>
      </c>
      <c r="E765" t="inlineStr">
        <is>
          <t>NORRTÄLJE</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52617-2024</t>
        </is>
      </c>
      <c r="B766" s="1" t="n">
        <v>45609.85146990741</v>
      </c>
      <c r="C766" s="1" t="n">
        <v>46000</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60214-2025</t>
        </is>
      </c>
      <c r="B767" s="1" t="n">
        <v>45994.53761574074</v>
      </c>
      <c r="C767" s="1" t="n">
        <v>46000</v>
      </c>
      <c r="D767" t="inlineStr">
        <is>
          <t>STOCKHOLMS LÄN</t>
        </is>
      </c>
      <c r="E767" t="inlineStr">
        <is>
          <t>NORRTÄLJE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52061-2025</t>
        </is>
      </c>
      <c r="B768" s="1" t="n">
        <v>45952.63679398148</v>
      </c>
      <c r="C768" s="1" t="n">
        <v>46000</v>
      </c>
      <c r="D768" t="inlineStr">
        <is>
          <t>STOCKHOLMS LÄN</t>
        </is>
      </c>
      <c r="E768" t="inlineStr">
        <is>
          <t>NORRTÄLJE</t>
        </is>
      </c>
      <c r="G768" t="n">
        <v>9.5</v>
      </c>
      <c r="H768" t="n">
        <v>0</v>
      </c>
      <c r="I768" t="n">
        <v>0</v>
      </c>
      <c r="J768" t="n">
        <v>0</v>
      </c>
      <c r="K768" t="n">
        <v>0</v>
      </c>
      <c r="L768" t="n">
        <v>0</v>
      </c>
      <c r="M768" t="n">
        <v>0</v>
      </c>
      <c r="N768" t="n">
        <v>0</v>
      </c>
      <c r="O768" t="n">
        <v>0</v>
      </c>
      <c r="P768" t="n">
        <v>0</v>
      </c>
      <c r="Q768" t="n">
        <v>0</v>
      </c>
      <c r="R768" s="2" t="inlineStr"/>
    </row>
    <row r="769" ht="15" customHeight="1">
      <c r="A769" t="inlineStr">
        <is>
          <t>A 51945-2025</t>
        </is>
      </c>
      <c r="B769" s="1" t="n">
        <v>45952.52679398148</v>
      </c>
      <c r="C769" s="1" t="n">
        <v>46000</v>
      </c>
      <c r="D769" t="inlineStr">
        <is>
          <t>STOCKHOLMS LÄN</t>
        </is>
      </c>
      <c r="E769" t="inlineStr">
        <is>
          <t>NORRTÄLJE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22816-2021</t>
        </is>
      </c>
      <c r="B770" s="1" t="n">
        <v>44325</v>
      </c>
      <c r="C770" s="1" t="n">
        <v>46000</v>
      </c>
      <c r="D770" t="inlineStr">
        <is>
          <t>STOCKHOLMS LÄN</t>
        </is>
      </c>
      <c r="E770" t="inlineStr">
        <is>
          <t>NORRTÄLJE</t>
        </is>
      </c>
      <c r="G770" t="n">
        <v>4.5</v>
      </c>
      <c r="H770" t="n">
        <v>0</v>
      </c>
      <c r="I770" t="n">
        <v>0</v>
      </c>
      <c r="J770" t="n">
        <v>0</v>
      </c>
      <c r="K770" t="n">
        <v>0</v>
      </c>
      <c r="L770" t="n">
        <v>0</v>
      </c>
      <c r="M770" t="n">
        <v>0</v>
      </c>
      <c r="N770" t="n">
        <v>0</v>
      </c>
      <c r="O770" t="n">
        <v>0</v>
      </c>
      <c r="P770" t="n">
        <v>0</v>
      </c>
      <c r="Q770" t="n">
        <v>0</v>
      </c>
      <c r="R770" s="2" t="inlineStr"/>
    </row>
    <row r="771" ht="15" customHeight="1">
      <c r="A771" t="inlineStr">
        <is>
          <t>A 59904-2023</t>
        </is>
      </c>
      <c r="B771" s="1" t="n">
        <v>45257</v>
      </c>
      <c r="C771" s="1" t="n">
        <v>46000</v>
      </c>
      <c r="D771" t="inlineStr">
        <is>
          <t>STOCKHOLMS LÄN</t>
        </is>
      </c>
      <c r="E771" t="inlineStr">
        <is>
          <t>NORRTÄLJE</t>
        </is>
      </c>
      <c r="G771" t="n">
        <v>17.4</v>
      </c>
      <c r="H771" t="n">
        <v>0</v>
      </c>
      <c r="I771" t="n">
        <v>0</v>
      </c>
      <c r="J771" t="n">
        <v>0</v>
      </c>
      <c r="K771" t="n">
        <v>0</v>
      </c>
      <c r="L771" t="n">
        <v>0</v>
      </c>
      <c r="M771" t="n">
        <v>0</v>
      </c>
      <c r="N771" t="n">
        <v>0</v>
      </c>
      <c r="O771" t="n">
        <v>0</v>
      </c>
      <c r="P771" t="n">
        <v>0</v>
      </c>
      <c r="Q771" t="n">
        <v>0</v>
      </c>
      <c r="R771" s="2" t="inlineStr"/>
    </row>
    <row r="772" ht="15" customHeight="1">
      <c r="A772" t="inlineStr">
        <is>
          <t>A 9914-2023</t>
        </is>
      </c>
      <c r="B772" s="1" t="n">
        <v>44985</v>
      </c>
      <c r="C772" s="1" t="n">
        <v>46000</v>
      </c>
      <c r="D772" t="inlineStr">
        <is>
          <t>STOCKHOLMS LÄN</t>
        </is>
      </c>
      <c r="E772" t="inlineStr">
        <is>
          <t>NORRTÄLJE</t>
        </is>
      </c>
      <c r="G772" t="n">
        <v>4.2</v>
      </c>
      <c r="H772" t="n">
        <v>0</v>
      </c>
      <c r="I772" t="n">
        <v>0</v>
      </c>
      <c r="J772" t="n">
        <v>0</v>
      </c>
      <c r="K772" t="n">
        <v>0</v>
      </c>
      <c r="L772" t="n">
        <v>0</v>
      </c>
      <c r="M772" t="n">
        <v>0</v>
      </c>
      <c r="N772" t="n">
        <v>0</v>
      </c>
      <c r="O772" t="n">
        <v>0</v>
      </c>
      <c r="P772" t="n">
        <v>0</v>
      </c>
      <c r="Q772" t="n">
        <v>0</v>
      </c>
      <c r="R772" s="2" t="inlineStr"/>
    </row>
    <row r="773" ht="15" customHeight="1">
      <c r="A773" t="inlineStr">
        <is>
          <t>A 11062-2024</t>
        </is>
      </c>
      <c r="B773" s="1" t="n">
        <v>45370</v>
      </c>
      <c r="C773" s="1" t="n">
        <v>46000</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52251-2025</t>
        </is>
      </c>
      <c r="B774" s="1" t="n">
        <v>45953.49185185185</v>
      </c>
      <c r="C774" s="1" t="n">
        <v>46000</v>
      </c>
      <c r="D774" t="inlineStr">
        <is>
          <t>STOCKHOLMS LÄN</t>
        </is>
      </c>
      <c r="E774" t="inlineStr">
        <is>
          <t>NORRTÄLJE</t>
        </is>
      </c>
      <c r="G774" t="n">
        <v>6.2</v>
      </c>
      <c r="H774" t="n">
        <v>0</v>
      </c>
      <c r="I774" t="n">
        <v>0</v>
      </c>
      <c r="J774" t="n">
        <v>0</v>
      </c>
      <c r="K774" t="n">
        <v>0</v>
      </c>
      <c r="L774" t="n">
        <v>0</v>
      </c>
      <c r="M774" t="n">
        <v>0</v>
      </c>
      <c r="N774" t="n">
        <v>0</v>
      </c>
      <c r="O774" t="n">
        <v>0</v>
      </c>
      <c r="P774" t="n">
        <v>0</v>
      </c>
      <c r="Q774" t="n">
        <v>0</v>
      </c>
      <c r="R774" s="2" t="inlineStr"/>
    </row>
    <row r="775" ht="15" customHeight="1">
      <c r="A775" t="inlineStr">
        <is>
          <t>A 52254-2025</t>
        </is>
      </c>
      <c r="B775" s="1" t="n">
        <v>45953.49519675926</v>
      </c>
      <c r="C775" s="1" t="n">
        <v>46000</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60223-2025</t>
        </is>
      </c>
      <c r="B776" s="1" t="n">
        <v>45994.54497685185</v>
      </c>
      <c r="C776" s="1" t="n">
        <v>46000</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52773-2025</t>
        </is>
      </c>
      <c r="B777" s="1" t="n">
        <v>45957.41457175926</v>
      </c>
      <c r="C777" s="1" t="n">
        <v>46000</v>
      </c>
      <c r="D777" t="inlineStr">
        <is>
          <t>STOCKHOLMS LÄN</t>
        </is>
      </c>
      <c r="E777" t="inlineStr">
        <is>
          <t>NORRTÄLJE</t>
        </is>
      </c>
      <c r="F777" t="inlineStr">
        <is>
          <t>Sveaskog</t>
        </is>
      </c>
      <c r="G777" t="n">
        <v>10.5</v>
      </c>
      <c r="H777" t="n">
        <v>0</v>
      </c>
      <c r="I777" t="n">
        <v>0</v>
      </c>
      <c r="J777" t="n">
        <v>0</v>
      </c>
      <c r="K777" t="n">
        <v>0</v>
      </c>
      <c r="L777" t="n">
        <v>0</v>
      </c>
      <c r="M777" t="n">
        <v>0</v>
      </c>
      <c r="N777" t="n">
        <v>0</v>
      </c>
      <c r="O777" t="n">
        <v>0</v>
      </c>
      <c r="P777" t="n">
        <v>0</v>
      </c>
      <c r="Q777" t="n">
        <v>0</v>
      </c>
      <c r="R777" s="2" t="inlineStr"/>
    </row>
    <row r="778" ht="15" customHeight="1">
      <c r="A778" t="inlineStr">
        <is>
          <t>A 33569-2023</t>
        </is>
      </c>
      <c r="B778" s="1" t="n">
        <v>45131.666875</v>
      </c>
      <c r="C778" s="1" t="n">
        <v>46000</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15905-2023</t>
        </is>
      </c>
      <c r="B779" s="1" t="n">
        <v>45022</v>
      </c>
      <c r="C779" s="1" t="n">
        <v>46000</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52777-2025</t>
        </is>
      </c>
      <c r="B780" s="1" t="n">
        <v>45957.41832175926</v>
      </c>
      <c r="C780" s="1" t="n">
        <v>46000</v>
      </c>
      <c r="D780" t="inlineStr">
        <is>
          <t>STOCKHOLMS LÄN</t>
        </is>
      </c>
      <c r="E780" t="inlineStr">
        <is>
          <t>NORRTÄLJE</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53499-2025</t>
        </is>
      </c>
      <c r="B781" s="1" t="n">
        <v>45960</v>
      </c>
      <c r="C781" s="1" t="n">
        <v>46000</v>
      </c>
      <c r="D781" t="inlineStr">
        <is>
          <t>STOCKHOLMS LÄN</t>
        </is>
      </c>
      <c r="E781" t="inlineStr">
        <is>
          <t>NORRTÄLJE</t>
        </is>
      </c>
      <c r="G781" t="n">
        <v>23.8</v>
      </c>
      <c r="H781" t="n">
        <v>0</v>
      </c>
      <c r="I781" t="n">
        <v>0</v>
      </c>
      <c r="J781" t="n">
        <v>0</v>
      </c>
      <c r="K781" t="n">
        <v>0</v>
      </c>
      <c r="L781" t="n">
        <v>0</v>
      </c>
      <c r="M781" t="n">
        <v>0</v>
      </c>
      <c r="N781" t="n">
        <v>0</v>
      </c>
      <c r="O781" t="n">
        <v>0</v>
      </c>
      <c r="P781" t="n">
        <v>0</v>
      </c>
      <c r="Q781" t="n">
        <v>0</v>
      </c>
      <c r="R781" s="2" t="inlineStr"/>
    </row>
    <row r="782" ht="15" customHeight="1">
      <c r="A782" t="inlineStr">
        <is>
          <t>A 15956-2023</t>
        </is>
      </c>
      <c r="B782" s="1" t="n">
        <v>45022.61003472222</v>
      </c>
      <c r="C782" s="1" t="n">
        <v>46000</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52526-2025</t>
        </is>
      </c>
      <c r="B783" s="1" t="n">
        <v>45954.53061342592</v>
      </c>
      <c r="C783" s="1" t="n">
        <v>46000</v>
      </c>
      <c r="D783" t="inlineStr">
        <is>
          <t>STOCKHOLMS LÄN</t>
        </is>
      </c>
      <c r="E783" t="inlineStr">
        <is>
          <t>NORRTÄLJE</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53000-2025</t>
        </is>
      </c>
      <c r="B784" s="1" t="n">
        <v>45957.74357638889</v>
      </c>
      <c r="C784" s="1" t="n">
        <v>46000</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60649-2025</t>
        </is>
      </c>
      <c r="B785" s="1" t="n">
        <v>45996.4560300926</v>
      </c>
      <c r="C785" s="1" t="n">
        <v>46000</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47626-2022</t>
        </is>
      </c>
      <c r="B786" s="1" t="n">
        <v>44854</v>
      </c>
      <c r="C786" s="1" t="n">
        <v>46000</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59041-2025</t>
        </is>
      </c>
      <c r="B787" s="1" t="n">
        <v>45988</v>
      </c>
      <c r="C787" s="1" t="n">
        <v>46000</v>
      </c>
      <c r="D787" t="inlineStr">
        <is>
          <t>STOCKHOLMS LÄN</t>
        </is>
      </c>
      <c r="E787" t="inlineStr">
        <is>
          <t>NORRTÄLJE</t>
        </is>
      </c>
      <c r="G787" t="n">
        <v>6.6</v>
      </c>
      <c r="H787" t="n">
        <v>0</v>
      </c>
      <c r="I787" t="n">
        <v>0</v>
      </c>
      <c r="J787" t="n">
        <v>0</v>
      </c>
      <c r="K787" t="n">
        <v>0</v>
      </c>
      <c r="L787" t="n">
        <v>0</v>
      </c>
      <c r="M787" t="n">
        <v>0</v>
      </c>
      <c r="N787" t="n">
        <v>0</v>
      </c>
      <c r="O787" t="n">
        <v>0</v>
      </c>
      <c r="P787" t="n">
        <v>0</v>
      </c>
      <c r="Q787" t="n">
        <v>0</v>
      </c>
      <c r="R787" s="2" t="inlineStr"/>
    </row>
    <row r="788" ht="15" customHeight="1">
      <c r="A788" t="inlineStr">
        <is>
          <t>A 52703-2025</t>
        </is>
      </c>
      <c r="B788" s="1" t="n">
        <v>45956.88643518519</v>
      </c>
      <c r="C788" s="1" t="n">
        <v>46000</v>
      </c>
      <c r="D788" t="inlineStr">
        <is>
          <t>STOCKHOLMS LÄN</t>
        </is>
      </c>
      <c r="E788" t="inlineStr">
        <is>
          <t>NORRTÄLJE</t>
        </is>
      </c>
      <c r="G788" t="n">
        <v>4.7</v>
      </c>
      <c r="H788" t="n">
        <v>0</v>
      </c>
      <c r="I788" t="n">
        <v>0</v>
      </c>
      <c r="J788" t="n">
        <v>0</v>
      </c>
      <c r="K788" t="n">
        <v>0</v>
      </c>
      <c r="L788" t="n">
        <v>0</v>
      </c>
      <c r="M788" t="n">
        <v>0</v>
      </c>
      <c r="N788" t="n">
        <v>0</v>
      </c>
      <c r="O788" t="n">
        <v>0</v>
      </c>
      <c r="P788" t="n">
        <v>0</v>
      </c>
      <c r="Q788" t="n">
        <v>0</v>
      </c>
      <c r="R788" s="2" t="inlineStr"/>
    </row>
    <row r="789" ht="15" customHeight="1">
      <c r="A789" t="inlineStr">
        <is>
          <t>A 62206-2022</t>
        </is>
      </c>
      <c r="B789" s="1" t="n">
        <v>44922</v>
      </c>
      <c r="C789" s="1" t="n">
        <v>46000</v>
      </c>
      <c r="D789" t="inlineStr">
        <is>
          <t>STOCKHOLMS LÄN</t>
        </is>
      </c>
      <c r="E789" t="inlineStr">
        <is>
          <t>NORRTÄLJE</t>
        </is>
      </c>
      <c r="G789" t="n">
        <v>2.9</v>
      </c>
      <c r="H789" t="n">
        <v>0</v>
      </c>
      <c r="I789" t="n">
        <v>0</v>
      </c>
      <c r="J789" t="n">
        <v>0</v>
      </c>
      <c r="K789" t="n">
        <v>0</v>
      </c>
      <c r="L789" t="n">
        <v>0</v>
      </c>
      <c r="M789" t="n">
        <v>0</v>
      </c>
      <c r="N789" t="n">
        <v>0</v>
      </c>
      <c r="O789" t="n">
        <v>0</v>
      </c>
      <c r="P789" t="n">
        <v>0</v>
      </c>
      <c r="Q789" t="n">
        <v>0</v>
      </c>
      <c r="R789" s="2" t="inlineStr"/>
    </row>
    <row r="790" ht="15" customHeight="1">
      <c r="A790" t="inlineStr">
        <is>
          <t>A 52729-2025</t>
        </is>
      </c>
      <c r="B790" s="1" t="n">
        <v>45957.3636574074</v>
      </c>
      <c r="C790" s="1" t="n">
        <v>46000</v>
      </c>
      <c r="D790" t="inlineStr">
        <is>
          <t>STOCKHOLMS LÄN</t>
        </is>
      </c>
      <c r="E790" t="inlineStr">
        <is>
          <t>NORRTÄLJE</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60745-2025</t>
        </is>
      </c>
      <c r="B791" s="1" t="n">
        <v>45999.37753472223</v>
      </c>
      <c r="C791" s="1" t="n">
        <v>46000</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20618-2022</t>
        </is>
      </c>
      <c r="B792" s="1" t="n">
        <v>44700.50659722222</v>
      </c>
      <c r="C792" s="1" t="n">
        <v>46000</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52734-2025</t>
        </is>
      </c>
      <c r="B793" s="1" t="n">
        <v>45957.3710300926</v>
      </c>
      <c r="C793" s="1" t="n">
        <v>46000</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40192-2023</t>
        </is>
      </c>
      <c r="B794" s="1" t="n">
        <v>45169</v>
      </c>
      <c r="C794" s="1" t="n">
        <v>46000</v>
      </c>
      <c r="D794" t="inlineStr">
        <is>
          <t>STOCKHOLMS LÄN</t>
        </is>
      </c>
      <c r="E794" t="inlineStr">
        <is>
          <t>NORRTÄLJE</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11900-2022</t>
        </is>
      </c>
      <c r="B795" s="1" t="n">
        <v>44635</v>
      </c>
      <c r="C795" s="1" t="n">
        <v>46000</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10973-2025</t>
        </is>
      </c>
      <c r="B796" s="1" t="n">
        <v>45723</v>
      </c>
      <c r="C796" s="1" t="n">
        <v>46000</v>
      </c>
      <c r="D796" t="inlineStr">
        <is>
          <t>STOCKHOLMS LÄN</t>
        </is>
      </c>
      <c r="E796" t="inlineStr">
        <is>
          <t>NORRTÄLJE</t>
        </is>
      </c>
      <c r="F796" t="inlineStr">
        <is>
          <t>Övriga Aktiebolag</t>
        </is>
      </c>
      <c r="G796" t="n">
        <v>2.7</v>
      </c>
      <c r="H796" t="n">
        <v>0</v>
      </c>
      <c r="I796" t="n">
        <v>0</v>
      </c>
      <c r="J796" t="n">
        <v>0</v>
      </c>
      <c r="K796" t="n">
        <v>0</v>
      </c>
      <c r="L796" t="n">
        <v>0</v>
      </c>
      <c r="M796" t="n">
        <v>0</v>
      </c>
      <c r="N796" t="n">
        <v>0</v>
      </c>
      <c r="O796" t="n">
        <v>0</v>
      </c>
      <c r="P796" t="n">
        <v>0</v>
      </c>
      <c r="Q796" t="n">
        <v>0</v>
      </c>
      <c r="R796" s="2" t="inlineStr"/>
    </row>
    <row r="797" ht="15" customHeight="1">
      <c r="A797" t="inlineStr">
        <is>
          <t>A 52776-2025</t>
        </is>
      </c>
      <c r="B797" s="1" t="n">
        <v>45957.41724537037</v>
      </c>
      <c r="C797" s="1" t="n">
        <v>46000</v>
      </c>
      <c r="D797" t="inlineStr">
        <is>
          <t>STOCKHOLMS LÄN</t>
        </is>
      </c>
      <c r="E797" t="inlineStr">
        <is>
          <t>NORRTÄLJE</t>
        </is>
      </c>
      <c r="F797" t="inlineStr">
        <is>
          <t>Sveaskog</t>
        </is>
      </c>
      <c r="G797" t="n">
        <v>2.5</v>
      </c>
      <c r="H797" t="n">
        <v>0</v>
      </c>
      <c r="I797" t="n">
        <v>0</v>
      </c>
      <c r="J797" t="n">
        <v>0</v>
      </c>
      <c r="K797" t="n">
        <v>0</v>
      </c>
      <c r="L797" t="n">
        <v>0</v>
      </c>
      <c r="M797" t="n">
        <v>0</v>
      </c>
      <c r="N797" t="n">
        <v>0</v>
      </c>
      <c r="O797" t="n">
        <v>0</v>
      </c>
      <c r="P797" t="n">
        <v>0</v>
      </c>
      <c r="Q797" t="n">
        <v>0</v>
      </c>
      <c r="R797" s="2" t="inlineStr"/>
    </row>
    <row r="798" ht="15" customHeight="1">
      <c r="A798" t="inlineStr">
        <is>
          <t>A 27885-2022</t>
        </is>
      </c>
      <c r="B798" s="1" t="n">
        <v>44743.67418981482</v>
      </c>
      <c r="C798" s="1" t="n">
        <v>46000</v>
      </c>
      <c r="D798" t="inlineStr">
        <is>
          <t>STOCKHOLMS LÄN</t>
        </is>
      </c>
      <c r="E798" t="inlineStr">
        <is>
          <t>NORRTÄLJE</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52529-2025</t>
        </is>
      </c>
      <c r="B799" s="1" t="n">
        <v>45954.53229166667</v>
      </c>
      <c r="C799" s="1" t="n">
        <v>46000</v>
      </c>
      <c r="D799" t="inlineStr">
        <is>
          <t>STOCKHOLMS LÄN</t>
        </is>
      </c>
      <c r="E799" t="inlineStr">
        <is>
          <t>NORRTÄLJE</t>
        </is>
      </c>
      <c r="F799" t="inlineStr">
        <is>
          <t>Sveaskog</t>
        </is>
      </c>
      <c r="G799" t="n">
        <v>7.8</v>
      </c>
      <c r="H799" t="n">
        <v>0</v>
      </c>
      <c r="I799" t="n">
        <v>0</v>
      </c>
      <c r="J799" t="n">
        <v>0</v>
      </c>
      <c r="K799" t="n">
        <v>0</v>
      </c>
      <c r="L799" t="n">
        <v>0</v>
      </c>
      <c r="M799" t="n">
        <v>0</v>
      </c>
      <c r="N799" t="n">
        <v>0</v>
      </c>
      <c r="O799" t="n">
        <v>0</v>
      </c>
      <c r="P799" t="n">
        <v>0</v>
      </c>
      <c r="Q799" t="n">
        <v>0</v>
      </c>
      <c r="R799" s="2" t="inlineStr"/>
    </row>
    <row r="800" ht="15" customHeight="1">
      <c r="A800" t="inlineStr">
        <is>
          <t>A 52704-2025</t>
        </is>
      </c>
      <c r="B800" s="1" t="n">
        <v>45956.89097222222</v>
      </c>
      <c r="C800" s="1" t="n">
        <v>46000</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60928-2025</t>
        </is>
      </c>
      <c r="B801" s="1" t="n">
        <v>45999.633125</v>
      </c>
      <c r="C801" s="1" t="n">
        <v>46000</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52553-2025</t>
        </is>
      </c>
      <c r="B802" s="1" t="n">
        <v>45954.5624537037</v>
      </c>
      <c r="C802" s="1" t="n">
        <v>46000</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60948-2025</t>
        </is>
      </c>
      <c r="B803" s="1" t="n">
        <v>45999.650625</v>
      </c>
      <c r="C803" s="1" t="n">
        <v>46000</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60224-2023</t>
        </is>
      </c>
      <c r="B804" s="1" t="n">
        <v>45257</v>
      </c>
      <c r="C804" s="1" t="n">
        <v>46000</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5158-2024</t>
        </is>
      </c>
      <c r="B805" s="1" t="n">
        <v>45330.50098379629</v>
      </c>
      <c r="C805" s="1" t="n">
        <v>46000</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9130-2025</t>
        </is>
      </c>
      <c r="B806" s="1" t="n">
        <v>45713.92623842593</v>
      </c>
      <c r="C806" s="1" t="n">
        <v>46000</v>
      </c>
      <c r="D806" t="inlineStr">
        <is>
          <t>STOCKHOLMS LÄN</t>
        </is>
      </c>
      <c r="E806" t="inlineStr">
        <is>
          <t>NORRTÄLJE</t>
        </is>
      </c>
      <c r="G806" t="n">
        <v>16</v>
      </c>
      <c r="H806" t="n">
        <v>0</v>
      </c>
      <c r="I806" t="n">
        <v>0</v>
      </c>
      <c r="J806" t="n">
        <v>0</v>
      </c>
      <c r="K806" t="n">
        <v>0</v>
      </c>
      <c r="L806" t="n">
        <v>0</v>
      </c>
      <c r="M806" t="n">
        <v>0</v>
      </c>
      <c r="N806" t="n">
        <v>0</v>
      </c>
      <c r="O806" t="n">
        <v>0</v>
      </c>
      <c r="P806" t="n">
        <v>0</v>
      </c>
      <c r="Q806" t="n">
        <v>0</v>
      </c>
      <c r="R806" s="2" t="inlineStr"/>
    </row>
    <row r="807" ht="15" customHeight="1">
      <c r="A807" t="inlineStr">
        <is>
          <t>A 17551-2025</t>
        </is>
      </c>
      <c r="B807" s="1" t="n">
        <v>45757.61421296297</v>
      </c>
      <c r="C807" s="1" t="n">
        <v>46000</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55010-2024</t>
        </is>
      </c>
      <c r="B808" s="1" t="n">
        <v>45621.34425925926</v>
      </c>
      <c r="C808" s="1" t="n">
        <v>46000</v>
      </c>
      <c r="D808" t="inlineStr">
        <is>
          <t>STOCKHOLMS LÄN</t>
        </is>
      </c>
      <c r="E808" t="inlineStr">
        <is>
          <t>NORRTÄLJE</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31105-2022</t>
        </is>
      </c>
      <c r="B809" s="1" t="n">
        <v>44769.66039351852</v>
      </c>
      <c r="C809" s="1" t="n">
        <v>46000</v>
      </c>
      <c r="D809" t="inlineStr">
        <is>
          <t>STOCKHOLMS LÄN</t>
        </is>
      </c>
      <c r="E809" t="inlineStr">
        <is>
          <t>NORRTÄLJE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30620-2022</t>
        </is>
      </c>
      <c r="B810" s="1" t="n">
        <v>44763.40914351852</v>
      </c>
      <c r="C810" s="1" t="n">
        <v>46000</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50113-2024</t>
        </is>
      </c>
      <c r="B811" s="1" t="n">
        <v>45600.411875</v>
      </c>
      <c r="C811" s="1" t="n">
        <v>46000</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28365-2022</t>
        </is>
      </c>
      <c r="B812" s="1" t="n">
        <v>44747</v>
      </c>
      <c r="C812" s="1" t="n">
        <v>46000</v>
      </c>
      <c r="D812" t="inlineStr">
        <is>
          <t>STOCKHOLMS LÄN</t>
        </is>
      </c>
      <c r="E812" t="inlineStr">
        <is>
          <t>NORRTÄLJE</t>
        </is>
      </c>
      <c r="G812" t="n">
        <v>5.1</v>
      </c>
      <c r="H812" t="n">
        <v>0</v>
      </c>
      <c r="I812" t="n">
        <v>0</v>
      </c>
      <c r="J812" t="n">
        <v>0</v>
      </c>
      <c r="K812" t="n">
        <v>0</v>
      </c>
      <c r="L812" t="n">
        <v>0</v>
      </c>
      <c r="M812" t="n">
        <v>0</v>
      </c>
      <c r="N812" t="n">
        <v>0</v>
      </c>
      <c r="O812" t="n">
        <v>0</v>
      </c>
      <c r="P812" t="n">
        <v>0</v>
      </c>
      <c r="Q812" t="n">
        <v>0</v>
      </c>
      <c r="R812" s="2" t="inlineStr"/>
    </row>
    <row r="813" ht="15" customHeight="1">
      <c r="A813" t="inlineStr">
        <is>
          <t>A 42955-2022</t>
        </is>
      </c>
      <c r="B813" s="1" t="n">
        <v>44833.40876157407</v>
      </c>
      <c r="C813" s="1" t="n">
        <v>46000</v>
      </c>
      <c r="D813" t="inlineStr">
        <is>
          <t>STOCKHOLMS LÄN</t>
        </is>
      </c>
      <c r="E813" t="inlineStr">
        <is>
          <t>NORRTÄLJE</t>
        </is>
      </c>
      <c r="G813" t="n">
        <v>13.1</v>
      </c>
      <c r="H813" t="n">
        <v>0</v>
      </c>
      <c r="I813" t="n">
        <v>0</v>
      </c>
      <c r="J813" t="n">
        <v>0</v>
      </c>
      <c r="K813" t="n">
        <v>0</v>
      </c>
      <c r="L813" t="n">
        <v>0</v>
      </c>
      <c r="M813" t="n">
        <v>0</v>
      </c>
      <c r="N813" t="n">
        <v>0</v>
      </c>
      <c r="O813" t="n">
        <v>0</v>
      </c>
      <c r="P813" t="n">
        <v>0</v>
      </c>
      <c r="Q813" t="n">
        <v>0</v>
      </c>
      <c r="R813" s="2" t="inlineStr"/>
    </row>
    <row r="814" ht="15" customHeight="1">
      <c r="A814" t="inlineStr">
        <is>
          <t>A 1283-2025</t>
        </is>
      </c>
      <c r="B814" s="1" t="n">
        <v>45667.49878472222</v>
      </c>
      <c r="C814" s="1" t="n">
        <v>46000</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9703-2021</t>
        </is>
      </c>
      <c r="B815" s="1" t="n">
        <v>44252</v>
      </c>
      <c r="C815" s="1" t="n">
        <v>46000</v>
      </c>
      <c r="D815" t="inlineStr">
        <is>
          <t>STOCKHOLMS LÄN</t>
        </is>
      </c>
      <c r="E815" t="inlineStr">
        <is>
          <t>NORRTÄLJE</t>
        </is>
      </c>
      <c r="G815" t="n">
        <v>3.4</v>
      </c>
      <c r="H815" t="n">
        <v>0</v>
      </c>
      <c r="I815" t="n">
        <v>0</v>
      </c>
      <c r="J815" t="n">
        <v>0</v>
      </c>
      <c r="K815" t="n">
        <v>0</v>
      </c>
      <c r="L815" t="n">
        <v>0</v>
      </c>
      <c r="M815" t="n">
        <v>0</v>
      </c>
      <c r="N815" t="n">
        <v>0</v>
      </c>
      <c r="O815" t="n">
        <v>0</v>
      </c>
      <c r="P815" t="n">
        <v>0</v>
      </c>
      <c r="Q815" t="n">
        <v>0</v>
      </c>
      <c r="R815" s="2" t="inlineStr"/>
    </row>
    <row r="816" ht="15" customHeight="1">
      <c r="A816" t="inlineStr">
        <is>
          <t>A 13767-2025</t>
        </is>
      </c>
      <c r="B816" s="1" t="n">
        <v>45737.43347222222</v>
      </c>
      <c r="C816" s="1" t="n">
        <v>46000</v>
      </c>
      <c r="D816" t="inlineStr">
        <is>
          <t>STOCKHOLMS LÄN</t>
        </is>
      </c>
      <c r="E816" t="inlineStr">
        <is>
          <t>NORRTÄLJE</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20013-2025</t>
        </is>
      </c>
      <c r="B817" s="1" t="n">
        <v>45772.30436342592</v>
      </c>
      <c r="C817" s="1" t="n">
        <v>46000</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53362-2023</t>
        </is>
      </c>
      <c r="B818" s="1" t="n">
        <v>45223</v>
      </c>
      <c r="C818" s="1" t="n">
        <v>46000</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15422-2024</t>
        </is>
      </c>
      <c r="B819" s="1" t="n">
        <v>45401.3653125</v>
      </c>
      <c r="C819" s="1" t="n">
        <v>46000</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30508-2023</t>
        </is>
      </c>
      <c r="B820" s="1" t="n">
        <v>45111</v>
      </c>
      <c r="C820" s="1" t="n">
        <v>46000</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16008-2025</t>
        </is>
      </c>
      <c r="B821" s="1" t="n">
        <v>45749</v>
      </c>
      <c r="C821" s="1" t="n">
        <v>46000</v>
      </c>
      <c r="D821" t="inlineStr">
        <is>
          <t>STOCKHOLMS LÄN</t>
        </is>
      </c>
      <c r="E821" t="inlineStr">
        <is>
          <t>NORRTÄLJE</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21158-2022</t>
        </is>
      </c>
      <c r="B822" s="1" t="n">
        <v>44704</v>
      </c>
      <c r="C822" s="1" t="n">
        <v>46000</v>
      </c>
      <c r="D822" t="inlineStr">
        <is>
          <t>STOCKHOLMS LÄN</t>
        </is>
      </c>
      <c r="E822" t="inlineStr">
        <is>
          <t>NORRTÄLJE</t>
        </is>
      </c>
      <c r="G822" t="n">
        <v>17.8</v>
      </c>
      <c r="H822" t="n">
        <v>0</v>
      </c>
      <c r="I822" t="n">
        <v>0</v>
      </c>
      <c r="J822" t="n">
        <v>0</v>
      </c>
      <c r="K822" t="n">
        <v>0</v>
      </c>
      <c r="L822" t="n">
        <v>0</v>
      </c>
      <c r="M822" t="n">
        <v>0</v>
      </c>
      <c r="N822" t="n">
        <v>0</v>
      </c>
      <c r="O822" t="n">
        <v>0</v>
      </c>
      <c r="P822" t="n">
        <v>0</v>
      </c>
      <c r="Q822" t="n">
        <v>0</v>
      </c>
      <c r="R822" s="2" t="inlineStr"/>
    </row>
    <row r="823" ht="15" customHeight="1">
      <c r="A823" t="inlineStr">
        <is>
          <t>A 32101-2022</t>
        </is>
      </c>
      <c r="B823" s="1" t="n">
        <v>44778.69210648148</v>
      </c>
      <c r="C823" s="1" t="n">
        <v>46000</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23150-2024</t>
        </is>
      </c>
      <c r="B824" s="1" t="n">
        <v>45450.64643518518</v>
      </c>
      <c r="C824" s="1" t="n">
        <v>46000</v>
      </c>
      <c r="D824" t="inlineStr">
        <is>
          <t>STOCKHOLMS LÄN</t>
        </is>
      </c>
      <c r="E824" t="inlineStr">
        <is>
          <t>NORRTÄLJE</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24933-2023</t>
        </is>
      </c>
      <c r="B825" s="1" t="n">
        <v>45085.5309375</v>
      </c>
      <c r="C825" s="1" t="n">
        <v>46000</v>
      </c>
      <c r="D825" t="inlineStr">
        <is>
          <t>STOCKHOLMS LÄN</t>
        </is>
      </c>
      <c r="E825" t="inlineStr">
        <is>
          <t>NORRTÄLJE</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56631-2024</t>
        </is>
      </c>
      <c r="B826" s="1" t="n">
        <v>45625</v>
      </c>
      <c r="C826" s="1" t="n">
        <v>46000</v>
      </c>
      <c r="D826" t="inlineStr">
        <is>
          <t>STOCKHOLMS LÄN</t>
        </is>
      </c>
      <c r="E826" t="inlineStr">
        <is>
          <t>NORRTÄLJE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652-2025</t>
        </is>
      </c>
      <c r="B827" s="1" t="n">
        <v>45664</v>
      </c>
      <c r="C827" s="1" t="n">
        <v>46000</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5389-2025</t>
        </is>
      </c>
      <c r="B828" s="1" t="n">
        <v>45692</v>
      </c>
      <c r="C828" s="1" t="n">
        <v>46000</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13051-2021</t>
        </is>
      </c>
      <c r="B829" s="1" t="n">
        <v>44272</v>
      </c>
      <c r="C829" s="1" t="n">
        <v>46000</v>
      </c>
      <c r="D829" t="inlineStr">
        <is>
          <t>STOCKHOLMS LÄN</t>
        </is>
      </c>
      <c r="E829" t="inlineStr">
        <is>
          <t>NORRTÄLJE</t>
        </is>
      </c>
      <c r="G829" t="n">
        <v>9.1</v>
      </c>
      <c r="H829" t="n">
        <v>0</v>
      </c>
      <c r="I829" t="n">
        <v>0</v>
      </c>
      <c r="J829" t="n">
        <v>0</v>
      </c>
      <c r="K829" t="n">
        <v>0</v>
      </c>
      <c r="L829" t="n">
        <v>0</v>
      </c>
      <c r="M829" t="n">
        <v>0</v>
      </c>
      <c r="N829" t="n">
        <v>0</v>
      </c>
      <c r="O829" t="n">
        <v>0</v>
      </c>
      <c r="P829" t="n">
        <v>0</v>
      </c>
      <c r="Q829" t="n">
        <v>0</v>
      </c>
      <c r="R829" s="2" t="inlineStr"/>
    </row>
    <row r="830" ht="15" customHeight="1">
      <c r="A830" t="inlineStr">
        <is>
          <t>A 11499-2023</t>
        </is>
      </c>
      <c r="B830" s="1" t="n">
        <v>44993.66707175926</v>
      </c>
      <c r="C830" s="1" t="n">
        <v>46000</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576-2023</t>
        </is>
      </c>
      <c r="B831" s="1" t="n">
        <v>44925</v>
      </c>
      <c r="C831" s="1" t="n">
        <v>46000</v>
      </c>
      <c r="D831" t="inlineStr">
        <is>
          <t>STOCKHOLMS LÄN</t>
        </is>
      </c>
      <c r="E831" t="inlineStr">
        <is>
          <t>NORRTÄLJE</t>
        </is>
      </c>
      <c r="G831" t="n">
        <v>7.2</v>
      </c>
      <c r="H831" t="n">
        <v>0</v>
      </c>
      <c r="I831" t="n">
        <v>0</v>
      </c>
      <c r="J831" t="n">
        <v>0</v>
      </c>
      <c r="K831" t="n">
        <v>0</v>
      </c>
      <c r="L831" t="n">
        <v>0</v>
      </c>
      <c r="M831" t="n">
        <v>0</v>
      </c>
      <c r="N831" t="n">
        <v>0</v>
      </c>
      <c r="O831" t="n">
        <v>0</v>
      </c>
      <c r="P831" t="n">
        <v>0</v>
      </c>
      <c r="Q831" t="n">
        <v>0</v>
      </c>
      <c r="R831" s="2" t="inlineStr"/>
    </row>
    <row r="832" ht="15" customHeight="1">
      <c r="A832" t="inlineStr">
        <is>
          <t>A 10678-2025</t>
        </is>
      </c>
      <c r="B832" s="1" t="n">
        <v>45721.89123842592</v>
      </c>
      <c r="C832" s="1" t="n">
        <v>46000</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31936-2022</t>
        </is>
      </c>
      <c r="B833" s="1" t="n">
        <v>44777</v>
      </c>
      <c r="C833" s="1" t="n">
        <v>46000</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59873-2024</t>
        </is>
      </c>
      <c r="B834" s="1" t="n">
        <v>45640.57305555556</v>
      </c>
      <c r="C834" s="1" t="n">
        <v>46000</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35916-2024</t>
        </is>
      </c>
      <c r="B835" s="1" t="n">
        <v>45533</v>
      </c>
      <c r="C835" s="1" t="n">
        <v>46000</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10098-2022</t>
        </is>
      </c>
      <c r="B836" s="1" t="n">
        <v>44621</v>
      </c>
      <c r="C836" s="1" t="n">
        <v>46000</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63161-2023</t>
        </is>
      </c>
      <c r="B837" s="1" t="n">
        <v>45273</v>
      </c>
      <c r="C837" s="1" t="n">
        <v>46000</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7796-2025</t>
        </is>
      </c>
      <c r="B838" s="1" t="n">
        <v>45706.60130787037</v>
      </c>
      <c r="C838" s="1" t="n">
        <v>46000</v>
      </c>
      <c r="D838" t="inlineStr">
        <is>
          <t>STOCKHOLMS LÄN</t>
        </is>
      </c>
      <c r="E838" t="inlineStr">
        <is>
          <t>NORRTÄLJE</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15552-2021</t>
        </is>
      </c>
      <c r="B839" s="1" t="n">
        <v>44285</v>
      </c>
      <c r="C839" s="1" t="n">
        <v>46000</v>
      </c>
      <c r="D839" t="inlineStr">
        <is>
          <t>STOCKHOLMS LÄN</t>
        </is>
      </c>
      <c r="E839" t="inlineStr">
        <is>
          <t>NORRTÄLJE</t>
        </is>
      </c>
      <c r="G839" t="n">
        <v>10</v>
      </c>
      <c r="H839" t="n">
        <v>0</v>
      </c>
      <c r="I839" t="n">
        <v>0</v>
      </c>
      <c r="J839" t="n">
        <v>0</v>
      </c>
      <c r="K839" t="n">
        <v>0</v>
      </c>
      <c r="L839" t="n">
        <v>0</v>
      </c>
      <c r="M839" t="n">
        <v>0</v>
      </c>
      <c r="N839" t="n">
        <v>0</v>
      </c>
      <c r="O839" t="n">
        <v>0</v>
      </c>
      <c r="P839" t="n">
        <v>0</v>
      </c>
      <c r="Q839" t="n">
        <v>0</v>
      </c>
      <c r="R839" s="2" t="inlineStr"/>
    </row>
    <row r="840" ht="15" customHeight="1">
      <c r="A840" t="inlineStr">
        <is>
          <t>A 58040-2024</t>
        </is>
      </c>
      <c r="B840" s="1" t="n">
        <v>45631.73952546297</v>
      </c>
      <c r="C840" s="1" t="n">
        <v>46000</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58041-2024</t>
        </is>
      </c>
      <c r="B841" s="1" t="n">
        <v>45631.74673611111</v>
      </c>
      <c r="C841" s="1" t="n">
        <v>46000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30268-2024</t>
        </is>
      </c>
      <c r="B842" s="1" t="n">
        <v>45490.60572916667</v>
      </c>
      <c r="C842" s="1" t="n">
        <v>46000</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12407-2025</t>
        </is>
      </c>
      <c r="B843" s="1" t="n">
        <v>45730.42851851852</v>
      </c>
      <c r="C843" s="1" t="n">
        <v>46000</v>
      </c>
      <c r="D843" t="inlineStr">
        <is>
          <t>STOCKHOLMS LÄN</t>
        </is>
      </c>
      <c r="E843" t="inlineStr">
        <is>
          <t>NORRTÄLJE</t>
        </is>
      </c>
      <c r="F843" t="inlineStr">
        <is>
          <t>Holmen skog AB</t>
        </is>
      </c>
      <c r="G843" t="n">
        <v>2.6</v>
      </c>
      <c r="H843" t="n">
        <v>0</v>
      </c>
      <c r="I843" t="n">
        <v>0</v>
      </c>
      <c r="J843" t="n">
        <v>0</v>
      </c>
      <c r="K843" t="n">
        <v>0</v>
      </c>
      <c r="L843" t="n">
        <v>0</v>
      </c>
      <c r="M843" t="n">
        <v>0</v>
      </c>
      <c r="N843" t="n">
        <v>0</v>
      </c>
      <c r="O843" t="n">
        <v>0</v>
      </c>
      <c r="P843" t="n">
        <v>0</v>
      </c>
      <c r="Q843" t="n">
        <v>0</v>
      </c>
      <c r="R843" s="2" t="inlineStr"/>
    </row>
    <row r="844" ht="15" customHeight="1">
      <c r="A844" t="inlineStr">
        <is>
          <t>A 19025-2025</t>
        </is>
      </c>
      <c r="B844" s="1" t="n">
        <v>45764.6359837963</v>
      </c>
      <c r="C844" s="1" t="n">
        <v>46000</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54276-2021</t>
        </is>
      </c>
      <c r="B845" s="1" t="n">
        <v>44470</v>
      </c>
      <c r="C845" s="1" t="n">
        <v>46000</v>
      </c>
      <c r="D845" t="inlineStr">
        <is>
          <t>STOCKHOLMS LÄN</t>
        </is>
      </c>
      <c r="E845" t="inlineStr">
        <is>
          <t>NORRTÄLJE</t>
        </is>
      </c>
      <c r="G845" t="n">
        <v>7.3</v>
      </c>
      <c r="H845" t="n">
        <v>0</v>
      </c>
      <c r="I845" t="n">
        <v>0</v>
      </c>
      <c r="J845" t="n">
        <v>0</v>
      </c>
      <c r="K845" t="n">
        <v>0</v>
      </c>
      <c r="L845" t="n">
        <v>0</v>
      </c>
      <c r="M845" t="n">
        <v>0</v>
      </c>
      <c r="N845" t="n">
        <v>0</v>
      </c>
      <c r="O845" t="n">
        <v>0</v>
      </c>
      <c r="P845" t="n">
        <v>0</v>
      </c>
      <c r="Q845" t="n">
        <v>0</v>
      </c>
      <c r="R845" s="2" t="inlineStr"/>
    </row>
    <row r="846" ht="15" customHeight="1">
      <c r="A846" t="inlineStr">
        <is>
          <t>A 4316-2023</t>
        </is>
      </c>
      <c r="B846" s="1" t="n">
        <v>44953.67443287037</v>
      </c>
      <c r="C846" s="1" t="n">
        <v>46000</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41587-2023</t>
        </is>
      </c>
      <c r="B847" s="1" t="n">
        <v>45175</v>
      </c>
      <c r="C847" s="1" t="n">
        <v>46000</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17304-2024</t>
        </is>
      </c>
      <c r="B848" s="1" t="n">
        <v>45414</v>
      </c>
      <c r="C848" s="1" t="n">
        <v>46000</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11280-2023</t>
        </is>
      </c>
      <c r="B849" s="1" t="n">
        <v>44992</v>
      </c>
      <c r="C849" s="1" t="n">
        <v>46000</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26668-2024</t>
        </is>
      </c>
      <c r="B850" s="1" t="n">
        <v>45469</v>
      </c>
      <c r="C850" s="1" t="n">
        <v>46000</v>
      </c>
      <c r="D850" t="inlineStr">
        <is>
          <t>STOCKHOLMS LÄN</t>
        </is>
      </c>
      <c r="E850" t="inlineStr">
        <is>
          <t>NORRTÄLJE</t>
        </is>
      </c>
      <c r="G850" t="n">
        <v>4.8</v>
      </c>
      <c r="H850" t="n">
        <v>0</v>
      </c>
      <c r="I850" t="n">
        <v>0</v>
      </c>
      <c r="J850" t="n">
        <v>0</v>
      </c>
      <c r="K850" t="n">
        <v>0</v>
      </c>
      <c r="L850" t="n">
        <v>0</v>
      </c>
      <c r="M850" t="n">
        <v>0</v>
      </c>
      <c r="N850" t="n">
        <v>0</v>
      </c>
      <c r="O850" t="n">
        <v>0</v>
      </c>
      <c r="P850" t="n">
        <v>0</v>
      </c>
      <c r="Q850" t="n">
        <v>0</v>
      </c>
      <c r="R850" s="2" t="inlineStr"/>
    </row>
    <row r="851" ht="15" customHeight="1">
      <c r="A851" t="inlineStr">
        <is>
          <t>A 31926-2022</t>
        </is>
      </c>
      <c r="B851" s="1" t="n">
        <v>44777</v>
      </c>
      <c r="C851" s="1" t="n">
        <v>46000</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21480-2022</t>
        </is>
      </c>
      <c r="B852" s="1" t="n">
        <v>44704</v>
      </c>
      <c r="C852" s="1" t="n">
        <v>46000</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11041-2025</t>
        </is>
      </c>
      <c r="B853" s="1" t="n">
        <v>45723</v>
      </c>
      <c r="C853" s="1" t="n">
        <v>46000</v>
      </c>
      <c r="D853" t="inlineStr">
        <is>
          <t>STOCKHOLMS LÄN</t>
        </is>
      </c>
      <c r="E853" t="inlineStr">
        <is>
          <t>NORRTÄLJE</t>
        </is>
      </c>
      <c r="F853" t="inlineStr">
        <is>
          <t>Övriga Aktiebolag</t>
        </is>
      </c>
      <c r="G853" t="n">
        <v>1.8</v>
      </c>
      <c r="H853" t="n">
        <v>0</v>
      </c>
      <c r="I853" t="n">
        <v>0</v>
      </c>
      <c r="J853" t="n">
        <v>0</v>
      </c>
      <c r="K853" t="n">
        <v>0</v>
      </c>
      <c r="L853" t="n">
        <v>0</v>
      </c>
      <c r="M853" t="n">
        <v>0</v>
      </c>
      <c r="N853" t="n">
        <v>0</v>
      </c>
      <c r="O853" t="n">
        <v>0</v>
      </c>
      <c r="P853" t="n">
        <v>0</v>
      </c>
      <c r="Q853" t="n">
        <v>0</v>
      </c>
      <c r="R853" s="2" t="inlineStr"/>
    </row>
    <row r="854" ht="15" customHeight="1">
      <c r="A854" t="inlineStr">
        <is>
          <t>A 9469-2021</t>
        </is>
      </c>
      <c r="B854" s="1" t="n">
        <v>44251</v>
      </c>
      <c r="C854" s="1" t="n">
        <v>46000</v>
      </c>
      <c r="D854" t="inlineStr">
        <is>
          <t>STOCKHOLMS LÄN</t>
        </is>
      </c>
      <c r="E854" t="inlineStr">
        <is>
          <t>NORRTÄLJE</t>
        </is>
      </c>
      <c r="G854" t="n">
        <v>2.5</v>
      </c>
      <c r="H854" t="n">
        <v>0</v>
      </c>
      <c r="I854" t="n">
        <v>0</v>
      </c>
      <c r="J854" t="n">
        <v>0</v>
      </c>
      <c r="K854" t="n">
        <v>0</v>
      </c>
      <c r="L854" t="n">
        <v>0</v>
      </c>
      <c r="M854" t="n">
        <v>0</v>
      </c>
      <c r="N854" t="n">
        <v>0</v>
      </c>
      <c r="O854" t="n">
        <v>0</v>
      </c>
      <c r="P854" t="n">
        <v>0</v>
      </c>
      <c r="Q854" t="n">
        <v>0</v>
      </c>
      <c r="R854" s="2" t="inlineStr"/>
    </row>
    <row r="855" ht="15" customHeight="1">
      <c r="A855" t="inlineStr">
        <is>
          <t>A 24024-2024</t>
        </is>
      </c>
      <c r="B855" s="1" t="n">
        <v>45456</v>
      </c>
      <c r="C855" s="1" t="n">
        <v>46000</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28809-2023</t>
        </is>
      </c>
      <c r="B856" s="1" t="n">
        <v>45104</v>
      </c>
      <c r="C856" s="1" t="n">
        <v>46000</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28813-2023</t>
        </is>
      </c>
      <c r="B857" s="1" t="n">
        <v>45104</v>
      </c>
      <c r="C857" s="1" t="n">
        <v>46000</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40656-2022</t>
        </is>
      </c>
      <c r="B858" s="1" t="n">
        <v>44824.36069444445</v>
      </c>
      <c r="C858" s="1" t="n">
        <v>46000</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60694-2024</t>
        </is>
      </c>
      <c r="B859" s="1" t="n">
        <v>45644.47878472223</v>
      </c>
      <c r="C859" s="1" t="n">
        <v>46000</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19450-2025</t>
        </is>
      </c>
      <c r="B860" s="1" t="n">
        <v>45770</v>
      </c>
      <c r="C860" s="1" t="n">
        <v>46000</v>
      </c>
      <c r="D860" t="inlineStr">
        <is>
          <t>STOCKHOLMS LÄN</t>
        </is>
      </c>
      <c r="E860" t="inlineStr">
        <is>
          <t>NORRTÄLJE</t>
        </is>
      </c>
      <c r="G860" t="n">
        <v>5.3</v>
      </c>
      <c r="H860" t="n">
        <v>0</v>
      </c>
      <c r="I860" t="n">
        <v>0</v>
      </c>
      <c r="J860" t="n">
        <v>0</v>
      </c>
      <c r="K860" t="n">
        <v>0</v>
      </c>
      <c r="L860" t="n">
        <v>0</v>
      </c>
      <c r="M860" t="n">
        <v>0</v>
      </c>
      <c r="N860" t="n">
        <v>0</v>
      </c>
      <c r="O860" t="n">
        <v>0</v>
      </c>
      <c r="P860" t="n">
        <v>0</v>
      </c>
      <c r="Q860" t="n">
        <v>0</v>
      </c>
      <c r="R860" s="2" t="inlineStr"/>
    </row>
    <row r="861" ht="15" customHeight="1">
      <c r="A861" t="inlineStr">
        <is>
          <t>A 33353-2023</t>
        </is>
      </c>
      <c r="B861" s="1" t="n">
        <v>45128</v>
      </c>
      <c r="C861" s="1" t="n">
        <v>46000</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3966-2024</t>
        </is>
      </c>
      <c r="B862" s="1" t="n">
        <v>45322</v>
      </c>
      <c r="C862" s="1" t="n">
        <v>46000</v>
      </c>
      <c r="D862" t="inlineStr">
        <is>
          <t>STOCKHOLMS LÄN</t>
        </is>
      </c>
      <c r="E862" t="inlineStr">
        <is>
          <t>NORRTÄLJE</t>
        </is>
      </c>
      <c r="G862" t="n">
        <v>5.3</v>
      </c>
      <c r="H862" t="n">
        <v>0</v>
      </c>
      <c r="I862" t="n">
        <v>0</v>
      </c>
      <c r="J862" t="n">
        <v>0</v>
      </c>
      <c r="K862" t="n">
        <v>0</v>
      </c>
      <c r="L862" t="n">
        <v>0</v>
      </c>
      <c r="M862" t="n">
        <v>0</v>
      </c>
      <c r="N862" t="n">
        <v>0</v>
      </c>
      <c r="O862" t="n">
        <v>0</v>
      </c>
      <c r="P862" t="n">
        <v>0</v>
      </c>
      <c r="Q862" t="n">
        <v>0</v>
      </c>
      <c r="R862" s="2" t="inlineStr"/>
    </row>
    <row r="863" ht="15" customHeight="1">
      <c r="A863" t="inlineStr">
        <is>
          <t>A 23262-2023</t>
        </is>
      </c>
      <c r="B863" s="1" t="n">
        <v>45075.90270833333</v>
      </c>
      <c r="C863" s="1" t="n">
        <v>46000</v>
      </c>
      <c r="D863" t="inlineStr">
        <is>
          <t>STOCKHOLMS LÄN</t>
        </is>
      </c>
      <c r="E863" t="inlineStr">
        <is>
          <t>NORRTÄLJE</t>
        </is>
      </c>
      <c r="F863" t="inlineStr">
        <is>
          <t>Kommuner</t>
        </is>
      </c>
      <c r="G863" t="n">
        <v>1.9</v>
      </c>
      <c r="H863" t="n">
        <v>0</v>
      </c>
      <c r="I863" t="n">
        <v>0</v>
      </c>
      <c r="J863" t="n">
        <v>0</v>
      </c>
      <c r="K863" t="n">
        <v>0</v>
      </c>
      <c r="L863" t="n">
        <v>0</v>
      </c>
      <c r="M863" t="n">
        <v>0</v>
      </c>
      <c r="N863" t="n">
        <v>0</v>
      </c>
      <c r="O863" t="n">
        <v>0</v>
      </c>
      <c r="P863" t="n">
        <v>0</v>
      </c>
      <c r="Q863" t="n">
        <v>0</v>
      </c>
      <c r="R863" s="2" t="inlineStr"/>
    </row>
    <row r="864" ht="15" customHeight="1">
      <c r="A864" t="inlineStr">
        <is>
          <t>A 23268-2023</t>
        </is>
      </c>
      <c r="B864" s="1" t="n">
        <v>45075.91042824074</v>
      </c>
      <c r="C864" s="1" t="n">
        <v>46000</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23270-2023</t>
        </is>
      </c>
      <c r="B865" s="1" t="n">
        <v>45075.91265046296</v>
      </c>
      <c r="C865" s="1" t="n">
        <v>46000</v>
      </c>
      <c r="D865" t="inlineStr">
        <is>
          <t>STOCKHOLMS LÄN</t>
        </is>
      </c>
      <c r="E865" t="inlineStr">
        <is>
          <t>NORRTÄLJE</t>
        </is>
      </c>
      <c r="G865" t="n">
        <v>12.3</v>
      </c>
      <c r="H865" t="n">
        <v>0</v>
      </c>
      <c r="I865" t="n">
        <v>0</v>
      </c>
      <c r="J865" t="n">
        <v>0</v>
      </c>
      <c r="K865" t="n">
        <v>0</v>
      </c>
      <c r="L865" t="n">
        <v>0</v>
      </c>
      <c r="M865" t="n">
        <v>0</v>
      </c>
      <c r="N865" t="n">
        <v>0</v>
      </c>
      <c r="O865" t="n">
        <v>0</v>
      </c>
      <c r="P865" t="n">
        <v>0</v>
      </c>
      <c r="Q865" t="n">
        <v>0</v>
      </c>
      <c r="R865" s="2" t="inlineStr"/>
    </row>
    <row r="866" ht="15" customHeight="1">
      <c r="A866" t="inlineStr">
        <is>
          <t>A 23274-2023</t>
        </is>
      </c>
      <c r="B866" s="1" t="n">
        <v>45075.92153935185</v>
      </c>
      <c r="C866" s="1" t="n">
        <v>46000</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17843-2024</t>
        </is>
      </c>
      <c r="B867" s="1" t="n">
        <v>45418</v>
      </c>
      <c r="C867" s="1" t="n">
        <v>46000</v>
      </c>
      <c r="D867" t="inlineStr">
        <is>
          <t>STOCKHOLMS LÄN</t>
        </is>
      </c>
      <c r="E867" t="inlineStr">
        <is>
          <t>NORRTÄLJE</t>
        </is>
      </c>
      <c r="G867" t="n">
        <v>5.4</v>
      </c>
      <c r="H867" t="n">
        <v>0</v>
      </c>
      <c r="I867" t="n">
        <v>0</v>
      </c>
      <c r="J867" t="n">
        <v>0</v>
      </c>
      <c r="K867" t="n">
        <v>0</v>
      </c>
      <c r="L867" t="n">
        <v>0</v>
      </c>
      <c r="M867" t="n">
        <v>0</v>
      </c>
      <c r="N867" t="n">
        <v>0</v>
      </c>
      <c r="O867" t="n">
        <v>0</v>
      </c>
      <c r="P867" t="n">
        <v>0</v>
      </c>
      <c r="Q867" t="n">
        <v>0</v>
      </c>
      <c r="R867" s="2" t="inlineStr"/>
    </row>
    <row r="868" ht="15" customHeight="1">
      <c r="A868" t="inlineStr">
        <is>
          <t>A 26636-2023</t>
        </is>
      </c>
      <c r="B868" s="1" t="n">
        <v>45092</v>
      </c>
      <c r="C868" s="1" t="n">
        <v>46000</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26637-2023</t>
        </is>
      </c>
      <c r="B869" s="1" t="n">
        <v>45092</v>
      </c>
      <c r="C869" s="1" t="n">
        <v>46000</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72704-2021</t>
        </is>
      </c>
      <c r="B870" s="1" t="n">
        <v>44546</v>
      </c>
      <c r="C870" s="1" t="n">
        <v>46000</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52743-2024</t>
        </is>
      </c>
      <c r="B871" s="1" t="n">
        <v>45610.47414351852</v>
      </c>
      <c r="C871" s="1" t="n">
        <v>46000</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16852-2024</t>
        </is>
      </c>
      <c r="B872" s="1" t="n">
        <v>45411.54768518519</v>
      </c>
      <c r="C872" s="1" t="n">
        <v>46000</v>
      </c>
      <c r="D872" t="inlineStr">
        <is>
          <t>STOCKHOLMS LÄN</t>
        </is>
      </c>
      <c r="E872" t="inlineStr">
        <is>
          <t>NORRTÄLJE</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55755-2023</t>
        </is>
      </c>
      <c r="B873" s="1" t="n">
        <v>45239</v>
      </c>
      <c r="C873" s="1" t="n">
        <v>46000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17348-2024</t>
        </is>
      </c>
      <c r="B874" s="1" t="n">
        <v>45414.58650462963</v>
      </c>
      <c r="C874" s="1" t="n">
        <v>46000</v>
      </c>
      <c r="D874" t="inlineStr">
        <is>
          <t>STOCKHOLMS LÄN</t>
        </is>
      </c>
      <c r="E874" t="inlineStr">
        <is>
          <t>NORRTÄLJE</t>
        </is>
      </c>
      <c r="G874" t="n">
        <v>2.3</v>
      </c>
      <c r="H874" t="n">
        <v>0</v>
      </c>
      <c r="I874" t="n">
        <v>0</v>
      </c>
      <c r="J874" t="n">
        <v>0</v>
      </c>
      <c r="K874" t="n">
        <v>0</v>
      </c>
      <c r="L874" t="n">
        <v>0</v>
      </c>
      <c r="M874" t="n">
        <v>0</v>
      </c>
      <c r="N874" t="n">
        <v>0</v>
      </c>
      <c r="O874" t="n">
        <v>0</v>
      </c>
      <c r="P874" t="n">
        <v>0</v>
      </c>
      <c r="Q874" t="n">
        <v>0</v>
      </c>
      <c r="R874" s="2" t="inlineStr"/>
    </row>
    <row r="875" ht="15" customHeight="1">
      <c r="A875" t="inlineStr">
        <is>
          <t>A 13089-2022</t>
        </is>
      </c>
      <c r="B875" s="1" t="n">
        <v>44643</v>
      </c>
      <c r="C875" s="1" t="n">
        <v>46000</v>
      </c>
      <c r="D875" t="inlineStr">
        <is>
          <t>STOCKHOLMS LÄN</t>
        </is>
      </c>
      <c r="E875" t="inlineStr">
        <is>
          <t>NORRTÄLJE</t>
        </is>
      </c>
      <c r="G875" t="n">
        <v>4.5</v>
      </c>
      <c r="H875" t="n">
        <v>0</v>
      </c>
      <c r="I875" t="n">
        <v>0</v>
      </c>
      <c r="J875" t="n">
        <v>0</v>
      </c>
      <c r="K875" t="n">
        <v>0</v>
      </c>
      <c r="L875" t="n">
        <v>0</v>
      </c>
      <c r="M875" t="n">
        <v>0</v>
      </c>
      <c r="N875" t="n">
        <v>0</v>
      </c>
      <c r="O875" t="n">
        <v>0</v>
      </c>
      <c r="P875" t="n">
        <v>0</v>
      </c>
      <c r="Q875" t="n">
        <v>0</v>
      </c>
      <c r="R875" s="2" t="inlineStr"/>
    </row>
    <row r="876" ht="15" customHeight="1">
      <c r="A876" t="inlineStr">
        <is>
          <t>A 48145-2024</t>
        </is>
      </c>
      <c r="B876" s="1" t="n">
        <v>45589.6756712963</v>
      </c>
      <c r="C876" s="1" t="n">
        <v>46000</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23998-2024</t>
        </is>
      </c>
      <c r="B877" s="1" t="n">
        <v>45456</v>
      </c>
      <c r="C877" s="1" t="n">
        <v>46000</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15447-2023</t>
        </is>
      </c>
      <c r="B878" s="1" t="n">
        <v>45020</v>
      </c>
      <c r="C878" s="1" t="n">
        <v>46000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54358-2022</t>
        </is>
      </c>
      <c r="B879" s="1" t="n">
        <v>44882</v>
      </c>
      <c r="C879" s="1" t="n">
        <v>46000</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23263-2023</t>
        </is>
      </c>
      <c r="B880" s="1" t="n">
        <v>45075</v>
      </c>
      <c r="C880" s="1" t="n">
        <v>46000</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23264-2023</t>
        </is>
      </c>
      <c r="B881" s="1" t="n">
        <v>45075</v>
      </c>
      <c r="C881" s="1" t="n">
        <v>46000</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23267-2023</t>
        </is>
      </c>
      <c r="B882" s="1" t="n">
        <v>45075.90934027778</v>
      </c>
      <c r="C882" s="1" t="n">
        <v>46000</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23269-2023</t>
        </is>
      </c>
      <c r="B883" s="1" t="n">
        <v>45075.91148148148</v>
      </c>
      <c r="C883" s="1" t="n">
        <v>46000</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19911-2025</t>
        </is>
      </c>
      <c r="B884" s="1" t="n">
        <v>45771</v>
      </c>
      <c r="C884" s="1" t="n">
        <v>46000</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5831-2022</t>
        </is>
      </c>
      <c r="B885" s="1" t="n">
        <v>44596</v>
      </c>
      <c r="C885" s="1" t="n">
        <v>46000</v>
      </c>
      <c r="D885" t="inlineStr">
        <is>
          <t>STOCKHOLMS LÄN</t>
        </is>
      </c>
      <c r="E885" t="inlineStr">
        <is>
          <t>NORRTÄLJE</t>
        </is>
      </c>
      <c r="G885" t="n">
        <v>4.8</v>
      </c>
      <c r="H885" t="n">
        <v>0</v>
      </c>
      <c r="I885" t="n">
        <v>0</v>
      </c>
      <c r="J885" t="n">
        <v>0</v>
      </c>
      <c r="K885" t="n">
        <v>0</v>
      </c>
      <c r="L885" t="n">
        <v>0</v>
      </c>
      <c r="M885" t="n">
        <v>0</v>
      </c>
      <c r="N885" t="n">
        <v>0</v>
      </c>
      <c r="O885" t="n">
        <v>0</v>
      </c>
      <c r="P885" t="n">
        <v>0</v>
      </c>
      <c r="Q885" t="n">
        <v>0</v>
      </c>
      <c r="R885" s="2" t="inlineStr"/>
    </row>
    <row r="886" ht="15" customHeight="1">
      <c r="A886" t="inlineStr">
        <is>
          <t>A 5867-2022</t>
        </is>
      </c>
      <c r="B886" s="1" t="n">
        <v>44596.66335648148</v>
      </c>
      <c r="C886" s="1" t="n">
        <v>46000</v>
      </c>
      <c r="D886" t="inlineStr">
        <is>
          <t>STOCKHOLMS LÄN</t>
        </is>
      </c>
      <c r="E886" t="inlineStr">
        <is>
          <t>NORRTÄLJE</t>
        </is>
      </c>
      <c r="F886" t="inlineStr">
        <is>
          <t>Naturvårdsverket</t>
        </is>
      </c>
      <c r="G886" t="n">
        <v>1.6</v>
      </c>
      <c r="H886" t="n">
        <v>0</v>
      </c>
      <c r="I886" t="n">
        <v>0</v>
      </c>
      <c r="J886" t="n">
        <v>0</v>
      </c>
      <c r="K886" t="n">
        <v>0</v>
      </c>
      <c r="L886" t="n">
        <v>0</v>
      </c>
      <c r="M886" t="n">
        <v>0</v>
      </c>
      <c r="N886" t="n">
        <v>0</v>
      </c>
      <c r="O886" t="n">
        <v>0</v>
      </c>
      <c r="P886" t="n">
        <v>0</v>
      </c>
      <c r="Q886" t="n">
        <v>0</v>
      </c>
      <c r="R886" s="2" t="inlineStr"/>
    </row>
    <row r="887" ht="15" customHeight="1">
      <c r="A887" t="inlineStr">
        <is>
          <t>A 20244-2025</t>
        </is>
      </c>
      <c r="B887" s="1" t="n">
        <v>45772.71221064815</v>
      </c>
      <c r="C887" s="1" t="n">
        <v>46000</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48633-2023</t>
        </is>
      </c>
      <c r="B888" s="1" t="n">
        <v>45208.58004629629</v>
      </c>
      <c r="C888" s="1" t="n">
        <v>46000</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39669-2024</t>
        </is>
      </c>
      <c r="B889" s="1" t="n">
        <v>45552.52827546297</v>
      </c>
      <c r="C889" s="1" t="n">
        <v>46000</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43170-2023</t>
        </is>
      </c>
      <c r="B890" s="1" t="n">
        <v>45183</v>
      </c>
      <c r="C890" s="1" t="n">
        <v>46000</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9-2024</t>
        </is>
      </c>
      <c r="B891" s="1" t="n">
        <v>45293</v>
      </c>
      <c r="C891" s="1" t="n">
        <v>46000</v>
      </c>
      <c r="D891" t="inlineStr">
        <is>
          <t>STOCKHOLMS LÄN</t>
        </is>
      </c>
      <c r="E891" t="inlineStr">
        <is>
          <t>NORRTÄLJE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22832-2021</t>
        </is>
      </c>
      <c r="B892" s="1" t="n">
        <v>44325</v>
      </c>
      <c r="C892" s="1" t="n">
        <v>46000</v>
      </c>
      <c r="D892" t="inlineStr">
        <is>
          <t>STOCKHOLMS LÄN</t>
        </is>
      </c>
      <c r="E892" t="inlineStr">
        <is>
          <t>NORRTÄLJE</t>
        </is>
      </c>
      <c r="G892" t="n">
        <v>6.8</v>
      </c>
      <c r="H892" t="n">
        <v>0</v>
      </c>
      <c r="I892" t="n">
        <v>0</v>
      </c>
      <c r="J892" t="n">
        <v>0</v>
      </c>
      <c r="K892" t="n">
        <v>0</v>
      </c>
      <c r="L892" t="n">
        <v>0</v>
      </c>
      <c r="M892" t="n">
        <v>0</v>
      </c>
      <c r="N892" t="n">
        <v>0</v>
      </c>
      <c r="O892" t="n">
        <v>0</v>
      </c>
      <c r="P892" t="n">
        <v>0</v>
      </c>
      <c r="Q892" t="n">
        <v>0</v>
      </c>
      <c r="R892" s="2" t="inlineStr"/>
    </row>
    <row r="893" ht="15" customHeight="1">
      <c r="A893" t="inlineStr">
        <is>
          <t>A 16913-2025</t>
        </is>
      </c>
      <c r="B893" s="1" t="n">
        <v>45755.36583333334</v>
      </c>
      <c r="C893" s="1" t="n">
        <v>46000</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4035-2023</t>
        </is>
      </c>
      <c r="B894" s="1" t="n">
        <v>44952.57989583333</v>
      </c>
      <c r="C894" s="1" t="n">
        <v>46000</v>
      </c>
      <c r="D894" t="inlineStr">
        <is>
          <t>STOCKHOLMS LÄN</t>
        </is>
      </c>
      <c r="E894" t="inlineStr">
        <is>
          <t>NORRTÄLJE</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33793-2022</t>
        </is>
      </c>
      <c r="B895" s="1" t="n">
        <v>44790</v>
      </c>
      <c r="C895" s="1" t="n">
        <v>46000</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53600-2022</t>
        </is>
      </c>
      <c r="B896" s="1" t="n">
        <v>44879.70518518519</v>
      </c>
      <c r="C896" s="1" t="n">
        <v>46000</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7697-2025</t>
        </is>
      </c>
      <c r="B897" s="1" t="n">
        <v>45706.40086805556</v>
      </c>
      <c r="C897" s="1" t="n">
        <v>46000</v>
      </c>
      <c r="D897" t="inlineStr">
        <is>
          <t>STOCKHOLMS LÄN</t>
        </is>
      </c>
      <c r="E897" t="inlineStr">
        <is>
          <t>NORRTÄLJE</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30221-2024</t>
        </is>
      </c>
      <c r="B898" s="1" t="n">
        <v>45490.45342592592</v>
      </c>
      <c r="C898" s="1" t="n">
        <v>46000</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13-2024</t>
        </is>
      </c>
      <c r="B899" s="1" t="n">
        <v>45293.37263888889</v>
      </c>
      <c r="C899" s="1" t="n">
        <v>46000</v>
      </c>
      <c r="D899" t="inlineStr">
        <is>
          <t>STOCKHOLMS LÄN</t>
        </is>
      </c>
      <c r="E899" t="inlineStr">
        <is>
          <t>NORRTÄLJE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19-2024</t>
        </is>
      </c>
      <c r="B900" s="1" t="n">
        <v>45293</v>
      </c>
      <c r="C900" s="1" t="n">
        <v>46000</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31559-2022</t>
        </is>
      </c>
      <c r="B901" s="1" t="n">
        <v>44775</v>
      </c>
      <c r="C901" s="1" t="n">
        <v>46000</v>
      </c>
      <c r="D901" t="inlineStr">
        <is>
          <t>STOCKHOLMS LÄN</t>
        </is>
      </c>
      <c r="E901" t="inlineStr">
        <is>
          <t>NORRTÄLJE</t>
        </is>
      </c>
      <c r="G901" t="n">
        <v>5.6</v>
      </c>
      <c r="H901" t="n">
        <v>0</v>
      </c>
      <c r="I901" t="n">
        <v>0</v>
      </c>
      <c r="J901" t="n">
        <v>0</v>
      </c>
      <c r="K901" t="n">
        <v>0</v>
      </c>
      <c r="L901" t="n">
        <v>0</v>
      </c>
      <c r="M901" t="n">
        <v>0</v>
      </c>
      <c r="N901" t="n">
        <v>0</v>
      </c>
      <c r="O901" t="n">
        <v>0</v>
      </c>
      <c r="P901" t="n">
        <v>0</v>
      </c>
      <c r="Q901" t="n">
        <v>0</v>
      </c>
      <c r="R901" s="2" t="inlineStr"/>
    </row>
    <row r="902" ht="15" customHeight="1">
      <c r="A902" t="inlineStr">
        <is>
          <t>A 8419-2025</t>
        </is>
      </c>
      <c r="B902" s="1" t="n">
        <v>45709.40231481481</v>
      </c>
      <c r="C902" s="1" t="n">
        <v>46000</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66662-2020</t>
        </is>
      </c>
      <c r="B903" s="1" t="n">
        <v>44179</v>
      </c>
      <c r="C903" s="1" t="n">
        <v>46000</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46000</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58989-2021</t>
        </is>
      </c>
      <c r="B905" s="1" t="n">
        <v>44490.02482638889</v>
      </c>
      <c r="C905" s="1" t="n">
        <v>46000</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46988-2024</t>
        </is>
      </c>
      <c r="B906" s="1" t="n">
        <v>45586</v>
      </c>
      <c r="C906" s="1" t="n">
        <v>46000</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21529-2021</t>
        </is>
      </c>
      <c r="B907" s="1" t="n">
        <v>44321</v>
      </c>
      <c r="C907" s="1" t="n">
        <v>46000</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13701-2022</t>
        </is>
      </c>
      <c r="B908" s="1" t="n">
        <v>44648</v>
      </c>
      <c r="C908" s="1" t="n">
        <v>46000</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14132-2025</t>
        </is>
      </c>
      <c r="B909" s="1" t="n">
        <v>45740.47550925926</v>
      </c>
      <c r="C909" s="1" t="n">
        <v>46000</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14133-2025</t>
        </is>
      </c>
      <c r="B910" s="1" t="n">
        <v>45740.47724537037</v>
      </c>
      <c r="C910" s="1" t="n">
        <v>46000</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8792-2025</t>
        </is>
      </c>
      <c r="B911" s="1" t="n">
        <v>45712</v>
      </c>
      <c r="C911" s="1" t="n">
        <v>46000</v>
      </c>
      <c r="D911" t="inlineStr">
        <is>
          <t>STOCKHOLMS LÄN</t>
        </is>
      </c>
      <c r="E911" t="inlineStr">
        <is>
          <t>NORRTÄLJE</t>
        </is>
      </c>
      <c r="F911" t="inlineStr">
        <is>
          <t>Övriga Aktiebolag</t>
        </is>
      </c>
      <c r="G911" t="n">
        <v>6.6</v>
      </c>
      <c r="H911" t="n">
        <v>0</v>
      </c>
      <c r="I911" t="n">
        <v>0</v>
      </c>
      <c r="J911" t="n">
        <v>0</v>
      </c>
      <c r="K911" t="n">
        <v>0</v>
      </c>
      <c r="L911" t="n">
        <v>0</v>
      </c>
      <c r="M911" t="n">
        <v>0</v>
      </c>
      <c r="N911" t="n">
        <v>0</v>
      </c>
      <c r="O911" t="n">
        <v>0</v>
      </c>
      <c r="P911" t="n">
        <v>0</v>
      </c>
      <c r="Q911" t="n">
        <v>0</v>
      </c>
      <c r="R911" s="2" t="inlineStr"/>
    </row>
    <row r="912" ht="15" customHeight="1">
      <c r="A912" t="inlineStr">
        <is>
          <t>A 24887-2023</t>
        </is>
      </c>
      <c r="B912" s="1" t="n">
        <v>45085</v>
      </c>
      <c r="C912" s="1" t="n">
        <v>46000</v>
      </c>
      <c r="D912" t="inlineStr">
        <is>
          <t>STOCKHOLMS LÄN</t>
        </is>
      </c>
      <c r="E912" t="inlineStr">
        <is>
          <t>NORRTÄLJE</t>
        </is>
      </c>
      <c r="G912" t="n">
        <v>13.9</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46000</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4326-2023</t>
        </is>
      </c>
      <c r="B914" s="1" t="n">
        <v>44953.70481481482</v>
      </c>
      <c r="C914" s="1" t="n">
        <v>46000</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54504-2024</t>
        </is>
      </c>
      <c r="B915" s="1" t="n">
        <v>45617.58453703704</v>
      </c>
      <c r="C915" s="1" t="n">
        <v>46000</v>
      </c>
      <c r="D915" t="inlineStr">
        <is>
          <t>STOCKHOLMS LÄN</t>
        </is>
      </c>
      <c r="E915" t="inlineStr">
        <is>
          <t>NORRTÄLJE</t>
        </is>
      </c>
      <c r="G915" t="n">
        <v>3.4</v>
      </c>
      <c r="H915" t="n">
        <v>0</v>
      </c>
      <c r="I915" t="n">
        <v>0</v>
      </c>
      <c r="J915" t="n">
        <v>0</v>
      </c>
      <c r="K915" t="n">
        <v>0</v>
      </c>
      <c r="L915" t="n">
        <v>0</v>
      </c>
      <c r="M915" t="n">
        <v>0</v>
      </c>
      <c r="N915" t="n">
        <v>0</v>
      </c>
      <c r="O915" t="n">
        <v>0</v>
      </c>
      <c r="P915" t="n">
        <v>0</v>
      </c>
      <c r="Q915" t="n">
        <v>0</v>
      </c>
      <c r="R915" s="2" t="inlineStr"/>
    </row>
    <row r="916" ht="15" customHeight="1">
      <c r="A916" t="inlineStr">
        <is>
          <t>A 21745-2023</t>
        </is>
      </c>
      <c r="B916" s="1" t="n">
        <v>45065.55917824074</v>
      </c>
      <c r="C916" s="1" t="n">
        <v>46000</v>
      </c>
      <c r="D916" t="inlineStr">
        <is>
          <t>STOCKHOLMS LÄN</t>
        </is>
      </c>
      <c r="E916" t="inlineStr">
        <is>
          <t>NORRTÄLJE</t>
        </is>
      </c>
      <c r="F916" t="inlineStr">
        <is>
          <t>Holmen skog AB</t>
        </is>
      </c>
      <c r="G916" t="n">
        <v>0.7</v>
      </c>
      <c r="H916" t="n">
        <v>0</v>
      </c>
      <c r="I916" t="n">
        <v>0</v>
      </c>
      <c r="J916" t="n">
        <v>0</v>
      </c>
      <c r="K916" t="n">
        <v>0</v>
      </c>
      <c r="L916" t="n">
        <v>0</v>
      </c>
      <c r="M916" t="n">
        <v>0</v>
      </c>
      <c r="N916" t="n">
        <v>0</v>
      </c>
      <c r="O916" t="n">
        <v>0</v>
      </c>
      <c r="P916" t="n">
        <v>0</v>
      </c>
      <c r="Q916" t="n">
        <v>0</v>
      </c>
      <c r="R916" s="2" t="inlineStr"/>
    </row>
    <row r="917" ht="15" customHeight="1">
      <c r="A917" t="inlineStr">
        <is>
          <t>A 21894-2023</t>
        </is>
      </c>
      <c r="B917" s="1" t="n">
        <v>45068.51783564815</v>
      </c>
      <c r="C917" s="1" t="n">
        <v>46000</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13276-2022</t>
        </is>
      </c>
      <c r="B918" s="1" t="n">
        <v>44644</v>
      </c>
      <c r="C918" s="1" t="n">
        <v>46000</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28182-2022</t>
        </is>
      </c>
      <c r="B919" s="1" t="n">
        <v>44746.58530092592</v>
      </c>
      <c r="C919" s="1" t="n">
        <v>46000</v>
      </c>
      <c r="D919" t="inlineStr">
        <is>
          <t>STOCKHOLMS LÄN</t>
        </is>
      </c>
      <c r="E919" t="inlineStr">
        <is>
          <t>NORRTÄLJE</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34461-2023</t>
        </is>
      </c>
      <c r="B920" s="1" t="n">
        <v>45139</v>
      </c>
      <c r="C920" s="1" t="n">
        <v>46000</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51046-2023</t>
        </is>
      </c>
      <c r="B921" s="1" t="n">
        <v>45218</v>
      </c>
      <c r="C921" s="1" t="n">
        <v>46000</v>
      </c>
      <c r="D921" t="inlineStr">
        <is>
          <t>STOCKHOLMS LÄN</t>
        </is>
      </c>
      <c r="E921" t="inlineStr">
        <is>
          <t>NORRTÄLJE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17382-2024</t>
        </is>
      </c>
      <c r="B922" s="1" t="n">
        <v>45414.65855324074</v>
      </c>
      <c r="C922" s="1" t="n">
        <v>46000</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6070-2022</t>
        </is>
      </c>
      <c r="B923" s="1" t="n">
        <v>44599.58428240741</v>
      </c>
      <c r="C923" s="1" t="n">
        <v>46000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17039-2024</t>
        </is>
      </c>
      <c r="B924" s="1" t="n">
        <v>45412.4104050926</v>
      </c>
      <c r="C924" s="1" t="n">
        <v>46000</v>
      </c>
      <c r="D924" t="inlineStr">
        <is>
          <t>STOCKHOLMS LÄN</t>
        </is>
      </c>
      <c r="E924" t="inlineStr">
        <is>
          <t>NORRTÄLJE</t>
        </is>
      </c>
      <c r="G924" t="n">
        <v>5.9</v>
      </c>
      <c r="H924" t="n">
        <v>0</v>
      </c>
      <c r="I924" t="n">
        <v>0</v>
      </c>
      <c r="J924" t="n">
        <v>0</v>
      </c>
      <c r="K924" t="n">
        <v>0</v>
      </c>
      <c r="L924" t="n">
        <v>0</v>
      </c>
      <c r="M924" t="n">
        <v>0</v>
      </c>
      <c r="N924" t="n">
        <v>0</v>
      </c>
      <c r="O924" t="n">
        <v>0</v>
      </c>
      <c r="P924" t="n">
        <v>0</v>
      </c>
      <c r="Q924" t="n">
        <v>0</v>
      </c>
      <c r="R924" s="2" t="inlineStr"/>
    </row>
    <row r="925" ht="15" customHeight="1">
      <c r="A925" t="inlineStr">
        <is>
          <t>A 48180-2023</t>
        </is>
      </c>
      <c r="B925" s="1" t="n">
        <v>45205</v>
      </c>
      <c r="C925" s="1" t="n">
        <v>46000</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35695-2023</t>
        </is>
      </c>
      <c r="B926" s="1" t="n">
        <v>45147.65407407407</v>
      </c>
      <c r="C926" s="1" t="n">
        <v>46000</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45173-2023</t>
        </is>
      </c>
      <c r="B927" s="1" t="n">
        <v>45191</v>
      </c>
      <c r="C927" s="1" t="n">
        <v>46000</v>
      </c>
      <c r="D927" t="inlineStr">
        <is>
          <t>STOCKHOLMS LÄN</t>
        </is>
      </c>
      <c r="E927" t="inlineStr">
        <is>
          <t>NORRTÄLJE</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24705-2023</t>
        </is>
      </c>
      <c r="B928" s="1" t="n">
        <v>45084.54459490741</v>
      </c>
      <c r="C928" s="1" t="n">
        <v>46000</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21696-2024</t>
        </is>
      </c>
      <c r="B929" s="1" t="n">
        <v>45442.45686342593</v>
      </c>
      <c r="C929" s="1" t="n">
        <v>46000</v>
      </c>
      <c r="D929" t="inlineStr">
        <is>
          <t>STOCKHOLMS LÄN</t>
        </is>
      </c>
      <c r="E929" t="inlineStr">
        <is>
          <t>NORRTÄLJE</t>
        </is>
      </c>
      <c r="G929" t="n">
        <v>2.9</v>
      </c>
      <c r="H929" t="n">
        <v>0</v>
      </c>
      <c r="I929" t="n">
        <v>0</v>
      </c>
      <c r="J929" t="n">
        <v>0</v>
      </c>
      <c r="K929" t="n">
        <v>0</v>
      </c>
      <c r="L929" t="n">
        <v>0</v>
      </c>
      <c r="M929" t="n">
        <v>0</v>
      </c>
      <c r="N929" t="n">
        <v>0</v>
      </c>
      <c r="O929" t="n">
        <v>0</v>
      </c>
      <c r="P929" t="n">
        <v>0</v>
      </c>
      <c r="Q929" t="n">
        <v>0</v>
      </c>
      <c r="R929" s="2" t="inlineStr"/>
    </row>
    <row r="930" ht="15" customHeight="1">
      <c r="A930" t="inlineStr">
        <is>
          <t>A 67990-2021</t>
        </is>
      </c>
      <c r="B930" s="1" t="n">
        <v>44525</v>
      </c>
      <c r="C930" s="1" t="n">
        <v>46000</v>
      </c>
      <c r="D930" t="inlineStr">
        <is>
          <t>STOCKHOLMS LÄN</t>
        </is>
      </c>
      <c r="E930" t="inlineStr">
        <is>
          <t>NORRTÄLJE</t>
        </is>
      </c>
      <c r="F930" t="inlineStr">
        <is>
          <t>Sveaskog</t>
        </is>
      </c>
      <c r="G930" t="n">
        <v>7.8</v>
      </c>
      <c r="H930" t="n">
        <v>0</v>
      </c>
      <c r="I930" t="n">
        <v>0</v>
      </c>
      <c r="J930" t="n">
        <v>0</v>
      </c>
      <c r="K930" t="n">
        <v>0</v>
      </c>
      <c r="L930" t="n">
        <v>0</v>
      </c>
      <c r="M930" t="n">
        <v>0</v>
      </c>
      <c r="N930" t="n">
        <v>0</v>
      </c>
      <c r="O930" t="n">
        <v>0</v>
      </c>
      <c r="P930" t="n">
        <v>0</v>
      </c>
      <c r="Q930" t="n">
        <v>0</v>
      </c>
      <c r="R930" s="2" t="inlineStr"/>
    </row>
    <row r="931" ht="15" customHeight="1">
      <c r="A931" t="inlineStr">
        <is>
          <t>A 71552-2021</t>
        </is>
      </c>
      <c r="B931" s="1" t="n">
        <v>44540</v>
      </c>
      <c r="C931" s="1" t="n">
        <v>46000</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73992-2021</t>
        </is>
      </c>
      <c r="B932" s="1" t="n">
        <v>44556</v>
      </c>
      <c r="C932" s="1" t="n">
        <v>46000</v>
      </c>
      <c r="D932" t="inlineStr">
        <is>
          <t>STOCKHOLMS LÄN</t>
        </is>
      </c>
      <c r="E932" t="inlineStr">
        <is>
          <t>NORRTÄLJE</t>
        </is>
      </c>
      <c r="G932" t="n">
        <v>12.5</v>
      </c>
      <c r="H932" t="n">
        <v>0</v>
      </c>
      <c r="I932" t="n">
        <v>0</v>
      </c>
      <c r="J932" t="n">
        <v>0</v>
      </c>
      <c r="K932" t="n">
        <v>0</v>
      </c>
      <c r="L932" t="n">
        <v>0</v>
      </c>
      <c r="M932" t="n">
        <v>0</v>
      </c>
      <c r="N932" t="n">
        <v>0</v>
      </c>
      <c r="O932" t="n">
        <v>0</v>
      </c>
      <c r="P932" t="n">
        <v>0</v>
      </c>
      <c r="Q932" t="n">
        <v>0</v>
      </c>
      <c r="R932" s="2" t="inlineStr"/>
    </row>
    <row r="933" ht="15" customHeight="1">
      <c r="A933" t="inlineStr">
        <is>
          <t>A 26113-2024</t>
        </is>
      </c>
      <c r="B933" s="1" t="n">
        <v>45468.45541666666</v>
      </c>
      <c r="C933" s="1" t="n">
        <v>46000</v>
      </c>
      <c r="D933" t="inlineStr">
        <is>
          <t>STOCKHOLMS LÄN</t>
        </is>
      </c>
      <c r="E933" t="inlineStr">
        <is>
          <t>NORRTÄLJE</t>
        </is>
      </c>
      <c r="G933" t="n">
        <v>0.4</v>
      </c>
      <c r="H933" t="n">
        <v>0</v>
      </c>
      <c r="I933" t="n">
        <v>0</v>
      </c>
      <c r="J933" t="n">
        <v>0</v>
      </c>
      <c r="K933" t="n">
        <v>0</v>
      </c>
      <c r="L933" t="n">
        <v>0</v>
      </c>
      <c r="M933" t="n">
        <v>0</v>
      </c>
      <c r="N933" t="n">
        <v>0</v>
      </c>
      <c r="O933" t="n">
        <v>0</v>
      </c>
      <c r="P933" t="n">
        <v>0</v>
      </c>
      <c r="Q933" t="n">
        <v>0</v>
      </c>
      <c r="R933" s="2" t="inlineStr"/>
    </row>
    <row r="934" ht="15" customHeight="1">
      <c r="A934" t="inlineStr">
        <is>
          <t>A 26116-2024</t>
        </is>
      </c>
      <c r="B934" s="1" t="n">
        <v>45468.45747685185</v>
      </c>
      <c r="C934" s="1" t="n">
        <v>46000</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15978-2024</t>
        </is>
      </c>
      <c r="B935" s="1" t="n">
        <v>45405.57927083333</v>
      </c>
      <c r="C935" s="1" t="n">
        <v>46000</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11333-2025</t>
        </is>
      </c>
      <c r="B936" s="1" t="n">
        <v>45726.48377314815</v>
      </c>
      <c r="C936" s="1" t="n">
        <v>46000</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34391-2023</t>
        </is>
      </c>
      <c r="B937" s="1" t="n">
        <v>45139.51457175926</v>
      </c>
      <c r="C937" s="1" t="n">
        <v>46000</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67921-2021</t>
        </is>
      </c>
      <c r="B938" s="1" t="n">
        <v>44525</v>
      </c>
      <c r="C938" s="1" t="n">
        <v>46000</v>
      </c>
      <c r="D938" t="inlineStr">
        <is>
          <t>STOCKHOLMS LÄN</t>
        </is>
      </c>
      <c r="E938" t="inlineStr">
        <is>
          <t>NORRTÄLJE</t>
        </is>
      </c>
      <c r="G938" t="n">
        <v>6.3</v>
      </c>
      <c r="H938" t="n">
        <v>0</v>
      </c>
      <c r="I938" t="n">
        <v>0</v>
      </c>
      <c r="J938" t="n">
        <v>0</v>
      </c>
      <c r="K938" t="n">
        <v>0</v>
      </c>
      <c r="L938" t="n">
        <v>0</v>
      </c>
      <c r="M938" t="n">
        <v>0</v>
      </c>
      <c r="N938" t="n">
        <v>0</v>
      </c>
      <c r="O938" t="n">
        <v>0</v>
      </c>
      <c r="P938" t="n">
        <v>0</v>
      </c>
      <c r="Q938" t="n">
        <v>0</v>
      </c>
      <c r="R938" s="2" t="inlineStr"/>
    </row>
    <row r="939" ht="15" customHeight="1">
      <c r="A939" t="inlineStr">
        <is>
          <t>A 25681-2024</t>
        </is>
      </c>
      <c r="B939" s="1" t="n">
        <v>45463.80486111111</v>
      </c>
      <c r="C939" s="1" t="n">
        <v>46000</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58853-2024</t>
        </is>
      </c>
      <c r="B940" s="1" t="n">
        <v>45636.38974537037</v>
      </c>
      <c r="C940" s="1" t="n">
        <v>46000</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35438-2023</t>
        </is>
      </c>
      <c r="B941" s="1" t="n">
        <v>45146</v>
      </c>
      <c r="C941" s="1" t="n">
        <v>46000</v>
      </c>
      <c r="D941" t="inlineStr">
        <is>
          <t>STOCKHOLMS LÄN</t>
        </is>
      </c>
      <c r="E941" t="inlineStr">
        <is>
          <t>NORRTÄLJE</t>
        </is>
      </c>
      <c r="F941" t="inlineStr">
        <is>
          <t>Kommuner</t>
        </is>
      </c>
      <c r="G941" t="n">
        <v>1.9</v>
      </c>
      <c r="H941" t="n">
        <v>0</v>
      </c>
      <c r="I941" t="n">
        <v>0</v>
      </c>
      <c r="J941" t="n">
        <v>0</v>
      </c>
      <c r="K941" t="n">
        <v>0</v>
      </c>
      <c r="L941" t="n">
        <v>0</v>
      </c>
      <c r="M941" t="n">
        <v>0</v>
      </c>
      <c r="N941" t="n">
        <v>0</v>
      </c>
      <c r="O941" t="n">
        <v>0</v>
      </c>
      <c r="P941" t="n">
        <v>0</v>
      </c>
      <c r="Q941" t="n">
        <v>0</v>
      </c>
      <c r="R941" s="2" t="inlineStr"/>
    </row>
    <row r="942" ht="15" customHeight="1">
      <c r="A942" t="inlineStr">
        <is>
          <t>A 20291-2022</t>
        </is>
      </c>
      <c r="B942" s="1" t="n">
        <v>44698</v>
      </c>
      <c r="C942" s="1" t="n">
        <v>46000</v>
      </c>
      <c r="D942" t="inlineStr">
        <is>
          <t>STOCKHOLMS LÄN</t>
        </is>
      </c>
      <c r="E942" t="inlineStr">
        <is>
          <t>NORRTÄLJE</t>
        </is>
      </c>
      <c r="F942" t="inlineStr">
        <is>
          <t>Naturvårdsverket</t>
        </is>
      </c>
      <c r="G942" t="n">
        <v>2</v>
      </c>
      <c r="H942" t="n">
        <v>0</v>
      </c>
      <c r="I942" t="n">
        <v>0</v>
      </c>
      <c r="J942" t="n">
        <v>0</v>
      </c>
      <c r="K942" t="n">
        <v>0</v>
      </c>
      <c r="L942" t="n">
        <v>0</v>
      </c>
      <c r="M942" t="n">
        <v>0</v>
      </c>
      <c r="N942" t="n">
        <v>0</v>
      </c>
      <c r="O942" t="n">
        <v>0</v>
      </c>
      <c r="P942" t="n">
        <v>0</v>
      </c>
      <c r="Q942" t="n">
        <v>0</v>
      </c>
      <c r="R942" s="2" t="inlineStr"/>
    </row>
    <row r="943" ht="15" customHeight="1">
      <c r="A943" t="inlineStr">
        <is>
          <t>A 26115-2024</t>
        </is>
      </c>
      <c r="B943" s="1" t="n">
        <v>45468.45628472222</v>
      </c>
      <c r="C943" s="1" t="n">
        <v>46000</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28816-2023</t>
        </is>
      </c>
      <c r="B944" s="1" t="n">
        <v>45104</v>
      </c>
      <c r="C944" s="1" t="n">
        <v>46000</v>
      </c>
      <c r="D944" t="inlineStr">
        <is>
          <t>STOCKHOLMS LÄN</t>
        </is>
      </c>
      <c r="E944" t="inlineStr">
        <is>
          <t>NORRTÄLJE</t>
        </is>
      </c>
      <c r="F944" t="inlineStr">
        <is>
          <t>Kommuner</t>
        </is>
      </c>
      <c r="G944" t="n">
        <v>0.5</v>
      </c>
      <c r="H944" t="n">
        <v>0</v>
      </c>
      <c r="I944" t="n">
        <v>0</v>
      </c>
      <c r="J944" t="n">
        <v>0</v>
      </c>
      <c r="K944" t="n">
        <v>0</v>
      </c>
      <c r="L944" t="n">
        <v>0</v>
      </c>
      <c r="M944" t="n">
        <v>0</v>
      </c>
      <c r="N944" t="n">
        <v>0</v>
      </c>
      <c r="O944" t="n">
        <v>0</v>
      </c>
      <c r="P944" t="n">
        <v>0</v>
      </c>
      <c r="Q944" t="n">
        <v>0</v>
      </c>
      <c r="R944" s="2" t="inlineStr"/>
    </row>
    <row r="945" ht="15" customHeight="1">
      <c r="A945" t="inlineStr">
        <is>
          <t>A 19118-2022</t>
        </is>
      </c>
      <c r="B945" s="1" t="n">
        <v>44691.5652662037</v>
      </c>
      <c r="C945" s="1" t="n">
        <v>46000</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8739-2024</t>
        </is>
      </c>
      <c r="B946" s="1" t="n">
        <v>45356.47784722222</v>
      </c>
      <c r="C946" s="1" t="n">
        <v>46000</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38759-2022</t>
        </is>
      </c>
      <c r="B947" s="1" t="n">
        <v>44816</v>
      </c>
      <c r="C947" s="1" t="n">
        <v>46000</v>
      </c>
      <c r="D947" t="inlineStr">
        <is>
          <t>STOCKHOLMS LÄN</t>
        </is>
      </c>
      <c r="E947" t="inlineStr">
        <is>
          <t>NORRTÄLJE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32857-2021</t>
        </is>
      </c>
      <c r="B948" s="1" t="n">
        <v>44375</v>
      </c>
      <c r="C948" s="1" t="n">
        <v>46000</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29714-2023</t>
        </is>
      </c>
      <c r="B949" s="1" t="n">
        <v>45107.42538194444</v>
      </c>
      <c r="C949" s="1" t="n">
        <v>46000</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23271-2023</t>
        </is>
      </c>
      <c r="B950" s="1" t="n">
        <v>45075.91362268518</v>
      </c>
      <c r="C950" s="1" t="n">
        <v>46000</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23273-2023</t>
        </is>
      </c>
      <c r="B951" s="1" t="n">
        <v>45075.91971064815</v>
      </c>
      <c r="C951" s="1" t="n">
        <v>46000</v>
      </c>
      <c r="D951" t="inlineStr">
        <is>
          <t>STOCKHOLMS LÄN</t>
        </is>
      </c>
      <c r="E951" t="inlineStr">
        <is>
          <t>NORRTÄLJE</t>
        </is>
      </c>
      <c r="G951" t="n">
        <v>7.5</v>
      </c>
      <c r="H951" t="n">
        <v>0</v>
      </c>
      <c r="I951" t="n">
        <v>0</v>
      </c>
      <c r="J951" t="n">
        <v>0</v>
      </c>
      <c r="K951" t="n">
        <v>0</v>
      </c>
      <c r="L951" t="n">
        <v>0</v>
      </c>
      <c r="M951" t="n">
        <v>0</v>
      </c>
      <c r="N951" t="n">
        <v>0</v>
      </c>
      <c r="O951" t="n">
        <v>0</v>
      </c>
      <c r="P951" t="n">
        <v>0</v>
      </c>
      <c r="Q951" t="n">
        <v>0</v>
      </c>
      <c r="R951" s="2" t="inlineStr"/>
    </row>
    <row r="952" ht="15" customHeight="1">
      <c r="A952" t="inlineStr">
        <is>
          <t>A 7603-2025</t>
        </is>
      </c>
      <c r="B952" s="1" t="n">
        <v>45705.66126157407</v>
      </c>
      <c r="C952" s="1" t="n">
        <v>46000</v>
      </c>
      <c r="D952" t="inlineStr">
        <is>
          <t>STOCKHOLMS LÄN</t>
        </is>
      </c>
      <c r="E952" t="inlineStr">
        <is>
          <t>NORRTÄLJE</t>
        </is>
      </c>
      <c r="F952" t="inlineStr">
        <is>
          <t>Holmen skog AB</t>
        </is>
      </c>
      <c r="G952" t="n">
        <v>2.4</v>
      </c>
      <c r="H952" t="n">
        <v>0</v>
      </c>
      <c r="I952" t="n">
        <v>0</v>
      </c>
      <c r="J952" t="n">
        <v>0</v>
      </c>
      <c r="K952" t="n">
        <v>0</v>
      </c>
      <c r="L952" t="n">
        <v>0</v>
      </c>
      <c r="M952" t="n">
        <v>0</v>
      </c>
      <c r="N952" t="n">
        <v>0</v>
      </c>
      <c r="O952" t="n">
        <v>0</v>
      </c>
      <c r="P952" t="n">
        <v>0</v>
      </c>
      <c r="Q952" t="n">
        <v>0</v>
      </c>
      <c r="R952" s="2" t="inlineStr"/>
    </row>
    <row r="953" ht="15" customHeight="1">
      <c r="A953" t="inlineStr">
        <is>
          <t>A 30802-2022</t>
        </is>
      </c>
      <c r="B953" s="1" t="n">
        <v>44764</v>
      </c>
      <c r="C953" s="1" t="n">
        <v>46000</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55369-2023</t>
        </is>
      </c>
      <c r="B954" s="1" t="n">
        <v>45238</v>
      </c>
      <c r="C954" s="1" t="n">
        <v>46000</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61113-2023</t>
        </is>
      </c>
      <c r="B955" s="1" t="n">
        <v>45261</v>
      </c>
      <c r="C955" s="1" t="n">
        <v>46000</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3283-2025</t>
        </is>
      </c>
      <c r="B956" s="1" t="n">
        <v>45679</v>
      </c>
      <c r="C956" s="1" t="n">
        <v>46000</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34295-2024</t>
        </is>
      </c>
      <c r="B957" s="1" t="n">
        <v>45524</v>
      </c>
      <c r="C957" s="1" t="n">
        <v>46000</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58311-2023</t>
        </is>
      </c>
      <c r="B958" s="1" t="n">
        <v>45245</v>
      </c>
      <c r="C958" s="1" t="n">
        <v>46000</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23692-2024</t>
        </is>
      </c>
      <c r="B959" s="1" t="n">
        <v>45454.65774305556</v>
      </c>
      <c r="C959" s="1" t="n">
        <v>46000</v>
      </c>
      <c r="D959" t="inlineStr">
        <is>
          <t>STOCKHOLMS LÄN</t>
        </is>
      </c>
      <c r="E959" t="inlineStr">
        <is>
          <t>NORRTÄLJE</t>
        </is>
      </c>
      <c r="G959" t="n">
        <v>3.7</v>
      </c>
      <c r="H959" t="n">
        <v>0</v>
      </c>
      <c r="I959" t="n">
        <v>0</v>
      </c>
      <c r="J959" t="n">
        <v>0</v>
      </c>
      <c r="K959" t="n">
        <v>0</v>
      </c>
      <c r="L959" t="n">
        <v>0</v>
      </c>
      <c r="M959" t="n">
        <v>0</v>
      </c>
      <c r="N959" t="n">
        <v>0</v>
      </c>
      <c r="O959" t="n">
        <v>0</v>
      </c>
      <c r="P959" t="n">
        <v>0</v>
      </c>
      <c r="Q959" t="n">
        <v>0</v>
      </c>
      <c r="R959" s="2" t="inlineStr"/>
    </row>
    <row r="960" ht="15" customHeight="1">
      <c r="A960" t="inlineStr">
        <is>
          <t>A 20473-2021</t>
        </is>
      </c>
      <c r="B960" s="1" t="n">
        <v>44315</v>
      </c>
      <c r="C960" s="1" t="n">
        <v>46000</v>
      </c>
      <c r="D960" t="inlineStr">
        <is>
          <t>STOCKHOLMS LÄN</t>
        </is>
      </c>
      <c r="E960" t="inlineStr">
        <is>
          <t>NORRTÄLJE</t>
        </is>
      </c>
      <c r="F960" t="inlineStr">
        <is>
          <t>Övriga Aktiebolag</t>
        </is>
      </c>
      <c r="G960" t="n">
        <v>3.6</v>
      </c>
      <c r="H960" t="n">
        <v>0</v>
      </c>
      <c r="I960" t="n">
        <v>0</v>
      </c>
      <c r="J960" t="n">
        <v>0</v>
      </c>
      <c r="K960" t="n">
        <v>0</v>
      </c>
      <c r="L960" t="n">
        <v>0</v>
      </c>
      <c r="M960" t="n">
        <v>0</v>
      </c>
      <c r="N960" t="n">
        <v>0</v>
      </c>
      <c r="O960" t="n">
        <v>0</v>
      </c>
      <c r="P960" t="n">
        <v>0</v>
      </c>
      <c r="Q960" t="n">
        <v>0</v>
      </c>
      <c r="R960" s="2" t="inlineStr"/>
    </row>
    <row r="961" ht="15" customHeight="1">
      <c r="A961" t="inlineStr">
        <is>
          <t>A 54273-2021</t>
        </is>
      </c>
      <c r="B961" s="1" t="n">
        <v>44470.72987268519</v>
      </c>
      <c r="C961" s="1" t="n">
        <v>46000</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7806-2025</t>
        </is>
      </c>
      <c r="B962" s="1" t="n">
        <v>45706.61178240741</v>
      </c>
      <c r="C962" s="1" t="n">
        <v>46000</v>
      </c>
      <c r="D962" t="inlineStr">
        <is>
          <t>STOCKHOLMS LÄN</t>
        </is>
      </c>
      <c r="E962" t="inlineStr">
        <is>
          <t>NORRTÄLJE</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53792-2023</t>
        </is>
      </c>
      <c r="B963" s="1" t="n">
        <v>45231.34144675926</v>
      </c>
      <c r="C963" s="1" t="n">
        <v>46000</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21329-2022</t>
        </is>
      </c>
      <c r="B964" s="1" t="n">
        <v>44705.60626157407</v>
      </c>
      <c r="C964" s="1" t="n">
        <v>46000</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50569-2022</t>
        </is>
      </c>
      <c r="B965" s="1" t="n">
        <v>44866.63775462963</v>
      </c>
      <c r="C965" s="1" t="n">
        <v>46000</v>
      </c>
      <c r="D965" t="inlineStr">
        <is>
          <t>STOCKHOLMS LÄN</t>
        </is>
      </c>
      <c r="E965" t="inlineStr">
        <is>
          <t>NORRTÄLJE</t>
        </is>
      </c>
      <c r="G965" t="n">
        <v>1.2</v>
      </c>
      <c r="H965" t="n">
        <v>0</v>
      </c>
      <c r="I965" t="n">
        <v>0</v>
      </c>
      <c r="J965" t="n">
        <v>0</v>
      </c>
      <c r="K965" t="n">
        <v>0</v>
      </c>
      <c r="L965" t="n">
        <v>0</v>
      </c>
      <c r="M965" t="n">
        <v>0</v>
      </c>
      <c r="N965" t="n">
        <v>0</v>
      </c>
      <c r="O965" t="n">
        <v>0</v>
      </c>
      <c r="P965" t="n">
        <v>0</v>
      </c>
      <c r="Q965" t="n">
        <v>0</v>
      </c>
      <c r="R965" s="2" t="inlineStr"/>
    </row>
    <row r="966" ht="15" customHeight="1">
      <c r="A966" t="inlineStr">
        <is>
          <t>A 24501-2023</t>
        </is>
      </c>
      <c r="B966" s="1" t="n">
        <v>45082</v>
      </c>
      <c r="C966" s="1" t="n">
        <v>46000</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24520-2023</t>
        </is>
      </c>
      <c r="B967" s="1" t="n">
        <v>45082.68922453704</v>
      </c>
      <c r="C967" s="1" t="n">
        <v>46000</v>
      </c>
      <c r="D967" t="inlineStr">
        <is>
          <t>STOCKHOLMS LÄN</t>
        </is>
      </c>
      <c r="E967" t="inlineStr">
        <is>
          <t>NORRTÄLJE</t>
        </is>
      </c>
      <c r="G967" t="n">
        <v>4.3</v>
      </c>
      <c r="H967" t="n">
        <v>0</v>
      </c>
      <c r="I967" t="n">
        <v>0</v>
      </c>
      <c r="J967" t="n">
        <v>0</v>
      </c>
      <c r="K967" t="n">
        <v>0</v>
      </c>
      <c r="L967" t="n">
        <v>0</v>
      </c>
      <c r="M967" t="n">
        <v>0</v>
      </c>
      <c r="N967" t="n">
        <v>0</v>
      </c>
      <c r="O967" t="n">
        <v>0</v>
      </c>
      <c r="P967" t="n">
        <v>0</v>
      </c>
      <c r="Q967" t="n">
        <v>0</v>
      </c>
      <c r="R967" s="2" t="inlineStr"/>
    </row>
    <row r="968" ht="15" customHeight="1">
      <c r="A968" t="inlineStr">
        <is>
          <t>A 60654-2023</t>
        </is>
      </c>
      <c r="B968" s="1" t="n">
        <v>45260.43225694444</v>
      </c>
      <c r="C968" s="1" t="n">
        <v>46000</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60656-2023</t>
        </is>
      </c>
      <c r="B969" s="1" t="n">
        <v>45260.4333449074</v>
      </c>
      <c r="C969" s="1" t="n">
        <v>46000</v>
      </c>
      <c r="D969" t="inlineStr">
        <is>
          <t>STOCKHOLMS LÄN</t>
        </is>
      </c>
      <c r="E969" t="inlineStr">
        <is>
          <t>NORRTÄLJE</t>
        </is>
      </c>
      <c r="G969" t="n">
        <v>4.8</v>
      </c>
      <c r="H969" t="n">
        <v>0</v>
      </c>
      <c r="I969" t="n">
        <v>0</v>
      </c>
      <c r="J969" t="n">
        <v>0</v>
      </c>
      <c r="K969" t="n">
        <v>0</v>
      </c>
      <c r="L969" t="n">
        <v>0</v>
      </c>
      <c r="M969" t="n">
        <v>0</v>
      </c>
      <c r="N969" t="n">
        <v>0</v>
      </c>
      <c r="O969" t="n">
        <v>0</v>
      </c>
      <c r="P969" t="n">
        <v>0</v>
      </c>
      <c r="Q969" t="n">
        <v>0</v>
      </c>
      <c r="R969" s="2" t="inlineStr"/>
    </row>
    <row r="970" ht="15" customHeight="1">
      <c r="A970" t="inlineStr">
        <is>
          <t>A 54496-2024</t>
        </is>
      </c>
      <c r="B970" s="1" t="n">
        <v>45617.57439814815</v>
      </c>
      <c r="C970" s="1" t="n">
        <v>46000</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21386-2023</t>
        </is>
      </c>
      <c r="B971" s="1" t="n">
        <v>45063.35880787037</v>
      </c>
      <c r="C971" s="1" t="n">
        <v>46000</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10642-2025</t>
        </is>
      </c>
      <c r="B972" s="1" t="n">
        <v>45721.65858796296</v>
      </c>
      <c r="C972" s="1" t="n">
        <v>46000</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20144-2023</t>
        </is>
      </c>
      <c r="B973" s="1" t="n">
        <v>45055.43509259259</v>
      </c>
      <c r="C973" s="1" t="n">
        <v>46000</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53312-2024</t>
        </is>
      </c>
      <c r="B974" s="1" t="n">
        <v>45614.39627314815</v>
      </c>
      <c r="C974" s="1" t="n">
        <v>46000</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39202-2024</t>
        </is>
      </c>
      <c r="B975" s="1" t="n">
        <v>45548.72306712963</v>
      </c>
      <c r="C975" s="1" t="n">
        <v>46000</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22756-2022</t>
        </is>
      </c>
      <c r="B976" s="1" t="n">
        <v>44714.92253472222</v>
      </c>
      <c r="C976" s="1" t="n">
        <v>46000</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4581-2025</t>
        </is>
      </c>
      <c r="B977" s="1" t="n">
        <v>45687</v>
      </c>
      <c r="C977" s="1" t="n">
        <v>46000</v>
      </c>
      <c r="D977" t="inlineStr">
        <is>
          <t>STOCKHOLMS LÄN</t>
        </is>
      </c>
      <c r="E977" t="inlineStr">
        <is>
          <t>NORRTÄLJE</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60765-2023</t>
        </is>
      </c>
      <c r="B978" s="1" t="n">
        <v>45260</v>
      </c>
      <c r="C978" s="1" t="n">
        <v>46000</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23801-2022</t>
        </is>
      </c>
      <c r="B979" s="1" t="n">
        <v>44722</v>
      </c>
      <c r="C979" s="1" t="n">
        <v>46000</v>
      </c>
      <c r="D979" t="inlineStr">
        <is>
          <t>STOCKHOLMS LÄN</t>
        </is>
      </c>
      <c r="E979" t="inlineStr">
        <is>
          <t>NORRTÄLJE</t>
        </is>
      </c>
      <c r="G979" t="n">
        <v>6.8</v>
      </c>
      <c r="H979" t="n">
        <v>0</v>
      </c>
      <c r="I979" t="n">
        <v>0</v>
      </c>
      <c r="J979" t="n">
        <v>0</v>
      </c>
      <c r="K979" t="n">
        <v>0</v>
      </c>
      <c r="L979" t="n">
        <v>0</v>
      </c>
      <c r="M979" t="n">
        <v>0</v>
      </c>
      <c r="N979" t="n">
        <v>0</v>
      </c>
      <c r="O979" t="n">
        <v>0</v>
      </c>
      <c r="P979" t="n">
        <v>0</v>
      </c>
      <c r="Q979" t="n">
        <v>0</v>
      </c>
      <c r="R979" s="2" t="inlineStr"/>
    </row>
    <row r="980" ht="15" customHeight="1">
      <c r="A980" t="inlineStr">
        <is>
          <t>A 59276-2023</t>
        </is>
      </c>
      <c r="B980" s="1" t="n">
        <v>45253.55641203704</v>
      </c>
      <c r="C980" s="1" t="n">
        <v>46000</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46914-2022</t>
        </is>
      </c>
      <c r="B981" s="1" t="n">
        <v>44851</v>
      </c>
      <c r="C981" s="1" t="n">
        <v>46000</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18541-2023</t>
        </is>
      </c>
      <c r="B982" s="1" t="n">
        <v>45042.74291666667</v>
      </c>
      <c r="C982" s="1" t="n">
        <v>46000</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3509-2022</t>
        </is>
      </c>
      <c r="B983" s="1" t="n">
        <v>44585</v>
      </c>
      <c r="C983" s="1" t="n">
        <v>46000</v>
      </c>
      <c r="D983" t="inlineStr">
        <is>
          <t>STOCKHOLMS LÄN</t>
        </is>
      </c>
      <c r="E983" t="inlineStr">
        <is>
          <t>NORRTÄLJE</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26407-2024</t>
        </is>
      </c>
      <c r="B984" s="1" t="n">
        <v>45469</v>
      </c>
      <c r="C984" s="1" t="n">
        <v>46000</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12890-2024</t>
        </is>
      </c>
      <c r="B985" s="1" t="n">
        <v>45385.36243055556</v>
      </c>
      <c r="C985" s="1" t="n">
        <v>46000</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47419-2023</t>
        </is>
      </c>
      <c r="B986" s="1" t="n">
        <v>45202.65660879629</v>
      </c>
      <c r="C986" s="1" t="n">
        <v>46000</v>
      </c>
      <c r="D986" t="inlineStr">
        <is>
          <t>STOCKHOLMS LÄN</t>
        </is>
      </c>
      <c r="E986" t="inlineStr">
        <is>
          <t>NORRTÄLJE</t>
        </is>
      </c>
      <c r="G986" t="n">
        <v>11.4</v>
      </c>
      <c r="H986" t="n">
        <v>0</v>
      </c>
      <c r="I986" t="n">
        <v>0</v>
      </c>
      <c r="J986" t="n">
        <v>0</v>
      </c>
      <c r="K986" t="n">
        <v>0</v>
      </c>
      <c r="L986" t="n">
        <v>0</v>
      </c>
      <c r="M986" t="n">
        <v>0</v>
      </c>
      <c r="N986" t="n">
        <v>0</v>
      </c>
      <c r="O986" t="n">
        <v>0</v>
      </c>
      <c r="P986" t="n">
        <v>0</v>
      </c>
      <c r="Q986" t="n">
        <v>0</v>
      </c>
      <c r="R986" s="2" t="inlineStr"/>
    </row>
    <row r="987" ht="15" customHeight="1">
      <c r="A987" t="inlineStr">
        <is>
          <t>A 23070-2023</t>
        </is>
      </c>
      <c r="B987" s="1" t="n">
        <v>45075</v>
      </c>
      <c r="C987" s="1" t="n">
        <v>46000</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27824-2022</t>
        </is>
      </c>
      <c r="B988" s="1" t="n">
        <v>44743.59331018518</v>
      </c>
      <c r="C988" s="1" t="n">
        <v>46000</v>
      </c>
      <c r="D988" t="inlineStr">
        <is>
          <t>STOCKHOLMS LÄN</t>
        </is>
      </c>
      <c r="E988" t="inlineStr">
        <is>
          <t>NORRTÄLJE</t>
        </is>
      </c>
      <c r="F988" t="inlineStr">
        <is>
          <t>Kommuner</t>
        </is>
      </c>
      <c r="G988" t="n">
        <v>3.1</v>
      </c>
      <c r="H988" t="n">
        <v>0</v>
      </c>
      <c r="I988" t="n">
        <v>0</v>
      </c>
      <c r="J988" t="n">
        <v>0</v>
      </c>
      <c r="K988" t="n">
        <v>0</v>
      </c>
      <c r="L988" t="n">
        <v>0</v>
      </c>
      <c r="M988" t="n">
        <v>0</v>
      </c>
      <c r="N988" t="n">
        <v>0</v>
      </c>
      <c r="O988" t="n">
        <v>0</v>
      </c>
      <c r="P988" t="n">
        <v>0</v>
      </c>
      <c r="Q988" t="n">
        <v>0</v>
      </c>
      <c r="R988" s="2" t="inlineStr"/>
    </row>
    <row r="989" ht="15" customHeight="1">
      <c r="A989" t="inlineStr">
        <is>
          <t>A 25619-2022</t>
        </is>
      </c>
      <c r="B989" s="1" t="n">
        <v>44732</v>
      </c>
      <c r="C989" s="1" t="n">
        <v>46000</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36246-2021</t>
        </is>
      </c>
      <c r="B990" s="1" t="n">
        <v>44390</v>
      </c>
      <c r="C990" s="1" t="n">
        <v>46000</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19952-2023</t>
        </is>
      </c>
      <c r="B991" s="1" t="n">
        <v>45054.54091435186</v>
      </c>
      <c r="C991" s="1" t="n">
        <v>46000</v>
      </c>
      <c r="D991" t="inlineStr">
        <is>
          <t>STOCKHOLMS LÄN</t>
        </is>
      </c>
      <c r="E991" t="inlineStr">
        <is>
          <t>NORRTÄLJE</t>
        </is>
      </c>
      <c r="G991" t="n">
        <v>0.5</v>
      </c>
      <c r="H991" t="n">
        <v>0</v>
      </c>
      <c r="I991" t="n">
        <v>0</v>
      </c>
      <c r="J991" t="n">
        <v>0</v>
      </c>
      <c r="K991" t="n">
        <v>0</v>
      </c>
      <c r="L991" t="n">
        <v>0</v>
      </c>
      <c r="M991" t="n">
        <v>0</v>
      </c>
      <c r="N991" t="n">
        <v>0</v>
      </c>
      <c r="O991" t="n">
        <v>0</v>
      </c>
      <c r="P991" t="n">
        <v>0</v>
      </c>
      <c r="Q991" t="n">
        <v>0</v>
      </c>
      <c r="R991" s="2" t="inlineStr"/>
    </row>
    <row r="992" ht="15" customHeight="1">
      <c r="A992" t="inlineStr">
        <is>
          <t>A 19994-2023</t>
        </is>
      </c>
      <c r="B992" s="1" t="n">
        <v>45054</v>
      </c>
      <c r="C992" s="1" t="n">
        <v>46000</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14130-2025</t>
        </is>
      </c>
      <c r="B993" s="1" t="n">
        <v>45740.47288194444</v>
      </c>
      <c r="C993" s="1" t="n">
        <v>46000</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574-2023</t>
        </is>
      </c>
      <c r="B994" s="1" t="n">
        <v>44925</v>
      </c>
      <c r="C994" s="1" t="n">
        <v>46000</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30283-2022</t>
        </is>
      </c>
      <c r="B995" s="1" t="n">
        <v>44760</v>
      </c>
      <c r="C995" s="1" t="n">
        <v>46000</v>
      </c>
      <c r="D995" t="inlineStr">
        <is>
          <t>STOCKHOLMS LÄN</t>
        </is>
      </c>
      <c r="E995" t="inlineStr">
        <is>
          <t>NORRTÄLJE</t>
        </is>
      </c>
      <c r="G995" t="n">
        <v>6.2</v>
      </c>
      <c r="H995" t="n">
        <v>0</v>
      </c>
      <c r="I995" t="n">
        <v>0</v>
      </c>
      <c r="J995" t="n">
        <v>0</v>
      </c>
      <c r="K995" t="n">
        <v>0</v>
      </c>
      <c r="L995" t="n">
        <v>0</v>
      </c>
      <c r="M995" t="n">
        <v>0</v>
      </c>
      <c r="N995" t="n">
        <v>0</v>
      </c>
      <c r="O995" t="n">
        <v>0</v>
      </c>
      <c r="P995" t="n">
        <v>0</v>
      </c>
      <c r="Q995" t="n">
        <v>0</v>
      </c>
      <c r="R995" s="2" t="inlineStr"/>
    </row>
    <row r="996" ht="15" customHeight="1">
      <c r="A996" t="inlineStr">
        <is>
          <t>A 30290-2022</t>
        </is>
      </c>
      <c r="B996" s="1" t="n">
        <v>44760</v>
      </c>
      <c r="C996" s="1" t="n">
        <v>46000</v>
      </c>
      <c r="D996" t="inlineStr">
        <is>
          <t>STOCKHOLMS LÄN</t>
        </is>
      </c>
      <c r="E996" t="inlineStr">
        <is>
          <t>NORRTÄLJE</t>
        </is>
      </c>
      <c r="G996" t="n">
        <v>4.8</v>
      </c>
      <c r="H996" t="n">
        <v>0</v>
      </c>
      <c r="I996" t="n">
        <v>0</v>
      </c>
      <c r="J996" t="n">
        <v>0</v>
      </c>
      <c r="K996" t="n">
        <v>0</v>
      </c>
      <c r="L996" t="n">
        <v>0</v>
      </c>
      <c r="M996" t="n">
        <v>0</v>
      </c>
      <c r="N996" t="n">
        <v>0</v>
      </c>
      <c r="O996" t="n">
        <v>0</v>
      </c>
      <c r="P996" t="n">
        <v>0</v>
      </c>
      <c r="Q996" t="n">
        <v>0</v>
      </c>
      <c r="R996" s="2" t="inlineStr"/>
    </row>
    <row r="997" ht="15" customHeight="1">
      <c r="A997" t="inlineStr">
        <is>
          <t>A 3143-2021</t>
        </is>
      </c>
      <c r="B997" s="1" t="n">
        <v>44217.40149305556</v>
      </c>
      <c r="C997" s="1" t="n">
        <v>46000</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29684-2021</t>
        </is>
      </c>
      <c r="B998" s="1" t="n">
        <v>44362.37172453704</v>
      </c>
      <c r="C998" s="1" t="n">
        <v>46000</v>
      </c>
      <c r="D998" t="inlineStr">
        <is>
          <t>STOCKHOLMS LÄN</t>
        </is>
      </c>
      <c r="E998" t="inlineStr">
        <is>
          <t>NORRTÄLJE</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60884-2024</t>
        </is>
      </c>
      <c r="B999" s="1" t="n">
        <v>45644.90815972222</v>
      </c>
      <c r="C999" s="1" t="n">
        <v>46000</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38610-2022</t>
        </is>
      </c>
      <c r="B1000" s="1" t="n">
        <v>44813.59915509259</v>
      </c>
      <c r="C1000" s="1" t="n">
        <v>46000</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10090-2022</t>
        </is>
      </c>
      <c r="B1001" s="1" t="n">
        <v>44621</v>
      </c>
      <c r="C1001" s="1" t="n">
        <v>46000</v>
      </c>
      <c r="D1001" t="inlineStr">
        <is>
          <t>STOCKHOLMS LÄN</t>
        </is>
      </c>
      <c r="E1001" t="inlineStr">
        <is>
          <t>NORRTÄLJE</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14724-2022</t>
        </is>
      </c>
      <c r="B1002" s="1" t="n">
        <v>44656</v>
      </c>
      <c r="C1002" s="1" t="n">
        <v>46000</v>
      </c>
      <c r="D1002" t="inlineStr">
        <is>
          <t>STOCKHOLMS LÄN</t>
        </is>
      </c>
      <c r="E1002" t="inlineStr">
        <is>
          <t>NORRTÄLJE</t>
        </is>
      </c>
      <c r="F1002" t="inlineStr">
        <is>
          <t>Sveaskog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18846-2022</t>
        </is>
      </c>
      <c r="B1003" s="1" t="n">
        <v>44690</v>
      </c>
      <c r="C1003" s="1" t="n">
        <v>46000</v>
      </c>
      <c r="D1003" t="inlineStr">
        <is>
          <t>STOCKHOLMS LÄN</t>
        </is>
      </c>
      <c r="E1003" t="inlineStr">
        <is>
          <t>NORRTÄLJE</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43300-2023</t>
        </is>
      </c>
      <c r="B1004" s="1" t="n">
        <v>45183</v>
      </c>
      <c r="C1004" s="1" t="n">
        <v>46000</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25654-2023</t>
        </is>
      </c>
      <c r="B1005" s="1" t="n">
        <v>45089</v>
      </c>
      <c r="C1005" s="1" t="n">
        <v>46000</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23125-2022</t>
        </is>
      </c>
      <c r="B1006" s="1" t="n">
        <v>44719</v>
      </c>
      <c r="C1006" s="1" t="n">
        <v>46000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20121-2022</t>
        </is>
      </c>
      <c r="B1007" s="1" t="n">
        <v>44698</v>
      </c>
      <c r="C1007" s="1" t="n">
        <v>46000</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33385-2024</t>
        </is>
      </c>
      <c r="B1008" s="1" t="n">
        <v>45519</v>
      </c>
      <c r="C1008" s="1" t="n">
        <v>46000</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41172-2023</t>
        </is>
      </c>
      <c r="B1009" s="1" t="n">
        <v>45170</v>
      </c>
      <c r="C1009" s="1" t="n">
        <v>46000</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73307-2021</t>
        </is>
      </c>
      <c r="B1010" s="1" t="n">
        <v>44549</v>
      </c>
      <c r="C1010" s="1" t="n">
        <v>46000</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50534-2024</t>
        </is>
      </c>
      <c r="B1011" s="1" t="n">
        <v>45601.56726851852</v>
      </c>
      <c r="C1011" s="1" t="n">
        <v>46000</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11988-2021</t>
        </is>
      </c>
      <c r="B1012" s="1" t="n">
        <v>44266</v>
      </c>
      <c r="C1012" s="1" t="n">
        <v>46000</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12132-2021</t>
        </is>
      </c>
      <c r="B1013" s="1" t="n">
        <v>44266</v>
      </c>
      <c r="C1013" s="1" t="n">
        <v>46000</v>
      </c>
      <c r="D1013" t="inlineStr">
        <is>
          <t>STOCKHOLMS LÄN</t>
        </is>
      </c>
      <c r="E1013" t="inlineStr">
        <is>
          <t>NORRTÄLJE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65499-2021</t>
        </is>
      </c>
      <c r="B1014" s="1" t="n">
        <v>44516</v>
      </c>
      <c r="C1014" s="1" t="n">
        <v>46000</v>
      </c>
      <c r="D1014" t="inlineStr">
        <is>
          <t>STOCKHOLMS LÄN</t>
        </is>
      </c>
      <c r="E1014" t="inlineStr">
        <is>
          <t>NORRTÄLJE</t>
        </is>
      </c>
      <c r="F1014" t="inlineStr">
        <is>
          <t>Kommuner</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65511-2021</t>
        </is>
      </c>
      <c r="B1015" s="1" t="n">
        <v>44516.40674768519</v>
      </c>
      <c r="C1015" s="1" t="n">
        <v>46000</v>
      </c>
      <c r="D1015" t="inlineStr">
        <is>
          <t>STOCKHOLMS LÄN</t>
        </is>
      </c>
      <c r="E1015" t="inlineStr">
        <is>
          <t>NORRTÄLJE</t>
        </is>
      </c>
      <c r="F1015" t="inlineStr">
        <is>
          <t>Kommuner</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22833-2024</t>
        </is>
      </c>
      <c r="B1016" s="1" t="n">
        <v>45448.56746527777</v>
      </c>
      <c r="C1016" s="1" t="n">
        <v>46000</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32514-2022</t>
        </is>
      </c>
      <c r="B1017" s="1" t="n">
        <v>44782</v>
      </c>
      <c r="C1017" s="1" t="n">
        <v>46000</v>
      </c>
      <c r="D1017" t="inlineStr">
        <is>
          <t>STOCKHOLMS LÄN</t>
        </is>
      </c>
      <c r="E1017" t="inlineStr">
        <is>
          <t>NORRTÄLJE</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29362-2022</t>
        </is>
      </c>
      <c r="B1018" s="1" t="n">
        <v>44753</v>
      </c>
      <c r="C1018" s="1" t="n">
        <v>46000</v>
      </c>
      <c r="D1018" t="inlineStr">
        <is>
          <t>STOCKHOLMS LÄN</t>
        </is>
      </c>
      <c r="E1018" t="inlineStr">
        <is>
          <t>NORRTÄLJE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46000</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51315-2021</t>
        </is>
      </c>
      <c r="B1020" s="1" t="n">
        <v>44461</v>
      </c>
      <c r="C1020" s="1" t="n">
        <v>46000</v>
      </c>
      <c r="D1020" t="inlineStr">
        <is>
          <t>STOCKHOLMS LÄN</t>
        </is>
      </c>
      <c r="E1020" t="inlineStr">
        <is>
          <t>NORRTÄLJE</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14873-2025</t>
        </is>
      </c>
      <c r="B1021" s="1" t="n">
        <v>45743.44953703704</v>
      </c>
      <c r="C1021" s="1" t="n">
        <v>46000</v>
      </c>
      <c r="D1021" t="inlineStr">
        <is>
          <t>STOCKHOLMS LÄN</t>
        </is>
      </c>
      <c r="E1021" t="inlineStr">
        <is>
          <t>NORRTÄLJE</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34773-2022</t>
        </is>
      </c>
      <c r="B1022" s="1" t="n">
        <v>44795</v>
      </c>
      <c r="C1022" s="1" t="n">
        <v>46000</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33173-2024</t>
        </is>
      </c>
      <c r="B1023" s="1" t="n">
        <v>45518</v>
      </c>
      <c r="C1023" s="1" t="n">
        <v>46000</v>
      </c>
      <c r="D1023" t="inlineStr">
        <is>
          <t>STOCKHOLMS LÄN</t>
        </is>
      </c>
      <c r="E1023" t="inlineStr">
        <is>
          <t>NORRTÄLJE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4484-2025</t>
        </is>
      </c>
      <c r="B1024" s="1" t="n">
        <v>45686.65545138889</v>
      </c>
      <c r="C1024" s="1" t="n">
        <v>46000</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33878-2024</t>
        </is>
      </c>
      <c r="B1025" s="1" t="n">
        <v>45522.44414351852</v>
      </c>
      <c r="C1025" s="1" t="n">
        <v>46000</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9246-2024</t>
        </is>
      </c>
      <c r="B1026" s="1" t="n">
        <v>45357</v>
      </c>
      <c r="C1026" s="1" t="n">
        <v>46000</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35698-2023</t>
        </is>
      </c>
      <c r="B1027" s="1" t="n">
        <v>45147</v>
      </c>
      <c r="C1027" s="1" t="n">
        <v>46000</v>
      </c>
      <c r="D1027" t="inlineStr">
        <is>
          <t>STOCKHOLMS LÄN</t>
        </is>
      </c>
      <c r="E1027" t="inlineStr">
        <is>
          <t>NORRTÄLJE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44923.90159722222</v>
      </c>
      <c r="C1028" s="1" t="n">
        <v>46000</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49700-2023</t>
        </is>
      </c>
      <c r="B1029" s="1" t="n">
        <v>45212</v>
      </c>
      <c r="C1029" s="1" t="n">
        <v>46000</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32071-2023</t>
        </is>
      </c>
      <c r="B1030" s="1" t="n">
        <v>45119.57728009259</v>
      </c>
      <c r="C1030" s="1" t="n">
        <v>46000</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1425-2025</t>
        </is>
      </c>
      <c r="B1031" s="1" t="n">
        <v>45668.67446759259</v>
      </c>
      <c r="C1031" s="1" t="n">
        <v>46000</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17775-2022</t>
        </is>
      </c>
      <c r="B1032" s="1" t="n">
        <v>44682.78430555556</v>
      </c>
      <c r="C1032" s="1" t="n">
        <v>46000</v>
      </c>
      <c r="D1032" t="inlineStr">
        <is>
          <t>STOCKHOLMS LÄN</t>
        </is>
      </c>
      <c r="E1032" t="inlineStr">
        <is>
          <t>NORRTÄLJE</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38720-2022</t>
        </is>
      </c>
      <c r="B1033" s="1" t="n">
        <v>44815.74539351852</v>
      </c>
      <c r="C1033" s="1" t="n">
        <v>46000</v>
      </c>
      <c r="D1033" t="inlineStr">
        <is>
          <t>STOCKHOLMS LÄN</t>
        </is>
      </c>
      <c r="E1033" t="inlineStr">
        <is>
          <t>NORRTÄLJE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10215-2023</t>
        </is>
      </c>
      <c r="B1034" s="1" t="n">
        <v>44986.5887962963</v>
      </c>
      <c r="C1034" s="1" t="n">
        <v>46000</v>
      </c>
      <c r="D1034" t="inlineStr">
        <is>
          <t>STOCKHOLMS LÄN</t>
        </is>
      </c>
      <c r="E1034" t="inlineStr">
        <is>
          <t>NORRTÄLJE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25609-2023</t>
        </is>
      </c>
      <c r="B1035" s="1" t="n">
        <v>45089</v>
      </c>
      <c r="C1035" s="1" t="n">
        <v>46000</v>
      </c>
      <c r="D1035" t="inlineStr">
        <is>
          <t>STOCKHOLMS LÄN</t>
        </is>
      </c>
      <c r="E1035" t="inlineStr">
        <is>
          <t>NORRTÄLJE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20014-2025</t>
        </is>
      </c>
      <c r="B1036" s="1" t="n">
        <v>45772.3078125</v>
      </c>
      <c r="C1036" s="1" t="n">
        <v>46000</v>
      </c>
      <c r="D1036" t="inlineStr">
        <is>
          <t>STOCKHOLMS LÄN</t>
        </is>
      </c>
      <c r="E1036" t="inlineStr">
        <is>
          <t>NORRTÄLJE</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20136-2025</t>
        </is>
      </c>
      <c r="B1037" s="1" t="n">
        <v>45772.51127314815</v>
      </c>
      <c r="C1037" s="1" t="n">
        <v>46000</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2287-2024</t>
        </is>
      </c>
      <c r="B1038" s="1" t="n">
        <v>45310</v>
      </c>
      <c r="C1038" s="1" t="n">
        <v>46000</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13785-2024</t>
        </is>
      </c>
      <c r="B1039" s="1" t="n">
        <v>45391.3395949074</v>
      </c>
      <c r="C1039" s="1" t="n">
        <v>46000</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50469-2022</t>
        </is>
      </c>
      <c r="B1040" s="1" t="n">
        <v>44866.49827546296</v>
      </c>
      <c r="C1040" s="1" t="n">
        <v>46000</v>
      </c>
      <c r="D1040" t="inlineStr">
        <is>
          <t>STOCKHOLMS LÄN</t>
        </is>
      </c>
      <c r="E1040" t="inlineStr">
        <is>
          <t>NORRTÄLJE</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51116-2022</t>
        </is>
      </c>
      <c r="B1041" s="1" t="n">
        <v>44868.45741898148</v>
      </c>
      <c r="C1041" s="1" t="n">
        <v>46000</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60217-2021</t>
        </is>
      </c>
      <c r="B1042" s="1" t="n">
        <v>44495.5893287037</v>
      </c>
      <c r="C1042" s="1" t="n">
        <v>46000</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5839-2023</t>
        </is>
      </c>
      <c r="B1043" s="1" t="n">
        <v>44963</v>
      </c>
      <c r="C1043" s="1" t="n">
        <v>46000</v>
      </c>
      <c r="D1043" t="inlineStr">
        <is>
          <t>STOCKHOLMS LÄN</t>
        </is>
      </c>
      <c r="E1043" t="inlineStr">
        <is>
          <t>NORRTÄLJE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38985-2022</t>
        </is>
      </c>
      <c r="B1044" s="1" t="n">
        <v>44816</v>
      </c>
      <c r="C1044" s="1" t="n">
        <v>46000</v>
      </c>
      <c r="D1044" t="inlineStr">
        <is>
          <t>STOCKHOLMS LÄN</t>
        </is>
      </c>
      <c r="E1044" t="inlineStr">
        <is>
          <t>NORRTÄLJE</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5665-2025</t>
        </is>
      </c>
      <c r="B1045" s="1" t="n">
        <v>45693</v>
      </c>
      <c r="C1045" s="1" t="n">
        <v>46000</v>
      </c>
      <c r="D1045" t="inlineStr">
        <is>
          <t>STOCKHOLMS LÄN</t>
        </is>
      </c>
      <c r="E1045" t="inlineStr">
        <is>
          <t>NORRTÄLJE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3426-2025</t>
        </is>
      </c>
      <c r="B1046" s="1" t="n">
        <v>45680.42665509259</v>
      </c>
      <c r="C1046" s="1" t="n">
        <v>46000</v>
      </c>
      <c r="D1046" t="inlineStr">
        <is>
          <t>STOCKHOLMS LÄN</t>
        </is>
      </c>
      <c r="E1046" t="inlineStr">
        <is>
          <t>NORRTÄLJE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58530-2024</t>
        </is>
      </c>
      <c r="B1047" s="1" t="n">
        <v>45635.44788194444</v>
      </c>
      <c r="C1047" s="1" t="n">
        <v>46000</v>
      </c>
      <c r="D1047" t="inlineStr">
        <is>
          <t>STOCKHOLMS LÄN</t>
        </is>
      </c>
      <c r="E1047" t="inlineStr">
        <is>
          <t>NORRTÄLJE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22421-2021</t>
        </is>
      </c>
      <c r="B1048" s="1" t="n">
        <v>44326</v>
      </c>
      <c r="C1048" s="1" t="n">
        <v>46000</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40761-2024</t>
        </is>
      </c>
      <c r="B1049" s="1" t="n">
        <v>45558.46283564815</v>
      </c>
      <c r="C1049" s="1" t="n">
        <v>46000</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4553-2023</t>
        </is>
      </c>
      <c r="B1050" s="1" t="n">
        <v>44956.65920138889</v>
      </c>
      <c r="C1050" s="1" t="n">
        <v>46000</v>
      </c>
      <c r="D1050" t="inlineStr">
        <is>
          <t>STOCKHOLMS LÄN</t>
        </is>
      </c>
      <c r="E1050" t="inlineStr">
        <is>
          <t>NORRTÄLJE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46000</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13171-2025</t>
        </is>
      </c>
      <c r="B1052" s="1" t="n">
        <v>45735.36594907408</v>
      </c>
      <c r="C1052" s="1" t="n">
        <v>46000</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51978-2023</t>
        </is>
      </c>
      <c r="B1053" s="1" t="n">
        <v>45223</v>
      </c>
      <c r="C1053" s="1" t="n">
        <v>46000</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18092-2022</t>
        </is>
      </c>
      <c r="B1054" s="1" t="n">
        <v>44684</v>
      </c>
      <c r="C1054" s="1" t="n">
        <v>46000</v>
      </c>
      <c r="D1054" t="inlineStr">
        <is>
          <t>STOCKHOLMS LÄN</t>
        </is>
      </c>
      <c r="E1054" t="inlineStr">
        <is>
          <t>NORRTÄLJE</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59310-2023</t>
        </is>
      </c>
      <c r="B1055" s="1" t="n">
        <v>45253.61146990741</v>
      </c>
      <c r="C1055" s="1" t="n">
        <v>46000</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9329-2023</t>
        </is>
      </c>
      <c r="B1056" s="1" t="n">
        <v>44980</v>
      </c>
      <c r="C1056" s="1" t="n">
        <v>46000</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59878-2024</t>
        </is>
      </c>
      <c r="B1057" s="1" t="n">
        <v>45640.60240740741</v>
      </c>
      <c r="C1057" s="1" t="n">
        <v>46000</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41335-2023</t>
        </is>
      </c>
      <c r="B1058" s="1" t="n">
        <v>45174.68702546296</v>
      </c>
      <c r="C1058" s="1" t="n">
        <v>46000</v>
      </c>
      <c r="D1058" t="inlineStr">
        <is>
          <t>STOCKHOLMS LÄN</t>
        </is>
      </c>
      <c r="E1058" t="inlineStr">
        <is>
          <t>NORRTÄLJE</t>
        </is>
      </c>
      <c r="F1058" t="inlineStr">
        <is>
          <t>Holmen skog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33040-2021</t>
        </is>
      </c>
      <c r="B1059" s="1" t="n">
        <v>44376.50728009259</v>
      </c>
      <c r="C1059" s="1" t="n">
        <v>46000</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33053-2021</t>
        </is>
      </c>
      <c r="B1060" s="1" t="n">
        <v>44376</v>
      </c>
      <c r="C1060" s="1" t="n">
        <v>46000</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43150-2023</t>
        </is>
      </c>
      <c r="B1061" s="1" t="n">
        <v>45183</v>
      </c>
      <c r="C1061" s="1" t="n">
        <v>46000</v>
      </c>
      <c r="D1061" t="inlineStr">
        <is>
          <t>STOCKHOLMS LÄN</t>
        </is>
      </c>
      <c r="E1061" t="inlineStr">
        <is>
          <t>NORRTÄLJE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5950-2021</t>
        </is>
      </c>
      <c r="B1062" s="1" t="n">
        <v>44231</v>
      </c>
      <c r="C1062" s="1" t="n">
        <v>46000</v>
      </c>
      <c r="D1062" t="inlineStr">
        <is>
          <t>STOCKHOLMS LÄN</t>
        </is>
      </c>
      <c r="E1062" t="inlineStr">
        <is>
          <t>NORRTÄLJE</t>
        </is>
      </c>
      <c r="F1062" t="inlineStr">
        <is>
          <t>Holmen skog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54259-2023</t>
        </is>
      </c>
      <c r="B1063" s="1" t="n">
        <v>45232</v>
      </c>
      <c r="C1063" s="1" t="n">
        <v>46000</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60822-2023</t>
        </is>
      </c>
      <c r="B1064" s="1" t="n">
        <v>45259</v>
      </c>
      <c r="C1064" s="1" t="n">
        <v>46000</v>
      </c>
      <c r="D1064" t="inlineStr">
        <is>
          <t>STOCKHOLMS LÄN</t>
        </is>
      </c>
      <c r="E1064" t="inlineStr">
        <is>
          <t>NORRTÄLJE</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12031-2021</t>
        </is>
      </c>
      <c r="B1065" s="1" t="n">
        <v>44266</v>
      </c>
      <c r="C1065" s="1" t="n">
        <v>46000</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27381-2024</t>
        </is>
      </c>
      <c r="B1066" s="1" t="n">
        <v>45473.94501157408</v>
      </c>
      <c r="C1066" s="1" t="n">
        <v>46000</v>
      </c>
      <c r="D1066" t="inlineStr">
        <is>
          <t>STOCKHOLMS LÄN</t>
        </is>
      </c>
      <c r="E1066" t="inlineStr">
        <is>
          <t>NORRTÄLJE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23265-2023</t>
        </is>
      </c>
      <c r="B1067" s="1" t="n">
        <v>45075.90703703704</v>
      </c>
      <c r="C1067" s="1" t="n">
        <v>46000</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26117-2024</t>
        </is>
      </c>
      <c r="B1068" s="1" t="n">
        <v>45468.45877314815</v>
      </c>
      <c r="C1068" s="1" t="n">
        <v>46000</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20336-2024</t>
        </is>
      </c>
      <c r="B1069" s="1" t="n">
        <v>45435.43123842592</v>
      </c>
      <c r="C1069" s="1" t="n">
        <v>46000</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1847-2023</t>
        </is>
      </c>
      <c r="B1070" s="1" t="n">
        <v>44938</v>
      </c>
      <c r="C1070" s="1" t="n">
        <v>46000</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59721-2024</t>
        </is>
      </c>
      <c r="B1071" s="1" t="n">
        <v>45639.47385416667</v>
      </c>
      <c r="C1071" s="1" t="n">
        <v>46000</v>
      </c>
      <c r="D1071" t="inlineStr">
        <is>
          <t>STOCKHOLMS LÄN</t>
        </is>
      </c>
      <c r="E1071" t="inlineStr">
        <is>
          <t>NORRTÄLJE</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37010-2022</t>
        </is>
      </c>
      <c r="B1072" s="1" t="n">
        <v>44806.41576388889</v>
      </c>
      <c r="C1072" s="1" t="n">
        <v>46000</v>
      </c>
      <c r="D1072" t="inlineStr">
        <is>
          <t>STOCKHOLMS LÄN</t>
        </is>
      </c>
      <c r="E1072" t="inlineStr">
        <is>
          <t>NORRTÄLJE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951-2023</t>
        </is>
      </c>
      <c r="B1073" s="1" t="n">
        <v>44934</v>
      </c>
      <c r="C1073" s="1" t="n">
        <v>46000</v>
      </c>
      <c r="D1073" t="inlineStr">
        <is>
          <t>STOCKHOLMS LÄN</t>
        </is>
      </c>
      <c r="E1073" t="inlineStr">
        <is>
          <t>NORRTÄLJE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5423-2023</t>
        </is>
      </c>
      <c r="B1074" s="1" t="n">
        <v>44959.74533564815</v>
      </c>
      <c r="C1074" s="1" t="n">
        <v>46000</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50182-2024</t>
        </is>
      </c>
      <c r="B1075" s="1" t="n">
        <v>45600.47275462963</v>
      </c>
      <c r="C1075" s="1" t="n">
        <v>46000</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12629-2024</t>
        </is>
      </c>
      <c r="B1076" s="1" t="n">
        <v>45383</v>
      </c>
      <c r="C1076" s="1" t="n">
        <v>46000</v>
      </c>
      <c r="D1076" t="inlineStr">
        <is>
          <t>STOCKHOLMS LÄN</t>
        </is>
      </c>
      <c r="E1076" t="inlineStr">
        <is>
          <t>NORRTÄLJE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35708-2022</t>
        </is>
      </c>
      <c r="B1077" s="1" t="n">
        <v>44799.65013888889</v>
      </c>
      <c r="C1077" s="1" t="n">
        <v>46000</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45220-2024</t>
        </is>
      </c>
      <c r="B1078" s="1" t="n">
        <v>45575</v>
      </c>
      <c r="C1078" s="1" t="n">
        <v>46000</v>
      </c>
      <c r="D1078" t="inlineStr">
        <is>
          <t>STOCKHOLMS LÄN</t>
        </is>
      </c>
      <c r="E1078" t="inlineStr">
        <is>
          <t>NORRTÄLJE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21731-2023</t>
        </is>
      </c>
      <c r="B1079" s="1" t="n">
        <v>45063</v>
      </c>
      <c r="C1079" s="1" t="n">
        <v>46000</v>
      </c>
      <c r="D1079" t="inlineStr">
        <is>
          <t>STOCKHOLMS LÄN</t>
        </is>
      </c>
      <c r="E1079" t="inlineStr">
        <is>
          <t>NORRTÄLJE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23266-2023</t>
        </is>
      </c>
      <c r="B1080" s="1" t="n">
        <v>45075.90817129629</v>
      </c>
      <c r="C1080" s="1" t="n">
        <v>46000</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47521-2024</t>
        </is>
      </c>
      <c r="B1081" s="1" t="n">
        <v>45587.62565972222</v>
      </c>
      <c r="C1081" s="1" t="n">
        <v>46000</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58260-2023</t>
        </is>
      </c>
      <c r="B1082" s="1" t="n">
        <v>45245</v>
      </c>
      <c r="C1082" s="1" t="n">
        <v>46000</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58261-2023</t>
        </is>
      </c>
      <c r="B1083" s="1" t="n">
        <v>45245</v>
      </c>
      <c r="C1083" s="1" t="n">
        <v>46000</v>
      </c>
      <c r="D1083" t="inlineStr">
        <is>
          <t>STOCKHOLMS LÄN</t>
        </is>
      </c>
      <c r="E1083" t="inlineStr">
        <is>
          <t>NORRTÄLJE</t>
        </is>
      </c>
      <c r="G1083" t="n">
        <v>53.5</v>
      </c>
      <c r="H1083" t="n">
        <v>0</v>
      </c>
      <c r="I1083" t="n">
        <v>0</v>
      </c>
      <c r="J1083" t="n">
        <v>0</v>
      </c>
      <c r="K1083" t="n">
        <v>0</v>
      </c>
      <c r="L1083" t="n">
        <v>0</v>
      </c>
      <c r="M1083" t="n">
        <v>0</v>
      </c>
      <c r="N1083" t="n">
        <v>0</v>
      </c>
      <c r="O1083" t="n">
        <v>0</v>
      </c>
      <c r="P1083" t="n">
        <v>0</v>
      </c>
      <c r="Q1083" t="n">
        <v>0</v>
      </c>
      <c r="R1083" s="2" t="inlineStr"/>
    </row>
    <row r="1084" ht="15" customHeight="1">
      <c r="A1084" t="inlineStr">
        <is>
          <t>A 29266-2022</t>
        </is>
      </c>
      <c r="B1084" s="1" t="n">
        <v>44750.66068287037</v>
      </c>
      <c r="C1084" s="1" t="n">
        <v>46000</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29278-2022</t>
        </is>
      </c>
      <c r="B1085" s="1" t="n">
        <v>44750</v>
      </c>
      <c r="C1085" s="1" t="n">
        <v>46000</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37273-2024</t>
        </is>
      </c>
      <c r="B1086" s="1" t="n">
        <v>45540</v>
      </c>
      <c r="C1086" s="1" t="n">
        <v>46000</v>
      </c>
      <c r="D1086" t="inlineStr">
        <is>
          <t>STOCKHOLMS LÄN</t>
        </is>
      </c>
      <c r="E1086" t="inlineStr">
        <is>
          <t>NORRTÄLJE</t>
        </is>
      </c>
      <c r="F1086" t="inlineStr">
        <is>
          <t>Sveaskog</t>
        </is>
      </c>
      <c r="G1086" t="n">
        <v>12.5</v>
      </c>
      <c r="H1086" t="n">
        <v>0</v>
      </c>
      <c r="I1086" t="n">
        <v>0</v>
      </c>
      <c r="J1086" t="n">
        <v>0</v>
      </c>
      <c r="K1086" t="n">
        <v>0</v>
      </c>
      <c r="L1086" t="n">
        <v>0</v>
      </c>
      <c r="M1086" t="n">
        <v>0</v>
      </c>
      <c r="N1086" t="n">
        <v>0</v>
      </c>
      <c r="O1086" t="n">
        <v>0</v>
      </c>
      <c r="P1086" t="n">
        <v>0</v>
      </c>
      <c r="Q1086" t="n">
        <v>0</v>
      </c>
      <c r="R1086" s="2" t="inlineStr"/>
    </row>
    <row r="1087" ht="15" customHeight="1">
      <c r="A1087" t="inlineStr">
        <is>
          <t>A 12908-2025</t>
        </is>
      </c>
      <c r="B1087" s="1" t="n">
        <v>45733.82105324074</v>
      </c>
      <c r="C1087" s="1" t="n">
        <v>46000</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23060-2023</t>
        </is>
      </c>
      <c r="B1088" s="1" t="n">
        <v>45075</v>
      </c>
      <c r="C1088" s="1" t="n">
        <v>46000</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32103-2022</t>
        </is>
      </c>
      <c r="B1089" s="1" t="n">
        <v>44778</v>
      </c>
      <c r="C1089" s="1" t="n">
        <v>46000</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6401-2024</t>
        </is>
      </c>
      <c r="B1090" s="1" t="n">
        <v>45338</v>
      </c>
      <c r="C1090" s="1" t="n">
        <v>46000</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59504-2023</t>
        </is>
      </c>
      <c r="B1091" s="1" t="n">
        <v>45254</v>
      </c>
      <c r="C1091" s="1" t="n">
        <v>46000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52321-2024</t>
        </is>
      </c>
      <c r="B1092" s="1" t="n">
        <v>45608</v>
      </c>
      <c r="C1092" s="1" t="n">
        <v>46000</v>
      </c>
      <c r="D1092" t="inlineStr">
        <is>
          <t>STOCKHOLMS LÄN</t>
        </is>
      </c>
      <c r="E1092" t="inlineStr">
        <is>
          <t>NORRTÄLJE</t>
        </is>
      </c>
      <c r="G1092" t="n">
        <v>18.1</v>
      </c>
      <c r="H1092" t="n">
        <v>0</v>
      </c>
      <c r="I1092" t="n">
        <v>0</v>
      </c>
      <c r="J1092" t="n">
        <v>0</v>
      </c>
      <c r="K1092" t="n">
        <v>0</v>
      </c>
      <c r="L1092" t="n">
        <v>0</v>
      </c>
      <c r="M1092" t="n">
        <v>0</v>
      </c>
      <c r="N1092" t="n">
        <v>0</v>
      </c>
      <c r="O1092" t="n">
        <v>0</v>
      </c>
      <c r="P1092" t="n">
        <v>0</v>
      </c>
      <c r="Q1092" t="n">
        <v>0</v>
      </c>
      <c r="R1092" s="2" t="inlineStr"/>
    </row>
    <row r="1093" ht="15" customHeight="1">
      <c r="A1093" t="inlineStr">
        <is>
          <t>A 48151-2024</t>
        </is>
      </c>
      <c r="B1093" s="1" t="n">
        <v>45589.68289351852</v>
      </c>
      <c r="C1093" s="1" t="n">
        <v>46000</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20370-2025</t>
        </is>
      </c>
      <c r="B1094" s="1" t="n">
        <v>45775.41451388889</v>
      </c>
      <c r="C1094" s="1" t="n">
        <v>46000</v>
      </c>
      <c r="D1094" t="inlineStr">
        <is>
          <t>STOCKHOLMS LÄN</t>
        </is>
      </c>
      <c r="E1094" t="inlineStr">
        <is>
          <t>NORRTÄLJE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19580-2022</t>
        </is>
      </c>
      <c r="B1095" s="1" t="n">
        <v>44693</v>
      </c>
      <c r="C1095" s="1" t="n">
        <v>46000</v>
      </c>
      <c r="D1095" t="inlineStr">
        <is>
          <t>STOCKHOLMS LÄN</t>
        </is>
      </c>
      <c r="E1095" t="inlineStr">
        <is>
          <t>NORRTÄLJE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30731-2023</t>
        </is>
      </c>
      <c r="B1096" s="1" t="n">
        <v>45112</v>
      </c>
      <c r="C1096" s="1" t="n">
        <v>46000</v>
      </c>
      <c r="D1096" t="inlineStr">
        <is>
          <t>STOCKHOLMS LÄN</t>
        </is>
      </c>
      <c r="E1096" t="inlineStr">
        <is>
          <t>NORRTÄLJE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4580-2025</t>
        </is>
      </c>
      <c r="B1097" s="1" t="n">
        <v>45687.5038425926</v>
      </c>
      <c r="C1097" s="1" t="n">
        <v>46000</v>
      </c>
      <c r="D1097" t="inlineStr">
        <is>
          <t>STOCKHOLMS LÄN</t>
        </is>
      </c>
      <c r="E1097" t="inlineStr">
        <is>
          <t>NORRTÄLJE</t>
        </is>
      </c>
      <c r="F1097" t="inlineStr">
        <is>
          <t>Holmen skog AB</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31057-2022</t>
        </is>
      </c>
      <c r="B1098" s="1" t="n">
        <v>44769</v>
      </c>
      <c r="C1098" s="1" t="n">
        <v>46000</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31140-2023</t>
        </is>
      </c>
      <c r="B1099" s="1" t="n">
        <v>45113</v>
      </c>
      <c r="C1099" s="1" t="n">
        <v>46000</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31149-2023</t>
        </is>
      </c>
      <c r="B1100" s="1" t="n">
        <v>45113</v>
      </c>
      <c r="C1100" s="1" t="n">
        <v>46000</v>
      </c>
      <c r="D1100" t="inlineStr">
        <is>
          <t>STOCKHOLMS LÄN</t>
        </is>
      </c>
      <c r="E1100" t="inlineStr">
        <is>
          <t>NORRTÄLJE</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4658-2024</t>
        </is>
      </c>
      <c r="B1101" s="1" t="n">
        <v>45328.46336805556</v>
      </c>
      <c r="C1101" s="1" t="n">
        <v>46000</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19131-2025</t>
        </is>
      </c>
      <c r="B1102" s="1" t="n">
        <v>45769</v>
      </c>
      <c r="C1102" s="1" t="n">
        <v>46000</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7571-2024</t>
        </is>
      </c>
      <c r="B1103" s="1" t="n">
        <v>45348.46300925926</v>
      </c>
      <c r="C1103" s="1" t="n">
        <v>46000</v>
      </c>
      <c r="D1103" t="inlineStr">
        <is>
          <t>STOCKHOLMS LÄN</t>
        </is>
      </c>
      <c r="E1103" t="inlineStr">
        <is>
          <t>NORRTÄLJE</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11849-2025</t>
        </is>
      </c>
      <c r="B1104" s="1" t="n">
        <v>45728.38409722222</v>
      </c>
      <c r="C1104" s="1" t="n">
        <v>46000</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40425-2021</t>
        </is>
      </c>
      <c r="B1105" s="1" t="n">
        <v>44419</v>
      </c>
      <c r="C1105" s="1" t="n">
        <v>46000</v>
      </c>
      <c r="D1105" t="inlineStr">
        <is>
          <t>STOCKHOLMS LÄN</t>
        </is>
      </c>
      <c r="E1105" t="inlineStr">
        <is>
          <t>NORRTÄLJE</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58990-2021</t>
        </is>
      </c>
      <c r="B1106" s="1" t="n">
        <v>44490.03621527777</v>
      </c>
      <c r="C1106" s="1" t="n">
        <v>46000</v>
      </c>
      <c r="D1106" t="inlineStr">
        <is>
          <t>STOCKHOLMS LÄN</t>
        </is>
      </c>
      <c r="E1106" t="inlineStr">
        <is>
          <t>NORRTÄLJE</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20790-2025</t>
        </is>
      </c>
      <c r="B1107" s="1" t="n">
        <v>45776.62563657408</v>
      </c>
      <c r="C1107" s="1" t="n">
        <v>46000</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20699-2025</t>
        </is>
      </c>
      <c r="B1108" s="1" t="n">
        <v>45776.47346064815</v>
      </c>
      <c r="C1108" s="1" t="n">
        <v>46000</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3152-2024</t>
        </is>
      </c>
      <c r="B1109" s="1" t="n">
        <v>45316.60306712963</v>
      </c>
      <c r="C1109" s="1" t="n">
        <v>46000</v>
      </c>
      <c r="D1109" t="inlineStr">
        <is>
          <t>STOCKHOLMS LÄN</t>
        </is>
      </c>
      <c r="E1109" t="inlineStr">
        <is>
          <t>NORRTÄLJE</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59326-2023</t>
        </is>
      </c>
      <c r="B1110" s="1" t="n">
        <v>45253.63089120371</v>
      </c>
      <c r="C1110" s="1" t="n">
        <v>46000</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44836-2023</t>
        </is>
      </c>
      <c r="B1111" s="1" t="n">
        <v>45190.55609953704</v>
      </c>
      <c r="C1111" s="1" t="n">
        <v>46000</v>
      </c>
      <c r="D1111" t="inlineStr">
        <is>
          <t>STOCKHOLMS LÄN</t>
        </is>
      </c>
      <c r="E1111" t="inlineStr">
        <is>
          <t>NORRTÄLJE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20779-2025</t>
        </is>
      </c>
      <c r="B1112" s="1" t="n">
        <v>45776.59871527777</v>
      </c>
      <c r="C1112" s="1" t="n">
        <v>46000</v>
      </c>
      <c r="D1112" t="inlineStr">
        <is>
          <t>STOCKHOLMS LÄN</t>
        </is>
      </c>
      <c r="E1112" t="inlineStr">
        <is>
          <t>NORRTÄLJE</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21771-2025</t>
        </is>
      </c>
      <c r="B1113" s="1" t="n">
        <v>45783</v>
      </c>
      <c r="C1113" s="1" t="n">
        <v>46000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21778-2025</t>
        </is>
      </c>
      <c r="B1114" s="1" t="n">
        <v>45783.66429398148</v>
      </c>
      <c r="C1114" s="1" t="n">
        <v>46000</v>
      </c>
      <c r="D1114" t="inlineStr">
        <is>
          <t>STOCKHOLMS LÄN</t>
        </is>
      </c>
      <c r="E1114" t="inlineStr">
        <is>
          <t>NORRTÄLJE</t>
        </is>
      </c>
      <c r="G1114" t="n">
        <v>2</v>
      </c>
      <c r="H1114" t="n">
        <v>0</v>
      </c>
      <c r="I1114" t="n">
        <v>0</v>
      </c>
      <c r="J1114" t="n">
        <v>0</v>
      </c>
      <c r="K1114" t="n">
        <v>0</v>
      </c>
      <c r="L1114" t="n">
        <v>0</v>
      </c>
      <c r="M1114" t="n">
        <v>0</v>
      </c>
      <c r="N1114" t="n">
        <v>0</v>
      </c>
      <c r="O1114" t="n">
        <v>0</v>
      </c>
      <c r="P1114" t="n">
        <v>0</v>
      </c>
      <c r="Q1114" t="n">
        <v>0</v>
      </c>
      <c r="R1114" s="2" t="inlineStr"/>
    </row>
    <row r="1115">
      <c r="A1115" t="inlineStr">
        <is>
          <t>A 22202-2025</t>
        </is>
      </c>
      <c r="B1115" s="1" t="n">
        <v>45785.65300925926</v>
      </c>
      <c r="C1115" s="1" t="n">
        <v>46000</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2025-12-09T10:24:23Z</dcterms:created>
  <dcterms:modified xmlns:dcterms="http://purl.org/dc/terms/" xmlns:xsi="http://www.w3.org/2001/XMLSchema-instance" xsi:type="dcterms:W3CDTF">2025-12-09T10:24:24Z</dcterms:modified>
</cp:coreProperties>
</file>