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46047</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46047</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46047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46047</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46047</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46047</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46047</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46047</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46047</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60941-2025</t>
        </is>
      </c>
      <c r="B16" s="1" t="n">
        <v>45999.64359953703</v>
      </c>
      <c r="C16" s="1" t="n">
        <v>46047</v>
      </c>
      <c r="D16" t="inlineStr">
        <is>
          <t>STOCKHOLMS LÄN</t>
        </is>
      </c>
      <c r="E16" t="inlineStr">
        <is>
          <t>NORRTÄLJE</t>
        </is>
      </c>
      <c r="G16" t="n">
        <v>4.3</v>
      </c>
      <c r="H16" t="n">
        <v>5</v>
      </c>
      <c r="I16" t="n">
        <v>12</v>
      </c>
      <c r="J16" t="n">
        <v>4</v>
      </c>
      <c r="K16" t="n">
        <v>3</v>
      </c>
      <c r="L16" t="n">
        <v>0</v>
      </c>
      <c r="M16" t="n">
        <v>0</v>
      </c>
      <c r="N16" t="n">
        <v>0</v>
      </c>
      <c r="O16" t="n">
        <v>7</v>
      </c>
      <c r="P16" t="n">
        <v>3</v>
      </c>
      <c r="Q16" t="n">
        <v>21</v>
      </c>
      <c r="R1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6">
        <f>HYPERLINK("https://klasma.github.io/Logging_0188/artfynd/A 60941-2025 artfynd.xlsx", "A 60941-2025")</f>
        <v/>
      </c>
      <c r="T16">
        <f>HYPERLINK("https://klasma.github.io/Logging_0188/kartor/A 60941-2025 karta.png", "A 60941-2025")</f>
        <v/>
      </c>
      <c r="U16">
        <f>HYPERLINK("https://klasma.github.io/Logging_0188/knärot/A 60941-2025 karta knärot.png", "A 60941-2025")</f>
        <v/>
      </c>
      <c r="V16">
        <f>HYPERLINK("https://klasma.github.io/Logging_0188/klagomål/A 60941-2025 FSC-klagomål.docx", "A 60941-2025")</f>
        <v/>
      </c>
      <c r="W16">
        <f>HYPERLINK("https://klasma.github.io/Logging_0188/klagomålsmail/A 60941-2025 FSC-klagomål mail.docx", "A 60941-2025")</f>
        <v/>
      </c>
      <c r="X16">
        <f>HYPERLINK("https://klasma.github.io/Logging_0188/tillsyn/A 60941-2025 tillsynsbegäran.docx", "A 60941-2025")</f>
        <v/>
      </c>
      <c r="Y16">
        <f>HYPERLINK("https://klasma.github.io/Logging_0188/tillsynsmail/A 60941-2025 tillsynsbegäran mail.docx", "A 60941-2025")</f>
        <v/>
      </c>
      <c r="Z16">
        <f>HYPERLINK("https://klasma.github.io/Logging_0188/fåglar/A 60941-2025 prioriterade fågelarter.docx", "A 60941-2025")</f>
        <v/>
      </c>
    </row>
    <row r="17" ht="15" customHeight="1">
      <c r="A17" t="inlineStr">
        <is>
          <t>A 10646-2024</t>
        </is>
      </c>
      <c r="B17" s="1" t="n">
        <v>45367</v>
      </c>
      <c r="C17" s="1" t="n">
        <v>46047</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46047</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46047</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639-2026</t>
        </is>
      </c>
      <c r="B21" s="1" t="n">
        <v>46029</v>
      </c>
      <c r="C21" s="1" t="n">
        <v>46047</v>
      </c>
      <c r="D21" t="inlineStr">
        <is>
          <t>STOCKHOLMS LÄN</t>
        </is>
      </c>
      <c r="E21" t="inlineStr">
        <is>
          <t>NORRTÄLJE</t>
        </is>
      </c>
      <c r="G21" t="n">
        <v>24.7</v>
      </c>
      <c r="H21" t="n">
        <v>12</v>
      </c>
      <c r="I21" t="n">
        <v>0</v>
      </c>
      <c r="J21" t="n">
        <v>5</v>
      </c>
      <c r="K21" t="n">
        <v>1</v>
      </c>
      <c r="L21" t="n">
        <v>0</v>
      </c>
      <c r="M21" t="n">
        <v>0</v>
      </c>
      <c r="N21" t="n">
        <v>0</v>
      </c>
      <c r="O21" t="n">
        <v>6</v>
      </c>
      <c r="P21" t="n">
        <v>1</v>
      </c>
      <c r="Q21" t="n">
        <v>12</v>
      </c>
      <c r="R21" s="2" t="inlineStr">
        <is>
          <t>Stare
Entita
Gulsparv
Nordfladdermus
Rödvingetrast
Talltita
Enkelbeckasin
Grönsiska
Järnsparv
Kungsfågel
Större brunfladdermus
Blåsippa</t>
        </is>
      </c>
      <c r="S21">
        <f>HYPERLINK("https://klasma.github.io/Logging_0188/artfynd/A 639-2026 artfynd.xlsx", "A 639-2026")</f>
        <v/>
      </c>
      <c r="T21">
        <f>HYPERLINK("https://klasma.github.io/Logging_0188/kartor/A 639-2026 karta.png", "A 639-2026")</f>
        <v/>
      </c>
      <c r="V21">
        <f>HYPERLINK("https://klasma.github.io/Logging_0188/klagomål/A 639-2026 FSC-klagomål.docx", "A 639-2026")</f>
        <v/>
      </c>
      <c r="W21">
        <f>HYPERLINK("https://klasma.github.io/Logging_0188/klagomålsmail/A 639-2026 FSC-klagomål mail.docx", "A 639-2026")</f>
        <v/>
      </c>
      <c r="X21">
        <f>HYPERLINK("https://klasma.github.io/Logging_0188/tillsyn/A 639-2026 tillsynsbegäran.docx", "A 639-2026")</f>
        <v/>
      </c>
      <c r="Y21">
        <f>HYPERLINK("https://klasma.github.io/Logging_0188/tillsynsmail/A 639-2026 tillsynsbegäran mail.docx", "A 639-2026")</f>
        <v/>
      </c>
      <c r="Z21">
        <f>HYPERLINK("https://klasma.github.io/Logging_0188/fåglar/A 639-2026 prioriterade fågelarter.docx", "A 639-2026")</f>
        <v/>
      </c>
    </row>
    <row r="22" ht="15" customHeight="1">
      <c r="A22" t="inlineStr">
        <is>
          <t>A 3472-2023</t>
        </is>
      </c>
      <c r="B22" s="1" t="n">
        <v>44949</v>
      </c>
      <c r="C22" s="1" t="n">
        <v>46047</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11231-2021</t>
        </is>
      </c>
      <c r="B23" s="1" t="n">
        <v>44263</v>
      </c>
      <c r="C23" s="1" t="n">
        <v>46047</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20722-2024</t>
        </is>
      </c>
      <c r="B24" s="1" t="n">
        <v>45436</v>
      </c>
      <c r="C24" s="1" t="n">
        <v>46047</v>
      </c>
      <c r="D24" t="inlineStr">
        <is>
          <t>STOCKHOLMS LÄN</t>
        </is>
      </c>
      <c r="E24" t="inlineStr">
        <is>
          <t>NORRTÄLJE</t>
        </is>
      </c>
      <c r="G24" t="n">
        <v>5.2</v>
      </c>
      <c r="H24" t="n">
        <v>4</v>
      </c>
      <c r="I24" t="n">
        <v>2</v>
      </c>
      <c r="J24" t="n">
        <v>6</v>
      </c>
      <c r="K24" t="n">
        <v>1</v>
      </c>
      <c r="L24" t="n">
        <v>0</v>
      </c>
      <c r="M24" t="n">
        <v>0</v>
      </c>
      <c r="N24" t="n">
        <v>0</v>
      </c>
      <c r="O24" t="n">
        <v>7</v>
      </c>
      <c r="P24" t="n">
        <v>1</v>
      </c>
      <c r="Q24" t="n">
        <v>10</v>
      </c>
      <c r="R24" s="2" t="inlineStr">
        <is>
          <t>Knärot
Garnlav
Granticka
Gränsticka
Spillkråka
Svartvit flugsnappare
Ullticka
Bronshjon
Vågbandad barkbock
Blåsippa</t>
        </is>
      </c>
      <c r="S24">
        <f>HYPERLINK("https://klasma.github.io/Logging_0188/artfynd/A 20722-2024 artfynd.xlsx", "A 20722-2024")</f>
        <v/>
      </c>
      <c r="T24">
        <f>HYPERLINK("https://klasma.github.io/Logging_0188/kartor/A 20722-2024 karta.png", "A 20722-2024")</f>
        <v/>
      </c>
      <c r="U24">
        <f>HYPERLINK("https://klasma.github.io/Logging_0188/knärot/A 20722-2024 karta knärot.png", "A 20722-2024")</f>
        <v/>
      </c>
      <c r="V24">
        <f>HYPERLINK("https://klasma.github.io/Logging_0188/klagomål/A 20722-2024 FSC-klagomål.docx", "A 20722-2024")</f>
        <v/>
      </c>
      <c r="W24">
        <f>HYPERLINK("https://klasma.github.io/Logging_0188/klagomålsmail/A 20722-2024 FSC-klagomål mail.docx", "A 20722-2024")</f>
        <v/>
      </c>
      <c r="X24">
        <f>HYPERLINK("https://klasma.github.io/Logging_0188/tillsyn/A 20722-2024 tillsynsbegäran.docx", "A 20722-2024")</f>
        <v/>
      </c>
      <c r="Y24">
        <f>HYPERLINK("https://klasma.github.io/Logging_0188/tillsynsmail/A 20722-2024 tillsynsbegäran mail.docx", "A 20722-2024")</f>
        <v/>
      </c>
      <c r="Z24">
        <f>HYPERLINK("https://klasma.github.io/Logging_0188/fåglar/A 20722-2024 prioriterade fågelarter.docx", "A 20722-2024")</f>
        <v/>
      </c>
    </row>
    <row r="25" ht="15" customHeight="1">
      <c r="A25" t="inlineStr">
        <is>
          <t>A 44847-2023</t>
        </is>
      </c>
      <c r="B25" s="1" t="n">
        <v>45190</v>
      </c>
      <c r="C25" s="1" t="n">
        <v>46047</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73093-2021</t>
        </is>
      </c>
      <c r="B26" s="1" t="n">
        <v>44550</v>
      </c>
      <c r="C26" s="1" t="n">
        <v>46047</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46047</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50326-2024</t>
        </is>
      </c>
      <c r="B28" s="1" t="n">
        <v>45600</v>
      </c>
      <c r="C28" s="1" t="n">
        <v>46047</v>
      </c>
      <c r="D28" t="inlineStr">
        <is>
          <t>STOCKHOLMS LÄN</t>
        </is>
      </c>
      <c r="E28" t="inlineStr">
        <is>
          <t>NORRTÄLJE</t>
        </is>
      </c>
      <c r="G28" t="n">
        <v>23.9</v>
      </c>
      <c r="H28" t="n">
        <v>4</v>
      </c>
      <c r="I28" t="n">
        <v>5</v>
      </c>
      <c r="J28" t="n">
        <v>1</v>
      </c>
      <c r="K28" t="n">
        <v>0</v>
      </c>
      <c r="L28" t="n">
        <v>0</v>
      </c>
      <c r="M28" t="n">
        <v>0</v>
      </c>
      <c r="N28" t="n">
        <v>0</v>
      </c>
      <c r="O28" t="n">
        <v>1</v>
      </c>
      <c r="P28" t="n">
        <v>0</v>
      </c>
      <c r="Q28" t="n">
        <v>9</v>
      </c>
      <c r="R28" s="2" t="inlineStr">
        <is>
          <t>Sommarfibbla
Nästrot
Slät lönnlav
Svart trolldruva
Tibast
Vårärt
Fläcknycklar
Blåsippa
Gullviva</t>
        </is>
      </c>
      <c r="S28">
        <f>HYPERLINK("https://klasma.github.io/Logging_0188/artfynd/A 50326-2024 artfynd.xlsx", "A 50326-2024")</f>
        <v/>
      </c>
      <c r="T28">
        <f>HYPERLINK("https://klasma.github.io/Logging_0188/kartor/A 50326-2024 karta.png", "A 50326-2024")</f>
        <v/>
      </c>
      <c r="V28">
        <f>HYPERLINK("https://klasma.github.io/Logging_0188/klagomål/A 50326-2024 FSC-klagomål.docx", "A 50326-2024")</f>
        <v/>
      </c>
      <c r="W28">
        <f>HYPERLINK("https://klasma.github.io/Logging_0188/klagomålsmail/A 50326-2024 FSC-klagomål mail.docx", "A 50326-2024")</f>
        <v/>
      </c>
      <c r="X28">
        <f>HYPERLINK("https://klasma.github.io/Logging_0188/tillsyn/A 50326-2024 tillsynsbegäran.docx", "A 50326-2024")</f>
        <v/>
      </c>
      <c r="Y28">
        <f>HYPERLINK("https://klasma.github.io/Logging_0188/tillsynsmail/A 50326-2024 tillsynsbegäran mail.docx", "A 50326-2024")</f>
        <v/>
      </c>
    </row>
    <row r="29" ht="15" customHeight="1">
      <c r="A29" t="inlineStr">
        <is>
          <t>A 47274-2024</t>
        </is>
      </c>
      <c r="B29" s="1" t="n">
        <v>45586</v>
      </c>
      <c r="C29" s="1" t="n">
        <v>46047</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61292-2025</t>
        </is>
      </c>
      <c r="B30" s="1" t="n">
        <v>46000.75015046296</v>
      </c>
      <c r="C30" s="1" t="n">
        <v>46047</v>
      </c>
      <c r="D30" t="inlineStr">
        <is>
          <t>STOCKHOLMS LÄN</t>
        </is>
      </c>
      <c r="E30" t="inlineStr">
        <is>
          <t>NORRTÄLJE</t>
        </is>
      </c>
      <c r="G30" t="n">
        <v>3.8</v>
      </c>
      <c r="H30" t="n">
        <v>4</v>
      </c>
      <c r="I30" t="n">
        <v>5</v>
      </c>
      <c r="J30" t="n">
        <v>2</v>
      </c>
      <c r="K30" t="n">
        <v>1</v>
      </c>
      <c r="L30" t="n">
        <v>0</v>
      </c>
      <c r="M30" t="n">
        <v>0</v>
      </c>
      <c r="N30" t="n">
        <v>0</v>
      </c>
      <c r="O30" t="n">
        <v>3</v>
      </c>
      <c r="P30" t="n">
        <v>1</v>
      </c>
      <c r="Q30" t="n">
        <v>9</v>
      </c>
      <c r="R30" s="2" t="inlineStr">
        <is>
          <t>Knärot
Spillkråka
Ullticka
Bronshjon
Grön sköldmossa
Grönpyrola
Stubbspretmossa
Vågbandad barkbock
Kungsfågel</t>
        </is>
      </c>
      <c r="S30">
        <f>HYPERLINK("https://klasma.github.io/Logging_0188/artfynd/A 61292-2025 artfynd.xlsx", "A 61292-2025")</f>
        <v/>
      </c>
      <c r="T30">
        <f>HYPERLINK("https://klasma.github.io/Logging_0188/kartor/A 61292-2025 karta.png", "A 61292-2025")</f>
        <v/>
      </c>
      <c r="U30">
        <f>HYPERLINK("https://klasma.github.io/Logging_0188/knärot/A 61292-2025 karta knärot.png", "A 61292-2025")</f>
        <v/>
      </c>
      <c r="V30">
        <f>HYPERLINK("https://klasma.github.io/Logging_0188/klagomål/A 61292-2025 FSC-klagomål.docx", "A 61292-2025")</f>
        <v/>
      </c>
      <c r="W30">
        <f>HYPERLINK("https://klasma.github.io/Logging_0188/klagomålsmail/A 61292-2025 FSC-klagomål mail.docx", "A 61292-2025")</f>
        <v/>
      </c>
      <c r="X30">
        <f>HYPERLINK("https://klasma.github.io/Logging_0188/tillsyn/A 61292-2025 tillsynsbegäran.docx", "A 61292-2025")</f>
        <v/>
      </c>
      <c r="Y30">
        <f>HYPERLINK("https://klasma.github.io/Logging_0188/tillsynsmail/A 61292-2025 tillsynsbegäran mail.docx", "A 61292-2025")</f>
        <v/>
      </c>
      <c r="Z30">
        <f>HYPERLINK("https://klasma.github.io/Logging_0188/fåglar/A 61292-2025 prioriterade fågelarter.docx", "A 61292-2025")</f>
        <v/>
      </c>
    </row>
    <row r="31" ht="15" customHeight="1">
      <c r="A31" t="inlineStr">
        <is>
          <t>A 59582-2024</t>
        </is>
      </c>
      <c r="B31" s="1" t="n">
        <v>45638</v>
      </c>
      <c r="C31" s="1" t="n">
        <v>46047</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25732-2025</t>
        </is>
      </c>
      <c r="B32" s="1" t="n">
        <v>45800</v>
      </c>
      <c r="C32" s="1" t="n">
        <v>46047</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47951-2025</t>
        </is>
      </c>
      <c r="B33" s="1" t="n">
        <v>45932.58491898148</v>
      </c>
      <c r="C33" s="1" t="n">
        <v>46047</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61099-2025</t>
        </is>
      </c>
      <c r="B34" s="1" t="n">
        <v>46000.44185185185</v>
      </c>
      <c r="C34" s="1" t="n">
        <v>46047</v>
      </c>
      <c r="D34" t="inlineStr">
        <is>
          <t>STOCKHOLMS LÄN</t>
        </is>
      </c>
      <c r="E34" t="inlineStr">
        <is>
          <t>NORRTÄLJE</t>
        </is>
      </c>
      <c r="G34" t="n">
        <v>9.5</v>
      </c>
      <c r="H34" t="n">
        <v>5</v>
      </c>
      <c r="I34" t="n">
        <v>1</v>
      </c>
      <c r="J34" t="n">
        <v>3</v>
      </c>
      <c r="K34" t="n">
        <v>1</v>
      </c>
      <c r="L34" t="n">
        <v>0</v>
      </c>
      <c r="M34" t="n">
        <v>0</v>
      </c>
      <c r="N34" t="n">
        <v>0</v>
      </c>
      <c r="O34" t="n">
        <v>4</v>
      </c>
      <c r="P34" t="n">
        <v>1</v>
      </c>
      <c r="Q34" t="n">
        <v>8</v>
      </c>
      <c r="R34" s="2" t="inlineStr">
        <is>
          <t>Knärot
Leptoporus erubescens
Spillkråka
Vedtrappmossa
Stubbspretmossa
Kungsfågel
Nattviol
Blåsippa</t>
        </is>
      </c>
      <c r="S34">
        <f>HYPERLINK("https://klasma.github.io/Logging_0188/artfynd/A 61099-2025 artfynd.xlsx", "A 61099-2025")</f>
        <v/>
      </c>
      <c r="T34">
        <f>HYPERLINK("https://klasma.github.io/Logging_0188/kartor/A 61099-2025 karta.png", "A 61099-2025")</f>
        <v/>
      </c>
      <c r="U34">
        <f>HYPERLINK("https://klasma.github.io/Logging_0188/knärot/A 61099-2025 karta knärot.png", "A 61099-2025")</f>
        <v/>
      </c>
      <c r="V34">
        <f>HYPERLINK("https://klasma.github.io/Logging_0188/klagomål/A 61099-2025 FSC-klagomål.docx", "A 61099-2025")</f>
        <v/>
      </c>
      <c r="W34">
        <f>HYPERLINK("https://klasma.github.io/Logging_0188/klagomålsmail/A 61099-2025 FSC-klagomål mail.docx", "A 61099-2025")</f>
        <v/>
      </c>
      <c r="X34">
        <f>HYPERLINK("https://klasma.github.io/Logging_0188/tillsyn/A 61099-2025 tillsynsbegäran.docx", "A 61099-2025")</f>
        <v/>
      </c>
      <c r="Y34">
        <f>HYPERLINK("https://klasma.github.io/Logging_0188/tillsynsmail/A 61099-2025 tillsynsbegäran mail.docx", "A 61099-2025")</f>
        <v/>
      </c>
      <c r="Z34">
        <f>HYPERLINK("https://klasma.github.io/Logging_0188/fåglar/A 61099-2025 prioriterade fågelarter.docx", "A 61099-2025")</f>
        <v/>
      </c>
    </row>
    <row r="35" ht="15" customHeight="1">
      <c r="A35" t="inlineStr">
        <is>
          <t>A 45811-2022</t>
        </is>
      </c>
      <c r="B35" s="1" t="n">
        <v>44846</v>
      </c>
      <c r="C35" s="1" t="n">
        <v>46047</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46047</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46047</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46047</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46047</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46047</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46047</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15804-2025</t>
        </is>
      </c>
      <c r="B42" s="1" t="n">
        <v>45748.6521875</v>
      </c>
      <c r="C42" s="1" t="n">
        <v>46047</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21922-2023</t>
        </is>
      </c>
      <c r="B43" s="1" t="n">
        <v>45068</v>
      </c>
      <c r="C43" s="1" t="n">
        <v>46047</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46047</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46047</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30687-2025</t>
        </is>
      </c>
      <c r="B46" s="1" t="n">
        <v>45831.53390046296</v>
      </c>
      <c r="C46" s="1" t="n">
        <v>46047</v>
      </c>
      <c r="D46" t="inlineStr">
        <is>
          <t>STOCKHOLMS LÄN</t>
        </is>
      </c>
      <c r="E46" t="inlineStr">
        <is>
          <t>NORRTÄLJE</t>
        </is>
      </c>
      <c r="G46" t="n">
        <v>6.7</v>
      </c>
      <c r="H46" t="n">
        <v>1</v>
      </c>
      <c r="I46" t="n">
        <v>2</v>
      </c>
      <c r="J46" t="n">
        <v>2</v>
      </c>
      <c r="K46" t="n">
        <v>0</v>
      </c>
      <c r="L46" t="n">
        <v>0</v>
      </c>
      <c r="M46" t="n">
        <v>0</v>
      </c>
      <c r="N46" t="n">
        <v>0</v>
      </c>
      <c r="O46" t="n">
        <v>2</v>
      </c>
      <c r="P46" t="n">
        <v>0</v>
      </c>
      <c r="Q46" t="n">
        <v>5</v>
      </c>
      <c r="R46" s="2" t="inlineStr">
        <is>
          <t>Ekvaxskivling
Kandelabersvamp
Stinkbrosking
Svart trolldruva
Blåsippa</t>
        </is>
      </c>
      <c r="S46">
        <f>HYPERLINK("https://klasma.github.io/Logging_0188/artfynd/A 30687-2025 artfynd.xlsx", "A 30687-2025")</f>
        <v/>
      </c>
      <c r="T46">
        <f>HYPERLINK("https://klasma.github.io/Logging_0188/kartor/A 30687-2025 karta.png", "A 30687-2025")</f>
        <v/>
      </c>
      <c r="V46">
        <f>HYPERLINK("https://klasma.github.io/Logging_0188/klagomål/A 30687-2025 FSC-klagomål.docx", "A 30687-2025")</f>
        <v/>
      </c>
      <c r="W46">
        <f>HYPERLINK("https://klasma.github.io/Logging_0188/klagomålsmail/A 30687-2025 FSC-klagomål mail.docx", "A 30687-2025")</f>
        <v/>
      </c>
      <c r="X46">
        <f>HYPERLINK("https://klasma.github.io/Logging_0188/tillsyn/A 30687-2025 tillsynsbegäran.docx", "A 30687-2025")</f>
        <v/>
      </c>
      <c r="Y46">
        <f>HYPERLINK("https://klasma.github.io/Logging_0188/tillsynsmail/A 30687-2025 tillsynsbegäran mail.docx", "A 30687-2025")</f>
        <v/>
      </c>
    </row>
    <row r="47" ht="15" customHeight="1">
      <c r="A47" t="inlineStr">
        <is>
          <t>A 56791-2025</t>
        </is>
      </c>
      <c r="B47" s="1" t="n">
        <v>45978</v>
      </c>
      <c r="C47" s="1" t="n">
        <v>46047</v>
      </c>
      <c r="D47" t="inlineStr">
        <is>
          <t>STOCKHOLMS LÄN</t>
        </is>
      </c>
      <c r="E47" t="inlineStr">
        <is>
          <t>NORRTÄLJE</t>
        </is>
      </c>
      <c r="G47" t="n">
        <v>1.8</v>
      </c>
      <c r="H47" t="n">
        <v>2</v>
      </c>
      <c r="I47" t="n">
        <v>3</v>
      </c>
      <c r="J47" t="n">
        <v>1</v>
      </c>
      <c r="K47" t="n">
        <v>0</v>
      </c>
      <c r="L47" t="n">
        <v>0</v>
      </c>
      <c r="M47" t="n">
        <v>0</v>
      </c>
      <c r="N47" t="n">
        <v>0</v>
      </c>
      <c r="O47" t="n">
        <v>1</v>
      </c>
      <c r="P47" t="n">
        <v>0</v>
      </c>
      <c r="Q47" t="n">
        <v>5</v>
      </c>
      <c r="R47" s="2" t="inlineStr">
        <is>
          <t>Spillkråka
Skarp dropptaggsvamp
Vågbandad barkbock
Vårärt
Blåsippa</t>
        </is>
      </c>
      <c r="S47">
        <f>HYPERLINK("https://klasma.github.io/Logging_0188/artfynd/A 56791-2025 artfynd.xlsx", "A 56791-2025")</f>
        <v/>
      </c>
      <c r="T47">
        <f>HYPERLINK("https://klasma.github.io/Logging_0188/kartor/A 56791-2025 karta.png", "A 56791-2025")</f>
        <v/>
      </c>
      <c r="V47">
        <f>HYPERLINK("https://klasma.github.io/Logging_0188/klagomål/A 56791-2025 FSC-klagomål.docx", "A 56791-2025")</f>
        <v/>
      </c>
      <c r="W47">
        <f>HYPERLINK("https://klasma.github.io/Logging_0188/klagomålsmail/A 56791-2025 FSC-klagomål mail.docx", "A 56791-2025")</f>
        <v/>
      </c>
      <c r="X47">
        <f>HYPERLINK("https://klasma.github.io/Logging_0188/tillsyn/A 56791-2025 tillsynsbegäran.docx", "A 56791-2025")</f>
        <v/>
      </c>
      <c r="Y47">
        <f>HYPERLINK("https://klasma.github.io/Logging_0188/tillsynsmail/A 56791-2025 tillsynsbegäran mail.docx", "A 56791-2025")</f>
        <v/>
      </c>
      <c r="Z47">
        <f>HYPERLINK("https://klasma.github.io/Logging_0188/fåglar/A 56791-2025 prioriterade fågelarter.docx", "A 56791-2025")</f>
        <v/>
      </c>
    </row>
    <row r="48" ht="15" customHeight="1">
      <c r="A48" t="inlineStr">
        <is>
          <t>A 22071-2022</t>
        </is>
      </c>
      <c r="B48" s="1" t="n">
        <v>44711</v>
      </c>
      <c r="C48" s="1" t="n">
        <v>46047</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46047</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25687-2025</t>
        </is>
      </c>
      <c r="B50" s="1" t="n">
        <v>45800</v>
      </c>
      <c r="C50" s="1" t="n">
        <v>46047</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72305-2021</t>
        </is>
      </c>
      <c r="B51" s="1" t="n">
        <v>44545</v>
      </c>
      <c r="C51" s="1" t="n">
        <v>46047</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34521-2025</t>
        </is>
      </c>
      <c r="B52" s="1" t="n">
        <v>45847.47052083333</v>
      </c>
      <c r="C52" s="1" t="n">
        <v>46047</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46047</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46047</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41276-2025</t>
        </is>
      </c>
      <c r="B55" s="1" t="n">
        <v>45898.62723379629</v>
      </c>
      <c r="C55" s="1" t="n">
        <v>46047</v>
      </c>
      <c r="D55" t="inlineStr">
        <is>
          <t>STOCKHOLMS LÄN</t>
        </is>
      </c>
      <c r="E55" t="inlineStr">
        <is>
          <t>NORRTÄLJE</t>
        </is>
      </c>
      <c r="G55" t="n">
        <v>3.2</v>
      </c>
      <c r="H55" t="n">
        <v>1</v>
      </c>
      <c r="I55" t="n">
        <v>2</v>
      </c>
      <c r="J55" t="n">
        <v>0</v>
      </c>
      <c r="K55" t="n">
        <v>0</v>
      </c>
      <c r="L55" t="n">
        <v>1</v>
      </c>
      <c r="M55" t="n">
        <v>0</v>
      </c>
      <c r="N55" t="n">
        <v>0</v>
      </c>
      <c r="O55" t="n">
        <v>1</v>
      </c>
      <c r="P55" t="n">
        <v>1</v>
      </c>
      <c r="Q55" t="n">
        <v>4</v>
      </c>
      <c r="R55" s="2" t="inlineStr">
        <is>
          <t>Ask
Underviol
Vårärt
Blåsippa</t>
        </is>
      </c>
      <c r="S55">
        <f>HYPERLINK("https://klasma.github.io/Logging_0188/artfynd/A 41276-2025 artfynd.xlsx", "A 41276-2025")</f>
        <v/>
      </c>
      <c r="T55">
        <f>HYPERLINK("https://klasma.github.io/Logging_0188/kartor/A 41276-2025 karta.png", "A 41276-2025")</f>
        <v/>
      </c>
      <c r="V55">
        <f>HYPERLINK("https://klasma.github.io/Logging_0188/klagomål/A 41276-2025 FSC-klagomål.docx", "A 41276-2025")</f>
        <v/>
      </c>
      <c r="W55">
        <f>HYPERLINK("https://klasma.github.io/Logging_0188/klagomålsmail/A 41276-2025 FSC-klagomål mail.docx", "A 41276-2025")</f>
        <v/>
      </c>
      <c r="X55">
        <f>HYPERLINK("https://klasma.github.io/Logging_0188/tillsyn/A 41276-2025 tillsynsbegäran.docx", "A 41276-2025")</f>
        <v/>
      </c>
      <c r="Y55">
        <f>HYPERLINK("https://klasma.github.io/Logging_0188/tillsynsmail/A 41276-2025 tillsynsbegäran mail.docx", "A 41276-2025")</f>
        <v/>
      </c>
    </row>
    <row r="56" ht="15" customHeight="1">
      <c r="A56" t="inlineStr">
        <is>
          <t>A 10876-2025</t>
        </is>
      </c>
      <c r="B56" s="1" t="n">
        <v>45722</v>
      </c>
      <c r="C56" s="1" t="n">
        <v>46047</v>
      </c>
      <c r="D56" t="inlineStr">
        <is>
          <t>STOCKHOLMS LÄN</t>
        </is>
      </c>
      <c r="E56" t="inlineStr">
        <is>
          <t>NORRTÄLJE</t>
        </is>
      </c>
      <c r="F56" t="inlineStr">
        <is>
          <t>Holmen skog AB</t>
        </is>
      </c>
      <c r="G56" t="n">
        <v>9.300000000000001</v>
      </c>
      <c r="H56" t="n">
        <v>4</v>
      </c>
      <c r="I56" t="n">
        <v>0</v>
      </c>
      <c r="J56" t="n">
        <v>1</v>
      </c>
      <c r="K56" t="n">
        <v>1</v>
      </c>
      <c r="L56" t="n">
        <v>1</v>
      </c>
      <c r="M56" t="n">
        <v>0</v>
      </c>
      <c r="N56" t="n">
        <v>0</v>
      </c>
      <c r="O56" t="n">
        <v>3</v>
      </c>
      <c r="P56" t="n">
        <v>2</v>
      </c>
      <c r="Q56" t="n">
        <v>4</v>
      </c>
      <c r="R56" s="2" t="inlineStr">
        <is>
          <t>Asknätfjäril
Hällebräcka
Utter
Gullviva</t>
        </is>
      </c>
      <c r="S56">
        <f>HYPERLINK("https://klasma.github.io/Logging_0188/artfynd/A 10876-2025 artfynd.xlsx", "A 10876-2025")</f>
        <v/>
      </c>
      <c r="T56">
        <f>HYPERLINK("https://klasma.github.io/Logging_0188/kartor/A 10876-2025 karta.png", "A 10876-2025")</f>
        <v/>
      </c>
      <c r="V56">
        <f>HYPERLINK("https://klasma.github.io/Logging_0188/klagomål/A 10876-2025 FSC-klagomål.docx", "A 10876-2025")</f>
        <v/>
      </c>
      <c r="W56">
        <f>HYPERLINK("https://klasma.github.io/Logging_0188/klagomålsmail/A 10876-2025 FSC-klagomål mail.docx", "A 10876-2025")</f>
        <v/>
      </c>
      <c r="X56">
        <f>HYPERLINK("https://klasma.github.io/Logging_0188/tillsyn/A 10876-2025 tillsynsbegäran.docx", "A 10876-2025")</f>
        <v/>
      </c>
      <c r="Y56">
        <f>HYPERLINK("https://klasma.github.io/Logging_0188/tillsynsmail/A 10876-2025 tillsynsbegäran mail.docx", "A 10876-2025")</f>
        <v/>
      </c>
    </row>
    <row r="57" ht="15" customHeight="1">
      <c r="A57" t="inlineStr">
        <is>
          <t>A 47212-2025</t>
        </is>
      </c>
      <c r="B57" s="1" t="n">
        <v>45930</v>
      </c>
      <c r="C57" s="1" t="n">
        <v>46047</v>
      </c>
      <c r="D57" t="inlineStr">
        <is>
          <t>STOCKHOLMS LÄN</t>
        </is>
      </c>
      <c r="E57" t="inlineStr">
        <is>
          <t>NORRTÄLJE</t>
        </is>
      </c>
      <c r="G57" t="n">
        <v>5.5</v>
      </c>
      <c r="H57" t="n">
        <v>2</v>
      </c>
      <c r="I57" t="n">
        <v>2</v>
      </c>
      <c r="J57" t="n">
        <v>0</v>
      </c>
      <c r="K57" t="n">
        <v>0</v>
      </c>
      <c r="L57" t="n">
        <v>0</v>
      </c>
      <c r="M57" t="n">
        <v>0</v>
      </c>
      <c r="N57" t="n">
        <v>0</v>
      </c>
      <c r="O57" t="n">
        <v>0</v>
      </c>
      <c r="P57" t="n">
        <v>0</v>
      </c>
      <c r="Q57" t="n">
        <v>4</v>
      </c>
      <c r="R57" s="2" t="inlineStr">
        <is>
          <t>Grönpyrola
Skarp dropptaggsvamp
Kungsfågel
Blåsippa</t>
        </is>
      </c>
      <c r="S57">
        <f>HYPERLINK("https://klasma.github.io/Logging_0188/artfynd/A 47212-2025 artfynd.xlsx", "A 47212-2025")</f>
        <v/>
      </c>
      <c r="T57">
        <f>HYPERLINK("https://klasma.github.io/Logging_0188/kartor/A 47212-2025 karta.png", "A 47212-2025")</f>
        <v/>
      </c>
      <c r="V57">
        <f>HYPERLINK("https://klasma.github.io/Logging_0188/klagomål/A 47212-2025 FSC-klagomål.docx", "A 47212-2025")</f>
        <v/>
      </c>
      <c r="W57">
        <f>HYPERLINK("https://klasma.github.io/Logging_0188/klagomålsmail/A 47212-2025 FSC-klagomål mail.docx", "A 47212-2025")</f>
        <v/>
      </c>
      <c r="X57">
        <f>HYPERLINK("https://klasma.github.io/Logging_0188/tillsyn/A 47212-2025 tillsynsbegäran.docx", "A 47212-2025")</f>
        <v/>
      </c>
      <c r="Y57">
        <f>HYPERLINK("https://klasma.github.io/Logging_0188/tillsynsmail/A 47212-2025 tillsynsbegäran mail.docx", "A 47212-2025")</f>
        <v/>
      </c>
      <c r="Z57">
        <f>HYPERLINK("https://klasma.github.io/Logging_0188/fåglar/A 47212-2025 prioriterade fågelarter.docx", "A 47212-2025")</f>
        <v/>
      </c>
    </row>
    <row r="58" ht="15" customHeight="1">
      <c r="A58" t="inlineStr">
        <is>
          <t>A 17673-2021</t>
        </is>
      </c>
      <c r="B58" s="1" t="n">
        <v>44300</v>
      </c>
      <c r="C58" s="1" t="n">
        <v>46047</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46047</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46047</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46047</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46047</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27870-2022</t>
        </is>
      </c>
      <c r="B63" s="1" t="n">
        <v>44743.64592592593</v>
      </c>
      <c r="C63" s="1" t="n">
        <v>46047</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54110-2024</t>
        </is>
      </c>
      <c r="B64" s="1" t="n">
        <v>45616.54866898148</v>
      </c>
      <c r="C64" s="1" t="n">
        <v>46047</v>
      </c>
      <c r="D64" t="inlineStr">
        <is>
          <t>STOCKHOLMS LÄN</t>
        </is>
      </c>
      <c r="E64" t="inlineStr">
        <is>
          <t>NORRTÄLJE</t>
        </is>
      </c>
      <c r="G64" t="n">
        <v>6.7</v>
      </c>
      <c r="H64" t="n">
        <v>2</v>
      </c>
      <c r="I64" t="n">
        <v>0</v>
      </c>
      <c r="J64" t="n">
        <v>1</v>
      </c>
      <c r="K64" t="n">
        <v>0</v>
      </c>
      <c r="L64" t="n">
        <v>0</v>
      </c>
      <c r="M64" t="n">
        <v>0</v>
      </c>
      <c r="N64" t="n">
        <v>0</v>
      </c>
      <c r="O64" t="n">
        <v>1</v>
      </c>
      <c r="P64" t="n">
        <v>0</v>
      </c>
      <c r="Q64" t="n">
        <v>3</v>
      </c>
      <c r="R64" s="2" t="inlineStr">
        <is>
          <t>Klasefibbla
Nattviol
Gullviva</t>
        </is>
      </c>
      <c r="S64">
        <f>HYPERLINK("https://klasma.github.io/Logging_0188/artfynd/A 54110-2024 artfynd.xlsx", "A 54110-2024")</f>
        <v/>
      </c>
      <c r="T64">
        <f>HYPERLINK("https://klasma.github.io/Logging_0188/kartor/A 54110-2024 karta.png", "A 54110-2024")</f>
        <v/>
      </c>
      <c r="V64">
        <f>HYPERLINK("https://klasma.github.io/Logging_0188/klagomål/A 54110-2024 FSC-klagomål.docx", "A 54110-2024")</f>
        <v/>
      </c>
      <c r="W64">
        <f>HYPERLINK("https://klasma.github.io/Logging_0188/klagomålsmail/A 54110-2024 FSC-klagomål mail.docx", "A 54110-2024")</f>
        <v/>
      </c>
      <c r="X64">
        <f>HYPERLINK("https://klasma.github.io/Logging_0188/tillsyn/A 54110-2024 tillsynsbegäran.docx", "A 54110-2024")</f>
        <v/>
      </c>
      <c r="Y64">
        <f>HYPERLINK("https://klasma.github.io/Logging_0188/tillsynsmail/A 54110-2024 tillsynsbegäran mail.docx", "A 54110-2024")</f>
        <v/>
      </c>
    </row>
    <row r="65" ht="15" customHeight="1">
      <c r="A65" t="inlineStr">
        <is>
          <t>A 50618-2022</t>
        </is>
      </c>
      <c r="B65" s="1" t="n">
        <v>44866</v>
      </c>
      <c r="C65" s="1" t="n">
        <v>46047</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25270-2025</t>
        </is>
      </c>
      <c r="B66" s="1" t="n">
        <v>45800</v>
      </c>
      <c r="C66" s="1" t="n">
        <v>46047</v>
      </c>
      <c r="D66" t="inlineStr">
        <is>
          <t>STOCKHOLMS LÄN</t>
        </is>
      </c>
      <c r="E66" t="inlineStr">
        <is>
          <t>NORRTÄLJE</t>
        </is>
      </c>
      <c r="F66" t="inlineStr">
        <is>
          <t>Övriga Aktiebolag</t>
        </is>
      </c>
      <c r="G66" t="n">
        <v>30</v>
      </c>
      <c r="H66" t="n">
        <v>0</v>
      </c>
      <c r="I66" t="n">
        <v>2</v>
      </c>
      <c r="J66" t="n">
        <v>1</v>
      </c>
      <c r="K66" t="n">
        <v>0</v>
      </c>
      <c r="L66" t="n">
        <v>0</v>
      </c>
      <c r="M66" t="n">
        <v>0</v>
      </c>
      <c r="N66" t="n">
        <v>0</v>
      </c>
      <c r="O66" t="n">
        <v>1</v>
      </c>
      <c r="P66" t="n">
        <v>0</v>
      </c>
      <c r="Q66" t="n">
        <v>3</v>
      </c>
      <c r="R66" s="2" t="inlineStr">
        <is>
          <t>Kandelabersvamp
Fjällig taggsvamp s.str.
Skarp dropptaggsvamp</t>
        </is>
      </c>
      <c r="S66">
        <f>HYPERLINK("https://klasma.github.io/Logging_0188/artfynd/A 25270-2025 artfynd.xlsx", "A 25270-2025")</f>
        <v/>
      </c>
      <c r="T66">
        <f>HYPERLINK("https://klasma.github.io/Logging_0188/kartor/A 25270-2025 karta.png", "A 25270-2025")</f>
        <v/>
      </c>
      <c r="V66">
        <f>HYPERLINK("https://klasma.github.io/Logging_0188/klagomål/A 25270-2025 FSC-klagomål.docx", "A 25270-2025")</f>
        <v/>
      </c>
      <c r="W66">
        <f>HYPERLINK("https://klasma.github.io/Logging_0188/klagomålsmail/A 25270-2025 FSC-klagomål mail.docx", "A 25270-2025")</f>
        <v/>
      </c>
      <c r="X66">
        <f>HYPERLINK("https://klasma.github.io/Logging_0188/tillsyn/A 25270-2025 tillsynsbegäran.docx", "A 25270-2025")</f>
        <v/>
      </c>
      <c r="Y66">
        <f>HYPERLINK("https://klasma.github.io/Logging_0188/tillsynsmail/A 25270-2025 tillsynsbegäran mail.docx", "A 25270-2025")</f>
        <v/>
      </c>
    </row>
    <row r="67" ht="15" customHeight="1">
      <c r="A67" t="inlineStr">
        <is>
          <t>A 29185-2025</t>
        </is>
      </c>
      <c r="B67" s="1" t="n">
        <v>45821</v>
      </c>
      <c r="C67" s="1" t="n">
        <v>46047</v>
      </c>
      <c r="D67" t="inlineStr">
        <is>
          <t>STOCKHOLMS LÄN</t>
        </is>
      </c>
      <c r="E67" t="inlineStr">
        <is>
          <t>NORRTÄLJE</t>
        </is>
      </c>
      <c r="F67" t="inlineStr">
        <is>
          <t>Övriga Aktiebolag</t>
        </is>
      </c>
      <c r="G67" t="n">
        <v>8.5</v>
      </c>
      <c r="H67" t="n">
        <v>2</v>
      </c>
      <c r="I67" t="n">
        <v>1</v>
      </c>
      <c r="J67" t="n">
        <v>0</v>
      </c>
      <c r="K67" t="n">
        <v>0</v>
      </c>
      <c r="L67" t="n">
        <v>0</v>
      </c>
      <c r="M67" t="n">
        <v>0</v>
      </c>
      <c r="N67" t="n">
        <v>0</v>
      </c>
      <c r="O67" t="n">
        <v>0</v>
      </c>
      <c r="P67" t="n">
        <v>0</v>
      </c>
      <c r="Q67" t="n">
        <v>3</v>
      </c>
      <c r="R67" s="2" t="inlineStr">
        <is>
          <t>Vårärt
Fläcknycklar
Blåsippa</t>
        </is>
      </c>
      <c r="S67">
        <f>HYPERLINK("https://klasma.github.io/Logging_0188/artfynd/A 29185-2025 artfynd.xlsx", "A 29185-2025")</f>
        <v/>
      </c>
      <c r="T67">
        <f>HYPERLINK("https://klasma.github.io/Logging_0188/kartor/A 29185-2025 karta.png", "A 29185-2025")</f>
        <v/>
      </c>
      <c r="V67">
        <f>HYPERLINK("https://klasma.github.io/Logging_0188/klagomål/A 29185-2025 FSC-klagomål.docx", "A 29185-2025")</f>
        <v/>
      </c>
      <c r="W67">
        <f>HYPERLINK("https://klasma.github.io/Logging_0188/klagomålsmail/A 29185-2025 FSC-klagomål mail.docx", "A 29185-2025")</f>
        <v/>
      </c>
      <c r="X67">
        <f>HYPERLINK("https://klasma.github.io/Logging_0188/tillsyn/A 29185-2025 tillsynsbegäran.docx", "A 29185-2025")</f>
        <v/>
      </c>
      <c r="Y67">
        <f>HYPERLINK("https://klasma.github.io/Logging_0188/tillsynsmail/A 29185-2025 tillsynsbegäran mail.docx", "A 29185-2025")</f>
        <v/>
      </c>
    </row>
    <row r="68" ht="15" customHeight="1">
      <c r="A68" t="inlineStr">
        <is>
          <t>A 2851-2023</t>
        </is>
      </c>
      <c r="B68" s="1" t="n">
        <v>44945</v>
      </c>
      <c r="C68" s="1" t="n">
        <v>46047</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34524-2025</t>
        </is>
      </c>
      <c r="B69" s="1" t="n">
        <v>45847.47685185185</v>
      </c>
      <c r="C69" s="1" t="n">
        <v>46047</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20185-2022</t>
        </is>
      </c>
      <c r="B70" s="1" t="n">
        <v>44698</v>
      </c>
      <c r="C70" s="1" t="n">
        <v>46047</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52726-2025</t>
        </is>
      </c>
      <c r="B71" s="1" t="n">
        <v>45957.34722222222</v>
      </c>
      <c r="C71" s="1" t="n">
        <v>46047</v>
      </c>
      <c r="D71" t="inlineStr">
        <is>
          <t>STOCKHOLMS LÄN</t>
        </is>
      </c>
      <c r="E71" t="inlineStr">
        <is>
          <t>NORRTÄLJE</t>
        </is>
      </c>
      <c r="G71" t="n">
        <v>4.7</v>
      </c>
      <c r="H71" t="n">
        <v>2</v>
      </c>
      <c r="I71" t="n">
        <v>2</v>
      </c>
      <c r="J71" t="n">
        <v>0</v>
      </c>
      <c r="K71" t="n">
        <v>0</v>
      </c>
      <c r="L71" t="n">
        <v>0</v>
      </c>
      <c r="M71" t="n">
        <v>0</v>
      </c>
      <c r="N71" t="n">
        <v>0</v>
      </c>
      <c r="O71" t="n">
        <v>0</v>
      </c>
      <c r="P71" t="n">
        <v>0</v>
      </c>
      <c r="Q71" t="n">
        <v>3</v>
      </c>
      <c r="R71" s="2" t="inlineStr">
        <is>
          <t>Grön sköldmossa
Vågbandad barkbock
Tjäder</t>
        </is>
      </c>
      <c r="S71">
        <f>HYPERLINK("https://klasma.github.io/Logging_0188/artfynd/A 52726-2025 artfynd.xlsx", "A 52726-2025")</f>
        <v/>
      </c>
      <c r="T71">
        <f>HYPERLINK("https://klasma.github.io/Logging_0188/kartor/A 52726-2025 karta.png", "A 52726-2025")</f>
        <v/>
      </c>
      <c r="V71">
        <f>HYPERLINK("https://klasma.github.io/Logging_0188/klagomål/A 52726-2025 FSC-klagomål.docx", "A 52726-2025")</f>
        <v/>
      </c>
      <c r="W71">
        <f>HYPERLINK("https://klasma.github.io/Logging_0188/klagomålsmail/A 52726-2025 FSC-klagomål mail.docx", "A 52726-2025")</f>
        <v/>
      </c>
      <c r="X71">
        <f>HYPERLINK("https://klasma.github.io/Logging_0188/tillsyn/A 52726-2025 tillsynsbegäran.docx", "A 52726-2025")</f>
        <v/>
      </c>
      <c r="Y71">
        <f>HYPERLINK("https://klasma.github.io/Logging_0188/tillsynsmail/A 52726-2025 tillsynsbegäran mail.docx", "A 52726-2025")</f>
        <v/>
      </c>
      <c r="Z71">
        <f>HYPERLINK("https://klasma.github.io/Logging_0188/fåglar/A 52726-2025 prioriterade fågelarter.docx", "A 52726-2025")</f>
        <v/>
      </c>
    </row>
    <row r="72" ht="15" customHeight="1">
      <c r="A72" t="inlineStr">
        <is>
          <t>A 61288-2025</t>
        </is>
      </c>
      <c r="B72" s="1" t="n">
        <v>46000.73247685185</v>
      </c>
      <c r="C72" s="1" t="n">
        <v>46047</v>
      </c>
      <c r="D72" t="inlineStr">
        <is>
          <t>STOCKHOLMS LÄN</t>
        </is>
      </c>
      <c r="E72" t="inlineStr">
        <is>
          <t>NORRTÄLJE</t>
        </is>
      </c>
      <c r="G72" t="n">
        <v>2</v>
      </c>
      <c r="H72" t="n">
        <v>2</v>
      </c>
      <c r="I72" t="n">
        <v>1</v>
      </c>
      <c r="J72" t="n">
        <v>0</v>
      </c>
      <c r="K72" t="n">
        <v>1</v>
      </c>
      <c r="L72" t="n">
        <v>0</v>
      </c>
      <c r="M72" t="n">
        <v>0</v>
      </c>
      <c r="N72" t="n">
        <v>0</v>
      </c>
      <c r="O72" t="n">
        <v>1</v>
      </c>
      <c r="P72" t="n">
        <v>1</v>
      </c>
      <c r="Q72" t="n">
        <v>3</v>
      </c>
      <c r="R72" s="2" t="inlineStr">
        <is>
          <t>Knärot
Kattfotslav
Kungsfågel</t>
        </is>
      </c>
      <c r="S72">
        <f>HYPERLINK("https://klasma.github.io/Logging_0188/artfynd/A 61288-2025 artfynd.xlsx", "A 61288-2025")</f>
        <v/>
      </c>
      <c r="T72">
        <f>HYPERLINK("https://klasma.github.io/Logging_0188/kartor/A 61288-2025 karta.png", "A 61288-2025")</f>
        <v/>
      </c>
      <c r="U72">
        <f>HYPERLINK("https://klasma.github.io/Logging_0188/knärot/A 61288-2025 karta knärot.png", "A 61288-2025")</f>
        <v/>
      </c>
      <c r="V72">
        <f>HYPERLINK("https://klasma.github.io/Logging_0188/klagomål/A 61288-2025 FSC-klagomål.docx", "A 61288-2025")</f>
        <v/>
      </c>
      <c r="W72">
        <f>HYPERLINK("https://klasma.github.io/Logging_0188/klagomålsmail/A 61288-2025 FSC-klagomål mail.docx", "A 61288-2025")</f>
        <v/>
      </c>
      <c r="X72">
        <f>HYPERLINK("https://klasma.github.io/Logging_0188/tillsyn/A 61288-2025 tillsynsbegäran.docx", "A 61288-2025")</f>
        <v/>
      </c>
      <c r="Y72">
        <f>HYPERLINK("https://klasma.github.io/Logging_0188/tillsynsmail/A 61288-2025 tillsynsbegäran mail.docx", "A 61288-2025")</f>
        <v/>
      </c>
      <c r="Z72">
        <f>HYPERLINK("https://klasma.github.io/Logging_0188/fåglar/A 61288-2025 prioriterade fågelarter.docx", "A 61288-2025")</f>
        <v/>
      </c>
    </row>
    <row r="73" ht="15" customHeight="1">
      <c r="A73" t="inlineStr">
        <is>
          <t>A 52133-2022</t>
        </is>
      </c>
      <c r="B73" s="1" t="n">
        <v>44868</v>
      </c>
      <c r="C73" s="1" t="n">
        <v>46047</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46047</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46047</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46047</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46047</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16260-2022</t>
        </is>
      </c>
      <c r="B78" s="1" t="n">
        <v>44670</v>
      </c>
      <c r="C78" s="1" t="n">
        <v>46047</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30693-2022</t>
        </is>
      </c>
      <c r="B79" s="1" t="n">
        <v>44763</v>
      </c>
      <c r="C79" s="1" t="n">
        <v>46047</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51980-2022</t>
        </is>
      </c>
      <c r="B80" s="1" t="n">
        <v>44872</v>
      </c>
      <c r="C80" s="1" t="n">
        <v>46047</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52360-2024</t>
        </is>
      </c>
      <c r="B81" s="1" t="n">
        <v>45609.37094907407</v>
      </c>
      <c r="C81" s="1" t="n">
        <v>46047</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11031-2025</t>
        </is>
      </c>
      <c r="B82" s="1" t="n">
        <v>45723</v>
      </c>
      <c r="C82" s="1" t="n">
        <v>46047</v>
      </c>
      <c r="D82" t="inlineStr">
        <is>
          <t>STOCKHOLMS LÄN</t>
        </is>
      </c>
      <c r="E82" t="inlineStr">
        <is>
          <t>NORRTÄLJE</t>
        </is>
      </c>
      <c r="F82" t="inlineStr">
        <is>
          <t>Övriga Aktiebolag</t>
        </is>
      </c>
      <c r="G82" t="n">
        <v>13.2</v>
      </c>
      <c r="H82" t="n">
        <v>1</v>
      </c>
      <c r="I82" t="n">
        <v>0</v>
      </c>
      <c r="J82" t="n">
        <v>2</v>
      </c>
      <c r="K82" t="n">
        <v>0</v>
      </c>
      <c r="L82" t="n">
        <v>0</v>
      </c>
      <c r="M82" t="n">
        <v>0</v>
      </c>
      <c r="N82" t="n">
        <v>0</v>
      </c>
      <c r="O82" t="n">
        <v>2</v>
      </c>
      <c r="P82" t="n">
        <v>0</v>
      </c>
      <c r="Q82" t="n">
        <v>2</v>
      </c>
      <c r="R82" s="2" t="inlineStr">
        <is>
          <t>Järpe
Ullticka</t>
        </is>
      </c>
      <c r="S82">
        <f>HYPERLINK("https://klasma.github.io/Logging_0188/artfynd/A 11031-2025 artfynd.xlsx", "A 11031-2025")</f>
        <v/>
      </c>
      <c r="T82">
        <f>HYPERLINK("https://klasma.github.io/Logging_0188/kartor/A 11031-2025 karta.png", "A 11031-2025")</f>
        <v/>
      </c>
      <c r="V82">
        <f>HYPERLINK("https://klasma.github.io/Logging_0188/klagomål/A 11031-2025 FSC-klagomål.docx", "A 11031-2025")</f>
        <v/>
      </c>
      <c r="W82">
        <f>HYPERLINK("https://klasma.github.io/Logging_0188/klagomålsmail/A 11031-2025 FSC-klagomål mail.docx", "A 11031-2025")</f>
        <v/>
      </c>
      <c r="X82">
        <f>HYPERLINK("https://klasma.github.io/Logging_0188/tillsyn/A 11031-2025 tillsynsbegäran.docx", "A 11031-2025")</f>
        <v/>
      </c>
      <c r="Y82">
        <f>HYPERLINK("https://klasma.github.io/Logging_0188/tillsynsmail/A 11031-2025 tillsynsbegäran mail.docx", "A 11031-2025")</f>
        <v/>
      </c>
      <c r="Z82">
        <f>HYPERLINK("https://klasma.github.io/Logging_0188/fåglar/A 11031-2025 prioriterade fågelarter.docx", "A 11031-2025")</f>
        <v/>
      </c>
    </row>
    <row r="83" ht="15" customHeight="1">
      <c r="A83" t="inlineStr">
        <is>
          <t>A 51220-2023</t>
        </is>
      </c>
      <c r="B83" s="1" t="n">
        <v>45219</v>
      </c>
      <c r="C83" s="1" t="n">
        <v>46047</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22190-2024</t>
        </is>
      </c>
      <c r="B84" s="1" t="n">
        <v>45446.35888888889</v>
      </c>
      <c r="C84" s="1" t="n">
        <v>46047</v>
      </c>
      <c r="D84" t="inlineStr">
        <is>
          <t>STOCKHOLMS LÄN</t>
        </is>
      </c>
      <c r="E84" t="inlineStr">
        <is>
          <t>NORRTÄLJE</t>
        </is>
      </c>
      <c r="G84" t="n">
        <v>2.8</v>
      </c>
      <c r="H84" t="n">
        <v>2</v>
      </c>
      <c r="I84" t="n">
        <v>1</v>
      </c>
      <c r="J84" t="n">
        <v>0</v>
      </c>
      <c r="K84" t="n">
        <v>0</v>
      </c>
      <c r="L84" t="n">
        <v>0</v>
      </c>
      <c r="M84" t="n">
        <v>0</v>
      </c>
      <c r="N84" t="n">
        <v>0</v>
      </c>
      <c r="O84" t="n">
        <v>0</v>
      </c>
      <c r="P84" t="n">
        <v>0</v>
      </c>
      <c r="Q84" t="n">
        <v>2</v>
      </c>
      <c r="R84" s="2" t="inlineStr">
        <is>
          <t>Skogsknipprot
Vanlig groda</t>
        </is>
      </c>
      <c r="S84">
        <f>HYPERLINK("https://klasma.github.io/Logging_0188/artfynd/A 22190-2024 artfynd.xlsx", "A 22190-2024")</f>
        <v/>
      </c>
      <c r="T84">
        <f>HYPERLINK("https://klasma.github.io/Logging_0188/kartor/A 22190-2024 karta.png", "A 22190-2024")</f>
        <v/>
      </c>
      <c r="V84">
        <f>HYPERLINK("https://klasma.github.io/Logging_0188/klagomål/A 22190-2024 FSC-klagomål.docx", "A 22190-2024")</f>
        <v/>
      </c>
      <c r="W84">
        <f>HYPERLINK("https://klasma.github.io/Logging_0188/klagomålsmail/A 22190-2024 FSC-klagomål mail.docx", "A 22190-2024")</f>
        <v/>
      </c>
      <c r="X84">
        <f>HYPERLINK("https://klasma.github.io/Logging_0188/tillsyn/A 22190-2024 tillsynsbegäran.docx", "A 22190-2024")</f>
        <v/>
      </c>
      <c r="Y84">
        <f>HYPERLINK("https://klasma.github.io/Logging_0188/tillsynsmail/A 22190-2024 tillsynsbegäran mail.docx", "A 22190-2024")</f>
        <v/>
      </c>
    </row>
    <row r="85" ht="15" customHeight="1">
      <c r="A85" t="inlineStr">
        <is>
          <t>A 52124-2022</t>
        </is>
      </c>
      <c r="B85" s="1" t="n">
        <v>44868</v>
      </c>
      <c r="C85" s="1" t="n">
        <v>46047</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46047</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50697-2025</t>
        </is>
      </c>
      <c r="B87" s="1" t="n">
        <v>45945.90854166666</v>
      </c>
      <c r="C87" s="1" t="n">
        <v>46047</v>
      </c>
      <c r="D87" t="inlineStr">
        <is>
          <t>STOCKHOLMS LÄN</t>
        </is>
      </c>
      <c r="E87" t="inlineStr">
        <is>
          <t>NORRTÄLJE</t>
        </is>
      </c>
      <c r="G87" t="n">
        <v>5.5</v>
      </c>
      <c r="H87" t="n">
        <v>0</v>
      </c>
      <c r="I87" t="n">
        <v>0</v>
      </c>
      <c r="J87" t="n">
        <v>2</v>
      </c>
      <c r="K87" t="n">
        <v>0</v>
      </c>
      <c r="L87" t="n">
        <v>0</v>
      </c>
      <c r="M87" t="n">
        <v>0</v>
      </c>
      <c r="N87" t="n">
        <v>0</v>
      </c>
      <c r="O87" t="n">
        <v>2</v>
      </c>
      <c r="P87" t="n">
        <v>0</v>
      </c>
      <c r="Q87" t="n">
        <v>2</v>
      </c>
      <c r="R87" s="2" t="inlineStr">
        <is>
          <t>Skogsklocka
Småflikig brosklav</t>
        </is>
      </c>
      <c r="S87">
        <f>HYPERLINK("https://klasma.github.io/Logging_0188/artfynd/A 50697-2025 artfynd.xlsx", "A 50697-2025")</f>
        <v/>
      </c>
      <c r="T87">
        <f>HYPERLINK("https://klasma.github.io/Logging_0188/kartor/A 50697-2025 karta.png", "A 50697-2025")</f>
        <v/>
      </c>
      <c r="V87">
        <f>HYPERLINK("https://klasma.github.io/Logging_0188/klagomål/A 50697-2025 FSC-klagomål.docx", "A 50697-2025")</f>
        <v/>
      </c>
      <c r="W87">
        <f>HYPERLINK("https://klasma.github.io/Logging_0188/klagomålsmail/A 50697-2025 FSC-klagomål mail.docx", "A 50697-2025")</f>
        <v/>
      </c>
      <c r="X87">
        <f>HYPERLINK("https://klasma.github.io/Logging_0188/tillsyn/A 50697-2025 tillsynsbegäran.docx", "A 50697-2025")</f>
        <v/>
      </c>
      <c r="Y87">
        <f>HYPERLINK("https://klasma.github.io/Logging_0188/tillsynsmail/A 50697-2025 tillsynsbegäran mail.docx", "A 50697-2025")</f>
        <v/>
      </c>
    </row>
    <row r="88" ht="15" customHeight="1">
      <c r="A88" t="inlineStr">
        <is>
          <t>A 53608-2025</t>
        </is>
      </c>
      <c r="B88" s="1" t="n">
        <v>45960</v>
      </c>
      <c r="C88" s="1" t="n">
        <v>46047</v>
      </c>
      <c r="D88" t="inlineStr">
        <is>
          <t>STOCKHOLMS LÄN</t>
        </is>
      </c>
      <c r="E88" t="inlineStr">
        <is>
          <t>NORRTÄLJE</t>
        </is>
      </c>
      <c r="F88" t="inlineStr">
        <is>
          <t>Holmen skog AB</t>
        </is>
      </c>
      <c r="G88" t="n">
        <v>3.2</v>
      </c>
      <c r="H88" t="n">
        <v>2</v>
      </c>
      <c r="I88" t="n">
        <v>0</v>
      </c>
      <c r="J88" t="n">
        <v>1</v>
      </c>
      <c r="K88" t="n">
        <v>0</v>
      </c>
      <c r="L88" t="n">
        <v>1</v>
      </c>
      <c r="M88" t="n">
        <v>0</v>
      </c>
      <c r="N88" t="n">
        <v>0</v>
      </c>
      <c r="O88" t="n">
        <v>2</v>
      </c>
      <c r="P88" t="n">
        <v>1</v>
      </c>
      <c r="Q88" t="n">
        <v>2</v>
      </c>
      <c r="R88" s="2" t="inlineStr">
        <is>
          <t>Asknätfjäril
Spillkråka</t>
        </is>
      </c>
      <c r="S88">
        <f>HYPERLINK("https://klasma.github.io/Logging_0188/artfynd/A 53608-2025 artfynd.xlsx", "A 53608-2025")</f>
        <v/>
      </c>
      <c r="T88">
        <f>HYPERLINK("https://klasma.github.io/Logging_0188/kartor/A 53608-2025 karta.png", "A 53608-2025")</f>
        <v/>
      </c>
      <c r="V88">
        <f>HYPERLINK("https://klasma.github.io/Logging_0188/klagomål/A 53608-2025 FSC-klagomål.docx", "A 53608-2025")</f>
        <v/>
      </c>
      <c r="W88">
        <f>HYPERLINK("https://klasma.github.io/Logging_0188/klagomålsmail/A 53608-2025 FSC-klagomål mail.docx", "A 53608-2025")</f>
        <v/>
      </c>
      <c r="X88">
        <f>HYPERLINK("https://klasma.github.io/Logging_0188/tillsyn/A 53608-2025 tillsynsbegäran.docx", "A 53608-2025")</f>
        <v/>
      </c>
      <c r="Y88">
        <f>HYPERLINK("https://klasma.github.io/Logging_0188/tillsynsmail/A 53608-2025 tillsynsbegäran mail.docx", "A 53608-2025")</f>
        <v/>
      </c>
      <c r="Z88">
        <f>HYPERLINK("https://klasma.github.io/Logging_0188/fåglar/A 53608-2025 prioriterade fågelarter.docx", "A 53608-2025")</f>
        <v/>
      </c>
    </row>
    <row r="89" ht="15" customHeight="1">
      <c r="A89" t="inlineStr">
        <is>
          <t>A 1547-2022</t>
        </is>
      </c>
      <c r="B89" s="1" t="n">
        <v>44573</v>
      </c>
      <c r="C89" s="1" t="n">
        <v>46047</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46047</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17629-2022</t>
        </is>
      </c>
      <c r="B91" s="1" t="n">
        <v>44680</v>
      </c>
      <c r="C91" s="1" t="n">
        <v>46047</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30138-2021</t>
        </is>
      </c>
      <c r="B92" s="1" t="n">
        <v>44363</v>
      </c>
      <c r="C92" s="1" t="n">
        <v>46047</v>
      </c>
      <c r="D92" t="inlineStr">
        <is>
          <t>STOCKHOLMS LÄN</t>
        </is>
      </c>
      <c r="E92" t="inlineStr">
        <is>
          <t>NORRTÄLJE</t>
        </is>
      </c>
      <c r="G92" t="n">
        <v>4.5</v>
      </c>
      <c r="H92" t="n">
        <v>0</v>
      </c>
      <c r="I92" t="n">
        <v>1</v>
      </c>
      <c r="J92" t="n">
        <v>0</v>
      </c>
      <c r="K92" t="n">
        <v>0</v>
      </c>
      <c r="L92" t="n">
        <v>0</v>
      </c>
      <c r="M92" t="n">
        <v>0</v>
      </c>
      <c r="N92" t="n">
        <v>0</v>
      </c>
      <c r="O92" t="n">
        <v>0</v>
      </c>
      <c r="P92" t="n">
        <v>0</v>
      </c>
      <c r="Q92" t="n">
        <v>1</v>
      </c>
      <c r="R92" s="2" t="inlineStr">
        <is>
          <t>Vårärt</t>
        </is>
      </c>
      <c r="S92">
        <f>HYPERLINK("https://klasma.github.io/Logging_0188/artfynd/A 30138-2021 artfynd.xlsx", "A 30138-2021")</f>
        <v/>
      </c>
      <c r="T92">
        <f>HYPERLINK("https://klasma.github.io/Logging_0188/kartor/A 30138-2021 karta.png", "A 30138-2021")</f>
        <v/>
      </c>
      <c r="V92">
        <f>HYPERLINK("https://klasma.github.io/Logging_0188/klagomål/A 30138-2021 FSC-klagomål.docx", "A 30138-2021")</f>
        <v/>
      </c>
      <c r="W92">
        <f>HYPERLINK("https://klasma.github.io/Logging_0188/klagomålsmail/A 30138-2021 FSC-klagomål mail.docx", "A 30138-2021")</f>
        <v/>
      </c>
      <c r="X92">
        <f>HYPERLINK("https://klasma.github.io/Logging_0188/tillsyn/A 30138-2021 tillsynsbegäran.docx", "A 30138-2021")</f>
        <v/>
      </c>
      <c r="Y92">
        <f>HYPERLINK("https://klasma.github.io/Logging_0188/tillsynsmail/A 30138-2021 tillsynsbegäran mail.docx", "A 30138-2021")</f>
        <v/>
      </c>
    </row>
    <row r="93" ht="15" customHeight="1">
      <c r="A93" t="inlineStr">
        <is>
          <t>A 33477-2022</t>
        </is>
      </c>
      <c r="B93" s="1" t="n">
        <v>44788.70217592592</v>
      </c>
      <c r="C93" s="1" t="n">
        <v>46047</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24330-2023</t>
        </is>
      </c>
      <c r="B94" s="1" t="n">
        <v>45081</v>
      </c>
      <c r="C94" s="1" t="n">
        <v>46047</v>
      </c>
      <c r="D94" t="inlineStr">
        <is>
          <t>STOCKHOLMS LÄN</t>
        </is>
      </c>
      <c r="E94" t="inlineStr">
        <is>
          <t>NORRTÄLJE</t>
        </is>
      </c>
      <c r="G94" t="n">
        <v>5</v>
      </c>
      <c r="H94" t="n">
        <v>1</v>
      </c>
      <c r="I94" t="n">
        <v>0</v>
      </c>
      <c r="J94" t="n">
        <v>1</v>
      </c>
      <c r="K94" t="n">
        <v>0</v>
      </c>
      <c r="L94" t="n">
        <v>0</v>
      </c>
      <c r="M94" t="n">
        <v>0</v>
      </c>
      <c r="N94" t="n">
        <v>0</v>
      </c>
      <c r="O94" t="n">
        <v>1</v>
      </c>
      <c r="P94" t="n">
        <v>0</v>
      </c>
      <c r="Q94" t="n">
        <v>1</v>
      </c>
      <c r="R94" s="2" t="inlineStr">
        <is>
          <t>Mindre hackspett</t>
        </is>
      </c>
      <c r="S94">
        <f>HYPERLINK("https://klasma.github.io/Logging_0188/artfynd/A 24330-2023 artfynd.xlsx", "A 24330-2023")</f>
        <v/>
      </c>
      <c r="T94">
        <f>HYPERLINK("https://klasma.github.io/Logging_0188/kartor/A 24330-2023 karta.png", "A 24330-2023")</f>
        <v/>
      </c>
      <c r="V94">
        <f>HYPERLINK("https://klasma.github.io/Logging_0188/klagomål/A 24330-2023 FSC-klagomål.docx", "A 24330-2023")</f>
        <v/>
      </c>
      <c r="W94">
        <f>HYPERLINK("https://klasma.github.io/Logging_0188/klagomålsmail/A 24330-2023 FSC-klagomål mail.docx", "A 24330-2023")</f>
        <v/>
      </c>
      <c r="X94">
        <f>HYPERLINK("https://klasma.github.io/Logging_0188/tillsyn/A 24330-2023 tillsynsbegäran.docx", "A 24330-2023")</f>
        <v/>
      </c>
      <c r="Y94">
        <f>HYPERLINK("https://klasma.github.io/Logging_0188/tillsynsmail/A 24330-2023 tillsynsbegäran mail.docx", "A 24330-2023")</f>
        <v/>
      </c>
      <c r="Z94">
        <f>HYPERLINK("https://klasma.github.io/Logging_0188/fåglar/A 24330-2023 prioriterade fågelarter.docx", "A 24330-2023")</f>
        <v/>
      </c>
    </row>
    <row r="95" ht="15" customHeight="1">
      <c r="A95" t="inlineStr">
        <is>
          <t>A 21744-2023</t>
        </is>
      </c>
      <c r="B95" s="1" t="n">
        <v>45065</v>
      </c>
      <c r="C95" s="1" t="n">
        <v>46047</v>
      </c>
      <c r="D95" t="inlineStr">
        <is>
          <t>STOCKHOLMS LÄN</t>
        </is>
      </c>
      <c r="E95" t="inlineStr">
        <is>
          <t>NORRTÄLJE</t>
        </is>
      </c>
      <c r="F95" t="inlineStr">
        <is>
          <t>Holmen skog AB</t>
        </is>
      </c>
      <c r="G95" t="n">
        <v>4.2</v>
      </c>
      <c r="H95" t="n">
        <v>0</v>
      </c>
      <c r="I95" t="n">
        <v>1</v>
      </c>
      <c r="J95" t="n">
        <v>0</v>
      </c>
      <c r="K95" t="n">
        <v>0</v>
      </c>
      <c r="L95" t="n">
        <v>0</v>
      </c>
      <c r="M95" t="n">
        <v>0</v>
      </c>
      <c r="N95" t="n">
        <v>0</v>
      </c>
      <c r="O95" t="n">
        <v>0</v>
      </c>
      <c r="P95" t="n">
        <v>0</v>
      </c>
      <c r="Q95" t="n">
        <v>1</v>
      </c>
      <c r="R95" s="2" t="inlineStr">
        <is>
          <t>Korallblylav</t>
        </is>
      </c>
      <c r="S95">
        <f>HYPERLINK("https://klasma.github.io/Logging_0188/artfynd/A 21744-2023 artfynd.xlsx", "A 21744-2023")</f>
        <v/>
      </c>
      <c r="T95">
        <f>HYPERLINK("https://klasma.github.io/Logging_0188/kartor/A 21744-2023 karta.png", "A 21744-2023")</f>
        <v/>
      </c>
      <c r="V95">
        <f>HYPERLINK("https://klasma.github.io/Logging_0188/klagomål/A 21744-2023 FSC-klagomål.docx", "A 21744-2023")</f>
        <v/>
      </c>
      <c r="W95">
        <f>HYPERLINK("https://klasma.github.io/Logging_0188/klagomålsmail/A 21744-2023 FSC-klagomål mail.docx", "A 21744-2023")</f>
        <v/>
      </c>
      <c r="X95">
        <f>HYPERLINK("https://klasma.github.io/Logging_0188/tillsyn/A 21744-2023 tillsynsbegäran.docx", "A 21744-2023")</f>
        <v/>
      </c>
      <c r="Y95">
        <f>HYPERLINK("https://klasma.github.io/Logging_0188/tillsynsmail/A 21744-2023 tillsynsbegäran mail.docx", "A 21744-2023")</f>
        <v/>
      </c>
    </row>
    <row r="96" ht="15" customHeight="1">
      <c r="A96" t="inlineStr">
        <is>
          <t>A 11429-2023</t>
        </is>
      </c>
      <c r="B96" s="1" t="n">
        <v>44993</v>
      </c>
      <c r="C96" s="1" t="n">
        <v>46047</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58888-2021</t>
        </is>
      </c>
      <c r="B97" s="1" t="n">
        <v>44489</v>
      </c>
      <c r="C97" s="1" t="n">
        <v>46047</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52611-2024</t>
        </is>
      </c>
      <c r="B98" s="1" t="n">
        <v>45609.83747685186</v>
      </c>
      <c r="C98" s="1" t="n">
        <v>46047</v>
      </c>
      <c r="D98" t="inlineStr">
        <is>
          <t>STOCKHOLMS LÄN</t>
        </is>
      </c>
      <c r="E98" t="inlineStr">
        <is>
          <t>NORRTÄLJE</t>
        </is>
      </c>
      <c r="G98" t="n">
        <v>10.6</v>
      </c>
      <c r="H98" t="n">
        <v>1</v>
      </c>
      <c r="I98" t="n">
        <v>0</v>
      </c>
      <c r="J98" t="n">
        <v>0</v>
      </c>
      <c r="K98" t="n">
        <v>0</v>
      </c>
      <c r="L98" t="n">
        <v>0</v>
      </c>
      <c r="M98" t="n">
        <v>0</v>
      </c>
      <c r="N98" t="n">
        <v>0</v>
      </c>
      <c r="O98" t="n">
        <v>0</v>
      </c>
      <c r="P98" t="n">
        <v>0</v>
      </c>
      <c r="Q98" t="n">
        <v>1</v>
      </c>
      <c r="R98" s="2" t="inlineStr">
        <is>
          <t>Blåsippa</t>
        </is>
      </c>
      <c r="S98">
        <f>HYPERLINK("https://klasma.github.io/Logging_0188/artfynd/A 52611-2024 artfynd.xlsx", "A 52611-2024")</f>
        <v/>
      </c>
      <c r="T98">
        <f>HYPERLINK("https://klasma.github.io/Logging_0188/kartor/A 52611-2024 karta.png", "A 52611-2024")</f>
        <v/>
      </c>
      <c r="V98">
        <f>HYPERLINK("https://klasma.github.io/Logging_0188/klagomål/A 52611-2024 FSC-klagomål.docx", "A 52611-2024")</f>
        <v/>
      </c>
      <c r="W98">
        <f>HYPERLINK("https://klasma.github.io/Logging_0188/klagomålsmail/A 52611-2024 FSC-klagomål mail.docx", "A 52611-2024")</f>
        <v/>
      </c>
      <c r="X98">
        <f>HYPERLINK("https://klasma.github.io/Logging_0188/tillsyn/A 52611-2024 tillsynsbegäran.docx", "A 52611-2024")</f>
        <v/>
      </c>
      <c r="Y98">
        <f>HYPERLINK("https://klasma.github.io/Logging_0188/tillsynsmail/A 52611-2024 tillsynsbegäran mail.docx", "A 52611-2024")</f>
        <v/>
      </c>
    </row>
    <row r="99" ht="15" customHeight="1">
      <c r="A99" t="inlineStr">
        <is>
          <t>A 17952-2022</t>
        </is>
      </c>
      <c r="B99" s="1" t="n">
        <v>44683</v>
      </c>
      <c r="C99" s="1" t="n">
        <v>46047</v>
      </c>
      <c r="D99" t="inlineStr">
        <is>
          <t>STOCKHOLMS LÄN</t>
        </is>
      </c>
      <c r="E99" t="inlineStr">
        <is>
          <t>NORRTÄLJE</t>
        </is>
      </c>
      <c r="G99" t="n">
        <v>51.1</v>
      </c>
      <c r="H99" t="n">
        <v>0</v>
      </c>
      <c r="I99" t="n">
        <v>0</v>
      </c>
      <c r="J99" t="n">
        <v>0</v>
      </c>
      <c r="K99" t="n">
        <v>1</v>
      </c>
      <c r="L99" t="n">
        <v>0</v>
      </c>
      <c r="M99" t="n">
        <v>0</v>
      </c>
      <c r="N99" t="n">
        <v>0</v>
      </c>
      <c r="O99" t="n">
        <v>1</v>
      </c>
      <c r="P99" t="n">
        <v>1</v>
      </c>
      <c r="Q99" t="n">
        <v>1</v>
      </c>
      <c r="R99" s="2" t="inlineStr">
        <is>
          <t>Kattunvisslare</t>
        </is>
      </c>
      <c r="S99">
        <f>HYPERLINK("https://klasma.github.io/Logging_0188/artfynd/A 17952-2022 artfynd.xlsx", "A 17952-2022")</f>
        <v/>
      </c>
      <c r="T99">
        <f>HYPERLINK("https://klasma.github.io/Logging_0188/kartor/A 17952-2022 karta.png", "A 17952-2022")</f>
        <v/>
      </c>
      <c r="V99">
        <f>HYPERLINK("https://klasma.github.io/Logging_0188/klagomål/A 17952-2022 FSC-klagomål.docx", "A 17952-2022")</f>
        <v/>
      </c>
      <c r="W99">
        <f>HYPERLINK("https://klasma.github.io/Logging_0188/klagomålsmail/A 17952-2022 FSC-klagomål mail.docx", "A 17952-2022")</f>
        <v/>
      </c>
      <c r="X99">
        <f>HYPERLINK("https://klasma.github.io/Logging_0188/tillsyn/A 17952-2022 tillsynsbegäran.docx", "A 17952-2022")</f>
        <v/>
      </c>
      <c r="Y99">
        <f>HYPERLINK("https://klasma.github.io/Logging_0188/tillsynsmail/A 17952-2022 tillsynsbegäran mail.docx", "A 17952-2022")</f>
        <v/>
      </c>
    </row>
    <row r="100" ht="15" customHeight="1">
      <c r="A100" t="inlineStr">
        <is>
          <t>A 9955-2022</t>
        </is>
      </c>
      <c r="B100" s="1" t="n">
        <v>44620</v>
      </c>
      <c r="C100" s="1" t="n">
        <v>46047</v>
      </c>
      <c r="D100" t="inlineStr">
        <is>
          <t>STOCKHOLMS LÄN</t>
        </is>
      </c>
      <c r="E100" t="inlineStr">
        <is>
          <t>NORRTÄLJE</t>
        </is>
      </c>
      <c r="G100" t="n">
        <v>7.8</v>
      </c>
      <c r="H100" t="n">
        <v>1</v>
      </c>
      <c r="I100" t="n">
        <v>0</v>
      </c>
      <c r="J100" t="n">
        <v>0</v>
      </c>
      <c r="K100" t="n">
        <v>0</v>
      </c>
      <c r="L100" t="n">
        <v>0</v>
      </c>
      <c r="M100" t="n">
        <v>0</v>
      </c>
      <c r="N100" t="n">
        <v>0</v>
      </c>
      <c r="O100" t="n">
        <v>0</v>
      </c>
      <c r="P100" t="n">
        <v>0</v>
      </c>
      <c r="Q100" t="n">
        <v>1</v>
      </c>
      <c r="R100" s="2" t="inlineStr">
        <is>
          <t>Åkergroda</t>
        </is>
      </c>
      <c r="S100">
        <f>HYPERLINK("https://klasma.github.io/Logging_0188/artfynd/A 9955-2022 artfynd.xlsx", "A 9955-2022")</f>
        <v/>
      </c>
      <c r="T100">
        <f>HYPERLINK("https://klasma.github.io/Logging_0188/kartor/A 9955-2022 karta.png", "A 9955-2022")</f>
        <v/>
      </c>
      <c r="V100">
        <f>HYPERLINK("https://klasma.github.io/Logging_0188/klagomål/A 9955-2022 FSC-klagomål.docx", "A 9955-2022")</f>
        <v/>
      </c>
      <c r="W100">
        <f>HYPERLINK("https://klasma.github.io/Logging_0188/klagomålsmail/A 9955-2022 FSC-klagomål mail.docx", "A 9955-2022")</f>
        <v/>
      </c>
      <c r="X100">
        <f>HYPERLINK("https://klasma.github.io/Logging_0188/tillsyn/A 9955-2022 tillsynsbegäran.docx", "A 9955-2022")</f>
        <v/>
      </c>
      <c r="Y100">
        <f>HYPERLINK("https://klasma.github.io/Logging_0188/tillsynsmail/A 9955-2022 tillsynsbegäran mail.docx", "A 9955-2022")</f>
        <v/>
      </c>
    </row>
    <row r="101" ht="15" customHeight="1">
      <c r="A101" t="inlineStr">
        <is>
          <t>A 4595-2023</t>
        </is>
      </c>
      <c r="B101" s="1" t="n">
        <v>44956</v>
      </c>
      <c r="C101" s="1" t="n">
        <v>46047</v>
      </c>
      <c r="D101" t="inlineStr">
        <is>
          <t>STOCKHOLMS LÄN</t>
        </is>
      </c>
      <c r="E101" t="inlineStr">
        <is>
          <t>NORRTÄLJE</t>
        </is>
      </c>
      <c r="G101" t="n">
        <v>0.6</v>
      </c>
      <c r="H101" t="n">
        <v>1</v>
      </c>
      <c r="I101" t="n">
        <v>0</v>
      </c>
      <c r="J101" t="n">
        <v>0</v>
      </c>
      <c r="K101" t="n">
        <v>0</v>
      </c>
      <c r="L101" t="n">
        <v>0</v>
      </c>
      <c r="M101" t="n">
        <v>0</v>
      </c>
      <c r="N101" t="n">
        <v>0</v>
      </c>
      <c r="O101" t="n">
        <v>0</v>
      </c>
      <c r="P101" t="n">
        <v>0</v>
      </c>
      <c r="Q101" t="n">
        <v>1</v>
      </c>
      <c r="R101" s="2" t="inlineStr">
        <is>
          <t>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28816-2023</t>
        </is>
      </c>
      <c r="B102" s="1" t="n">
        <v>45104</v>
      </c>
      <c r="C102" s="1" t="n">
        <v>46047</v>
      </c>
      <c r="D102" t="inlineStr">
        <is>
          <t>STOCKHOLMS LÄN</t>
        </is>
      </c>
      <c r="E102" t="inlineStr">
        <is>
          <t>NORRTÄLJE</t>
        </is>
      </c>
      <c r="F102" t="inlineStr">
        <is>
          <t>Kommuner</t>
        </is>
      </c>
      <c r="G102" t="n">
        <v>0.5</v>
      </c>
      <c r="H102" t="n">
        <v>1</v>
      </c>
      <c r="I102" t="n">
        <v>0</v>
      </c>
      <c r="J102" t="n">
        <v>0</v>
      </c>
      <c r="K102" t="n">
        <v>0</v>
      </c>
      <c r="L102" t="n">
        <v>0</v>
      </c>
      <c r="M102" t="n">
        <v>0</v>
      </c>
      <c r="N102" t="n">
        <v>0</v>
      </c>
      <c r="O102" t="n">
        <v>0</v>
      </c>
      <c r="P102" t="n">
        <v>0</v>
      </c>
      <c r="Q102" t="n">
        <v>1</v>
      </c>
      <c r="R102" s="2" t="inlineStr">
        <is>
          <t>Kungsfågel</t>
        </is>
      </c>
      <c r="S102">
        <f>HYPERLINK("https://klasma.github.io/Logging_0188/artfynd/A 28816-2023 artfynd.xlsx", "A 28816-2023")</f>
        <v/>
      </c>
      <c r="T102">
        <f>HYPERLINK("https://klasma.github.io/Logging_0188/kartor/A 28816-2023 karta.png", "A 28816-2023")</f>
        <v/>
      </c>
      <c r="V102">
        <f>HYPERLINK("https://klasma.github.io/Logging_0188/klagomål/A 28816-2023 FSC-klagomål.docx", "A 28816-2023")</f>
        <v/>
      </c>
      <c r="W102">
        <f>HYPERLINK("https://klasma.github.io/Logging_0188/klagomålsmail/A 28816-2023 FSC-klagomål mail.docx", "A 28816-2023")</f>
        <v/>
      </c>
      <c r="X102">
        <f>HYPERLINK("https://klasma.github.io/Logging_0188/tillsyn/A 28816-2023 tillsynsbegäran.docx", "A 28816-2023")</f>
        <v/>
      </c>
      <c r="Y102">
        <f>HYPERLINK("https://klasma.github.io/Logging_0188/tillsynsmail/A 28816-2023 tillsynsbegäran mail.docx", "A 28816-2023")</f>
        <v/>
      </c>
      <c r="Z102">
        <f>HYPERLINK("https://klasma.github.io/Logging_0188/fåglar/A 28816-2023 prioriterade fågelarter.docx", "A 28816-2023")</f>
        <v/>
      </c>
    </row>
    <row r="103" ht="15" customHeight="1">
      <c r="A103" t="inlineStr">
        <is>
          <t>A 24535-2023</t>
        </is>
      </c>
      <c r="B103" s="1" t="n">
        <v>45082</v>
      </c>
      <c r="C103" s="1" t="n">
        <v>46047</v>
      </c>
      <c r="D103" t="inlineStr">
        <is>
          <t>STOCKHOLMS LÄN</t>
        </is>
      </c>
      <c r="E103" t="inlineStr">
        <is>
          <t>NORRTÄLJE</t>
        </is>
      </c>
      <c r="F103" t="inlineStr">
        <is>
          <t>Kommuner</t>
        </is>
      </c>
      <c r="G103" t="n">
        <v>2</v>
      </c>
      <c r="H103" t="n">
        <v>1</v>
      </c>
      <c r="I103" t="n">
        <v>0</v>
      </c>
      <c r="J103" t="n">
        <v>0</v>
      </c>
      <c r="K103" t="n">
        <v>0</v>
      </c>
      <c r="L103" t="n">
        <v>0</v>
      </c>
      <c r="M103" t="n">
        <v>0</v>
      </c>
      <c r="N103" t="n">
        <v>0</v>
      </c>
      <c r="O103" t="n">
        <v>0</v>
      </c>
      <c r="P103" t="n">
        <v>0</v>
      </c>
      <c r="Q103" t="n">
        <v>1</v>
      </c>
      <c r="R103" s="2" t="inlineStr">
        <is>
          <t>Blåsippa</t>
        </is>
      </c>
      <c r="S103">
        <f>HYPERLINK("https://klasma.github.io/Logging_0188/artfynd/A 24535-2023 artfynd.xlsx", "A 24535-2023")</f>
        <v/>
      </c>
      <c r="T103">
        <f>HYPERLINK("https://klasma.github.io/Logging_0188/kartor/A 24535-2023 karta.png", "A 24535-2023")</f>
        <v/>
      </c>
      <c r="V103">
        <f>HYPERLINK("https://klasma.github.io/Logging_0188/klagomål/A 24535-2023 FSC-klagomål.docx", "A 24535-2023")</f>
        <v/>
      </c>
      <c r="W103">
        <f>HYPERLINK("https://klasma.github.io/Logging_0188/klagomålsmail/A 24535-2023 FSC-klagomål mail.docx", "A 24535-2023")</f>
        <v/>
      </c>
      <c r="X103">
        <f>HYPERLINK("https://klasma.github.io/Logging_0188/tillsyn/A 24535-2023 tillsynsbegäran.docx", "A 24535-2023")</f>
        <v/>
      </c>
      <c r="Y103">
        <f>HYPERLINK("https://klasma.github.io/Logging_0188/tillsynsmail/A 24535-2023 tillsynsbegäran mail.docx", "A 24535-2023")</f>
        <v/>
      </c>
    </row>
    <row r="104" ht="15" customHeight="1">
      <c r="A104" t="inlineStr">
        <is>
          <t>A 23905-2025</t>
        </is>
      </c>
      <c r="B104" s="1" t="n">
        <v>45794.63298611111</v>
      </c>
      <c r="C104" s="1" t="n">
        <v>46047</v>
      </c>
      <c r="D104" t="inlineStr">
        <is>
          <t>STOCKHOLMS LÄN</t>
        </is>
      </c>
      <c r="E104" t="inlineStr">
        <is>
          <t>NORRTÄLJE</t>
        </is>
      </c>
      <c r="G104" t="n">
        <v>8.4</v>
      </c>
      <c r="H104" t="n">
        <v>1</v>
      </c>
      <c r="I104" t="n">
        <v>0</v>
      </c>
      <c r="J104" t="n">
        <v>0</v>
      </c>
      <c r="K104" t="n">
        <v>0</v>
      </c>
      <c r="L104" t="n">
        <v>0</v>
      </c>
      <c r="M104" t="n">
        <v>0</v>
      </c>
      <c r="N104" t="n">
        <v>0</v>
      </c>
      <c r="O104" t="n">
        <v>0</v>
      </c>
      <c r="P104" t="n">
        <v>0</v>
      </c>
      <c r="Q104" t="n">
        <v>1</v>
      </c>
      <c r="R104" s="2" t="inlineStr">
        <is>
          <t>Blåsippa</t>
        </is>
      </c>
      <c r="S104">
        <f>HYPERLINK("https://klasma.github.io/Logging_0188/artfynd/A 23905-2025 artfynd.xlsx", "A 23905-2025")</f>
        <v/>
      </c>
      <c r="T104">
        <f>HYPERLINK("https://klasma.github.io/Logging_0188/kartor/A 23905-2025 karta.png", "A 23905-2025")</f>
        <v/>
      </c>
      <c r="V104">
        <f>HYPERLINK("https://klasma.github.io/Logging_0188/klagomål/A 23905-2025 FSC-klagomål.docx", "A 23905-2025")</f>
        <v/>
      </c>
      <c r="W104">
        <f>HYPERLINK("https://klasma.github.io/Logging_0188/klagomålsmail/A 23905-2025 FSC-klagomål mail.docx", "A 23905-2025")</f>
        <v/>
      </c>
      <c r="X104">
        <f>HYPERLINK("https://klasma.github.io/Logging_0188/tillsyn/A 23905-2025 tillsynsbegäran.docx", "A 23905-2025")</f>
        <v/>
      </c>
      <c r="Y104">
        <f>HYPERLINK("https://klasma.github.io/Logging_0188/tillsynsmail/A 23905-2025 tillsynsbegäran mail.docx", "A 23905-2025")</f>
        <v/>
      </c>
    </row>
    <row r="105" ht="15" customHeight="1">
      <c r="A105" t="inlineStr">
        <is>
          <t>A 25669-2025</t>
        </is>
      </c>
      <c r="B105" s="1" t="n">
        <v>45803.62766203703</v>
      </c>
      <c r="C105" s="1" t="n">
        <v>46047</v>
      </c>
      <c r="D105" t="inlineStr">
        <is>
          <t>STOCKHOLMS LÄN</t>
        </is>
      </c>
      <c r="E105" t="inlineStr">
        <is>
          <t>NORRTÄLJE</t>
        </is>
      </c>
      <c r="F105" t="inlineStr">
        <is>
          <t>Holmen skog AB</t>
        </is>
      </c>
      <c r="G105" t="n">
        <v>3.1</v>
      </c>
      <c r="H105" t="n">
        <v>1</v>
      </c>
      <c r="I105" t="n">
        <v>0</v>
      </c>
      <c r="J105" t="n">
        <v>0</v>
      </c>
      <c r="K105" t="n">
        <v>0</v>
      </c>
      <c r="L105" t="n">
        <v>0</v>
      </c>
      <c r="M105" t="n">
        <v>0</v>
      </c>
      <c r="N105" t="n">
        <v>0</v>
      </c>
      <c r="O105" t="n">
        <v>0</v>
      </c>
      <c r="P105" t="n">
        <v>0</v>
      </c>
      <c r="Q105" t="n">
        <v>1</v>
      </c>
      <c r="R105" s="2" t="inlineStr">
        <is>
          <t>Tjäder</t>
        </is>
      </c>
      <c r="S105">
        <f>HYPERLINK("https://klasma.github.io/Logging_0188/artfynd/A 25669-2025 artfynd.xlsx", "A 25669-2025")</f>
        <v/>
      </c>
      <c r="T105">
        <f>HYPERLINK("https://klasma.github.io/Logging_0188/kartor/A 25669-2025 karta.png", "A 25669-2025")</f>
        <v/>
      </c>
      <c r="V105">
        <f>HYPERLINK("https://klasma.github.io/Logging_0188/klagomål/A 25669-2025 FSC-klagomål.docx", "A 25669-2025")</f>
        <v/>
      </c>
      <c r="W105">
        <f>HYPERLINK("https://klasma.github.io/Logging_0188/klagomålsmail/A 25669-2025 FSC-klagomål mail.docx", "A 25669-2025")</f>
        <v/>
      </c>
      <c r="X105">
        <f>HYPERLINK("https://klasma.github.io/Logging_0188/tillsyn/A 25669-2025 tillsynsbegäran.docx", "A 25669-2025")</f>
        <v/>
      </c>
      <c r="Y105">
        <f>HYPERLINK("https://klasma.github.io/Logging_0188/tillsynsmail/A 25669-2025 tillsynsbegäran mail.docx", "A 25669-2025")</f>
        <v/>
      </c>
      <c r="Z105">
        <f>HYPERLINK("https://klasma.github.io/Logging_0188/fåglar/A 25669-2025 prioriterade fågelarter.docx", "A 25669-2025")</f>
        <v/>
      </c>
    </row>
    <row r="106" ht="15" customHeight="1">
      <c r="A106" t="inlineStr">
        <is>
          <t>A 35764-2024</t>
        </is>
      </c>
      <c r="B106" s="1" t="n">
        <v>45532</v>
      </c>
      <c r="C106" s="1" t="n">
        <v>46047</v>
      </c>
      <c r="D106" t="inlineStr">
        <is>
          <t>STOCKHOLMS LÄN</t>
        </is>
      </c>
      <c r="E106" t="inlineStr">
        <is>
          <t>NORRTÄLJE</t>
        </is>
      </c>
      <c r="G106" t="n">
        <v>14.2</v>
      </c>
      <c r="H106" t="n">
        <v>1</v>
      </c>
      <c r="I106" t="n">
        <v>0</v>
      </c>
      <c r="J106" t="n">
        <v>0</v>
      </c>
      <c r="K106" t="n">
        <v>1</v>
      </c>
      <c r="L106" t="n">
        <v>0</v>
      </c>
      <c r="M106" t="n">
        <v>0</v>
      </c>
      <c r="N106" t="n">
        <v>0</v>
      </c>
      <c r="O106" t="n">
        <v>1</v>
      </c>
      <c r="P106" t="n">
        <v>1</v>
      </c>
      <c r="Q106" t="n">
        <v>1</v>
      </c>
      <c r="R106" s="2" t="inlineStr">
        <is>
          <t>Knärot</t>
        </is>
      </c>
      <c r="S106">
        <f>HYPERLINK("https://klasma.github.io/Logging_0188/artfynd/A 35764-2024 artfynd.xlsx", "A 35764-2024")</f>
        <v/>
      </c>
      <c r="T106">
        <f>HYPERLINK("https://klasma.github.io/Logging_0188/kartor/A 35764-2024 karta.png", "A 35764-2024")</f>
        <v/>
      </c>
      <c r="U106">
        <f>HYPERLINK("https://klasma.github.io/Logging_0188/knärot/A 35764-2024 karta knärot.png", "A 35764-2024")</f>
        <v/>
      </c>
      <c r="V106">
        <f>HYPERLINK("https://klasma.github.io/Logging_0188/klagomål/A 35764-2024 FSC-klagomål.docx", "A 35764-2024")</f>
        <v/>
      </c>
      <c r="W106">
        <f>HYPERLINK("https://klasma.github.io/Logging_0188/klagomålsmail/A 35764-2024 FSC-klagomål mail.docx", "A 35764-2024")</f>
        <v/>
      </c>
      <c r="X106">
        <f>HYPERLINK("https://klasma.github.io/Logging_0188/tillsyn/A 35764-2024 tillsynsbegäran.docx", "A 35764-2024")</f>
        <v/>
      </c>
      <c r="Y106">
        <f>HYPERLINK("https://klasma.github.io/Logging_0188/tillsynsmail/A 35764-2024 tillsynsbegäran mail.docx", "A 35764-2024")</f>
        <v/>
      </c>
    </row>
    <row r="107" ht="15" customHeight="1">
      <c r="A107" t="inlineStr">
        <is>
          <t>A 25725-2025</t>
        </is>
      </c>
      <c r="B107" s="1" t="n">
        <v>45800</v>
      </c>
      <c r="C107" s="1" t="n">
        <v>46047</v>
      </c>
      <c r="D107" t="inlineStr">
        <is>
          <t>STOCKHOLMS LÄN</t>
        </is>
      </c>
      <c r="E107" t="inlineStr">
        <is>
          <t>NORRTÄLJE</t>
        </is>
      </c>
      <c r="G107" t="n">
        <v>5.2</v>
      </c>
      <c r="H107" t="n">
        <v>0</v>
      </c>
      <c r="I107" t="n">
        <v>0</v>
      </c>
      <c r="J107" t="n">
        <v>1</v>
      </c>
      <c r="K107" t="n">
        <v>0</v>
      </c>
      <c r="L107" t="n">
        <v>0</v>
      </c>
      <c r="M107" t="n">
        <v>0</v>
      </c>
      <c r="N107" t="n">
        <v>0</v>
      </c>
      <c r="O107" t="n">
        <v>1</v>
      </c>
      <c r="P107" t="n">
        <v>0</v>
      </c>
      <c r="Q107" t="n">
        <v>1</v>
      </c>
      <c r="R107" s="2" t="inlineStr">
        <is>
          <t>Tallticka</t>
        </is>
      </c>
      <c r="S107">
        <f>HYPERLINK("https://klasma.github.io/Logging_0188/artfynd/A 25725-2025 artfynd.xlsx", "A 25725-2025")</f>
        <v/>
      </c>
      <c r="T107">
        <f>HYPERLINK("https://klasma.github.io/Logging_0188/kartor/A 25725-2025 karta.png", "A 25725-2025")</f>
        <v/>
      </c>
      <c r="V107">
        <f>HYPERLINK("https://klasma.github.io/Logging_0188/klagomål/A 25725-2025 FSC-klagomål.docx", "A 25725-2025")</f>
        <v/>
      </c>
      <c r="W107">
        <f>HYPERLINK("https://klasma.github.io/Logging_0188/klagomålsmail/A 25725-2025 FSC-klagomål mail.docx", "A 25725-2025")</f>
        <v/>
      </c>
      <c r="X107">
        <f>HYPERLINK("https://klasma.github.io/Logging_0188/tillsyn/A 25725-2025 tillsynsbegäran.docx", "A 25725-2025")</f>
        <v/>
      </c>
      <c r="Y107">
        <f>HYPERLINK("https://klasma.github.io/Logging_0188/tillsynsmail/A 25725-2025 tillsynsbegäran mail.docx", "A 25725-2025")</f>
        <v/>
      </c>
    </row>
    <row r="108" ht="15" customHeight="1">
      <c r="A108" t="inlineStr">
        <is>
          <t>A 25709-2025</t>
        </is>
      </c>
      <c r="B108" s="1" t="n">
        <v>45800</v>
      </c>
      <c r="C108" s="1" t="n">
        <v>46047</v>
      </c>
      <c r="D108" t="inlineStr">
        <is>
          <t>STOCKHOLMS LÄN</t>
        </is>
      </c>
      <c r="E108" t="inlineStr">
        <is>
          <t>NORRTÄLJE</t>
        </is>
      </c>
      <c r="G108" t="n">
        <v>4.6</v>
      </c>
      <c r="H108" t="n">
        <v>0</v>
      </c>
      <c r="I108" t="n">
        <v>0</v>
      </c>
      <c r="J108" t="n">
        <v>1</v>
      </c>
      <c r="K108" t="n">
        <v>0</v>
      </c>
      <c r="L108" t="n">
        <v>0</v>
      </c>
      <c r="M108" t="n">
        <v>0</v>
      </c>
      <c r="N108" t="n">
        <v>0</v>
      </c>
      <c r="O108" t="n">
        <v>1</v>
      </c>
      <c r="P108" t="n">
        <v>0</v>
      </c>
      <c r="Q108" t="n">
        <v>1</v>
      </c>
      <c r="R108" s="2" t="inlineStr">
        <is>
          <t>Ullticka</t>
        </is>
      </c>
      <c r="S108">
        <f>HYPERLINK("https://klasma.github.io/Logging_0188/artfynd/A 25709-2025 artfynd.xlsx", "A 25709-2025")</f>
        <v/>
      </c>
      <c r="T108">
        <f>HYPERLINK("https://klasma.github.io/Logging_0188/kartor/A 25709-2025 karta.png", "A 25709-2025")</f>
        <v/>
      </c>
      <c r="V108">
        <f>HYPERLINK("https://klasma.github.io/Logging_0188/klagomål/A 25709-2025 FSC-klagomål.docx", "A 25709-2025")</f>
        <v/>
      </c>
      <c r="W108">
        <f>HYPERLINK("https://klasma.github.io/Logging_0188/klagomålsmail/A 25709-2025 FSC-klagomål mail.docx", "A 25709-2025")</f>
        <v/>
      </c>
      <c r="X108">
        <f>HYPERLINK("https://klasma.github.io/Logging_0188/tillsyn/A 25709-2025 tillsynsbegäran.docx", "A 25709-2025")</f>
        <v/>
      </c>
      <c r="Y108">
        <f>HYPERLINK("https://klasma.github.io/Logging_0188/tillsynsmail/A 25709-2025 tillsynsbegäran mail.docx", "A 25709-2025")</f>
        <v/>
      </c>
    </row>
    <row r="109" ht="15" customHeight="1">
      <c r="A109" t="inlineStr">
        <is>
          <t>A 4532-2025</t>
        </is>
      </c>
      <c r="B109" s="1" t="n">
        <v>45687.34177083334</v>
      </c>
      <c r="C109" s="1" t="n">
        <v>46047</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35649-2023</t>
        </is>
      </c>
      <c r="B110" s="1" t="n">
        <v>45146</v>
      </c>
      <c r="C110" s="1" t="n">
        <v>46047</v>
      </c>
      <c r="D110" t="inlineStr">
        <is>
          <t>STOCKHOLMS LÄN</t>
        </is>
      </c>
      <c r="E110" t="inlineStr">
        <is>
          <t>NORRTÄLJE</t>
        </is>
      </c>
      <c r="G110" t="n">
        <v>25.1</v>
      </c>
      <c r="H110" t="n">
        <v>0</v>
      </c>
      <c r="I110" t="n">
        <v>0</v>
      </c>
      <c r="J110" t="n">
        <v>1</v>
      </c>
      <c r="K110" t="n">
        <v>0</v>
      </c>
      <c r="L110" t="n">
        <v>0</v>
      </c>
      <c r="M110" t="n">
        <v>0</v>
      </c>
      <c r="N110" t="n">
        <v>0</v>
      </c>
      <c r="O110" t="n">
        <v>1</v>
      </c>
      <c r="P110" t="n">
        <v>0</v>
      </c>
      <c r="Q110" t="n">
        <v>1</v>
      </c>
      <c r="R110" s="2" t="inlineStr">
        <is>
          <t>Månlåsbräken</t>
        </is>
      </c>
      <c r="S110">
        <f>HYPERLINK("https://klasma.github.io/Logging_0188/artfynd/A 35649-2023 artfynd.xlsx", "A 35649-2023")</f>
        <v/>
      </c>
      <c r="T110">
        <f>HYPERLINK("https://klasma.github.io/Logging_0188/kartor/A 35649-2023 karta.png", "A 35649-2023")</f>
        <v/>
      </c>
      <c r="V110">
        <f>HYPERLINK("https://klasma.github.io/Logging_0188/klagomål/A 35649-2023 FSC-klagomål.docx", "A 35649-2023")</f>
        <v/>
      </c>
      <c r="W110">
        <f>HYPERLINK("https://klasma.github.io/Logging_0188/klagomålsmail/A 35649-2023 FSC-klagomål mail.docx", "A 35649-2023")</f>
        <v/>
      </c>
      <c r="X110">
        <f>HYPERLINK("https://klasma.github.io/Logging_0188/tillsyn/A 35649-2023 tillsynsbegäran.docx", "A 35649-2023")</f>
        <v/>
      </c>
      <c r="Y110">
        <f>HYPERLINK("https://klasma.github.io/Logging_0188/tillsynsmail/A 35649-2023 tillsynsbegäran mail.docx", "A 35649-2023")</f>
        <v/>
      </c>
    </row>
    <row r="111" ht="15" customHeight="1">
      <c r="A111" t="inlineStr">
        <is>
          <t>A 35691-2023</t>
        </is>
      </c>
      <c r="B111" s="1" t="n">
        <v>45147.65222222222</v>
      </c>
      <c r="C111" s="1" t="n">
        <v>46047</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46047</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26635-2023</t>
        </is>
      </c>
      <c r="B113" s="1" t="n">
        <v>45092</v>
      </c>
      <c r="C113" s="1" t="n">
        <v>46047</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50854-2022</t>
        </is>
      </c>
      <c r="B114" s="1" t="n">
        <v>44863</v>
      </c>
      <c r="C114" s="1" t="n">
        <v>46047</v>
      </c>
      <c r="D114" t="inlineStr">
        <is>
          <t>STOCKHOLMS LÄN</t>
        </is>
      </c>
      <c r="E114" t="inlineStr">
        <is>
          <t>NORRTÄLJE</t>
        </is>
      </c>
      <c r="G114" t="n">
        <v>2.9</v>
      </c>
      <c r="H114" t="n">
        <v>0</v>
      </c>
      <c r="I114" t="n">
        <v>1</v>
      </c>
      <c r="J114" t="n">
        <v>0</v>
      </c>
      <c r="K114" t="n">
        <v>0</v>
      </c>
      <c r="L114" t="n">
        <v>0</v>
      </c>
      <c r="M114" t="n">
        <v>0</v>
      </c>
      <c r="N114" t="n">
        <v>0</v>
      </c>
      <c r="O114" t="n">
        <v>0</v>
      </c>
      <c r="P114" t="n">
        <v>0</v>
      </c>
      <c r="Q114" t="n">
        <v>1</v>
      </c>
      <c r="R114" s="2" t="inlineStr">
        <is>
          <t>Tibast</t>
        </is>
      </c>
      <c r="S114">
        <f>HYPERLINK("https://klasma.github.io/Logging_0188/artfynd/A 50854-2022 artfynd.xlsx", "A 50854-2022")</f>
        <v/>
      </c>
      <c r="T114">
        <f>HYPERLINK("https://klasma.github.io/Logging_0188/kartor/A 50854-2022 karta.png", "A 50854-2022")</f>
        <v/>
      </c>
      <c r="V114">
        <f>HYPERLINK("https://klasma.github.io/Logging_0188/klagomål/A 50854-2022 FSC-klagomål.docx", "A 50854-2022")</f>
        <v/>
      </c>
      <c r="W114">
        <f>HYPERLINK("https://klasma.github.io/Logging_0188/klagomålsmail/A 50854-2022 FSC-klagomål mail.docx", "A 50854-2022")</f>
        <v/>
      </c>
      <c r="X114">
        <f>HYPERLINK("https://klasma.github.io/Logging_0188/tillsyn/A 50854-2022 tillsynsbegäran.docx", "A 50854-2022")</f>
        <v/>
      </c>
      <c r="Y114">
        <f>HYPERLINK("https://klasma.github.io/Logging_0188/tillsynsmail/A 50854-2022 tillsynsbegäran mail.docx", "A 50854-2022")</f>
        <v/>
      </c>
    </row>
    <row r="115" ht="15" customHeight="1">
      <c r="A115" t="inlineStr">
        <is>
          <t>A 6381-2023</t>
        </is>
      </c>
      <c r="B115" s="1" t="n">
        <v>44965</v>
      </c>
      <c r="C115" s="1" t="n">
        <v>46047</v>
      </c>
      <c r="D115" t="inlineStr">
        <is>
          <t>STOCKHOLMS LÄN</t>
        </is>
      </c>
      <c r="E115" t="inlineStr">
        <is>
          <t>NORRTÄLJE</t>
        </is>
      </c>
      <c r="G115" t="n">
        <v>3.5</v>
      </c>
      <c r="H115" t="n">
        <v>1</v>
      </c>
      <c r="I115" t="n">
        <v>1</v>
      </c>
      <c r="J115" t="n">
        <v>0</v>
      </c>
      <c r="K115" t="n">
        <v>0</v>
      </c>
      <c r="L115" t="n">
        <v>0</v>
      </c>
      <c r="M115" t="n">
        <v>0</v>
      </c>
      <c r="N115" t="n">
        <v>0</v>
      </c>
      <c r="O115" t="n">
        <v>0</v>
      </c>
      <c r="P115" t="n">
        <v>0</v>
      </c>
      <c r="Q115" t="n">
        <v>1</v>
      </c>
      <c r="R115" s="2" t="inlineStr">
        <is>
          <t>Guckusko</t>
        </is>
      </c>
      <c r="S115">
        <f>HYPERLINK("https://klasma.github.io/Logging_0188/artfynd/A 6381-2023 artfynd.xlsx", "A 6381-2023")</f>
        <v/>
      </c>
      <c r="T115">
        <f>HYPERLINK("https://klasma.github.io/Logging_0188/kartor/A 6381-2023 karta.png", "A 6381-2023")</f>
        <v/>
      </c>
      <c r="V115">
        <f>HYPERLINK("https://klasma.github.io/Logging_0188/klagomål/A 6381-2023 FSC-klagomål.docx", "A 6381-2023")</f>
        <v/>
      </c>
      <c r="W115">
        <f>HYPERLINK("https://klasma.github.io/Logging_0188/klagomålsmail/A 6381-2023 FSC-klagomål mail.docx", "A 6381-2023")</f>
        <v/>
      </c>
      <c r="X115">
        <f>HYPERLINK("https://klasma.github.io/Logging_0188/tillsyn/A 6381-2023 tillsynsbegäran.docx", "A 6381-2023")</f>
        <v/>
      </c>
      <c r="Y115">
        <f>HYPERLINK("https://klasma.github.io/Logging_0188/tillsynsmail/A 6381-2023 tillsynsbegäran mail.docx", "A 6381-2023")</f>
        <v/>
      </c>
    </row>
    <row r="116" ht="15" customHeight="1">
      <c r="A116" t="inlineStr">
        <is>
          <t>A 47898-2022</t>
        </is>
      </c>
      <c r="B116" s="1" t="n">
        <v>44855</v>
      </c>
      <c r="C116" s="1" t="n">
        <v>46047</v>
      </c>
      <c r="D116" t="inlineStr">
        <is>
          <t>STOCKHOLMS LÄN</t>
        </is>
      </c>
      <c r="E116" t="inlineStr">
        <is>
          <t>NORRTÄLJE</t>
        </is>
      </c>
      <c r="G116" t="n">
        <v>6.7</v>
      </c>
      <c r="H116" t="n">
        <v>1</v>
      </c>
      <c r="I116" t="n">
        <v>1</v>
      </c>
      <c r="J116" t="n">
        <v>0</v>
      </c>
      <c r="K116" t="n">
        <v>0</v>
      </c>
      <c r="L116" t="n">
        <v>0</v>
      </c>
      <c r="M116" t="n">
        <v>0</v>
      </c>
      <c r="N116" t="n">
        <v>0</v>
      </c>
      <c r="O116" t="n">
        <v>0</v>
      </c>
      <c r="P116" t="n">
        <v>0</v>
      </c>
      <c r="Q116" t="n">
        <v>1</v>
      </c>
      <c r="R116" s="2" t="inlineStr">
        <is>
          <t>Guckusko</t>
        </is>
      </c>
      <c r="S116">
        <f>HYPERLINK("https://klasma.github.io/Logging_0188/artfynd/A 47898-2022 artfynd.xlsx", "A 47898-2022")</f>
        <v/>
      </c>
      <c r="T116">
        <f>HYPERLINK("https://klasma.github.io/Logging_0188/kartor/A 47898-2022 karta.png", "A 47898-2022")</f>
        <v/>
      </c>
      <c r="V116">
        <f>HYPERLINK("https://klasma.github.io/Logging_0188/klagomål/A 47898-2022 FSC-klagomål.docx", "A 47898-2022")</f>
        <v/>
      </c>
      <c r="W116">
        <f>HYPERLINK("https://klasma.github.io/Logging_0188/klagomålsmail/A 47898-2022 FSC-klagomål mail.docx", "A 47898-2022")</f>
        <v/>
      </c>
      <c r="X116">
        <f>HYPERLINK("https://klasma.github.io/Logging_0188/tillsyn/A 47898-2022 tillsynsbegäran.docx", "A 47898-2022")</f>
        <v/>
      </c>
      <c r="Y116">
        <f>HYPERLINK("https://klasma.github.io/Logging_0188/tillsynsmail/A 47898-2022 tillsynsbegäran mail.docx", "A 47898-2022")</f>
        <v/>
      </c>
    </row>
    <row r="117" ht="15" customHeight="1">
      <c r="A117" t="inlineStr">
        <is>
          <t>A 29946-2025</t>
        </is>
      </c>
      <c r="B117" s="1" t="n">
        <v>45826.46392361111</v>
      </c>
      <c r="C117" s="1" t="n">
        <v>46047</v>
      </c>
      <c r="D117" t="inlineStr">
        <is>
          <t>STOCKHOLMS LÄN</t>
        </is>
      </c>
      <c r="E117" t="inlineStr">
        <is>
          <t>NORRTÄLJE</t>
        </is>
      </c>
      <c r="F117" t="inlineStr">
        <is>
          <t>Holmen skog AB</t>
        </is>
      </c>
      <c r="G117" t="n">
        <v>3.6</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29946-2025 artfynd.xlsx", "A 29946-2025")</f>
        <v/>
      </c>
      <c r="T117">
        <f>HYPERLINK("https://klasma.github.io/Logging_0188/kartor/A 29946-2025 karta.png", "A 29946-2025")</f>
        <v/>
      </c>
      <c r="V117">
        <f>HYPERLINK("https://klasma.github.io/Logging_0188/klagomål/A 29946-2025 FSC-klagomål.docx", "A 29946-2025")</f>
        <v/>
      </c>
      <c r="W117">
        <f>HYPERLINK("https://klasma.github.io/Logging_0188/klagomålsmail/A 29946-2025 FSC-klagomål mail.docx", "A 29946-2025")</f>
        <v/>
      </c>
      <c r="X117">
        <f>HYPERLINK("https://klasma.github.io/Logging_0188/tillsyn/A 29946-2025 tillsynsbegäran.docx", "A 29946-2025")</f>
        <v/>
      </c>
      <c r="Y117">
        <f>HYPERLINK("https://klasma.github.io/Logging_0188/tillsynsmail/A 29946-2025 tillsynsbegäran mail.docx", "A 29946-2025")</f>
        <v/>
      </c>
    </row>
    <row r="118" ht="15" customHeight="1">
      <c r="A118" t="inlineStr">
        <is>
          <t>A 26120-2024</t>
        </is>
      </c>
      <c r="B118" s="1" t="n">
        <v>45468.45995370371</v>
      </c>
      <c r="C118" s="1" t="n">
        <v>46047</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13291-2025</t>
        </is>
      </c>
      <c r="B119" s="1" t="n">
        <v>45735</v>
      </c>
      <c r="C119" s="1" t="n">
        <v>46047</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33548-2025</t>
        </is>
      </c>
      <c r="B120" s="1" t="n">
        <v>45841.5721875</v>
      </c>
      <c r="C120" s="1" t="n">
        <v>46047</v>
      </c>
      <c r="D120" t="inlineStr">
        <is>
          <t>STOCKHOLMS LÄN</t>
        </is>
      </c>
      <c r="E120" t="inlineStr">
        <is>
          <t>NORRTÄLJE</t>
        </is>
      </c>
      <c r="G120" t="n">
        <v>12.2</v>
      </c>
      <c r="H120" t="n">
        <v>0</v>
      </c>
      <c r="I120" t="n">
        <v>0</v>
      </c>
      <c r="J120" t="n">
        <v>1</v>
      </c>
      <c r="K120" t="n">
        <v>0</v>
      </c>
      <c r="L120" t="n">
        <v>0</v>
      </c>
      <c r="M120" t="n">
        <v>0</v>
      </c>
      <c r="N120" t="n">
        <v>0</v>
      </c>
      <c r="O120" t="n">
        <v>1</v>
      </c>
      <c r="P120" t="n">
        <v>0</v>
      </c>
      <c r="Q120" t="n">
        <v>1</v>
      </c>
      <c r="R120" s="2" t="inlineStr">
        <is>
          <t>Dofttaggsvamp</t>
        </is>
      </c>
      <c r="S120">
        <f>HYPERLINK("https://klasma.github.io/Logging_0188/artfynd/A 33548-2025 artfynd.xlsx", "A 33548-2025")</f>
        <v/>
      </c>
      <c r="T120">
        <f>HYPERLINK("https://klasma.github.io/Logging_0188/kartor/A 33548-2025 karta.png", "A 33548-2025")</f>
        <v/>
      </c>
      <c r="V120">
        <f>HYPERLINK("https://klasma.github.io/Logging_0188/klagomål/A 33548-2025 FSC-klagomål.docx", "A 33548-2025")</f>
        <v/>
      </c>
      <c r="W120">
        <f>HYPERLINK("https://klasma.github.io/Logging_0188/klagomålsmail/A 33548-2025 FSC-klagomål mail.docx", "A 33548-2025")</f>
        <v/>
      </c>
      <c r="X120">
        <f>HYPERLINK("https://klasma.github.io/Logging_0188/tillsyn/A 33548-2025 tillsynsbegäran.docx", "A 33548-2025")</f>
        <v/>
      </c>
      <c r="Y120">
        <f>HYPERLINK("https://klasma.github.io/Logging_0188/tillsynsmail/A 33548-2025 tillsynsbegäran mail.docx", "A 33548-2025")</f>
        <v/>
      </c>
    </row>
    <row r="121" ht="15" customHeight="1">
      <c r="A121" t="inlineStr">
        <is>
          <t>A 33546-2025</t>
        </is>
      </c>
      <c r="B121" s="1" t="n">
        <v>45841.56996527778</v>
      </c>
      <c r="C121" s="1" t="n">
        <v>46047</v>
      </c>
      <c r="D121" t="inlineStr">
        <is>
          <t>STOCKHOLMS LÄN</t>
        </is>
      </c>
      <c r="E121" t="inlineStr">
        <is>
          <t>NORRTÄLJE</t>
        </is>
      </c>
      <c r="G121" t="n">
        <v>7.2</v>
      </c>
      <c r="H121" t="n">
        <v>1</v>
      </c>
      <c r="I121" t="n">
        <v>1</v>
      </c>
      <c r="J121" t="n">
        <v>0</v>
      </c>
      <c r="K121" t="n">
        <v>0</v>
      </c>
      <c r="L121" t="n">
        <v>0</v>
      </c>
      <c r="M121" t="n">
        <v>0</v>
      </c>
      <c r="N121" t="n">
        <v>0</v>
      </c>
      <c r="O121" t="n">
        <v>0</v>
      </c>
      <c r="P121" t="n">
        <v>0</v>
      </c>
      <c r="Q121" t="n">
        <v>1</v>
      </c>
      <c r="R121" s="2" t="inlineStr">
        <is>
          <t>Nästrot</t>
        </is>
      </c>
      <c r="S121">
        <f>HYPERLINK("https://klasma.github.io/Logging_0188/artfynd/A 33546-2025 artfynd.xlsx", "A 33546-2025")</f>
        <v/>
      </c>
      <c r="T121">
        <f>HYPERLINK("https://klasma.github.io/Logging_0188/kartor/A 33546-2025 karta.png", "A 33546-2025")</f>
        <v/>
      </c>
      <c r="V121">
        <f>HYPERLINK("https://klasma.github.io/Logging_0188/klagomål/A 33546-2025 FSC-klagomål.docx", "A 33546-2025")</f>
        <v/>
      </c>
      <c r="W121">
        <f>HYPERLINK("https://klasma.github.io/Logging_0188/klagomålsmail/A 33546-2025 FSC-klagomål mail.docx", "A 33546-2025")</f>
        <v/>
      </c>
      <c r="X121">
        <f>HYPERLINK("https://klasma.github.io/Logging_0188/tillsyn/A 33546-2025 tillsynsbegäran.docx", "A 33546-2025")</f>
        <v/>
      </c>
      <c r="Y121">
        <f>HYPERLINK("https://klasma.github.io/Logging_0188/tillsynsmail/A 33546-2025 tillsynsbegäran mail.docx", "A 33546-2025")</f>
        <v/>
      </c>
    </row>
    <row r="122" ht="15" customHeight="1">
      <c r="A122" t="inlineStr">
        <is>
          <t>A 64456-2023</t>
        </is>
      </c>
      <c r="B122" s="1" t="n">
        <v>45280</v>
      </c>
      <c r="C122" s="1" t="n">
        <v>46047</v>
      </c>
      <c r="D122" t="inlineStr">
        <is>
          <t>STOCKHOLMS LÄN</t>
        </is>
      </c>
      <c r="E122" t="inlineStr">
        <is>
          <t>NORRTÄLJE</t>
        </is>
      </c>
      <c r="G122" t="n">
        <v>2.5</v>
      </c>
      <c r="H122" t="n">
        <v>0</v>
      </c>
      <c r="I122" t="n">
        <v>1</v>
      </c>
      <c r="J122" t="n">
        <v>0</v>
      </c>
      <c r="K122" t="n">
        <v>0</v>
      </c>
      <c r="L122" t="n">
        <v>0</v>
      </c>
      <c r="M122" t="n">
        <v>0</v>
      </c>
      <c r="N122" t="n">
        <v>0</v>
      </c>
      <c r="O122" t="n">
        <v>0</v>
      </c>
      <c r="P122" t="n">
        <v>0</v>
      </c>
      <c r="Q122" t="n">
        <v>1</v>
      </c>
      <c r="R122" s="2" t="inlineStr">
        <is>
          <t>Rödgul trumpetsvamp</t>
        </is>
      </c>
      <c r="S122">
        <f>HYPERLINK("https://klasma.github.io/Logging_0188/artfynd/A 64456-2023 artfynd.xlsx", "A 64456-2023")</f>
        <v/>
      </c>
      <c r="T122">
        <f>HYPERLINK("https://klasma.github.io/Logging_0188/kartor/A 64456-2023 karta.png", "A 64456-2023")</f>
        <v/>
      </c>
      <c r="V122">
        <f>HYPERLINK("https://klasma.github.io/Logging_0188/klagomål/A 64456-2023 FSC-klagomål.docx", "A 64456-2023")</f>
        <v/>
      </c>
      <c r="W122">
        <f>HYPERLINK("https://klasma.github.io/Logging_0188/klagomålsmail/A 64456-2023 FSC-klagomål mail.docx", "A 64456-2023")</f>
        <v/>
      </c>
      <c r="X122">
        <f>HYPERLINK("https://klasma.github.io/Logging_0188/tillsyn/A 64456-2023 tillsynsbegäran.docx", "A 64456-2023")</f>
        <v/>
      </c>
      <c r="Y122">
        <f>HYPERLINK("https://klasma.github.io/Logging_0188/tillsynsmail/A 64456-2023 tillsynsbegäran mail.docx", "A 64456-2023")</f>
        <v/>
      </c>
    </row>
    <row r="123" ht="15" customHeight="1">
      <c r="A123" t="inlineStr">
        <is>
          <t>A 14365-2025</t>
        </is>
      </c>
      <c r="B123" s="1" t="n">
        <v>45741.38688657407</v>
      </c>
      <c r="C123" s="1" t="n">
        <v>46047</v>
      </c>
      <c r="D123" t="inlineStr">
        <is>
          <t>STOCKHOLMS LÄN</t>
        </is>
      </c>
      <c r="E123" t="inlineStr">
        <is>
          <t>NORRTÄLJE</t>
        </is>
      </c>
      <c r="G123" t="n">
        <v>2.4</v>
      </c>
      <c r="H123" t="n">
        <v>0</v>
      </c>
      <c r="I123" t="n">
        <v>0</v>
      </c>
      <c r="J123" t="n">
        <v>1</v>
      </c>
      <c r="K123" t="n">
        <v>0</v>
      </c>
      <c r="L123" t="n">
        <v>0</v>
      </c>
      <c r="M123" t="n">
        <v>0</v>
      </c>
      <c r="N123" t="n">
        <v>0</v>
      </c>
      <c r="O123" t="n">
        <v>1</v>
      </c>
      <c r="P123" t="n">
        <v>0</v>
      </c>
      <c r="Q123" t="n">
        <v>1</v>
      </c>
      <c r="R123" s="2" t="inlineStr">
        <is>
          <t>Granticka</t>
        </is>
      </c>
      <c r="S123">
        <f>HYPERLINK("https://klasma.github.io/Logging_0188/artfynd/A 14365-2025 artfynd.xlsx", "A 14365-2025")</f>
        <v/>
      </c>
      <c r="T123">
        <f>HYPERLINK("https://klasma.github.io/Logging_0188/kartor/A 14365-2025 karta.png", "A 14365-2025")</f>
        <v/>
      </c>
      <c r="V123">
        <f>HYPERLINK("https://klasma.github.io/Logging_0188/klagomål/A 14365-2025 FSC-klagomål.docx", "A 14365-2025")</f>
        <v/>
      </c>
      <c r="W123">
        <f>HYPERLINK("https://klasma.github.io/Logging_0188/klagomålsmail/A 14365-2025 FSC-klagomål mail.docx", "A 14365-2025")</f>
        <v/>
      </c>
      <c r="X123">
        <f>HYPERLINK("https://klasma.github.io/Logging_0188/tillsyn/A 14365-2025 tillsynsbegäran.docx", "A 14365-2025")</f>
        <v/>
      </c>
      <c r="Y123">
        <f>HYPERLINK("https://klasma.github.io/Logging_0188/tillsynsmail/A 14365-2025 tillsynsbegäran mail.docx", "A 14365-2025")</f>
        <v/>
      </c>
    </row>
    <row r="124" ht="15" customHeight="1">
      <c r="A124" t="inlineStr">
        <is>
          <t>A 32111-2022</t>
        </is>
      </c>
      <c r="B124" s="1" t="n">
        <v>44778.92797453704</v>
      </c>
      <c r="C124" s="1" t="n">
        <v>46047</v>
      </c>
      <c r="D124" t="inlineStr">
        <is>
          <t>STOCKHOLMS LÄN</t>
        </is>
      </c>
      <c r="E124" t="inlineStr">
        <is>
          <t>NORRTÄLJE</t>
        </is>
      </c>
      <c r="G124" t="n">
        <v>3.1</v>
      </c>
      <c r="H124" t="n">
        <v>0</v>
      </c>
      <c r="I124" t="n">
        <v>0</v>
      </c>
      <c r="J124" t="n">
        <v>1</v>
      </c>
      <c r="K124" t="n">
        <v>0</v>
      </c>
      <c r="L124" t="n">
        <v>0</v>
      </c>
      <c r="M124" t="n">
        <v>0</v>
      </c>
      <c r="N124" t="n">
        <v>0</v>
      </c>
      <c r="O124" t="n">
        <v>1</v>
      </c>
      <c r="P124" t="n">
        <v>0</v>
      </c>
      <c r="Q124" t="n">
        <v>1</v>
      </c>
      <c r="R124" s="2" t="inlineStr">
        <is>
          <t>Orange taggsvamp</t>
        </is>
      </c>
      <c r="S124">
        <f>HYPERLINK("https://klasma.github.io/Logging_0188/artfynd/A 32111-2022 artfynd.xlsx", "A 32111-2022")</f>
        <v/>
      </c>
      <c r="T124">
        <f>HYPERLINK("https://klasma.github.io/Logging_0188/kartor/A 32111-2022 karta.png", "A 32111-2022")</f>
        <v/>
      </c>
      <c r="V124">
        <f>HYPERLINK("https://klasma.github.io/Logging_0188/klagomål/A 32111-2022 FSC-klagomål.docx", "A 32111-2022")</f>
        <v/>
      </c>
      <c r="W124">
        <f>HYPERLINK("https://klasma.github.io/Logging_0188/klagomålsmail/A 32111-2022 FSC-klagomål mail.docx", "A 32111-2022")</f>
        <v/>
      </c>
      <c r="X124">
        <f>HYPERLINK("https://klasma.github.io/Logging_0188/tillsyn/A 32111-2022 tillsynsbegäran.docx", "A 32111-2022")</f>
        <v/>
      </c>
      <c r="Y124">
        <f>HYPERLINK("https://klasma.github.io/Logging_0188/tillsynsmail/A 32111-2022 tillsynsbegäran mail.docx", "A 32111-2022")</f>
        <v/>
      </c>
    </row>
    <row r="125" ht="15" customHeight="1">
      <c r="A125" t="inlineStr">
        <is>
          <t>A 52508-2023</t>
        </is>
      </c>
      <c r="B125" s="1" t="n">
        <v>45225</v>
      </c>
      <c r="C125" s="1" t="n">
        <v>46047</v>
      </c>
      <c r="D125" t="inlineStr">
        <is>
          <t>STOCKHOLMS LÄN</t>
        </is>
      </c>
      <c r="E125" t="inlineStr">
        <is>
          <t>NORRTÄLJE</t>
        </is>
      </c>
      <c r="G125" t="n">
        <v>19.7</v>
      </c>
      <c r="H125" t="n">
        <v>1</v>
      </c>
      <c r="I125" t="n">
        <v>0</v>
      </c>
      <c r="J125" t="n">
        <v>0</v>
      </c>
      <c r="K125" t="n">
        <v>1</v>
      </c>
      <c r="L125" t="n">
        <v>0</v>
      </c>
      <c r="M125" t="n">
        <v>0</v>
      </c>
      <c r="N125" t="n">
        <v>0</v>
      </c>
      <c r="O125" t="n">
        <v>1</v>
      </c>
      <c r="P125" t="n">
        <v>1</v>
      </c>
      <c r="Q125" t="n">
        <v>1</v>
      </c>
      <c r="R125" s="2" t="inlineStr">
        <is>
          <t>Svärta</t>
        </is>
      </c>
      <c r="S125">
        <f>HYPERLINK("https://klasma.github.io/Logging_0188/artfynd/A 52508-2023 artfynd.xlsx", "A 52508-2023")</f>
        <v/>
      </c>
      <c r="T125">
        <f>HYPERLINK("https://klasma.github.io/Logging_0188/kartor/A 52508-2023 karta.png", "A 52508-2023")</f>
        <v/>
      </c>
      <c r="V125">
        <f>HYPERLINK("https://klasma.github.io/Logging_0188/klagomål/A 52508-2023 FSC-klagomål.docx", "A 52508-2023")</f>
        <v/>
      </c>
      <c r="W125">
        <f>HYPERLINK("https://klasma.github.io/Logging_0188/klagomålsmail/A 52508-2023 FSC-klagomål mail.docx", "A 52508-2023")</f>
        <v/>
      </c>
      <c r="X125">
        <f>HYPERLINK("https://klasma.github.io/Logging_0188/tillsyn/A 52508-2023 tillsynsbegäran.docx", "A 52508-2023")</f>
        <v/>
      </c>
      <c r="Y125">
        <f>HYPERLINK("https://klasma.github.io/Logging_0188/tillsynsmail/A 52508-2023 tillsynsbegäran mail.docx", "A 52508-2023")</f>
        <v/>
      </c>
    </row>
    <row r="126" ht="15" customHeight="1">
      <c r="A126" t="inlineStr">
        <is>
          <t>A 4385-2023</t>
        </is>
      </c>
      <c r="B126" s="1" t="n">
        <v>44955.71322916666</v>
      </c>
      <c r="C126" s="1" t="n">
        <v>46047</v>
      </c>
      <c r="D126" t="inlineStr">
        <is>
          <t>STOCKHOLMS LÄN</t>
        </is>
      </c>
      <c r="E126" t="inlineStr">
        <is>
          <t>NORRTÄLJE</t>
        </is>
      </c>
      <c r="G126" t="n">
        <v>7.8</v>
      </c>
      <c r="H126" t="n">
        <v>1</v>
      </c>
      <c r="I126" t="n">
        <v>1</v>
      </c>
      <c r="J126" t="n">
        <v>0</v>
      </c>
      <c r="K126" t="n">
        <v>0</v>
      </c>
      <c r="L126" t="n">
        <v>0</v>
      </c>
      <c r="M126" t="n">
        <v>0</v>
      </c>
      <c r="N126" t="n">
        <v>0</v>
      </c>
      <c r="O126" t="n">
        <v>0</v>
      </c>
      <c r="P126" t="n">
        <v>0</v>
      </c>
      <c r="Q126" t="n">
        <v>1</v>
      </c>
      <c r="R126" s="2" t="inlineStr">
        <is>
          <t>Skogsknipprot</t>
        </is>
      </c>
      <c r="S126">
        <f>HYPERLINK("https://klasma.github.io/Logging_0188/artfynd/A 4385-2023 artfynd.xlsx", "A 4385-2023")</f>
        <v/>
      </c>
      <c r="T126">
        <f>HYPERLINK("https://klasma.github.io/Logging_0188/kartor/A 4385-2023 karta.png", "A 4385-2023")</f>
        <v/>
      </c>
      <c r="V126">
        <f>HYPERLINK("https://klasma.github.io/Logging_0188/klagomål/A 4385-2023 FSC-klagomål.docx", "A 4385-2023")</f>
        <v/>
      </c>
      <c r="W126">
        <f>HYPERLINK("https://klasma.github.io/Logging_0188/klagomålsmail/A 4385-2023 FSC-klagomål mail.docx", "A 4385-2023")</f>
        <v/>
      </c>
      <c r="X126">
        <f>HYPERLINK("https://klasma.github.io/Logging_0188/tillsyn/A 4385-2023 tillsynsbegäran.docx", "A 4385-2023")</f>
        <v/>
      </c>
      <c r="Y126">
        <f>HYPERLINK("https://klasma.github.io/Logging_0188/tillsynsmail/A 4385-2023 tillsynsbegäran mail.docx", "A 4385-2023")</f>
        <v/>
      </c>
    </row>
    <row r="127" ht="15" customHeight="1">
      <c r="A127" t="inlineStr">
        <is>
          <t>A 4860-2022</t>
        </is>
      </c>
      <c r="B127" s="1" t="n">
        <v>44592</v>
      </c>
      <c r="C127" s="1" t="n">
        <v>46047</v>
      </c>
      <c r="D127" t="inlineStr">
        <is>
          <t>STOCKHOLMS LÄN</t>
        </is>
      </c>
      <c r="E127" t="inlineStr">
        <is>
          <t>NORRTÄLJE</t>
        </is>
      </c>
      <c r="G127" t="n">
        <v>22.3</v>
      </c>
      <c r="H127" t="n">
        <v>0</v>
      </c>
      <c r="I127" t="n">
        <v>0</v>
      </c>
      <c r="J127" t="n">
        <v>1</v>
      </c>
      <c r="K127" t="n">
        <v>0</v>
      </c>
      <c r="L127" t="n">
        <v>0</v>
      </c>
      <c r="M127" t="n">
        <v>0</v>
      </c>
      <c r="N127" t="n">
        <v>0</v>
      </c>
      <c r="O127" t="n">
        <v>1</v>
      </c>
      <c r="P127" t="n">
        <v>0</v>
      </c>
      <c r="Q127" t="n">
        <v>1</v>
      </c>
      <c r="R127" s="2" t="inlineStr">
        <is>
          <t>Igelkott</t>
        </is>
      </c>
      <c r="S127">
        <f>HYPERLINK("https://klasma.github.io/Logging_0188/artfynd/A 4860-2022 artfynd.xlsx", "A 4860-2022")</f>
        <v/>
      </c>
      <c r="T127">
        <f>HYPERLINK("https://klasma.github.io/Logging_0188/kartor/A 4860-2022 karta.png", "A 4860-2022")</f>
        <v/>
      </c>
      <c r="V127">
        <f>HYPERLINK("https://klasma.github.io/Logging_0188/klagomål/A 4860-2022 FSC-klagomål.docx", "A 4860-2022")</f>
        <v/>
      </c>
      <c r="W127">
        <f>HYPERLINK("https://klasma.github.io/Logging_0188/klagomålsmail/A 4860-2022 FSC-klagomål mail.docx", "A 4860-2022")</f>
        <v/>
      </c>
      <c r="X127">
        <f>HYPERLINK("https://klasma.github.io/Logging_0188/tillsyn/A 4860-2022 tillsynsbegäran.docx", "A 4860-2022")</f>
        <v/>
      </c>
      <c r="Y127">
        <f>HYPERLINK("https://klasma.github.io/Logging_0188/tillsynsmail/A 4860-2022 tillsynsbegäran mail.docx", "A 4860-2022")</f>
        <v/>
      </c>
    </row>
    <row r="128" ht="15" customHeight="1">
      <c r="A128" t="inlineStr">
        <is>
          <t>A 19829-2022</t>
        </is>
      </c>
      <c r="B128" s="1" t="n">
        <v>44695.43527777777</v>
      </c>
      <c r="C128" s="1" t="n">
        <v>46047</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8371-2025</t>
        </is>
      </c>
      <c r="B129" s="1" t="n">
        <v>45708</v>
      </c>
      <c r="C129" s="1" t="n">
        <v>46047</v>
      </c>
      <c r="D129" t="inlineStr">
        <is>
          <t>STOCKHOLMS LÄN</t>
        </is>
      </c>
      <c r="E129" t="inlineStr">
        <is>
          <t>NORRTÄLJE</t>
        </is>
      </c>
      <c r="F129" t="inlineStr">
        <is>
          <t>Övriga Aktiebolag</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HYPERLINK("https://klasma.github.io/Logging_0188/artfynd/A 8371-2025 artfynd.xlsx", "A 8371-2025")</f>
        <v/>
      </c>
      <c r="T129">
        <f>HYPERLINK("https://klasma.github.io/Logging_0188/kartor/A 8371-2025 karta.png", "A 8371-2025")</f>
        <v/>
      </c>
      <c r="V129">
        <f>HYPERLINK("https://klasma.github.io/Logging_0188/klagomål/A 8371-2025 FSC-klagomål.docx", "A 8371-2025")</f>
        <v/>
      </c>
      <c r="W129">
        <f>HYPERLINK("https://klasma.github.io/Logging_0188/klagomålsmail/A 8371-2025 FSC-klagomål mail.docx", "A 8371-2025")</f>
        <v/>
      </c>
      <c r="X129">
        <f>HYPERLINK("https://klasma.github.io/Logging_0188/tillsyn/A 8371-2025 tillsynsbegäran.docx", "A 8371-2025")</f>
        <v/>
      </c>
      <c r="Y129">
        <f>HYPERLINK("https://klasma.github.io/Logging_0188/tillsynsmail/A 8371-2025 tillsynsbegäran mail.docx", "A 8371-2025")</f>
        <v/>
      </c>
      <c r="Z129">
        <f>HYPERLINK("https://klasma.github.io/Logging_0188/fåglar/A 8371-2025 prioriterade fågelarter.docx", "A 8371-2025")</f>
        <v/>
      </c>
    </row>
    <row r="130" ht="15" customHeight="1">
      <c r="A130" t="inlineStr">
        <is>
          <t>A 40861-2025</t>
        </is>
      </c>
      <c r="B130" s="1" t="n">
        <v>45897.56356481482</v>
      </c>
      <c r="C130" s="1" t="n">
        <v>46047</v>
      </c>
      <c r="D130" t="inlineStr">
        <is>
          <t>STOCKHOLMS LÄN</t>
        </is>
      </c>
      <c r="E130" t="inlineStr">
        <is>
          <t>NORRTÄLJE</t>
        </is>
      </c>
      <c r="G130" t="n">
        <v>4</v>
      </c>
      <c r="H130" t="n">
        <v>0</v>
      </c>
      <c r="I130" t="n">
        <v>0</v>
      </c>
      <c r="J130" t="n">
        <v>1</v>
      </c>
      <c r="K130" t="n">
        <v>0</v>
      </c>
      <c r="L130" t="n">
        <v>0</v>
      </c>
      <c r="M130" t="n">
        <v>0</v>
      </c>
      <c r="N130" t="n">
        <v>0</v>
      </c>
      <c r="O130" t="n">
        <v>1</v>
      </c>
      <c r="P130" t="n">
        <v>0</v>
      </c>
      <c r="Q130" t="n">
        <v>1</v>
      </c>
      <c r="R130" s="2" t="inlineStr">
        <is>
          <t>Skogsklocka</t>
        </is>
      </c>
      <c r="S130">
        <f>HYPERLINK("https://klasma.github.io/Logging_0188/artfynd/A 40861-2025 artfynd.xlsx", "A 40861-2025")</f>
        <v/>
      </c>
      <c r="T130">
        <f>HYPERLINK("https://klasma.github.io/Logging_0188/kartor/A 40861-2025 karta.png", "A 40861-2025")</f>
        <v/>
      </c>
      <c r="V130">
        <f>HYPERLINK("https://klasma.github.io/Logging_0188/klagomål/A 40861-2025 FSC-klagomål.docx", "A 40861-2025")</f>
        <v/>
      </c>
      <c r="W130">
        <f>HYPERLINK("https://klasma.github.io/Logging_0188/klagomålsmail/A 40861-2025 FSC-klagomål mail.docx", "A 40861-2025")</f>
        <v/>
      </c>
      <c r="X130">
        <f>HYPERLINK("https://klasma.github.io/Logging_0188/tillsyn/A 40861-2025 tillsynsbegäran.docx", "A 40861-2025")</f>
        <v/>
      </c>
      <c r="Y130">
        <f>HYPERLINK("https://klasma.github.io/Logging_0188/tillsynsmail/A 40861-2025 tillsynsbegäran mail.docx", "A 40861-2025")</f>
        <v/>
      </c>
    </row>
    <row r="131" ht="15" customHeight="1">
      <c r="A131" t="inlineStr">
        <is>
          <t>A 13271-2025</t>
        </is>
      </c>
      <c r="B131" s="1" t="n">
        <v>45735.54510416667</v>
      </c>
      <c r="C131" s="1" t="n">
        <v>46047</v>
      </c>
      <c r="D131" t="inlineStr">
        <is>
          <t>STOCKHOLMS LÄN</t>
        </is>
      </c>
      <c r="E131" t="inlineStr">
        <is>
          <t>NORRTÄLJE</t>
        </is>
      </c>
      <c r="G131" t="n">
        <v>7.2</v>
      </c>
      <c r="H131" t="n">
        <v>1</v>
      </c>
      <c r="I131" t="n">
        <v>0</v>
      </c>
      <c r="J131" t="n">
        <v>0</v>
      </c>
      <c r="K131" t="n">
        <v>0</v>
      </c>
      <c r="L131" t="n">
        <v>1</v>
      </c>
      <c r="M131" t="n">
        <v>0</v>
      </c>
      <c r="N131" t="n">
        <v>0</v>
      </c>
      <c r="O131" t="n">
        <v>1</v>
      </c>
      <c r="P131" t="n">
        <v>1</v>
      </c>
      <c r="Q131" t="n">
        <v>1</v>
      </c>
      <c r="R131" s="2" t="inlineStr">
        <is>
          <t>Asknätfjäril</t>
        </is>
      </c>
      <c r="S131">
        <f>HYPERLINK("https://klasma.github.io/Logging_0188/artfynd/A 13271-2025 artfynd.xlsx", "A 13271-2025")</f>
        <v/>
      </c>
      <c r="T131">
        <f>HYPERLINK("https://klasma.github.io/Logging_0188/kartor/A 13271-2025 karta.png", "A 13271-2025")</f>
        <v/>
      </c>
      <c r="V131">
        <f>HYPERLINK("https://klasma.github.io/Logging_0188/klagomål/A 13271-2025 FSC-klagomål.docx", "A 13271-2025")</f>
        <v/>
      </c>
      <c r="W131">
        <f>HYPERLINK("https://klasma.github.io/Logging_0188/klagomålsmail/A 13271-2025 FSC-klagomål mail.docx", "A 13271-2025")</f>
        <v/>
      </c>
      <c r="X131">
        <f>HYPERLINK("https://klasma.github.io/Logging_0188/tillsyn/A 13271-2025 tillsynsbegäran.docx", "A 13271-2025")</f>
        <v/>
      </c>
      <c r="Y131">
        <f>HYPERLINK("https://klasma.github.io/Logging_0188/tillsynsmail/A 13271-2025 tillsynsbegäran mail.docx", "A 13271-2025")</f>
        <v/>
      </c>
    </row>
    <row r="132" ht="15" customHeight="1">
      <c r="A132" t="inlineStr">
        <is>
          <t>A 27827-2022</t>
        </is>
      </c>
      <c r="B132" s="1" t="n">
        <v>44743.59504629629</v>
      </c>
      <c r="C132" s="1" t="n">
        <v>46047</v>
      </c>
      <c r="D132" t="inlineStr">
        <is>
          <t>STOCKHOLMS LÄN</t>
        </is>
      </c>
      <c r="E132" t="inlineStr">
        <is>
          <t>NORRTÄLJE</t>
        </is>
      </c>
      <c r="F132" t="inlineStr">
        <is>
          <t>Holmen skog AB</t>
        </is>
      </c>
      <c r="G132" t="n">
        <v>4.7</v>
      </c>
      <c r="H132" t="n">
        <v>1</v>
      </c>
      <c r="I132" t="n">
        <v>0</v>
      </c>
      <c r="J132" t="n">
        <v>1</v>
      </c>
      <c r="K132" t="n">
        <v>0</v>
      </c>
      <c r="L132" t="n">
        <v>0</v>
      </c>
      <c r="M132" t="n">
        <v>0</v>
      </c>
      <c r="N132" t="n">
        <v>0</v>
      </c>
      <c r="O132" t="n">
        <v>1</v>
      </c>
      <c r="P132" t="n">
        <v>0</v>
      </c>
      <c r="Q132" t="n">
        <v>1</v>
      </c>
      <c r="R132" s="2" t="inlineStr">
        <is>
          <t>Nordfladdermus</t>
        </is>
      </c>
      <c r="S132">
        <f>HYPERLINK("https://klasma.github.io/Logging_0188/artfynd/A 27827-2022 artfynd.xlsx", "A 27827-2022")</f>
        <v/>
      </c>
      <c r="T132">
        <f>HYPERLINK("https://klasma.github.io/Logging_0188/kartor/A 27827-2022 karta.png", "A 27827-2022")</f>
        <v/>
      </c>
      <c r="V132">
        <f>HYPERLINK("https://klasma.github.io/Logging_0188/klagomål/A 27827-2022 FSC-klagomål.docx", "A 27827-2022")</f>
        <v/>
      </c>
      <c r="W132">
        <f>HYPERLINK("https://klasma.github.io/Logging_0188/klagomålsmail/A 27827-2022 FSC-klagomål mail.docx", "A 27827-2022")</f>
        <v/>
      </c>
      <c r="X132">
        <f>HYPERLINK("https://klasma.github.io/Logging_0188/tillsyn/A 27827-2022 tillsynsbegäran.docx", "A 27827-2022")</f>
        <v/>
      </c>
      <c r="Y132">
        <f>HYPERLINK("https://klasma.github.io/Logging_0188/tillsynsmail/A 27827-2022 tillsynsbegäran mail.docx", "A 27827-2022")</f>
        <v/>
      </c>
    </row>
    <row r="133" ht="15" customHeight="1">
      <c r="A133" t="inlineStr">
        <is>
          <t>A 23146-2024</t>
        </is>
      </c>
      <c r="B133" s="1" t="n">
        <v>45450.63958333333</v>
      </c>
      <c r="C133" s="1" t="n">
        <v>46047</v>
      </c>
      <c r="D133" t="inlineStr">
        <is>
          <t>STOCKHOLMS LÄN</t>
        </is>
      </c>
      <c r="E133" t="inlineStr">
        <is>
          <t>NORRTÄLJE</t>
        </is>
      </c>
      <c r="F133" t="inlineStr">
        <is>
          <t>Kommuner</t>
        </is>
      </c>
      <c r="G133" t="n">
        <v>6</v>
      </c>
      <c r="H133" t="n">
        <v>0</v>
      </c>
      <c r="I133" t="n">
        <v>0</v>
      </c>
      <c r="J133" t="n">
        <v>1</v>
      </c>
      <c r="K133" t="n">
        <v>0</v>
      </c>
      <c r="L133" t="n">
        <v>0</v>
      </c>
      <c r="M133" t="n">
        <v>0</v>
      </c>
      <c r="N133" t="n">
        <v>0</v>
      </c>
      <c r="O133" t="n">
        <v>1</v>
      </c>
      <c r="P133" t="n">
        <v>0</v>
      </c>
      <c r="Q133" t="n">
        <v>1</v>
      </c>
      <c r="R133" s="2" t="inlineStr">
        <is>
          <t>Motaggsvamp</t>
        </is>
      </c>
      <c r="S133">
        <f>HYPERLINK("https://klasma.github.io/Logging_0188/artfynd/A 23146-2024 artfynd.xlsx", "A 23146-2024")</f>
        <v/>
      </c>
      <c r="T133">
        <f>HYPERLINK("https://klasma.github.io/Logging_0188/kartor/A 23146-2024 karta.png", "A 23146-2024")</f>
        <v/>
      </c>
      <c r="V133">
        <f>HYPERLINK("https://klasma.github.io/Logging_0188/klagomål/A 23146-2024 FSC-klagomål.docx", "A 23146-2024")</f>
        <v/>
      </c>
      <c r="W133">
        <f>HYPERLINK("https://klasma.github.io/Logging_0188/klagomålsmail/A 23146-2024 FSC-klagomål mail.docx", "A 23146-2024")</f>
        <v/>
      </c>
      <c r="X133">
        <f>HYPERLINK("https://klasma.github.io/Logging_0188/tillsyn/A 23146-2024 tillsynsbegäran.docx", "A 23146-2024")</f>
        <v/>
      </c>
      <c r="Y133">
        <f>HYPERLINK("https://klasma.github.io/Logging_0188/tillsynsmail/A 23146-2024 tillsynsbegäran mail.docx", "A 23146-2024")</f>
        <v/>
      </c>
    </row>
    <row r="134" ht="15" customHeight="1">
      <c r="A134" t="inlineStr">
        <is>
          <t>A 42313-2025</t>
        </is>
      </c>
      <c r="B134" s="1" t="n">
        <v>45904.6575</v>
      </c>
      <c r="C134" s="1" t="n">
        <v>46047</v>
      </c>
      <c r="D134" t="inlineStr">
        <is>
          <t>STOCKHOLMS LÄN</t>
        </is>
      </c>
      <c r="E134" t="inlineStr">
        <is>
          <t>NORRTÄLJE</t>
        </is>
      </c>
      <c r="G134" t="n">
        <v>1.7</v>
      </c>
      <c r="H134" t="n">
        <v>1</v>
      </c>
      <c r="I134" t="n">
        <v>0</v>
      </c>
      <c r="J134" t="n">
        <v>0</v>
      </c>
      <c r="K134" t="n">
        <v>0</v>
      </c>
      <c r="L134" t="n">
        <v>0</v>
      </c>
      <c r="M134" t="n">
        <v>0</v>
      </c>
      <c r="N134" t="n">
        <v>0</v>
      </c>
      <c r="O134" t="n">
        <v>0</v>
      </c>
      <c r="P134" t="n">
        <v>0</v>
      </c>
      <c r="Q134" t="n">
        <v>1</v>
      </c>
      <c r="R134" s="2" t="inlineStr">
        <is>
          <t>Vanlig padda</t>
        </is>
      </c>
      <c r="S134">
        <f>HYPERLINK("https://klasma.github.io/Logging_0188/artfynd/A 42313-2025 artfynd.xlsx", "A 42313-2025")</f>
        <v/>
      </c>
      <c r="T134">
        <f>HYPERLINK("https://klasma.github.io/Logging_0188/kartor/A 42313-2025 karta.png", "A 42313-2025")</f>
        <v/>
      </c>
      <c r="V134">
        <f>HYPERLINK("https://klasma.github.io/Logging_0188/klagomål/A 42313-2025 FSC-klagomål.docx", "A 42313-2025")</f>
        <v/>
      </c>
      <c r="W134">
        <f>HYPERLINK("https://klasma.github.io/Logging_0188/klagomålsmail/A 42313-2025 FSC-klagomål mail.docx", "A 42313-2025")</f>
        <v/>
      </c>
      <c r="X134">
        <f>HYPERLINK("https://klasma.github.io/Logging_0188/tillsyn/A 42313-2025 tillsynsbegäran.docx", "A 42313-2025")</f>
        <v/>
      </c>
      <c r="Y134">
        <f>HYPERLINK("https://klasma.github.io/Logging_0188/tillsynsmail/A 42313-2025 tillsynsbegäran mail.docx", "A 42313-2025")</f>
        <v/>
      </c>
    </row>
    <row r="135" ht="15" customHeight="1">
      <c r="A135" t="inlineStr">
        <is>
          <t>A 27538-2024</t>
        </is>
      </c>
      <c r="B135" s="1" t="n">
        <v>45474</v>
      </c>
      <c r="C135" s="1" t="n">
        <v>46047</v>
      </c>
      <c r="D135" t="inlineStr">
        <is>
          <t>STOCKHOLMS LÄN</t>
        </is>
      </c>
      <c r="E135" t="inlineStr">
        <is>
          <t>NORRTÄLJE</t>
        </is>
      </c>
      <c r="G135" t="n">
        <v>1.5</v>
      </c>
      <c r="H135" t="n">
        <v>1</v>
      </c>
      <c r="I135" t="n">
        <v>1</v>
      </c>
      <c r="J135" t="n">
        <v>0</v>
      </c>
      <c r="K135" t="n">
        <v>0</v>
      </c>
      <c r="L135" t="n">
        <v>0</v>
      </c>
      <c r="M135" t="n">
        <v>0</v>
      </c>
      <c r="N135" t="n">
        <v>0</v>
      </c>
      <c r="O135" t="n">
        <v>0</v>
      </c>
      <c r="P135" t="n">
        <v>0</v>
      </c>
      <c r="Q135" t="n">
        <v>1</v>
      </c>
      <c r="R135" s="2" t="inlineStr">
        <is>
          <t>Skogsknipprot</t>
        </is>
      </c>
      <c r="S135">
        <f>HYPERLINK("https://klasma.github.io/Logging_0188/artfynd/A 27538-2024 artfynd.xlsx", "A 27538-2024")</f>
        <v/>
      </c>
      <c r="T135">
        <f>HYPERLINK("https://klasma.github.io/Logging_0188/kartor/A 27538-2024 karta.png", "A 27538-2024")</f>
        <v/>
      </c>
      <c r="V135">
        <f>HYPERLINK("https://klasma.github.io/Logging_0188/klagomål/A 27538-2024 FSC-klagomål.docx", "A 27538-2024")</f>
        <v/>
      </c>
      <c r="W135">
        <f>HYPERLINK("https://klasma.github.io/Logging_0188/klagomålsmail/A 27538-2024 FSC-klagomål mail.docx", "A 27538-2024")</f>
        <v/>
      </c>
      <c r="X135">
        <f>HYPERLINK("https://klasma.github.io/Logging_0188/tillsyn/A 27538-2024 tillsynsbegäran.docx", "A 27538-2024")</f>
        <v/>
      </c>
      <c r="Y135">
        <f>HYPERLINK("https://klasma.github.io/Logging_0188/tillsynsmail/A 27538-2024 tillsynsbegäran mail.docx", "A 27538-2024")</f>
        <v/>
      </c>
    </row>
    <row r="136" ht="15" customHeight="1">
      <c r="A136" t="inlineStr">
        <is>
          <t>A 48131-2023</t>
        </is>
      </c>
      <c r="B136" s="1" t="n">
        <v>45205</v>
      </c>
      <c r="C136" s="1" t="n">
        <v>46047</v>
      </c>
      <c r="D136" t="inlineStr">
        <is>
          <t>STOCKHOLMS LÄN</t>
        </is>
      </c>
      <c r="E136" t="inlineStr">
        <is>
          <t>NORRTÄLJE</t>
        </is>
      </c>
      <c r="G136" t="n">
        <v>2.3</v>
      </c>
      <c r="H136" t="n">
        <v>0</v>
      </c>
      <c r="I136" t="n">
        <v>0</v>
      </c>
      <c r="J136" t="n">
        <v>1</v>
      </c>
      <c r="K136" t="n">
        <v>0</v>
      </c>
      <c r="L136" t="n">
        <v>0</v>
      </c>
      <c r="M136" t="n">
        <v>0</v>
      </c>
      <c r="N136" t="n">
        <v>0</v>
      </c>
      <c r="O136" t="n">
        <v>1</v>
      </c>
      <c r="P136" t="n">
        <v>0</v>
      </c>
      <c r="Q136" t="n">
        <v>1</v>
      </c>
      <c r="R136" s="2" t="inlineStr">
        <is>
          <t>Slåtterfibbla</t>
        </is>
      </c>
      <c r="S136">
        <f>HYPERLINK("https://klasma.github.io/Logging_0188/artfynd/A 48131-2023 artfynd.xlsx", "A 48131-2023")</f>
        <v/>
      </c>
      <c r="T136">
        <f>HYPERLINK("https://klasma.github.io/Logging_0188/kartor/A 48131-2023 karta.png", "A 48131-2023")</f>
        <v/>
      </c>
      <c r="V136">
        <f>HYPERLINK("https://klasma.github.io/Logging_0188/klagomål/A 48131-2023 FSC-klagomål.docx", "A 48131-2023")</f>
        <v/>
      </c>
      <c r="W136">
        <f>HYPERLINK("https://klasma.github.io/Logging_0188/klagomålsmail/A 48131-2023 FSC-klagomål mail.docx", "A 48131-2023")</f>
        <v/>
      </c>
      <c r="X136">
        <f>HYPERLINK("https://klasma.github.io/Logging_0188/tillsyn/A 48131-2023 tillsynsbegäran.docx", "A 48131-2023")</f>
        <v/>
      </c>
      <c r="Y136">
        <f>HYPERLINK("https://klasma.github.io/Logging_0188/tillsynsmail/A 48131-2023 tillsynsbegäran mail.docx", "A 48131-2023")</f>
        <v/>
      </c>
    </row>
    <row r="137" ht="15" customHeight="1">
      <c r="A137" t="inlineStr">
        <is>
          <t>A 39158-2025</t>
        </is>
      </c>
      <c r="B137" s="1" t="n">
        <v>45888</v>
      </c>
      <c r="C137" s="1" t="n">
        <v>46047</v>
      </c>
      <c r="D137" t="inlineStr">
        <is>
          <t>STOCKHOLMS LÄN</t>
        </is>
      </c>
      <c r="E137" t="inlineStr">
        <is>
          <t>NORRTÄLJE</t>
        </is>
      </c>
      <c r="G137" t="n">
        <v>1.5</v>
      </c>
      <c r="H137" t="n">
        <v>1</v>
      </c>
      <c r="I137" t="n">
        <v>0</v>
      </c>
      <c r="J137" t="n">
        <v>0</v>
      </c>
      <c r="K137" t="n">
        <v>0</v>
      </c>
      <c r="L137" t="n">
        <v>0</v>
      </c>
      <c r="M137" t="n">
        <v>0</v>
      </c>
      <c r="N137" t="n">
        <v>0</v>
      </c>
      <c r="O137" t="n">
        <v>0</v>
      </c>
      <c r="P137" t="n">
        <v>0</v>
      </c>
      <c r="Q137" t="n">
        <v>1</v>
      </c>
      <c r="R137" s="2" t="inlineStr">
        <is>
          <t>Blåsippa</t>
        </is>
      </c>
      <c r="S137">
        <f>HYPERLINK("https://klasma.github.io/Logging_0188/artfynd/A 39158-2025 artfynd.xlsx", "A 39158-2025")</f>
        <v/>
      </c>
      <c r="T137">
        <f>HYPERLINK("https://klasma.github.io/Logging_0188/kartor/A 39158-2025 karta.png", "A 39158-2025")</f>
        <v/>
      </c>
      <c r="V137">
        <f>HYPERLINK("https://klasma.github.io/Logging_0188/klagomål/A 39158-2025 FSC-klagomål.docx", "A 39158-2025")</f>
        <v/>
      </c>
      <c r="W137">
        <f>HYPERLINK("https://klasma.github.io/Logging_0188/klagomålsmail/A 39158-2025 FSC-klagomål mail.docx", "A 39158-2025")</f>
        <v/>
      </c>
      <c r="X137">
        <f>HYPERLINK("https://klasma.github.io/Logging_0188/tillsyn/A 39158-2025 tillsynsbegäran.docx", "A 39158-2025")</f>
        <v/>
      </c>
      <c r="Y137">
        <f>HYPERLINK("https://klasma.github.io/Logging_0188/tillsynsmail/A 39158-2025 tillsynsbegäran mail.docx", "A 39158-2025")</f>
        <v/>
      </c>
    </row>
    <row r="138" ht="15" customHeight="1">
      <c r="A138" t="inlineStr">
        <is>
          <t>A 21150-2022</t>
        </is>
      </c>
      <c r="B138" s="1" t="n">
        <v>44704</v>
      </c>
      <c r="C138" s="1" t="n">
        <v>46047</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52775-2025</t>
        </is>
      </c>
      <c r="B139" s="1" t="n">
        <v>45957.41608796296</v>
      </c>
      <c r="C139" s="1" t="n">
        <v>46047</v>
      </c>
      <c r="D139" t="inlineStr">
        <is>
          <t>STOCKHOLMS LÄN</t>
        </is>
      </c>
      <c r="E139" t="inlineStr">
        <is>
          <t>NORRTÄLJE</t>
        </is>
      </c>
      <c r="F139" t="inlineStr">
        <is>
          <t>Sveaskog</t>
        </is>
      </c>
      <c r="G139" t="n">
        <v>5.6</v>
      </c>
      <c r="H139" t="n">
        <v>0</v>
      </c>
      <c r="I139" t="n">
        <v>0</v>
      </c>
      <c r="J139" t="n">
        <v>1</v>
      </c>
      <c r="K139" t="n">
        <v>0</v>
      </c>
      <c r="L139" t="n">
        <v>0</v>
      </c>
      <c r="M139" t="n">
        <v>0</v>
      </c>
      <c r="N139" t="n">
        <v>0</v>
      </c>
      <c r="O139" t="n">
        <v>1</v>
      </c>
      <c r="P139" t="n">
        <v>0</v>
      </c>
      <c r="Q139" t="n">
        <v>1</v>
      </c>
      <c r="R139" s="2" t="inlineStr">
        <is>
          <t>Vedtrappmossa</t>
        </is>
      </c>
      <c r="S139">
        <f>HYPERLINK("https://klasma.github.io/Logging_0188/artfynd/A 52775-2025 artfynd.xlsx", "A 52775-2025")</f>
        <v/>
      </c>
      <c r="T139">
        <f>HYPERLINK("https://klasma.github.io/Logging_0188/kartor/A 52775-2025 karta.png", "A 52775-2025")</f>
        <v/>
      </c>
      <c r="V139">
        <f>HYPERLINK("https://klasma.github.io/Logging_0188/klagomål/A 52775-2025 FSC-klagomål.docx", "A 52775-2025")</f>
        <v/>
      </c>
      <c r="W139">
        <f>HYPERLINK("https://klasma.github.io/Logging_0188/klagomålsmail/A 52775-2025 FSC-klagomål mail.docx", "A 52775-2025")</f>
        <v/>
      </c>
      <c r="X139">
        <f>HYPERLINK("https://klasma.github.io/Logging_0188/tillsyn/A 52775-2025 tillsynsbegäran.docx", "A 52775-2025")</f>
        <v/>
      </c>
      <c r="Y139">
        <f>HYPERLINK("https://klasma.github.io/Logging_0188/tillsynsmail/A 52775-2025 tillsynsbegäran mail.docx", "A 52775-2025")</f>
        <v/>
      </c>
    </row>
    <row r="140" ht="15" customHeight="1">
      <c r="A140" t="inlineStr">
        <is>
          <t>A 53716-2025</t>
        </is>
      </c>
      <c r="B140" s="1" t="n">
        <v>45960.61782407408</v>
      </c>
      <c r="C140" s="1" t="n">
        <v>46047</v>
      </c>
      <c r="D140" t="inlineStr">
        <is>
          <t>STOCKHOLMS LÄN</t>
        </is>
      </c>
      <c r="E140" t="inlineStr">
        <is>
          <t>NORRTÄLJE</t>
        </is>
      </c>
      <c r="G140" t="n">
        <v>3.4</v>
      </c>
      <c r="H140" t="n">
        <v>0</v>
      </c>
      <c r="I140" t="n">
        <v>0</v>
      </c>
      <c r="J140" t="n">
        <v>0</v>
      </c>
      <c r="K140" t="n">
        <v>0</v>
      </c>
      <c r="L140" t="n">
        <v>1</v>
      </c>
      <c r="M140" t="n">
        <v>0</v>
      </c>
      <c r="N140" t="n">
        <v>0</v>
      </c>
      <c r="O140" t="n">
        <v>1</v>
      </c>
      <c r="P140" t="n">
        <v>1</v>
      </c>
      <c r="Q140" t="n">
        <v>1</v>
      </c>
      <c r="R140" s="2" t="inlineStr">
        <is>
          <t>Fältgentiana</t>
        </is>
      </c>
      <c r="S140">
        <f>HYPERLINK("https://klasma.github.io/Logging_0188/artfynd/A 53716-2025 artfynd.xlsx", "A 53716-2025")</f>
        <v/>
      </c>
      <c r="T140">
        <f>HYPERLINK("https://klasma.github.io/Logging_0188/kartor/A 53716-2025 karta.png", "A 53716-2025")</f>
        <v/>
      </c>
      <c r="V140">
        <f>HYPERLINK("https://klasma.github.io/Logging_0188/klagomål/A 53716-2025 FSC-klagomål.docx", "A 53716-2025")</f>
        <v/>
      </c>
      <c r="W140">
        <f>HYPERLINK("https://klasma.github.io/Logging_0188/klagomålsmail/A 53716-2025 FSC-klagomål mail.docx", "A 53716-2025")</f>
        <v/>
      </c>
      <c r="X140">
        <f>HYPERLINK("https://klasma.github.io/Logging_0188/tillsyn/A 53716-2025 tillsynsbegäran.docx", "A 53716-2025")</f>
        <v/>
      </c>
      <c r="Y140">
        <f>HYPERLINK("https://klasma.github.io/Logging_0188/tillsynsmail/A 53716-2025 tillsynsbegäran mail.docx", "A 53716-2025")</f>
        <v/>
      </c>
    </row>
    <row r="141" ht="15" customHeight="1">
      <c r="A141" t="inlineStr">
        <is>
          <t>A 16870-2025</t>
        </is>
      </c>
      <c r="B141" s="1" t="n">
        <v>45754</v>
      </c>
      <c r="C141" s="1" t="n">
        <v>46047</v>
      </c>
      <c r="D141" t="inlineStr">
        <is>
          <t>STOCKHOLMS LÄN</t>
        </is>
      </c>
      <c r="E141" t="inlineStr">
        <is>
          <t>NORRTÄLJE</t>
        </is>
      </c>
      <c r="G141" t="n">
        <v>24.6</v>
      </c>
      <c r="H141" t="n">
        <v>1</v>
      </c>
      <c r="I141" t="n">
        <v>0</v>
      </c>
      <c r="J141" t="n">
        <v>0</v>
      </c>
      <c r="K141" t="n">
        <v>0</v>
      </c>
      <c r="L141" t="n">
        <v>0</v>
      </c>
      <c r="M141" t="n">
        <v>0</v>
      </c>
      <c r="N141" t="n">
        <v>0</v>
      </c>
      <c r="O141" t="n">
        <v>0</v>
      </c>
      <c r="P141" t="n">
        <v>0</v>
      </c>
      <c r="Q141" t="n">
        <v>1</v>
      </c>
      <c r="R141" s="2" t="inlineStr">
        <is>
          <t>Vanlig groda</t>
        </is>
      </c>
      <c r="S141">
        <f>HYPERLINK("https://klasma.github.io/Logging_0188/artfynd/A 16870-2025 artfynd.xlsx", "A 16870-2025")</f>
        <v/>
      </c>
      <c r="T141">
        <f>HYPERLINK("https://klasma.github.io/Logging_0188/kartor/A 16870-2025 karta.png", "A 16870-2025")</f>
        <v/>
      </c>
      <c r="V141">
        <f>HYPERLINK("https://klasma.github.io/Logging_0188/klagomål/A 16870-2025 FSC-klagomål.docx", "A 16870-2025")</f>
        <v/>
      </c>
      <c r="W141">
        <f>HYPERLINK("https://klasma.github.io/Logging_0188/klagomålsmail/A 16870-2025 FSC-klagomål mail.docx", "A 16870-2025")</f>
        <v/>
      </c>
      <c r="X141">
        <f>HYPERLINK("https://klasma.github.io/Logging_0188/tillsyn/A 16870-2025 tillsynsbegäran.docx", "A 16870-2025")</f>
        <v/>
      </c>
      <c r="Y141">
        <f>HYPERLINK("https://klasma.github.io/Logging_0188/tillsynsmail/A 16870-2025 tillsynsbegäran mail.docx", "A 16870-2025")</f>
        <v/>
      </c>
    </row>
    <row r="142" ht="15" customHeight="1">
      <c r="A142" t="inlineStr">
        <is>
          <t>A 62715-2025</t>
        </is>
      </c>
      <c r="B142" s="1" t="n">
        <v>46008.52034722222</v>
      </c>
      <c r="C142" s="1" t="n">
        <v>46047</v>
      </c>
      <c r="D142" t="inlineStr">
        <is>
          <t>STOCKHOLMS LÄN</t>
        </is>
      </c>
      <c r="E142" t="inlineStr">
        <is>
          <t>NORRTÄLJE</t>
        </is>
      </c>
      <c r="G142" t="n">
        <v>0.8</v>
      </c>
      <c r="H142" t="n">
        <v>0</v>
      </c>
      <c r="I142" t="n">
        <v>1</v>
      </c>
      <c r="J142" t="n">
        <v>0</v>
      </c>
      <c r="K142" t="n">
        <v>0</v>
      </c>
      <c r="L142" t="n">
        <v>0</v>
      </c>
      <c r="M142" t="n">
        <v>0</v>
      </c>
      <c r="N142" t="n">
        <v>0</v>
      </c>
      <c r="O142" t="n">
        <v>0</v>
      </c>
      <c r="P142" t="n">
        <v>0</v>
      </c>
      <c r="Q142" t="n">
        <v>1</v>
      </c>
      <c r="R142" s="2" t="inlineStr">
        <is>
          <t>Granbarkgnagare</t>
        </is>
      </c>
      <c r="S142">
        <f>HYPERLINK("https://klasma.github.io/Logging_0188/artfynd/A 62715-2025 artfynd.xlsx", "A 62715-2025")</f>
        <v/>
      </c>
      <c r="T142">
        <f>HYPERLINK("https://klasma.github.io/Logging_0188/kartor/A 62715-2025 karta.png", "A 62715-2025")</f>
        <v/>
      </c>
      <c r="V142">
        <f>HYPERLINK("https://klasma.github.io/Logging_0188/klagomål/A 62715-2025 FSC-klagomål.docx", "A 62715-2025")</f>
        <v/>
      </c>
      <c r="W142">
        <f>HYPERLINK("https://klasma.github.io/Logging_0188/klagomålsmail/A 62715-2025 FSC-klagomål mail.docx", "A 62715-2025")</f>
        <v/>
      </c>
      <c r="X142">
        <f>HYPERLINK("https://klasma.github.io/Logging_0188/tillsyn/A 62715-2025 tillsynsbegäran.docx", "A 62715-2025")</f>
        <v/>
      </c>
      <c r="Y142">
        <f>HYPERLINK("https://klasma.github.io/Logging_0188/tillsynsmail/A 62715-2025 tillsynsbegäran mail.docx", "A 62715-2025")</f>
        <v/>
      </c>
    </row>
    <row r="143" ht="15" customHeight="1">
      <c r="A143" t="inlineStr">
        <is>
          <t>A 63292-2025</t>
        </is>
      </c>
      <c r="B143" s="1" t="n">
        <v>46010.59232638889</v>
      </c>
      <c r="C143" s="1" t="n">
        <v>46047</v>
      </c>
      <c r="D143" t="inlineStr">
        <is>
          <t>STOCKHOLMS LÄN</t>
        </is>
      </c>
      <c r="E143" t="inlineStr">
        <is>
          <t>NORRTÄLJE</t>
        </is>
      </c>
      <c r="G143" t="n">
        <v>11.1</v>
      </c>
      <c r="H143" t="n">
        <v>1</v>
      </c>
      <c r="I143" t="n">
        <v>1</v>
      </c>
      <c r="J143" t="n">
        <v>0</v>
      </c>
      <c r="K143" t="n">
        <v>0</v>
      </c>
      <c r="L143" t="n">
        <v>0</v>
      </c>
      <c r="M143" t="n">
        <v>0</v>
      </c>
      <c r="N143" t="n">
        <v>0</v>
      </c>
      <c r="O143" t="n">
        <v>0</v>
      </c>
      <c r="P143" t="n">
        <v>0</v>
      </c>
      <c r="Q143" t="n">
        <v>1</v>
      </c>
      <c r="R143" s="2" t="inlineStr">
        <is>
          <t>Nästrot</t>
        </is>
      </c>
      <c r="S143">
        <f>HYPERLINK("https://klasma.github.io/Logging_0188/artfynd/A 63292-2025 artfynd.xlsx", "A 63292-2025")</f>
        <v/>
      </c>
      <c r="T143">
        <f>HYPERLINK("https://klasma.github.io/Logging_0188/kartor/A 63292-2025 karta.png", "A 63292-2025")</f>
        <v/>
      </c>
      <c r="V143">
        <f>HYPERLINK("https://klasma.github.io/Logging_0188/klagomål/A 63292-2025 FSC-klagomål.docx", "A 63292-2025")</f>
        <v/>
      </c>
      <c r="W143">
        <f>HYPERLINK("https://klasma.github.io/Logging_0188/klagomålsmail/A 63292-2025 FSC-klagomål mail.docx", "A 63292-2025")</f>
        <v/>
      </c>
      <c r="X143">
        <f>HYPERLINK("https://klasma.github.io/Logging_0188/tillsyn/A 63292-2025 tillsynsbegäran.docx", "A 63292-2025")</f>
        <v/>
      </c>
      <c r="Y143">
        <f>HYPERLINK("https://klasma.github.io/Logging_0188/tillsynsmail/A 63292-2025 tillsynsbegäran mail.docx", "A 63292-2025")</f>
        <v/>
      </c>
    </row>
    <row r="144" ht="15" customHeight="1">
      <c r="A144" t="inlineStr">
        <is>
          <t>A 364-2026</t>
        </is>
      </c>
      <c r="B144" s="1" t="n">
        <v>46027.67134259259</v>
      </c>
      <c r="C144" s="1" t="n">
        <v>46047</v>
      </c>
      <c r="D144" t="inlineStr">
        <is>
          <t>STOCKHOLMS LÄN</t>
        </is>
      </c>
      <c r="E144" t="inlineStr">
        <is>
          <t>NORRTÄLJE</t>
        </is>
      </c>
      <c r="F144" t="inlineStr">
        <is>
          <t>Holmen skog AB</t>
        </is>
      </c>
      <c r="G144" t="n">
        <v>4.3</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364-2026 artfynd.xlsx", "A 364-2026")</f>
        <v/>
      </c>
      <c r="T144">
        <f>HYPERLINK("https://klasma.github.io/Logging_0188/kartor/A 364-2026 karta.png", "A 364-2026")</f>
        <v/>
      </c>
      <c r="V144">
        <f>HYPERLINK("https://klasma.github.io/Logging_0188/klagomål/A 364-2026 FSC-klagomål.docx", "A 364-2026")</f>
        <v/>
      </c>
      <c r="W144">
        <f>HYPERLINK("https://klasma.github.io/Logging_0188/klagomålsmail/A 364-2026 FSC-klagomål mail.docx", "A 364-2026")</f>
        <v/>
      </c>
      <c r="X144">
        <f>HYPERLINK("https://klasma.github.io/Logging_0188/tillsyn/A 364-2026 tillsynsbegäran.docx", "A 364-2026")</f>
        <v/>
      </c>
      <c r="Y144">
        <f>HYPERLINK("https://klasma.github.io/Logging_0188/tillsynsmail/A 364-2026 tillsynsbegäran mail.docx", "A 364-2026")</f>
        <v/>
      </c>
    </row>
    <row r="145" ht="15" customHeight="1">
      <c r="A145" t="inlineStr">
        <is>
          <t>A 59682-2025</t>
        </is>
      </c>
      <c r="B145" s="1" t="n">
        <v>45992.47116898148</v>
      </c>
      <c r="C145" s="1" t="n">
        <v>46047</v>
      </c>
      <c r="D145" t="inlineStr">
        <is>
          <t>STOCKHOLMS LÄN</t>
        </is>
      </c>
      <c r="E145" t="inlineStr">
        <is>
          <t>NORRTÄLJE</t>
        </is>
      </c>
      <c r="G145" t="n">
        <v>1.6</v>
      </c>
      <c r="H145" t="n">
        <v>0</v>
      </c>
      <c r="I145" t="n">
        <v>1</v>
      </c>
      <c r="J145" t="n">
        <v>0</v>
      </c>
      <c r="K145" t="n">
        <v>0</v>
      </c>
      <c r="L145" t="n">
        <v>0</v>
      </c>
      <c r="M145" t="n">
        <v>0</v>
      </c>
      <c r="N145" t="n">
        <v>0</v>
      </c>
      <c r="O145" t="n">
        <v>0</v>
      </c>
      <c r="P145" t="n">
        <v>0</v>
      </c>
      <c r="Q145" t="n">
        <v>1</v>
      </c>
      <c r="R145" s="2" t="inlineStr">
        <is>
          <t>Grönpyrola</t>
        </is>
      </c>
      <c r="S145">
        <f>HYPERLINK("https://klasma.github.io/Logging_0188/artfynd/A 59682-2025 artfynd.xlsx", "A 59682-2025")</f>
        <v/>
      </c>
      <c r="T145">
        <f>HYPERLINK("https://klasma.github.io/Logging_0188/kartor/A 59682-2025 karta.png", "A 59682-2025")</f>
        <v/>
      </c>
      <c r="V145">
        <f>HYPERLINK("https://klasma.github.io/Logging_0188/klagomål/A 59682-2025 FSC-klagomål.docx", "A 59682-2025")</f>
        <v/>
      </c>
      <c r="W145">
        <f>HYPERLINK("https://klasma.github.io/Logging_0188/klagomålsmail/A 59682-2025 FSC-klagomål mail.docx", "A 59682-2025")</f>
        <v/>
      </c>
      <c r="X145">
        <f>HYPERLINK("https://klasma.github.io/Logging_0188/tillsyn/A 59682-2025 tillsynsbegäran.docx", "A 59682-2025")</f>
        <v/>
      </c>
      <c r="Y145">
        <f>HYPERLINK("https://klasma.github.io/Logging_0188/tillsynsmail/A 59682-2025 tillsynsbegäran mail.docx", "A 59682-2025")</f>
        <v/>
      </c>
    </row>
    <row r="146" ht="15" customHeight="1">
      <c r="A146" t="inlineStr">
        <is>
          <t>A 18580-2021</t>
        </is>
      </c>
      <c r="B146" s="1" t="n">
        <v>44306</v>
      </c>
      <c r="C146" s="1" t="n">
        <v>46047</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46047</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46047</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46047</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46047</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46047</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46047</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46047</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46047</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46047</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46047</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46047</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46047</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46047</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46047</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46047</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46047</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46047</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46047</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46047</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46047</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46047</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46047</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46047</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46047</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46047</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46047</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46047</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46047</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46047</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46047</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46047</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46047</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46047</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46047</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46047</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46047</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46047</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46047</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46047</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46047</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46047</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46047</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46047</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54340-2022</t>
        </is>
      </c>
      <c r="B190" s="1" t="n">
        <v>44882.44732638889</v>
      </c>
      <c r="C190" s="1" t="n">
        <v>46047</v>
      </c>
      <c r="D190" t="inlineStr">
        <is>
          <t>STOCKHOLMS LÄN</t>
        </is>
      </c>
      <c r="E190" t="inlineStr">
        <is>
          <t>NORRTÄLJE</t>
        </is>
      </c>
      <c r="G190" t="n">
        <v>6.7</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46047</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46047</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54355-2022</t>
        </is>
      </c>
      <c r="B193" s="1" t="n">
        <v>44882</v>
      </c>
      <c r="C193" s="1" t="n">
        <v>46047</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22316-2022</t>
        </is>
      </c>
      <c r="B194" s="1" t="n">
        <v>44712.83118055556</v>
      </c>
      <c r="C194" s="1" t="n">
        <v>46047</v>
      </c>
      <c r="D194" t="inlineStr">
        <is>
          <t>STOCKHOLMS LÄN</t>
        </is>
      </c>
      <c r="E194" t="inlineStr">
        <is>
          <t>NORRTÄLJE</t>
        </is>
      </c>
      <c r="G194" t="n">
        <v>6.3</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46047</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26328-2022</t>
        </is>
      </c>
      <c r="B196" s="1" t="n">
        <v>44735</v>
      </c>
      <c r="C196" s="1" t="n">
        <v>46047</v>
      </c>
      <c r="D196" t="inlineStr">
        <is>
          <t>STOCKHOLMS LÄN</t>
        </is>
      </c>
      <c r="E196" t="inlineStr">
        <is>
          <t>NORRTÄLJE</t>
        </is>
      </c>
      <c r="G196" t="n">
        <v>2.8</v>
      </c>
      <c r="H196" t="n">
        <v>0</v>
      </c>
      <c r="I196" t="n">
        <v>0</v>
      </c>
      <c r="J196" t="n">
        <v>0</v>
      </c>
      <c r="K196" t="n">
        <v>0</v>
      </c>
      <c r="L196" t="n">
        <v>0</v>
      </c>
      <c r="M196" t="n">
        <v>0</v>
      </c>
      <c r="N196" t="n">
        <v>0</v>
      </c>
      <c r="O196" t="n">
        <v>0</v>
      </c>
      <c r="P196" t="n">
        <v>0</v>
      </c>
      <c r="Q196" t="n">
        <v>0</v>
      </c>
      <c r="R196" s="2" t="inlineStr"/>
    </row>
    <row r="197" ht="15" customHeight="1">
      <c r="A197" t="inlineStr">
        <is>
          <t>A 31092-2022</t>
        </is>
      </c>
      <c r="B197" s="1" t="n">
        <v>44769.62320601852</v>
      </c>
      <c r="C197" s="1" t="n">
        <v>46047</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46047</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9467-2021</t>
        </is>
      </c>
      <c r="B199" s="1" t="n">
        <v>44251.43971064815</v>
      </c>
      <c r="C199" s="1" t="n">
        <v>46047</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20073-2021</t>
        </is>
      </c>
      <c r="B200" s="1" t="n">
        <v>44314</v>
      </c>
      <c r="C200" s="1" t="n">
        <v>46047</v>
      </c>
      <c r="D200" t="inlineStr">
        <is>
          <t>STOCKHOLMS LÄN</t>
        </is>
      </c>
      <c r="E200" t="inlineStr">
        <is>
          <t>NORRTÄLJE</t>
        </is>
      </c>
      <c r="G200" t="n">
        <v>4.6</v>
      </c>
      <c r="H200" t="n">
        <v>0</v>
      </c>
      <c r="I200" t="n">
        <v>0</v>
      </c>
      <c r="J200" t="n">
        <v>0</v>
      </c>
      <c r="K200" t="n">
        <v>0</v>
      </c>
      <c r="L200" t="n">
        <v>0</v>
      </c>
      <c r="M200" t="n">
        <v>0</v>
      </c>
      <c r="N200" t="n">
        <v>0</v>
      </c>
      <c r="O200" t="n">
        <v>0</v>
      </c>
      <c r="P200" t="n">
        <v>0</v>
      </c>
      <c r="Q200" t="n">
        <v>0</v>
      </c>
      <c r="R200" s="2" t="inlineStr"/>
    </row>
    <row r="201" ht="15" customHeight="1">
      <c r="A201" t="inlineStr">
        <is>
          <t>A 14381-2021</t>
        </is>
      </c>
      <c r="B201" s="1" t="n">
        <v>44279</v>
      </c>
      <c r="C201" s="1" t="n">
        <v>46047</v>
      </c>
      <c r="D201" t="inlineStr">
        <is>
          <t>STOCKHOLMS LÄN</t>
        </is>
      </c>
      <c r="E201" t="inlineStr">
        <is>
          <t>NORRTÄLJE</t>
        </is>
      </c>
      <c r="G201" t="n">
        <v>0.9</v>
      </c>
      <c r="H201" t="n">
        <v>0</v>
      </c>
      <c r="I201" t="n">
        <v>0</v>
      </c>
      <c r="J201" t="n">
        <v>0</v>
      </c>
      <c r="K201" t="n">
        <v>0</v>
      </c>
      <c r="L201" t="n">
        <v>0</v>
      </c>
      <c r="M201" t="n">
        <v>0</v>
      </c>
      <c r="N201" t="n">
        <v>0</v>
      </c>
      <c r="O201" t="n">
        <v>0</v>
      </c>
      <c r="P201" t="n">
        <v>0</v>
      </c>
      <c r="Q201" t="n">
        <v>0</v>
      </c>
      <c r="R201" s="2" t="inlineStr"/>
    </row>
    <row r="202" ht="15" customHeight="1">
      <c r="A202" t="inlineStr">
        <is>
          <t>A 17703-2021</t>
        </is>
      </c>
      <c r="B202" s="1" t="n">
        <v>44300</v>
      </c>
      <c r="C202" s="1" t="n">
        <v>46047</v>
      </c>
      <c r="D202" t="inlineStr">
        <is>
          <t>STOCKHOLMS LÄN</t>
        </is>
      </c>
      <c r="E202" t="inlineStr">
        <is>
          <t>NORRTÄLJE</t>
        </is>
      </c>
      <c r="F202" t="inlineStr">
        <is>
          <t>Holmen skog AB</t>
        </is>
      </c>
      <c r="G202" t="n">
        <v>1.1</v>
      </c>
      <c r="H202" t="n">
        <v>0</v>
      </c>
      <c r="I202" t="n">
        <v>0</v>
      </c>
      <c r="J202" t="n">
        <v>0</v>
      </c>
      <c r="K202" t="n">
        <v>0</v>
      </c>
      <c r="L202" t="n">
        <v>0</v>
      </c>
      <c r="M202" t="n">
        <v>0</v>
      </c>
      <c r="N202" t="n">
        <v>0</v>
      </c>
      <c r="O202" t="n">
        <v>0</v>
      </c>
      <c r="P202" t="n">
        <v>0</v>
      </c>
      <c r="Q202" t="n">
        <v>0</v>
      </c>
      <c r="R202" s="2" t="inlineStr"/>
    </row>
    <row r="203" ht="15" customHeight="1">
      <c r="A203" t="inlineStr">
        <is>
          <t>A 71871-2021</t>
        </is>
      </c>
      <c r="B203" s="1" t="n">
        <v>44543</v>
      </c>
      <c r="C203" s="1" t="n">
        <v>46047</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71873-2021</t>
        </is>
      </c>
      <c r="B204" s="1" t="n">
        <v>44543</v>
      </c>
      <c r="C204" s="1" t="n">
        <v>46047</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46047</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23770-2022</t>
        </is>
      </c>
      <c r="B206" s="1" t="n">
        <v>44722</v>
      </c>
      <c r="C206" s="1" t="n">
        <v>46047</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72355-2021</t>
        </is>
      </c>
      <c r="B207" s="1" t="n">
        <v>44545</v>
      </c>
      <c r="C207" s="1" t="n">
        <v>46047</v>
      </c>
      <c r="D207" t="inlineStr">
        <is>
          <t>STOCKHOLMS LÄN</t>
        </is>
      </c>
      <c r="E207" t="inlineStr">
        <is>
          <t>NORRTÄLJE</t>
        </is>
      </c>
      <c r="G207" t="n">
        <v>3.6</v>
      </c>
      <c r="H207" t="n">
        <v>0</v>
      </c>
      <c r="I207" t="n">
        <v>0</v>
      </c>
      <c r="J207" t="n">
        <v>0</v>
      </c>
      <c r="K207" t="n">
        <v>0</v>
      </c>
      <c r="L207" t="n">
        <v>0</v>
      </c>
      <c r="M207" t="n">
        <v>0</v>
      </c>
      <c r="N207" t="n">
        <v>0</v>
      </c>
      <c r="O207" t="n">
        <v>0</v>
      </c>
      <c r="P207" t="n">
        <v>0</v>
      </c>
      <c r="Q207" t="n">
        <v>0</v>
      </c>
      <c r="R207" s="2" t="inlineStr"/>
    </row>
    <row r="208" ht="15" customHeight="1">
      <c r="A208" t="inlineStr">
        <is>
          <t>A 72357-2021</t>
        </is>
      </c>
      <c r="B208" s="1" t="n">
        <v>44545</v>
      </c>
      <c r="C208" s="1" t="n">
        <v>46047</v>
      </c>
      <c r="D208" t="inlineStr">
        <is>
          <t>STOCKHOLMS LÄN</t>
        </is>
      </c>
      <c r="E208" t="inlineStr">
        <is>
          <t>NORRTÄLJE</t>
        </is>
      </c>
      <c r="G208" t="n">
        <v>5.1</v>
      </c>
      <c r="H208" t="n">
        <v>0</v>
      </c>
      <c r="I208" t="n">
        <v>0</v>
      </c>
      <c r="J208" t="n">
        <v>0</v>
      </c>
      <c r="K208" t="n">
        <v>0</v>
      </c>
      <c r="L208" t="n">
        <v>0</v>
      </c>
      <c r="M208" t="n">
        <v>0</v>
      </c>
      <c r="N208" t="n">
        <v>0</v>
      </c>
      <c r="O208" t="n">
        <v>0</v>
      </c>
      <c r="P208" t="n">
        <v>0</v>
      </c>
      <c r="Q208" t="n">
        <v>0</v>
      </c>
      <c r="R208" s="2" t="inlineStr"/>
    </row>
    <row r="209" ht="15" customHeight="1">
      <c r="A209" t="inlineStr">
        <is>
          <t>A 64628-2021</t>
        </is>
      </c>
      <c r="B209" s="1" t="n">
        <v>44511</v>
      </c>
      <c r="C209" s="1" t="n">
        <v>46047</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60209-2021</t>
        </is>
      </c>
      <c r="B210" s="1" t="n">
        <v>44495</v>
      </c>
      <c r="C210" s="1" t="n">
        <v>46047</v>
      </c>
      <c r="D210" t="inlineStr">
        <is>
          <t>STOCKHOLMS LÄN</t>
        </is>
      </c>
      <c r="E210" t="inlineStr">
        <is>
          <t>NORRTÄLJE</t>
        </is>
      </c>
      <c r="G210" t="n">
        <v>4.3</v>
      </c>
      <c r="H210" t="n">
        <v>0</v>
      </c>
      <c r="I210" t="n">
        <v>0</v>
      </c>
      <c r="J210" t="n">
        <v>0</v>
      </c>
      <c r="K210" t="n">
        <v>0</v>
      </c>
      <c r="L210" t="n">
        <v>0</v>
      </c>
      <c r="M210" t="n">
        <v>0</v>
      </c>
      <c r="N210" t="n">
        <v>0</v>
      </c>
      <c r="O210" t="n">
        <v>0</v>
      </c>
      <c r="P210" t="n">
        <v>0</v>
      </c>
      <c r="Q210" t="n">
        <v>0</v>
      </c>
      <c r="R210" s="2" t="inlineStr"/>
    </row>
    <row r="211" ht="15" customHeight="1">
      <c r="A211" t="inlineStr">
        <is>
          <t>A 27538-2022</t>
        </is>
      </c>
      <c r="B211" s="1" t="n">
        <v>44742</v>
      </c>
      <c r="C211" s="1" t="n">
        <v>46047</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29868-2022</t>
        </is>
      </c>
      <c r="B212" s="1" t="n">
        <v>44756.40881944444</v>
      </c>
      <c r="C212" s="1" t="n">
        <v>46047</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46047</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36975-2022</t>
        </is>
      </c>
      <c r="B214" s="1" t="n">
        <v>44806.34577546296</v>
      </c>
      <c r="C214" s="1" t="n">
        <v>46047</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46047</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16668-2021</t>
        </is>
      </c>
      <c r="B216" s="1" t="n">
        <v>44294</v>
      </c>
      <c r="C216" s="1" t="n">
        <v>46047</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71325-2021</t>
        </is>
      </c>
      <c r="B217" s="1" t="n">
        <v>44539</v>
      </c>
      <c r="C217" s="1" t="n">
        <v>46047</v>
      </c>
      <c r="D217" t="inlineStr">
        <is>
          <t>STOCKHOLMS LÄN</t>
        </is>
      </c>
      <c r="E217" t="inlineStr">
        <is>
          <t>NORRTÄLJE</t>
        </is>
      </c>
      <c r="G217" t="n">
        <v>2.1</v>
      </c>
      <c r="H217" t="n">
        <v>0</v>
      </c>
      <c r="I217" t="n">
        <v>0</v>
      </c>
      <c r="J217" t="n">
        <v>0</v>
      </c>
      <c r="K217" t="n">
        <v>0</v>
      </c>
      <c r="L217" t="n">
        <v>0</v>
      </c>
      <c r="M217" t="n">
        <v>0</v>
      </c>
      <c r="N217" t="n">
        <v>0</v>
      </c>
      <c r="O217" t="n">
        <v>0</v>
      </c>
      <c r="P217" t="n">
        <v>0</v>
      </c>
      <c r="Q217" t="n">
        <v>0</v>
      </c>
      <c r="R217" s="2" t="inlineStr"/>
    </row>
    <row r="218" ht="15" customHeight="1">
      <c r="A218" t="inlineStr">
        <is>
          <t>A 9988-2022</t>
        </is>
      </c>
      <c r="B218" s="1" t="n">
        <v>44621</v>
      </c>
      <c r="C218" s="1" t="n">
        <v>46047</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23122-2021</t>
        </is>
      </c>
      <c r="B219" s="1" t="n">
        <v>44330</v>
      </c>
      <c r="C219" s="1" t="n">
        <v>46047</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46047</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46047</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60733-2021</t>
        </is>
      </c>
      <c r="B222" s="1" t="n">
        <v>44496.77542824074</v>
      </c>
      <c r="C222" s="1" t="n">
        <v>46047</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64599-2021</t>
        </is>
      </c>
      <c r="B223" s="1" t="n">
        <v>44511.69885416667</v>
      </c>
      <c r="C223" s="1" t="n">
        <v>46047</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15441-2021</t>
        </is>
      </c>
      <c r="B224" s="1" t="n">
        <v>44284</v>
      </c>
      <c r="C224" s="1" t="n">
        <v>46047</v>
      </c>
      <c r="D224" t="inlineStr">
        <is>
          <t>STOCKHOLMS LÄN</t>
        </is>
      </c>
      <c r="E224" t="inlineStr">
        <is>
          <t>NORRTÄLJE</t>
        </is>
      </c>
      <c r="G224" t="n">
        <v>27</v>
      </c>
      <c r="H224" t="n">
        <v>0</v>
      </c>
      <c r="I224" t="n">
        <v>0</v>
      </c>
      <c r="J224" t="n">
        <v>0</v>
      </c>
      <c r="K224" t="n">
        <v>0</v>
      </c>
      <c r="L224" t="n">
        <v>0</v>
      </c>
      <c r="M224" t="n">
        <v>0</v>
      </c>
      <c r="N224" t="n">
        <v>0</v>
      </c>
      <c r="O224" t="n">
        <v>0</v>
      </c>
      <c r="P224" t="n">
        <v>0</v>
      </c>
      <c r="Q224" t="n">
        <v>0</v>
      </c>
      <c r="R224" s="2" t="inlineStr"/>
    </row>
    <row r="225" ht="15" customHeight="1">
      <c r="A225" t="inlineStr">
        <is>
          <t>A 23123-2021</t>
        </is>
      </c>
      <c r="B225" s="1" t="n">
        <v>44330</v>
      </c>
      <c r="C225" s="1" t="n">
        <v>46047</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39497-2021</t>
        </is>
      </c>
      <c r="B226" s="1" t="n">
        <v>44414.81494212963</v>
      </c>
      <c r="C226" s="1" t="n">
        <v>46047</v>
      </c>
      <c r="D226" t="inlineStr">
        <is>
          <t>STOCKHOLMS LÄN</t>
        </is>
      </c>
      <c r="E226" t="inlineStr">
        <is>
          <t>NORRTÄLJE</t>
        </is>
      </c>
      <c r="G226" t="n">
        <v>1.7</v>
      </c>
      <c r="H226" t="n">
        <v>0</v>
      </c>
      <c r="I226" t="n">
        <v>0</v>
      </c>
      <c r="J226" t="n">
        <v>0</v>
      </c>
      <c r="K226" t="n">
        <v>0</v>
      </c>
      <c r="L226" t="n">
        <v>0</v>
      </c>
      <c r="M226" t="n">
        <v>0</v>
      </c>
      <c r="N226" t="n">
        <v>0</v>
      </c>
      <c r="O226" t="n">
        <v>0</v>
      </c>
      <c r="P226" t="n">
        <v>0</v>
      </c>
      <c r="Q226" t="n">
        <v>0</v>
      </c>
      <c r="R226" s="2" t="inlineStr"/>
    </row>
    <row r="227" ht="15" customHeight="1">
      <c r="A227" t="inlineStr">
        <is>
          <t>A 17460-2021</t>
        </is>
      </c>
      <c r="B227" s="1" t="n">
        <v>44299</v>
      </c>
      <c r="C227" s="1" t="n">
        <v>46047</v>
      </c>
      <c r="D227" t="inlineStr">
        <is>
          <t>STOCKHOLMS LÄN</t>
        </is>
      </c>
      <c r="E227" t="inlineStr">
        <is>
          <t>NORRTÄLJE</t>
        </is>
      </c>
      <c r="G227" t="n">
        <v>3.2</v>
      </c>
      <c r="H227" t="n">
        <v>0</v>
      </c>
      <c r="I227" t="n">
        <v>0</v>
      </c>
      <c r="J227" t="n">
        <v>0</v>
      </c>
      <c r="K227" t="n">
        <v>0</v>
      </c>
      <c r="L227" t="n">
        <v>0</v>
      </c>
      <c r="M227" t="n">
        <v>0</v>
      </c>
      <c r="N227" t="n">
        <v>0</v>
      </c>
      <c r="O227" t="n">
        <v>0</v>
      </c>
      <c r="P227" t="n">
        <v>0</v>
      </c>
      <c r="Q227" t="n">
        <v>0</v>
      </c>
      <c r="R227" s="2" t="inlineStr"/>
    </row>
    <row r="228" ht="15" customHeight="1">
      <c r="A228" t="inlineStr">
        <is>
          <t>A 64212-2021</t>
        </is>
      </c>
      <c r="B228" s="1" t="n">
        <v>44510</v>
      </c>
      <c r="C228" s="1" t="n">
        <v>46047</v>
      </c>
      <c r="D228" t="inlineStr">
        <is>
          <t>STOCKHOLMS LÄN</t>
        </is>
      </c>
      <c r="E228" t="inlineStr">
        <is>
          <t>NORRTÄLJE</t>
        </is>
      </c>
      <c r="G228" t="n">
        <v>28.7</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46047</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46047</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46047</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47349-2021</t>
        </is>
      </c>
      <c r="B232" s="1" t="n">
        <v>44447</v>
      </c>
      <c r="C232" s="1" t="n">
        <v>46047</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34431-2021</t>
        </is>
      </c>
      <c r="B233" s="1" t="n">
        <v>44380</v>
      </c>
      <c r="C233" s="1" t="n">
        <v>46047</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36565-2021</t>
        </is>
      </c>
      <c r="B234" s="1" t="n">
        <v>44391.5580787037</v>
      </c>
      <c r="C234" s="1" t="n">
        <v>46047</v>
      </c>
      <c r="D234" t="inlineStr">
        <is>
          <t>STOCKHOLMS LÄN</t>
        </is>
      </c>
      <c r="E234" t="inlineStr">
        <is>
          <t>NORRTÄLJE</t>
        </is>
      </c>
      <c r="G234" t="n">
        <v>1.8</v>
      </c>
      <c r="H234" t="n">
        <v>0</v>
      </c>
      <c r="I234" t="n">
        <v>0</v>
      </c>
      <c r="J234" t="n">
        <v>0</v>
      </c>
      <c r="K234" t="n">
        <v>0</v>
      </c>
      <c r="L234" t="n">
        <v>0</v>
      </c>
      <c r="M234" t="n">
        <v>0</v>
      </c>
      <c r="N234" t="n">
        <v>0</v>
      </c>
      <c r="O234" t="n">
        <v>0</v>
      </c>
      <c r="P234" t="n">
        <v>0</v>
      </c>
      <c r="Q234" t="n">
        <v>0</v>
      </c>
      <c r="R234" s="2" t="inlineStr"/>
    </row>
    <row r="235" ht="15" customHeight="1">
      <c r="A235" t="inlineStr">
        <is>
          <t>A 5351-2022</t>
        </is>
      </c>
      <c r="B235" s="1" t="n">
        <v>44594.75950231482</v>
      </c>
      <c r="C235" s="1" t="n">
        <v>46047</v>
      </c>
      <c r="D235" t="inlineStr">
        <is>
          <t>STOCKHOLMS LÄN</t>
        </is>
      </c>
      <c r="E235" t="inlineStr">
        <is>
          <t>NORRTÄLJE</t>
        </is>
      </c>
      <c r="G235" t="n">
        <v>4</v>
      </c>
      <c r="H235" t="n">
        <v>0</v>
      </c>
      <c r="I235" t="n">
        <v>0</v>
      </c>
      <c r="J235" t="n">
        <v>0</v>
      </c>
      <c r="K235" t="n">
        <v>0</v>
      </c>
      <c r="L235" t="n">
        <v>0</v>
      </c>
      <c r="M235" t="n">
        <v>0</v>
      </c>
      <c r="N235" t="n">
        <v>0</v>
      </c>
      <c r="O235" t="n">
        <v>0</v>
      </c>
      <c r="P235" t="n">
        <v>0</v>
      </c>
      <c r="Q235" t="n">
        <v>0</v>
      </c>
      <c r="R235" s="2" t="inlineStr"/>
    </row>
    <row r="236" ht="15" customHeight="1">
      <c r="A236" t="inlineStr">
        <is>
          <t>A 44274-2021</t>
        </is>
      </c>
      <c r="B236" s="1" t="n">
        <v>44435</v>
      </c>
      <c r="C236" s="1" t="n">
        <v>46047</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46047</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46047</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67598-2021</t>
        </is>
      </c>
      <c r="B239" s="1" t="n">
        <v>44524</v>
      </c>
      <c r="C239" s="1" t="n">
        <v>46047</v>
      </c>
      <c r="D239" t="inlineStr">
        <is>
          <t>STOCKHOLMS LÄN</t>
        </is>
      </c>
      <c r="E239" t="inlineStr">
        <is>
          <t>NORRTÄLJE</t>
        </is>
      </c>
      <c r="G239" t="n">
        <v>1.2</v>
      </c>
      <c r="H239" t="n">
        <v>0</v>
      </c>
      <c r="I239" t="n">
        <v>0</v>
      </c>
      <c r="J239" t="n">
        <v>0</v>
      </c>
      <c r="K239" t="n">
        <v>0</v>
      </c>
      <c r="L239" t="n">
        <v>0</v>
      </c>
      <c r="M239" t="n">
        <v>0</v>
      </c>
      <c r="N239" t="n">
        <v>0</v>
      </c>
      <c r="O239" t="n">
        <v>0</v>
      </c>
      <c r="P239" t="n">
        <v>0</v>
      </c>
      <c r="Q239" t="n">
        <v>0</v>
      </c>
      <c r="R239" s="2" t="inlineStr"/>
    </row>
    <row r="240" ht="15" customHeight="1">
      <c r="A240" t="inlineStr">
        <is>
          <t>A 30129-2021</t>
        </is>
      </c>
      <c r="B240" s="1" t="n">
        <v>44363.5784375</v>
      </c>
      <c r="C240" s="1" t="n">
        <v>46047</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52449-2021</t>
        </is>
      </c>
      <c r="B241" s="1" t="n">
        <v>44466.37496527778</v>
      </c>
      <c r="C241" s="1" t="n">
        <v>46047</v>
      </c>
      <c r="D241" t="inlineStr">
        <is>
          <t>STOCKHOLMS LÄN</t>
        </is>
      </c>
      <c r="E241" t="inlineStr">
        <is>
          <t>NORRTÄLJE</t>
        </is>
      </c>
      <c r="F241" t="inlineStr">
        <is>
          <t>Holmen skog AB</t>
        </is>
      </c>
      <c r="G241" t="n">
        <v>1.8</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46047</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33046-2021</t>
        </is>
      </c>
      <c r="B243" s="1" t="n">
        <v>44376</v>
      </c>
      <c r="C243" s="1" t="n">
        <v>46047</v>
      </c>
      <c r="D243" t="inlineStr">
        <is>
          <t>STOCKHOLMS LÄN</t>
        </is>
      </c>
      <c r="E243" t="inlineStr">
        <is>
          <t>NORRTÄLJE</t>
        </is>
      </c>
      <c r="G243" t="n">
        <v>2.1</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46047</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19398-2021</t>
        </is>
      </c>
      <c r="B245" s="1" t="n">
        <v>44309</v>
      </c>
      <c r="C245" s="1" t="n">
        <v>46047</v>
      </c>
      <c r="D245" t="inlineStr">
        <is>
          <t>STOCKHOLMS LÄN</t>
        </is>
      </c>
      <c r="E245" t="inlineStr">
        <is>
          <t>NORRTÄLJE</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46047</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45541-2022</t>
        </is>
      </c>
      <c r="B247" s="1" t="n">
        <v>44845.47672453704</v>
      </c>
      <c r="C247" s="1" t="n">
        <v>46047</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46047</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46047</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12779-2021</t>
        </is>
      </c>
      <c r="B250" s="1" t="n">
        <v>44270</v>
      </c>
      <c r="C250" s="1" t="n">
        <v>46047</v>
      </c>
      <c r="D250" t="inlineStr">
        <is>
          <t>STOCKHOLMS LÄN</t>
        </is>
      </c>
      <c r="E250" t="inlineStr">
        <is>
          <t>NORRTÄLJE</t>
        </is>
      </c>
      <c r="G250" t="n">
        <v>10.8</v>
      </c>
      <c r="H250" t="n">
        <v>0</v>
      </c>
      <c r="I250" t="n">
        <v>0</v>
      </c>
      <c r="J250" t="n">
        <v>0</v>
      </c>
      <c r="K250" t="n">
        <v>0</v>
      </c>
      <c r="L250" t="n">
        <v>0</v>
      </c>
      <c r="M250" t="n">
        <v>0</v>
      </c>
      <c r="N250" t="n">
        <v>0</v>
      </c>
      <c r="O250" t="n">
        <v>0</v>
      </c>
      <c r="P250" t="n">
        <v>0</v>
      </c>
      <c r="Q250" t="n">
        <v>0</v>
      </c>
      <c r="R250" s="2" t="inlineStr"/>
    </row>
    <row r="251" ht="15" customHeight="1">
      <c r="A251" t="inlineStr">
        <is>
          <t>A 12782-2021</t>
        </is>
      </c>
      <c r="B251" s="1" t="n">
        <v>44270</v>
      </c>
      <c r="C251" s="1" t="n">
        <v>46047</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34520-2021</t>
        </is>
      </c>
      <c r="B252" s="1" t="n">
        <v>44379</v>
      </c>
      <c r="C252" s="1" t="n">
        <v>46047</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68273-2021</t>
        </is>
      </c>
      <c r="B253" s="1" t="n">
        <v>44526</v>
      </c>
      <c r="C253" s="1" t="n">
        <v>46047</v>
      </c>
      <c r="D253" t="inlineStr">
        <is>
          <t>STOCKHOLMS LÄN</t>
        </is>
      </c>
      <c r="E253" t="inlineStr">
        <is>
          <t>NORRTÄLJE</t>
        </is>
      </c>
      <c r="G253" t="n">
        <v>5.3</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46047</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23453-2021</t>
        </is>
      </c>
      <c r="B255" s="1" t="n">
        <v>44333</v>
      </c>
      <c r="C255" s="1" t="n">
        <v>46047</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5562-2021</t>
        </is>
      </c>
      <c r="B256" s="1" t="n">
        <v>44230</v>
      </c>
      <c r="C256" s="1" t="n">
        <v>46047</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5566-2021</t>
        </is>
      </c>
      <c r="B257" s="1" t="n">
        <v>44230</v>
      </c>
      <c r="C257" s="1" t="n">
        <v>46047</v>
      </c>
      <c r="D257" t="inlineStr">
        <is>
          <t>STOCKHOLMS LÄN</t>
        </is>
      </c>
      <c r="E257" t="inlineStr">
        <is>
          <t>NORRTÄLJE</t>
        </is>
      </c>
      <c r="G257" t="n">
        <v>3.1</v>
      </c>
      <c r="H257" t="n">
        <v>0</v>
      </c>
      <c r="I257" t="n">
        <v>0</v>
      </c>
      <c r="J257" t="n">
        <v>0</v>
      </c>
      <c r="K257" t="n">
        <v>0</v>
      </c>
      <c r="L257" t="n">
        <v>0</v>
      </c>
      <c r="M257" t="n">
        <v>0</v>
      </c>
      <c r="N257" t="n">
        <v>0</v>
      </c>
      <c r="O257" t="n">
        <v>0</v>
      </c>
      <c r="P257" t="n">
        <v>0</v>
      </c>
      <c r="Q257" t="n">
        <v>0</v>
      </c>
      <c r="R257" s="2" t="inlineStr"/>
    </row>
    <row r="258" ht="15" customHeight="1">
      <c r="A258" t="inlineStr">
        <is>
          <t>A 28042-2022</t>
        </is>
      </c>
      <c r="B258" s="1" t="n">
        <v>44744</v>
      </c>
      <c r="C258" s="1" t="n">
        <v>46047</v>
      </c>
      <c r="D258" t="inlineStr">
        <is>
          <t>STOCKHOLMS LÄN</t>
        </is>
      </c>
      <c r="E258" t="inlineStr">
        <is>
          <t>NORRTÄLJE</t>
        </is>
      </c>
      <c r="G258" t="n">
        <v>0.2</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46047</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46047</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46047</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46047</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41398-2022</t>
        </is>
      </c>
      <c r="B263" s="1" t="n">
        <v>44826</v>
      </c>
      <c r="C263" s="1" t="n">
        <v>46047</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22369-2021</t>
        </is>
      </c>
      <c r="B264" s="1" t="n">
        <v>44326</v>
      </c>
      <c r="C264" s="1" t="n">
        <v>46047</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7565-2022</t>
        </is>
      </c>
      <c r="B265" s="1" t="n">
        <v>44607</v>
      </c>
      <c r="C265" s="1" t="n">
        <v>46047</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41822-2021</t>
        </is>
      </c>
      <c r="B266" s="1" t="n">
        <v>44425</v>
      </c>
      <c r="C266" s="1" t="n">
        <v>46047</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41823-2021</t>
        </is>
      </c>
      <c r="B267" s="1" t="n">
        <v>44425</v>
      </c>
      <c r="C267" s="1" t="n">
        <v>46047</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17673-2021</t>
        </is>
      </c>
      <c r="B268" s="1" t="n">
        <v>44300</v>
      </c>
      <c r="C268" s="1" t="n">
        <v>46047</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1968-2022</t>
        </is>
      </c>
      <c r="B269" s="1" t="n">
        <v>44575.52831018518</v>
      </c>
      <c r="C269" s="1" t="n">
        <v>46047</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27217-2021</t>
        </is>
      </c>
      <c r="B270" s="1" t="n">
        <v>44350</v>
      </c>
      <c r="C270" s="1" t="n">
        <v>46047</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46047</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15915-2023</t>
        </is>
      </c>
      <c r="B272" s="1" t="n">
        <v>45022</v>
      </c>
      <c r="C272" s="1" t="n">
        <v>46047</v>
      </c>
      <c r="D272" t="inlineStr">
        <is>
          <t>STOCKHOLMS LÄN</t>
        </is>
      </c>
      <c r="E272" t="inlineStr">
        <is>
          <t>NORRTÄLJE</t>
        </is>
      </c>
      <c r="G272" t="n">
        <v>2.9</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46047</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46047</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46047</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17771-2022</t>
        </is>
      </c>
      <c r="B276" s="1" t="n">
        <v>44682.75924768519</v>
      </c>
      <c r="C276" s="1" t="n">
        <v>46047</v>
      </c>
      <c r="D276" t="inlineStr">
        <is>
          <t>STOCKHOLMS LÄN</t>
        </is>
      </c>
      <c r="E276" t="inlineStr">
        <is>
          <t>NORRTÄLJE</t>
        </is>
      </c>
      <c r="G276" t="n">
        <v>13.3</v>
      </c>
      <c r="H276" t="n">
        <v>0</v>
      </c>
      <c r="I276" t="n">
        <v>0</v>
      </c>
      <c r="J276" t="n">
        <v>0</v>
      </c>
      <c r="K276" t="n">
        <v>0</v>
      </c>
      <c r="L276" t="n">
        <v>0</v>
      </c>
      <c r="M276" t="n">
        <v>0</v>
      </c>
      <c r="N276" t="n">
        <v>0</v>
      </c>
      <c r="O276" t="n">
        <v>0</v>
      </c>
      <c r="P276" t="n">
        <v>0</v>
      </c>
      <c r="Q276" t="n">
        <v>0</v>
      </c>
      <c r="R276" s="2" t="inlineStr"/>
    </row>
    <row r="277" ht="15" customHeight="1">
      <c r="A277" t="inlineStr">
        <is>
          <t>A 17773-2022</t>
        </is>
      </c>
      <c r="B277" s="1" t="n">
        <v>44682.77616898148</v>
      </c>
      <c r="C277" s="1" t="n">
        <v>46047</v>
      </c>
      <c r="D277" t="inlineStr">
        <is>
          <t>STOCKHOLMS LÄN</t>
        </is>
      </c>
      <c r="E277" t="inlineStr">
        <is>
          <t>NORRTÄLJE</t>
        </is>
      </c>
      <c r="G277" t="n">
        <v>10.8</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46047</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46047</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46047</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16117-2022</t>
        </is>
      </c>
      <c r="B281" s="1" t="n">
        <v>44665.65474537037</v>
      </c>
      <c r="C281" s="1" t="n">
        <v>46047</v>
      </c>
      <c r="D281" t="inlineStr">
        <is>
          <t>STOCKHOLMS LÄN</t>
        </is>
      </c>
      <c r="E281" t="inlineStr">
        <is>
          <t>NORRTÄLJE</t>
        </is>
      </c>
      <c r="G281" t="n">
        <v>8.1</v>
      </c>
      <c r="H281" t="n">
        <v>0</v>
      </c>
      <c r="I281" t="n">
        <v>0</v>
      </c>
      <c r="J281" t="n">
        <v>0</v>
      </c>
      <c r="K281" t="n">
        <v>0</v>
      </c>
      <c r="L281" t="n">
        <v>0</v>
      </c>
      <c r="M281" t="n">
        <v>0</v>
      </c>
      <c r="N281" t="n">
        <v>0</v>
      </c>
      <c r="O281" t="n">
        <v>0</v>
      </c>
      <c r="P281" t="n">
        <v>0</v>
      </c>
      <c r="Q281" t="n">
        <v>0</v>
      </c>
      <c r="R281" s="2" t="inlineStr"/>
    </row>
    <row r="282" ht="15" customHeight="1">
      <c r="A282" t="inlineStr">
        <is>
          <t>A 16132-2022</t>
        </is>
      </c>
      <c r="B282" s="1" t="n">
        <v>44665.78351851852</v>
      </c>
      <c r="C282" s="1" t="n">
        <v>46047</v>
      </c>
      <c r="D282" t="inlineStr">
        <is>
          <t>STOCKHOLMS LÄN</t>
        </is>
      </c>
      <c r="E282" t="inlineStr">
        <is>
          <t>NORRTÄLJE</t>
        </is>
      </c>
      <c r="G282" t="n">
        <v>4.4</v>
      </c>
      <c r="H282" t="n">
        <v>0</v>
      </c>
      <c r="I282" t="n">
        <v>0</v>
      </c>
      <c r="J282" t="n">
        <v>0</v>
      </c>
      <c r="K282" t="n">
        <v>0</v>
      </c>
      <c r="L282" t="n">
        <v>0</v>
      </c>
      <c r="M282" t="n">
        <v>0</v>
      </c>
      <c r="N282" t="n">
        <v>0</v>
      </c>
      <c r="O282" t="n">
        <v>0</v>
      </c>
      <c r="P282" t="n">
        <v>0</v>
      </c>
      <c r="Q282" t="n">
        <v>0</v>
      </c>
      <c r="R282" s="2" t="inlineStr"/>
    </row>
    <row r="283" ht="15" customHeight="1">
      <c r="A283" t="inlineStr">
        <is>
          <t>A 30286-2022</t>
        </is>
      </c>
      <c r="B283" s="1" t="n">
        <v>44760</v>
      </c>
      <c r="C283" s="1" t="n">
        <v>46047</v>
      </c>
      <c r="D283" t="inlineStr">
        <is>
          <t>STOCKHOLMS LÄN</t>
        </is>
      </c>
      <c r="E283" t="inlineStr">
        <is>
          <t>NORRTÄLJE</t>
        </is>
      </c>
      <c r="G283" t="n">
        <v>0.3</v>
      </c>
      <c r="H283" t="n">
        <v>0</v>
      </c>
      <c r="I283" t="n">
        <v>0</v>
      </c>
      <c r="J283" t="n">
        <v>0</v>
      </c>
      <c r="K283" t="n">
        <v>0</v>
      </c>
      <c r="L283" t="n">
        <v>0</v>
      </c>
      <c r="M283" t="n">
        <v>0</v>
      </c>
      <c r="N283" t="n">
        <v>0</v>
      </c>
      <c r="O283" t="n">
        <v>0</v>
      </c>
      <c r="P283" t="n">
        <v>0</v>
      </c>
      <c r="Q283" t="n">
        <v>0</v>
      </c>
      <c r="R283" s="2" t="inlineStr"/>
    </row>
    <row r="284" ht="15" customHeight="1">
      <c r="A284" t="inlineStr">
        <is>
          <t>A 8160-2022</t>
        </is>
      </c>
      <c r="B284" s="1" t="n">
        <v>44609</v>
      </c>
      <c r="C284" s="1" t="n">
        <v>46047</v>
      </c>
      <c r="D284" t="inlineStr">
        <is>
          <t>STOCKHOLMS LÄN</t>
        </is>
      </c>
      <c r="E284" t="inlineStr">
        <is>
          <t>NORRTÄLJE</t>
        </is>
      </c>
      <c r="G284" t="n">
        <v>3.9</v>
      </c>
      <c r="H284" t="n">
        <v>0</v>
      </c>
      <c r="I284" t="n">
        <v>0</v>
      </c>
      <c r="J284" t="n">
        <v>0</v>
      </c>
      <c r="K284" t="n">
        <v>0</v>
      </c>
      <c r="L284" t="n">
        <v>0</v>
      </c>
      <c r="M284" t="n">
        <v>0</v>
      </c>
      <c r="N284" t="n">
        <v>0</v>
      </c>
      <c r="O284" t="n">
        <v>0</v>
      </c>
      <c r="P284" t="n">
        <v>0</v>
      </c>
      <c r="Q284" t="n">
        <v>0</v>
      </c>
      <c r="R284" s="2" t="inlineStr"/>
    </row>
    <row r="285" ht="15" customHeight="1">
      <c r="A285" t="inlineStr">
        <is>
          <t>A 1229-2022</t>
        </is>
      </c>
      <c r="B285" s="1" t="n">
        <v>44572</v>
      </c>
      <c r="C285" s="1" t="n">
        <v>46047</v>
      </c>
      <c r="D285" t="inlineStr">
        <is>
          <t>STOCKHOLMS LÄN</t>
        </is>
      </c>
      <c r="E285" t="inlineStr">
        <is>
          <t>NORRTÄLJE</t>
        </is>
      </c>
      <c r="G285" t="n">
        <v>11.5</v>
      </c>
      <c r="H285" t="n">
        <v>0</v>
      </c>
      <c r="I285" t="n">
        <v>0</v>
      </c>
      <c r="J285" t="n">
        <v>0</v>
      </c>
      <c r="K285" t="n">
        <v>0</v>
      </c>
      <c r="L285" t="n">
        <v>0</v>
      </c>
      <c r="M285" t="n">
        <v>0</v>
      </c>
      <c r="N285" t="n">
        <v>0</v>
      </c>
      <c r="O285" t="n">
        <v>0</v>
      </c>
      <c r="P285" t="n">
        <v>0</v>
      </c>
      <c r="Q285" t="n">
        <v>0</v>
      </c>
      <c r="R285" s="2" t="inlineStr"/>
    </row>
    <row r="286" ht="15" customHeight="1">
      <c r="A286" t="inlineStr">
        <is>
          <t>A 39319-2022</t>
        </is>
      </c>
      <c r="B286" s="1" t="n">
        <v>44817.70516203704</v>
      </c>
      <c r="C286" s="1" t="n">
        <v>46047</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70170-2021</t>
        </is>
      </c>
      <c r="B287" s="1" t="n">
        <v>44533</v>
      </c>
      <c r="C287" s="1" t="n">
        <v>46047</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29972-2024</t>
        </is>
      </c>
      <c r="B288" s="1" t="n">
        <v>45485</v>
      </c>
      <c r="C288" s="1" t="n">
        <v>46047</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25463-2021</t>
        </is>
      </c>
      <c r="B289" s="1" t="n">
        <v>44342</v>
      </c>
      <c r="C289" s="1" t="n">
        <v>46047</v>
      </c>
      <c r="D289" t="inlineStr">
        <is>
          <t>STOCKHOLMS LÄN</t>
        </is>
      </c>
      <c r="E289" t="inlineStr">
        <is>
          <t>NORRTÄLJE</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46047</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56219-2021</t>
        </is>
      </c>
      <c r="B291" s="1" t="n">
        <v>44477</v>
      </c>
      <c r="C291" s="1" t="n">
        <v>46047</v>
      </c>
      <c r="D291" t="inlineStr">
        <is>
          <t>STOCKHOLMS LÄN</t>
        </is>
      </c>
      <c r="E291" t="inlineStr">
        <is>
          <t>NORRTÄLJE</t>
        </is>
      </c>
      <c r="F291" t="inlineStr">
        <is>
          <t>Kommuner</t>
        </is>
      </c>
      <c r="G291" t="n">
        <v>2.3</v>
      </c>
      <c r="H291" t="n">
        <v>0</v>
      </c>
      <c r="I291" t="n">
        <v>0</v>
      </c>
      <c r="J291" t="n">
        <v>0</v>
      </c>
      <c r="K291" t="n">
        <v>0</v>
      </c>
      <c r="L291" t="n">
        <v>0</v>
      </c>
      <c r="M291" t="n">
        <v>0</v>
      </c>
      <c r="N291" t="n">
        <v>0</v>
      </c>
      <c r="O291" t="n">
        <v>0</v>
      </c>
      <c r="P291" t="n">
        <v>0</v>
      </c>
      <c r="Q291" t="n">
        <v>0</v>
      </c>
      <c r="R291" s="2" t="inlineStr"/>
    </row>
    <row r="292" ht="15" customHeight="1">
      <c r="A292" t="inlineStr">
        <is>
          <t>A 5027-2025</t>
        </is>
      </c>
      <c r="B292" s="1" t="n">
        <v>45691.41101851852</v>
      </c>
      <c r="C292" s="1" t="n">
        <v>46047</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46047</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71880-2021</t>
        </is>
      </c>
      <c r="B294" s="1" t="n">
        <v>44543</v>
      </c>
      <c r="C294" s="1" t="n">
        <v>46047</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14051-2022</t>
        </is>
      </c>
      <c r="B295" s="1" t="n">
        <v>44650.92714120371</v>
      </c>
      <c r="C295" s="1" t="n">
        <v>46047</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64137-2021</t>
        </is>
      </c>
      <c r="B296" s="1" t="n">
        <v>44510.51422453704</v>
      </c>
      <c r="C296" s="1" t="n">
        <v>46047</v>
      </c>
      <c r="D296" t="inlineStr">
        <is>
          <t>STOCKHOLMS LÄN</t>
        </is>
      </c>
      <c r="E296" t="inlineStr">
        <is>
          <t>NORRTÄLJE</t>
        </is>
      </c>
      <c r="F296" t="inlineStr">
        <is>
          <t>Holmen skog AB</t>
        </is>
      </c>
      <c r="G296" t="n">
        <v>1.5</v>
      </c>
      <c r="H296" t="n">
        <v>0</v>
      </c>
      <c r="I296" t="n">
        <v>0</v>
      </c>
      <c r="J296" t="n">
        <v>0</v>
      </c>
      <c r="K296" t="n">
        <v>0</v>
      </c>
      <c r="L296" t="n">
        <v>0</v>
      </c>
      <c r="M296" t="n">
        <v>0</v>
      </c>
      <c r="N296" t="n">
        <v>0</v>
      </c>
      <c r="O296" t="n">
        <v>0</v>
      </c>
      <c r="P296" t="n">
        <v>0</v>
      </c>
      <c r="Q296" t="n">
        <v>0</v>
      </c>
      <c r="R296" s="2" t="inlineStr"/>
    </row>
    <row r="297" ht="15" customHeight="1">
      <c r="A297" t="inlineStr">
        <is>
          <t>A 17772-2022</t>
        </is>
      </c>
      <c r="B297" s="1" t="n">
        <v>44682.76528935185</v>
      </c>
      <c r="C297" s="1" t="n">
        <v>46047</v>
      </c>
      <c r="D297" t="inlineStr">
        <is>
          <t>STOCKHOLMS LÄN</t>
        </is>
      </c>
      <c r="E297" t="inlineStr">
        <is>
          <t>NORRTÄLJE</t>
        </is>
      </c>
      <c r="G297" t="n">
        <v>4</v>
      </c>
      <c r="H297" t="n">
        <v>0</v>
      </c>
      <c r="I297" t="n">
        <v>0</v>
      </c>
      <c r="J297" t="n">
        <v>0</v>
      </c>
      <c r="K297" t="n">
        <v>0</v>
      </c>
      <c r="L297" t="n">
        <v>0</v>
      </c>
      <c r="M297" t="n">
        <v>0</v>
      </c>
      <c r="N297" t="n">
        <v>0</v>
      </c>
      <c r="O297" t="n">
        <v>0</v>
      </c>
      <c r="P297" t="n">
        <v>0</v>
      </c>
      <c r="Q297" t="n">
        <v>0</v>
      </c>
      <c r="R297" s="2" t="inlineStr"/>
    </row>
    <row r="298" ht="15" customHeight="1">
      <c r="A298" t="inlineStr">
        <is>
          <t>A 55018-2024</t>
        </is>
      </c>
      <c r="B298" s="1" t="n">
        <v>45621.35712962963</v>
      </c>
      <c r="C298" s="1" t="n">
        <v>46047</v>
      </c>
      <c r="D298" t="inlineStr">
        <is>
          <t>STOCKHOLMS LÄN</t>
        </is>
      </c>
      <c r="E298" t="inlineStr">
        <is>
          <t>NORRTÄLJE</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67285-2021</t>
        </is>
      </c>
      <c r="B299" s="1" t="n">
        <v>44523.61635416667</v>
      </c>
      <c r="C299" s="1" t="n">
        <v>46047</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5611-2022</t>
        </is>
      </c>
      <c r="B300" s="1" t="n">
        <v>44595</v>
      </c>
      <c r="C300" s="1" t="n">
        <v>46047</v>
      </c>
      <c r="D300" t="inlineStr">
        <is>
          <t>STOCKHOLMS LÄN</t>
        </is>
      </c>
      <c r="E300" t="inlineStr">
        <is>
          <t>NORRTÄLJE</t>
        </is>
      </c>
      <c r="G300" t="n">
        <v>0.5</v>
      </c>
      <c r="H300" t="n">
        <v>0</v>
      </c>
      <c r="I300" t="n">
        <v>0</v>
      </c>
      <c r="J300" t="n">
        <v>0</v>
      </c>
      <c r="K300" t="n">
        <v>0</v>
      </c>
      <c r="L300" t="n">
        <v>0</v>
      </c>
      <c r="M300" t="n">
        <v>0</v>
      </c>
      <c r="N300" t="n">
        <v>0</v>
      </c>
      <c r="O300" t="n">
        <v>0</v>
      </c>
      <c r="P300" t="n">
        <v>0</v>
      </c>
      <c r="Q300" t="n">
        <v>0</v>
      </c>
      <c r="R300" s="2" t="inlineStr"/>
    </row>
    <row r="301" ht="15" customHeight="1">
      <c r="A301" t="inlineStr">
        <is>
          <t>A 32055-2021</t>
        </is>
      </c>
      <c r="B301" s="1" t="n">
        <v>44370.72197916666</v>
      </c>
      <c r="C301" s="1" t="n">
        <v>46047</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24101-2022</t>
        </is>
      </c>
      <c r="B302" s="1" t="n">
        <v>44725</v>
      </c>
      <c r="C302" s="1" t="n">
        <v>46047</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50136-2023</t>
        </is>
      </c>
      <c r="B303" s="1" t="n">
        <v>45215</v>
      </c>
      <c r="C303" s="1" t="n">
        <v>46047</v>
      </c>
      <c r="D303" t="inlineStr">
        <is>
          <t>STOCKHOLMS LÄN</t>
        </is>
      </c>
      <c r="E303" t="inlineStr">
        <is>
          <t>NORRTÄLJE</t>
        </is>
      </c>
      <c r="G303" t="n">
        <v>5.2</v>
      </c>
      <c r="H303" t="n">
        <v>0</v>
      </c>
      <c r="I303" t="n">
        <v>0</v>
      </c>
      <c r="J303" t="n">
        <v>0</v>
      </c>
      <c r="K303" t="n">
        <v>0</v>
      </c>
      <c r="L303" t="n">
        <v>0</v>
      </c>
      <c r="M303" t="n">
        <v>0</v>
      </c>
      <c r="N303" t="n">
        <v>0</v>
      </c>
      <c r="O303" t="n">
        <v>0</v>
      </c>
      <c r="P303" t="n">
        <v>0</v>
      </c>
      <c r="Q303" t="n">
        <v>0</v>
      </c>
      <c r="R303" s="2" t="inlineStr"/>
    </row>
    <row r="304" ht="15" customHeight="1">
      <c r="A304" t="inlineStr">
        <is>
          <t>A 25656-2023</t>
        </is>
      </c>
      <c r="B304" s="1" t="n">
        <v>45089</v>
      </c>
      <c r="C304" s="1" t="n">
        <v>46047</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6003-2025</t>
        </is>
      </c>
      <c r="B305" s="1" t="n">
        <v>45695.57881944445</v>
      </c>
      <c r="C305" s="1" t="n">
        <v>46047</v>
      </c>
      <c r="D305" t="inlineStr">
        <is>
          <t>STOCKHOLMS LÄN</t>
        </is>
      </c>
      <c r="E305" t="inlineStr">
        <is>
          <t>NORRTÄLJE</t>
        </is>
      </c>
      <c r="F305" t="inlineStr">
        <is>
          <t>Holmen skog AB</t>
        </is>
      </c>
      <c r="G305" t="n">
        <v>2.3</v>
      </c>
      <c r="H305" t="n">
        <v>0</v>
      </c>
      <c r="I305" t="n">
        <v>0</v>
      </c>
      <c r="J305" t="n">
        <v>0</v>
      </c>
      <c r="K305" t="n">
        <v>0</v>
      </c>
      <c r="L305" t="n">
        <v>0</v>
      </c>
      <c r="M305" t="n">
        <v>0</v>
      </c>
      <c r="N305" t="n">
        <v>0</v>
      </c>
      <c r="O305" t="n">
        <v>0</v>
      </c>
      <c r="P305" t="n">
        <v>0</v>
      </c>
      <c r="Q305" t="n">
        <v>0</v>
      </c>
      <c r="R305" s="2" t="inlineStr"/>
    </row>
    <row r="306" ht="15" customHeight="1">
      <c r="A306" t="inlineStr">
        <is>
          <t>A 38721-2022</t>
        </is>
      </c>
      <c r="B306" s="1" t="n">
        <v>44815</v>
      </c>
      <c r="C306" s="1" t="n">
        <v>46047</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11122-2021</t>
        </is>
      </c>
      <c r="B307" s="1" t="n">
        <v>44260</v>
      </c>
      <c r="C307" s="1" t="n">
        <v>46047</v>
      </c>
      <c r="D307" t="inlineStr">
        <is>
          <t>STOCKHOLMS LÄN</t>
        </is>
      </c>
      <c r="E307" t="inlineStr">
        <is>
          <t>NORRTÄLJE</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11902-2024</t>
        </is>
      </c>
      <c r="B308" s="1" t="n">
        <v>45376.55704861111</v>
      </c>
      <c r="C308" s="1" t="n">
        <v>46047</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60184-2021</t>
        </is>
      </c>
      <c r="B309" s="1" t="n">
        <v>44495</v>
      </c>
      <c r="C309" s="1" t="n">
        <v>46047</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38049-2023</t>
        </is>
      </c>
      <c r="B310" s="1" t="n">
        <v>45159</v>
      </c>
      <c r="C310" s="1" t="n">
        <v>46047</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59535-2024</t>
        </is>
      </c>
      <c r="B311" s="1" t="n">
        <v>45638.59979166667</v>
      </c>
      <c r="C311" s="1" t="n">
        <v>46047</v>
      </c>
      <c r="D311" t="inlineStr">
        <is>
          <t>STOCKHOLMS LÄN</t>
        </is>
      </c>
      <c r="E311" t="inlineStr">
        <is>
          <t>NORRTÄLJE</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27828-2022</t>
        </is>
      </c>
      <c r="B312" s="1" t="n">
        <v>44743.59765046297</v>
      </c>
      <c r="C312" s="1" t="n">
        <v>46047</v>
      </c>
      <c r="D312" t="inlineStr">
        <is>
          <t>STOCKHOLMS LÄN</t>
        </is>
      </c>
      <c r="E312" t="inlineStr">
        <is>
          <t>NORRTÄLJE</t>
        </is>
      </c>
      <c r="F312" t="inlineStr">
        <is>
          <t>Kommuner</t>
        </is>
      </c>
      <c r="G312" t="n">
        <v>1.6</v>
      </c>
      <c r="H312" t="n">
        <v>0</v>
      </c>
      <c r="I312" t="n">
        <v>0</v>
      </c>
      <c r="J312" t="n">
        <v>0</v>
      </c>
      <c r="K312" t="n">
        <v>0</v>
      </c>
      <c r="L312" t="n">
        <v>0</v>
      </c>
      <c r="M312" t="n">
        <v>0</v>
      </c>
      <c r="N312" t="n">
        <v>0</v>
      </c>
      <c r="O312" t="n">
        <v>0</v>
      </c>
      <c r="P312" t="n">
        <v>0</v>
      </c>
      <c r="Q312" t="n">
        <v>0</v>
      </c>
      <c r="R312" s="2" t="inlineStr"/>
    </row>
    <row r="313" ht="15" customHeight="1">
      <c r="A313" t="inlineStr">
        <is>
          <t>A 16229-2022</t>
        </is>
      </c>
      <c r="B313" s="1" t="n">
        <v>44670.4190162037</v>
      </c>
      <c r="C313" s="1" t="n">
        <v>46047</v>
      </c>
      <c r="D313" t="inlineStr">
        <is>
          <t>STOCKHOLMS LÄN</t>
        </is>
      </c>
      <c r="E313" t="inlineStr">
        <is>
          <t>NORRTÄLJE</t>
        </is>
      </c>
      <c r="G313" t="n">
        <v>7.4</v>
      </c>
      <c r="H313" t="n">
        <v>0</v>
      </c>
      <c r="I313" t="n">
        <v>0</v>
      </c>
      <c r="J313" t="n">
        <v>0</v>
      </c>
      <c r="K313" t="n">
        <v>0</v>
      </c>
      <c r="L313" t="n">
        <v>0</v>
      </c>
      <c r="M313" t="n">
        <v>0</v>
      </c>
      <c r="N313" t="n">
        <v>0</v>
      </c>
      <c r="O313" t="n">
        <v>0</v>
      </c>
      <c r="P313" t="n">
        <v>0</v>
      </c>
      <c r="Q313" t="n">
        <v>0</v>
      </c>
      <c r="R313" s="2" t="inlineStr"/>
    </row>
    <row r="314" ht="15" customHeight="1">
      <c r="A314" t="inlineStr">
        <is>
          <t>A 33226-2024</t>
        </is>
      </c>
      <c r="B314" s="1" t="n">
        <v>45518</v>
      </c>
      <c r="C314" s="1" t="n">
        <v>46047</v>
      </c>
      <c r="D314" t="inlineStr">
        <is>
          <t>STOCKHOLMS LÄN</t>
        </is>
      </c>
      <c r="E314" t="inlineStr">
        <is>
          <t>NORRTÄLJE</t>
        </is>
      </c>
      <c r="G314" t="n">
        <v>13.8</v>
      </c>
      <c r="H314" t="n">
        <v>0</v>
      </c>
      <c r="I314" t="n">
        <v>0</v>
      </c>
      <c r="J314" t="n">
        <v>0</v>
      </c>
      <c r="K314" t="n">
        <v>0</v>
      </c>
      <c r="L314" t="n">
        <v>0</v>
      </c>
      <c r="M314" t="n">
        <v>0</v>
      </c>
      <c r="N314" t="n">
        <v>0</v>
      </c>
      <c r="O314" t="n">
        <v>0</v>
      </c>
      <c r="P314" t="n">
        <v>0</v>
      </c>
      <c r="Q314" t="n">
        <v>0</v>
      </c>
      <c r="R314" s="2" t="inlineStr"/>
    </row>
    <row r="315" ht="15" customHeight="1">
      <c r="A315" t="inlineStr">
        <is>
          <t>A 22008-2024</t>
        </is>
      </c>
      <c r="B315" s="1" t="n">
        <v>45443</v>
      </c>
      <c r="C315" s="1" t="n">
        <v>46047</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12268-2022</t>
        </is>
      </c>
      <c r="B316" s="1" t="n">
        <v>44637</v>
      </c>
      <c r="C316" s="1" t="n">
        <v>46047</v>
      </c>
      <c r="D316" t="inlineStr">
        <is>
          <t>STOCKHOLMS LÄN</t>
        </is>
      </c>
      <c r="E316" t="inlineStr">
        <is>
          <t>NORRTÄLJE</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24167-2022</t>
        </is>
      </c>
      <c r="B317" s="1" t="n">
        <v>44725.49491898148</v>
      </c>
      <c r="C317" s="1" t="n">
        <v>46047</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42396-2021</t>
        </is>
      </c>
      <c r="B318" s="1" t="n">
        <v>44427</v>
      </c>
      <c r="C318" s="1" t="n">
        <v>46047</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4183-2025</t>
        </is>
      </c>
      <c r="B319" s="1" t="n">
        <v>45685.44592592592</v>
      </c>
      <c r="C319" s="1" t="n">
        <v>46047</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20015-2023</t>
        </is>
      </c>
      <c r="B320" s="1" t="n">
        <v>45054</v>
      </c>
      <c r="C320" s="1" t="n">
        <v>46047</v>
      </c>
      <c r="D320" t="inlineStr">
        <is>
          <t>STOCKHOLMS LÄN</t>
        </is>
      </c>
      <c r="E320" t="inlineStr">
        <is>
          <t>NORRTÄLJE</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3273-2025</t>
        </is>
      </c>
      <c r="B321" s="1" t="n">
        <v>45679</v>
      </c>
      <c r="C321" s="1" t="n">
        <v>46047</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55243-2023</t>
        </is>
      </c>
      <c r="B322" s="1" t="n">
        <v>45237</v>
      </c>
      <c r="C322" s="1" t="n">
        <v>46047</v>
      </c>
      <c r="D322" t="inlineStr">
        <is>
          <t>STOCKHOLMS LÄN</t>
        </is>
      </c>
      <c r="E322" t="inlineStr">
        <is>
          <t>NORRTÄLJE</t>
        </is>
      </c>
      <c r="G322" t="n">
        <v>6.5</v>
      </c>
      <c r="H322" t="n">
        <v>0</v>
      </c>
      <c r="I322" t="n">
        <v>0</v>
      </c>
      <c r="J322" t="n">
        <v>0</v>
      </c>
      <c r="K322" t="n">
        <v>0</v>
      </c>
      <c r="L322" t="n">
        <v>0</v>
      </c>
      <c r="M322" t="n">
        <v>0</v>
      </c>
      <c r="N322" t="n">
        <v>0</v>
      </c>
      <c r="O322" t="n">
        <v>0</v>
      </c>
      <c r="P322" t="n">
        <v>0</v>
      </c>
      <c r="Q322" t="n">
        <v>0</v>
      </c>
      <c r="R322" s="2" t="inlineStr"/>
    </row>
    <row r="323" ht="15" customHeight="1">
      <c r="A323" t="inlineStr">
        <is>
          <t>A 24245-2024</t>
        </is>
      </c>
      <c r="B323" s="1" t="n">
        <v>45457</v>
      </c>
      <c r="C323" s="1" t="n">
        <v>46047</v>
      </c>
      <c r="D323" t="inlineStr">
        <is>
          <t>STOCKHOLMS LÄN</t>
        </is>
      </c>
      <c r="E323" t="inlineStr">
        <is>
          <t>NORRTÄLJE</t>
        </is>
      </c>
      <c r="F323" t="inlineStr">
        <is>
          <t>Holmen skog AB</t>
        </is>
      </c>
      <c r="G323" t="n">
        <v>3.4</v>
      </c>
      <c r="H323" t="n">
        <v>0</v>
      </c>
      <c r="I323" t="n">
        <v>0</v>
      </c>
      <c r="J323" t="n">
        <v>0</v>
      </c>
      <c r="K323" t="n">
        <v>0</v>
      </c>
      <c r="L323" t="n">
        <v>0</v>
      </c>
      <c r="M323" t="n">
        <v>0</v>
      </c>
      <c r="N323" t="n">
        <v>0</v>
      </c>
      <c r="O323" t="n">
        <v>0</v>
      </c>
      <c r="P323" t="n">
        <v>0</v>
      </c>
      <c r="Q323" t="n">
        <v>0</v>
      </c>
      <c r="R323" s="2" t="inlineStr"/>
    </row>
    <row r="324" ht="15" customHeight="1">
      <c r="A324" t="inlineStr">
        <is>
          <t>A 52260-2022</t>
        </is>
      </c>
      <c r="B324" s="1" t="n">
        <v>44869</v>
      </c>
      <c r="C324" s="1" t="n">
        <v>46047</v>
      </c>
      <c r="D324" t="inlineStr">
        <is>
          <t>STOCKHOLMS LÄN</t>
        </is>
      </c>
      <c r="E324" t="inlineStr">
        <is>
          <t>NORRTÄLJE</t>
        </is>
      </c>
      <c r="G324" t="n">
        <v>3.1</v>
      </c>
      <c r="H324" t="n">
        <v>0</v>
      </c>
      <c r="I324" t="n">
        <v>0</v>
      </c>
      <c r="J324" t="n">
        <v>0</v>
      </c>
      <c r="K324" t="n">
        <v>0</v>
      </c>
      <c r="L324" t="n">
        <v>0</v>
      </c>
      <c r="M324" t="n">
        <v>0</v>
      </c>
      <c r="N324" t="n">
        <v>0</v>
      </c>
      <c r="O324" t="n">
        <v>0</v>
      </c>
      <c r="P324" t="n">
        <v>0</v>
      </c>
      <c r="Q324" t="n">
        <v>0</v>
      </c>
      <c r="R324" s="2" t="inlineStr"/>
    </row>
    <row r="325" ht="15" customHeight="1">
      <c r="A325" t="inlineStr">
        <is>
          <t>A 21291-2021</t>
        </is>
      </c>
      <c r="B325" s="1" t="n">
        <v>44319</v>
      </c>
      <c r="C325" s="1" t="n">
        <v>46047</v>
      </c>
      <c r="D325" t="inlineStr">
        <is>
          <t>STOCKHOLMS LÄN</t>
        </is>
      </c>
      <c r="E325" t="inlineStr">
        <is>
          <t>NORRTÄLJE</t>
        </is>
      </c>
      <c r="G325" t="n">
        <v>12.7</v>
      </c>
      <c r="H325" t="n">
        <v>0</v>
      </c>
      <c r="I325" t="n">
        <v>0</v>
      </c>
      <c r="J325" t="n">
        <v>0</v>
      </c>
      <c r="K325" t="n">
        <v>0</v>
      </c>
      <c r="L325" t="n">
        <v>0</v>
      </c>
      <c r="M325" t="n">
        <v>0</v>
      </c>
      <c r="N325" t="n">
        <v>0</v>
      </c>
      <c r="O325" t="n">
        <v>0</v>
      </c>
      <c r="P325" t="n">
        <v>0</v>
      </c>
      <c r="Q325" t="n">
        <v>0</v>
      </c>
      <c r="R325" s="2" t="inlineStr"/>
    </row>
    <row r="326" ht="15" customHeight="1">
      <c r="A326" t="inlineStr">
        <is>
          <t>A 9480-2025</t>
        </is>
      </c>
      <c r="B326" s="1" t="n">
        <v>45715</v>
      </c>
      <c r="C326" s="1" t="n">
        <v>46047</v>
      </c>
      <c r="D326" t="inlineStr">
        <is>
          <t>STOCKHOLMS LÄN</t>
        </is>
      </c>
      <c r="E326" t="inlineStr">
        <is>
          <t>NORRTÄLJE</t>
        </is>
      </c>
      <c r="F326" t="inlineStr">
        <is>
          <t>Övriga Aktiebolag</t>
        </is>
      </c>
      <c r="G326" t="n">
        <v>3.9</v>
      </c>
      <c r="H326" t="n">
        <v>0</v>
      </c>
      <c r="I326" t="n">
        <v>0</v>
      </c>
      <c r="J326" t="n">
        <v>0</v>
      </c>
      <c r="K326" t="n">
        <v>0</v>
      </c>
      <c r="L326" t="n">
        <v>0</v>
      </c>
      <c r="M326" t="n">
        <v>0</v>
      </c>
      <c r="N326" t="n">
        <v>0</v>
      </c>
      <c r="O326" t="n">
        <v>0</v>
      </c>
      <c r="P326" t="n">
        <v>0</v>
      </c>
      <c r="Q326" t="n">
        <v>0</v>
      </c>
      <c r="R326" s="2" t="inlineStr"/>
    </row>
    <row r="327" ht="15" customHeight="1">
      <c r="A327" t="inlineStr">
        <is>
          <t>A 25557-2023</t>
        </is>
      </c>
      <c r="B327" s="1" t="n">
        <v>45089</v>
      </c>
      <c r="C327" s="1" t="n">
        <v>46047</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15256-2023</t>
        </is>
      </c>
      <c r="B328" s="1" t="n">
        <v>45019.3959837963</v>
      </c>
      <c r="C328" s="1" t="n">
        <v>46047</v>
      </c>
      <c r="D328" t="inlineStr">
        <is>
          <t>STOCKHOLMS LÄN</t>
        </is>
      </c>
      <c r="E328" t="inlineStr">
        <is>
          <t>NORRTÄLJE</t>
        </is>
      </c>
      <c r="G328" t="n">
        <v>2.4</v>
      </c>
      <c r="H328" t="n">
        <v>0</v>
      </c>
      <c r="I328" t="n">
        <v>0</v>
      </c>
      <c r="J328" t="n">
        <v>0</v>
      </c>
      <c r="K328" t="n">
        <v>0</v>
      </c>
      <c r="L328" t="n">
        <v>0</v>
      </c>
      <c r="M328" t="n">
        <v>0</v>
      </c>
      <c r="N328" t="n">
        <v>0</v>
      </c>
      <c r="O328" t="n">
        <v>0</v>
      </c>
      <c r="P328" t="n">
        <v>0</v>
      </c>
      <c r="Q328" t="n">
        <v>0</v>
      </c>
      <c r="R328" s="2" t="inlineStr"/>
    </row>
    <row r="329" ht="15" customHeight="1">
      <c r="A329" t="inlineStr">
        <is>
          <t>A 27715-2022</t>
        </is>
      </c>
      <c r="B329" s="1" t="n">
        <v>44743.47407407407</v>
      </c>
      <c r="C329" s="1" t="n">
        <v>46047</v>
      </c>
      <c r="D329" t="inlineStr">
        <is>
          <t>STOCKHOLMS LÄN</t>
        </is>
      </c>
      <c r="E329" t="inlineStr">
        <is>
          <t>NORRTÄLJE</t>
        </is>
      </c>
      <c r="G329" t="n">
        <v>2.2</v>
      </c>
      <c r="H329" t="n">
        <v>0</v>
      </c>
      <c r="I329" t="n">
        <v>0</v>
      </c>
      <c r="J329" t="n">
        <v>0</v>
      </c>
      <c r="K329" t="n">
        <v>0</v>
      </c>
      <c r="L329" t="n">
        <v>0</v>
      </c>
      <c r="M329" t="n">
        <v>0</v>
      </c>
      <c r="N329" t="n">
        <v>0</v>
      </c>
      <c r="O329" t="n">
        <v>0</v>
      </c>
      <c r="P329" t="n">
        <v>0</v>
      </c>
      <c r="Q329" t="n">
        <v>0</v>
      </c>
      <c r="R329" s="2" t="inlineStr"/>
    </row>
    <row r="330" ht="15" customHeight="1">
      <c r="A330" t="inlineStr">
        <is>
          <t>A 20428-2024</t>
        </is>
      </c>
      <c r="B330" s="1" t="n">
        <v>45435</v>
      </c>
      <c r="C330" s="1" t="n">
        <v>46047</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55696-2022</t>
        </is>
      </c>
      <c r="B331" s="1" t="n">
        <v>44888</v>
      </c>
      <c r="C331" s="1" t="n">
        <v>46047</v>
      </c>
      <c r="D331" t="inlineStr">
        <is>
          <t>STOCKHOLMS LÄN</t>
        </is>
      </c>
      <c r="E331" t="inlineStr">
        <is>
          <t>NORRTÄLJE</t>
        </is>
      </c>
      <c r="G331" t="n">
        <v>2.2</v>
      </c>
      <c r="H331" t="n">
        <v>0</v>
      </c>
      <c r="I331" t="n">
        <v>0</v>
      </c>
      <c r="J331" t="n">
        <v>0</v>
      </c>
      <c r="K331" t="n">
        <v>0</v>
      </c>
      <c r="L331" t="n">
        <v>0</v>
      </c>
      <c r="M331" t="n">
        <v>0</v>
      </c>
      <c r="N331" t="n">
        <v>0</v>
      </c>
      <c r="O331" t="n">
        <v>0</v>
      </c>
      <c r="P331" t="n">
        <v>0</v>
      </c>
      <c r="Q331" t="n">
        <v>0</v>
      </c>
      <c r="R331" s="2" t="inlineStr"/>
    </row>
    <row r="332" ht="15" customHeight="1">
      <c r="A332" t="inlineStr">
        <is>
          <t>A 13172-2025</t>
        </is>
      </c>
      <c r="B332" s="1" t="n">
        <v>45735.36873842592</v>
      </c>
      <c r="C332" s="1" t="n">
        <v>46047</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22412-2021</t>
        </is>
      </c>
      <c r="B333" s="1" t="n">
        <v>44326.61967592593</v>
      </c>
      <c r="C333" s="1" t="n">
        <v>46047</v>
      </c>
      <c r="D333" t="inlineStr">
        <is>
          <t>STOCKHOLMS LÄN</t>
        </is>
      </c>
      <c r="E333" t="inlineStr">
        <is>
          <t>NORRTÄLJE</t>
        </is>
      </c>
      <c r="G333" t="n">
        <v>1.7</v>
      </c>
      <c r="H333" t="n">
        <v>0</v>
      </c>
      <c r="I333" t="n">
        <v>0</v>
      </c>
      <c r="J333" t="n">
        <v>0</v>
      </c>
      <c r="K333" t="n">
        <v>0</v>
      </c>
      <c r="L333" t="n">
        <v>0</v>
      </c>
      <c r="M333" t="n">
        <v>0</v>
      </c>
      <c r="N333" t="n">
        <v>0</v>
      </c>
      <c r="O333" t="n">
        <v>0</v>
      </c>
      <c r="P333" t="n">
        <v>0</v>
      </c>
      <c r="Q333" t="n">
        <v>0</v>
      </c>
      <c r="R333" s="2" t="inlineStr"/>
    </row>
    <row r="334" ht="15" customHeight="1">
      <c r="A334" t="inlineStr">
        <is>
          <t>A 13053-2022</t>
        </is>
      </c>
      <c r="B334" s="1" t="n">
        <v>44643</v>
      </c>
      <c r="C334" s="1" t="n">
        <v>46047</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24522-2023</t>
        </is>
      </c>
      <c r="B335" s="1" t="n">
        <v>45082.69179398148</v>
      </c>
      <c r="C335" s="1" t="n">
        <v>46047</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64145-2021</t>
        </is>
      </c>
      <c r="B336" s="1" t="n">
        <v>44510</v>
      </c>
      <c r="C336" s="1" t="n">
        <v>46047</v>
      </c>
      <c r="D336" t="inlineStr">
        <is>
          <t>STOCKHOLMS LÄN</t>
        </is>
      </c>
      <c r="E336" t="inlineStr">
        <is>
          <t>NORRTÄLJE</t>
        </is>
      </c>
      <c r="F336" t="inlineStr">
        <is>
          <t>Holmen skog AB</t>
        </is>
      </c>
      <c r="G336" t="n">
        <v>1.5</v>
      </c>
      <c r="H336" t="n">
        <v>0</v>
      </c>
      <c r="I336" t="n">
        <v>0</v>
      </c>
      <c r="J336" t="n">
        <v>0</v>
      </c>
      <c r="K336" t="n">
        <v>0</v>
      </c>
      <c r="L336" t="n">
        <v>0</v>
      </c>
      <c r="M336" t="n">
        <v>0</v>
      </c>
      <c r="N336" t="n">
        <v>0</v>
      </c>
      <c r="O336" t="n">
        <v>0</v>
      </c>
      <c r="P336" t="n">
        <v>0</v>
      </c>
      <c r="Q336" t="n">
        <v>0</v>
      </c>
      <c r="R336" s="2" t="inlineStr"/>
    </row>
    <row r="337" ht="15" customHeight="1">
      <c r="A337" t="inlineStr">
        <is>
          <t>A 25625-2023</t>
        </is>
      </c>
      <c r="B337" s="1" t="n">
        <v>45089</v>
      </c>
      <c r="C337" s="1" t="n">
        <v>46047</v>
      </c>
      <c r="D337" t="inlineStr">
        <is>
          <t>STOCKHOLMS LÄN</t>
        </is>
      </c>
      <c r="E337" t="inlineStr">
        <is>
          <t>NORRTÄLJE</t>
        </is>
      </c>
      <c r="G337" t="n">
        <v>5.5</v>
      </c>
      <c r="H337" t="n">
        <v>0</v>
      </c>
      <c r="I337" t="n">
        <v>0</v>
      </c>
      <c r="J337" t="n">
        <v>0</v>
      </c>
      <c r="K337" t="n">
        <v>0</v>
      </c>
      <c r="L337" t="n">
        <v>0</v>
      </c>
      <c r="M337" t="n">
        <v>0</v>
      </c>
      <c r="N337" t="n">
        <v>0</v>
      </c>
      <c r="O337" t="n">
        <v>0</v>
      </c>
      <c r="P337" t="n">
        <v>0</v>
      </c>
      <c r="Q337" t="n">
        <v>0</v>
      </c>
      <c r="R337" s="2" t="inlineStr"/>
    </row>
    <row r="338" ht="15" customHeight="1">
      <c r="A338" t="inlineStr">
        <is>
          <t>A 1740-2023</t>
        </is>
      </c>
      <c r="B338" s="1" t="n">
        <v>44938</v>
      </c>
      <c r="C338" s="1" t="n">
        <v>46047</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7571-2024</t>
        </is>
      </c>
      <c r="B339" s="1" t="n">
        <v>45348.46300925926</v>
      </c>
      <c r="C339" s="1" t="n">
        <v>46047</v>
      </c>
      <c r="D339" t="inlineStr">
        <is>
          <t>STOCKHOLMS LÄN</t>
        </is>
      </c>
      <c r="E339" t="inlineStr">
        <is>
          <t>NORRTÄLJE</t>
        </is>
      </c>
      <c r="F339" t="inlineStr">
        <is>
          <t>Holmen skog AB</t>
        </is>
      </c>
      <c r="G339" t="n">
        <v>1.8</v>
      </c>
      <c r="H339" t="n">
        <v>0</v>
      </c>
      <c r="I339" t="n">
        <v>0</v>
      </c>
      <c r="J339" t="n">
        <v>0</v>
      </c>
      <c r="K339" t="n">
        <v>0</v>
      </c>
      <c r="L339" t="n">
        <v>0</v>
      </c>
      <c r="M339" t="n">
        <v>0</v>
      </c>
      <c r="N339" t="n">
        <v>0</v>
      </c>
      <c r="O339" t="n">
        <v>0</v>
      </c>
      <c r="P339" t="n">
        <v>0</v>
      </c>
      <c r="Q339" t="n">
        <v>0</v>
      </c>
      <c r="R339" s="2" t="inlineStr"/>
    </row>
    <row r="340" ht="15" customHeight="1">
      <c r="A340" t="inlineStr">
        <is>
          <t>A 4596-2023</t>
        </is>
      </c>
      <c r="B340" s="1" t="n">
        <v>44956</v>
      </c>
      <c r="C340" s="1" t="n">
        <v>46047</v>
      </c>
      <c r="D340" t="inlineStr">
        <is>
          <t>STOCKHOLMS LÄN</t>
        </is>
      </c>
      <c r="E340" t="inlineStr">
        <is>
          <t>NORRTÄLJE</t>
        </is>
      </c>
      <c r="G340" t="n">
        <v>1.4</v>
      </c>
      <c r="H340" t="n">
        <v>0</v>
      </c>
      <c r="I340" t="n">
        <v>0</v>
      </c>
      <c r="J340" t="n">
        <v>0</v>
      </c>
      <c r="K340" t="n">
        <v>0</v>
      </c>
      <c r="L340" t="n">
        <v>0</v>
      </c>
      <c r="M340" t="n">
        <v>0</v>
      </c>
      <c r="N340" t="n">
        <v>0</v>
      </c>
      <c r="O340" t="n">
        <v>0</v>
      </c>
      <c r="P340" t="n">
        <v>0</v>
      </c>
      <c r="Q340" t="n">
        <v>0</v>
      </c>
      <c r="R340" s="2" t="inlineStr"/>
    </row>
    <row r="341" ht="15" customHeight="1">
      <c r="A341" t="inlineStr">
        <is>
          <t>A 15978-2024</t>
        </is>
      </c>
      <c r="B341" s="1" t="n">
        <v>45405.57927083333</v>
      </c>
      <c r="C341" s="1" t="n">
        <v>46047</v>
      </c>
      <c r="D341" t="inlineStr">
        <is>
          <t>STOCKHOLMS LÄN</t>
        </is>
      </c>
      <c r="E341" t="inlineStr">
        <is>
          <t>NORRTÄLJE</t>
        </is>
      </c>
      <c r="G341" t="n">
        <v>1.5</v>
      </c>
      <c r="H341" t="n">
        <v>0</v>
      </c>
      <c r="I341" t="n">
        <v>0</v>
      </c>
      <c r="J341" t="n">
        <v>0</v>
      </c>
      <c r="K341" t="n">
        <v>0</v>
      </c>
      <c r="L341" t="n">
        <v>0</v>
      </c>
      <c r="M341" t="n">
        <v>0</v>
      </c>
      <c r="N341" t="n">
        <v>0</v>
      </c>
      <c r="O341" t="n">
        <v>0</v>
      </c>
      <c r="P341" t="n">
        <v>0</v>
      </c>
      <c r="Q341" t="n">
        <v>0</v>
      </c>
      <c r="R341" s="2" t="inlineStr"/>
    </row>
    <row r="342" ht="15" customHeight="1">
      <c r="A342" t="inlineStr">
        <is>
          <t>A 37147-2023</t>
        </is>
      </c>
      <c r="B342" s="1" t="n">
        <v>45155</v>
      </c>
      <c r="C342" s="1" t="n">
        <v>46047</v>
      </c>
      <c r="D342" t="inlineStr">
        <is>
          <t>STOCKHOLMS LÄN</t>
        </is>
      </c>
      <c r="E342" t="inlineStr">
        <is>
          <t>NORRTÄLJE</t>
        </is>
      </c>
      <c r="G342" t="n">
        <v>8</v>
      </c>
      <c r="H342" t="n">
        <v>0</v>
      </c>
      <c r="I342" t="n">
        <v>0</v>
      </c>
      <c r="J342" t="n">
        <v>0</v>
      </c>
      <c r="K342" t="n">
        <v>0</v>
      </c>
      <c r="L342" t="n">
        <v>0</v>
      </c>
      <c r="M342" t="n">
        <v>0</v>
      </c>
      <c r="N342" t="n">
        <v>0</v>
      </c>
      <c r="O342" t="n">
        <v>0</v>
      </c>
      <c r="P342" t="n">
        <v>0</v>
      </c>
      <c r="Q342" t="n">
        <v>0</v>
      </c>
      <c r="R342" s="2" t="inlineStr"/>
    </row>
    <row r="343" ht="15" customHeight="1">
      <c r="A343" t="inlineStr">
        <is>
          <t>A 7186-2024</t>
        </is>
      </c>
      <c r="B343" s="1" t="n">
        <v>45344</v>
      </c>
      <c r="C343" s="1" t="n">
        <v>46047</v>
      </c>
      <c r="D343" t="inlineStr">
        <is>
          <t>STOCKHOLMS LÄN</t>
        </is>
      </c>
      <c r="E343" t="inlineStr">
        <is>
          <t>NORRTÄLJE</t>
        </is>
      </c>
      <c r="G343" t="n">
        <v>4.9</v>
      </c>
      <c r="H343" t="n">
        <v>0</v>
      </c>
      <c r="I343" t="n">
        <v>0</v>
      </c>
      <c r="J343" t="n">
        <v>0</v>
      </c>
      <c r="K343" t="n">
        <v>0</v>
      </c>
      <c r="L343" t="n">
        <v>0</v>
      </c>
      <c r="M343" t="n">
        <v>0</v>
      </c>
      <c r="N343" t="n">
        <v>0</v>
      </c>
      <c r="O343" t="n">
        <v>0</v>
      </c>
      <c r="P343" t="n">
        <v>0</v>
      </c>
      <c r="Q343" t="n">
        <v>0</v>
      </c>
      <c r="R343" s="2" t="inlineStr"/>
    </row>
    <row r="344" ht="15" customHeight="1">
      <c r="A344" t="inlineStr">
        <is>
          <t>A 11849-2025</t>
        </is>
      </c>
      <c r="B344" s="1" t="n">
        <v>45728.38409722222</v>
      </c>
      <c r="C344" s="1" t="n">
        <v>46047</v>
      </c>
      <c r="D344" t="inlineStr">
        <is>
          <t>STOCKHOLMS LÄN</t>
        </is>
      </c>
      <c r="E344" t="inlineStr">
        <is>
          <t>NORRTÄLJE</t>
        </is>
      </c>
      <c r="G344" t="n">
        <v>1.7</v>
      </c>
      <c r="H344" t="n">
        <v>0</v>
      </c>
      <c r="I344" t="n">
        <v>0</v>
      </c>
      <c r="J344" t="n">
        <v>0</v>
      </c>
      <c r="K344" t="n">
        <v>0</v>
      </c>
      <c r="L344" t="n">
        <v>0</v>
      </c>
      <c r="M344" t="n">
        <v>0</v>
      </c>
      <c r="N344" t="n">
        <v>0</v>
      </c>
      <c r="O344" t="n">
        <v>0</v>
      </c>
      <c r="P344" t="n">
        <v>0</v>
      </c>
      <c r="Q344" t="n">
        <v>0</v>
      </c>
      <c r="R344" s="2" t="inlineStr"/>
    </row>
    <row r="345" ht="15" customHeight="1">
      <c r="A345" t="inlineStr">
        <is>
          <t>A 11333-2025</t>
        </is>
      </c>
      <c r="B345" s="1" t="n">
        <v>45726.48377314815</v>
      </c>
      <c r="C345" s="1" t="n">
        <v>46047</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10676-2025</t>
        </is>
      </c>
      <c r="B346" s="1" t="n">
        <v>45721.88684027778</v>
      </c>
      <c r="C346" s="1" t="n">
        <v>46047</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57602-2024</t>
        </is>
      </c>
      <c r="B347" s="1" t="n">
        <v>45630.52866898148</v>
      </c>
      <c r="C347" s="1" t="n">
        <v>46047</v>
      </c>
      <c r="D347" t="inlineStr">
        <is>
          <t>STOCKHOLMS LÄN</t>
        </is>
      </c>
      <c r="E347" t="inlineStr">
        <is>
          <t>NORRTÄLJE</t>
        </is>
      </c>
      <c r="G347" t="n">
        <v>1.8</v>
      </c>
      <c r="H347" t="n">
        <v>0</v>
      </c>
      <c r="I347" t="n">
        <v>0</v>
      </c>
      <c r="J347" t="n">
        <v>0</v>
      </c>
      <c r="K347" t="n">
        <v>0</v>
      </c>
      <c r="L347" t="n">
        <v>0</v>
      </c>
      <c r="M347" t="n">
        <v>0</v>
      </c>
      <c r="N347" t="n">
        <v>0</v>
      </c>
      <c r="O347" t="n">
        <v>0</v>
      </c>
      <c r="P347" t="n">
        <v>0</v>
      </c>
      <c r="Q347" t="n">
        <v>0</v>
      </c>
      <c r="R347" s="2" t="inlineStr"/>
    </row>
    <row r="348" ht="15" customHeight="1">
      <c r="A348" t="inlineStr">
        <is>
          <t>A 20852-2023</t>
        </is>
      </c>
      <c r="B348" s="1" t="n">
        <v>45058.78607638889</v>
      </c>
      <c r="C348" s="1" t="n">
        <v>46047</v>
      </c>
      <c r="D348" t="inlineStr">
        <is>
          <t>STOCKHOLMS LÄN</t>
        </is>
      </c>
      <c r="E348" t="inlineStr">
        <is>
          <t>NORRTÄLJE</t>
        </is>
      </c>
      <c r="G348" t="n">
        <v>3.5</v>
      </c>
      <c r="H348" t="n">
        <v>0</v>
      </c>
      <c r="I348" t="n">
        <v>0</v>
      </c>
      <c r="J348" t="n">
        <v>0</v>
      </c>
      <c r="K348" t="n">
        <v>0</v>
      </c>
      <c r="L348" t="n">
        <v>0</v>
      </c>
      <c r="M348" t="n">
        <v>0</v>
      </c>
      <c r="N348" t="n">
        <v>0</v>
      </c>
      <c r="O348" t="n">
        <v>0</v>
      </c>
      <c r="P348" t="n">
        <v>0</v>
      </c>
      <c r="Q348" t="n">
        <v>0</v>
      </c>
      <c r="R348" s="2" t="inlineStr"/>
    </row>
    <row r="349" ht="15" customHeight="1">
      <c r="A349" t="inlineStr">
        <is>
          <t>A 40425-2021</t>
        </is>
      </c>
      <c r="B349" s="1" t="n">
        <v>44419</v>
      </c>
      <c r="C349" s="1" t="n">
        <v>46047</v>
      </c>
      <c r="D349" t="inlineStr">
        <is>
          <t>STOCKHOLMS LÄN</t>
        </is>
      </c>
      <c r="E349" t="inlineStr">
        <is>
          <t>NORRTÄLJE</t>
        </is>
      </c>
      <c r="G349" t="n">
        <v>5</v>
      </c>
      <c r="H349" t="n">
        <v>0</v>
      </c>
      <c r="I349" t="n">
        <v>0</v>
      </c>
      <c r="J349" t="n">
        <v>0</v>
      </c>
      <c r="K349" t="n">
        <v>0</v>
      </c>
      <c r="L349" t="n">
        <v>0</v>
      </c>
      <c r="M349" t="n">
        <v>0</v>
      </c>
      <c r="N349" t="n">
        <v>0</v>
      </c>
      <c r="O349" t="n">
        <v>0</v>
      </c>
      <c r="P349" t="n">
        <v>0</v>
      </c>
      <c r="Q349" t="n">
        <v>0</v>
      </c>
      <c r="R349" s="2" t="inlineStr"/>
    </row>
    <row r="350" ht="15" customHeight="1">
      <c r="A350" t="inlineStr">
        <is>
          <t>A 64600-2021</t>
        </is>
      </c>
      <c r="B350" s="1" t="n">
        <v>44511.70518518519</v>
      </c>
      <c r="C350" s="1" t="n">
        <v>46047</v>
      </c>
      <c r="D350" t="inlineStr">
        <is>
          <t>STOCKHOLMS LÄN</t>
        </is>
      </c>
      <c r="E350" t="inlineStr">
        <is>
          <t>NORRTÄLJE</t>
        </is>
      </c>
      <c r="G350" t="n">
        <v>6.2</v>
      </c>
      <c r="H350" t="n">
        <v>0</v>
      </c>
      <c r="I350" t="n">
        <v>0</v>
      </c>
      <c r="J350" t="n">
        <v>0</v>
      </c>
      <c r="K350" t="n">
        <v>0</v>
      </c>
      <c r="L350" t="n">
        <v>0</v>
      </c>
      <c r="M350" t="n">
        <v>0</v>
      </c>
      <c r="N350" t="n">
        <v>0</v>
      </c>
      <c r="O350" t="n">
        <v>0</v>
      </c>
      <c r="P350" t="n">
        <v>0</v>
      </c>
      <c r="Q350" t="n">
        <v>0</v>
      </c>
      <c r="R350" s="2" t="inlineStr"/>
    </row>
    <row r="351" ht="15" customHeight="1">
      <c r="A351" t="inlineStr">
        <is>
          <t>A 50602-2021</t>
        </is>
      </c>
      <c r="B351" s="1" t="n">
        <v>44459</v>
      </c>
      <c r="C351" s="1" t="n">
        <v>46047</v>
      </c>
      <c r="D351" t="inlineStr">
        <is>
          <t>STOCKHOLMS LÄN</t>
        </is>
      </c>
      <c r="E351" t="inlineStr">
        <is>
          <t>NORRTÄLJE</t>
        </is>
      </c>
      <c r="F351" t="inlineStr">
        <is>
          <t>Holmen skog AB</t>
        </is>
      </c>
      <c r="G351" t="n">
        <v>2</v>
      </c>
      <c r="H351" t="n">
        <v>0</v>
      </c>
      <c r="I351" t="n">
        <v>0</v>
      </c>
      <c r="J351" t="n">
        <v>0</v>
      </c>
      <c r="K351" t="n">
        <v>0</v>
      </c>
      <c r="L351" t="n">
        <v>0</v>
      </c>
      <c r="M351" t="n">
        <v>0</v>
      </c>
      <c r="N351" t="n">
        <v>0</v>
      </c>
      <c r="O351" t="n">
        <v>0</v>
      </c>
      <c r="P351" t="n">
        <v>0</v>
      </c>
      <c r="Q351" t="n">
        <v>0</v>
      </c>
      <c r="R351" s="2" t="inlineStr"/>
    </row>
    <row r="352" ht="15" customHeight="1">
      <c r="A352" t="inlineStr">
        <is>
          <t>A 26365-2024</t>
        </is>
      </c>
      <c r="B352" s="1" t="n">
        <v>45469</v>
      </c>
      <c r="C352" s="1" t="n">
        <v>46047</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22456-2023</t>
        </is>
      </c>
      <c r="B353" s="1" t="n">
        <v>45070</v>
      </c>
      <c r="C353" s="1" t="n">
        <v>46047</v>
      </c>
      <c r="D353" t="inlineStr">
        <is>
          <t>STOCKHOLMS LÄN</t>
        </is>
      </c>
      <c r="E353" t="inlineStr">
        <is>
          <t>NORRTÄLJE</t>
        </is>
      </c>
      <c r="G353" t="n">
        <v>3.1</v>
      </c>
      <c r="H353" t="n">
        <v>0</v>
      </c>
      <c r="I353" t="n">
        <v>0</v>
      </c>
      <c r="J353" t="n">
        <v>0</v>
      </c>
      <c r="K353" t="n">
        <v>0</v>
      </c>
      <c r="L353" t="n">
        <v>0</v>
      </c>
      <c r="M353" t="n">
        <v>0</v>
      </c>
      <c r="N353" t="n">
        <v>0</v>
      </c>
      <c r="O353" t="n">
        <v>0</v>
      </c>
      <c r="P353" t="n">
        <v>0</v>
      </c>
      <c r="Q353" t="n">
        <v>0</v>
      </c>
      <c r="R353" s="2" t="inlineStr"/>
    </row>
    <row r="354" ht="15" customHeight="1">
      <c r="A354" t="inlineStr">
        <is>
          <t>A 58990-2021</t>
        </is>
      </c>
      <c r="B354" s="1" t="n">
        <v>44490.03621527777</v>
      </c>
      <c r="C354" s="1" t="n">
        <v>46047</v>
      </c>
      <c r="D354" t="inlineStr">
        <is>
          <t>STOCKHOLMS LÄN</t>
        </is>
      </c>
      <c r="E354" t="inlineStr">
        <is>
          <t>NORRTÄLJE</t>
        </is>
      </c>
      <c r="G354" t="n">
        <v>4.2</v>
      </c>
      <c r="H354" t="n">
        <v>0</v>
      </c>
      <c r="I354" t="n">
        <v>0</v>
      </c>
      <c r="J354" t="n">
        <v>0</v>
      </c>
      <c r="K354" t="n">
        <v>0</v>
      </c>
      <c r="L354" t="n">
        <v>0</v>
      </c>
      <c r="M354" t="n">
        <v>0</v>
      </c>
      <c r="N354" t="n">
        <v>0</v>
      </c>
      <c r="O354" t="n">
        <v>0</v>
      </c>
      <c r="P354" t="n">
        <v>0</v>
      </c>
      <c r="Q354" t="n">
        <v>0</v>
      </c>
      <c r="R354" s="2" t="inlineStr"/>
    </row>
    <row r="355" ht="15" customHeight="1">
      <c r="A355" t="inlineStr">
        <is>
          <t>A 17785-2024</t>
        </is>
      </c>
      <c r="B355" s="1" t="n">
        <v>45418.6968287037</v>
      </c>
      <c r="C355" s="1" t="n">
        <v>46047</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6678-2025</t>
        </is>
      </c>
      <c r="B356" s="1" t="n">
        <v>45700</v>
      </c>
      <c r="C356" s="1" t="n">
        <v>46047</v>
      </c>
      <c r="D356" t="inlineStr">
        <is>
          <t>STOCKHOLMS LÄN</t>
        </is>
      </c>
      <c r="E356" t="inlineStr">
        <is>
          <t>NORRTÄLJE</t>
        </is>
      </c>
      <c r="F356" t="inlineStr">
        <is>
          <t>Övriga Aktiebolag</t>
        </is>
      </c>
      <c r="G356" t="n">
        <v>6.6</v>
      </c>
      <c r="H356" t="n">
        <v>0</v>
      </c>
      <c r="I356" t="n">
        <v>0</v>
      </c>
      <c r="J356" t="n">
        <v>0</v>
      </c>
      <c r="K356" t="n">
        <v>0</v>
      </c>
      <c r="L356" t="n">
        <v>0</v>
      </c>
      <c r="M356" t="n">
        <v>0</v>
      </c>
      <c r="N356" t="n">
        <v>0</v>
      </c>
      <c r="O356" t="n">
        <v>0</v>
      </c>
      <c r="P356" t="n">
        <v>0</v>
      </c>
      <c r="Q356" t="n">
        <v>0</v>
      </c>
      <c r="R356" s="2" t="inlineStr"/>
    </row>
    <row r="357" ht="15" customHeight="1">
      <c r="A357" t="inlineStr">
        <is>
          <t>A 26640-2023</t>
        </is>
      </c>
      <c r="B357" s="1" t="n">
        <v>45092</v>
      </c>
      <c r="C357" s="1" t="n">
        <v>46047</v>
      </c>
      <c r="D357" t="inlineStr">
        <is>
          <t>STOCKHOLMS LÄN</t>
        </is>
      </c>
      <c r="E357" t="inlineStr">
        <is>
          <t>NORRTÄLJE</t>
        </is>
      </c>
      <c r="G357" t="n">
        <v>5.7</v>
      </c>
      <c r="H357" t="n">
        <v>0</v>
      </c>
      <c r="I357" t="n">
        <v>0</v>
      </c>
      <c r="J357" t="n">
        <v>0</v>
      </c>
      <c r="K357" t="n">
        <v>0</v>
      </c>
      <c r="L357" t="n">
        <v>0</v>
      </c>
      <c r="M357" t="n">
        <v>0</v>
      </c>
      <c r="N357" t="n">
        <v>0</v>
      </c>
      <c r="O357" t="n">
        <v>0</v>
      </c>
      <c r="P357" t="n">
        <v>0</v>
      </c>
      <c r="Q357" t="n">
        <v>0</v>
      </c>
      <c r="R357" s="2" t="inlineStr"/>
    </row>
    <row r="358" ht="15" customHeight="1">
      <c r="A358" t="inlineStr">
        <is>
          <t>A 31827-2023</t>
        </is>
      </c>
      <c r="B358" s="1" t="n">
        <v>45118</v>
      </c>
      <c r="C358" s="1" t="n">
        <v>46047</v>
      </c>
      <c r="D358" t="inlineStr">
        <is>
          <t>STOCKHOLMS LÄN</t>
        </is>
      </c>
      <c r="E358" t="inlineStr">
        <is>
          <t>NORRTÄLJE</t>
        </is>
      </c>
      <c r="F358" t="inlineStr">
        <is>
          <t>Kyrkan</t>
        </is>
      </c>
      <c r="G358" t="n">
        <v>4.9</v>
      </c>
      <c r="H358" t="n">
        <v>0</v>
      </c>
      <c r="I358" t="n">
        <v>0</v>
      </c>
      <c r="J358" t="n">
        <v>0</v>
      </c>
      <c r="K358" t="n">
        <v>0</v>
      </c>
      <c r="L358" t="n">
        <v>0</v>
      </c>
      <c r="M358" t="n">
        <v>0</v>
      </c>
      <c r="N358" t="n">
        <v>0</v>
      </c>
      <c r="O358" t="n">
        <v>0</v>
      </c>
      <c r="P358" t="n">
        <v>0</v>
      </c>
      <c r="Q358" t="n">
        <v>0</v>
      </c>
      <c r="R358" s="2" t="inlineStr"/>
    </row>
    <row r="359" ht="15" customHeight="1">
      <c r="A359" t="inlineStr">
        <is>
          <t>A 58993-2022</t>
        </is>
      </c>
      <c r="B359" s="1" t="n">
        <v>44903</v>
      </c>
      <c r="C359" s="1" t="n">
        <v>46047</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28900-2022</t>
        </is>
      </c>
      <c r="B360" s="1" t="n">
        <v>44749.55258101852</v>
      </c>
      <c r="C360" s="1" t="n">
        <v>46047</v>
      </c>
      <c r="D360" t="inlineStr">
        <is>
          <t>STOCKHOLMS LÄN</t>
        </is>
      </c>
      <c r="E360" t="inlineStr">
        <is>
          <t>NORRTÄLJE</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17574-2025</t>
        </is>
      </c>
      <c r="B361" s="1" t="n">
        <v>45757.65178240741</v>
      </c>
      <c r="C361" s="1" t="n">
        <v>46047</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20790-2025</t>
        </is>
      </c>
      <c r="B362" s="1" t="n">
        <v>45776.62563657408</v>
      </c>
      <c r="C362" s="1" t="n">
        <v>46047</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20699-2025</t>
        </is>
      </c>
      <c r="B363" s="1" t="n">
        <v>45776.47346064815</v>
      </c>
      <c r="C363" s="1" t="n">
        <v>46047</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3152-2024</t>
        </is>
      </c>
      <c r="B364" s="1" t="n">
        <v>45316.60306712963</v>
      </c>
      <c r="C364" s="1" t="n">
        <v>46047</v>
      </c>
      <c r="D364" t="inlineStr">
        <is>
          <t>STOCKHOLMS LÄN</t>
        </is>
      </c>
      <c r="E364" t="inlineStr">
        <is>
          <t>NORRTÄLJE</t>
        </is>
      </c>
      <c r="G364" t="n">
        <v>7.9</v>
      </c>
      <c r="H364" t="n">
        <v>0</v>
      </c>
      <c r="I364" t="n">
        <v>0</v>
      </c>
      <c r="J364" t="n">
        <v>0</v>
      </c>
      <c r="K364" t="n">
        <v>0</v>
      </c>
      <c r="L364" t="n">
        <v>0</v>
      </c>
      <c r="M364" t="n">
        <v>0</v>
      </c>
      <c r="N364" t="n">
        <v>0</v>
      </c>
      <c r="O364" t="n">
        <v>0</v>
      </c>
      <c r="P364" t="n">
        <v>0</v>
      </c>
      <c r="Q364" t="n">
        <v>0</v>
      </c>
      <c r="R364" s="2" t="inlineStr"/>
    </row>
    <row r="365" ht="15" customHeight="1">
      <c r="A365" t="inlineStr">
        <is>
          <t>A 59326-2023</t>
        </is>
      </c>
      <c r="B365" s="1" t="n">
        <v>45253.63089120371</v>
      </c>
      <c r="C365" s="1" t="n">
        <v>46047</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44836-2023</t>
        </is>
      </c>
      <c r="B366" s="1" t="n">
        <v>45190.55609953704</v>
      </c>
      <c r="C366" s="1" t="n">
        <v>46047</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19982-2022</t>
        </is>
      </c>
      <c r="B367" s="1" t="n">
        <v>44697</v>
      </c>
      <c r="C367" s="1" t="n">
        <v>46047</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20779-2025</t>
        </is>
      </c>
      <c r="B368" s="1" t="n">
        <v>45776.59871527777</v>
      </c>
      <c r="C368" s="1" t="n">
        <v>46047</v>
      </c>
      <c r="D368" t="inlineStr">
        <is>
          <t>STOCKHOLMS LÄN</t>
        </is>
      </c>
      <c r="E368" t="inlineStr">
        <is>
          <t>NORRTÄLJE</t>
        </is>
      </c>
      <c r="G368" t="n">
        <v>6.9</v>
      </c>
      <c r="H368" t="n">
        <v>0</v>
      </c>
      <c r="I368" t="n">
        <v>0</v>
      </c>
      <c r="J368" t="n">
        <v>0</v>
      </c>
      <c r="K368" t="n">
        <v>0</v>
      </c>
      <c r="L368" t="n">
        <v>0</v>
      </c>
      <c r="M368" t="n">
        <v>0</v>
      </c>
      <c r="N368" t="n">
        <v>0</v>
      </c>
      <c r="O368" t="n">
        <v>0</v>
      </c>
      <c r="P368" t="n">
        <v>0</v>
      </c>
      <c r="Q368" t="n">
        <v>0</v>
      </c>
      <c r="R368" s="2" t="inlineStr"/>
    </row>
    <row r="369" ht="15" customHeight="1">
      <c r="A369" t="inlineStr">
        <is>
          <t>A 42075-2023</t>
        </is>
      </c>
      <c r="B369" s="1" t="n">
        <v>45177</v>
      </c>
      <c r="C369" s="1" t="n">
        <v>46047</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50108-2021</t>
        </is>
      </c>
      <c r="B370" s="1" t="n">
        <v>44456</v>
      </c>
      <c r="C370" s="1" t="n">
        <v>46047</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58297-2023</t>
        </is>
      </c>
      <c r="B371" s="1" t="n">
        <v>45245</v>
      </c>
      <c r="C371" s="1" t="n">
        <v>46047</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20304-2023</t>
        </is>
      </c>
      <c r="B372" s="1" t="n">
        <v>45056</v>
      </c>
      <c r="C372" s="1" t="n">
        <v>46047</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12299-2025</t>
        </is>
      </c>
      <c r="B373" s="1" t="n">
        <v>45729.71065972222</v>
      </c>
      <c r="C373" s="1" t="n">
        <v>46047</v>
      </c>
      <c r="D373" t="inlineStr">
        <is>
          <t>STOCKHOLMS LÄN</t>
        </is>
      </c>
      <c r="E373" t="inlineStr">
        <is>
          <t>NORRTÄLJE</t>
        </is>
      </c>
      <c r="F373" t="inlineStr">
        <is>
          <t>Holmen skog AB</t>
        </is>
      </c>
      <c r="G373" t="n">
        <v>6.9</v>
      </c>
      <c r="H373" t="n">
        <v>0</v>
      </c>
      <c r="I373" t="n">
        <v>0</v>
      </c>
      <c r="J373" t="n">
        <v>0</v>
      </c>
      <c r="K373" t="n">
        <v>0</v>
      </c>
      <c r="L373" t="n">
        <v>0</v>
      </c>
      <c r="M373" t="n">
        <v>0</v>
      </c>
      <c r="N373" t="n">
        <v>0</v>
      </c>
      <c r="O373" t="n">
        <v>0</v>
      </c>
      <c r="P373" t="n">
        <v>0</v>
      </c>
      <c r="Q373" t="n">
        <v>0</v>
      </c>
      <c r="R373" s="2" t="inlineStr"/>
    </row>
    <row r="374" ht="15" customHeight="1">
      <c r="A374" t="inlineStr">
        <is>
          <t>A 22157-2023</t>
        </is>
      </c>
      <c r="B374" s="1" t="n">
        <v>45069</v>
      </c>
      <c r="C374" s="1" t="n">
        <v>46047</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c r="U374">
        <f>HYPERLINK("https://klasma.github.io/Logging_0188/knärot/A 22157-2023 karta knärot.png", "A 22157-2023")</f>
        <v/>
      </c>
      <c r="V374">
        <f>HYPERLINK("https://klasma.github.io/Logging_0188/klagomål/A 22157-2023 FSC-klagomål.docx", "A 22157-2023")</f>
        <v/>
      </c>
      <c r="W374">
        <f>HYPERLINK("https://klasma.github.io/Logging_0188/klagomålsmail/A 22157-2023 FSC-klagomål mail.docx", "A 22157-2023")</f>
        <v/>
      </c>
      <c r="X374">
        <f>HYPERLINK("https://klasma.github.io/Logging_0188/tillsyn/A 22157-2023 tillsynsbegäran.docx", "A 22157-2023")</f>
        <v/>
      </c>
      <c r="Y374">
        <f>HYPERLINK("https://klasma.github.io/Logging_0188/tillsynsmail/A 22157-2023 tillsynsbegäran mail.docx", "A 22157-2023")</f>
        <v/>
      </c>
    </row>
    <row r="375" ht="15" customHeight="1">
      <c r="A375" t="inlineStr">
        <is>
          <t>A 21771-2025</t>
        </is>
      </c>
      <c r="B375" s="1" t="n">
        <v>45783</v>
      </c>
      <c r="C375" s="1" t="n">
        <v>46047</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50355-2024</t>
        </is>
      </c>
      <c r="B376" s="1" t="n">
        <v>45600.86128472222</v>
      </c>
      <c r="C376" s="1" t="n">
        <v>46047</v>
      </c>
      <c r="D376" t="inlineStr">
        <is>
          <t>STOCKHOLMS LÄN</t>
        </is>
      </c>
      <c r="E376" t="inlineStr">
        <is>
          <t>NORRTÄLJE</t>
        </is>
      </c>
      <c r="F376" t="inlineStr">
        <is>
          <t>Kommuner</t>
        </is>
      </c>
      <c r="G376" t="n">
        <v>1</v>
      </c>
      <c r="H376" t="n">
        <v>0</v>
      </c>
      <c r="I376" t="n">
        <v>0</v>
      </c>
      <c r="J376" t="n">
        <v>0</v>
      </c>
      <c r="K376" t="n">
        <v>0</v>
      </c>
      <c r="L376" t="n">
        <v>0</v>
      </c>
      <c r="M376" t="n">
        <v>0</v>
      </c>
      <c r="N376" t="n">
        <v>0</v>
      </c>
      <c r="O376" t="n">
        <v>0</v>
      </c>
      <c r="P376" t="n">
        <v>0</v>
      </c>
      <c r="Q376" t="n">
        <v>0</v>
      </c>
      <c r="R376" s="2" t="inlineStr"/>
    </row>
    <row r="377" ht="15" customHeight="1">
      <c r="A377" t="inlineStr">
        <is>
          <t>A 11929-2024</t>
        </is>
      </c>
      <c r="B377" s="1" t="n">
        <v>45376.64532407407</v>
      </c>
      <c r="C377" s="1" t="n">
        <v>46047</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44917-2022</t>
        </is>
      </c>
      <c r="B378" s="1" t="n">
        <v>44841.52804398148</v>
      </c>
      <c r="C378" s="1" t="n">
        <v>46047</v>
      </c>
      <c r="D378" t="inlineStr">
        <is>
          <t>STOCKHOLMS LÄN</t>
        </is>
      </c>
      <c r="E378" t="inlineStr">
        <is>
          <t>NORRTÄLJE</t>
        </is>
      </c>
      <c r="F378" t="inlineStr">
        <is>
          <t>Holmen skog AB</t>
        </is>
      </c>
      <c r="G378" t="n">
        <v>3.3</v>
      </c>
      <c r="H378" t="n">
        <v>0</v>
      </c>
      <c r="I378" t="n">
        <v>0</v>
      </c>
      <c r="J378" t="n">
        <v>0</v>
      </c>
      <c r="K378" t="n">
        <v>0</v>
      </c>
      <c r="L378" t="n">
        <v>0</v>
      </c>
      <c r="M378" t="n">
        <v>0</v>
      </c>
      <c r="N378" t="n">
        <v>0</v>
      </c>
      <c r="O378" t="n">
        <v>0</v>
      </c>
      <c r="P378" t="n">
        <v>0</v>
      </c>
      <c r="Q378" t="n">
        <v>0</v>
      </c>
      <c r="R378" s="2" t="inlineStr"/>
    </row>
    <row r="379" ht="15" customHeight="1">
      <c r="A379" t="inlineStr">
        <is>
          <t>A 21778-2025</t>
        </is>
      </c>
      <c r="B379" s="1" t="n">
        <v>45783.66429398148</v>
      </c>
      <c r="C379" s="1" t="n">
        <v>46047</v>
      </c>
      <c r="D379" t="inlineStr">
        <is>
          <t>STOCKHOLMS LÄN</t>
        </is>
      </c>
      <c r="E379" t="inlineStr">
        <is>
          <t>NORRTÄLJE</t>
        </is>
      </c>
      <c r="G379" t="n">
        <v>2</v>
      </c>
      <c r="H379" t="n">
        <v>0</v>
      </c>
      <c r="I379" t="n">
        <v>0</v>
      </c>
      <c r="J379" t="n">
        <v>0</v>
      </c>
      <c r="K379" t="n">
        <v>0</v>
      </c>
      <c r="L379" t="n">
        <v>0</v>
      </c>
      <c r="M379" t="n">
        <v>0</v>
      </c>
      <c r="N379" t="n">
        <v>0</v>
      </c>
      <c r="O379" t="n">
        <v>0</v>
      </c>
      <c r="P379" t="n">
        <v>0</v>
      </c>
      <c r="Q379" t="n">
        <v>0</v>
      </c>
      <c r="R379" s="2" t="inlineStr"/>
    </row>
    <row r="380" ht="15" customHeight="1">
      <c r="A380" t="inlineStr">
        <is>
          <t>A 55058-2021</t>
        </is>
      </c>
      <c r="B380" s="1" t="n">
        <v>44474.62141203704</v>
      </c>
      <c r="C380" s="1" t="n">
        <v>46047</v>
      </c>
      <c r="D380" t="inlineStr">
        <is>
          <t>STOCKHOLMS LÄN</t>
        </is>
      </c>
      <c r="E380" t="inlineStr">
        <is>
          <t>NORRTÄLJE</t>
        </is>
      </c>
      <c r="G380" t="n">
        <v>1.9</v>
      </c>
      <c r="H380" t="n">
        <v>0</v>
      </c>
      <c r="I380" t="n">
        <v>0</v>
      </c>
      <c r="J380" t="n">
        <v>0</v>
      </c>
      <c r="K380" t="n">
        <v>0</v>
      </c>
      <c r="L380" t="n">
        <v>0</v>
      </c>
      <c r="M380" t="n">
        <v>0</v>
      </c>
      <c r="N380" t="n">
        <v>0</v>
      </c>
      <c r="O380" t="n">
        <v>0</v>
      </c>
      <c r="P380" t="n">
        <v>0</v>
      </c>
      <c r="Q380" t="n">
        <v>0</v>
      </c>
      <c r="R380" s="2" t="inlineStr"/>
    </row>
    <row r="381" ht="15" customHeight="1">
      <c r="A381" t="inlineStr">
        <is>
          <t>A 55012-2024</t>
        </is>
      </c>
      <c r="B381" s="1" t="n">
        <v>45621.34813657407</v>
      </c>
      <c r="C381" s="1" t="n">
        <v>46047</v>
      </c>
      <c r="D381" t="inlineStr">
        <is>
          <t>STOCKHOLMS LÄN</t>
        </is>
      </c>
      <c r="E381" t="inlineStr">
        <is>
          <t>NORRTÄLJE</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34391-2023</t>
        </is>
      </c>
      <c r="B382" s="1" t="n">
        <v>45139.51457175926</v>
      </c>
      <c r="C382" s="1" t="n">
        <v>46047</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8296-2023</t>
        </is>
      </c>
      <c r="B383" s="1" t="n">
        <v>44974</v>
      </c>
      <c r="C383" s="1" t="n">
        <v>46047</v>
      </c>
      <c r="D383" t="inlineStr">
        <is>
          <t>STOCKHOLMS LÄN</t>
        </is>
      </c>
      <c r="E383" t="inlineStr">
        <is>
          <t>NORRTÄLJE</t>
        </is>
      </c>
      <c r="G383" t="n">
        <v>3.8</v>
      </c>
      <c r="H383" t="n">
        <v>0</v>
      </c>
      <c r="I383" t="n">
        <v>0</v>
      </c>
      <c r="J383" t="n">
        <v>0</v>
      </c>
      <c r="K383" t="n">
        <v>0</v>
      </c>
      <c r="L383" t="n">
        <v>0</v>
      </c>
      <c r="M383" t="n">
        <v>0</v>
      </c>
      <c r="N383" t="n">
        <v>0</v>
      </c>
      <c r="O383" t="n">
        <v>0</v>
      </c>
      <c r="P383" t="n">
        <v>0</v>
      </c>
      <c r="Q383" t="n">
        <v>0</v>
      </c>
      <c r="R383" s="2" t="inlineStr"/>
    </row>
    <row r="384" ht="15" customHeight="1">
      <c r="A384" t="inlineStr">
        <is>
          <t>A 24575-2024</t>
        </is>
      </c>
      <c r="B384" s="1" t="n">
        <v>45460.45523148148</v>
      </c>
      <c r="C384" s="1" t="n">
        <v>46047</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64899-2023</t>
        </is>
      </c>
      <c r="B385" s="1" t="n">
        <v>45282</v>
      </c>
      <c r="C385" s="1" t="n">
        <v>46047</v>
      </c>
      <c r="D385" t="inlineStr">
        <is>
          <t>STOCKHOLMS LÄN</t>
        </is>
      </c>
      <c r="E385" t="inlineStr">
        <is>
          <t>NORRTÄLJE</t>
        </is>
      </c>
      <c r="G385" t="n">
        <v>6.3</v>
      </c>
      <c r="H385" t="n">
        <v>0</v>
      </c>
      <c r="I385" t="n">
        <v>0</v>
      </c>
      <c r="J385" t="n">
        <v>0</v>
      </c>
      <c r="K385" t="n">
        <v>0</v>
      </c>
      <c r="L385" t="n">
        <v>0</v>
      </c>
      <c r="M385" t="n">
        <v>0</v>
      </c>
      <c r="N385" t="n">
        <v>0</v>
      </c>
      <c r="O385" t="n">
        <v>0</v>
      </c>
      <c r="P385" t="n">
        <v>0</v>
      </c>
      <c r="Q385" t="n">
        <v>0</v>
      </c>
      <c r="R385" s="2" t="inlineStr"/>
    </row>
    <row r="386" ht="15" customHeight="1">
      <c r="A386" t="inlineStr">
        <is>
          <t>A 22202-2025</t>
        </is>
      </c>
      <c r="B386" s="1" t="n">
        <v>45785.65300925926</v>
      </c>
      <c r="C386" s="1" t="n">
        <v>46047</v>
      </c>
      <c r="D386" t="inlineStr">
        <is>
          <t>STOCKHOLMS LÄN</t>
        </is>
      </c>
      <c r="E386" t="inlineStr">
        <is>
          <t>NORRTÄLJE</t>
        </is>
      </c>
      <c r="G386" t="n">
        <v>10.2</v>
      </c>
      <c r="H386" t="n">
        <v>0</v>
      </c>
      <c r="I386" t="n">
        <v>0</v>
      </c>
      <c r="J386" t="n">
        <v>0</v>
      </c>
      <c r="K386" t="n">
        <v>0</v>
      </c>
      <c r="L386" t="n">
        <v>0</v>
      </c>
      <c r="M386" t="n">
        <v>0</v>
      </c>
      <c r="N386" t="n">
        <v>0</v>
      </c>
      <c r="O386" t="n">
        <v>0</v>
      </c>
      <c r="P386" t="n">
        <v>0</v>
      </c>
      <c r="Q386" t="n">
        <v>0</v>
      </c>
      <c r="R386" s="2" t="inlineStr"/>
    </row>
    <row r="387" ht="15" customHeight="1">
      <c r="A387" t="inlineStr">
        <is>
          <t>A 52593-2024</t>
        </is>
      </c>
      <c r="B387" s="1" t="n">
        <v>45609.70778935185</v>
      </c>
      <c r="C387" s="1" t="n">
        <v>46047</v>
      </c>
      <c r="D387" t="inlineStr">
        <is>
          <t>STOCKHOLMS LÄN</t>
        </is>
      </c>
      <c r="E387" t="inlineStr">
        <is>
          <t>NORRTÄLJE</t>
        </is>
      </c>
      <c r="F387" t="inlineStr">
        <is>
          <t>Holmen skog AB</t>
        </is>
      </c>
      <c r="G387" t="n">
        <v>2.4</v>
      </c>
      <c r="H387" t="n">
        <v>0</v>
      </c>
      <c r="I387" t="n">
        <v>0</v>
      </c>
      <c r="J387" t="n">
        <v>0</v>
      </c>
      <c r="K387" t="n">
        <v>0</v>
      </c>
      <c r="L387" t="n">
        <v>0</v>
      </c>
      <c r="M387" t="n">
        <v>0</v>
      </c>
      <c r="N387" t="n">
        <v>0</v>
      </c>
      <c r="O387" t="n">
        <v>0</v>
      </c>
      <c r="P387" t="n">
        <v>0</v>
      </c>
      <c r="Q387" t="n">
        <v>0</v>
      </c>
      <c r="R387" s="2" t="inlineStr"/>
    </row>
    <row r="388" ht="15" customHeight="1">
      <c r="A388" t="inlineStr">
        <is>
          <t>A 52617-2024</t>
        </is>
      </c>
      <c r="B388" s="1" t="n">
        <v>45609.85146990741</v>
      </c>
      <c r="C388" s="1" t="n">
        <v>46047</v>
      </c>
      <c r="D388" t="inlineStr">
        <is>
          <t>STOCKHOLMS LÄN</t>
        </is>
      </c>
      <c r="E388" t="inlineStr">
        <is>
          <t>NORRTÄLJE</t>
        </is>
      </c>
      <c r="G388" t="n">
        <v>0.8</v>
      </c>
      <c r="H388" t="n">
        <v>0</v>
      </c>
      <c r="I388" t="n">
        <v>0</v>
      </c>
      <c r="J388" t="n">
        <v>0</v>
      </c>
      <c r="K388" t="n">
        <v>0</v>
      </c>
      <c r="L388" t="n">
        <v>0</v>
      </c>
      <c r="M388" t="n">
        <v>0</v>
      </c>
      <c r="N388" t="n">
        <v>0</v>
      </c>
      <c r="O388" t="n">
        <v>0</v>
      </c>
      <c r="P388" t="n">
        <v>0</v>
      </c>
      <c r="Q388" t="n">
        <v>0</v>
      </c>
      <c r="R388" s="2" t="inlineStr"/>
    </row>
    <row r="389" ht="15" customHeight="1">
      <c r="A389" t="inlineStr">
        <is>
          <t>A 7413-2024</t>
        </is>
      </c>
      <c r="B389" s="1" t="n">
        <v>45345.6059837963</v>
      </c>
      <c r="C389" s="1" t="n">
        <v>46047</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12251-2025</t>
        </is>
      </c>
      <c r="B390" s="1" t="n">
        <v>45729.60859953704</v>
      </c>
      <c r="C390" s="1" t="n">
        <v>46047</v>
      </c>
      <c r="D390" t="inlineStr">
        <is>
          <t>STOCKHOLMS LÄN</t>
        </is>
      </c>
      <c r="E390" t="inlineStr">
        <is>
          <t>NORRTÄLJE</t>
        </is>
      </c>
      <c r="F390" t="inlineStr">
        <is>
          <t>Holmen skog AB</t>
        </is>
      </c>
      <c r="G390" t="n">
        <v>5.9</v>
      </c>
      <c r="H390" t="n">
        <v>0</v>
      </c>
      <c r="I390" t="n">
        <v>0</v>
      </c>
      <c r="J390" t="n">
        <v>0</v>
      </c>
      <c r="K390" t="n">
        <v>0</v>
      </c>
      <c r="L390" t="n">
        <v>0</v>
      </c>
      <c r="M390" t="n">
        <v>0</v>
      </c>
      <c r="N390" t="n">
        <v>0</v>
      </c>
      <c r="O390" t="n">
        <v>0</v>
      </c>
      <c r="P390" t="n">
        <v>0</v>
      </c>
      <c r="Q390" t="n">
        <v>0</v>
      </c>
      <c r="R390" s="2" t="inlineStr"/>
    </row>
    <row r="391" ht="15" customHeight="1">
      <c r="A391" t="inlineStr">
        <is>
          <t>A 58863-2024</t>
        </is>
      </c>
      <c r="B391" s="1" t="n">
        <v>45636.41572916666</v>
      </c>
      <c r="C391" s="1" t="n">
        <v>46047</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50154-2024</t>
        </is>
      </c>
      <c r="B392" s="1" t="n">
        <v>45600.4558912037</v>
      </c>
      <c r="C392" s="1" t="n">
        <v>46047</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16620-2024</t>
        </is>
      </c>
      <c r="B393" s="1" t="n">
        <v>45408.57707175926</v>
      </c>
      <c r="C393" s="1" t="n">
        <v>46047</v>
      </c>
      <c r="D393" t="inlineStr">
        <is>
          <t>STOCKHOLMS LÄN</t>
        </is>
      </c>
      <c r="E393" t="inlineStr">
        <is>
          <t>NORRTÄLJE</t>
        </is>
      </c>
      <c r="G393" t="n">
        <v>2.7</v>
      </c>
      <c r="H393" t="n">
        <v>0</v>
      </c>
      <c r="I393" t="n">
        <v>0</v>
      </c>
      <c r="J393" t="n">
        <v>0</v>
      </c>
      <c r="K393" t="n">
        <v>0</v>
      </c>
      <c r="L393" t="n">
        <v>0</v>
      </c>
      <c r="M393" t="n">
        <v>0</v>
      </c>
      <c r="N393" t="n">
        <v>0</v>
      </c>
      <c r="O393" t="n">
        <v>0</v>
      </c>
      <c r="P393" t="n">
        <v>0</v>
      </c>
      <c r="Q393" t="n">
        <v>0</v>
      </c>
      <c r="R393" s="2" t="inlineStr"/>
    </row>
    <row r="394" ht="15" customHeight="1">
      <c r="A394" t="inlineStr">
        <is>
          <t>A 11900-2024</t>
        </is>
      </c>
      <c r="B394" s="1" t="n">
        <v>45376.55484953704</v>
      </c>
      <c r="C394" s="1" t="n">
        <v>46047</v>
      </c>
      <c r="D394" t="inlineStr">
        <is>
          <t>STOCKHOLMS LÄN</t>
        </is>
      </c>
      <c r="E394" t="inlineStr">
        <is>
          <t>NORRTÄLJE</t>
        </is>
      </c>
      <c r="G394" t="n">
        <v>4.2</v>
      </c>
      <c r="H394" t="n">
        <v>0</v>
      </c>
      <c r="I394" t="n">
        <v>0</v>
      </c>
      <c r="J394" t="n">
        <v>0</v>
      </c>
      <c r="K394" t="n">
        <v>0</v>
      </c>
      <c r="L394" t="n">
        <v>0</v>
      </c>
      <c r="M394" t="n">
        <v>0</v>
      </c>
      <c r="N394" t="n">
        <v>0</v>
      </c>
      <c r="O394" t="n">
        <v>0</v>
      </c>
      <c r="P394" t="n">
        <v>0</v>
      </c>
      <c r="Q394" t="n">
        <v>0</v>
      </c>
      <c r="R394" s="2" t="inlineStr"/>
    </row>
    <row r="395" ht="15" customHeight="1">
      <c r="A395" t="inlineStr">
        <is>
          <t>A 22816-2021</t>
        </is>
      </c>
      <c r="B395" s="1" t="n">
        <v>44325</v>
      </c>
      <c r="C395" s="1" t="n">
        <v>46047</v>
      </c>
      <c r="D395" t="inlineStr">
        <is>
          <t>STOCKHOLMS LÄN</t>
        </is>
      </c>
      <c r="E395" t="inlineStr">
        <is>
          <t>NORRTÄLJE</t>
        </is>
      </c>
      <c r="G395" t="n">
        <v>4.5</v>
      </c>
      <c r="H395" t="n">
        <v>0</v>
      </c>
      <c r="I395" t="n">
        <v>0</v>
      </c>
      <c r="J395" t="n">
        <v>0</v>
      </c>
      <c r="K395" t="n">
        <v>0</v>
      </c>
      <c r="L395" t="n">
        <v>0</v>
      </c>
      <c r="M395" t="n">
        <v>0</v>
      </c>
      <c r="N395" t="n">
        <v>0</v>
      </c>
      <c r="O395" t="n">
        <v>0</v>
      </c>
      <c r="P395" t="n">
        <v>0</v>
      </c>
      <c r="Q395" t="n">
        <v>0</v>
      </c>
      <c r="R395" s="2" t="inlineStr"/>
    </row>
    <row r="396" ht="15" customHeight="1">
      <c r="A396" t="inlineStr">
        <is>
          <t>A 59904-2023</t>
        </is>
      </c>
      <c r="B396" s="1" t="n">
        <v>45257</v>
      </c>
      <c r="C396" s="1" t="n">
        <v>46047</v>
      </c>
      <c r="D396" t="inlineStr">
        <is>
          <t>STOCKHOLMS LÄN</t>
        </is>
      </c>
      <c r="E396" t="inlineStr">
        <is>
          <t>NORRTÄLJE</t>
        </is>
      </c>
      <c r="G396" t="n">
        <v>17.4</v>
      </c>
      <c r="H396" t="n">
        <v>0</v>
      </c>
      <c r="I396" t="n">
        <v>0</v>
      </c>
      <c r="J396" t="n">
        <v>0</v>
      </c>
      <c r="K396" t="n">
        <v>0</v>
      </c>
      <c r="L396" t="n">
        <v>0</v>
      </c>
      <c r="M396" t="n">
        <v>0</v>
      </c>
      <c r="N396" t="n">
        <v>0</v>
      </c>
      <c r="O396" t="n">
        <v>0</v>
      </c>
      <c r="P396" t="n">
        <v>0</v>
      </c>
      <c r="Q396" t="n">
        <v>0</v>
      </c>
      <c r="R396" s="2" t="inlineStr"/>
    </row>
    <row r="397" ht="15" customHeight="1">
      <c r="A397" t="inlineStr">
        <is>
          <t>A 9914-2023</t>
        </is>
      </c>
      <c r="B397" s="1" t="n">
        <v>44985</v>
      </c>
      <c r="C397" s="1" t="n">
        <v>46047</v>
      </c>
      <c r="D397" t="inlineStr">
        <is>
          <t>STOCKHOLMS LÄN</t>
        </is>
      </c>
      <c r="E397" t="inlineStr">
        <is>
          <t>NORRTÄLJE</t>
        </is>
      </c>
      <c r="G397" t="n">
        <v>4.2</v>
      </c>
      <c r="H397" t="n">
        <v>0</v>
      </c>
      <c r="I397" t="n">
        <v>0</v>
      </c>
      <c r="J397" t="n">
        <v>0</v>
      </c>
      <c r="K397" t="n">
        <v>0</v>
      </c>
      <c r="L397" t="n">
        <v>0</v>
      </c>
      <c r="M397" t="n">
        <v>0</v>
      </c>
      <c r="N397" t="n">
        <v>0</v>
      </c>
      <c r="O397" t="n">
        <v>0</v>
      </c>
      <c r="P397" t="n">
        <v>0</v>
      </c>
      <c r="Q397" t="n">
        <v>0</v>
      </c>
      <c r="R397" s="2" t="inlineStr"/>
    </row>
    <row r="398" ht="15" customHeight="1">
      <c r="A398" t="inlineStr">
        <is>
          <t>A 22416-2025</t>
        </is>
      </c>
      <c r="B398" s="1" t="n">
        <v>45786.55645833333</v>
      </c>
      <c r="C398" s="1" t="n">
        <v>46047</v>
      </c>
      <c r="D398" t="inlineStr">
        <is>
          <t>STOCKHOLMS LÄN</t>
        </is>
      </c>
      <c r="E398" t="inlineStr">
        <is>
          <t>NORRTÄLJE</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11062-2024</t>
        </is>
      </c>
      <c r="B399" s="1" t="n">
        <v>45370</v>
      </c>
      <c r="C399" s="1" t="n">
        <v>46047</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42867-2022</t>
        </is>
      </c>
      <c r="B400" s="1" t="n">
        <v>44832</v>
      </c>
      <c r="C400" s="1" t="n">
        <v>46047</v>
      </c>
      <c r="D400" t="inlineStr">
        <is>
          <t>STOCKHOLMS LÄN</t>
        </is>
      </c>
      <c r="E400" t="inlineStr">
        <is>
          <t>NORRTÄLJE</t>
        </is>
      </c>
      <c r="G400" t="n">
        <v>6.4</v>
      </c>
      <c r="H400" t="n">
        <v>0</v>
      </c>
      <c r="I400" t="n">
        <v>0</v>
      </c>
      <c r="J400" t="n">
        <v>0</v>
      </c>
      <c r="K400" t="n">
        <v>0</v>
      </c>
      <c r="L400" t="n">
        <v>0</v>
      </c>
      <c r="M400" t="n">
        <v>0</v>
      </c>
      <c r="N400" t="n">
        <v>0</v>
      </c>
      <c r="O400" t="n">
        <v>0</v>
      </c>
      <c r="P400" t="n">
        <v>0</v>
      </c>
      <c r="Q400" t="n">
        <v>0</v>
      </c>
      <c r="R400" s="2" t="inlineStr"/>
    </row>
    <row r="401" ht="15" customHeight="1">
      <c r="A401" t="inlineStr">
        <is>
          <t>A 58785-2024</t>
        </is>
      </c>
      <c r="B401" s="1" t="n">
        <v>45635.88849537037</v>
      </c>
      <c r="C401" s="1" t="n">
        <v>46047</v>
      </c>
      <c r="D401" t="inlineStr">
        <is>
          <t>STOCKHOLMS LÄN</t>
        </is>
      </c>
      <c r="E401" t="inlineStr">
        <is>
          <t>NORRTÄLJE</t>
        </is>
      </c>
      <c r="G401" t="n">
        <v>3.3</v>
      </c>
      <c r="H401" t="n">
        <v>0</v>
      </c>
      <c r="I401" t="n">
        <v>0</v>
      </c>
      <c r="J401" t="n">
        <v>0</v>
      </c>
      <c r="K401" t="n">
        <v>0</v>
      </c>
      <c r="L401" t="n">
        <v>0</v>
      </c>
      <c r="M401" t="n">
        <v>0</v>
      </c>
      <c r="N401" t="n">
        <v>0</v>
      </c>
      <c r="O401" t="n">
        <v>0</v>
      </c>
      <c r="P401" t="n">
        <v>0</v>
      </c>
      <c r="Q401" t="n">
        <v>0</v>
      </c>
      <c r="R401" s="2" t="inlineStr"/>
    </row>
    <row r="402" ht="15" customHeight="1">
      <c r="A402" t="inlineStr">
        <is>
          <t>A 33569-2023</t>
        </is>
      </c>
      <c r="B402" s="1" t="n">
        <v>45131.666875</v>
      </c>
      <c r="C402" s="1" t="n">
        <v>46047</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2182-2022</t>
        </is>
      </c>
      <c r="B403" s="1" t="n">
        <v>44578</v>
      </c>
      <c r="C403" s="1" t="n">
        <v>46047</v>
      </c>
      <c r="D403" t="inlineStr">
        <is>
          <t>STOCKHOLMS LÄN</t>
        </is>
      </c>
      <c r="E403" t="inlineStr">
        <is>
          <t>NORRTÄLJE</t>
        </is>
      </c>
      <c r="G403" t="n">
        <v>7.2</v>
      </c>
      <c r="H403" t="n">
        <v>0</v>
      </c>
      <c r="I403" t="n">
        <v>0</v>
      </c>
      <c r="J403" t="n">
        <v>0</v>
      </c>
      <c r="K403" t="n">
        <v>0</v>
      </c>
      <c r="L403" t="n">
        <v>0</v>
      </c>
      <c r="M403" t="n">
        <v>0</v>
      </c>
      <c r="N403" t="n">
        <v>0</v>
      </c>
      <c r="O403" t="n">
        <v>0</v>
      </c>
      <c r="P403" t="n">
        <v>0</v>
      </c>
      <c r="Q403" t="n">
        <v>0</v>
      </c>
      <c r="R403" s="2" t="inlineStr"/>
    </row>
    <row r="404" ht="15" customHeight="1">
      <c r="A404" t="inlineStr">
        <is>
          <t>A 13268-2025</t>
        </is>
      </c>
      <c r="B404" s="1" t="n">
        <v>45735</v>
      </c>
      <c r="C404" s="1" t="n">
        <v>46047</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8414-2025</t>
        </is>
      </c>
      <c r="B405" s="1" t="n">
        <v>45709.39361111111</v>
      </c>
      <c r="C405" s="1" t="n">
        <v>46047</v>
      </c>
      <c r="D405" t="inlineStr">
        <is>
          <t>STOCKHOLMS LÄN</t>
        </is>
      </c>
      <c r="E405" t="inlineStr">
        <is>
          <t>NORRTÄLJE</t>
        </is>
      </c>
      <c r="F405" t="inlineStr">
        <is>
          <t>Holmen skog AB</t>
        </is>
      </c>
      <c r="G405" t="n">
        <v>1.2</v>
      </c>
      <c r="H405" t="n">
        <v>0</v>
      </c>
      <c r="I405" t="n">
        <v>0</v>
      </c>
      <c r="J405" t="n">
        <v>0</v>
      </c>
      <c r="K405" t="n">
        <v>0</v>
      </c>
      <c r="L405" t="n">
        <v>0</v>
      </c>
      <c r="M405" t="n">
        <v>0</v>
      </c>
      <c r="N405" t="n">
        <v>0</v>
      </c>
      <c r="O405" t="n">
        <v>0</v>
      </c>
      <c r="P405" t="n">
        <v>0</v>
      </c>
      <c r="Q405" t="n">
        <v>0</v>
      </c>
      <c r="R405" s="2" t="inlineStr"/>
    </row>
    <row r="406" ht="15" customHeight="1">
      <c r="A406" t="inlineStr">
        <is>
          <t>A 15905-2023</t>
        </is>
      </c>
      <c r="B406" s="1" t="n">
        <v>45022</v>
      </c>
      <c r="C406" s="1" t="n">
        <v>46047</v>
      </c>
      <c r="D406" t="inlineStr">
        <is>
          <t>STOCKHOLMS LÄN</t>
        </is>
      </c>
      <c r="E406" t="inlineStr">
        <is>
          <t>NORRTÄLJE</t>
        </is>
      </c>
      <c r="G406" t="n">
        <v>3.2</v>
      </c>
      <c r="H406" t="n">
        <v>0</v>
      </c>
      <c r="I406" t="n">
        <v>0</v>
      </c>
      <c r="J406" t="n">
        <v>0</v>
      </c>
      <c r="K406" t="n">
        <v>0</v>
      </c>
      <c r="L406" t="n">
        <v>0</v>
      </c>
      <c r="M406" t="n">
        <v>0</v>
      </c>
      <c r="N406" t="n">
        <v>0</v>
      </c>
      <c r="O406" t="n">
        <v>0</v>
      </c>
      <c r="P406" t="n">
        <v>0</v>
      </c>
      <c r="Q406" t="n">
        <v>0</v>
      </c>
      <c r="R406" s="2" t="inlineStr"/>
    </row>
    <row r="407" ht="15" customHeight="1">
      <c r="A407" t="inlineStr">
        <is>
          <t>A 23749-2024</t>
        </is>
      </c>
      <c r="B407" s="1" t="n">
        <v>45455.33037037037</v>
      </c>
      <c r="C407" s="1" t="n">
        <v>46047</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36625-2024</t>
        </is>
      </c>
      <c r="B408" s="1" t="n">
        <v>45537</v>
      </c>
      <c r="C408" s="1" t="n">
        <v>46047</v>
      </c>
      <c r="D408" t="inlineStr">
        <is>
          <t>STOCKHOLMS LÄN</t>
        </is>
      </c>
      <c r="E408" t="inlineStr">
        <is>
          <t>NORRTÄLJE</t>
        </is>
      </c>
      <c r="G408" t="n">
        <v>3.8</v>
      </c>
      <c r="H408" t="n">
        <v>0</v>
      </c>
      <c r="I408" t="n">
        <v>0</v>
      </c>
      <c r="J408" t="n">
        <v>0</v>
      </c>
      <c r="K408" t="n">
        <v>0</v>
      </c>
      <c r="L408" t="n">
        <v>0</v>
      </c>
      <c r="M408" t="n">
        <v>0</v>
      </c>
      <c r="N408" t="n">
        <v>0</v>
      </c>
      <c r="O408" t="n">
        <v>0</v>
      </c>
      <c r="P408" t="n">
        <v>0</v>
      </c>
      <c r="Q408" t="n">
        <v>0</v>
      </c>
      <c r="R408" s="2" t="inlineStr"/>
    </row>
    <row r="409" ht="15" customHeight="1">
      <c r="A409" t="inlineStr">
        <is>
          <t>A 58277-2023</t>
        </is>
      </c>
      <c r="B409" s="1" t="n">
        <v>45245</v>
      </c>
      <c r="C409" s="1" t="n">
        <v>46047</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44891-2023</t>
        </is>
      </c>
      <c r="B410" s="1" t="n">
        <v>45187</v>
      </c>
      <c r="C410" s="1" t="n">
        <v>46047</v>
      </c>
      <c r="D410" t="inlineStr">
        <is>
          <t>STOCKHOLMS LÄN</t>
        </is>
      </c>
      <c r="E410" t="inlineStr">
        <is>
          <t>NORRTÄLJE</t>
        </is>
      </c>
      <c r="G410" t="n">
        <v>15</v>
      </c>
      <c r="H410" t="n">
        <v>0</v>
      </c>
      <c r="I410" t="n">
        <v>0</v>
      </c>
      <c r="J410" t="n">
        <v>0</v>
      </c>
      <c r="K410" t="n">
        <v>0</v>
      </c>
      <c r="L410" t="n">
        <v>0</v>
      </c>
      <c r="M410" t="n">
        <v>0</v>
      </c>
      <c r="N410" t="n">
        <v>0</v>
      </c>
      <c r="O410" t="n">
        <v>0</v>
      </c>
      <c r="P410" t="n">
        <v>0</v>
      </c>
      <c r="Q410" t="n">
        <v>0</v>
      </c>
      <c r="R410" s="2" t="inlineStr"/>
    </row>
    <row r="411" ht="15" customHeight="1">
      <c r="A411" t="inlineStr">
        <is>
          <t>A 12902-2024</t>
        </is>
      </c>
      <c r="B411" s="1" t="n">
        <v>45385.38146990741</v>
      </c>
      <c r="C411" s="1" t="n">
        <v>46047</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44032-2024</t>
        </is>
      </c>
      <c r="B412" s="1" t="n">
        <v>45572.57828703704</v>
      </c>
      <c r="C412" s="1" t="n">
        <v>46047</v>
      </c>
      <c r="D412" t="inlineStr">
        <is>
          <t>STOCKHOLMS LÄN</t>
        </is>
      </c>
      <c r="E412" t="inlineStr">
        <is>
          <t>NORRTÄLJE</t>
        </is>
      </c>
      <c r="G412" t="n">
        <v>8.6</v>
      </c>
      <c r="H412" t="n">
        <v>0</v>
      </c>
      <c r="I412" t="n">
        <v>0</v>
      </c>
      <c r="J412" t="n">
        <v>0</v>
      </c>
      <c r="K412" t="n">
        <v>0</v>
      </c>
      <c r="L412" t="n">
        <v>0</v>
      </c>
      <c r="M412" t="n">
        <v>0</v>
      </c>
      <c r="N412" t="n">
        <v>0</v>
      </c>
      <c r="O412" t="n">
        <v>0</v>
      </c>
      <c r="P412" t="n">
        <v>0</v>
      </c>
      <c r="Q412" t="n">
        <v>0</v>
      </c>
      <c r="R412" s="2" t="inlineStr"/>
    </row>
    <row r="413" ht="15" customHeight="1">
      <c r="A413" t="inlineStr">
        <is>
          <t>A 24563-2024</t>
        </is>
      </c>
      <c r="B413" s="1" t="n">
        <v>45460.44347222222</v>
      </c>
      <c r="C413" s="1" t="n">
        <v>46047</v>
      </c>
      <c r="D413" t="inlineStr">
        <is>
          <t>STOCKHOLMS LÄN</t>
        </is>
      </c>
      <c r="E413" t="inlineStr">
        <is>
          <t>NORRTÄLJE</t>
        </is>
      </c>
      <c r="G413" t="n">
        <v>1.9</v>
      </c>
      <c r="H413" t="n">
        <v>0</v>
      </c>
      <c r="I413" t="n">
        <v>0</v>
      </c>
      <c r="J413" t="n">
        <v>0</v>
      </c>
      <c r="K413" t="n">
        <v>0</v>
      </c>
      <c r="L413" t="n">
        <v>0</v>
      </c>
      <c r="M413" t="n">
        <v>0</v>
      </c>
      <c r="N413" t="n">
        <v>0</v>
      </c>
      <c r="O413" t="n">
        <v>0</v>
      </c>
      <c r="P413" t="n">
        <v>0</v>
      </c>
      <c r="Q413" t="n">
        <v>0</v>
      </c>
      <c r="R413" s="2" t="inlineStr"/>
    </row>
    <row r="414" ht="15" customHeight="1">
      <c r="A414" t="inlineStr">
        <is>
          <t>A 39237-2024</t>
        </is>
      </c>
      <c r="B414" s="1" t="n">
        <v>45549</v>
      </c>
      <c r="C414" s="1" t="n">
        <v>46047</v>
      </c>
      <c r="D414" t="inlineStr">
        <is>
          <t>STOCKHOLMS LÄN</t>
        </is>
      </c>
      <c r="E414" t="inlineStr">
        <is>
          <t>NORRTÄLJE</t>
        </is>
      </c>
      <c r="G414" t="n">
        <v>13.3</v>
      </c>
      <c r="H414" t="n">
        <v>0</v>
      </c>
      <c r="I414" t="n">
        <v>0</v>
      </c>
      <c r="J414" t="n">
        <v>0</v>
      </c>
      <c r="K414" t="n">
        <v>0</v>
      </c>
      <c r="L414" t="n">
        <v>0</v>
      </c>
      <c r="M414" t="n">
        <v>0</v>
      </c>
      <c r="N414" t="n">
        <v>0</v>
      </c>
      <c r="O414" t="n">
        <v>0</v>
      </c>
      <c r="P414" t="n">
        <v>0</v>
      </c>
      <c r="Q414" t="n">
        <v>0</v>
      </c>
      <c r="R414" s="2" t="inlineStr"/>
    </row>
    <row r="415" ht="15" customHeight="1">
      <c r="A415" t="inlineStr">
        <is>
          <t>A 45746-2024</t>
        </is>
      </c>
      <c r="B415" s="1" t="n">
        <v>45579</v>
      </c>
      <c r="C415" s="1" t="n">
        <v>46047</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8400-2024</t>
        </is>
      </c>
      <c r="B416" s="1" t="n">
        <v>45352.74090277778</v>
      </c>
      <c r="C416" s="1" t="n">
        <v>46047</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15956-2023</t>
        </is>
      </c>
      <c r="B417" s="1" t="n">
        <v>45022.61003472222</v>
      </c>
      <c r="C417" s="1" t="n">
        <v>46047</v>
      </c>
      <c r="D417" t="inlineStr">
        <is>
          <t>STOCKHOLMS LÄN</t>
        </is>
      </c>
      <c r="E417" t="inlineStr">
        <is>
          <t>NORRTÄLJE</t>
        </is>
      </c>
      <c r="G417" t="n">
        <v>2.3</v>
      </c>
      <c r="H417" t="n">
        <v>0</v>
      </c>
      <c r="I417" t="n">
        <v>0</v>
      </c>
      <c r="J417" t="n">
        <v>0</v>
      </c>
      <c r="K417" t="n">
        <v>0</v>
      </c>
      <c r="L417" t="n">
        <v>0</v>
      </c>
      <c r="M417" t="n">
        <v>0</v>
      </c>
      <c r="N417" t="n">
        <v>0</v>
      </c>
      <c r="O417" t="n">
        <v>0</v>
      </c>
      <c r="P417" t="n">
        <v>0</v>
      </c>
      <c r="Q417" t="n">
        <v>0</v>
      </c>
      <c r="R417" s="2" t="inlineStr"/>
    </row>
    <row r="418" ht="15" customHeight="1">
      <c r="A418" t="inlineStr">
        <is>
          <t>A 67921-2021</t>
        </is>
      </c>
      <c r="B418" s="1" t="n">
        <v>44525</v>
      </c>
      <c r="C418" s="1" t="n">
        <v>46047</v>
      </c>
      <c r="D418" t="inlineStr">
        <is>
          <t>STOCKHOLMS LÄN</t>
        </is>
      </c>
      <c r="E418" t="inlineStr">
        <is>
          <t>NORRTÄLJE</t>
        </is>
      </c>
      <c r="G418" t="n">
        <v>6.3</v>
      </c>
      <c r="H418" t="n">
        <v>0</v>
      </c>
      <c r="I418" t="n">
        <v>0</v>
      </c>
      <c r="J418" t="n">
        <v>0</v>
      </c>
      <c r="K418" t="n">
        <v>0</v>
      </c>
      <c r="L418" t="n">
        <v>0</v>
      </c>
      <c r="M418" t="n">
        <v>0</v>
      </c>
      <c r="N418" t="n">
        <v>0</v>
      </c>
      <c r="O418" t="n">
        <v>0</v>
      </c>
      <c r="P418" t="n">
        <v>0</v>
      </c>
      <c r="Q418" t="n">
        <v>0</v>
      </c>
      <c r="R418" s="2" t="inlineStr"/>
    </row>
    <row r="419" ht="15" customHeight="1">
      <c r="A419" t="inlineStr">
        <is>
          <t>A 32705-2022</t>
        </is>
      </c>
      <c r="B419" s="1" t="n">
        <v>44783</v>
      </c>
      <c r="C419" s="1" t="n">
        <v>46047</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47481-2024</t>
        </is>
      </c>
      <c r="B420" s="1" t="n">
        <v>45587</v>
      </c>
      <c r="C420" s="1" t="n">
        <v>46047</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57037-2022</t>
        </is>
      </c>
      <c r="B421" s="1" t="n">
        <v>44895</v>
      </c>
      <c r="C421" s="1" t="n">
        <v>46047</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47626-2022</t>
        </is>
      </c>
      <c r="B422" s="1" t="n">
        <v>44854</v>
      </c>
      <c r="C422" s="1" t="n">
        <v>46047</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25681-2024</t>
        </is>
      </c>
      <c r="B423" s="1" t="n">
        <v>45463.80486111111</v>
      </c>
      <c r="C423" s="1" t="n">
        <v>46047</v>
      </c>
      <c r="D423" t="inlineStr">
        <is>
          <t>STOCKHOLMS LÄN</t>
        </is>
      </c>
      <c r="E423" t="inlineStr">
        <is>
          <t>NORRTÄLJE</t>
        </is>
      </c>
      <c r="G423" t="n">
        <v>2.7</v>
      </c>
      <c r="H423" t="n">
        <v>0</v>
      </c>
      <c r="I423" t="n">
        <v>0</v>
      </c>
      <c r="J423" t="n">
        <v>0</v>
      </c>
      <c r="K423" t="n">
        <v>0</v>
      </c>
      <c r="L423" t="n">
        <v>0</v>
      </c>
      <c r="M423" t="n">
        <v>0</v>
      </c>
      <c r="N423" t="n">
        <v>0</v>
      </c>
      <c r="O423" t="n">
        <v>0</v>
      </c>
      <c r="P423" t="n">
        <v>0</v>
      </c>
      <c r="Q423" t="n">
        <v>0</v>
      </c>
      <c r="R423" s="2" t="inlineStr"/>
    </row>
    <row r="424" ht="15" customHeight="1">
      <c r="A424" t="inlineStr">
        <is>
          <t>A 11940-2023</t>
        </is>
      </c>
      <c r="B424" s="1" t="n">
        <v>44995</v>
      </c>
      <c r="C424" s="1" t="n">
        <v>46047</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62206-2022</t>
        </is>
      </c>
      <c r="B425" s="1" t="n">
        <v>44922</v>
      </c>
      <c r="C425" s="1" t="n">
        <v>46047</v>
      </c>
      <c r="D425" t="inlineStr">
        <is>
          <t>STOCKHOLMS LÄN</t>
        </is>
      </c>
      <c r="E425" t="inlineStr">
        <is>
          <t>NORRTÄLJE</t>
        </is>
      </c>
      <c r="G425" t="n">
        <v>2.9</v>
      </c>
      <c r="H425" t="n">
        <v>0</v>
      </c>
      <c r="I425" t="n">
        <v>0</v>
      </c>
      <c r="J425" t="n">
        <v>0</v>
      </c>
      <c r="K425" t="n">
        <v>0</v>
      </c>
      <c r="L425" t="n">
        <v>0</v>
      </c>
      <c r="M425" t="n">
        <v>0</v>
      </c>
      <c r="N425" t="n">
        <v>0</v>
      </c>
      <c r="O425" t="n">
        <v>0</v>
      </c>
      <c r="P425" t="n">
        <v>0</v>
      </c>
      <c r="Q425" t="n">
        <v>0</v>
      </c>
      <c r="R425" s="2" t="inlineStr"/>
    </row>
    <row r="426" ht="15" customHeight="1">
      <c r="A426" t="inlineStr">
        <is>
          <t>A 2281-2024</t>
        </is>
      </c>
      <c r="B426" s="1" t="n">
        <v>45310.40628472222</v>
      </c>
      <c r="C426" s="1" t="n">
        <v>46047</v>
      </c>
      <c r="D426" t="inlineStr">
        <is>
          <t>STOCKHOLMS LÄN</t>
        </is>
      </c>
      <c r="E426" t="inlineStr">
        <is>
          <t>NORRTÄLJE</t>
        </is>
      </c>
      <c r="G426" t="n">
        <v>2.7</v>
      </c>
      <c r="H426" t="n">
        <v>0</v>
      </c>
      <c r="I426" t="n">
        <v>0</v>
      </c>
      <c r="J426" t="n">
        <v>0</v>
      </c>
      <c r="K426" t="n">
        <v>0</v>
      </c>
      <c r="L426" t="n">
        <v>0</v>
      </c>
      <c r="M426" t="n">
        <v>0</v>
      </c>
      <c r="N426" t="n">
        <v>0</v>
      </c>
      <c r="O426" t="n">
        <v>0</v>
      </c>
      <c r="P426" t="n">
        <v>0</v>
      </c>
      <c r="Q426" t="n">
        <v>0</v>
      </c>
      <c r="R426" s="2" t="inlineStr"/>
    </row>
    <row r="427" ht="15" customHeight="1">
      <c r="A427" t="inlineStr">
        <is>
          <t>A 60525-2022</t>
        </is>
      </c>
      <c r="B427" s="1" t="n">
        <v>44904</v>
      </c>
      <c r="C427" s="1" t="n">
        <v>46047</v>
      </c>
      <c r="D427" t="inlineStr">
        <is>
          <t>STOCKHOLMS LÄN</t>
        </is>
      </c>
      <c r="E427" t="inlineStr">
        <is>
          <t>NORRTÄLJE</t>
        </is>
      </c>
      <c r="G427" t="n">
        <v>13.4</v>
      </c>
      <c r="H427" t="n">
        <v>0</v>
      </c>
      <c r="I427" t="n">
        <v>0</v>
      </c>
      <c r="J427" t="n">
        <v>0</v>
      </c>
      <c r="K427" t="n">
        <v>0</v>
      </c>
      <c r="L427" t="n">
        <v>0</v>
      </c>
      <c r="M427" t="n">
        <v>0</v>
      </c>
      <c r="N427" t="n">
        <v>0</v>
      </c>
      <c r="O427" t="n">
        <v>0</v>
      </c>
      <c r="P427" t="n">
        <v>0</v>
      </c>
      <c r="Q427" t="n">
        <v>0</v>
      </c>
      <c r="R427" s="2" t="inlineStr"/>
    </row>
    <row r="428" ht="15" customHeight="1">
      <c r="A428" t="inlineStr">
        <is>
          <t>A 20618-2022</t>
        </is>
      </c>
      <c r="B428" s="1" t="n">
        <v>44700.50659722222</v>
      </c>
      <c r="C428" s="1" t="n">
        <v>46047</v>
      </c>
      <c r="D428" t="inlineStr">
        <is>
          <t>STOCKHOLMS LÄN</t>
        </is>
      </c>
      <c r="E428" t="inlineStr">
        <is>
          <t>NORRTÄLJE</t>
        </is>
      </c>
      <c r="G428" t="n">
        <v>1.5</v>
      </c>
      <c r="H428" t="n">
        <v>0</v>
      </c>
      <c r="I428" t="n">
        <v>0</v>
      </c>
      <c r="J428" t="n">
        <v>0</v>
      </c>
      <c r="K428" t="n">
        <v>0</v>
      </c>
      <c r="L428" t="n">
        <v>0</v>
      </c>
      <c r="M428" t="n">
        <v>0</v>
      </c>
      <c r="N428" t="n">
        <v>0</v>
      </c>
      <c r="O428" t="n">
        <v>0</v>
      </c>
      <c r="P428" t="n">
        <v>0</v>
      </c>
      <c r="Q428" t="n">
        <v>0</v>
      </c>
      <c r="R428" s="2" t="inlineStr"/>
    </row>
    <row r="429" ht="15" customHeight="1">
      <c r="A429" t="inlineStr">
        <is>
          <t>A 40192-2023</t>
        </is>
      </c>
      <c r="B429" s="1" t="n">
        <v>45169</v>
      </c>
      <c r="C429" s="1" t="n">
        <v>46047</v>
      </c>
      <c r="D429" t="inlineStr">
        <is>
          <t>STOCKHOLMS LÄN</t>
        </is>
      </c>
      <c r="E429" t="inlineStr">
        <is>
          <t>NORRTÄLJE</t>
        </is>
      </c>
      <c r="F429" t="inlineStr">
        <is>
          <t>Kyrkan</t>
        </is>
      </c>
      <c r="G429" t="n">
        <v>0.7</v>
      </c>
      <c r="H429" t="n">
        <v>0</v>
      </c>
      <c r="I429" t="n">
        <v>0</v>
      </c>
      <c r="J429" t="n">
        <v>0</v>
      </c>
      <c r="K429" t="n">
        <v>0</v>
      </c>
      <c r="L429" t="n">
        <v>0</v>
      </c>
      <c r="M429" t="n">
        <v>0</v>
      </c>
      <c r="N429" t="n">
        <v>0</v>
      </c>
      <c r="O429" t="n">
        <v>0</v>
      </c>
      <c r="P429" t="n">
        <v>0</v>
      </c>
      <c r="Q429" t="n">
        <v>0</v>
      </c>
      <c r="R429" s="2" t="inlineStr"/>
    </row>
    <row r="430" ht="15" customHeight="1">
      <c r="A430" t="inlineStr">
        <is>
          <t>A 11900-2022</t>
        </is>
      </c>
      <c r="B430" s="1" t="n">
        <v>44635</v>
      </c>
      <c r="C430" s="1" t="n">
        <v>46047</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10973-2025</t>
        </is>
      </c>
      <c r="B431" s="1" t="n">
        <v>45723</v>
      </c>
      <c r="C431" s="1" t="n">
        <v>46047</v>
      </c>
      <c r="D431" t="inlineStr">
        <is>
          <t>STOCKHOLMS LÄN</t>
        </is>
      </c>
      <c r="E431" t="inlineStr">
        <is>
          <t>NORRTÄLJE</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7903-2021</t>
        </is>
      </c>
      <c r="B432" s="1" t="n">
        <v>44243.33587962963</v>
      </c>
      <c r="C432" s="1" t="n">
        <v>46047</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39213-2022</t>
        </is>
      </c>
      <c r="B433" s="1" t="n">
        <v>44817.56120370371</v>
      </c>
      <c r="C433" s="1" t="n">
        <v>46047</v>
      </c>
      <c r="D433" t="inlineStr">
        <is>
          <t>STOCKHOLMS LÄN</t>
        </is>
      </c>
      <c r="E433" t="inlineStr">
        <is>
          <t>NORRTÄLJE</t>
        </is>
      </c>
      <c r="G433" t="n">
        <v>3.4</v>
      </c>
      <c r="H433" t="n">
        <v>0</v>
      </c>
      <c r="I433" t="n">
        <v>0</v>
      </c>
      <c r="J433" t="n">
        <v>0</v>
      </c>
      <c r="K433" t="n">
        <v>0</v>
      </c>
      <c r="L433" t="n">
        <v>0</v>
      </c>
      <c r="M433" t="n">
        <v>0</v>
      </c>
      <c r="N433" t="n">
        <v>0</v>
      </c>
      <c r="O433" t="n">
        <v>0</v>
      </c>
      <c r="P433" t="n">
        <v>0</v>
      </c>
      <c r="Q433" t="n">
        <v>0</v>
      </c>
      <c r="R433" s="2" t="inlineStr"/>
    </row>
    <row r="434" ht="15" customHeight="1">
      <c r="A434" t="inlineStr">
        <is>
          <t>A 27885-2022</t>
        </is>
      </c>
      <c r="B434" s="1" t="n">
        <v>44743.67418981482</v>
      </c>
      <c r="C434" s="1" t="n">
        <v>46047</v>
      </c>
      <c r="D434" t="inlineStr">
        <is>
          <t>STOCKHOLMS LÄN</t>
        </is>
      </c>
      <c r="E434" t="inlineStr">
        <is>
          <t>NORRTÄLJE</t>
        </is>
      </c>
      <c r="F434" t="inlineStr">
        <is>
          <t>Holmen skog AB</t>
        </is>
      </c>
      <c r="G434" t="n">
        <v>0.8</v>
      </c>
      <c r="H434" t="n">
        <v>0</v>
      </c>
      <c r="I434" t="n">
        <v>0</v>
      </c>
      <c r="J434" t="n">
        <v>0</v>
      </c>
      <c r="K434" t="n">
        <v>0</v>
      </c>
      <c r="L434" t="n">
        <v>0</v>
      </c>
      <c r="M434" t="n">
        <v>0</v>
      </c>
      <c r="N434" t="n">
        <v>0</v>
      </c>
      <c r="O434" t="n">
        <v>0</v>
      </c>
      <c r="P434" t="n">
        <v>0</v>
      </c>
      <c r="Q434" t="n">
        <v>0</v>
      </c>
      <c r="R434" s="2" t="inlineStr"/>
    </row>
    <row r="435" ht="15" customHeight="1">
      <c r="A435" t="inlineStr">
        <is>
          <t>A 58853-2024</t>
        </is>
      </c>
      <c r="B435" s="1" t="n">
        <v>45636.38974537037</v>
      </c>
      <c r="C435" s="1" t="n">
        <v>46047</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41976-2024</t>
        </is>
      </c>
      <c r="B436" s="1" t="n">
        <v>45561.62141203704</v>
      </c>
      <c r="C436" s="1" t="n">
        <v>46047</v>
      </c>
      <c r="D436" t="inlineStr">
        <is>
          <t>STOCKHOLMS LÄN</t>
        </is>
      </c>
      <c r="E436" t="inlineStr">
        <is>
          <t>NORRTÄLJE</t>
        </is>
      </c>
      <c r="G436" t="n">
        <v>2.5</v>
      </c>
      <c r="H436" t="n">
        <v>0</v>
      </c>
      <c r="I436" t="n">
        <v>0</v>
      </c>
      <c r="J436" t="n">
        <v>0</v>
      </c>
      <c r="K436" t="n">
        <v>0</v>
      </c>
      <c r="L436" t="n">
        <v>0</v>
      </c>
      <c r="M436" t="n">
        <v>0</v>
      </c>
      <c r="N436" t="n">
        <v>0</v>
      </c>
      <c r="O436" t="n">
        <v>0</v>
      </c>
      <c r="P436" t="n">
        <v>0</v>
      </c>
      <c r="Q436" t="n">
        <v>0</v>
      </c>
      <c r="R436" s="2" t="inlineStr"/>
    </row>
    <row r="437" ht="15" customHeight="1">
      <c r="A437" t="inlineStr">
        <is>
          <t>A 51325-2023</t>
        </is>
      </c>
      <c r="B437" s="1" t="n">
        <v>45219</v>
      </c>
      <c r="C437" s="1" t="n">
        <v>46047</v>
      </c>
      <c r="D437" t="inlineStr">
        <is>
          <t>STOCKHOLMS LÄN</t>
        </is>
      </c>
      <c r="E437" t="inlineStr">
        <is>
          <t>NORRTÄLJE</t>
        </is>
      </c>
      <c r="G437" t="n">
        <v>2.2</v>
      </c>
      <c r="H437" t="n">
        <v>0</v>
      </c>
      <c r="I437" t="n">
        <v>0</v>
      </c>
      <c r="J437" t="n">
        <v>0</v>
      </c>
      <c r="K437" t="n">
        <v>0</v>
      </c>
      <c r="L437" t="n">
        <v>0</v>
      </c>
      <c r="M437" t="n">
        <v>0</v>
      </c>
      <c r="N437" t="n">
        <v>0</v>
      </c>
      <c r="O437" t="n">
        <v>0</v>
      </c>
      <c r="P437" t="n">
        <v>0</v>
      </c>
      <c r="Q437" t="n">
        <v>0</v>
      </c>
      <c r="R437" s="2" t="inlineStr"/>
    </row>
    <row r="438" ht="15" customHeight="1">
      <c r="A438" t="inlineStr">
        <is>
          <t>A 35438-2023</t>
        </is>
      </c>
      <c r="B438" s="1" t="n">
        <v>45146</v>
      </c>
      <c r="C438" s="1" t="n">
        <v>46047</v>
      </c>
      <c r="D438" t="inlineStr">
        <is>
          <t>STOCKHOLMS LÄN</t>
        </is>
      </c>
      <c r="E438" t="inlineStr">
        <is>
          <t>NORRTÄLJE</t>
        </is>
      </c>
      <c r="F438" t="inlineStr">
        <is>
          <t>Kommuner</t>
        </is>
      </c>
      <c r="G438" t="n">
        <v>1.9</v>
      </c>
      <c r="H438" t="n">
        <v>0</v>
      </c>
      <c r="I438" t="n">
        <v>0</v>
      </c>
      <c r="J438" t="n">
        <v>0</v>
      </c>
      <c r="K438" t="n">
        <v>0</v>
      </c>
      <c r="L438" t="n">
        <v>0</v>
      </c>
      <c r="M438" t="n">
        <v>0</v>
      </c>
      <c r="N438" t="n">
        <v>0</v>
      </c>
      <c r="O438" t="n">
        <v>0</v>
      </c>
      <c r="P438" t="n">
        <v>0</v>
      </c>
      <c r="Q438" t="n">
        <v>0</v>
      </c>
      <c r="R438" s="2" t="inlineStr"/>
    </row>
    <row r="439" ht="15" customHeight="1">
      <c r="A439" t="inlineStr">
        <is>
          <t>A 59534-2024</t>
        </is>
      </c>
      <c r="B439" s="1" t="n">
        <v>45638.5987037037</v>
      </c>
      <c r="C439" s="1" t="n">
        <v>46047</v>
      </c>
      <c r="D439" t="inlineStr">
        <is>
          <t>STOCKHOLMS LÄN</t>
        </is>
      </c>
      <c r="E439" t="inlineStr">
        <is>
          <t>NORRTÄLJE</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31107-2022</t>
        </is>
      </c>
      <c r="B440" s="1" t="n">
        <v>44769.66864583334</v>
      </c>
      <c r="C440" s="1" t="n">
        <v>46047</v>
      </c>
      <c r="D440" t="inlineStr">
        <is>
          <t>STOCKHOLMS LÄN</t>
        </is>
      </c>
      <c r="E440" t="inlineStr">
        <is>
          <t>NORRTÄLJE</t>
        </is>
      </c>
      <c r="G440" t="n">
        <v>3.8</v>
      </c>
      <c r="H440" t="n">
        <v>0</v>
      </c>
      <c r="I440" t="n">
        <v>0</v>
      </c>
      <c r="J440" t="n">
        <v>0</v>
      </c>
      <c r="K440" t="n">
        <v>0</v>
      </c>
      <c r="L440" t="n">
        <v>0</v>
      </c>
      <c r="M440" t="n">
        <v>0</v>
      </c>
      <c r="N440" t="n">
        <v>0</v>
      </c>
      <c r="O440" t="n">
        <v>0</v>
      </c>
      <c r="P440" t="n">
        <v>0</v>
      </c>
      <c r="Q440" t="n">
        <v>0</v>
      </c>
      <c r="R440" s="2" t="inlineStr"/>
    </row>
    <row r="441" ht="15" customHeight="1">
      <c r="A441" t="inlineStr">
        <is>
          <t>A 13860-2023</t>
        </is>
      </c>
      <c r="B441" s="1" t="n">
        <v>45007</v>
      </c>
      <c r="C441" s="1" t="n">
        <v>46047</v>
      </c>
      <c r="D441" t="inlineStr">
        <is>
          <t>STOCKHOLMS LÄN</t>
        </is>
      </c>
      <c r="E441" t="inlineStr">
        <is>
          <t>NORRTÄLJE</t>
        </is>
      </c>
      <c r="G441" t="n">
        <v>1.6</v>
      </c>
      <c r="H441" t="n">
        <v>0</v>
      </c>
      <c r="I441" t="n">
        <v>0</v>
      </c>
      <c r="J441" t="n">
        <v>0</v>
      </c>
      <c r="K441" t="n">
        <v>0</v>
      </c>
      <c r="L441" t="n">
        <v>0</v>
      </c>
      <c r="M441" t="n">
        <v>0</v>
      </c>
      <c r="N441" t="n">
        <v>0</v>
      </c>
      <c r="O441" t="n">
        <v>0</v>
      </c>
      <c r="P441" t="n">
        <v>0</v>
      </c>
      <c r="Q441" t="n">
        <v>0</v>
      </c>
      <c r="R441" s="2" t="inlineStr"/>
    </row>
    <row r="442" ht="15" customHeight="1">
      <c r="A442" t="inlineStr">
        <is>
          <t>A 6855-2025</t>
        </is>
      </c>
      <c r="B442" s="1" t="n">
        <v>45700</v>
      </c>
      <c r="C442" s="1" t="n">
        <v>46047</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20291-2022</t>
        </is>
      </c>
      <c r="B443" s="1" t="n">
        <v>44698</v>
      </c>
      <c r="C443" s="1" t="n">
        <v>46047</v>
      </c>
      <c r="D443" t="inlineStr">
        <is>
          <t>STOCKHOLMS LÄN</t>
        </is>
      </c>
      <c r="E443" t="inlineStr">
        <is>
          <t>NORRTÄLJE</t>
        </is>
      </c>
      <c r="F443" t="inlineStr">
        <is>
          <t>Naturvårdsverket</t>
        </is>
      </c>
      <c r="G443" t="n">
        <v>2</v>
      </c>
      <c r="H443" t="n">
        <v>0</v>
      </c>
      <c r="I443" t="n">
        <v>0</v>
      </c>
      <c r="J443" t="n">
        <v>0</v>
      </c>
      <c r="K443" t="n">
        <v>0</v>
      </c>
      <c r="L443" t="n">
        <v>0</v>
      </c>
      <c r="M443" t="n">
        <v>0</v>
      </c>
      <c r="N443" t="n">
        <v>0</v>
      </c>
      <c r="O443" t="n">
        <v>0</v>
      </c>
      <c r="P443" t="n">
        <v>0</v>
      </c>
      <c r="Q443" t="n">
        <v>0</v>
      </c>
      <c r="R443" s="2" t="inlineStr"/>
    </row>
    <row r="444" ht="15" customHeight="1">
      <c r="A444" t="inlineStr">
        <is>
          <t>A 26115-2024</t>
        </is>
      </c>
      <c r="B444" s="1" t="n">
        <v>45468.45628472222</v>
      </c>
      <c r="C444" s="1" t="n">
        <v>46047</v>
      </c>
      <c r="D444" t="inlineStr">
        <is>
          <t>STOCKHOLMS LÄN</t>
        </is>
      </c>
      <c r="E444" t="inlineStr">
        <is>
          <t>NORRTÄLJE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13314-2025</t>
        </is>
      </c>
      <c r="B445" s="1" t="n">
        <v>45735.59287037037</v>
      </c>
      <c r="C445" s="1" t="n">
        <v>46047</v>
      </c>
      <c r="D445" t="inlineStr">
        <is>
          <t>STOCKHOLMS LÄN</t>
        </is>
      </c>
      <c r="E445" t="inlineStr">
        <is>
          <t>NORRTÄLJE</t>
        </is>
      </c>
      <c r="G445" t="n">
        <v>2.4</v>
      </c>
      <c r="H445" t="n">
        <v>0</v>
      </c>
      <c r="I445" t="n">
        <v>0</v>
      </c>
      <c r="J445" t="n">
        <v>0</v>
      </c>
      <c r="K445" t="n">
        <v>0</v>
      </c>
      <c r="L445" t="n">
        <v>0</v>
      </c>
      <c r="M445" t="n">
        <v>0</v>
      </c>
      <c r="N445" t="n">
        <v>0</v>
      </c>
      <c r="O445" t="n">
        <v>0</v>
      </c>
      <c r="P445" t="n">
        <v>0</v>
      </c>
      <c r="Q445" t="n">
        <v>0</v>
      </c>
      <c r="R445" s="2" t="inlineStr"/>
    </row>
    <row r="446" ht="15" customHeight="1">
      <c r="A446" t="inlineStr">
        <is>
          <t>A 34432-2021</t>
        </is>
      </c>
      <c r="B446" s="1" t="n">
        <v>44380.77346064815</v>
      </c>
      <c r="C446" s="1" t="n">
        <v>46047</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62998-2023</t>
        </is>
      </c>
      <c r="B447" s="1" t="n">
        <v>45272.64479166667</v>
      </c>
      <c r="C447" s="1" t="n">
        <v>46047</v>
      </c>
      <c r="D447" t="inlineStr">
        <is>
          <t>STOCKHOLMS LÄN</t>
        </is>
      </c>
      <c r="E447" t="inlineStr">
        <is>
          <t>NORRTÄLJE</t>
        </is>
      </c>
      <c r="G447" t="n">
        <v>16.3</v>
      </c>
      <c r="H447" t="n">
        <v>0</v>
      </c>
      <c r="I447" t="n">
        <v>0</v>
      </c>
      <c r="J447" t="n">
        <v>0</v>
      </c>
      <c r="K447" t="n">
        <v>0</v>
      </c>
      <c r="L447" t="n">
        <v>0</v>
      </c>
      <c r="M447" t="n">
        <v>0</v>
      </c>
      <c r="N447" t="n">
        <v>0</v>
      </c>
      <c r="O447" t="n">
        <v>0</v>
      </c>
      <c r="P447" t="n">
        <v>0</v>
      </c>
      <c r="Q447" t="n">
        <v>0</v>
      </c>
      <c r="R447" s="2" t="inlineStr"/>
    </row>
    <row r="448" ht="15" customHeight="1">
      <c r="A448" t="inlineStr">
        <is>
          <t>A 63015-2023</t>
        </is>
      </c>
      <c r="B448" s="1" t="n">
        <v>45272</v>
      </c>
      <c r="C448" s="1" t="n">
        <v>46047</v>
      </c>
      <c r="D448" t="inlineStr">
        <is>
          <t>STOCKHOLMS LÄN</t>
        </is>
      </c>
      <c r="E448" t="inlineStr">
        <is>
          <t>NORRTÄLJE</t>
        </is>
      </c>
      <c r="G448" t="n">
        <v>13.1</v>
      </c>
      <c r="H448" t="n">
        <v>0</v>
      </c>
      <c r="I448" t="n">
        <v>0</v>
      </c>
      <c r="J448" t="n">
        <v>0</v>
      </c>
      <c r="K448" t="n">
        <v>0</v>
      </c>
      <c r="L448" t="n">
        <v>0</v>
      </c>
      <c r="M448" t="n">
        <v>0</v>
      </c>
      <c r="N448" t="n">
        <v>0</v>
      </c>
      <c r="O448" t="n">
        <v>0</v>
      </c>
      <c r="P448" t="n">
        <v>0</v>
      </c>
      <c r="Q448" t="n">
        <v>0</v>
      </c>
      <c r="R448" s="2" t="inlineStr"/>
    </row>
    <row r="449" ht="15" customHeight="1">
      <c r="A449" t="inlineStr">
        <is>
          <t>A 27831-2024</t>
        </is>
      </c>
      <c r="B449" s="1" t="n">
        <v>45475.61896990741</v>
      </c>
      <c r="C449" s="1" t="n">
        <v>46047</v>
      </c>
      <c r="D449" t="inlineStr">
        <is>
          <t>STOCKHOLMS LÄN</t>
        </is>
      </c>
      <c r="E449" t="inlineStr">
        <is>
          <t>NORRTÄLJE</t>
        </is>
      </c>
      <c r="G449" t="n">
        <v>3.8</v>
      </c>
      <c r="H449" t="n">
        <v>0</v>
      </c>
      <c r="I449" t="n">
        <v>0</v>
      </c>
      <c r="J449" t="n">
        <v>0</v>
      </c>
      <c r="K449" t="n">
        <v>0</v>
      </c>
      <c r="L449" t="n">
        <v>0</v>
      </c>
      <c r="M449" t="n">
        <v>0</v>
      </c>
      <c r="N449" t="n">
        <v>0</v>
      </c>
      <c r="O449" t="n">
        <v>0</v>
      </c>
      <c r="P449" t="n">
        <v>0</v>
      </c>
      <c r="Q449" t="n">
        <v>0</v>
      </c>
      <c r="R449" s="2" t="inlineStr"/>
    </row>
    <row r="450" ht="15" customHeight="1">
      <c r="A450" t="inlineStr">
        <is>
          <t>A 60224-2023</t>
        </is>
      </c>
      <c r="B450" s="1" t="n">
        <v>45257</v>
      </c>
      <c r="C450" s="1" t="n">
        <v>46047</v>
      </c>
      <c r="D450" t="inlineStr">
        <is>
          <t>STOCKHOLMS LÄN</t>
        </is>
      </c>
      <c r="E450" t="inlineStr">
        <is>
          <t>NORRTÄLJE</t>
        </is>
      </c>
      <c r="G450" t="n">
        <v>8.1</v>
      </c>
      <c r="H450" t="n">
        <v>0</v>
      </c>
      <c r="I450" t="n">
        <v>0</v>
      </c>
      <c r="J450" t="n">
        <v>0</v>
      </c>
      <c r="K450" t="n">
        <v>0</v>
      </c>
      <c r="L450" t="n">
        <v>0</v>
      </c>
      <c r="M450" t="n">
        <v>0</v>
      </c>
      <c r="N450" t="n">
        <v>0</v>
      </c>
      <c r="O450" t="n">
        <v>0</v>
      </c>
      <c r="P450" t="n">
        <v>0</v>
      </c>
      <c r="Q450" t="n">
        <v>0</v>
      </c>
      <c r="R450" s="2" t="inlineStr"/>
    </row>
    <row r="451" ht="15" customHeight="1">
      <c r="A451" t="inlineStr">
        <is>
          <t>A 33175-2024</t>
        </is>
      </c>
      <c r="B451" s="1" t="n">
        <v>45518</v>
      </c>
      <c r="C451" s="1" t="n">
        <v>46047</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5158-2024</t>
        </is>
      </c>
      <c r="B452" s="1" t="n">
        <v>45330.50098379629</v>
      </c>
      <c r="C452" s="1" t="n">
        <v>46047</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21803-2022</t>
        </is>
      </c>
      <c r="B453" s="1" t="n">
        <v>44708.67822916667</v>
      </c>
      <c r="C453" s="1" t="n">
        <v>46047</v>
      </c>
      <c r="D453" t="inlineStr">
        <is>
          <t>STOCKHOLMS LÄN</t>
        </is>
      </c>
      <c r="E453" t="inlineStr">
        <is>
          <t>NORRTÄLJE</t>
        </is>
      </c>
      <c r="G453" t="n">
        <v>1.8</v>
      </c>
      <c r="H453" t="n">
        <v>0</v>
      </c>
      <c r="I453" t="n">
        <v>0</v>
      </c>
      <c r="J453" t="n">
        <v>0</v>
      </c>
      <c r="K453" t="n">
        <v>0</v>
      </c>
      <c r="L453" t="n">
        <v>0</v>
      </c>
      <c r="M453" t="n">
        <v>0</v>
      </c>
      <c r="N453" t="n">
        <v>0</v>
      </c>
      <c r="O453" t="n">
        <v>0</v>
      </c>
      <c r="P453" t="n">
        <v>0</v>
      </c>
      <c r="Q453" t="n">
        <v>0</v>
      </c>
      <c r="R453" s="2" t="inlineStr"/>
    </row>
    <row r="454" ht="15" customHeight="1">
      <c r="A454" t="inlineStr">
        <is>
          <t>A 20730-2024</t>
        </is>
      </c>
      <c r="B454" s="1" t="n">
        <v>45436</v>
      </c>
      <c r="C454" s="1" t="n">
        <v>46047</v>
      </c>
      <c r="D454" t="inlineStr">
        <is>
          <t>STOCKHOLMS LÄN</t>
        </is>
      </c>
      <c r="E454" t="inlineStr">
        <is>
          <t>NORRTÄLJE</t>
        </is>
      </c>
      <c r="G454" t="n">
        <v>7.3</v>
      </c>
      <c r="H454" t="n">
        <v>0</v>
      </c>
      <c r="I454" t="n">
        <v>0</v>
      </c>
      <c r="J454" t="n">
        <v>0</v>
      </c>
      <c r="K454" t="n">
        <v>0</v>
      </c>
      <c r="L454" t="n">
        <v>0</v>
      </c>
      <c r="M454" t="n">
        <v>0</v>
      </c>
      <c r="N454" t="n">
        <v>0</v>
      </c>
      <c r="O454" t="n">
        <v>0</v>
      </c>
      <c r="P454" t="n">
        <v>0</v>
      </c>
      <c r="Q454" t="n">
        <v>0</v>
      </c>
      <c r="R454" s="2" t="inlineStr"/>
    </row>
    <row r="455" ht="15" customHeight="1">
      <c r="A455" t="inlineStr">
        <is>
          <t>A 23149-2024</t>
        </is>
      </c>
      <c r="B455" s="1" t="n">
        <v>45450.64208333333</v>
      </c>
      <c r="C455" s="1" t="n">
        <v>46047</v>
      </c>
      <c r="D455" t="inlineStr">
        <is>
          <t>STOCKHOLMS LÄN</t>
        </is>
      </c>
      <c r="E455" t="inlineStr">
        <is>
          <t>NORRTÄLJE</t>
        </is>
      </c>
      <c r="F455" t="inlineStr">
        <is>
          <t>Kommuner</t>
        </is>
      </c>
      <c r="G455" t="n">
        <v>1.3</v>
      </c>
      <c r="H455" t="n">
        <v>0</v>
      </c>
      <c r="I455" t="n">
        <v>0</v>
      </c>
      <c r="J455" t="n">
        <v>0</v>
      </c>
      <c r="K455" t="n">
        <v>0</v>
      </c>
      <c r="L455" t="n">
        <v>0</v>
      </c>
      <c r="M455" t="n">
        <v>0</v>
      </c>
      <c r="N455" t="n">
        <v>0</v>
      </c>
      <c r="O455" t="n">
        <v>0</v>
      </c>
      <c r="P455" t="n">
        <v>0</v>
      </c>
      <c r="Q455" t="n">
        <v>0</v>
      </c>
      <c r="R455" s="2" t="inlineStr"/>
    </row>
    <row r="456" ht="15" customHeight="1">
      <c r="A456" t="inlineStr">
        <is>
          <t>A 23151-2024</t>
        </is>
      </c>
      <c r="B456" s="1" t="n">
        <v>45450</v>
      </c>
      <c r="C456" s="1" t="n">
        <v>46047</v>
      </c>
      <c r="D456" t="inlineStr">
        <is>
          <t>STOCKHOLMS LÄN</t>
        </is>
      </c>
      <c r="E456" t="inlineStr">
        <is>
          <t>NORRTÄLJE</t>
        </is>
      </c>
      <c r="F456" t="inlineStr">
        <is>
          <t>Kommuner</t>
        </is>
      </c>
      <c r="G456" t="n">
        <v>1.2</v>
      </c>
      <c r="H456" t="n">
        <v>0</v>
      </c>
      <c r="I456" t="n">
        <v>0</v>
      </c>
      <c r="J456" t="n">
        <v>0</v>
      </c>
      <c r="K456" t="n">
        <v>0</v>
      </c>
      <c r="L456" t="n">
        <v>0</v>
      </c>
      <c r="M456" t="n">
        <v>0</v>
      </c>
      <c r="N456" t="n">
        <v>0</v>
      </c>
      <c r="O456" t="n">
        <v>0</v>
      </c>
      <c r="P456" t="n">
        <v>0</v>
      </c>
      <c r="Q456" t="n">
        <v>0</v>
      </c>
      <c r="R456" s="2" t="inlineStr"/>
    </row>
    <row r="457" ht="15" customHeight="1">
      <c r="A457" t="inlineStr">
        <is>
          <t>A 52001-2023</t>
        </is>
      </c>
      <c r="B457" s="1" t="n">
        <v>45223</v>
      </c>
      <c r="C457" s="1" t="n">
        <v>46047</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19118-2022</t>
        </is>
      </c>
      <c r="B458" s="1" t="n">
        <v>44691.5652662037</v>
      </c>
      <c r="C458" s="1" t="n">
        <v>46047</v>
      </c>
      <c r="D458" t="inlineStr">
        <is>
          <t>STOCKHOLMS LÄN</t>
        </is>
      </c>
      <c r="E458" t="inlineStr">
        <is>
          <t>NORRTÄLJE</t>
        </is>
      </c>
      <c r="G458" t="n">
        <v>0.5</v>
      </c>
      <c r="H458" t="n">
        <v>0</v>
      </c>
      <c r="I458" t="n">
        <v>0</v>
      </c>
      <c r="J458" t="n">
        <v>0</v>
      </c>
      <c r="K458" t="n">
        <v>0</v>
      </c>
      <c r="L458" t="n">
        <v>0</v>
      </c>
      <c r="M458" t="n">
        <v>0</v>
      </c>
      <c r="N458" t="n">
        <v>0</v>
      </c>
      <c r="O458" t="n">
        <v>0</v>
      </c>
      <c r="P458" t="n">
        <v>0</v>
      </c>
      <c r="Q458" t="n">
        <v>0</v>
      </c>
      <c r="R458" s="2" t="inlineStr"/>
    </row>
    <row r="459" ht="15" customHeight="1">
      <c r="A459" t="inlineStr">
        <is>
          <t>A 9130-2025</t>
        </is>
      </c>
      <c r="B459" s="1" t="n">
        <v>45713.92623842593</v>
      </c>
      <c r="C459" s="1" t="n">
        <v>46047</v>
      </c>
      <c r="D459" t="inlineStr">
        <is>
          <t>STOCKHOLMS LÄN</t>
        </is>
      </c>
      <c r="E459" t="inlineStr">
        <is>
          <t>NORRTÄLJE</t>
        </is>
      </c>
      <c r="G459" t="n">
        <v>16</v>
      </c>
      <c r="H459" t="n">
        <v>0</v>
      </c>
      <c r="I459" t="n">
        <v>0</v>
      </c>
      <c r="J459" t="n">
        <v>0</v>
      </c>
      <c r="K459" t="n">
        <v>0</v>
      </c>
      <c r="L459" t="n">
        <v>0</v>
      </c>
      <c r="M459" t="n">
        <v>0</v>
      </c>
      <c r="N459" t="n">
        <v>0</v>
      </c>
      <c r="O459" t="n">
        <v>0</v>
      </c>
      <c r="P459" t="n">
        <v>0</v>
      </c>
      <c r="Q459" t="n">
        <v>0</v>
      </c>
      <c r="R459" s="2" t="inlineStr"/>
    </row>
    <row r="460" ht="15" customHeight="1">
      <c r="A460" t="inlineStr">
        <is>
          <t>A 60185-2024</t>
        </is>
      </c>
      <c r="B460" s="1" t="n">
        <v>45642.64634259259</v>
      </c>
      <c r="C460" s="1" t="n">
        <v>46047</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12901-2024</t>
        </is>
      </c>
      <c r="B461" s="1" t="n">
        <v>45385.37922453704</v>
      </c>
      <c r="C461" s="1" t="n">
        <v>46047</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8950-2025</t>
        </is>
      </c>
      <c r="B462" s="1" t="n">
        <v>45713</v>
      </c>
      <c r="C462" s="1" t="n">
        <v>46047</v>
      </c>
      <c r="D462" t="inlineStr">
        <is>
          <t>STOCKHOLMS LÄN</t>
        </is>
      </c>
      <c r="E462" t="inlineStr">
        <is>
          <t>NORRTÄLJE</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17551-2025</t>
        </is>
      </c>
      <c r="B463" s="1" t="n">
        <v>45757.61421296297</v>
      </c>
      <c r="C463" s="1" t="n">
        <v>46047</v>
      </c>
      <c r="D463" t="inlineStr">
        <is>
          <t>STOCKHOLMS LÄN</t>
        </is>
      </c>
      <c r="E463" t="inlineStr">
        <is>
          <t>NORRTÄLJE</t>
        </is>
      </c>
      <c r="G463" t="n">
        <v>2.8</v>
      </c>
      <c r="H463" t="n">
        <v>0</v>
      </c>
      <c r="I463" t="n">
        <v>0</v>
      </c>
      <c r="J463" t="n">
        <v>0</v>
      </c>
      <c r="K463" t="n">
        <v>0</v>
      </c>
      <c r="L463" t="n">
        <v>0</v>
      </c>
      <c r="M463" t="n">
        <v>0</v>
      </c>
      <c r="N463" t="n">
        <v>0</v>
      </c>
      <c r="O463" t="n">
        <v>0</v>
      </c>
      <c r="P463" t="n">
        <v>0</v>
      </c>
      <c r="Q463" t="n">
        <v>0</v>
      </c>
      <c r="R463" s="2" t="inlineStr"/>
    </row>
    <row r="464" ht="15" customHeight="1">
      <c r="A464" t="inlineStr">
        <is>
          <t>A 48686-2023</t>
        </is>
      </c>
      <c r="B464" s="1" t="n">
        <v>45208</v>
      </c>
      <c r="C464" s="1" t="n">
        <v>46047</v>
      </c>
      <c r="D464" t="inlineStr">
        <is>
          <t>STOCKHOLMS LÄN</t>
        </is>
      </c>
      <c r="E464" t="inlineStr">
        <is>
          <t>NORRTÄLJE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48691-2023</t>
        </is>
      </c>
      <c r="B465" s="1" t="n">
        <v>45208</v>
      </c>
      <c r="C465" s="1" t="n">
        <v>46047</v>
      </c>
      <c r="D465" t="inlineStr">
        <is>
          <t>STOCKHOLMS LÄN</t>
        </is>
      </c>
      <c r="E465" t="inlineStr">
        <is>
          <t>NORRTÄLJE</t>
        </is>
      </c>
      <c r="G465" t="n">
        <v>5.8</v>
      </c>
      <c r="H465" t="n">
        <v>0</v>
      </c>
      <c r="I465" t="n">
        <v>0</v>
      </c>
      <c r="J465" t="n">
        <v>0</v>
      </c>
      <c r="K465" t="n">
        <v>0</v>
      </c>
      <c r="L465" t="n">
        <v>0</v>
      </c>
      <c r="M465" t="n">
        <v>0</v>
      </c>
      <c r="N465" t="n">
        <v>0</v>
      </c>
      <c r="O465" t="n">
        <v>0</v>
      </c>
      <c r="P465" t="n">
        <v>0</v>
      </c>
      <c r="Q465" t="n">
        <v>0</v>
      </c>
      <c r="R465" s="2" t="inlineStr"/>
    </row>
    <row r="466" ht="15" customHeight="1">
      <c r="A466" t="inlineStr">
        <is>
          <t>A 12301-2025</t>
        </is>
      </c>
      <c r="B466" s="1" t="n">
        <v>45729.7271875</v>
      </c>
      <c r="C466" s="1" t="n">
        <v>46047</v>
      </c>
      <c r="D466" t="inlineStr">
        <is>
          <t>STOCKHOLMS LÄN</t>
        </is>
      </c>
      <c r="E466" t="inlineStr">
        <is>
          <t>NORRTÄLJE</t>
        </is>
      </c>
      <c r="G466" t="n">
        <v>3.2</v>
      </c>
      <c r="H466" t="n">
        <v>0</v>
      </c>
      <c r="I466" t="n">
        <v>0</v>
      </c>
      <c r="J466" t="n">
        <v>0</v>
      </c>
      <c r="K466" t="n">
        <v>0</v>
      </c>
      <c r="L466" t="n">
        <v>0</v>
      </c>
      <c r="M466" t="n">
        <v>0</v>
      </c>
      <c r="N466" t="n">
        <v>0</v>
      </c>
      <c r="O466" t="n">
        <v>0</v>
      </c>
      <c r="P466" t="n">
        <v>0</v>
      </c>
      <c r="Q466" t="n">
        <v>0</v>
      </c>
      <c r="R466" s="2" t="inlineStr"/>
    </row>
    <row r="467" ht="15" customHeight="1">
      <c r="A467" t="inlineStr">
        <is>
          <t>A 55010-2024</t>
        </is>
      </c>
      <c r="B467" s="1" t="n">
        <v>45621.34425925926</v>
      </c>
      <c r="C467" s="1" t="n">
        <v>46047</v>
      </c>
      <c r="D467" t="inlineStr">
        <is>
          <t>STOCKHOLMS LÄN</t>
        </is>
      </c>
      <c r="E467" t="inlineStr">
        <is>
          <t>NORRTÄLJE</t>
        </is>
      </c>
      <c r="F467" t="inlineStr">
        <is>
          <t>Sveaskog</t>
        </is>
      </c>
      <c r="G467" t="n">
        <v>5.7</v>
      </c>
      <c r="H467" t="n">
        <v>0</v>
      </c>
      <c r="I467" t="n">
        <v>0</v>
      </c>
      <c r="J467" t="n">
        <v>0</v>
      </c>
      <c r="K467" t="n">
        <v>0</v>
      </c>
      <c r="L467" t="n">
        <v>0</v>
      </c>
      <c r="M467" t="n">
        <v>0</v>
      </c>
      <c r="N467" t="n">
        <v>0</v>
      </c>
      <c r="O467" t="n">
        <v>0</v>
      </c>
      <c r="P467" t="n">
        <v>0</v>
      </c>
      <c r="Q467" t="n">
        <v>0</v>
      </c>
      <c r="R467" s="2" t="inlineStr"/>
    </row>
    <row r="468" ht="15" customHeight="1">
      <c r="A468" t="inlineStr">
        <is>
          <t>A 24351-2025</t>
        </is>
      </c>
      <c r="B468" s="1" t="n">
        <v>45797.58399305555</v>
      </c>
      <c r="C468" s="1" t="n">
        <v>46047</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13283-2025</t>
        </is>
      </c>
      <c r="B469" s="1" t="n">
        <v>45735</v>
      </c>
      <c r="C469" s="1" t="n">
        <v>46047</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31105-2022</t>
        </is>
      </c>
      <c r="B470" s="1" t="n">
        <v>44769.66039351852</v>
      </c>
      <c r="C470" s="1" t="n">
        <v>46047</v>
      </c>
      <c r="D470" t="inlineStr">
        <is>
          <t>STOCKHOLMS LÄN</t>
        </is>
      </c>
      <c r="E470" t="inlineStr">
        <is>
          <t>NORRTÄLJE</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8739-2024</t>
        </is>
      </c>
      <c r="B471" s="1" t="n">
        <v>45356.47784722222</v>
      </c>
      <c r="C471" s="1" t="n">
        <v>46047</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38759-2022</t>
        </is>
      </c>
      <c r="B472" s="1" t="n">
        <v>44816</v>
      </c>
      <c r="C472" s="1" t="n">
        <v>46047</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32857-2021</t>
        </is>
      </c>
      <c r="B473" s="1" t="n">
        <v>44375</v>
      </c>
      <c r="C473" s="1" t="n">
        <v>46047</v>
      </c>
      <c r="D473" t="inlineStr">
        <is>
          <t>STOCKHOLMS LÄN</t>
        </is>
      </c>
      <c r="E473" t="inlineStr">
        <is>
          <t>NORRTÄLJE</t>
        </is>
      </c>
      <c r="G473" t="n">
        <v>2.9</v>
      </c>
      <c r="H473" t="n">
        <v>0</v>
      </c>
      <c r="I473" t="n">
        <v>0</v>
      </c>
      <c r="J473" t="n">
        <v>0</v>
      </c>
      <c r="K473" t="n">
        <v>0</v>
      </c>
      <c r="L473" t="n">
        <v>0</v>
      </c>
      <c r="M473" t="n">
        <v>0</v>
      </c>
      <c r="N473" t="n">
        <v>0</v>
      </c>
      <c r="O473" t="n">
        <v>0</v>
      </c>
      <c r="P473" t="n">
        <v>0</v>
      </c>
      <c r="Q473" t="n">
        <v>0</v>
      </c>
      <c r="R473" s="2" t="inlineStr"/>
    </row>
    <row r="474" ht="15" customHeight="1">
      <c r="A474" t="inlineStr">
        <is>
          <t>A 21726-2022</t>
        </is>
      </c>
      <c r="B474" s="1" t="n">
        <v>44708</v>
      </c>
      <c r="C474" s="1" t="n">
        <v>46047</v>
      </c>
      <c r="D474" t="inlineStr">
        <is>
          <t>STOCKHOLMS LÄN</t>
        </is>
      </c>
      <c r="E474" t="inlineStr">
        <is>
          <t>NORRTÄLJE</t>
        </is>
      </c>
      <c r="G474" t="n">
        <v>0.2</v>
      </c>
      <c r="H474" t="n">
        <v>0</v>
      </c>
      <c r="I474" t="n">
        <v>0</v>
      </c>
      <c r="J474" t="n">
        <v>0</v>
      </c>
      <c r="K474" t="n">
        <v>0</v>
      </c>
      <c r="L474" t="n">
        <v>0</v>
      </c>
      <c r="M474" t="n">
        <v>0</v>
      </c>
      <c r="N474" t="n">
        <v>0</v>
      </c>
      <c r="O474" t="n">
        <v>0</v>
      </c>
      <c r="P474" t="n">
        <v>0</v>
      </c>
      <c r="Q474" t="n">
        <v>0</v>
      </c>
      <c r="R474" s="2" t="inlineStr"/>
    </row>
    <row r="475" ht="15" customHeight="1">
      <c r="A475" t="inlineStr">
        <is>
          <t>A 21739-2022</t>
        </is>
      </c>
      <c r="B475" s="1" t="n">
        <v>44708.36708333333</v>
      </c>
      <c r="C475" s="1" t="n">
        <v>46047</v>
      </c>
      <c r="D475" t="inlineStr">
        <is>
          <t>STOCKHOLMS LÄN</t>
        </is>
      </c>
      <c r="E475" t="inlineStr">
        <is>
          <t>NORRTÄLJE</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24687-2025</t>
        </is>
      </c>
      <c r="B476" s="1" t="n">
        <v>45798.66767361111</v>
      </c>
      <c r="C476" s="1" t="n">
        <v>46047</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29714-2023</t>
        </is>
      </c>
      <c r="B477" s="1" t="n">
        <v>45107.42538194444</v>
      </c>
      <c r="C477" s="1" t="n">
        <v>46047</v>
      </c>
      <c r="D477" t="inlineStr">
        <is>
          <t>STOCKHOLMS LÄN</t>
        </is>
      </c>
      <c r="E477" t="inlineStr">
        <is>
          <t>NORRTÄLJE</t>
        </is>
      </c>
      <c r="G477" t="n">
        <v>1.6</v>
      </c>
      <c r="H477" t="n">
        <v>0</v>
      </c>
      <c r="I477" t="n">
        <v>0</v>
      </c>
      <c r="J477" t="n">
        <v>0</v>
      </c>
      <c r="K477" t="n">
        <v>0</v>
      </c>
      <c r="L477" t="n">
        <v>0</v>
      </c>
      <c r="M477" t="n">
        <v>0</v>
      </c>
      <c r="N477" t="n">
        <v>0</v>
      </c>
      <c r="O477" t="n">
        <v>0</v>
      </c>
      <c r="P477" t="n">
        <v>0</v>
      </c>
      <c r="Q477" t="n">
        <v>0</v>
      </c>
      <c r="R477" s="2" t="inlineStr"/>
    </row>
    <row r="478" ht="15" customHeight="1">
      <c r="A478" t="inlineStr">
        <is>
          <t>A 23271-2023</t>
        </is>
      </c>
      <c r="B478" s="1" t="n">
        <v>45075.91362268518</v>
      </c>
      <c r="C478" s="1" t="n">
        <v>46047</v>
      </c>
      <c r="D478" t="inlineStr">
        <is>
          <t>STOCKHOLMS LÄN</t>
        </is>
      </c>
      <c r="E478" t="inlineStr">
        <is>
          <t>NORRTÄLJE</t>
        </is>
      </c>
      <c r="G478" t="n">
        <v>5.1</v>
      </c>
      <c r="H478" t="n">
        <v>0</v>
      </c>
      <c r="I478" t="n">
        <v>0</v>
      </c>
      <c r="J478" t="n">
        <v>0</v>
      </c>
      <c r="K478" t="n">
        <v>0</v>
      </c>
      <c r="L478" t="n">
        <v>0</v>
      </c>
      <c r="M478" t="n">
        <v>0</v>
      </c>
      <c r="N478" t="n">
        <v>0</v>
      </c>
      <c r="O478" t="n">
        <v>0</v>
      </c>
      <c r="P478" t="n">
        <v>0</v>
      </c>
      <c r="Q478" t="n">
        <v>0</v>
      </c>
      <c r="R478" s="2" t="inlineStr"/>
    </row>
    <row r="479" ht="15" customHeight="1">
      <c r="A479" t="inlineStr">
        <is>
          <t>A 23273-2023</t>
        </is>
      </c>
      <c r="B479" s="1" t="n">
        <v>45075.91971064815</v>
      </c>
      <c r="C479" s="1" t="n">
        <v>46047</v>
      </c>
      <c r="D479" t="inlineStr">
        <is>
          <t>STOCKHOLMS LÄN</t>
        </is>
      </c>
      <c r="E479" t="inlineStr">
        <is>
          <t>NORRTÄLJE</t>
        </is>
      </c>
      <c r="G479" t="n">
        <v>7.5</v>
      </c>
      <c r="H479" t="n">
        <v>0</v>
      </c>
      <c r="I479" t="n">
        <v>0</v>
      </c>
      <c r="J479" t="n">
        <v>0</v>
      </c>
      <c r="K479" t="n">
        <v>0</v>
      </c>
      <c r="L479" t="n">
        <v>0</v>
      </c>
      <c r="M479" t="n">
        <v>0</v>
      </c>
      <c r="N479" t="n">
        <v>0</v>
      </c>
      <c r="O479" t="n">
        <v>0</v>
      </c>
      <c r="P479" t="n">
        <v>0</v>
      </c>
      <c r="Q479" t="n">
        <v>0</v>
      </c>
      <c r="R479" s="2" t="inlineStr"/>
    </row>
    <row r="480" ht="15" customHeight="1">
      <c r="A480" t="inlineStr">
        <is>
          <t>A 35210-2023</t>
        </is>
      </c>
      <c r="B480" s="1" t="n">
        <v>45145.63584490741</v>
      </c>
      <c r="C480" s="1" t="n">
        <v>46047</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59767-2022</t>
        </is>
      </c>
      <c r="B481" s="1" t="n">
        <v>44900</v>
      </c>
      <c r="C481" s="1" t="n">
        <v>46047</v>
      </c>
      <c r="D481" t="inlineStr">
        <is>
          <t>STOCKHOLMS LÄN</t>
        </is>
      </c>
      <c r="E481" t="inlineStr">
        <is>
          <t>NORRTÄLJE</t>
        </is>
      </c>
      <c r="G481" t="n">
        <v>2.2</v>
      </c>
      <c r="H481" t="n">
        <v>0</v>
      </c>
      <c r="I481" t="n">
        <v>0</v>
      </c>
      <c r="J481" t="n">
        <v>0</v>
      </c>
      <c r="K481" t="n">
        <v>0</v>
      </c>
      <c r="L481" t="n">
        <v>0</v>
      </c>
      <c r="M481" t="n">
        <v>0</v>
      </c>
      <c r="N481" t="n">
        <v>0</v>
      </c>
      <c r="O481" t="n">
        <v>0</v>
      </c>
      <c r="P481" t="n">
        <v>0</v>
      </c>
      <c r="Q481" t="n">
        <v>0</v>
      </c>
      <c r="R481" s="2" t="inlineStr"/>
    </row>
    <row r="482" ht="15" customHeight="1">
      <c r="A482" t="inlineStr">
        <is>
          <t>A 5823-2023</t>
        </is>
      </c>
      <c r="B482" s="1" t="n">
        <v>44963</v>
      </c>
      <c r="C482" s="1" t="n">
        <v>46047</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19915-2024</t>
        </is>
      </c>
      <c r="B483" s="1" t="n">
        <v>45433.58431712963</v>
      </c>
      <c r="C483" s="1" t="n">
        <v>46047</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15217-2023</t>
        </is>
      </c>
      <c r="B484" s="1" t="n">
        <v>45019.28847222222</v>
      </c>
      <c r="C484" s="1" t="n">
        <v>46047</v>
      </c>
      <c r="D484" t="inlineStr">
        <is>
          <t>STOCKHOLMS LÄN</t>
        </is>
      </c>
      <c r="E484" t="inlineStr">
        <is>
          <t>NORRTÄLJE</t>
        </is>
      </c>
      <c r="G484" t="n">
        <v>3.6</v>
      </c>
      <c r="H484" t="n">
        <v>0</v>
      </c>
      <c r="I484" t="n">
        <v>0</v>
      </c>
      <c r="J484" t="n">
        <v>0</v>
      </c>
      <c r="K484" t="n">
        <v>0</v>
      </c>
      <c r="L484" t="n">
        <v>0</v>
      </c>
      <c r="M484" t="n">
        <v>0</v>
      </c>
      <c r="N484" t="n">
        <v>0</v>
      </c>
      <c r="O484" t="n">
        <v>0</v>
      </c>
      <c r="P484" t="n">
        <v>0</v>
      </c>
      <c r="Q484" t="n">
        <v>0</v>
      </c>
      <c r="R484" s="2" t="inlineStr"/>
    </row>
    <row r="485" ht="15" customHeight="1">
      <c r="A485" t="inlineStr">
        <is>
          <t>A 30620-2022</t>
        </is>
      </c>
      <c r="B485" s="1" t="n">
        <v>44763.40914351852</v>
      </c>
      <c r="C485" s="1" t="n">
        <v>46047</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24638-2025</t>
        </is>
      </c>
      <c r="B486" s="1" t="n">
        <v>45798</v>
      </c>
      <c r="C486" s="1" t="n">
        <v>46047</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50113-2024</t>
        </is>
      </c>
      <c r="B487" s="1" t="n">
        <v>45600.411875</v>
      </c>
      <c r="C487" s="1" t="n">
        <v>46047</v>
      </c>
      <c r="D487" t="inlineStr">
        <is>
          <t>STOCKHOLMS LÄN</t>
        </is>
      </c>
      <c r="E487" t="inlineStr">
        <is>
          <t>NORRTÄLJE</t>
        </is>
      </c>
      <c r="G487" t="n">
        <v>1.5</v>
      </c>
      <c r="H487" t="n">
        <v>0</v>
      </c>
      <c r="I487" t="n">
        <v>0</v>
      </c>
      <c r="J487" t="n">
        <v>0</v>
      </c>
      <c r="K487" t="n">
        <v>0</v>
      </c>
      <c r="L487" t="n">
        <v>0</v>
      </c>
      <c r="M487" t="n">
        <v>0</v>
      </c>
      <c r="N487" t="n">
        <v>0</v>
      </c>
      <c r="O487" t="n">
        <v>0</v>
      </c>
      <c r="P487" t="n">
        <v>0</v>
      </c>
      <c r="Q487" t="n">
        <v>0</v>
      </c>
      <c r="R487" s="2" t="inlineStr"/>
    </row>
    <row r="488" ht="15" customHeight="1">
      <c r="A488" t="inlineStr">
        <is>
          <t>A 28365-2022</t>
        </is>
      </c>
      <c r="B488" s="1" t="n">
        <v>44747</v>
      </c>
      <c r="C488" s="1" t="n">
        <v>46047</v>
      </c>
      <c r="D488" t="inlineStr">
        <is>
          <t>STOCKHOLMS LÄN</t>
        </is>
      </c>
      <c r="E488" t="inlineStr">
        <is>
          <t>NORRTÄLJE</t>
        </is>
      </c>
      <c r="G488" t="n">
        <v>5.1</v>
      </c>
      <c r="H488" t="n">
        <v>0</v>
      </c>
      <c r="I488" t="n">
        <v>0</v>
      </c>
      <c r="J488" t="n">
        <v>0</v>
      </c>
      <c r="K488" t="n">
        <v>0</v>
      </c>
      <c r="L488" t="n">
        <v>0</v>
      </c>
      <c r="M488" t="n">
        <v>0</v>
      </c>
      <c r="N488" t="n">
        <v>0</v>
      </c>
      <c r="O488" t="n">
        <v>0</v>
      </c>
      <c r="P488" t="n">
        <v>0</v>
      </c>
      <c r="Q488" t="n">
        <v>0</v>
      </c>
      <c r="R488" s="2" t="inlineStr"/>
    </row>
    <row r="489" ht="15" customHeight="1">
      <c r="A489" t="inlineStr">
        <is>
          <t>A 42955-2022</t>
        </is>
      </c>
      <c r="B489" s="1" t="n">
        <v>44833.40876157407</v>
      </c>
      <c r="C489" s="1" t="n">
        <v>46047</v>
      </c>
      <c r="D489" t="inlineStr">
        <is>
          <t>STOCKHOLMS LÄN</t>
        </is>
      </c>
      <c r="E489" t="inlineStr">
        <is>
          <t>NORRTÄLJE</t>
        </is>
      </c>
      <c r="G489" t="n">
        <v>13.1</v>
      </c>
      <c r="H489" t="n">
        <v>0</v>
      </c>
      <c r="I489" t="n">
        <v>0</v>
      </c>
      <c r="J489" t="n">
        <v>0</v>
      </c>
      <c r="K489" t="n">
        <v>0</v>
      </c>
      <c r="L489" t="n">
        <v>0</v>
      </c>
      <c r="M489" t="n">
        <v>0</v>
      </c>
      <c r="N489" t="n">
        <v>0</v>
      </c>
      <c r="O489" t="n">
        <v>0</v>
      </c>
      <c r="P489" t="n">
        <v>0</v>
      </c>
      <c r="Q489" t="n">
        <v>0</v>
      </c>
      <c r="R489" s="2" t="inlineStr"/>
    </row>
    <row r="490" ht="15" customHeight="1">
      <c r="A490" t="inlineStr">
        <is>
          <t>A 50143-2023</t>
        </is>
      </c>
      <c r="B490" s="1" t="n">
        <v>45215</v>
      </c>
      <c r="C490" s="1" t="n">
        <v>46047</v>
      </c>
      <c r="D490" t="inlineStr">
        <is>
          <t>STOCKHOLMS LÄN</t>
        </is>
      </c>
      <c r="E490" t="inlineStr">
        <is>
          <t>NORRTÄLJE</t>
        </is>
      </c>
      <c r="G490" t="n">
        <v>10.3</v>
      </c>
      <c r="H490" t="n">
        <v>0</v>
      </c>
      <c r="I490" t="n">
        <v>0</v>
      </c>
      <c r="J490" t="n">
        <v>0</v>
      </c>
      <c r="K490" t="n">
        <v>0</v>
      </c>
      <c r="L490" t="n">
        <v>0</v>
      </c>
      <c r="M490" t="n">
        <v>0</v>
      </c>
      <c r="N490" t="n">
        <v>0</v>
      </c>
      <c r="O490" t="n">
        <v>0</v>
      </c>
      <c r="P490" t="n">
        <v>0</v>
      </c>
      <c r="Q490" t="n">
        <v>0</v>
      </c>
      <c r="R490" s="2" t="inlineStr"/>
    </row>
    <row r="491" ht="15" customHeight="1">
      <c r="A491" t="inlineStr">
        <is>
          <t>A 1283-2025</t>
        </is>
      </c>
      <c r="B491" s="1" t="n">
        <v>45667.49878472222</v>
      </c>
      <c r="C491" s="1" t="n">
        <v>46047</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29176-2024</t>
        </is>
      </c>
      <c r="B492" s="1" t="n">
        <v>45482.53388888889</v>
      </c>
      <c r="C492" s="1" t="n">
        <v>46047</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36430-2024</t>
        </is>
      </c>
      <c r="B493" s="1" t="n">
        <v>45536</v>
      </c>
      <c r="C493" s="1" t="n">
        <v>46047</v>
      </c>
      <c r="D493" t="inlineStr">
        <is>
          <t>STOCKHOLMS LÄN</t>
        </is>
      </c>
      <c r="E493" t="inlineStr">
        <is>
          <t>NORRTÄLJE</t>
        </is>
      </c>
      <c r="G493" t="n">
        <v>1</v>
      </c>
      <c r="H493" t="n">
        <v>0</v>
      </c>
      <c r="I493" t="n">
        <v>0</v>
      </c>
      <c r="J493" t="n">
        <v>0</v>
      </c>
      <c r="K493" t="n">
        <v>0</v>
      </c>
      <c r="L493" t="n">
        <v>0</v>
      </c>
      <c r="M493" t="n">
        <v>0</v>
      </c>
      <c r="N493" t="n">
        <v>0</v>
      </c>
      <c r="O493" t="n">
        <v>0</v>
      </c>
      <c r="P493" t="n">
        <v>0</v>
      </c>
      <c r="Q493" t="n">
        <v>0</v>
      </c>
      <c r="R493" s="2" t="inlineStr"/>
    </row>
    <row r="494" ht="15" customHeight="1">
      <c r="A494" t="inlineStr">
        <is>
          <t>A 51312-2023</t>
        </is>
      </c>
      <c r="B494" s="1" t="n">
        <v>45219.56697916667</v>
      </c>
      <c r="C494" s="1" t="n">
        <v>46047</v>
      </c>
      <c r="D494" t="inlineStr">
        <is>
          <t>STOCKHOLMS LÄN</t>
        </is>
      </c>
      <c r="E494" t="inlineStr">
        <is>
          <t>NORRTÄLJE</t>
        </is>
      </c>
      <c r="G494" t="n">
        <v>1.9</v>
      </c>
      <c r="H494" t="n">
        <v>0</v>
      </c>
      <c r="I494" t="n">
        <v>0</v>
      </c>
      <c r="J494" t="n">
        <v>0</v>
      </c>
      <c r="K494" t="n">
        <v>0</v>
      </c>
      <c r="L494" t="n">
        <v>0</v>
      </c>
      <c r="M494" t="n">
        <v>0</v>
      </c>
      <c r="N494" t="n">
        <v>0</v>
      </c>
      <c r="O494" t="n">
        <v>0</v>
      </c>
      <c r="P494" t="n">
        <v>0</v>
      </c>
      <c r="Q494" t="n">
        <v>0</v>
      </c>
      <c r="R494" s="2" t="inlineStr"/>
    </row>
    <row r="495" ht="15" customHeight="1">
      <c r="A495" t="inlineStr">
        <is>
          <t>A 28603-2024</t>
        </is>
      </c>
      <c r="B495" s="1" t="n">
        <v>45478.42887731481</v>
      </c>
      <c r="C495" s="1" t="n">
        <v>46047</v>
      </c>
      <c r="D495" t="inlineStr">
        <is>
          <t>STOCKHOLMS LÄN</t>
        </is>
      </c>
      <c r="E495" t="inlineStr">
        <is>
          <t>NORRTÄLJE</t>
        </is>
      </c>
      <c r="G495" t="n">
        <v>5.6</v>
      </c>
      <c r="H495" t="n">
        <v>0</v>
      </c>
      <c r="I495" t="n">
        <v>0</v>
      </c>
      <c r="J495" t="n">
        <v>0</v>
      </c>
      <c r="K495" t="n">
        <v>0</v>
      </c>
      <c r="L495" t="n">
        <v>0</v>
      </c>
      <c r="M495" t="n">
        <v>0</v>
      </c>
      <c r="N495" t="n">
        <v>0</v>
      </c>
      <c r="O495" t="n">
        <v>0</v>
      </c>
      <c r="P495" t="n">
        <v>0</v>
      </c>
      <c r="Q495" t="n">
        <v>0</v>
      </c>
      <c r="R495" s="2" t="inlineStr"/>
    </row>
    <row r="496" ht="15" customHeight="1">
      <c r="A496" t="inlineStr">
        <is>
          <t>A 35640-2024</t>
        </is>
      </c>
      <c r="B496" s="1" t="n">
        <v>45531</v>
      </c>
      <c r="C496" s="1" t="n">
        <v>46047</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9703-2021</t>
        </is>
      </c>
      <c r="B497" s="1" t="n">
        <v>44252</v>
      </c>
      <c r="C497" s="1" t="n">
        <v>46047</v>
      </c>
      <c r="D497" t="inlineStr">
        <is>
          <t>STOCKHOLMS LÄN</t>
        </is>
      </c>
      <c r="E497" t="inlineStr">
        <is>
          <t>NORRTÄLJE</t>
        </is>
      </c>
      <c r="G497" t="n">
        <v>3.4</v>
      </c>
      <c r="H497" t="n">
        <v>0</v>
      </c>
      <c r="I497" t="n">
        <v>0</v>
      </c>
      <c r="J497" t="n">
        <v>0</v>
      </c>
      <c r="K497" t="n">
        <v>0</v>
      </c>
      <c r="L497" t="n">
        <v>0</v>
      </c>
      <c r="M497" t="n">
        <v>0</v>
      </c>
      <c r="N497" t="n">
        <v>0</v>
      </c>
      <c r="O497" t="n">
        <v>0</v>
      </c>
      <c r="P497" t="n">
        <v>0</v>
      </c>
      <c r="Q497" t="n">
        <v>0</v>
      </c>
      <c r="R497" s="2" t="inlineStr"/>
    </row>
    <row r="498" ht="15" customHeight="1">
      <c r="A498" t="inlineStr">
        <is>
          <t>A 43212-2022</t>
        </is>
      </c>
      <c r="B498" s="1" t="n">
        <v>44834.38636574074</v>
      </c>
      <c r="C498" s="1" t="n">
        <v>46047</v>
      </c>
      <c r="D498" t="inlineStr">
        <is>
          <t>STOCKHOLMS LÄN</t>
        </is>
      </c>
      <c r="E498" t="inlineStr">
        <is>
          <t>NORRTÄLJE</t>
        </is>
      </c>
      <c r="G498" t="n">
        <v>1.3</v>
      </c>
      <c r="H498" t="n">
        <v>0</v>
      </c>
      <c r="I498" t="n">
        <v>0</v>
      </c>
      <c r="J498" t="n">
        <v>0</v>
      </c>
      <c r="K498" t="n">
        <v>0</v>
      </c>
      <c r="L498" t="n">
        <v>0</v>
      </c>
      <c r="M498" t="n">
        <v>0</v>
      </c>
      <c r="N498" t="n">
        <v>0</v>
      </c>
      <c r="O498" t="n">
        <v>0</v>
      </c>
      <c r="P498" t="n">
        <v>0</v>
      </c>
      <c r="Q498" t="n">
        <v>0</v>
      </c>
      <c r="R498" s="2" t="inlineStr"/>
    </row>
    <row r="499" ht="15" customHeight="1">
      <c r="A499" t="inlineStr">
        <is>
          <t>A 51653-2022</t>
        </is>
      </c>
      <c r="B499" s="1" t="n">
        <v>44867</v>
      </c>
      <c r="C499" s="1" t="n">
        <v>46047</v>
      </c>
      <c r="D499" t="inlineStr">
        <is>
          <t>STOCKHOLMS LÄN</t>
        </is>
      </c>
      <c r="E499" t="inlineStr">
        <is>
          <t>NORRTÄLJE</t>
        </is>
      </c>
      <c r="G499" t="n">
        <v>6.6</v>
      </c>
      <c r="H499" t="n">
        <v>0</v>
      </c>
      <c r="I499" t="n">
        <v>0</v>
      </c>
      <c r="J499" t="n">
        <v>0</v>
      </c>
      <c r="K499" t="n">
        <v>0</v>
      </c>
      <c r="L499" t="n">
        <v>0</v>
      </c>
      <c r="M499" t="n">
        <v>0</v>
      </c>
      <c r="N499" t="n">
        <v>0</v>
      </c>
      <c r="O499" t="n">
        <v>0</v>
      </c>
      <c r="P499" t="n">
        <v>0</v>
      </c>
      <c r="Q499" t="n">
        <v>0</v>
      </c>
      <c r="R499" s="2" t="inlineStr"/>
    </row>
    <row r="500" ht="15" customHeight="1">
      <c r="A500" t="inlineStr">
        <is>
          <t>A 24690-2025</t>
        </is>
      </c>
      <c r="B500" s="1" t="n">
        <v>45798.67082175926</v>
      </c>
      <c r="C500" s="1" t="n">
        <v>46047</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7603-2025</t>
        </is>
      </c>
      <c r="B501" s="1" t="n">
        <v>45705.66126157407</v>
      </c>
      <c r="C501" s="1" t="n">
        <v>46047</v>
      </c>
      <c r="D501" t="inlineStr">
        <is>
          <t>STOCKHOLMS LÄN</t>
        </is>
      </c>
      <c r="E501" t="inlineStr">
        <is>
          <t>NORRTÄLJE</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4322-2023</t>
        </is>
      </c>
      <c r="B502" s="1" t="n">
        <v>44953.69298611111</v>
      </c>
      <c r="C502" s="1" t="n">
        <v>46047</v>
      </c>
      <c r="D502" t="inlineStr">
        <is>
          <t>STOCKHOLMS LÄN</t>
        </is>
      </c>
      <c r="E502" t="inlineStr">
        <is>
          <t>NORRTÄLJE</t>
        </is>
      </c>
      <c r="G502" t="n">
        <v>1.3</v>
      </c>
      <c r="H502" t="n">
        <v>0</v>
      </c>
      <c r="I502" t="n">
        <v>0</v>
      </c>
      <c r="J502" t="n">
        <v>0</v>
      </c>
      <c r="K502" t="n">
        <v>0</v>
      </c>
      <c r="L502" t="n">
        <v>0</v>
      </c>
      <c r="M502" t="n">
        <v>0</v>
      </c>
      <c r="N502" t="n">
        <v>0</v>
      </c>
      <c r="O502" t="n">
        <v>0</v>
      </c>
      <c r="P502" t="n">
        <v>0</v>
      </c>
      <c r="Q502" t="n">
        <v>0</v>
      </c>
      <c r="R502" s="2" t="inlineStr"/>
    </row>
    <row r="503" ht="15" customHeight="1">
      <c r="A503" t="inlineStr">
        <is>
          <t>A 47259-2024</t>
        </is>
      </c>
      <c r="B503" s="1" t="n">
        <v>45586</v>
      </c>
      <c r="C503" s="1" t="n">
        <v>46047</v>
      </c>
      <c r="D503" t="inlineStr">
        <is>
          <t>STOCKHOLMS LÄN</t>
        </is>
      </c>
      <c r="E503" t="inlineStr">
        <is>
          <t>NORRTÄLJE</t>
        </is>
      </c>
      <c r="G503" t="n">
        <v>1.8</v>
      </c>
      <c r="H503" t="n">
        <v>0</v>
      </c>
      <c r="I503" t="n">
        <v>0</v>
      </c>
      <c r="J503" t="n">
        <v>0</v>
      </c>
      <c r="K503" t="n">
        <v>0</v>
      </c>
      <c r="L503" t="n">
        <v>0</v>
      </c>
      <c r="M503" t="n">
        <v>0</v>
      </c>
      <c r="N503" t="n">
        <v>0</v>
      </c>
      <c r="O503" t="n">
        <v>0</v>
      </c>
      <c r="P503" t="n">
        <v>0</v>
      </c>
      <c r="Q503" t="n">
        <v>0</v>
      </c>
      <c r="R503" s="2" t="inlineStr"/>
    </row>
    <row r="504" ht="15" customHeight="1">
      <c r="A504" t="inlineStr">
        <is>
          <t>A 25702-2025</t>
        </is>
      </c>
      <c r="B504" s="1" t="n">
        <v>45800</v>
      </c>
      <c r="C504" s="1" t="n">
        <v>46047</v>
      </c>
      <c r="D504" t="inlineStr">
        <is>
          <t>STOCKHOLMS LÄN</t>
        </is>
      </c>
      <c r="E504" t="inlineStr">
        <is>
          <t>NORRTÄLJE</t>
        </is>
      </c>
      <c r="G504" t="n">
        <v>5.3</v>
      </c>
      <c r="H504" t="n">
        <v>0</v>
      </c>
      <c r="I504" t="n">
        <v>0</v>
      </c>
      <c r="J504" t="n">
        <v>0</v>
      </c>
      <c r="K504" t="n">
        <v>0</v>
      </c>
      <c r="L504" t="n">
        <v>0</v>
      </c>
      <c r="M504" t="n">
        <v>0</v>
      </c>
      <c r="N504" t="n">
        <v>0</v>
      </c>
      <c r="O504" t="n">
        <v>0</v>
      </c>
      <c r="P504" t="n">
        <v>0</v>
      </c>
      <c r="Q504" t="n">
        <v>0</v>
      </c>
      <c r="R504" s="2" t="inlineStr"/>
    </row>
    <row r="505" ht="15" customHeight="1">
      <c r="A505" t="inlineStr">
        <is>
          <t>A 13767-2025</t>
        </is>
      </c>
      <c r="B505" s="1" t="n">
        <v>45737.43347222222</v>
      </c>
      <c r="C505" s="1" t="n">
        <v>46047</v>
      </c>
      <c r="D505" t="inlineStr">
        <is>
          <t>STOCKHOLMS LÄN</t>
        </is>
      </c>
      <c r="E505" t="inlineStr">
        <is>
          <t>NORRTÄLJE</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30802-2022</t>
        </is>
      </c>
      <c r="B506" s="1" t="n">
        <v>44764</v>
      </c>
      <c r="C506" s="1" t="n">
        <v>46047</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20013-2025</t>
        </is>
      </c>
      <c r="B507" s="1" t="n">
        <v>45772.30436342592</v>
      </c>
      <c r="C507" s="1" t="n">
        <v>46047</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53362-2023</t>
        </is>
      </c>
      <c r="B508" s="1" t="n">
        <v>45223</v>
      </c>
      <c r="C508" s="1" t="n">
        <v>46047</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15422-2024</t>
        </is>
      </c>
      <c r="B509" s="1" t="n">
        <v>45401.3653125</v>
      </c>
      <c r="C509" s="1" t="n">
        <v>46047</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25712-2025</t>
        </is>
      </c>
      <c r="B510" s="1" t="n">
        <v>45803.69228009259</v>
      </c>
      <c r="C510" s="1" t="n">
        <v>46047</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25733-2025</t>
        </is>
      </c>
      <c r="B511" s="1" t="n">
        <v>45800</v>
      </c>
      <c r="C511" s="1" t="n">
        <v>46047</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39238-2024</t>
        </is>
      </c>
      <c r="B512" s="1" t="n">
        <v>45549</v>
      </c>
      <c r="C512" s="1" t="n">
        <v>46047</v>
      </c>
      <c r="D512" t="inlineStr">
        <is>
          <t>STOCKHOLMS LÄN</t>
        </is>
      </c>
      <c r="E512" t="inlineStr">
        <is>
          <t>NORRTÄLJE</t>
        </is>
      </c>
      <c r="G512" t="n">
        <v>3.6</v>
      </c>
      <c r="H512" t="n">
        <v>0</v>
      </c>
      <c r="I512" t="n">
        <v>0</v>
      </c>
      <c r="J512" t="n">
        <v>0</v>
      </c>
      <c r="K512" t="n">
        <v>0</v>
      </c>
      <c r="L512" t="n">
        <v>0</v>
      </c>
      <c r="M512" t="n">
        <v>0</v>
      </c>
      <c r="N512" t="n">
        <v>0</v>
      </c>
      <c r="O512" t="n">
        <v>0</v>
      </c>
      <c r="P512" t="n">
        <v>0</v>
      </c>
      <c r="Q512" t="n">
        <v>0</v>
      </c>
      <c r="R512" s="2" t="inlineStr"/>
    </row>
    <row r="513" ht="15" customHeight="1">
      <c r="A513" t="inlineStr">
        <is>
          <t>A 38990-2022</t>
        </is>
      </c>
      <c r="B513" s="1" t="n">
        <v>44816</v>
      </c>
      <c r="C513" s="1" t="n">
        <v>46047</v>
      </c>
      <c r="D513" t="inlineStr">
        <is>
          <t>STOCKHOLMS LÄN</t>
        </is>
      </c>
      <c r="E513" t="inlineStr">
        <is>
          <t>NORRTÄLJE</t>
        </is>
      </c>
      <c r="G513" t="n">
        <v>5.7</v>
      </c>
      <c r="H513" t="n">
        <v>0</v>
      </c>
      <c r="I513" t="n">
        <v>0</v>
      </c>
      <c r="J513" t="n">
        <v>0</v>
      </c>
      <c r="K513" t="n">
        <v>0</v>
      </c>
      <c r="L513" t="n">
        <v>0</v>
      </c>
      <c r="M513" t="n">
        <v>0</v>
      </c>
      <c r="N513" t="n">
        <v>0</v>
      </c>
      <c r="O513" t="n">
        <v>0</v>
      </c>
      <c r="P513" t="n">
        <v>0</v>
      </c>
      <c r="Q513" t="n">
        <v>0</v>
      </c>
      <c r="R513" s="2" t="inlineStr"/>
    </row>
    <row r="514" ht="15" customHeight="1">
      <c r="A514" t="inlineStr">
        <is>
          <t>A 30508-2023</t>
        </is>
      </c>
      <c r="B514" s="1" t="n">
        <v>45111</v>
      </c>
      <c r="C514" s="1" t="n">
        <v>46047</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25571-2025</t>
        </is>
      </c>
      <c r="B515" s="1" t="n">
        <v>45803.4675</v>
      </c>
      <c r="C515" s="1" t="n">
        <v>46047</v>
      </c>
      <c r="D515" t="inlineStr">
        <is>
          <t>STOCKHOLMS LÄN</t>
        </is>
      </c>
      <c r="E515" t="inlineStr">
        <is>
          <t>NORRTÄLJE</t>
        </is>
      </c>
      <c r="G515" t="n">
        <v>5.4</v>
      </c>
      <c r="H515" t="n">
        <v>0</v>
      </c>
      <c r="I515" t="n">
        <v>0</v>
      </c>
      <c r="J515" t="n">
        <v>0</v>
      </c>
      <c r="K515" t="n">
        <v>0</v>
      </c>
      <c r="L515" t="n">
        <v>0</v>
      </c>
      <c r="M515" t="n">
        <v>0</v>
      </c>
      <c r="N515" t="n">
        <v>0</v>
      </c>
      <c r="O515" t="n">
        <v>0</v>
      </c>
      <c r="P515" t="n">
        <v>0</v>
      </c>
      <c r="Q515" t="n">
        <v>0</v>
      </c>
      <c r="R515" s="2" t="inlineStr"/>
    </row>
    <row r="516" ht="15" customHeight="1">
      <c r="A516" t="inlineStr">
        <is>
          <t>A 17956-2025</t>
        </is>
      </c>
      <c r="B516" s="1" t="n">
        <v>45760.91174768518</v>
      </c>
      <c r="C516" s="1" t="n">
        <v>46047</v>
      </c>
      <c r="D516" t="inlineStr">
        <is>
          <t>STOCKHOLMS LÄN</t>
        </is>
      </c>
      <c r="E516" t="inlineStr">
        <is>
          <t>NORRTÄLJE</t>
        </is>
      </c>
      <c r="G516" t="n">
        <v>4.3</v>
      </c>
      <c r="H516" t="n">
        <v>0</v>
      </c>
      <c r="I516" t="n">
        <v>0</v>
      </c>
      <c r="J516" t="n">
        <v>0</v>
      </c>
      <c r="K516" t="n">
        <v>0</v>
      </c>
      <c r="L516" t="n">
        <v>0</v>
      </c>
      <c r="M516" t="n">
        <v>0</v>
      </c>
      <c r="N516" t="n">
        <v>0</v>
      </c>
      <c r="O516" t="n">
        <v>0</v>
      </c>
      <c r="P516" t="n">
        <v>0</v>
      </c>
      <c r="Q516" t="n">
        <v>0</v>
      </c>
      <c r="R516" s="2" t="inlineStr"/>
    </row>
    <row r="517" ht="15" customHeight="1">
      <c r="A517" t="inlineStr">
        <is>
          <t>A 55369-2023</t>
        </is>
      </c>
      <c r="B517" s="1" t="n">
        <v>45238</v>
      </c>
      <c r="C517" s="1" t="n">
        <v>46047</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25721-2025</t>
        </is>
      </c>
      <c r="B518" s="1" t="n">
        <v>45800</v>
      </c>
      <c r="C518" s="1" t="n">
        <v>46047</v>
      </c>
      <c r="D518" t="inlineStr">
        <is>
          <t>STOCKHOLMS LÄN</t>
        </is>
      </c>
      <c r="E518" t="inlineStr">
        <is>
          <t>NORRTÄLJE</t>
        </is>
      </c>
      <c r="G518" t="n">
        <v>6</v>
      </c>
      <c r="H518" t="n">
        <v>0</v>
      </c>
      <c r="I518" t="n">
        <v>0</v>
      </c>
      <c r="J518" t="n">
        <v>0</v>
      </c>
      <c r="K518" t="n">
        <v>0</v>
      </c>
      <c r="L518" t="n">
        <v>0</v>
      </c>
      <c r="M518" t="n">
        <v>0</v>
      </c>
      <c r="N518" t="n">
        <v>0</v>
      </c>
      <c r="O518" t="n">
        <v>0</v>
      </c>
      <c r="P518" t="n">
        <v>0</v>
      </c>
      <c r="Q518" t="n">
        <v>0</v>
      </c>
      <c r="R518" s="2" t="inlineStr"/>
    </row>
    <row r="519" ht="15" customHeight="1">
      <c r="A519" t="inlineStr">
        <is>
          <t>A 875-2023</t>
        </is>
      </c>
      <c r="B519" s="1" t="n">
        <v>44931.65626157408</v>
      </c>
      <c r="C519" s="1" t="n">
        <v>46047</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31236-2022</t>
        </is>
      </c>
      <c r="B520" s="1" t="n">
        <v>44771</v>
      </c>
      <c r="C520" s="1" t="n">
        <v>46047</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8315-2025</t>
        </is>
      </c>
      <c r="B521" s="1" t="n">
        <v>45708.61761574074</v>
      </c>
      <c r="C521" s="1" t="n">
        <v>46047</v>
      </c>
      <c r="D521" t="inlineStr">
        <is>
          <t>STOCKHOLMS LÄN</t>
        </is>
      </c>
      <c r="E521" t="inlineStr">
        <is>
          <t>NORRTÄLJE</t>
        </is>
      </c>
      <c r="G521" t="n">
        <v>3.9</v>
      </c>
      <c r="H521" t="n">
        <v>0</v>
      </c>
      <c r="I521" t="n">
        <v>0</v>
      </c>
      <c r="J521" t="n">
        <v>0</v>
      </c>
      <c r="K521" t="n">
        <v>0</v>
      </c>
      <c r="L521" t="n">
        <v>0</v>
      </c>
      <c r="M521" t="n">
        <v>0</v>
      </c>
      <c r="N521" t="n">
        <v>0</v>
      </c>
      <c r="O521" t="n">
        <v>0</v>
      </c>
      <c r="P521" t="n">
        <v>0</v>
      </c>
      <c r="Q521" t="n">
        <v>0</v>
      </c>
      <c r="R521" s="2" t="inlineStr"/>
    </row>
    <row r="522" ht="15" customHeight="1">
      <c r="A522" t="inlineStr">
        <is>
          <t>A 31281-2022</t>
        </is>
      </c>
      <c r="B522" s="1" t="n">
        <v>44771</v>
      </c>
      <c r="C522" s="1" t="n">
        <v>46047</v>
      </c>
      <c r="D522" t="inlineStr">
        <is>
          <t>STOCKHOLMS LÄN</t>
        </is>
      </c>
      <c r="E522" t="inlineStr">
        <is>
          <t>NORRTÄLJE</t>
        </is>
      </c>
      <c r="F522" t="inlineStr">
        <is>
          <t>Holmen skog AB</t>
        </is>
      </c>
      <c r="G522" t="n">
        <v>5.2</v>
      </c>
      <c r="H522" t="n">
        <v>0</v>
      </c>
      <c r="I522" t="n">
        <v>0</v>
      </c>
      <c r="J522" t="n">
        <v>0</v>
      </c>
      <c r="K522" t="n">
        <v>0</v>
      </c>
      <c r="L522" t="n">
        <v>0</v>
      </c>
      <c r="M522" t="n">
        <v>0</v>
      </c>
      <c r="N522" t="n">
        <v>0</v>
      </c>
      <c r="O522" t="n">
        <v>0</v>
      </c>
      <c r="P522" t="n">
        <v>0</v>
      </c>
      <c r="Q522" t="n">
        <v>0</v>
      </c>
      <c r="R522" s="2" t="inlineStr"/>
    </row>
    <row r="523" ht="15" customHeight="1">
      <c r="A523" t="inlineStr">
        <is>
          <t>A 25697-2025</t>
        </is>
      </c>
      <c r="B523" s="1" t="n">
        <v>45803.66587962963</v>
      </c>
      <c r="C523" s="1" t="n">
        <v>46047</v>
      </c>
      <c r="D523" t="inlineStr">
        <is>
          <t>STOCKHOLMS LÄN</t>
        </is>
      </c>
      <c r="E523" t="inlineStr">
        <is>
          <t>NORRTÄLJE</t>
        </is>
      </c>
      <c r="G523" t="n">
        <v>2.5</v>
      </c>
      <c r="H523" t="n">
        <v>0</v>
      </c>
      <c r="I523" t="n">
        <v>0</v>
      </c>
      <c r="J523" t="n">
        <v>0</v>
      </c>
      <c r="K523" t="n">
        <v>0</v>
      </c>
      <c r="L523" t="n">
        <v>0</v>
      </c>
      <c r="M523" t="n">
        <v>0</v>
      </c>
      <c r="N523" t="n">
        <v>0</v>
      </c>
      <c r="O523" t="n">
        <v>0</v>
      </c>
      <c r="P523" t="n">
        <v>0</v>
      </c>
      <c r="Q523" t="n">
        <v>0</v>
      </c>
      <c r="R523" s="2" t="inlineStr"/>
    </row>
    <row r="524" ht="15" customHeight="1">
      <c r="A524" t="inlineStr">
        <is>
          <t>A 41218-2024</t>
        </is>
      </c>
      <c r="B524" s="1" t="n">
        <v>45559.54706018518</v>
      </c>
      <c r="C524" s="1" t="n">
        <v>46047</v>
      </c>
      <c r="D524" t="inlineStr">
        <is>
          <t>STOCKHOLMS LÄN</t>
        </is>
      </c>
      <c r="E524" t="inlineStr">
        <is>
          <t>NORRTÄLJE</t>
        </is>
      </c>
      <c r="G524" t="n">
        <v>6</v>
      </c>
      <c r="H524" t="n">
        <v>0</v>
      </c>
      <c r="I524" t="n">
        <v>0</v>
      </c>
      <c r="J524" t="n">
        <v>0</v>
      </c>
      <c r="K524" t="n">
        <v>0</v>
      </c>
      <c r="L524" t="n">
        <v>0</v>
      </c>
      <c r="M524" t="n">
        <v>0</v>
      </c>
      <c r="N524" t="n">
        <v>0</v>
      </c>
      <c r="O524" t="n">
        <v>0</v>
      </c>
      <c r="P524" t="n">
        <v>0</v>
      </c>
      <c r="Q524" t="n">
        <v>0</v>
      </c>
      <c r="R524" s="2" t="inlineStr"/>
    </row>
    <row r="525" ht="15" customHeight="1">
      <c r="A525" t="inlineStr">
        <is>
          <t>A 16008-2025</t>
        </is>
      </c>
      <c r="B525" s="1" t="n">
        <v>45749</v>
      </c>
      <c r="C525" s="1" t="n">
        <v>46047</v>
      </c>
      <c r="D525" t="inlineStr">
        <is>
          <t>STOCKHOLMS LÄN</t>
        </is>
      </c>
      <c r="E525" t="inlineStr">
        <is>
          <t>NORRTÄLJE</t>
        </is>
      </c>
      <c r="F525" t="inlineStr">
        <is>
          <t>Holmen skog AB</t>
        </is>
      </c>
      <c r="G525" t="n">
        <v>0.9</v>
      </c>
      <c r="H525" t="n">
        <v>0</v>
      </c>
      <c r="I525" t="n">
        <v>0</v>
      </c>
      <c r="J525" t="n">
        <v>0</v>
      </c>
      <c r="K525" t="n">
        <v>0</v>
      </c>
      <c r="L525" t="n">
        <v>0</v>
      </c>
      <c r="M525" t="n">
        <v>0</v>
      </c>
      <c r="N525" t="n">
        <v>0</v>
      </c>
      <c r="O525" t="n">
        <v>0</v>
      </c>
      <c r="P525" t="n">
        <v>0</v>
      </c>
      <c r="Q525" t="n">
        <v>0</v>
      </c>
      <c r="R525" s="2" t="inlineStr"/>
    </row>
    <row r="526" ht="15" customHeight="1">
      <c r="A526" t="inlineStr">
        <is>
          <t>A 21158-2022</t>
        </is>
      </c>
      <c r="B526" s="1" t="n">
        <v>44704</v>
      </c>
      <c r="C526" s="1" t="n">
        <v>46047</v>
      </c>
      <c r="D526" t="inlineStr">
        <is>
          <t>STOCKHOLMS LÄN</t>
        </is>
      </c>
      <c r="E526" t="inlineStr">
        <is>
          <t>NORRTÄLJE</t>
        </is>
      </c>
      <c r="G526" t="n">
        <v>17.8</v>
      </c>
      <c r="H526" t="n">
        <v>0</v>
      </c>
      <c r="I526" t="n">
        <v>0</v>
      </c>
      <c r="J526" t="n">
        <v>0</v>
      </c>
      <c r="K526" t="n">
        <v>0</v>
      </c>
      <c r="L526" t="n">
        <v>0</v>
      </c>
      <c r="M526" t="n">
        <v>0</v>
      </c>
      <c r="N526" t="n">
        <v>0</v>
      </c>
      <c r="O526" t="n">
        <v>0</v>
      </c>
      <c r="P526" t="n">
        <v>0</v>
      </c>
      <c r="Q526" t="n">
        <v>0</v>
      </c>
      <c r="R526" s="2" t="inlineStr"/>
    </row>
    <row r="527" ht="15" customHeight="1">
      <c r="A527" t="inlineStr">
        <is>
          <t>A 38449-2022</t>
        </is>
      </c>
      <c r="B527" s="1" t="n">
        <v>44813</v>
      </c>
      <c r="C527" s="1" t="n">
        <v>46047</v>
      </c>
      <c r="D527" t="inlineStr">
        <is>
          <t>STOCKHOLMS LÄN</t>
        </is>
      </c>
      <c r="E527" t="inlineStr">
        <is>
          <t>NORRTÄLJE</t>
        </is>
      </c>
      <c r="G527" t="n">
        <v>4.2</v>
      </c>
      <c r="H527" t="n">
        <v>0</v>
      </c>
      <c r="I527" t="n">
        <v>0</v>
      </c>
      <c r="J527" t="n">
        <v>0</v>
      </c>
      <c r="K527" t="n">
        <v>0</v>
      </c>
      <c r="L527" t="n">
        <v>0</v>
      </c>
      <c r="M527" t="n">
        <v>0</v>
      </c>
      <c r="N527" t="n">
        <v>0</v>
      </c>
      <c r="O527" t="n">
        <v>0</v>
      </c>
      <c r="P527" t="n">
        <v>0</v>
      </c>
      <c r="Q527" t="n">
        <v>0</v>
      </c>
      <c r="R527" s="2" t="inlineStr"/>
    </row>
    <row r="528" ht="15" customHeight="1">
      <c r="A528" t="inlineStr">
        <is>
          <t>A 18665-2022</t>
        </is>
      </c>
      <c r="B528" s="1" t="n">
        <v>44687</v>
      </c>
      <c r="C528" s="1" t="n">
        <v>46047</v>
      </c>
      <c r="D528" t="inlineStr">
        <is>
          <t>STOCKHOLMS LÄN</t>
        </is>
      </c>
      <c r="E528" t="inlineStr">
        <is>
          <t>NORRTÄLJE</t>
        </is>
      </c>
      <c r="F528" t="inlineStr">
        <is>
          <t>Kyrkan</t>
        </is>
      </c>
      <c r="G528" t="n">
        <v>1.1</v>
      </c>
      <c r="H528" t="n">
        <v>0</v>
      </c>
      <c r="I528" t="n">
        <v>0</v>
      </c>
      <c r="J528" t="n">
        <v>0</v>
      </c>
      <c r="K528" t="n">
        <v>0</v>
      </c>
      <c r="L528" t="n">
        <v>0</v>
      </c>
      <c r="M528" t="n">
        <v>0</v>
      </c>
      <c r="N528" t="n">
        <v>0</v>
      </c>
      <c r="O528" t="n">
        <v>0</v>
      </c>
      <c r="P528" t="n">
        <v>0</v>
      </c>
      <c r="Q528" t="n">
        <v>0</v>
      </c>
      <c r="R528" s="2" t="inlineStr"/>
    </row>
    <row r="529" ht="15" customHeight="1">
      <c r="A529" t="inlineStr">
        <is>
          <t>A 32101-2022</t>
        </is>
      </c>
      <c r="B529" s="1" t="n">
        <v>44778.69210648148</v>
      </c>
      <c r="C529" s="1" t="n">
        <v>46047</v>
      </c>
      <c r="D529" t="inlineStr">
        <is>
          <t>STOCKHOLMS LÄN</t>
        </is>
      </c>
      <c r="E529" t="inlineStr">
        <is>
          <t>NORRTÄLJE</t>
        </is>
      </c>
      <c r="G529" t="n">
        <v>4.4</v>
      </c>
      <c r="H529" t="n">
        <v>0</v>
      </c>
      <c r="I529" t="n">
        <v>0</v>
      </c>
      <c r="J529" t="n">
        <v>0</v>
      </c>
      <c r="K529" t="n">
        <v>0</v>
      </c>
      <c r="L529" t="n">
        <v>0</v>
      </c>
      <c r="M529" t="n">
        <v>0</v>
      </c>
      <c r="N529" t="n">
        <v>0</v>
      </c>
      <c r="O529" t="n">
        <v>0</v>
      </c>
      <c r="P529" t="n">
        <v>0</v>
      </c>
      <c r="Q529" t="n">
        <v>0</v>
      </c>
      <c r="R529" s="2" t="inlineStr"/>
    </row>
    <row r="530" ht="15" customHeight="1">
      <c r="A530" t="inlineStr">
        <is>
          <t>A 61113-2023</t>
        </is>
      </c>
      <c r="B530" s="1" t="n">
        <v>45261</v>
      </c>
      <c r="C530" s="1" t="n">
        <v>46047</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3283-2025</t>
        </is>
      </c>
      <c r="B531" s="1" t="n">
        <v>45679</v>
      </c>
      <c r="C531" s="1" t="n">
        <v>46047</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34478-2025</t>
        </is>
      </c>
      <c r="B532" s="1" t="n">
        <v>45847.37414351852</v>
      </c>
      <c r="C532" s="1" t="n">
        <v>46047</v>
      </c>
      <c r="D532" t="inlineStr">
        <is>
          <t>STOCKHOLMS LÄN</t>
        </is>
      </c>
      <c r="E532" t="inlineStr">
        <is>
          <t>NORRTÄLJE</t>
        </is>
      </c>
      <c r="F532" t="inlineStr">
        <is>
          <t>Övriga Aktiebolag</t>
        </is>
      </c>
      <c r="G532" t="n">
        <v>10.8</v>
      </c>
      <c r="H532" t="n">
        <v>0</v>
      </c>
      <c r="I532" t="n">
        <v>0</v>
      </c>
      <c r="J532" t="n">
        <v>0</v>
      </c>
      <c r="K532" t="n">
        <v>0</v>
      </c>
      <c r="L532" t="n">
        <v>0</v>
      </c>
      <c r="M532" t="n">
        <v>0</v>
      </c>
      <c r="N532" t="n">
        <v>0</v>
      </c>
      <c r="O532" t="n">
        <v>0</v>
      </c>
      <c r="P532" t="n">
        <v>0</v>
      </c>
      <c r="Q532" t="n">
        <v>0</v>
      </c>
      <c r="R532" s="2" t="inlineStr"/>
    </row>
    <row r="533" ht="15" customHeight="1">
      <c r="A533" t="inlineStr">
        <is>
          <t>A 23150-2024</t>
        </is>
      </c>
      <c r="B533" s="1" t="n">
        <v>45450.64643518518</v>
      </c>
      <c r="C533" s="1" t="n">
        <v>46047</v>
      </c>
      <c r="D533" t="inlineStr">
        <is>
          <t>STOCKHOLMS LÄN</t>
        </is>
      </c>
      <c r="E533" t="inlineStr">
        <is>
          <t>NORRTÄLJE</t>
        </is>
      </c>
      <c r="F533" t="inlineStr">
        <is>
          <t>Kommuner</t>
        </is>
      </c>
      <c r="G533" t="n">
        <v>2.7</v>
      </c>
      <c r="H533" t="n">
        <v>0</v>
      </c>
      <c r="I533" t="n">
        <v>0</v>
      </c>
      <c r="J533" t="n">
        <v>0</v>
      </c>
      <c r="K533" t="n">
        <v>0</v>
      </c>
      <c r="L533" t="n">
        <v>0</v>
      </c>
      <c r="M533" t="n">
        <v>0</v>
      </c>
      <c r="N533" t="n">
        <v>0</v>
      </c>
      <c r="O533" t="n">
        <v>0</v>
      </c>
      <c r="P533" t="n">
        <v>0</v>
      </c>
      <c r="Q533" t="n">
        <v>0</v>
      </c>
      <c r="R533" s="2" t="inlineStr"/>
    </row>
    <row r="534" ht="15" customHeight="1">
      <c r="A534" t="inlineStr">
        <is>
          <t>A 24933-2023</t>
        </is>
      </c>
      <c r="B534" s="1" t="n">
        <v>45085.5309375</v>
      </c>
      <c r="C534" s="1" t="n">
        <v>46047</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34295-2024</t>
        </is>
      </c>
      <c r="B535" s="1" t="n">
        <v>45524</v>
      </c>
      <c r="C535" s="1" t="n">
        <v>46047</v>
      </c>
      <c r="D535" t="inlineStr">
        <is>
          <t>STOCKHOLMS LÄN</t>
        </is>
      </c>
      <c r="E535" t="inlineStr">
        <is>
          <t>NORRTÄLJE</t>
        </is>
      </c>
      <c r="G535" t="n">
        <v>1.3</v>
      </c>
      <c r="H535" t="n">
        <v>0</v>
      </c>
      <c r="I535" t="n">
        <v>0</v>
      </c>
      <c r="J535" t="n">
        <v>0</v>
      </c>
      <c r="K535" t="n">
        <v>0</v>
      </c>
      <c r="L535" t="n">
        <v>0</v>
      </c>
      <c r="M535" t="n">
        <v>0</v>
      </c>
      <c r="N535" t="n">
        <v>0</v>
      </c>
      <c r="O535" t="n">
        <v>0</v>
      </c>
      <c r="P535" t="n">
        <v>0</v>
      </c>
      <c r="Q535" t="n">
        <v>0</v>
      </c>
      <c r="R535" s="2" t="inlineStr"/>
    </row>
    <row r="536" ht="15" customHeight="1">
      <c r="A536" t="inlineStr">
        <is>
          <t>A 58302-2022</t>
        </is>
      </c>
      <c r="B536" s="1" t="n">
        <v>44901</v>
      </c>
      <c r="C536" s="1" t="n">
        <v>46047</v>
      </c>
      <c r="D536" t="inlineStr">
        <is>
          <t>STOCKHOLMS LÄN</t>
        </is>
      </c>
      <c r="E536" t="inlineStr">
        <is>
          <t>NORRTÄLJE</t>
        </is>
      </c>
      <c r="G536" t="n">
        <v>3.9</v>
      </c>
      <c r="H536" t="n">
        <v>0</v>
      </c>
      <c r="I536" t="n">
        <v>0</v>
      </c>
      <c r="J536" t="n">
        <v>0</v>
      </c>
      <c r="K536" t="n">
        <v>0</v>
      </c>
      <c r="L536" t="n">
        <v>0</v>
      </c>
      <c r="M536" t="n">
        <v>0</v>
      </c>
      <c r="N536" t="n">
        <v>0</v>
      </c>
      <c r="O536" t="n">
        <v>0</v>
      </c>
      <c r="P536" t="n">
        <v>0</v>
      </c>
      <c r="Q536" t="n">
        <v>0</v>
      </c>
      <c r="R536" s="2" t="inlineStr"/>
    </row>
    <row r="537" ht="15" customHeight="1">
      <c r="A537" t="inlineStr">
        <is>
          <t>A 58311-2023</t>
        </is>
      </c>
      <c r="B537" s="1" t="n">
        <v>45245</v>
      </c>
      <c r="C537" s="1" t="n">
        <v>46047</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53561-2023</t>
        </is>
      </c>
      <c r="B538" s="1" t="n">
        <v>45224</v>
      </c>
      <c r="C538" s="1" t="n">
        <v>46047</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23692-2024</t>
        </is>
      </c>
      <c r="B539" s="1" t="n">
        <v>45454.65774305556</v>
      </c>
      <c r="C539" s="1" t="n">
        <v>46047</v>
      </c>
      <c r="D539" t="inlineStr">
        <is>
          <t>STOCKHOLMS LÄN</t>
        </is>
      </c>
      <c r="E539" t="inlineStr">
        <is>
          <t>NORRTÄLJE</t>
        </is>
      </c>
      <c r="G539" t="n">
        <v>3.7</v>
      </c>
      <c r="H539" t="n">
        <v>0</v>
      </c>
      <c r="I539" t="n">
        <v>0</v>
      </c>
      <c r="J539" t="n">
        <v>0</v>
      </c>
      <c r="K539" t="n">
        <v>0</v>
      </c>
      <c r="L539" t="n">
        <v>0</v>
      </c>
      <c r="M539" t="n">
        <v>0</v>
      </c>
      <c r="N539" t="n">
        <v>0</v>
      </c>
      <c r="O539" t="n">
        <v>0</v>
      </c>
      <c r="P539" t="n">
        <v>0</v>
      </c>
      <c r="Q539" t="n">
        <v>0</v>
      </c>
      <c r="R539" s="2" t="inlineStr"/>
    </row>
    <row r="540" ht="15" customHeight="1">
      <c r="A540" t="inlineStr">
        <is>
          <t>A 56631-2024</t>
        </is>
      </c>
      <c r="B540" s="1" t="n">
        <v>45625</v>
      </c>
      <c r="C540" s="1" t="n">
        <v>46047</v>
      </c>
      <c r="D540" t="inlineStr">
        <is>
          <t>STOCKHOLMS LÄN</t>
        </is>
      </c>
      <c r="E540" t="inlineStr">
        <is>
          <t>NORRTÄLJE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652-2025</t>
        </is>
      </c>
      <c r="B541" s="1" t="n">
        <v>45664</v>
      </c>
      <c r="C541" s="1" t="n">
        <v>46047</v>
      </c>
      <c r="D541" t="inlineStr">
        <is>
          <t>STOCKHOLMS LÄN</t>
        </is>
      </c>
      <c r="E541" t="inlineStr">
        <is>
          <t>NORRTÄLJE</t>
        </is>
      </c>
      <c r="G541" t="n">
        <v>2.5</v>
      </c>
      <c r="H541" t="n">
        <v>0</v>
      </c>
      <c r="I541" t="n">
        <v>0</v>
      </c>
      <c r="J541" t="n">
        <v>0</v>
      </c>
      <c r="K541" t="n">
        <v>0</v>
      </c>
      <c r="L541" t="n">
        <v>0</v>
      </c>
      <c r="M541" t="n">
        <v>0</v>
      </c>
      <c r="N541" t="n">
        <v>0</v>
      </c>
      <c r="O541" t="n">
        <v>0</v>
      </c>
      <c r="P541" t="n">
        <v>0</v>
      </c>
      <c r="Q541" t="n">
        <v>0</v>
      </c>
      <c r="R541" s="2" t="inlineStr"/>
    </row>
    <row r="542" ht="15" customHeight="1">
      <c r="A542" t="inlineStr">
        <is>
          <t>A 38591-2023</t>
        </is>
      </c>
      <c r="B542" s="1" t="n">
        <v>45162</v>
      </c>
      <c r="C542" s="1" t="n">
        <v>46047</v>
      </c>
      <c r="D542" t="inlineStr">
        <is>
          <t>STOCKHOLMS LÄN</t>
        </is>
      </c>
      <c r="E542" t="inlineStr">
        <is>
          <t>NORRTÄLJE</t>
        </is>
      </c>
      <c r="F542" t="inlineStr">
        <is>
          <t>Övriga Aktiebolag</t>
        </is>
      </c>
      <c r="G542" t="n">
        <v>3.1</v>
      </c>
      <c r="H542" t="n">
        <v>0</v>
      </c>
      <c r="I542" t="n">
        <v>0</v>
      </c>
      <c r="J542" t="n">
        <v>0</v>
      </c>
      <c r="K542" t="n">
        <v>0</v>
      </c>
      <c r="L542" t="n">
        <v>0</v>
      </c>
      <c r="M542" t="n">
        <v>0</v>
      </c>
      <c r="N542" t="n">
        <v>0</v>
      </c>
      <c r="O542" t="n">
        <v>0</v>
      </c>
      <c r="P542" t="n">
        <v>0</v>
      </c>
      <c r="Q542" t="n">
        <v>0</v>
      </c>
      <c r="R542" s="2" t="inlineStr"/>
    </row>
    <row r="543" ht="15" customHeight="1">
      <c r="A543" t="inlineStr">
        <is>
          <t>A 30338-2022</t>
        </is>
      </c>
      <c r="B543" s="1" t="n">
        <v>44760</v>
      </c>
      <c r="C543" s="1" t="n">
        <v>46047</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2888-2022</t>
        </is>
      </c>
      <c r="B544" s="1" t="n">
        <v>44581</v>
      </c>
      <c r="C544" s="1" t="n">
        <v>46047</v>
      </c>
      <c r="D544" t="inlineStr">
        <is>
          <t>STOCKHOLMS LÄN</t>
        </is>
      </c>
      <c r="E544" t="inlineStr">
        <is>
          <t>NORRTÄLJE</t>
        </is>
      </c>
      <c r="G544" t="n">
        <v>2.4</v>
      </c>
      <c r="H544" t="n">
        <v>0</v>
      </c>
      <c r="I544" t="n">
        <v>0</v>
      </c>
      <c r="J544" t="n">
        <v>0</v>
      </c>
      <c r="K544" t="n">
        <v>0</v>
      </c>
      <c r="L544" t="n">
        <v>0</v>
      </c>
      <c r="M544" t="n">
        <v>0</v>
      </c>
      <c r="N544" t="n">
        <v>0</v>
      </c>
      <c r="O544" t="n">
        <v>0</v>
      </c>
      <c r="P544" t="n">
        <v>0</v>
      </c>
      <c r="Q544" t="n">
        <v>0</v>
      </c>
      <c r="R544" s="2" t="inlineStr"/>
    </row>
    <row r="545" ht="15" customHeight="1">
      <c r="A545" t="inlineStr">
        <is>
          <t>A 52686-2024</t>
        </is>
      </c>
      <c r="B545" s="1" t="n">
        <v>45610.39271990741</v>
      </c>
      <c r="C545" s="1" t="n">
        <v>46047</v>
      </c>
      <c r="D545" t="inlineStr">
        <is>
          <t>STOCKHOLMS LÄN</t>
        </is>
      </c>
      <c r="E545" t="inlineStr">
        <is>
          <t>NORRTÄLJE</t>
        </is>
      </c>
      <c r="G545" t="n">
        <v>5.7</v>
      </c>
      <c r="H545" t="n">
        <v>0</v>
      </c>
      <c r="I545" t="n">
        <v>0</v>
      </c>
      <c r="J545" t="n">
        <v>0</v>
      </c>
      <c r="K545" t="n">
        <v>0</v>
      </c>
      <c r="L545" t="n">
        <v>0</v>
      </c>
      <c r="M545" t="n">
        <v>0</v>
      </c>
      <c r="N545" t="n">
        <v>0</v>
      </c>
      <c r="O545" t="n">
        <v>0</v>
      </c>
      <c r="P545" t="n">
        <v>0</v>
      </c>
      <c r="Q545" t="n">
        <v>0</v>
      </c>
      <c r="R545" s="2" t="inlineStr"/>
    </row>
    <row r="546" ht="15" customHeight="1">
      <c r="A546" t="inlineStr">
        <is>
          <t>A 20343-2024</t>
        </is>
      </c>
      <c r="B546" s="1" t="n">
        <v>45435.43466435185</v>
      </c>
      <c r="C546" s="1" t="n">
        <v>46047</v>
      </c>
      <c r="D546" t="inlineStr">
        <is>
          <t>STOCKHOLMS LÄN</t>
        </is>
      </c>
      <c r="E546" t="inlineStr">
        <is>
          <t>NORRTÄLJE</t>
        </is>
      </c>
      <c r="G546" t="n">
        <v>2.8</v>
      </c>
      <c r="H546" t="n">
        <v>0</v>
      </c>
      <c r="I546" t="n">
        <v>0</v>
      </c>
      <c r="J546" t="n">
        <v>0</v>
      </c>
      <c r="K546" t="n">
        <v>0</v>
      </c>
      <c r="L546" t="n">
        <v>0</v>
      </c>
      <c r="M546" t="n">
        <v>0</v>
      </c>
      <c r="N546" t="n">
        <v>0</v>
      </c>
      <c r="O546" t="n">
        <v>0</v>
      </c>
      <c r="P546" t="n">
        <v>0</v>
      </c>
      <c r="Q546" t="n">
        <v>0</v>
      </c>
      <c r="R546" s="2" t="inlineStr"/>
    </row>
    <row r="547" ht="15" customHeight="1">
      <c r="A547" t="inlineStr">
        <is>
          <t>A 20345-2024</t>
        </is>
      </c>
      <c r="B547" s="1" t="n">
        <v>45435.43820601852</v>
      </c>
      <c r="C547" s="1" t="n">
        <v>46047</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9765-2024</t>
        </is>
      </c>
      <c r="B548" s="1" t="n">
        <v>45362.62811342593</v>
      </c>
      <c r="C548" s="1" t="n">
        <v>46047</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26051-2025</t>
        </is>
      </c>
      <c r="B549" s="1" t="n">
        <v>45804.74479166666</v>
      </c>
      <c r="C549" s="1" t="n">
        <v>46047</v>
      </c>
      <c r="D549" t="inlineStr">
        <is>
          <t>STOCKHOLMS LÄN</t>
        </is>
      </c>
      <c r="E549" t="inlineStr">
        <is>
          <t>NORRTÄLJE</t>
        </is>
      </c>
      <c r="G549" t="n">
        <v>3.2</v>
      </c>
      <c r="H549" t="n">
        <v>0</v>
      </c>
      <c r="I549" t="n">
        <v>0</v>
      </c>
      <c r="J549" t="n">
        <v>0</v>
      </c>
      <c r="K549" t="n">
        <v>0</v>
      </c>
      <c r="L549" t="n">
        <v>0</v>
      </c>
      <c r="M549" t="n">
        <v>0</v>
      </c>
      <c r="N549" t="n">
        <v>0</v>
      </c>
      <c r="O549" t="n">
        <v>0</v>
      </c>
      <c r="P549" t="n">
        <v>0</v>
      </c>
      <c r="Q549" t="n">
        <v>0</v>
      </c>
      <c r="R549" s="2" t="inlineStr"/>
    </row>
    <row r="550" ht="15" customHeight="1">
      <c r="A550" t="inlineStr">
        <is>
          <t>A 59875-2024</t>
        </is>
      </c>
      <c r="B550" s="1" t="n">
        <v>45640.58716435185</v>
      </c>
      <c r="C550" s="1" t="n">
        <v>46047</v>
      </c>
      <c r="D550" t="inlineStr">
        <is>
          <t>STOCKHOLMS LÄN</t>
        </is>
      </c>
      <c r="E550" t="inlineStr">
        <is>
          <t>NORRTÄLJE</t>
        </is>
      </c>
      <c r="G550" t="n">
        <v>0.3</v>
      </c>
      <c r="H550" t="n">
        <v>0</v>
      </c>
      <c r="I550" t="n">
        <v>0</v>
      </c>
      <c r="J550" t="n">
        <v>0</v>
      </c>
      <c r="K550" t="n">
        <v>0</v>
      </c>
      <c r="L550" t="n">
        <v>0</v>
      </c>
      <c r="M550" t="n">
        <v>0</v>
      </c>
      <c r="N550" t="n">
        <v>0</v>
      </c>
      <c r="O550" t="n">
        <v>0</v>
      </c>
      <c r="P550" t="n">
        <v>0</v>
      </c>
      <c r="Q550" t="n">
        <v>0</v>
      </c>
      <c r="R550" s="2" t="inlineStr"/>
    </row>
    <row r="551" ht="15" customHeight="1">
      <c r="A551" t="inlineStr">
        <is>
          <t>A 11-2024</t>
        </is>
      </c>
      <c r="B551" s="1" t="n">
        <v>45293</v>
      </c>
      <c r="C551" s="1" t="n">
        <v>46047</v>
      </c>
      <c r="D551" t="inlineStr">
        <is>
          <t>STOCKHOLMS LÄN</t>
        </is>
      </c>
      <c r="E551" t="inlineStr">
        <is>
          <t>NORRTÄLJE</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14559-2024</t>
        </is>
      </c>
      <c r="B552" s="1" t="n">
        <v>45394.72869212963</v>
      </c>
      <c r="C552" s="1" t="n">
        <v>46047</v>
      </c>
      <c r="D552" t="inlineStr">
        <is>
          <t>STOCKHOLMS LÄN</t>
        </is>
      </c>
      <c r="E552" t="inlineStr">
        <is>
          <t>NORRTÄLJE</t>
        </is>
      </c>
      <c r="G552" t="n">
        <v>4.2</v>
      </c>
      <c r="H552" t="n">
        <v>0</v>
      </c>
      <c r="I552" t="n">
        <v>0</v>
      </c>
      <c r="J552" t="n">
        <v>0</v>
      </c>
      <c r="K552" t="n">
        <v>0</v>
      </c>
      <c r="L552" t="n">
        <v>0</v>
      </c>
      <c r="M552" t="n">
        <v>0</v>
      </c>
      <c r="N552" t="n">
        <v>0</v>
      </c>
      <c r="O552" t="n">
        <v>0</v>
      </c>
      <c r="P552" t="n">
        <v>0</v>
      </c>
      <c r="Q552" t="n">
        <v>0</v>
      </c>
      <c r="R552" s="2" t="inlineStr"/>
    </row>
    <row r="553" ht="15" customHeight="1">
      <c r="A553" t="inlineStr">
        <is>
          <t>A 8433-2022</t>
        </is>
      </c>
      <c r="B553" s="1" t="n">
        <v>44611</v>
      </c>
      <c r="C553" s="1" t="n">
        <v>46047</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25525-2022</t>
        </is>
      </c>
      <c r="B554" s="1" t="n">
        <v>44732</v>
      </c>
      <c r="C554" s="1" t="n">
        <v>46047</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12302-2025</t>
        </is>
      </c>
      <c r="B555" s="1" t="n">
        <v>45729.72851851852</v>
      </c>
      <c r="C555" s="1" t="n">
        <v>46047</v>
      </c>
      <c r="D555" t="inlineStr">
        <is>
          <t>STOCKHOLMS LÄN</t>
        </is>
      </c>
      <c r="E555" t="inlineStr">
        <is>
          <t>NORRTÄLJE</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5389-2025</t>
        </is>
      </c>
      <c r="B556" s="1" t="n">
        <v>45692</v>
      </c>
      <c r="C556" s="1" t="n">
        <v>46047</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13051-2021</t>
        </is>
      </c>
      <c r="B557" s="1" t="n">
        <v>44272</v>
      </c>
      <c r="C557" s="1" t="n">
        <v>46047</v>
      </c>
      <c r="D557" t="inlineStr">
        <is>
          <t>STOCKHOLMS LÄN</t>
        </is>
      </c>
      <c r="E557" t="inlineStr">
        <is>
          <t>NORRTÄLJE</t>
        </is>
      </c>
      <c r="G557" t="n">
        <v>9.1</v>
      </c>
      <c r="H557" t="n">
        <v>0</v>
      </c>
      <c r="I557" t="n">
        <v>0</v>
      </c>
      <c r="J557" t="n">
        <v>0</v>
      </c>
      <c r="K557" t="n">
        <v>0</v>
      </c>
      <c r="L557" t="n">
        <v>0</v>
      </c>
      <c r="M557" t="n">
        <v>0</v>
      </c>
      <c r="N557" t="n">
        <v>0</v>
      </c>
      <c r="O557" t="n">
        <v>0</v>
      </c>
      <c r="P557" t="n">
        <v>0</v>
      </c>
      <c r="Q557" t="n">
        <v>0</v>
      </c>
      <c r="R557" s="2" t="inlineStr"/>
    </row>
    <row r="558" ht="15" customHeight="1">
      <c r="A558" t="inlineStr">
        <is>
          <t>A 38889-2024</t>
        </is>
      </c>
      <c r="B558" s="1" t="n">
        <v>45547</v>
      </c>
      <c r="C558" s="1" t="n">
        <v>46047</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45451-2024</t>
        </is>
      </c>
      <c r="B559" s="1" t="n">
        <v>45576</v>
      </c>
      <c r="C559" s="1" t="n">
        <v>46047</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26708-2025</t>
        </is>
      </c>
      <c r="B560" s="1" t="n">
        <v>45810.45633101852</v>
      </c>
      <c r="C560" s="1" t="n">
        <v>46047</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20473-2021</t>
        </is>
      </c>
      <c r="B561" s="1" t="n">
        <v>44315</v>
      </c>
      <c r="C561" s="1" t="n">
        <v>46047</v>
      </c>
      <c r="D561" t="inlineStr">
        <is>
          <t>STOCKHOLMS LÄN</t>
        </is>
      </c>
      <c r="E561" t="inlineStr">
        <is>
          <t>NORRTÄLJE</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11499-2023</t>
        </is>
      </c>
      <c r="B562" s="1" t="n">
        <v>44993.66707175926</v>
      </c>
      <c r="C562" s="1" t="n">
        <v>46047</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26702-2025</t>
        </is>
      </c>
      <c r="B563" s="1" t="n">
        <v>45810.45236111111</v>
      </c>
      <c r="C563" s="1" t="n">
        <v>46047</v>
      </c>
      <c r="D563" t="inlineStr">
        <is>
          <t>STOCKHOLMS LÄN</t>
        </is>
      </c>
      <c r="E563" t="inlineStr">
        <is>
          <t>NORRTÄLJE</t>
        </is>
      </c>
      <c r="G563" t="n">
        <v>7.3</v>
      </c>
      <c r="H563" t="n">
        <v>0</v>
      </c>
      <c r="I563" t="n">
        <v>0</v>
      </c>
      <c r="J563" t="n">
        <v>0</v>
      </c>
      <c r="K563" t="n">
        <v>0</v>
      </c>
      <c r="L563" t="n">
        <v>0</v>
      </c>
      <c r="M563" t="n">
        <v>0</v>
      </c>
      <c r="N563" t="n">
        <v>0</v>
      </c>
      <c r="O563" t="n">
        <v>0</v>
      </c>
      <c r="P563" t="n">
        <v>0</v>
      </c>
      <c r="Q563" t="n">
        <v>0</v>
      </c>
      <c r="R563" s="2" t="inlineStr"/>
    </row>
    <row r="564" ht="15" customHeight="1">
      <c r="A564" t="inlineStr">
        <is>
          <t>A 576-2023</t>
        </is>
      </c>
      <c r="B564" s="1" t="n">
        <v>44925</v>
      </c>
      <c r="C564" s="1" t="n">
        <v>46047</v>
      </c>
      <c r="D564" t="inlineStr">
        <is>
          <t>STOCKHOLMS LÄN</t>
        </is>
      </c>
      <c r="E564" t="inlineStr">
        <is>
          <t>NORRTÄLJE</t>
        </is>
      </c>
      <c r="G564" t="n">
        <v>7.2</v>
      </c>
      <c r="H564" t="n">
        <v>0</v>
      </c>
      <c r="I564" t="n">
        <v>0</v>
      </c>
      <c r="J564" t="n">
        <v>0</v>
      </c>
      <c r="K564" t="n">
        <v>0</v>
      </c>
      <c r="L564" t="n">
        <v>0</v>
      </c>
      <c r="M564" t="n">
        <v>0</v>
      </c>
      <c r="N564" t="n">
        <v>0</v>
      </c>
      <c r="O564" t="n">
        <v>0</v>
      </c>
      <c r="P564" t="n">
        <v>0</v>
      </c>
      <c r="Q564" t="n">
        <v>0</v>
      </c>
      <c r="R564" s="2" t="inlineStr"/>
    </row>
    <row r="565" ht="15" customHeight="1">
      <c r="A565" t="inlineStr">
        <is>
          <t>A 23061-2025</t>
        </is>
      </c>
      <c r="B565" s="1" t="n">
        <v>45790.81410879629</v>
      </c>
      <c r="C565" s="1" t="n">
        <v>46047</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10678-2025</t>
        </is>
      </c>
      <c r="B566" s="1" t="n">
        <v>45721.89123842592</v>
      </c>
      <c r="C566" s="1" t="n">
        <v>46047</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31936-2022</t>
        </is>
      </c>
      <c r="B567" s="1" t="n">
        <v>44777</v>
      </c>
      <c r="C567" s="1" t="n">
        <v>46047</v>
      </c>
      <c r="D567" t="inlineStr">
        <is>
          <t>STOCKHOLMS LÄN</t>
        </is>
      </c>
      <c r="E567" t="inlineStr">
        <is>
          <t>NORRTÄLJE</t>
        </is>
      </c>
      <c r="G567" t="n">
        <v>5.2</v>
      </c>
      <c r="H567" t="n">
        <v>0</v>
      </c>
      <c r="I567" t="n">
        <v>0</v>
      </c>
      <c r="J567" t="n">
        <v>0</v>
      </c>
      <c r="K567" t="n">
        <v>0</v>
      </c>
      <c r="L567" t="n">
        <v>0</v>
      </c>
      <c r="M567" t="n">
        <v>0</v>
      </c>
      <c r="N567" t="n">
        <v>0</v>
      </c>
      <c r="O567" t="n">
        <v>0</v>
      </c>
      <c r="P567" t="n">
        <v>0</v>
      </c>
      <c r="Q567" t="n">
        <v>0</v>
      </c>
      <c r="R567" s="2" t="inlineStr"/>
    </row>
    <row r="568" ht="15" customHeight="1">
      <c r="A568" t="inlineStr">
        <is>
          <t>A 27040-2025</t>
        </is>
      </c>
      <c r="B568" s="1" t="n">
        <v>45811.60451388889</v>
      </c>
      <c r="C568" s="1" t="n">
        <v>46047</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26644-2024</t>
        </is>
      </c>
      <c r="B569" s="1" t="n">
        <v>45469</v>
      </c>
      <c r="C569" s="1" t="n">
        <v>46047</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26747-2025</t>
        </is>
      </c>
      <c r="B570" s="1" t="n">
        <v>45810.5333912037</v>
      </c>
      <c r="C570" s="1" t="n">
        <v>46047</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59873-2024</t>
        </is>
      </c>
      <c r="B571" s="1" t="n">
        <v>45640.57305555556</v>
      </c>
      <c r="C571" s="1" t="n">
        <v>46047</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35916-2024</t>
        </is>
      </c>
      <c r="B572" s="1" t="n">
        <v>45533</v>
      </c>
      <c r="C572" s="1" t="n">
        <v>46047</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10098-2022</t>
        </is>
      </c>
      <c r="B573" s="1" t="n">
        <v>44621</v>
      </c>
      <c r="C573" s="1" t="n">
        <v>46047</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2982-2023</t>
        </is>
      </c>
      <c r="B574" s="1" t="n">
        <v>44945.67409722223</v>
      </c>
      <c r="C574" s="1" t="n">
        <v>46047</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12535-2025</t>
        </is>
      </c>
      <c r="B575" s="1" t="n">
        <v>45730.69502314815</v>
      </c>
      <c r="C575" s="1" t="n">
        <v>46047</v>
      </c>
      <c r="D575" t="inlineStr">
        <is>
          <t>STOCKHOLMS LÄN</t>
        </is>
      </c>
      <c r="E575" t="inlineStr">
        <is>
          <t>NORRTÄLJE</t>
        </is>
      </c>
      <c r="G575" t="n">
        <v>7.1</v>
      </c>
      <c r="H575" t="n">
        <v>0</v>
      </c>
      <c r="I575" t="n">
        <v>0</v>
      </c>
      <c r="J575" t="n">
        <v>0</v>
      </c>
      <c r="K575" t="n">
        <v>0</v>
      </c>
      <c r="L575" t="n">
        <v>0</v>
      </c>
      <c r="M575" t="n">
        <v>0</v>
      </c>
      <c r="N575" t="n">
        <v>0</v>
      </c>
      <c r="O575" t="n">
        <v>0</v>
      </c>
      <c r="P575" t="n">
        <v>0</v>
      </c>
      <c r="Q575" t="n">
        <v>0</v>
      </c>
      <c r="R575" s="2" t="inlineStr"/>
    </row>
    <row r="576" ht="15" customHeight="1">
      <c r="A576" t="inlineStr">
        <is>
          <t>A 63161-2023</t>
        </is>
      </c>
      <c r="B576" s="1" t="n">
        <v>45273</v>
      </c>
      <c r="C576" s="1" t="n">
        <v>46047</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37136-2023</t>
        </is>
      </c>
      <c r="B577" s="1" t="n">
        <v>45155</v>
      </c>
      <c r="C577" s="1" t="n">
        <v>46047</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26675-2025</t>
        </is>
      </c>
      <c r="B578" s="1" t="n">
        <v>45810.42393518519</v>
      </c>
      <c r="C578" s="1" t="n">
        <v>46047</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18787-2022</t>
        </is>
      </c>
      <c r="B579" s="1" t="n">
        <v>44687</v>
      </c>
      <c r="C579" s="1" t="n">
        <v>46047</v>
      </c>
      <c r="D579" t="inlineStr">
        <is>
          <t>STOCKHOLMS LÄN</t>
        </is>
      </c>
      <c r="E579" t="inlineStr">
        <is>
          <t>NORRTÄLJE</t>
        </is>
      </c>
      <c r="G579" t="n">
        <v>2</v>
      </c>
      <c r="H579" t="n">
        <v>0</v>
      </c>
      <c r="I579" t="n">
        <v>0</v>
      </c>
      <c r="J579" t="n">
        <v>0</v>
      </c>
      <c r="K579" t="n">
        <v>0</v>
      </c>
      <c r="L579" t="n">
        <v>0</v>
      </c>
      <c r="M579" t="n">
        <v>0</v>
      </c>
      <c r="N579" t="n">
        <v>0</v>
      </c>
      <c r="O579" t="n">
        <v>0</v>
      </c>
      <c r="P579" t="n">
        <v>0</v>
      </c>
      <c r="Q579" t="n">
        <v>0</v>
      </c>
      <c r="R579" s="2" t="inlineStr"/>
    </row>
    <row r="580" ht="15" customHeight="1">
      <c r="A580" t="inlineStr">
        <is>
          <t>A 13718-2022</t>
        </is>
      </c>
      <c r="B580" s="1" t="n">
        <v>44649</v>
      </c>
      <c r="C580" s="1" t="n">
        <v>46047</v>
      </c>
      <c r="D580" t="inlineStr">
        <is>
          <t>STOCKHOLMS LÄN</t>
        </is>
      </c>
      <c r="E580" t="inlineStr">
        <is>
          <t>NORRTÄLJE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25621-2022</t>
        </is>
      </c>
      <c r="B581" s="1" t="n">
        <v>44732</v>
      </c>
      <c r="C581" s="1" t="n">
        <v>46047</v>
      </c>
      <c r="D581" t="inlineStr">
        <is>
          <t>STOCKHOLMS LÄN</t>
        </is>
      </c>
      <c r="E581" t="inlineStr">
        <is>
          <t>NORRTÄLJE</t>
        </is>
      </c>
      <c r="G581" t="n">
        <v>3.1</v>
      </c>
      <c r="H581" t="n">
        <v>0</v>
      </c>
      <c r="I581" t="n">
        <v>0</v>
      </c>
      <c r="J581" t="n">
        <v>0</v>
      </c>
      <c r="K581" t="n">
        <v>0</v>
      </c>
      <c r="L581" t="n">
        <v>0</v>
      </c>
      <c r="M581" t="n">
        <v>0</v>
      </c>
      <c r="N581" t="n">
        <v>0</v>
      </c>
      <c r="O581" t="n">
        <v>0</v>
      </c>
      <c r="P581" t="n">
        <v>0</v>
      </c>
      <c r="Q581" t="n">
        <v>0</v>
      </c>
      <c r="R581" s="2" t="inlineStr"/>
    </row>
    <row r="582" ht="15" customHeight="1">
      <c r="A582" t="inlineStr">
        <is>
          <t>A 7796-2025</t>
        </is>
      </c>
      <c r="B582" s="1" t="n">
        <v>45706.60130787037</v>
      </c>
      <c r="C582" s="1" t="n">
        <v>46047</v>
      </c>
      <c r="D582" t="inlineStr">
        <is>
          <t>STOCKHOLMS LÄN</t>
        </is>
      </c>
      <c r="E582" t="inlineStr">
        <is>
          <t>NORRTÄLJE</t>
        </is>
      </c>
      <c r="F582" t="inlineStr">
        <is>
          <t>Holmen skog AB</t>
        </is>
      </c>
      <c r="G582" t="n">
        <v>2.4</v>
      </c>
      <c r="H582" t="n">
        <v>0</v>
      </c>
      <c r="I582" t="n">
        <v>0</v>
      </c>
      <c r="J582" t="n">
        <v>0</v>
      </c>
      <c r="K582" t="n">
        <v>0</v>
      </c>
      <c r="L582" t="n">
        <v>0</v>
      </c>
      <c r="M582" t="n">
        <v>0</v>
      </c>
      <c r="N582" t="n">
        <v>0</v>
      </c>
      <c r="O582" t="n">
        <v>0</v>
      </c>
      <c r="P582" t="n">
        <v>0</v>
      </c>
      <c r="Q582" t="n">
        <v>0</v>
      </c>
      <c r="R582" s="2" t="inlineStr"/>
    </row>
    <row r="583" ht="15" customHeight="1">
      <c r="A583" t="inlineStr">
        <is>
          <t>A 15552-2021</t>
        </is>
      </c>
      <c r="B583" s="1" t="n">
        <v>44285</v>
      </c>
      <c r="C583" s="1" t="n">
        <v>46047</v>
      </c>
      <c r="D583" t="inlineStr">
        <is>
          <t>STOCKHOLMS LÄN</t>
        </is>
      </c>
      <c r="E583" t="inlineStr">
        <is>
          <t>NORRTÄLJE</t>
        </is>
      </c>
      <c r="G583" t="n">
        <v>10</v>
      </c>
      <c r="H583" t="n">
        <v>0</v>
      </c>
      <c r="I583" t="n">
        <v>0</v>
      </c>
      <c r="J583" t="n">
        <v>0</v>
      </c>
      <c r="K583" t="n">
        <v>0</v>
      </c>
      <c r="L583" t="n">
        <v>0</v>
      </c>
      <c r="M583" t="n">
        <v>0</v>
      </c>
      <c r="N583" t="n">
        <v>0</v>
      </c>
      <c r="O583" t="n">
        <v>0</v>
      </c>
      <c r="P583" t="n">
        <v>0</v>
      </c>
      <c r="Q583" t="n">
        <v>0</v>
      </c>
      <c r="R583" s="2" t="inlineStr"/>
    </row>
    <row r="584" ht="15" customHeight="1">
      <c r="A584" t="inlineStr">
        <is>
          <t>A 58040-2024</t>
        </is>
      </c>
      <c r="B584" s="1" t="n">
        <v>45631.73952546297</v>
      </c>
      <c r="C584" s="1" t="n">
        <v>46047</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58041-2024</t>
        </is>
      </c>
      <c r="B585" s="1" t="n">
        <v>45631.74673611111</v>
      </c>
      <c r="C585" s="1" t="n">
        <v>46047</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30268-2024</t>
        </is>
      </c>
      <c r="B586" s="1" t="n">
        <v>45490.60572916667</v>
      </c>
      <c r="C586" s="1" t="n">
        <v>46047</v>
      </c>
      <c r="D586" t="inlineStr">
        <is>
          <t>STOCKHOLMS LÄN</t>
        </is>
      </c>
      <c r="E586" t="inlineStr">
        <is>
          <t>NORRTÄLJE</t>
        </is>
      </c>
      <c r="G586" t="n">
        <v>5.6</v>
      </c>
      <c r="H586" t="n">
        <v>0</v>
      </c>
      <c r="I586" t="n">
        <v>0</v>
      </c>
      <c r="J586" t="n">
        <v>0</v>
      </c>
      <c r="K586" t="n">
        <v>0</v>
      </c>
      <c r="L586" t="n">
        <v>0</v>
      </c>
      <c r="M586" t="n">
        <v>0</v>
      </c>
      <c r="N586" t="n">
        <v>0</v>
      </c>
      <c r="O586" t="n">
        <v>0</v>
      </c>
      <c r="P586" t="n">
        <v>0</v>
      </c>
      <c r="Q586" t="n">
        <v>0</v>
      </c>
      <c r="R586" s="2" t="inlineStr"/>
    </row>
    <row r="587" ht="15" customHeight="1">
      <c r="A587" t="inlineStr">
        <is>
          <t>A 27554-2025</t>
        </is>
      </c>
      <c r="B587" s="1" t="n">
        <v>45813.4709375</v>
      </c>
      <c r="C587" s="1" t="n">
        <v>46047</v>
      </c>
      <c r="D587" t="inlineStr">
        <is>
          <t>STOCKHOLMS LÄN</t>
        </is>
      </c>
      <c r="E587" t="inlineStr">
        <is>
          <t>NORRTÄLJE</t>
        </is>
      </c>
      <c r="F587" t="inlineStr">
        <is>
          <t>Övriga Aktiebolag</t>
        </is>
      </c>
      <c r="G587" t="n">
        <v>2.5</v>
      </c>
      <c r="H587" t="n">
        <v>0</v>
      </c>
      <c r="I587" t="n">
        <v>0</v>
      </c>
      <c r="J587" t="n">
        <v>0</v>
      </c>
      <c r="K587" t="n">
        <v>0</v>
      </c>
      <c r="L587" t="n">
        <v>0</v>
      </c>
      <c r="M587" t="n">
        <v>0</v>
      </c>
      <c r="N587" t="n">
        <v>0</v>
      </c>
      <c r="O587" t="n">
        <v>0</v>
      </c>
      <c r="P587" t="n">
        <v>0</v>
      </c>
      <c r="Q587" t="n">
        <v>0</v>
      </c>
      <c r="R587" s="2" t="inlineStr"/>
    </row>
    <row r="588" ht="15" customHeight="1">
      <c r="A588" t="inlineStr">
        <is>
          <t>A 12407-2025</t>
        </is>
      </c>
      <c r="B588" s="1" t="n">
        <v>45730.42851851852</v>
      </c>
      <c r="C588" s="1" t="n">
        <v>46047</v>
      </c>
      <c r="D588" t="inlineStr">
        <is>
          <t>STOCKHOLMS LÄN</t>
        </is>
      </c>
      <c r="E588" t="inlineStr">
        <is>
          <t>NORRTÄLJE</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36269-2022</t>
        </is>
      </c>
      <c r="B589" s="1" t="n">
        <v>44803</v>
      </c>
      <c r="C589" s="1" t="n">
        <v>46047</v>
      </c>
      <c r="D589" t="inlineStr">
        <is>
          <t>STOCKHOLMS LÄN</t>
        </is>
      </c>
      <c r="E589" t="inlineStr">
        <is>
          <t>NORRTÄLJE</t>
        </is>
      </c>
      <c r="G589" t="n">
        <v>2.3</v>
      </c>
      <c r="H589" t="n">
        <v>0</v>
      </c>
      <c r="I589" t="n">
        <v>0</v>
      </c>
      <c r="J589" t="n">
        <v>0</v>
      </c>
      <c r="K589" t="n">
        <v>0</v>
      </c>
      <c r="L589" t="n">
        <v>0</v>
      </c>
      <c r="M589" t="n">
        <v>0</v>
      </c>
      <c r="N589" t="n">
        <v>0</v>
      </c>
      <c r="O589" t="n">
        <v>0</v>
      </c>
      <c r="P589" t="n">
        <v>0</v>
      </c>
      <c r="Q589" t="n">
        <v>0</v>
      </c>
      <c r="R589" s="2" t="inlineStr"/>
    </row>
    <row r="590" ht="15" customHeight="1">
      <c r="A590" t="inlineStr">
        <is>
          <t>A 36308-2022</t>
        </is>
      </c>
      <c r="B590" s="1" t="n">
        <v>44803</v>
      </c>
      <c r="C590" s="1" t="n">
        <v>46047</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19025-2025</t>
        </is>
      </c>
      <c r="B591" s="1" t="n">
        <v>45764.6359837963</v>
      </c>
      <c r="C591" s="1" t="n">
        <v>46047</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54273-2021</t>
        </is>
      </c>
      <c r="B592" s="1" t="n">
        <v>44470.72987268519</v>
      </c>
      <c r="C592" s="1" t="n">
        <v>46047</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46047</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4316-2023</t>
        </is>
      </c>
      <c r="B594" s="1" t="n">
        <v>44953.67443287037</v>
      </c>
      <c r="C594" s="1" t="n">
        <v>46047</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6919-2025</t>
        </is>
      </c>
      <c r="B595" s="1" t="n">
        <v>45701.44372685185</v>
      </c>
      <c r="C595" s="1" t="n">
        <v>46047</v>
      </c>
      <c r="D595" t="inlineStr">
        <is>
          <t>STOCKHOLMS LÄN</t>
        </is>
      </c>
      <c r="E595" t="inlineStr">
        <is>
          <t>NORRTÄLJE</t>
        </is>
      </c>
      <c r="G595" t="n">
        <v>3.5</v>
      </c>
      <c r="H595" t="n">
        <v>0</v>
      </c>
      <c r="I595" t="n">
        <v>0</v>
      </c>
      <c r="J595" t="n">
        <v>0</v>
      </c>
      <c r="K595" t="n">
        <v>0</v>
      </c>
      <c r="L595" t="n">
        <v>0</v>
      </c>
      <c r="M595" t="n">
        <v>0</v>
      </c>
      <c r="N595" t="n">
        <v>0</v>
      </c>
      <c r="O595" t="n">
        <v>0</v>
      </c>
      <c r="P595" t="n">
        <v>0</v>
      </c>
      <c r="Q595" t="n">
        <v>0</v>
      </c>
      <c r="R595" s="2" t="inlineStr"/>
    </row>
    <row r="596" ht="15" customHeight="1">
      <c r="A596" t="inlineStr">
        <is>
          <t>A 41587-2023</t>
        </is>
      </c>
      <c r="B596" s="1" t="n">
        <v>45175</v>
      </c>
      <c r="C596" s="1" t="n">
        <v>46047</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32100-2022</t>
        </is>
      </c>
      <c r="B597" s="1" t="n">
        <v>44778</v>
      </c>
      <c r="C597" s="1" t="n">
        <v>46047</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11332-2025</t>
        </is>
      </c>
      <c r="B598" s="1" t="n">
        <v>45726.48152777777</v>
      </c>
      <c r="C598" s="1" t="n">
        <v>46047</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37444-2021</t>
        </is>
      </c>
      <c r="B599" s="1" t="n">
        <v>44398</v>
      </c>
      <c r="C599" s="1" t="n">
        <v>46047</v>
      </c>
      <c r="D599" t="inlineStr">
        <is>
          <t>STOCKHOLMS LÄN</t>
        </is>
      </c>
      <c r="E599" t="inlineStr">
        <is>
          <t>NORRTÄLJE</t>
        </is>
      </c>
      <c r="F599" t="inlineStr">
        <is>
          <t>Holmen skog AB</t>
        </is>
      </c>
      <c r="G599" t="n">
        <v>3.2</v>
      </c>
      <c r="H599" t="n">
        <v>0</v>
      </c>
      <c r="I599" t="n">
        <v>0</v>
      </c>
      <c r="J599" t="n">
        <v>0</v>
      </c>
      <c r="K599" t="n">
        <v>0</v>
      </c>
      <c r="L599" t="n">
        <v>0</v>
      </c>
      <c r="M599" t="n">
        <v>0</v>
      </c>
      <c r="N599" t="n">
        <v>0</v>
      </c>
      <c r="O599" t="n">
        <v>0</v>
      </c>
      <c r="P599" t="n">
        <v>0</v>
      </c>
      <c r="Q599" t="n">
        <v>0</v>
      </c>
      <c r="R599" s="2" t="inlineStr"/>
    </row>
    <row r="600" ht="15" customHeight="1">
      <c r="A600" t="inlineStr">
        <is>
          <t>A 30886-2022</t>
        </is>
      </c>
      <c r="B600" s="1" t="n">
        <v>44767.60601851852</v>
      </c>
      <c r="C600" s="1" t="n">
        <v>46047</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9654-2022</t>
        </is>
      </c>
      <c r="B601" s="1" t="n">
        <v>44617</v>
      </c>
      <c r="C601" s="1" t="n">
        <v>46047</v>
      </c>
      <c r="D601" t="inlineStr">
        <is>
          <t>STOCKHOLMS LÄN</t>
        </is>
      </c>
      <c r="E601" t="inlineStr">
        <is>
          <t>NORRTÄLJE</t>
        </is>
      </c>
      <c r="G601" t="n">
        <v>6.4</v>
      </c>
      <c r="H601" t="n">
        <v>0</v>
      </c>
      <c r="I601" t="n">
        <v>0</v>
      </c>
      <c r="J601" t="n">
        <v>0</v>
      </c>
      <c r="K601" t="n">
        <v>0</v>
      </c>
      <c r="L601" t="n">
        <v>0</v>
      </c>
      <c r="M601" t="n">
        <v>0</v>
      </c>
      <c r="N601" t="n">
        <v>0</v>
      </c>
      <c r="O601" t="n">
        <v>0</v>
      </c>
      <c r="P601" t="n">
        <v>0</v>
      </c>
      <c r="Q601" t="n">
        <v>0</v>
      </c>
      <c r="R601" s="2" t="inlineStr"/>
    </row>
    <row r="602" ht="15" customHeight="1">
      <c r="A602" t="inlineStr">
        <is>
          <t>A 27700-2025</t>
        </is>
      </c>
      <c r="B602" s="1" t="n">
        <v>45813.6799537037</v>
      </c>
      <c r="C602" s="1" t="n">
        <v>46047</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1453-2025</t>
        </is>
      </c>
      <c r="B603" s="1" t="n">
        <v>45670.3079050926</v>
      </c>
      <c r="C603" s="1" t="n">
        <v>46047</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17304-2024</t>
        </is>
      </c>
      <c r="B604" s="1" t="n">
        <v>45414</v>
      </c>
      <c r="C604" s="1" t="n">
        <v>46047</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27697-2025</t>
        </is>
      </c>
      <c r="B605" s="1" t="n">
        <v>45813.66961805556</v>
      </c>
      <c r="C605" s="1" t="n">
        <v>46047</v>
      </c>
      <c r="D605" t="inlineStr">
        <is>
          <t>STOCKHOLMS LÄN</t>
        </is>
      </c>
      <c r="E605" t="inlineStr">
        <is>
          <t>NORRTÄLJE</t>
        </is>
      </c>
      <c r="G605" t="n">
        <v>6.2</v>
      </c>
      <c r="H605" t="n">
        <v>0</v>
      </c>
      <c r="I605" t="n">
        <v>0</v>
      </c>
      <c r="J605" t="n">
        <v>0</v>
      </c>
      <c r="K605" t="n">
        <v>0</v>
      </c>
      <c r="L605" t="n">
        <v>0</v>
      </c>
      <c r="M605" t="n">
        <v>0</v>
      </c>
      <c r="N605" t="n">
        <v>0</v>
      </c>
      <c r="O605" t="n">
        <v>0</v>
      </c>
      <c r="P605" t="n">
        <v>0</v>
      </c>
      <c r="Q605" t="n">
        <v>0</v>
      </c>
      <c r="R605" s="2" t="inlineStr"/>
    </row>
    <row r="606" ht="15" customHeight="1">
      <c r="A606" t="inlineStr">
        <is>
          <t>A 5804-2025</t>
        </is>
      </c>
      <c r="B606" s="1" t="n">
        <v>45694.68207175926</v>
      </c>
      <c r="C606" s="1" t="n">
        <v>46047</v>
      </c>
      <c r="D606" t="inlineStr">
        <is>
          <t>STOCKHOLMS LÄN</t>
        </is>
      </c>
      <c r="E606" t="inlineStr">
        <is>
          <t>NORRTÄLJE</t>
        </is>
      </c>
      <c r="F606" t="inlineStr">
        <is>
          <t>Holmen skog AB</t>
        </is>
      </c>
      <c r="G606" t="n">
        <v>2.6</v>
      </c>
      <c r="H606" t="n">
        <v>0</v>
      </c>
      <c r="I606" t="n">
        <v>0</v>
      </c>
      <c r="J606" t="n">
        <v>0</v>
      </c>
      <c r="K606" t="n">
        <v>0</v>
      </c>
      <c r="L606" t="n">
        <v>0</v>
      </c>
      <c r="M606" t="n">
        <v>0</v>
      </c>
      <c r="N606" t="n">
        <v>0</v>
      </c>
      <c r="O606" t="n">
        <v>0</v>
      </c>
      <c r="P606" t="n">
        <v>0</v>
      </c>
      <c r="Q606" t="n">
        <v>0</v>
      </c>
      <c r="R606" s="2" t="inlineStr"/>
    </row>
    <row r="607" ht="15" customHeight="1">
      <c r="A607" t="inlineStr">
        <is>
          <t>A 27802-2025</t>
        </is>
      </c>
      <c r="B607" s="1" t="n">
        <v>45817.2565625</v>
      </c>
      <c r="C607" s="1" t="n">
        <v>46047</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27806-2025</t>
        </is>
      </c>
      <c r="B608" s="1" t="n">
        <v>45817.30329861111</v>
      </c>
      <c r="C608" s="1" t="n">
        <v>46047</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27808-2025</t>
        </is>
      </c>
      <c r="B609" s="1" t="n">
        <v>45817.31085648148</v>
      </c>
      <c r="C609" s="1" t="n">
        <v>46047</v>
      </c>
      <c r="D609" t="inlineStr">
        <is>
          <t>STOCKHOLMS LÄN</t>
        </is>
      </c>
      <c r="E609" t="inlineStr">
        <is>
          <t>NORRTÄLJE</t>
        </is>
      </c>
      <c r="G609" t="n">
        <v>1.8</v>
      </c>
      <c r="H609" t="n">
        <v>0</v>
      </c>
      <c r="I609" t="n">
        <v>0</v>
      </c>
      <c r="J609" t="n">
        <v>0</v>
      </c>
      <c r="K609" t="n">
        <v>0</v>
      </c>
      <c r="L609" t="n">
        <v>0</v>
      </c>
      <c r="M609" t="n">
        <v>0</v>
      </c>
      <c r="N609" t="n">
        <v>0</v>
      </c>
      <c r="O609" t="n">
        <v>0</v>
      </c>
      <c r="P609" t="n">
        <v>0</v>
      </c>
      <c r="Q609" t="n">
        <v>0</v>
      </c>
      <c r="R609" s="2" t="inlineStr"/>
    </row>
    <row r="610" ht="15" customHeight="1">
      <c r="A610" t="inlineStr">
        <is>
          <t>A 27810-2025</t>
        </is>
      </c>
      <c r="B610" s="1" t="n">
        <v>45817.31708333334</v>
      </c>
      <c r="C610" s="1" t="n">
        <v>46047</v>
      </c>
      <c r="D610" t="inlineStr">
        <is>
          <t>STOCKHOLMS LÄN</t>
        </is>
      </c>
      <c r="E610" t="inlineStr">
        <is>
          <t>NORRTÄLJE</t>
        </is>
      </c>
      <c r="G610" t="n">
        <v>3.9</v>
      </c>
      <c r="H610" t="n">
        <v>0</v>
      </c>
      <c r="I610" t="n">
        <v>0</v>
      </c>
      <c r="J610" t="n">
        <v>0</v>
      </c>
      <c r="K610" t="n">
        <v>0</v>
      </c>
      <c r="L610" t="n">
        <v>0</v>
      </c>
      <c r="M610" t="n">
        <v>0</v>
      </c>
      <c r="N610" t="n">
        <v>0</v>
      </c>
      <c r="O610" t="n">
        <v>0</v>
      </c>
      <c r="P610" t="n">
        <v>0</v>
      </c>
      <c r="Q610" t="n">
        <v>0</v>
      </c>
      <c r="R610" s="2" t="inlineStr"/>
    </row>
    <row r="611" ht="15" customHeight="1">
      <c r="A611" t="inlineStr">
        <is>
          <t>A 27811-2025</t>
        </is>
      </c>
      <c r="B611" s="1" t="n">
        <v>45817.31986111111</v>
      </c>
      <c r="C611" s="1" t="n">
        <v>46047</v>
      </c>
      <c r="D611" t="inlineStr">
        <is>
          <t>STOCKHOLMS LÄN</t>
        </is>
      </c>
      <c r="E611" t="inlineStr">
        <is>
          <t>NORRTÄLJE</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27818-2025</t>
        </is>
      </c>
      <c r="B612" s="1" t="n">
        <v>45817.33503472222</v>
      </c>
      <c r="C612" s="1" t="n">
        <v>46047</v>
      </c>
      <c r="D612" t="inlineStr">
        <is>
          <t>STOCKHOLMS LÄN</t>
        </is>
      </c>
      <c r="E612" t="inlineStr">
        <is>
          <t>NORRTÄLJE</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11280-2023</t>
        </is>
      </c>
      <c r="B613" s="1" t="n">
        <v>44992</v>
      </c>
      <c r="C613" s="1" t="n">
        <v>46047</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50907-2022</t>
        </is>
      </c>
      <c r="B614" s="1" t="n">
        <v>44867.62090277778</v>
      </c>
      <c r="C614" s="1" t="n">
        <v>46047</v>
      </c>
      <c r="D614" t="inlineStr">
        <is>
          <t>STOCKHOLMS LÄN</t>
        </is>
      </c>
      <c r="E614" t="inlineStr">
        <is>
          <t>NORRTÄLJE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29003-2023</t>
        </is>
      </c>
      <c r="B615" s="1" t="n">
        <v>45104</v>
      </c>
      <c r="C615" s="1" t="n">
        <v>46047</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27801-2025</t>
        </is>
      </c>
      <c r="B616" s="1" t="n">
        <v>45817.25471064815</v>
      </c>
      <c r="C616" s="1" t="n">
        <v>46047</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26668-2024</t>
        </is>
      </c>
      <c r="B617" s="1" t="n">
        <v>45469</v>
      </c>
      <c r="C617" s="1" t="n">
        <v>46047</v>
      </c>
      <c r="D617" t="inlineStr">
        <is>
          <t>STOCKHOLMS LÄN</t>
        </is>
      </c>
      <c r="E617" t="inlineStr">
        <is>
          <t>NORRTÄLJE</t>
        </is>
      </c>
      <c r="G617" t="n">
        <v>4.8</v>
      </c>
      <c r="H617" t="n">
        <v>0</v>
      </c>
      <c r="I617" t="n">
        <v>0</v>
      </c>
      <c r="J617" t="n">
        <v>0</v>
      </c>
      <c r="K617" t="n">
        <v>0</v>
      </c>
      <c r="L617" t="n">
        <v>0</v>
      </c>
      <c r="M617" t="n">
        <v>0</v>
      </c>
      <c r="N617" t="n">
        <v>0</v>
      </c>
      <c r="O617" t="n">
        <v>0</v>
      </c>
      <c r="P617" t="n">
        <v>0</v>
      </c>
      <c r="Q617" t="n">
        <v>0</v>
      </c>
      <c r="R617" s="2" t="inlineStr"/>
    </row>
    <row r="618" ht="15" customHeight="1">
      <c r="A618" t="inlineStr">
        <is>
          <t>A 33295-2023</t>
        </is>
      </c>
      <c r="B618" s="1" t="n">
        <v>45127.69371527778</v>
      </c>
      <c r="C618" s="1" t="n">
        <v>46047</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14127-2025</t>
        </is>
      </c>
      <c r="B619" s="1" t="n">
        <v>45740.47055555556</v>
      </c>
      <c r="C619" s="1" t="n">
        <v>46047</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16980-2023</t>
        </is>
      </c>
      <c r="B620" s="1" t="n">
        <v>45033</v>
      </c>
      <c r="C620" s="1" t="n">
        <v>46047</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27803-2025</t>
        </is>
      </c>
      <c r="B621" s="1" t="n">
        <v>45817.291875</v>
      </c>
      <c r="C621" s="1" t="n">
        <v>46047</v>
      </c>
      <c r="D621" t="inlineStr">
        <is>
          <t>STOCKHOLMS LÄN</t>
        </is>
      </c>
      <c r="E621" t="inlineStr">
        <is>
          <t>NORRTÄLJE</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27813-2025</t>
        </is>
      </c>
      <c r="B622" s="1" t="n">
        <v>45817.32538194444</v>
      </c>
      <c r="C622" s="1" t="n">
        <v>46047</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27821-2025</t>
        </is>
      </c>
      <c r="B623" s="1" t="n">
        <v>45817.34083333334</v>
      </c>
      <c r="C623" s="1" t="n">
        <v>46047</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32595-2023</t>
        </is>
      </c>
      <c r="B624" s="1" t="n">
        <v>45121</v>
      </c>
      <c r="C624" s="1" t="n">
        <v>46047</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31926-2022</t>
        </is>
      </c>
      <c r="B625" s="1" t="n">
        <v>44777</v>
      </c>
      <c r="C625" s="1" t="n">
        <v>46047</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37550-2022</t>
        </is>
      </c>
      <c r="B626" s="1" t="n">
        <v>44809</v>
      </c>
      <c r="C626" s="1" t="n">
        <v>46047</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15528-2025</t>
        </is>
      </c>
      <c r="B627" s="1" t="n">
        <v>45747.63471064815</v>
      </c>
      <c r="C627" s="1" t="n">
        <v>46047</v>
      </c>
      <c r="D627" t="inlineStr">
        <is>
          <t>STOCKHOLMS LÄN</t>
        </is>
      </c>
      <c r="E627" t="inlineStr">
        <is>
          <t>NORRTÄLJE</t>
        </is>
      </c>
      <c r="G627" t="n">
        <v>10</v>
      </c>
      <c r="H627" t="n">
        <v>0</v>
      </c>
      <c r="I627" t="n">
        <v>0</v>
      </c>
      <c r="J627" t="n">
        <v>0</v>
      </c>
      <c r="K627" t="n">
        <v>0</v>
      </c>
      <c r="L627" t="n">
        <v>0</v>
      </c>
      <c r="M627" t="n">
        <v>0</v>
      </c>
      <c r="N627" t="n">
        <v>0</v>
      </c>
      <c r="O627" t="n">
        <v>0</v>
      </c>
      <c r="P627" t="n">
        <v>0</v>
      </c>
      <c r="Q627" t="n">
        <v>0</v>
      </c>
      <c r="R627" s="2" t="inlineStr"/>
    </row>
    <row r="628" ht="15" customHeight="1">
      <c r="A628" t="inlineStr">
        <is>
          <t>A 11901-2024</t>
        </is>
      </c>
      <c r="B628" s="1" t="n">
        <v>45376.55638888889</v>
      </c>
      <c r="C628" s="1" t="n">
        <v>46047</v>
      </c>
      <c r="D628" t="inlineStr">
        <is>
          <t>STOCKHOLMS LÄN</t>
        </is>
      </c>
      <c r="E628" t="inlineStr">
        <is>
          <t>NORRTÄLJE</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21480-2022</t>
        </is>
      </c>
      <c r="B629" s="1" t="n">
        <v>44704</v>
      </c>
      <c r="C629" s="1" t="n">
        <v>46047</v>
      </c>
      <c r="D629" t="inlineStr">
        <is>
          <t>STOCKHOLMS LÄN</t>
        </is>
      </c>
      <c r="E629" t="inlineStr">
        <is>
          <t>NORRTÄLJE</t>
        </is>
      </c>
      <c r="G629" t="n">
        <v>2.8</v>
      </c>
      <c r="H629" t="n">
        <v>0</v>
      </c>
      <c r="I629" t="n">
        <v>0</v>
      </c>
      <c r="J629" t="n">
        <v>0</v>
      </c>
      <c r="K629" t="n">
        <v>0</v>
      </c>
      <c r="L629" t="n">
        <v>0</v>
      </c>
      <c r="M629" t="n">
        <v>0</v>
      </c>
      <c r="N629" t="n">
        <v>0</v>
      </c>
      <c r="O629" t="n">
        <v>0</v>
      </c>
      <c r="P629" t="n">
        <v>0</v>
      </c>
      <c r="Q629" t="n">
        <v>0</v>
      </c>
      <c r="R629" s="2" t="inlineStr"/>
    </row>
    <row r="630" ht="15" customHeight="1">
      <c r="A630" t="inlineStr">
        <is>
          <t>A 11041-2025</t>
        </is>
      </c>
      <c r="B630" s="1" t="n">
        <v>45723</v>
      </c>
      <c r="C630" s="1" t="n">
        <v>46047</v>
      </c>
      <c r="D630" t="inlineStr">
        <is>
          <t>STOCKHOLMS LÄN</t>
        </is>
      </c>
      <c r="E630" t="inlineStr">
        <is>
          <t>NORRTÄLJE</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9469-2021</t>
        </is>
      </c>
      <c r="B631" s="1" t="n">
        <v>44251</v>
      </c>
      <c r="C631" s="1" t="n">
        <v>46047</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24024-2024</t>
        </is>
      </c>
      <c r="B632" s="1" t="n">
        <v>45456</v>
      </c>
      <c r="C632" s="1" t="n">
        <v>46047</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28809-2023</t>
        </is>
      </c>
      <c r="B633" s="1" t="n">
        <v>45104</v>
      </c>
      <c r="C633" s="1" t="n">
        <v>46047</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28813-2023</t>
        </is>
      </c>
      <c r="B634" s="1" t="n">
        <v>45104</v>
      </c>
      <c r="C634" s="1" t="n">
        <v>46047</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40656-2022</t>
        </is>
      </c>
      <c r="B635" s="1" t="n">
        <v>44824.36069444445</v>
      </c>
      <c r="C635" s="1" t="n">
        <v>46047</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60694-2024</t>
        </is>
      </c>
      <c r="B636" s="1" t="n">
        <v>45644.47878472223</v>
      </c>
      <c r="C636" s="1" t="n">
        <v>46047</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48161-2022</t>
        </is>
      </c>
      <c r="B637" s="1" t="n">
        <v>44858</v>
      </c>
      <c r="C637" s="1" t="n">
        <v>46047</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46047</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44075-2023</t>
        </is>
      </c>
      <c r="B639" s="1" t="n">
        <v>45188.41637731482</v>
      </c>
      <c r="C639" s="1" t="n">
        <v>46047</v>
      </c>
      <c r="D639" t="inlineStr">
        <is>
          <t>STOCKHOLMS LÄN</t>
        </is>
      </c>
      <c r="E639" t="inlineStr">
        <is>
          <t>NORRTÄLJE</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12111-2021</t>
        </is>
      </c>
      <c r="B640" s="1" t="n">
        <v>44266</v>
      </c>
      <c r="C640" s="1" t="n">
        <v>46047</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54776-2023</t>
        </is>
      </c>
      <c r="B641" s="1" t="n">
        <v>45236.46369212963</v>
      </c>
      <c r="C641" s="1" t="n">
        <v>46047</v>
      </c>
      <c r="D641" t="inlineStr">
        <is>
          <t>STOCKHOLMS LÄN</t>
        </is>
      </c>
      <c r="E641" t="inlineStr">
        <is>
          <t>NORRTÄLJE</t>
        </is>
      </c>
      <c r="G641" t="n">
        <v>0.3</v>
      </c>
      <c r="H641" t="n">
        <v>0</v>
      </c>
      <c r="I641" t="n">
        <v>0</v>
      </c>
      <c r="J641" t="n">
        <v>0</v>
      </c>
      <c r="K641" t="n">
        <v>0</v>
      </c>
      <c r="L641" t="n">
        <v>0</v>
      </c>
      <c r="M641" t="n">
        <v>0</v>
      </c>
      <c r="N641" t="n">
        <v>0</v>
      </c>
      <c r="O641" t="n">
        <v>0</v>
      </c>
      <c r="P641" t="n">
        <v>0</v>
      </c>
      <c r="Q641" t="n">
        <v>0</v>
      </c>
      <c r="R641" s="2" t="inlineStr"/>
    </row>
    <row r="642" ht="15" customHeight="1">
      <c r="A642" t="inlineStr">
        <is>
          <t>A 57442-2021</t>
        </is>
      </c>
      <c r="B642" s="1" t="n">
        <v>44483</v>
      </c>
      <c r="C642" s="1" t="n">
        <v>46047</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19450-2025</t>
        </is>
      </c>
      <c r="B643" s="1" t="n">
        <v>45770</v>
      </c>
      <c r="C643" s="1" t="n">
        <v>46047</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7806-2025</t>
        </is>
      </c>
      <c r="B644" s="1" t="n">
        <v>45706.61178240741</v>
      </c>
      <c r="C644" s="1" t="n">
        <v>46047</v>
      </c>
      <c r="D644" t="inlineStr">
        <is>
          <t>STOCKHOLMS LÄN</t>
        </is>
      </c>
      <c r="E644" t="inlineStr">
        <is>
          <t>NORRTÄLJE</t>
        </is>
      </c>
      <c r="F644" t="inlineStr">
        <is>
          <t>Holmen skog AB</t>
        </is>
      </c>
      <c r="G644" t="n">
        <v>3.5</v>
      </c>
      <c r="H644" t="n">
        <v>0</v>
      </c>
      <c r="I644" t="n">
        <v>0</v>
      </c>
      <c r="J644" t="n">
        <v>0</v>
      </c>
      <c r="K644" t="n">
        <v>0</v>
      </c>
      <c r="L644" t="n">
        <v>0</v>
      </c>
      <c r="M644" t="n">
        <v>0</v>
      </c>
      <c r="N644" t="n">
        <v>0</v>
      </c>
      <c r="O644" t="n">
        <v>0</v>
      </c>
      <c r="P644" t="n">
        <v>0</v>
      </c>
      <c r="Q644" t="n">
        <v>0</v>
      </c>
      <c r="R644" s="2" t="inlineStr"/>
    </row>
    <row r="645" ht="15" customHeight="1">
      <c r="A645" t="inlineStr">
        <is>
          <t>A 55952-2024</t>
        </is>
      </c>
      <c r="B645" s="1" t="n">
        <v>45623.62563657408</v>
      </c>
      <c r="C645" s="1" t="n">
        <v>46047</v>
      </c>
      <c r="D645" t="inlineStr">
        <is>
          <t>STOCKHOLMS LÄN</t>
        </is>
      </c>
      <c r="E645" t="inlineStr">
        <is>
          <t>NORRTÄLJE</t>
        </is>
      </c>
      <c r="F645" t="inlineStr">
        <is>
          <t>Holmen skog AB</t>
        </is>
      </c>
      <c r="G645" t="n">
        <v>2.8</v>
      </c>
      <c r="H645" t="n">
        <v>0</v>
      </c>
      <c r="I645" t="n">
        <v>0</v>
      </c>
      <c r="J645" t="n">
        <v>0</v>
      </c>
      <c r="K645" t="n">
        <v>0</v>
      </c>
      <c r="L645" t="n">
        <v>0</v>
      </c>
      <c r="M645" t="n">
        <v>0</v>
      </c>
      <c r="N645" t="n">
        <v>0</v>
      </c>
      <c r="O645" t="n">
        <v>0</v>
      </c>
      <c r="P645" t="n">
        <v>0</v>
      </c>
      <c r="Q645" t="n">
        <v>0</v>
      </c>
      <c r="R645" s="2" t="inlineStr"/>
    </row>
    <row r="646" ht="15" customHeight="1">
      <c r="A646" t="inlineStr">
        <is>
          <t>A 8135-2025</t>
        </is>
      </c>
      <c r="B646" s="1" t="n">
        <v>45707.84997685185</v>
      </c>
      <c r="C646" s="1" t="n">
        <v>46047</v>
      </c>
      <c r="D646" t="inlineStr">
        <is>
          <t>STOCKHOLMS LÄN</t>
        </is>
      </c>
      <c r="E646" t="inlineStr">
        <is>
          <t>NORRTÄLJE</t>
        </is>
      </c>
      <c r="G646" t="n">
        <v>2.6</v>
      </c>
      <c r="H646" t="n">
        <v>0</v>
      </c>
      <c r="I646" t="n">
        <v>0</v>
      </c>
      <c r="J646" t="n">
        <v>0</v>
      </c>
      <c r="K646" t="n">
        <v>0</v>
      </c>
      <c r="L646" t="n">
        <v>0</v>
      </c>
      <c r="M646" t="n">
        <v>0</v>
      </c>
      <c r="N646" t="n">
        <v>0</v>
      </c>
      <c r="O646" t="n">
        <v>0</v>
      </c>
      <c r="P646" t="n">
        <v>0</v>
      </c>
      <c r="Q646" t="n">
        <v>0</v>
      </c>
      <c r="R646" s="2" t="inlineStr"/>
    </row>
    <row r="647" ht="15" customHeight="1">
      <c r="A647" t="inlineStr">
        <is>
          <t>A 3383-2023</t>
        </is>
      </c>
      <c r="B647" s="1" t="n">
        <v>44949</v>
      </c>
      <c r="C647" s="1" t="n">
        <v>46047</v>
      </c>
      <c r="D647" t="inlineStr">
        <is>
          <t>STOCKHOLMS LÄN</t>
        </is>
      </c>
      <c r="E647" t="inlineStr">
        <is>
          <t>NORRTÄLJE</t>
        </is>
      </c>
      <c r="G647" t="n">
        <v>14.6</v>
      </c>
      <c r="H647" t="n">
        <v>0</v>
      </c>
      <c r="I647" t="n">
        <v>0</v>
      </c>
      <c r="J647" t="n">
        <v>0</v>
      </c>
      <c r="K647" t="n">
        <v>0</v>
      </c>
      <c r="L647" t="n">
        <v>0</v>
      </c>
      <c r="M647" t="n">
        <v>0</v>
      </c>
      <c r="N647" t="n">
        <v>0</v>
      </c>
      <c r="O647" t="n">
        <v>0</v>
      </c>
      <c r="P647" t="n">
        <v>0</v>
      </c>
      <c r="Q647" t="n">
        <v>0</v>
      </c>
      <c r="R647" s="2" t="inlineStr"/>
    </row>
    <row r="648" ht="15" customHeight="1">
      <c r="A648" t="inlineStr">
        <is>
          <t>A 13148-2021</t>
        </is>
      </c>
      <c r="B648" s="1" t="n">
        <v>44272</v>
      </c>
      <c r="C648" s="1" t="n">
        <v>46047</v>
      </c>
      <c r="D648" t="inlineStr">
        <is>
          <t>STOCKHOLMS LÄN</t>
        </is>
      </c>
      <c r="E648" t="inlineStr">
        <is>
          <t>NORRTÄLJE</t>
        </is>
      </c>
      <c r="G648" t="n">
        <v>12.4</v>
      </c>
      <c r="H648" t="n">
        <v>0</v>
      </c>
      <c r="I648" t="n">
        <v>0</v>
      </c>
      <c r="J648" t="n">
        <v>0</v>
      </c>
      <c r="K648" t="n">
        <v>0</v>
      </c>
      <c r="L648" t="n">
        <v>0</v>
      </c>
      <c r="M648" t="n">
        <v>0</v>
      </c>
      <c r="N648" t="n">
        <v>0</v>
      </c>
      <c r="O648" t="n">
        <v>0</v>
      </c>
      <c r="P648" t="n">
        <v>0</v>
      </c>
      <c r="Q648" t="n">
        <v>0</v>
      </c>
      <c r="R648" s="2" t="inlineStr"/>
    </row>
    <row r="649" ht="15" customHeight="1">
      <c r="A649" t="inlineStr">
        <is>
          <t>A 21732-2023</t>
        </is>
      </c>
      <c r="B649" s="1" t="n">
        <v>45063</v>
      </c>
      <c r="C649" s="1" t="n">
        <v>46047</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23307-2024</t>
        </is>
      </c>
      <c r="B650" s="1" t="n">
        <v>45453</v>
      </c>
      <c r="C650" s="1" t="n">
        <v>46047</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29250-2025</t>
        </is>
      </c>
      <c r="B651" s="1" t="n">
        <v>45824.37275462963</v>
      </c>
      <c r="C651" s="1" t="n">
        <v>46047</v>
      </c>
      <c r="D651" t="inlineStr">
        <is>
          <t>STOCKHOLMS LÄN</t>
        </is>
      </c>
      <c r="E651" t="inlineStr">
        <is>
          <t>NORRTÄLJE</t>
        </is>
      </c>
      <c r="F651" t="inlineStr">
        <is>
          <t>Sveaskog</t>
        </is>
      </c>
      <c r="G651" t="n">
        <v>6.4</v>
      </c>
      <c r="H651" t="n">
        <v>0</v>
      </c>
      <c r="I651" t="n">
        <v>0</v>
      </c>
      <c r="J651" t="n">
        <v>0</v>
      </c>
      <c r="K651" t="n">
        <v>0</v>
      </c>
      <c r="L651" t="n">
        <v>0</v>
      </c>
      <c r="M651" t="n">
        <v>0</v>
      </c>
      <c r="N651" t="n">
        <v>0</v>
      </c>
      <c r="O651" t="n">
        <v>0</v>
      </c>
      <c r="P651" t="n">
        <v>0</v>
      </c>
      <c r="Q651" t="n">
        <v>0</v>
      </c>
      <c r="R651" s="2" t="inlineStr"/>
    </row>
    <row r="652" ht="15" customHeight="1">
      <c r="A652" t="inlineStr">
        <is>
          <t>A 33353-2023</t>
        </is>
      </c>
      <c r="B652" s="1" t="n">
        <v>45128</v>
      </c>
      <c r="C652" s="1" t="n">
        <v>46047</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37085-2021</t>
        </is>
      </c>
      <c r="B653" s="1" t="n">
        <v>44395</v>
      </c>
      <c r="C653" s="1" t="n">
        <v>46047</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56428-2023</t>
        </is>
      </c>
      <c r="B654" s="1" t="n">
        <v>45243.45289351852</v>
      </c>
      <c r="C654" s="1" t="n">
        <v>46047</v>
      </c>
      <c r="D654" t="inlineStr">
        <is>
          <t>STOCKHOLMS LÄN</t>
        </is>
      </c>
      <c r="E654" t="inlineStr">
        <is>
          <t>NORRTÄLJE</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3966-2024</t>
        </is>
      </c>
      <c r="B655" s="1" t="n">
        <v>45322</v>
      </c>
      <c r="C655" s="1" t="n">
        <v>46047</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53792-2023</t>
        </is>
      </c>
      <c r="B656" s="1" t="n">
        <v>45231.34144675926</v>
      </c>
      <c r="C656" s="1" t="n">
        <v>46047</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17556-2025</t>
        </is>
      </c>
      <c r="B657" s="1" t="n">
        <v>45757.62482638889</v>
      </c>
      <c r="C657" s="1" t="n">
        <v>46047</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42094-2023</t>
        </is>
      </c>
      <c r="B658" s="1" t="n">
        <v>45177.61498842593</v>
      </c>
      <c r="C658" s="1" t="n">
        <v>46047</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23262-2023</t>
        </is>
      </c>
      <c r="B659" s="1" t="n">
        <v>45075.90270833333</v>
      </c>
      <c r="C659" s="1" t="n">
        <v>46047</v>
      </c>
      <c r="D659" t="inlineStr">
        <is>
          <t>STOCKHOLMS LÄN</t>
        </is>
      </c>
      <c r="E659" t="inlineStr">
        <is>
          <t>NORRTÄLJE</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23268-2023</t>
        </is>
      </c>
      <c r="B660" s="1" t="n">
        <v>45075.91042824074</v>
      </c>
      <c r="C660" s="1" t="n">
        <v>46047</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23270-2023</t>
        </is>
      </c>
      <c r="B661" s="1" t="n">
        <v>45075.91265046296</v>
      </c>
      <c r="C661" s="1" t="n">
        <v>46047</v>
      </c>
      <c r="D661" t="inlineStr">
        <is>
          <t>STOCKHOLMS LÄN</t>
        </is>
      </c>
      <c r="E661" t="inlineStr">
        <is>
          <t>NORRTÄLJE</t>
        </is>
      </c>
      <c r="G661" t="n">
        <v>12.3</v>
      </c>
      <c r="H661" t="n">
        <v>0</v>
      </c>
      <c r="I661" t="n">
        <v>0</v>
      </c>
      <c r="J661" t="n">
        <v>0</v>
      </c>
      <c r="K661" t="n">
        <v>0</v>
      </c>
      <c r="L661" t="n">
        <v>0</v>
      </c>
      <c r="M661" t="n">
        <v>0</v>
      </c>
      <c r="N661" t="n">
        <v>0</v>
      </c>
      <c r="O661" t="n">
        <v>0</v>
      </c>
      <c r="P661" t="n">
        <v>0</v>
      </c>
      <c r="Q661" t="n">
        <v>0</v>
      </c>
      <c r="R661" s="2" t="inlineStr"/>
    </row>
    <row r="662" ht="15" customHeight="1">
      <c r="A662" t="inlineStr">
        <is>
          <t>A 23274-2023</t>
        </is>
      </c>
      <c r="B662" s="1" t="n">
        <v>45075.92153935185</v>
      </c>
      <c r="C662" s="1" t="n">
        <v>46047</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21329-2022</t>
        </is>
      </c>
      <c r="B663" s="1" t="n">
        <v>44705.60626157407</v>
      </c>
      <c r="C663" s="1" t="n">
        <v>46047</v>
      </c>
      <c r="D663" t="inlineStr">
        <is>
          <t>STOCKHOLMS LÄN</t>
        </is>
      </c>
      <c r="E663" t="inlineStr">
        <is>
          <t>NORRTÄLJE</t>
        </is>
      </c>
      <c r="G663" t="n">
        <v>4.1</v>
      </c>
      <c r="H663" t="n">
        <v>0</v>
      </c>
      <c r="I663" t="n">
        <v>0</v>
      </c>
      <c r="J663" t="n">
        <v>0</v>
      </c>
      <c r="K663" t="n">
        <v>0</v>
      </c>
      <c r="L663" t="n">
        <v>0</v>
      </c>
      <c r="M663" t="n">
        <v>0</v>
      </c>
      <c r="N663" t="n">
        <v>0</v>
      </c>
      <c r="O663" t="n">
        <v>0</v>
      </c>
      <c r="P663" t="n">
        <v>0</v>
      </c>
      <c r="Q663" t="n">
        <v>0</v>
      </c>
      <c r="R663" s="2" t="inlineStr"/>
    </row>
    <row r="664" ht="15" customHeight="1">
      <c r="A664" t="inlineStr">
        <is>
          <t>A 17843-2024</t>
        </is>
      </c>
      <c r="B664" s="1" t="n">
        <v>45418</v>
      </c>
      <c r="C664" s="1" t="n">
        <v>46047</v>
      </c>
      <c r="D664" t="inlineStr">
        <is>
          <t>STOCKHOLMS LÄN</t>
        </is>
      </c>
      <c r="E664" t="inlineStr">
        <is>
          <t>NORRTÄLJE</t>
        </is>
      </c>
      <c r="G664" t="n">
        <v>5.4</v>
      </c>
      <c r="H664" t="n">
        <v>0</v>
      </c>
      <c r="I664" t="n">
        <v>0</v>
      </c>
      <c r="J664" t="n">
        <v>0</v>
      </c>
      <c r="K664" t="n">
        <v>0</v>
      </c>
      <c r="L664" t="n">
        <v>0</v>
      </c>
      <c r="M664" t="n">
        <v>0</v>
      </c>
      <c r="N664" t="n">
        <v>0</v>
      </c>
      <c r="O664" t="n">
        <v>0</v>
      </c>
      <c r="P664" t="n">
        <v>0</v>
      </c>
      <c r="Q664" t="n">
        <v>0</v>
      </c>
      <c r="R664" s="2" t="inlineStr"/>
    </row>
    <row r="665" ht="15" customHeight="1">
      <c r="A665" t="inlineStr">
        <is>
          <t>A 8370-2025</t>
        </is>
      </c>
      <c r="B665" s="1" t="n">
        <v>45708</v>
      </c>
      <c r="C665" s="1" t="n">
        <v>46047</v>
      </c>
      <c r="D665" t="inlineStr">
        <is>
          <t>STOCKHOLMS LÄN</t>
        </is>
      </c>
      <c r="E665" t="inlineStr">
        <is>
          <t>NORRTÄLJE</t>
        </is>
      </c>
      <c r="F665" t="inlineStr">
        <is>
          <t>Övriga Aktiebolag</t>
        </is>
      </c>
      <c r="G665" t="n">
        <v>5.6</v>
      </c>
      <c r="H665" t="n">
        <v>0</v>
      </c>
      <c r="I665" t="n">
        <v>0</v>
      </c>
      <c r="J665" t="n">
        <v>0</v>
      </c>
      <c r="K665" t="n">
        <v>0</v>
      </c>
      <c r="L665" t="n">
        <v>0</v>
      </c>
      <c r="M665" t="n">
        <v>0</v>
      </c>
      <c r="N665" t="n">
        <v>0</v>
      </c>
      <c r="O665" t="n">
        <v>0</v>
      </c>
      <c r="P665" t="n">
        <v>0</v>
      </c>
      <c r="Q665" t="n">
        <v>0</v>
      </c>
      <c r="R665" s="2" t="inlineStr"/>
    </row>
    <row r="666" ht="15" customHeight="1">
      <c r="A666" t="inlineStr">
        <is>
          <t>A 30639-2025</t>
        </is>
      </c>
      <c r="B666" s="1" t="n">
        <v>45831.4844212963</v>
      </c>
      <c r="C666" s="1" t="n">
        <v>46047</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30668-2025</t>
        </is>
      </c>
      <c r="B667" s="1" t="n">
        <v>45831.51659722222</v>
      </c>
      <c r="C667" s="1" t="n">
        <v>46047</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3299-2022</t>
        </is>
      </c>
      <c r="B668" s="1" t="n">
        <v>44584.91001157407</v>
      </c>
      <c r="C668" s="1" t="n">
        <v>46047</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26636-2023</t>
        </is>
      </c>
      <c r="B669" s="1" t="n">
        <v>45092</v>
      </c>
      <c r="C669" s="1" t="n">
        <v>46047</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26637-2023</t>
        </is>
      </c>
      <c r="B670" s="1" t="n">
        <v>45092</v>
      </c>
      <c r="C670" s="1" t="n">
        <v>46047</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12348-2025</t>
        </is>
      </c>
      <c r="B671" s="1" t="n">
        <v>45730.35026620371</v>
      </c>
      <c r="C671" s="1" t="n">
        <v>46047</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72704-2021</t>
        </is>
      </c>
      <c r="B672" s="1" t="n">
        <v>44546</v>
      </c>
      <c r="C672" s="1" t="n">
        <v>46047</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52743-2024</t>
        </is>
      </c>
      <c r="B673" s="1" t="n">
        <v>45610.47414351852</v>
      </c>
      <c r="C673" s="1" t="n">
        <v>46047</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16852-2024</t>
        </is>
      </c>
      <c r="B674" s="1" t="n">
        <v>45411.54768518519</v>
      </c>
      <c r="C674" s="1" t="n">
        <v>46047</v>
      </c>
      <c r="D674" t="inlineStr">
        <is>
          <t>STOCKHOLMS LÄN</t>
        </is>
      </c>
      <c r="E674" t="inlineStr">
        <is>
          <t>NORRTÄLJE</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17545-2025</t>
        </is>
      </c>
      <c r="B675" s="1" t="n">
        <v>45757.60658564815</v>
      </c>
      <c r="C675" s="1" t="n">
        <v>46047</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25094-2023</t>
        </is>
      </c>
      <c r="B676" s="1" t="n">
        <v>45086.3629050926</v>
      </c>
      <c r="C676" s="1" t="n">
        <v>46047</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36157-2024</t>
        </is>
      </c>
      <c r="B677" s="1" t="n">
        <v>45534.38240740741</v>
      </c>
      <c r="C677" s="1" t="n">
        <v>46047</v>
      </c>
      <c r="D677" t="inlineStr">
        <is>
          <t>STOCKHOLMS LÄN</t>
        </is>
      </c>
      <c r="E677" t="inlineStr">
        <is>
          <t>NORRTÄLJE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50569-2022</t>
        </is>
      </c>
      <c r="B678" s="1" t="n">
        <v>44866.63775462963</v>
      </c>
      <c r="C678" s="1" t="n">
        <v>46047</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47694-2023</t>
        </is>
      </c>
      <c r="B679" s="1" t="n">
        <v>45203.63303240741</v>
      </c>
      <c r="C679" s="1" t="n">
        <v>46047</v>
      </c>
      <c r="D679" t="inlineStr">
        <is>
          <t>STOCKHOLMS LÄN</t>
        </is>
      </c>
      <c r="E679" t="inlineStr">
        <is>
          <t>NORRTÄLJE</t>
        </is>
      </c>
      <c r="G679" t="n">
        <v>5.2</v>
      </c>
      <c r="H679" t="n">
        <v>0</v>
      </c>
      <c r="I679" t="n">
        <v>0</v>
      </c>
      <c r="J679" t="n">
        <v>0</v>
      </c>
      <c r="K679" t="n">
        <v>0</v>
      </c>
      <c r="L679" t="n">
        <v>0</v>
      </c>
      <c r="M679" t="n">
        <v>0</v>
      </c>
      <c r="N679" t="n">
        <v>0</v>
      </c>
      <c r="O679" t="n">
        <v>0</v>
      </c>
      <c r="P679" t="n">
        <v>0</v>
      </c>
      <c r="Q679" t="n">
        <v>0</v>
      </c>
      <c r="R679" s="2" t="inlineStr"/>
    </row>
    <row r="680" ht="15" customHeight="1">
      <c r="A680" t="inlineStr">
        <is>
          <t>A 31170-2025</t>
        </is>
      </c>
      <c r="B680" s="1" t="n">
        <v>45832.66385416667</v>
      </c>
      <c r="C680" s="1" t="n">
        <v>46047</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24501-2023</t>
        </is>
      </c>
      <c r="B681" s="1" t="n">
        <v>45082</v>
      </c>
      <c r="C681" s="1" t="n">
        <v>46047</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24520-2023</t>
        </is>
      </c>
      <c r="B682" s="1" t="n">
        <v>45082.68922453704</v>
      </c>
      <c r="C682" s="1" t="n">
        <v>46047</v>
      </c>
      <c r="D682" t="inlineStr">
        <is>
          <t>STOCKHOLMS LÄN</t>
        </is>
      </c>
      <c r="E682" t="inlineStr">
        <is>
          <t>NORRTÄLJE</t>
        </is>
      </c>
      <c r="G682" t="n">
        <v>4.3</v>
      </c>
      <c r="H682" t="n">
        <v>0</v>
      </c>
      <c r="I682" t="n">
        <v>0</v>
      </c>
      <c r="J682" t="n">
        <v>0</v>
      </c>
      <c r="K682" t="n">
        <v>0</v>
      </c>
      <c r="L682" t="n">
        <v>0</v>
      </c>
      <c r="M682" t="n">
        <v>0</v>
      </c>
      <c r="N682" t="n">
        <v>0</v>
      </c>
      <c r="O682" t="n">
        <v>0</v>
      </c>
      <c r="P682" t="n">
        <v>0</v>
      </c>
      <c r="Q682" t="n">
        <v>0</v>
      </c>
      <c r="R682" s="2" t="inlineStr"/>
    </row>
    <row r="683" ht="15" customHeight="1">
      <c r="A683" t="inlineStr">
        <is>
          <t>A 35532-2024</t>
        </is>
      </c>
      <c r="B683" s="1" t="n">
        <v>45531</v>
      </c>
      <c r="C683" s="1" t="n">
        <v>46047</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60654-2023</t>
        </is>
      </c>
      <c r="B684" s="1" t="n">
        <v>45260.43225694444</v>
      </c>
      <c r="C684" s="1" t="n">
        <v>46047</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60656-2023</t>
        </is>
      </c>
      <c r="B685" s="1" t="n">
        <v>45260.4333449074</v>
      </c>
      <c r="C685" s="1" t="n">
        <v>46047</v>
      </c>
      <c r="D685" t="inlineStr">
        <is>
          <t>STOCKHOLMS LÄN</t>
        </is>
      </c>
      <c r="E685" t="inlineStr">
        <is>
          <t>NORRTÄLJE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1654-2025</t>
        </is>
      </c>
      <c r="B686" s="1" t="n">
        <v>45670.65921296296</v>
      </c>
      <c r="C686" s="1" t="n">
        <v>46047</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62644-2023</t>
        </is>
      </c>
      <c r="B687" s="1" t="n">
        <v>45271</v>
      </c>
      <c r="C687" s="1" t="n">
        <v>46047</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55755-2023</t>
        </is>
      </c>
      <c r="B688" s="1" t="n">
        <v>45239</v>
      </c>
      <c r="C688" s="1" t="n">
        <v>46047</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31880-2025</t>
        </is>
      </c>
      <c r="B689" s="1" t="n">
        <v>45834.65538194445</v>
      </c>
      <c r="C689" s="1" t="n">
        <v>46047</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54496-2024</t>
        </is>
      </c>
      <c r="B690" s="1" t="n">
        <v>45617.57439814815</v>
      </c>
      <c r="C690" s="1" t="n">
        <v>46047</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32122-2025</t>
        </is>
      </c>
      <c r="B691" s="1" t="n">
        <v>45835.4928125</v>
      </c>
      <c r="C691" s="1" t="n">
        <v>46047</v>
      </c>
      <c r="D691" t="inlineStr">
        <is>
          <t>STOCKHOLMS LÄN</t>
        </is>
      </c>
      <c r="E691" t="inlineStr">
        <is>
          <t>NORRTÄLJE</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31868-2025</t>
        </is>
      </c>
      <c r="B692" s="1" t="n">
        <v>45834.6447337963</v>
      </c>
      <c r="C692" s="1" t="n">
        <v>46047</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6413-2025</t>
        </is>
      </c>
      <c r="B693" s="1" t="n">
        <v>45699.46283564815</v>
      </c>
      <c r="C693" s="1" t="n">
        <v>46047</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11229-2022</t>
        </is>
      </c>
      <c r="B694" s="1" t="n">
        <v>44629</v>
      </c>
      <c r="C694" s="1" t="n">
        <v>46047</v>
      </c>
      <c r="D694" t="inlineStr">
        <is>
          <t>STOCKHOLMS LÄN</t>
        </is>
      </c>
      <c r="E694" t="inlineStr">
        <is>
          <t>NORRTÄLJE</t>
        </is>
      </c>
      <c r="F694" t="inlineStr">
        <is>
          <t>Övriga Aktiebolag</t>
        </is>
      </c>
      <c r="G694" t="n">
        <v>4.1</v>
      </c>
      <c r="H694" t="n">
        <v>0</v>
      </c>
      <c r="I694" t="n">
        <v>0</v>
      </c>
      <c r="J694" t="n">
        <v>0</v>
      </c>
      <c r="K694" t="n">
        <v>0</v>
      </c>
      <c r="L694" t="n">
        <v>0</v>
      </c>
      <c r="M694" t="n">
        <v>0</v>
      </c>
      <c r="N694" t="n">
        <v>0</v>
      </c>
      <c r="O694" t="n">
        <v>0</v>
      </c>
      <c r="P694" t="n">
        <v>0</v>
      </c>
      <c r="Q694" t="n">
        <v>0</v>
      </c>
      <c r="R694" s="2" t="inlineStr"/>
    </row>
    <row r="695" ht="15" customHeight="1">
      <c r="A695" t="inlineStr">
        <is>
          <t>A 32016-2025</t>
        </is>
      </c>
      <c r="B695" s="1" t="n">
        <v>45835</v>
      </c>
      <c r="C695" s="1" t="n">
        <v>46047</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17348-2024</t>
        </is>
      </c>
      <c r="B696" s="1" t="n">
        <v>45414.58650462963</v>
      </c>
      <c r="C696" s="1" t="n">
        <v>46047</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32283-2025</t>
        </is>
      </c>
      <c r="B697" s="1" t="n">
        <v>45835.68076388889</v>
      </c>
      <c r="C697" s="1" t="n">
        <v>46047</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31874-2025</t>
        </is>
      </c>
      <c r="B698" s="1" t="n">
        <v>45834</v>
      </c>
      <c r="C698" s="1" t="n">
        <v>46047</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32094-2025</t>
        </is>
      </c>
      <c r="B699" s="1" t="n">
        <v>45835.46034722222</v>
      </c>
      <c r="C699" s="1" t="n">
        <v>46047</v>
      </c>
      <c r="D699" t="inlineStr">
        <is>
          <t>STOCKHOLMS LÄN</t>
        </is>
      </c>
      <c r="E699" t="inlineStr">
        <is>
          <t>NORRTÄLJE</t>
        </is>
      </c>
      <c r="F699" t="inlineStr">
        <is>
          <t>Holmen skog AB</t>
        </is>
      </c>
      <c r="G699" t="n">
        <v>2.9</v>
      </c>
      <c r="H699" t="n">
        <v>0</v>
      </c>
      <c r="I699" t="n">
        <v>0</v>
      </c>
      <c r="J699" t="n">
        <v>0</v>
      </c>
      <c r="K699" t="n">
        <v>0</v>
      </c>
      <c r="L699" t="n">
        <v>0</v>
      </c>
      <c r="M699" t="n">
        <v>0</v>
      </c>
      <c r="N699" t="n">
        <v>0</v>
      </c>
      <c r="O699" t="n">
        <v>0</v>
      </c>
      <c r="P699" t="n">
        <v>0</v>
      </c>
      <c r="Q699" t="n">
        <v>0</v>
      </c>
      <c r="R699" s="2" t="inlineStr"/>
    </row>
    <row r="700" ht="15" customHeight="1">
      <c r="A700" t="inlineStr">
        <is>
          <t>A 57353-2024</t>
        </is>
      </c>
      <c r="B700" s="1" t="n">
        <v>45629.65143518519</v>
      </c>
      <c r="C700" s="1" t="n">
        <v>46047</v>
      </c>
      <c r="D700" t="inlineStr">
        <is>
          <t>STOCKHOLMS LÄN</t>
        </is>
      </c>
      <c r="E700" t="inlineStr">
        <is>
          <t>NORRTÄLJE</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48587-2023</t>
        </is>
      </c>
      <c r="B701" s="1" t="n">
        <v>45208</v>
      </c>
      <c r="C701" s="1" t="n">
        <v>46047</v>
      </c>
      <c r="D701" t="inlineStr">
        <is>
          <t>STOCKHOLMS LÄN</t>
        </is>
      </c>
      <c r="E701" t="inlineStr">
        <is>
          <t>NORRTÄLJE</t>
        </is>
      </c>
      <c r="G701" t="n">
        <v>7</v>
      </c>
      <c r="H701" t="n">
        <v>0</v>
      </c>
      <c r="I701" t="n">
        <v>0</v>
      </c>
      <c r="J701" t="n">
        <v>0</v>
      </c>
      <c r="K701" t="n">
        <v>0</v>
      </c>
      <c r="L701" t="n">
        <v>0</v>
      </c>
      <c r="M701" t="n">
        <v>0</v>
      </c>
      <c r="N701" t="n">
        <v>0</v>
      </c>
      <c r="O701" t="n">
        <v>0</v>
      </c>
      <c r="P701" t="n">
        <v>0</v>
      </c>
      <c r="Q701" t="n">
        <v>0</v>
      </c>
      <c r="R701" s="2" t="inlineStr"/>
    </row>
    <row r="702" ht="15" customHeight="1">
      <c r="A702" t="inlineStr">
        <is>
          <t>A 21386-2023</t>
        </is>
      </c>
      <c r="B702" s="1" t="n">
        <v>45063.35880787037</v>
      </c>
      <c r="C702" s="1" t="n">
        <v>46047</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10642-2025</t>
        </is>
      </c>
      <c r="B703" s="1" t="n">
        <v>45721.65858796296</v>
      </c>
      <c r="C703" s="1" t="n">
        <v>46047</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2549-2022</t>
        </is>
      </c>
      <c r="B704" s="1" t="n">
        <v>44580</v>
      </c>
      <c r="C704" s="1" t="n">
        <v>46047</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32480-2025</t>
        </is>
      </c>
      <c r="B705" s="1" t="n">
        <v>45838.43261574074</v>
      </c>
      <c r="C705" s="1" t="n">
        <v>46047</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4438-2023</t>
        </is>
      </c>
      <c r="B706" s="1" t="n">
        <v>44956</v>
      </c>
      <c r="C706" s="1" t="n">
        <v>46047</v>
      </c>
      <c r="D706" t="inlineStr">
        <is>
          <t>STOCKHOLMS LÄN</t>
        </is>
      </c>
      <c r="E706" t="inlineStr">
        <is>
          <t>NORRTÄLJE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32872-2025</t>
        </is>
      </c>
      <c r="B707" s="1" t="n">
        <v>45839</v>
      </c>
      <c r="C707" s="1" t="n">
        <v>46047</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32903-2025</t>
        </is>
      </c>
      <c r="B708" s="1" t="n">
        <v>45839.62398148148</v>
      </c>
      <c r="C708" s="1" t="n">
        <v>46047</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32395-2025</t>
        </is>
      </c>
      <c r="B709" s="1" t="n">
        <v>45837.93730324074</v>
      </c>
      <c r="C709" s="1" t="n">
        <v>46047</v>
      </c>
      <c r="D709" t="inlineStr">
        <is>
          <t>STOCKHOLMS LÄN</t>
        </is>
      </c>
      <c r="E709" t="inlineStr">
        <is>
          <t>NORRTÄLJE</t>
        </is>
      </c>
      <c r="G709" t="n">
        <v>2.2</v>
      </c>
      <c r="H709" t="n">
        <v>0</v>
      </c>
      <c r="I709" t="n">
        <v>0</v>
      </c>
      <c r="J709" t="n">
        <v>0</v>
      </c>
      <c r="K709" t="n">
        <v>0</v>
      </c>
      <c r="L709" t="n">
        <v>0</v>
      </c>
      <c r="M709" t="n">
        <v>0</v>
      </c>
      <c r="N709" t="n">
        <v>0</v>
      </c>
      <c r="O709" t="n">
        <v>0</v>
      </c>
      <c r="P709" t="n">
        <v>0</v>
      </c>
      <c r="Q709" t="n">
        <v>0</v>
      </c>
      <c r="R709" s="2" t="inlineStr"/>
    </row>
    <row r="710" ht="15" customHeight="1">
      <c r="A710" t="inlineStr">
        <is>
          <t>A 32396-2025</t>
        </is>
      </c>
      <c r="B710" s="1" t="n">
        <v>45837</v>
      </c>
      <c r="C710" s="1" t="n">
        <v>46047</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32397-2025</t>
        </is>
      </c>
      <c r="B711" s="1" t="n">
        <v>45837.94081018519</v>
      </c>
      <c r="C711" s="1" t="n">
        <v>46047</v>
      </c>
      <c r="D711" t="inlineStr">
        <is>
          <t>STOCKHOLMS LÄN</t>
        </is>
      </c>
      <c r="E711" t="inlineStr">
        <is>
          <t>NORRTÄLJE</t>
        </is>
      </c>
      <c r="G711" t="n">
        <v>5.9</v>
      </c>
      <c r="H711" t="n">
        <v>0</v>
      </c>
      <c r="I711" t="n">
        <v>0</v>
      </c>
      <c r="J711" t="n">
        <v>0</v>
      </c>
      <c r="K711" t="n">
        <v>0</v>
      </c>
      <c r="L711" t="n">
        <v>0</v>
      </c>
      <c r="M711" t="n">
        <v>0</v>
      </c>
      <c r="N711" t="n">
        <v>0</v>
      </c>
      <c r="O711" t="n">
        <v>0</v>
      </c>
      <c r="P711" t="n">
        <v>0</v>
      </c>
      <c r="Q711" t="n">
        <v>0</v>
      </c>
      <c r="R711" s="2" t="inlineStr"/>
    </row>
    <row r="712" ht="15" customHeight="1">
      <c r="A712" t="inlineStr">
        <is>
          <t>A 13089-2022</t>
        </is>
      </c>
      <c r="B712" s="1" t="n">
        <v>44643</v>
      </c>
      <c r="C712" s="1" t="n">
        <v>46047</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47758-2023</t>
        </is>
      </c>
      <c r="B713" s="1" t="n">
        <v>45203.83891203703</v>
      </c>
      <c r="C713" s="1" t="n">
        <v>46047</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48145-2024</t>
        </is>
      </c>
      <c r="B714" s="1" t="n">
        <v>45589.6756712963</v>
      </c>
      <c r="C714" s="1" t="n">
        <v>46047</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23998-2024</t>
        </is>
      </c>
      <c r="B715" s="1" t="n">
        <v>45456</v>
      </c>
      <c r="C715" s="1" t="n">
        <v>46047</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15447-2023</t>
        </is>
      </c>
      <c r="B716" s="1" t="n">
        <v>45020</v>
      </c>
      <c r="C716" s="1" t="n">
        <v>46047</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51061-2023</t>
        </is>
      </c>
      <c r="B717" s="1" t="n">
        <v>45218.65849537037</v>
      </c>
      <c r="C717" s="1" t="n">
        <v>46047</v>
      </c>
      <c r="D717" t="inlineStr">
        <is>
          <t>STOCKHOLMS LÄN</t>
        </is>
      </c>
      <c r="E717" t="inlineStr">
        <is>
          <t>NORRTÄLJE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22697-2022</t>
        </is>
      </c>
      <c r="B718" s="1" t="n">
        <v>44714.56040509259</v>
      </c>
      <c r="C718" s="1" t="n">
        <v>46047</v>
      </c>
      <c r="D718" t="inlineStr">
        <is>
          <t>STOCKHOLMS LÄN</t>
        </is>
      </c>
      <c r="E718" t="inlineStr">
        <is>
          <t>NORRTÄLJE</t>
        </is>
      </c>
      <c r="G718" t="n">
        <v>5.6</v>
      </c>
      <c r="H718" t="n">
        <v>0</v>
      </c>
      <c r="I718" t="n">
        <v>0</v>
      </c>
      <c r="J718" t="n">
        <v>0</v>
      </c>
      <c r="K718" t="n">
        <v>0</v>
      </c>
      <c r="L718" t="n">
        <v>0</v>
      </c>
      <c r="M718" t="n">
        <v>0</v>
      </c>
      <c r="N718" t="n">
        <v>0</v>
      </c>
      <c r="O718" t="n">
        <v>0</v>
      </c>
      <c r="P718" t="n">
        <v>0</v>
      </c>
      <c r="Q718" t="n">
        <v>0</v>
      </c>
      <c r="R718" s="2" t="inlineStr"/>
    </row>
    <row r="719" ht="15" customHeight="1">
      <c r="A719" t="inlineStr">
        <is>
          <t>A 45549-2022</t>
        </is>
      </c>
      <c r="B719" s="1" t="n">
        <v>44845.48064814815</v>
      </c>
      <c r="C719" s="1" t="n">
        <v>46047</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54396-2021</t>
        </is>
      </c>
      <c r="B720" s="1" t="n">
        <v>44472</v>
      </c>
      <c r="C720" s="1" t="n">
        <v>46047</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24727-2023</t>
        </is>
      </c>
      <c r="B721" s="1" t="n">
        <v>45084.57695601852</v>
      </c>
      <c r="C721" s="1" t="n">
        <v>46047</v>
      </c>
      <c r="D721" t="inlineStr">
        <is>
          <t>STOCKHOLMS LÄN</t>
        </is>
      </c>
      <c r="E721" t="inlineStr">
        <is>
          <t>NORRTÄLJE</t>
        </is>
      </c>
      <c r="F721" t="inlineStr">
        <is>
          <t>Holmen skog AB</t>
        </is>
      </c>
      <c r="G721" t="n">
        <v>2.2</v>
      </c>
      <c r="H721" t="n">
        <v>0</v>
      </c>
      <c r="I721" t="n">
        <v>0</v>
      </c>
      <c r="J721" t="n">
        <v>0</v>
      </c>
      <c r="K721" t="n">
        <v>0</v>
      </c>
      <c r="L721" t="n">
        <v>0</v>
      </c>
      <c r="M721" t="n">
        <v>0</v>
      </c>
      <c r="N721" t="n">
        <v>0</v>
      </c>
      <c r="O721" t="n">
        <v>0</v>
      </c>
      <c r="P721" t="n">
        <v>0</v>
      </c>
      <c r="Q721" t="n">
        <v>0</v>
      </c>
      <c r="R721" s="2" t="inlineStr"/>
    </row>
    <row r="722" ht="15" customHeight="1">
      <c r="A722" t="inlineStr">
        <is>
          <t>A 20144-2023</t>
        </is>
      </c>
      <c r="B722" s="1" t="n">
        <v>45055.43509259259</v>
      </c>
      <c r="C722" s="1" t="n">
        <v>46047</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48722-2023</t>
        </is>
      </c>
      <c r="B723" s="1" t="n">
        <v>45208.70996527778</v>
      </c>
      <c r="C723" s="1" t="n">
        <v>46047</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54358-2022</t>
        </is>
      </c>
      <c r="B724" s="1" t="n">
        <v>44882</v>
      </c>
      <c r="C724" s="1" t="n">
        <v>46047</v>
      </c>
      <c r="D724" t="inlineStr">
        <is>
          <t>STOCKHOLMS LÄN</t>
        </is>
      </c>
      <c r="E724" t="inlineStr">
        <is>
          <t>NORRTÄLJE</t>
        </is>
      </c>
      <c r="G724" t="n">
        <v>3.3</v>
      </c>
      <c r="H724" t="n">
        <v>0</v>
      </c>
      <c r="I724" t="n">
        <v>0</v>
      </c>
      <c r="J724" t="n">
        <v>0</v>
      </c>
      <c r="K724" t="n">
        <v>0</v>
      </c>
      <c r="L724" t="n">
        <v>0</v>
      </c>
      <c r="M724" t="n">
        <v>0</v>
      </c>
      <c r="N724" t="n">
        <v>0</v>
      </c>
      <c r="O724" t="n">
        <v>0</v>
      </c>
      <c r="P724" t="n">
        <v>0</v>
      </c>
      <c r="Q724" t="n">
        <v>0</v>
      </c>
      <c r="R724" s="2" t="inlineStr"/>
    </row>
    <row r="725" ht="15" customHeight="1">
      <c r="A725" t="inlineStr">
        <is>
          <t>A 53312-2024</t>
        </is>
      </c>
      <c r="B725" s="1" t="n">
        <v>45614.39627314815</v>
      </c>
      <c r="C725" s="1" t="n">
        <v>46047</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33702-2025</t>
        </is>
      </c>
      <c r="B726" s="1" t="n">
        <v>45841.74596064815</v>
      </c>
      <c r="C726" s="1" t="n">
        <v>46047</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35235-2024</t>
        </is>
      </c>
      <c r="B727" s="1" t="n">
        <v>45530</v>
      </c>
      <c r="C727" s="1" t="n">
        <v>46047</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39202-2024</t>
        </is>
      </c>
      <c r="B728" s="1" t="n">
        <v>45548.72306712963</v>
      </c>
      <c r="C728" s="1" t="n">
        <v>46047</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23263-2023</t>
        </is>
      </c>
      <c r="B729" s="1" t="n">
        <v>45075</v>
      </c>
      <c r="C729" s="1" t="n">
        <v>46047</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23264-2023</t>
        </is>
      </c>
      <c r="B730" s="1" t="n">
        <v>45075</v>
      </c>
      <c r="C730" s="1" t="n">
        <v>46047</v>
      </c>
      <c r="D730" t="inlineStr">
        <is>
          <t>STOCKHOLMS LÄN</t>
        </is>
      </c>
      <c r="E730" t="inlineStr">
        <is>
          <t>NORRTÄLJE</t>
        </is>
      </c>
      <c r="G730" t="n">
        <v>2.9</v>
      </c>
      <c r="H730" t="n">
        <v>0</v>
      </c>
      <c r="I730" t="n">
        <v>0</v>
      </c>
      <c r="J730" t="n">
        <v>0</v>
      </c>
      <c r="K730" t="n">
        <v>0</v>
      </c>
      <c r="L730" t="n">
        <v>0</v>
      </c>
      <c r="M730" t="n">
        <v>0</v>
      </c>
      <c r="N730" t="n">
        <v>0</v>
      </c>
      <c r="O730" t="n">
        <v>0</v>
      </c>
      <c r="P730" t="n">
        <v>0</v>
      </c>
      <c r="Q730" t="n">
        <v>0</v>
      </c>
      <c r="R730" s="2" t="inlineStr"/>
    </row>
    <row r="731" ht="15" customHeight="1">
      <c r="A731" t="inlineStr">
        <is>
          <t>A 23267-2023</t>
        </is>
      </c>
      <c r="B731" s="1" t="n">
        <v>45075.90934027778</v>
      </c>
      <c r="C731" s="1" t="n">
        <v>46047</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23269-2023</t>
        </is>
      </c>
      <c r="B732" s="1" t="n">
        <v>45075.91148148148</v>
      </c>
      <c r="C732" s="1" t="n">
        <v>46047</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1448-2023</t>
        </is>
      </c>
      <c r="B733" s="1" t="n">
        <v>44937</v>
      </c>
      <c r="C733" s="1" t="n">
        <v>46047</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33211-2025</t>
        </is>
      </c>
      <c r="B734" s="1" t="n">
        <v>45840.62755787037</v>
      </c>
      <c r="C734" s="1" t="n">
        <v>46047</v>
      </c>
      <c r="D734" t="inlineStr">
        <is>
          <t>STOCKHOLMS LÄN</t>
        </is>
      </c>
      <c r="E734" t="inlineStr">
        <is>
          <t>NORRTÄLJE</t>
        </is>
      </c>
      <c r="G734" t="n">
        <v>5.1</v>
      </c>
      <c r="H734" t="n">
        <v>0</v>
      </c>
      <c r="I734" t="n">
        <v>0</v>
      </c>
      <c r="J734" t="n">
        <v>0</v>
      </c>
      <c r="K734" t="n">
        <v>0</v>
      </c>
      <c r="L734" t="n">
        <v>0</v>
      </c>
      <c r="M734" t="n">
        <v>0</v>
      </c>
      <c r="N734" t="n">
        <v>0</v>
      </c>
      <c r="O734" t="n">
        <v>0</v>
      </c>
      <c r="P734" t="n">
        <v>0</v>
      </c>
      <c r="Q734" t="n">
        <v>0</v>
      </c>
      <c r="R734" s="2" t="inlineStr"/>
    </row>
    <row r="735" ht="15" customHeight="1">
      <c r="A735" t="inlineStr">
        <is>
          <t>A 19911-2025</t>
        </is>
      </c>
      <c r="B735" s="1" t="n">
        <v>45771</v>
      </c>
      <c r="C735" s="1" t="n">
        <v>46047</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5831-2022</t>
        </is>
      </c>
      <c r="B736" s="1" t="n">
        <v>44596</v>
      </c>
      <c r="C736" s="1" t="n">
        <v>46047</v>
      </c>
      <c r="D736" t="inlineStr">
        <is>
          <t>STOCKHOLMS LÄN</t>
        </is>
      </c>
      <c r="E736" t="inlineStr">
        <is>
          <t>NORRTÄLJE</t>
        </is>
      </c>
      <c r="G736" t="n">
        <v>4.8</v>
      </c>
      <c r="H736" t="n">
        <v>0</v>
      </c>
      <c r="I736" t="n">
        <v>0</v>
      </c>
      <c r="J736" t="n">
        <v>0</v>
      </c>
      <c r="K736" t="n">
        <v>0</v>
      </c>
      <c r="L736" t="n">
        <v>0</v>
      </c>
      <c r="M736" t="n">
        <v>0</v>
      </c>
      <c r="N736" t="n">
        <v>0</v>
      </c>
      <c r="O736" t="n">
        <v>0</v>
      </c>
      <c r="P736" t="n">
        <v>0</v>
      </c>
      <c r="Q736" t="n">
        <v>0</v>
      </c>
      <c r="R736" s="2" t="inlineStr"/>
    </row>
    <row r="737" ht="15" customHeight="1">
      <c r="A737" t="inlineStr">
        <is>
          <t>A 5867-2022</t>
        </is>
      </c>
      <c r="B737" s="1" t="n">
        <v>44596.66335648148</v>
      </c>
      <c r="C737" s="1" t="n">
        <v>46047</v>
      </c>
      <c r="D737" t="inlineStr">
        <is>
          <t>STOCKHOLMS LÄN</t>
        </is>
      </c>
      <c r="E737" t="inlineStr">
        <is>
          <t>NORRTÄLJE</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33265-2025</t>
        </is>
      </c>
      <c r="B738" s="1" t="n">
        <v>45840.67829861111</v>
      </c>
      <c r="C738" s="1" t="n">
        <v>46047</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8736-2024</t>
        </is>
      </c>
      <c r="B739" s="1" t="n">
        <v>45356.4722800926</v>
      </c>
      <c r="C739" s="1" t="n">
        <v>46047</v>
      </c>
      <c r="D739" t="inlineStr">
        <is>
          <t>STOCKHOLMS LÄN</t>
        </is>
      </c>
      <c r="E739" t="inlineStr">
        <is>
          <t>NORRTÄLJE</t>
        </is>
      </c>
      <c r="G739" t="n">
        <v>8.9</v>
      </c>
      <c r="H739" t="n">
        <v>0</v>
      </c>
      <c r="I739" t="n">
        <v>0</v>
      </c>
      <c r="J739" t="n">
        <v>0</v>
      </c>
      <c r="K739" t="n">
        <v>0</v>
      </c>
      <c r="L739" t="n">
        <v>0</v>
      </c>
      <c r="M739" t="n">
        <v>0</v>
      </c>
      <c r="N739" t="n">
        <v>0</v>
      </c>
      <c r="O739" t="n">
        <v>0</v>
      </c>
      <c r="P739" t="n">
        <v>0</v>
      </c>
      <c r="Q739" t="n">
        <v>0</v>
      </c>
      <c r="R739" s="2" t="inlineStr"/>
    </row>
    <row r="740" ht="15" customHeight="1">
      <c r="A740" t="inlineStr">
        <is>
          <t>A 20244-2025</t>
        </is>
      </c>
      <c r="B740" s="1" t="n">
        <v>45772.71221064815</v>
      </c>
      <c r="C740" s="1" t="n">
        <v>46047</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33552-2025</t>
        </is>
      </c>
      <c r="B741" s="1" t="n">
        <v>45841.5737962963</v>
      </c>
      <c r="C741" s="1" t="n">
        <v>46047</v>
      </c>
      <c r="D741" t="inlineStr">
        <is>
          <t>STOCKHOLMS LÄN</t>
        </is>
      </c>
      <c r="E741" t="inlineStr">
        <is>
          <t>NORRTÄLJE</t>
        </is>
      </c>
      <c r="G741" t="n">
        <v>8.9</v>
      </c>
      <c r="H741" t="n">
        <v>0</v>
      </c>
      <c r="I741" t="n">
        <v>0</v>
      </c>
      <c r="J741" t="n">
        <v>0</v>
      </c>
      <c r="K741" t="n">
        <v>0</v>
      </c>
      <c r="L741" t="n">
        <v>0</v>
      </c>
      <c r="M741" t="n">
        <v>0</v>
      </c>
      <c r="N741" t="n">
        <v>0</v>
      </c>
      <c r="O741" t="n">
        <v>0</v>
      </c>
      <c r="P741" t="n">
        <v>0</v>
      </c>
      <c r="Q741" t="n">
        <v>0</v>
      </c>
      <c r="R741" s="2" t="inlineStr"/>
    </row>
    <row r="742" ht="15" customHeight="1">
      <c r="A742" t="inlineStr">
        <is>
          <t>A 48633-2023</t>
        </is>
      </c>
      <c r="B742" s="1" t="n">
        <v>45208.58004629629</v>
      </c>
      <c r="C742" s="1" t="n">
        <v>46047</v>
      </c>
      <c r="D742" t="inlineStr">
        <is>
          <t>STOCKHOLMS LÄN</t>
        </is>
      </c>
      <c r="E742" t="inlineStr">
        <is>
          <t>NORRTÄLJE</t>
        </is>
      </c>
      <c r="G742" t="n">
        <v>3.3</v>
      </c>
      <c r="H742" t="n">
        <v>0</v>
      </c>
      <c r="I742" t="n">
        <v>0</v>
      </c>
      <c r="J742" t="n">
        <v>0</v>
      </c>
      <c r="K742" t="n">
        <v>0</v>
      </c>
      <c r="L742" t="n">
        <v>0</v>
      </c>
      <c r="M742" t="n">
        <v>0</v>
      </c>
      <c r="N742" t="n">
        <v>0</v>
      </c>
      <c r="O742" t="n">
        <v>0</v>
      </c>
      <c r="P742" t="n">
        <v>0</v>
      </c>
      <c r="Q742" t="n">
        <v>0</v>
      </c>
      <c r="R742" s="2" t="inlineStr"/>
    </row>
    <row r="743" ht="15" customHeight="1">
      <c r="A743" t="inlineStr">
        <is>
          <t>A 33336-2025</t>
        </is>
      </c>
      <c r="B743" s="1" t="n">
        <v>45841.35611111111</v>
      </c>
      <c r="C743" s="1" t="n">
        <v>46047</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33149-2022</t>
        </is>
      </c>
      <c r="B744" s="1" t="n">
        <v>44785</v>
      </c>
      <c r="C744" s="1" t="n">
        <v>46047</v>
      </c>
      <c r="D744" t="inlineStr">
        <is>
          <t>STOCKHOLMS LÄN</t>
        </is>
      </c>
      <c r="E744" t="inlineStr">
        <is>
          <t>NORRTÄLJE</t>
        </is>
      </c>
      <c r="F744" t="inlineStr">
        <is>
          <t>Holmen skog AB</t>
        </is>
      </c>
      <c r="G744" t="n">
        <v>4.4</v>
      </c>
      <c r="H744" t="n">
        <v>0</v>
      </c>
      <c r="I744" t="n">
        <v>0</v>
      </c>
      <c r="J744" t="n">
        <v>0</v>
      </c>
      <c r="K744" t="n">
        <v>0</v>
      </c>
      <c r="L744" t="n">
        <v>0</v>
      </c>
      <c r="M744" t="n">
        <v>0</v>
      </c>
      <c r="N744" t="n">
        <v>0</v>
      </c>
      <c r="O744" t="n">
        <v>0</v>
      </c>
      <c r="P744" t="n">
        <v>0</v>
      </c>
      <c r="Q744" t="n">
        <v>0</v>
      </c>
      <c r="R744" s="2" t="inlineStr"/>
    </row>
    <row r="745" ht="15" customHeight="1">
      <c r="A745" t="inlineStr">
        <is>
          <t>A 33824-2025</t>
        </is>
      </c>
      <c r="B745" s="1" t="n">
        <v>45842.46885416667</v>
      </c>
      <c r="C745" s="1" t="n">
        <v>46047</v>
      </c>
      <c r="D745" t="inlineStr">
        <is>
          <t>STOCKHOLMS LÄN</t>
        </is>
      </c>
      <c r="E745" t="inlineStr">
        <is>
          <t>NORRTÄLJE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22756-2022</t>
        </is>
      </c>
      <c r="B746" s="1" t="n">
        <v>44714.92253472222</v>
      </c>
      <c r="C746" s="1" t="n">
        <v>46047</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4581-2025</t>
        </is>
      </c>
      <c r="B747" s="1" t="n">
        <v>45687</v>
      </c>
      <c r="C747" s="1" t="n">
        <v>46047</v>
      </c>
      <c r="D747" t="inlineStr">
        <is>
          <t>STOCKHOLMS LÄN</t>
        </is>
      </c>
      <c r="E747" t="inlineStr">
        <is>
          <t>NORRTÄLJE</t>
        </is>
      </c>
      <c r="F747" t="inlineStr">
        <is>
          <t>Holmen skog AB</t>
        </is>
      </c>
      <c r="G747" t="n">
        <v>2.8</v>
      </c>
      <c r="H747" t="n">
        <v>0</v>
      </c>
      <c r="I747" t="n">
        <v>0</v>
      </c>
      <c r="J747" t="n">
        <v>0</v>
      </c>
      <c r="K747" t="n">
        <v>0</v>
      </c>
      <c r="L747" t="n">
        <v>0</v>
      </c>
      <c r="M747" t="n">
        <v>0</v>
      </c>
      <c r="N747" t="n">
        <v>0</v>
      </c>
      <c r="O747" t="n">
        <v>0</v>
      </c>
      <c r="P747" t="n">
        <v>0</v>
      </c>
      <c r="Q747" t="n">
        <v>0</v>
      </c>
      <c r="R747" s="2" t="inlineStr"/>
    </row>
    <row r="748" ht="15" customHeight="1">
      <c r="A748" t="inlineStr">
        <is>
          <t>A 39669-2024</t>
        </is>
      </c>
      <c r="B748" s="1" t="n">
        <v>45552.52827546297</v>
      </c>
      <c r="C748" s="1" t="n">
        <v>46047</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34006-2025</t>
        </is>
      </c>
      <c r="B749" s="1" t="n">
        <v>45844.62609953704</v>
      </c>
      <c r="C749" s="1" t="n">
        <v>46047</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34139-2025</t>
        </is>
      </c>
      <c r="B750" s="1" t="n">
        <v>45845</v>
      </c>
      <c r="C750" s="1" t="n">
        <v>46047</v>
      </c>
      <c r="D750" t="inlineStr">
        <is>
          <t>STOCKHOLMS LÄN</t>
        </is>
      </c>
      <c r="E750" t="inlineStr">
        <is>
          <t>NORRTÄLJE</t>
        </is>
      </c>
      <c r="G750" t="n">
        <v>5.5</v>
      </c>
      <c r="H750" t="n">
        <v>0</v>
      </c>
      <c r="I750" t="n">
        <v>0</v>
      </c>
      <c r="J750" t="n">
        <v>0</v>
      </c>
      <c r="K750" t="n">
        <v>0</v>
      </c>
      <c r="L750" t="n">
        <v>0</v>
      </c>
      <c r="M750" t="n">
        <v>0</v>
      </c>
      <c r="N750" t="n">
        <v>0</v>
      </c>
      <c r="O750" t="n">
        <v>0</v>
      </c>
      <c r="P750" t="n">
        <v>0</v>
      </c>
      <c r="Q750" t="n">
        <v>0</v>
      </c>
      <c r="R750" s="2" t="inlineStr"/>
    </row>
    <row r="751" ht="15" customHeight="1">
      <c r="A751" t="inlineStr">
        <is>
          <t>A 34010-2025</t>
        </is>
      </c>
      <c r="B751" s="1" t="n">
        <v>45844.91234953704</v>
      </c>
      <c r="C751" s="1" t="n">
        <v>46047</v>
      </c>
      <c r="D751" t="inlineStr">
        <is>
          <t>STOCKHOLMS LÄN</t>
        </is>
      </c>
      <c r="E751" t="inlineStr">
        <is>
          <t>NORRTÄLJE</t>
        </is>
      </c>
      <c r="F751" t="inlineStr">
        <is>
          <t>Övriga Aktiebolag</t>
        </is>
      </c>
      <c r="G751" t="n">
        <v>1.1</v>
      </c>
      <c r="H751" t="n">
        <v>0</v>
      </c>
      <c r="I751" t="n">
        <v>0</v>
      </c>
      <c r="J751" t="n">
        <v>0</v>
      </c>
      <c r="K751" t="n">
        <v>0</v>
      </c>
      <c r="L751" t="n">
        <v>0</v>
      </c>
      <c r="M751" t="n">
        <v>0</v>
      </c>
      <c r="N751" t="n">
        <v>0</v>
      </c>
      <c r="O751" t="n">
        <v>0</v>
      </c>
      <c r="P751" t="n">
        <v>0</v>
      </c>
      <c r="Q751" t="n">
        <v>0</v>
      </c>
      <c r="R751" s="2" t="inlineStr"/>
    </row>
    <row r="752" ht="15" customHeight="1">
      <c r="A752" t="inlineStr">
        <is>
          <t>A 36689-2023</t>
        </is>
      </c>
      <c r="B752" s="1" t="n">
        <v>45152</v>
      </c>
      <c r="C752" s="1" t="n">
        <v>46047</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46073-2024</t>
        </is>
      </c>
      <c r="B753" s="1" t="n">
        <v>45581</v>
      </c>
      <c r="C753" s="1" t="n">
        <v>46047</v>
      </c>
      <c r="D753" t="inlineStr">
        <is>
          <t>STOCKHOLMS LÄN</t>
        </is>
      </c>
      <c r="E753" t="inlineStr">
        <is>
          <t>NORRTÄLJE</t>
        </is>
      </c>
      <c r="G753" t="n">
        <v>2</v>
      </c>
      <c r="H753" t="n">
        <v>0</v>
      </c>
      <c r="I753" t="n">
        <v>0</v>
      </c>
      <c r="J753" t="n">
        <v>0</v>
      </c>
      <c r="K753" t="n">
        <v>0</v>
      </c>
      <c r="L753" t="n">
        <v>0</v>
      </c>
      <c r="M753" t="n">
        <v>0</v>
      </c>
      <c r="N753" t="n">
        <v>0</v>
      </c>
      <c r="O753" t="n">
        <v>0</v>
      </c>
      <c r="P753" t="n">
        <v>0</v>
      </c>
      <c r="Q753" t="n">
        <v>0</v>
      </c>
      <c r="R753" s="2" t="inlineStr"/>
    </row>
    <row r="754" ht="15" customHeight="1">
      <c r="A754" t="inlineStr">
        <is>
          <t>A 43170-2023</t>
        </is>
      </c>
      <c r="B754" s="1" t="n">
        <v>45183</v>
      </c>
      <c r="C754" s="1" t="n">
        <v>46047</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9-2024</t>
        </is>
      </c>
      <c r="B755" s="1" t="n">
        <v>45293</v>
      </c>
      <c r="C755" s="1" t="n">
        <v>46047</v>
      </c>
      <c r="D755" t="inlineStr">
        <is>
          <t>STOCKHOLMS LÄN</t>
        </is>
      </c>
      <c r="E755" t="inlineStr">
        <is>
          <t>NORRTÄLJE</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22832-2021</t>
        </is>
      </c>
      <c r="B756" s="1" t="n">
        <v>44325</v>
      </c>
      <c r="C756" s="1" t="n">
        <v>46047</v>
      </c>
      <c r="D756" t="inlineStr">
        <is>
          <t>STOCKHOLMS LÄN</t>
        </is>
      </c>
      <c r="E756" t="inlineStr">
        <is>
          <t>NORRTÄLJE</t>
        </is>
      </c>
      <c r="G756" t="n">
        <v>6.8</v>
      </c>
      <c r="H756" t="n">
        <v>0</v>
      </c>
      <c r="I756" t="n">
        <v>0</v>
      </c>
      <c r="J756" t="n">
        <v>0</v>
      </c>
      <c r="K756" t="n">
        <v>0</v>
      </c>
      <c r="L756" t="n">
        <v>0</v>
      </c>
      <c r="M756" t="n">
        <v>0</v>
      </c>
      <c r="N756" t="n">
        <v>0</v>
      </c>
      <c r="O756" t="n">
        <v>0</v>
      </c>
      <c r="P756" t="n">
        <v>0</v>
      </c>
      <c r="Q756" t="n">
        <v>0</v>
      </c>
      <c r="R756" s="2" t="inlineStr"/>
    </row>
    <row r="757" ht="15" customHeight="1">
      <c r="A757" t="inlineStr">
        <is>
          <t>A 16913-2025</t>
        </is>
      </c>
      <c r="B757" s="1" t="n">
        <v>45755.36583333334</v>
      </c>
      <c r="C757" s="1" t="n">
        <v>46047</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4035-2023</t>
        </is>
      </c>
      <c r="B758" s="1" t="n">
        <v>44952.57989583333</v>
      </c>
      <c r="C758" s="1" t="n">
        <v>46047</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6537-2024</t>
        </is>
      </c>
      <c r="B759" s="1" t="n">
        <v>45341.39853009259</v>
      </c>
      <c r="C759" s="1" t="n">
        <v>46047</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33793-2022</t>
        </is>
      </c>
      <c r="B760" s="1" t="n">
        <v>44790</v>
      </c>
      <c r="C760" s="1" t="n">
        <v>46047</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53600-2022</t>
        </is>
      </c>
      <c r="B761" s="1" t="n">
        <v>44879.70518518519</v>
      </c>
      <c r="C761" s="1" t="n">
        <v>46047</v>
      </c>
      <c r="D761" t="inlineStr">
        <is>
          <t>STOCKHOLMS LÄN</t>
        </is>
      </c>
      <c r="E761" t="inlineStr">
        <is>
          <t>NORRTÄLJE</t>
        </is>
      </c>
      <c r="G761" t="n">
        <v>4.3</v>
      </c>
      <c r="H761" t="n">
        <v>0</v>
      </c>
      <c r="I761" t="n">
        <v>0</v>
      </c>
      <c r="J761" t="n">
        <v>0</v>
      </c>
      <c r="K761" t="n">
        <v>0</v>
      </c>
      <c r="L761" t="n">
        <v>0</v>
      </c>
      <c r="M761" t="n">
        <v>0</v>
      </c>
      <c r="N761" t="n">
        <v>0</v>
      </c>
      <c r="O761" t="n">
        <v>0</v>
      </c>
      <c r="P761" t="n">
        <v>0</v>
      </c>
      <c r="Q761" t="n">
        <v>0</v>
      </c>
      <c r="R761" s="2" t="inlineStr"/>
    </row>
    <row r="762" ht="15" customHeight="1">
      <c r="A762" t="inlineStr">
        <is>
          <t>A 7697-2025</t>
        </is>
      </c>
      <c r="B762" s="1" t="n">
        <v>45706.40086805556</v>
      </c>
      <c r="C762" s="1" t="n">
        <v>46047</v>
      </c>
      <c r="D762" t="inlineStr">
        <is>
          <t>STOCKHOLMS LÄN</t>
        </is>
      </c>
      <c r="E762" t="inlineStr">
        <is>
          <t>NORRTÄLJE</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40175-2024</t>
        </is>
      </c>
      <c r="B763" s="1" t="n">
        <v>45554.55707175926</v>
      </c>
      <c r="C763" s="1" t="n">
        <v>46047</v>
      </c>
      <c r="D763" t="inlineStr">
        <is>
          <t>STOCKHOLMS LÄN</t>
        </is>
      </c>
      <c r="E763" t="inlineStr">
        <is>
          <t>NORRTÄLJE</t>
        </is>
      </c>
      <c r="G763" t="n">
        <v>7.7</v>
      </c>
      <c r="H763" t="n">
        <v>0</v>
      </c>
      <c r="I763" t="n">
        <v>0</v>
      </c>
      <c r="J763" t="n">
        <v>0</v>
      </c>
      <c r="K763" t="n">
        <v>0</v>
      </c>
      <c r="L763" t="n">
        <v>0</v>
      </c>
      <c r="M763" t="n">
        <v>0</v>
      </c>
      <c r="N763" t="n">
        <v>0</v>
      </c>
      <c r="O763" t="n">
        <v>0</v>
      </c>
      <c r="P763" t="n">
        <v>0</v>
      </c>
      <c r="Q763" t="n">
        <v>0</v>
      </c>
      <c r="R763" s="2" t="inlineStr"/>
    </row>
    <row r="764" ht="15" customHeight="1">
      <c r="A764" t="inlineStr">
        <is>
          <t>A 30221-2024</t>
        </is>
      </c>
      <c r="B764" s="1" t="n">
        <v>45490.45342592592</v>
      </c>
      <c r="C764" s="1" t="n">
        <v>46047</v>
      </c>
      <c r="D764" t="inlineStr">
        <is>
          <t>STOCKHOLMS LÄN</t>
        </is>
      </c>
      <c r="E764" t="inlineStr">
        <is>
          <t>NORRTÄLJE</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54558-2024</t>
        </is>
      </c>
      <c r="B765" s="1" t="n">
        <v>45617.62358796296</v>
      </c>
      <c r="C765" s="1" t="n">
        <v>46047</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23056-2023</t>
        </is>
      </c>
      <c r="B766" s="1" t="n">
        <v>45075</v>
      </c>
      <c r="C766" s="1" t="n">
        <v>46047</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47431-2023</t>
        </is>
      </c>
      <c r="B767" s="1" t="n">
        <v>45202</v>
      </c>
      <c r="C767" s="1" t="n">
        <v>46047</v>
      </c>
      <c r="D767" t="inlineStr">
        <is>
          <t>STOCKHOLMS LÄN</t>
        </is>
      </c>
      <c r="E767" t="inlineStr">
        <is>
          <t>NORRTÄLJE</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60765-2023</t>
        </is>
      </c>
      <c r="B768" s="1" t="n">
        <v>45260</v>
      </c>
      <c r="C768" s="1" t="n">
        <v>46047</v>
      </c>
      <c r="D768" t="inlineStr">
        <is>
          <t>STOCKHOLMS LÄN</t>
        </is>
      </c>
      <c r="E768" t="inlineStr">
        <is>
          <t>NORRTÄLJE</t>
        </is>
      </c>
      <c r="G768" t="n">
        <v>3.7</v>
      </c>
      <c r="H768" t="n">
        <v>0</v>
      </c>
      <c r="I768" t="n">
        <v>0</v>
      </c>
      <c r="J768" t="n">
        <v>0</v>
      </c>
      <c r="K768" t="n">
        <v>0</v>
      </c>
      <c r="L768" t="n">
        <v>0</v>
      </c>
      <c r="M768" t="n">
        <v>0</v>
      </c>
      <c r="N768" t="n">
        <v>0</v>
      </c>
      <c r="O768" t="n">
        <v>0</v>
      </c>
      <c r="P768" t="n">
        <v>0</v>
      </c>
      <c r="Q768" t="n">
        <v>0</v>
      </c>
      <c r="R768" s="2" t="inlineStr"/>
    </row>
    <row r="769" ht="15" customHeight="1">
      <c r="A769" t="inlineStr">
        <is>
          <t>A 13-2024</t>
        </is>
      </c>
      <c r="B769" s="1" t="n">
        <v>45293.37263888889</v>
      </c>
      <c r="C769" s="1" t="n">
        <v>46047</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19-2024</t>
        </is>
      </c>
      <c r="B770" s="1" t="n">
        <v>45293</v>
      </c>
      <c r="C770" s="1" t="n">
        <v>46047</v>
      </c>
      <c r="D770" t="inlineStr">
        <is>
          <t>STOCKHOLMS LÄN</t>
        </is>
      </c>
      <c r="E770" t="inlineStr">
        <is>
          <t>NORRTÄLJE</t>
        </is>
      </c>
      <c r="G770" t="n">
        <v>0.3</v>
      </c>
      <c r="H770" t="n">
        <v>0</v>
      </c>
      <c r="I770" t="n">
        <v>0</v>
      </c>
      <c r="J770" t="n">
        <v>0</v>
      </c>
      <c r="K770" t="n">
        <v>0</v>
      </c>
      <c r="L770" t="n">
        <v>0</v>
      </c>
      <c r="M770" t="n">
        <v>0</v>
      </c>
      <c r="N770" t="n">
        <v>0</v>
      </c>
      <c r="O770" t="n">
        <v>0</v>
      </c>
      <c r="P770" t="n">
        <v>0</v>
      </c>
      <c r="Q770" t="n">
        <v>0</v>
      </c>
      <c r="R770" s="2" t="inlineStr"/>
    </row>
    <row r="771" ht="15" customHeight="1">
      <c r="A771" t="inlineStr">
        <is>
          <t>A 59499-2023</t>
        </is>
      </c>
      <c r="B771" s="1" t="n">
        <v>45254</v>
      </c>
      <c r="C771" s="1" t="n">
        <v>46047</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31559-2022</t>
        </is>
      </c>
      <c r="B772" s="1" t="n">
        <v>44775</v>
      </c>
      <c r="C772" s="1" t="n">
        <v>46047</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59468-2023</t>
        </is>
      </c>
      <c r="B773" s="1" t="n">
        <v>45254.41509259259</v>
      </c>
      <c r="C773" s="1" t="n">
        <v>46047</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8419-2025</t>
        </is>
      </c>
      <c r="B774" s="1" t="n">
        <v>45709.40231481481</v>
      </c>
      <c r="C774" s="1" t="n">
        <v>46047</v>
      </c>
      <c r="D774" t="inlineStr">
        <is>
          <t>STOCKHOLMS LÄN</t>
        </is>
      </c>
      <c r="E774" t="inlineStr">
        <is>
          <t>NORRTÄLJE</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35110-2025</t>
        </is>
      </c>
      <c r="B775" s="1" t="n">
        <v>45852.58030092593</v>
      </c>
      <c r="C775" s="1" t="n">
        <v>46047</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12532-2025</t>
        </is>
      </c>
      <c r="B776" s="1" t="n">
        <v>45730.69143518519</v>
      </c>
      <c r="C776" s="1" t="n">
        <v>46047</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5732-2023</t>
        </is>
      </c>
      <c r="B777" s="1" t="n">
        <v>44962</v>
      </c>
      <c r="C777" s="1" t="n">
        <v>46047</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35254-2025</t>
        </is>
      </c>
      <c r="B778" s="1" t="n">
        <v>45853</v>
      </c>
      <c r="C778" s="1" t="n">
        <v>46047</v>
      </c>
      <c r="D778" t="inlineStr">
        <is>
          <t>STOCKHOLMS LÄN</t>
        </is>
      </c>
      <c r="E778" t="inlineStr">
        <is>
          <t>NORRTÄLJE</t>
        </is>
      </c>
      <c r="G778" t="n">
        <v>6.5</v>
      </c>
      <c r="H778" t="n">
        <v>0</v>
      </c>
      <c r="I778" t="n">
        <v>0</v>
      </c>
      <c r="J778" t="n">
        <v>0</v>
      </c>
      <c r="K778" t="n">
        <v>0</v>
      </c>
      <c r="L778" t="n">
        <v>0</v>
      </c>
      <c r="M778" t="n">
        <v>0</v>
      </c>
      <c r="N778" t="n">
        <v>0</v>
      </c>
      <c r="O778" t="n">
        <v>0</v>
      </c>
      <c r="P778" t="n">
        <v>0</v>
      </c>
      <c r="Q778" t="n">
        <v>0</v>
      </c>
      <c r="R778" s="2" t="inlineStr"/>
    </row>
    <row r="779" ht="15" customHeight="1">
      <c r="A779" t="inlineStr">
        <is>
          <t>A 35161-2022</t>
        </is>
      </c>
      <c r="B779" s="1" t="n">
        <v>44797</v>
      </c>
      <c r="C779" s="1" t="n">
        <v>46047</v>
      </c>
      <c r="D779" t="inlineStr">
        <is>
          <t>STOCKHOLMS LÄN</t>
        </is>
      </c>
      <c r="E779" t="inlineStr">
        <is>
          <t>NORRTÄLJE</t>
        </is>
      </c>
      <c r="G779" t="n">
        <v>6</v>
      </c>
      <c r="H779" t="n">
        <v>0</v>
      </c>
      <c r="I779" t="n">
        <v>0</v>
      </c>
      <c r="J779" t="n">
        <v>0</v>
      </c>
      <c r="K779" t="n">
        <v>0</v>
      </c>
      <c r="L779" t="n">
        <v>0</v>
      </c>
      <c r="M779" t="n">
        <v>0</v>
      </c>
      <c r="N779" t="n">
        <v>0</v>
      </c>
      <c r="O779" t="n">
        <v>0</v>
      </c>
      <c r="P779" t="n">
        <v>0</v>
      </c>
      <c r="Q779" t="n">
        <v>0</v>
      </c>
      <c r="R779" s="2" t="inlineStr"/>
    </row>
    <row r="780" ht="15" customHeight="1">
      <c r="A780" t="inlineStr">
        <is>
          <t>A 10653-2022</t>
        </is>
      </c>
      <c r="B780" s="1" t="n">
        <v>44624.59434027778</v>
      </c>
      <c r="C780" s="1" t="n">
        <v>46047</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23801-2022</t>
        </is>
      </c>
      <c r="B781" s="1" t="n">
        <v>44722</v>
      </c>
      <c r="C781" s="1" t="n">
        <v>46047</v>
      </c>
      <c r="D781" t="inlineStr">
        <is>
          <t>STOCKHOLMS LÄN</t>
        </is>
      </c>
      <c r="E781" t="inlineStr">
        <is>
          <t>NORRTÄLJE</t>
        </is>
      </c>
      <c r="G781" t="n">
        <v>6.8</v>
      </c>
      <c r="H781" t="n">
        <v>0</v>
      </c>
      <c r="I781" t="n">
        <v>0</v>
      </c>
      <c r="J781" t="n">
        <v>0</v>
      </c>
      <c r="K781" t="n">
        <v>0</v>
      </c>
      <c r="L781" t="n">
        <v>0</v>
      </c>
      <c r="M781" t="n">
        <v>0</v>
      </c>
      <c r="N781" t="n">
        <v>0</v>
      </c>
      <c r="O781" t="n">
        <v>0</v>
      </c>
      <c r="P781" t="n">
        <v>0</v>
      </c>
      <c r="Q781" t="n">
        <v>0</v>
      </c>
      <c r="R781" s="2" t="inlineStr"/>
    </row>
    <row r="782" ht="15" customHeight="1">
      <c r="A782" t="inlineStr">
        <is>
          <t>A 21729-2024</t>
        </is>
      </c>
      <c r="B782" s="1" t="n">
        <v>45442</v>
      </c>
      <c r="C782" s="1" t="n">
        <v>46047</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59276-2023</t>
        </is>
      </c>
      <c r="B783" s="1" t="n">
        <v>45253.55641203704</v>
      </c>
      <c r="C783" s="1" t="n">
        <v>46047</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46914-2022</t>
        </is>
      </c>
      <c r="B784" s="1" t="n">
        <v>44851</v>
      </c>
      <c r="C784" s="1" t="n">
        <v>46047</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58989-2021</t>
        </is>
      </c>
      <c r="B785" s="1" t="n">
        <v>44490.02482638889</v>
      </c>
      <c r="C785" s="1" t="n">
        <v>46047</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18541-2023</t>
        </is>
      </c>
      <c r="B786" s="1" t="n">
        <v>45042.74291666667</v>
      </c>
      <c r="C786" s="1" t="n">
        <v>46047</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46988-2024</t>
        </is>
      </c>
      <c r="B787" s="1" t="n">
        <v>45586</v>
      </c>
      <c r="C787" s="1" t="n">
        <v>46047</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35479-2025</t>
        </is>
      </c>
      <c r="B788" s="1" t="n">
        <v>45855.69387731481</v>
      </c>
      <c r="C788" s="1" t="n">
        <v>46047</v>
      </c>
      <c r="D788" t="inlineStr">
        <is>
          <t>STOCKHOLMS LÄN</t>
        </is>
      </c>
      <c r="E788" t="inlineStr">
        <is>
          <t>NORRTÄLJE</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21529-2021</t>
        </is>
      </c>
      <c r="B789" s="1" t="n">
        <v>44321</v>
      </c>
      <c r="C789" s="1" t="n">
        <v>46047</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11854-2025</t>
        </is>
      </c>
      <c r="B790" s="1" t="n">
        <v>45728.38924768518</v>
      </c>
      <c r="C790" s="1" t="n">
        <v>46047</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35451-2025</t>
        </is>
      </c>
      <c r="B791" s="1" t="n">
        <v>45855.57033564815</v>
      </c>
      <c r="C791" s="1" t="n">
        <v>46047</v>
      </c>
      <c r="D791" t="inlineStr">
        <is>
          <t>STOCKHOLMS LÄN</t>
        </is>
      </c>
      <c r="E791" t="inlineStr">
        <is>
          <t>NORRTÄLJE</t>
        </is>
      </c>
      <c r="F791" t="inlineStr">
        <is>
          <t>Holmen skog AB</t>
        </is>
      </c>
      <c r="G791" t="n">
        <v>7.4</v>
      </c>
      <c r="H791" t="n">
        <v>0</v>
      </c>
      <c r="I791" t="n">
        <v>0</v>
      </c>
      <c r="J791" t="n">
        <v>0</v>
      </c>
      <c r="K791" t="n">
        <v>0</v>
      </c>
      <c r="L791" t="n">
        <v>0</v>
      </c>
      <c r="M791" t="n">
        <v>0</v>
      </c>
      <c r="N791" t="n">
        <v>0</v>
      </c>
      <c r="O791" t="n">
        <v>0</v>
      </c>
      <c r="P791" t="n">
        <v>0</v>
      </c>
      <c r="Q791" t="n">
        <v>0</v>
      </c>
      <c r="R791" s="2" t="inlineStr"/>
    </row>
    <row r="792" ht="15" customHeight="1">
      <c r="A792" t="inlineStr">
        <is>
          <t>A 35478-2025</t>
        </is>
      </c>
      <c r="B792" s="1" t="n">
        <v>45855.68413194444</v>
      </c>
      <c r="C792" s="1" t="n">
        <v>46047</v>
      </c>
      <c r="D792" t="inlineStr">
        <is>
          <t>STOCKHOLMS LÄN</t>
        </is>
      </c>
      <c r="E792" t="inlineStr">
        <is>
          <t>NORRTÄLJE</t>
        </is>
      </c>
      <c r="F792" t="inlineStr">
        <is>
          <t>Holmen skog AB</t>
        </is>
      </c>
      <c r="G792" t="n">
        <v>2.7</v>
      </c>
      <c r="H792" t="n">
        <v>0</v>
      </c>
      <c r="I792" t="n">
        <v>0</v>
      </c>
      <c r="J792" t="n">
        <v>0</v>
      </c>
      <c r="K792" t="n">
        <v>0</v>
      </c>
      <c r="L792" t="n">
        <v>0</v>
      </c>
      <c r="M792" t="n">
        <v>0</v>
      </c>
      <c r="N792" t="n">
        <v>0</v>
      </c>
      <c r="O792" t="n">
        <v>0</v>
      </c>
      <c r="P792" t="n">
        <v>0</v>
      </c>
      <c r="Q792" t="n">
        <v>0</v>
      </c>
      <c r="R792" s="2" t="inlineStr"/>
    </row>
    <row r="793" ht="15" customHeight="1">
      <c r="A793" t="inlineStr">
        <is>
          <t>A 13701-2022</t>
        </is>
      </c>
      <c r="B793" s="1" t="n">
        <v>44648</v>
      </c>
      <c r="C793" s="1" t="n">
        <v>46047</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14762-2024</t>
        </is>
      </c>
      <c r="B794" s="1" t="n">
        <v>45397</v>
      </c>
      <c r="C794" s="1" t="n">
        <v>46047</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14132-2025</t>
        </is>
      </c>
      <c r="B795" s="1" t="n">
        <v>45740.47550925926</v>
      </c>
      <c r="C795" s="1" t="n">
        <v>46047</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14133-2025</t>
        </is>
      </c>
      <c r="B796" s="1" t="n">
        <v>45740.47724537037</v>
      </c>
      <c r="C796" s="1" t="n">
        <v>46047</v>
      </c>
      <c r="D796" t="inlineStr">
        <is>
          <t>STOCKHOLMS LÄN</t>
        </is>
      </c>
      <c r="E796" t="inlineStr">
        <is>
          <t>NORRTÄLJE</t>
        </is>
      </c>
      <c r="G796" t="n">
        <v>0.4</v>
      </c>
      <c r="H796" t="n">
        <v>0</v>
      </c>
      <c r="I796" t="n">
        <v>0</v>
      </c>
      <c r="J796" t="n">
        <v>0</v>
      </c>
      <c r="K796" t="n">
        <v>0</v>
      </c>
      <c r="L796" t="n">
        <v>0</v>
      </c>
      <c r="M796" t="n">
        <v>0</v>
      </c>
      <c r="N796" t="n">
        <v>0</v>
      </c>
      <c r="O796" t="n">
        <v>0</v>
      </c>
      <c r="P796" t="n">
        <v>0</v>
      </c>
      <c r="Q796" t="n">
        <v>0</v>
      </c>
      <c r="R796" s="2" t="inlineStr"/>
    </row>
    <row r="797" ht="15" customHeight="1">
      <c r="A797" t="inlineStr">
        <is>
          <t>A 8792-2025</t>
        </is>
      </c>
      <c r="B797" s="1" t="n">
        <v>45712</v>
      </c>
      <c r="C797" s="1" t="n">
        <v>46047</v>
      </c>
      <c r="D797" t="inlineStr">
        <is>
          <t>STOCKHOLMS LÄN</t>
        </is>
      </c>
      <c r="E797" t="inlineStr">
        <is>
          <t>NORRTÄLJE</t>
        </is>
      </c>
      <c r="F797" t="inlineStr">
        <is>
          <t>Övriga Aktiebolag</t>
        </is>
      </c>
      <c r="G797" t="n">
        <v>6.6</v>
      </c>
      <c r="H797" t="n">
        <v>0</v>
      </c>
      <c r="I797" t="n">
        <v>0</v>
      </c>
      <c r="J797" t="n">
        <v>0</v>
      </c>
      <c r="K797" t="n">
        <v>0</v>
      </c>
      <c r="L797" t="n">
        <v>0</v>
      </c>
      <c r="M797" t="n">
        <v>0</v>
      </c>
      <c r="N797" t="n">
        <v>0</v>
      </c>
      <c r="O797" t="n">
        <v>0</v>
      </c>
      <c r="P797" t="n">
        <v>0</v>
      </c>
      <c r="Q797" t="n">
        <v>0</v>
      </c>
      <c r="R797" s="2" t="inlineStr"/>
    </row>
    <row r="798" ht="15" customHeight="1">
      <c r="A798" t="inlineStr">
        <is>
          <t>A 24887-2023</t>
        </is>
      </c>
      <c r="B798" s="1" t="n">
        <v>45085</v>
      </c>
      <c r="C798" s="1" t="n">
        <v>46047</v>
      </c>
      <c r="D798" t="inlineStr">
        <is>
          <t>STOCKHOLMS LÄN</t>
        </is>
      </c>
      <c r="E798" t="inlineStr">
        <is>
          <t>NORRTÄLJE</t>
        </is>
      </c>
      <c r="G798" t="n">
        <v>13.9</v>
      </c>
      <c r="H798" t="n">
        <v>0</v>
      </c>
      <c r="I798" t="n">
        <v>0</v>
      </c>
      <c r="J798" t="n">
        <v>0</v>
      </c>
      <c r="K798" t="n">
        <v>0</v>
      </c>
      <c r="L798" t="n">
        <v>0</v>
      </c>
      <c r="M798" t="n">
        <v>0</v>
      </c>
      <c r="N798" t="n">
        <v>0</v>
      </c>
      <c r="O798" t="n">
        <v>0</v>
      </c>
      <c r="P798" t="n">
        <v>0</v>
      </c>
      <c r="Q798" t="n">
        <v>0</v>
      </c>
      <c r="R798" s="2" t="inlineStr"/>
    </row>
    <row r="799" ht="15" customHeight="1">
      <c r="A799" t="inlineStr">
        <is>
          <t>A 3509-2022</t>
        </is>
      </c>
      <c r="B799" s="1" t="n">
        <v>44585</v>
      </c>
      <c r="C799" s="1" t="n">
        <v>46047</v>
      </c>
      <c r="D799" t="inlineStr">
        <is>
          <t>STOCKHOLMS LÄN</t>
        </is>
      </c>
      <c r="E799" t="inlineStr">
        <is>
          <t>NORRTÄLJE</t>
        </is>
      </c>
      <c r="F799" t="inlineStr">
        <is>
          <t>Kommuner</t>
        </is>
      </c>
      <c r="G799" t="n">
        <v>0.8</v>
      </c>
      <c r="H799" t="n">
        <v>0</v>
      </c>
      <c r="I799" t="n">
        <v>0</v>
      </c>
      <c r="J799" t="n">
        <v>0</v>
      </c>
      <c r="K799" t="n">
        <v>0</v>
      </c>
      <c r="L799" t="n">
        <v>0</v>
      </c>
      <c r="M799" t="n">
        <v>0</v>
      </c>
      <c r="N799" t="n">
        <v>0</v>
      </c>
      <c r="O799" t="n">
        <v>0</v>
      </c>
      <c r="P799" t="n">
        <v>0</v>
      </c>
      <c r="Q799" t="n">
        <v>0</v>
      </c>
      <c r="R799" s="2" t="inlineStr"/>
    </row>
    <row r="800" ht="15" customHeight="1">
      <c r="A800" t="inlineStr">
        <is>
          <t>A 26407-2024</t>
        </is>
      </c>
      <c r="B800" s="1" t="n">
        <v>45469</v>
      </c>
      <c r="C800" s="1" t="n">
        <v>46047</v>
      </c>
      <c r="D800" t="inlineStr">
        <is>
          <t>STOCKHOLMS LÄN</t>
        </is>
      </c>
      <c r="E800" t="inlineStr">
        <is>
          <t>NORRTÄLJE</t>
        </is>
      </c>
      <c r="G800" t="n">
        <v>3.5</v>
      </c>
      <c r="H800" t="n">
        <v>0</v>
      </c>
      <c r="I800" t="n">
        <v>0</v>
      </c>
      <c r="J800" t="n">
        <v>0</v>
      </c>
      <c r="K800" t="n">
        <v>0</v>
      </c>
      <c r="L800" t="n">
        <v>0</v>
      </c>
      <c r="M800" t="n">
        <v>0</v>
      </c>
      <c r="N800" t="n">
        <v>0</v>
      </c>
      <c r="O800" t="n">
        <v>0</v>
      </c>
      <c r="P800" t="n">
        <v>0</v>
      </c>
      <c r="Q800" t="n">
        <v>0</v>
      </c>
      <c r="R800" s="2" t="inlineStr"/>
    </row>
    <row r="801" ht="15" customHeight="1">
      <c r="A801" t="inlineStr">
        <is>
          <t>A 12890-2024</t>
        </is>
      </c>
      <c r="B801" s="1" t="n">
        <v>45385.36243055556</v>
      </c>
      <c r="C801" s="1" t="n">
        <v>46047</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59712-2024</t>
        </is>
      </c>
      <c r="B802" s="1" t="n">
        <v>45639.45166666667</v>
      </c>
      <c r="C802" s="1" t="n">
        <v>46047</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38612-2022</t>
        </is>
      </c>
      <c r="B803" s="1" t="n">
        <v>44813</v>
      </c>
      <c r="C803" s="1" t="n">
        <v>46047</v>
      </c>
      <c r="D803" t="inlineStr">
        <is>
          <t>STOCKHOLMS LÄN</t>
        </is>
      </c>
      <c r="E803" t="inlineStr">
        <is>
          <t>NORRTÄLJE</t>
        </is>
      </c>
      <c r="G803" t="n">
        <v>1.7</v>
      </c>
      <c r="H803" t="n">
        <v>0</v>
      </c>
      <c r="I803" t="n">
        <v>0</v>
      </c>
      <c r="J803" t="n">
        <v>0</v>
      </c>
      <c r="K803" t="n">
        <v>0</v>
      </c>
      <c r="L803" t="n">
        <v>0</v>
      </c>
      <c r="M803" t="n">
        <v>0</v>
      </c>
      <c r="N803" t="n">
        <v>0</v>
      </c>
      <c r="O803" t="n">
        <v>0</v>
      </c>
      <c r="P803" t="n">
        <v>0</v>
      </c>
      <c r="Q803" t="n">
        <v>0</v>
      </c>
      <c r="R803" s="2" t="inlineStr"/>
    </row>
    <row r="804" ht="15" customHeight="1">
      <c r="A804" t="inlineStr">
        <is>
          <t>A 4326-2023</t>
        </is>
      </c>
      <c r="B804" s="1" t="n">
        <v>44953.70481481482</v>
      </c>
      <c r="C804" s="1" t="n">
        <v>46047</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54504-2024</t>
        </is>
      </c>
      <c r="B805" s="1" t="n">
        <v>45617.58453703704</v>
      </c>
      <c r="C805" s="1" t="n">
        <v>46047</v>
      </c>
      <c r="D805" t="inlineStr">
        <is>
          <t>STOCKHOLMS LÄN</t>
        </is>
      </c>
      <c r="E805" t="inlineStr">
        <is>
          <t>NORRTÄLJE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35127-2023</t>
        </is>
      </c>
      <c r="B806" s="1" t="n">
        <v>45145.51</v>
      </c>
      <c r="C806" s="1" t="n">
        <v>46047</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47419-2023</t>
        </is>
      </c>
      <c r="B807" s="1" t="n">
        <v>45202.65660879629</v>
      </c>
      <c r="C807" s="1" t="n">
        <v>46047</v>
      </c>
      <c r="D807" t="inlineStr">
        <is>
          <t>STOCKHOLMS LÄN</t>
        </is>
      </c>
      <c r="E807" t="inlineStr">
        <is>
          <t>NORRTÄLJE</t>
        </is>
      </c>
      <c r="G807" t="n">
        <v>11.4</v>
      </c>
      <c r="H807" t="n">
        <v>0</v>
      </c>
      <c r="I807" t="n">
        <v>0</v>
      </c>
      <c r="J807" t="n">
        <v>0</v>
      </c>
      <c r="K807" t="n">
        <v>0</v>
      </c>
      <c r="L807" t="n">
        <v>0</v>
      </c>
      <c r="M807" t="n">
        <v>0</v>
      </c>
      <c r="N807" t="n">
        <v>0</v>
      </c>
      <c r="O807" t="n">
        <v>0</v>
      </c>
      <c r="P807" t="n">
        <v>0</v>
      </c>
      <c r="Q807" t="n">
        <v>0</v>
      </c>
      <c r="R807" s="2" t="inlineStr"/>
    </row>
    <row r="808" ht="15" customHeight="1">
      <c r="A808" t="inlineStr">
        <is>
          <t>A 21745-2023</t>
        </is>
      </c>
      <c r="B808" s="1" t="n">
        <v>45065.55917824074</v>
      </c>
      <c r="C808" s="1" t="n">
        <v>46047</v>
      </c>
      <c r="D808" t="inlineStr">
        <is>
          <t>STOCKHOLMS LÄN</t>
        </is>
      </c>
      <c r="E808" t="inlineStr">
        <is>
          <t>NORRTÄLJE</t>
        </is>
      </c>
      <c r="F808" t="inlineStr">
        <is>
          <t>Holmen skog AB</t>
        </is>
      </c>
      <c r="G808" t="n">
        <v>0.7</v>
      </c>
      <c r="H808" t="n">
        <v>0</v>
      </c>
      <c r="I808" t="n">
        <v>0</v>
      </c>
      <c r="J808" t="n">
        <v>0</v>
      </c>
      <c r="K808" t="n">
        <v>0</v>
      </c>
      <c r="L808" t="n">
        <v>0</v>
      </c>
      <c r="M808" t="n">
        <v>0</v>
      </c>
      <c r="N808" t="n">
        <v>0</v>
      </c>
      <c r="O808" t="n">
        <v>0</v>
      </c>
      <c r="P808" t="n">
        <v>0</v>
      </c>
      <c r="Q808" t="n">
        <v>0</v>
      </c>
      <c r="R808" s="2" t="inlineStr"/>
    </row>
    <row r="809" ht="15" customHeight="1">
      <c r="A809" t="inlineStr">
        <is>
          <t>A 34444-2024</t>
        </is>
      </c>
      <c r="B809" s="1" t="n">
        <v>45525</v>
      </c>
      <c r="C809" s="1" t="n">
        <v>46047</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21894-2023</t>
        </is>
      </c>
      <c r="B810" s="1" t="n">
        <v>45068.51783564815</v>
      </c>
      <c r="C810" s="1" t="n">
        <v>46047</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13276-2022</t>
        </is>
      </c>
      <c r="B811" s="1" t="n">
        <v>44644</v>
      </c>
      <c r="C811" s="1" t="n">
        <v>46047</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23070-2023</t>
        </is>
      </c>
      <c r="B812" s="1" t="n">
        <v>45075</v>
      </c>
      <c r="C812" s="1" t="n">
        <v>46047</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20698-2025</t>
        </is>
      </c>
      <c r="B813" s="1" t="n">
        <v>45776.47122685185</v>
      </c>
      <c r="C813" s="1" t="n">
        <v>46047</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45255-2022</t>
        </is>
      </c>
      <c r="B814" s="1" t="n">
        <v>44840</v>
      </c>
      <c r="C814" s="1" t="n">
        <v>46047</v>
      </c>
      <c r="D814" t="inlineStr">
        <is>
          <t>STOCKHOLMS LÄN</t>
        </is>
      </c>
      <c r="E814" t="inlineStr">
        <is>
          <t>NORRTÄLJE</t>
        </is>
      </c>
      <c r="G814" t="n">
        <v>4.1</v>
      </c>
      <c r="H814" t="n">
        <v>0</v>
      </c>
      <c r="I814" t="n">
        <v>0</v>
      </c>
      <c r="J814" t="n">
        <v>0</v>
      </c>
      <c r="K814" t="n">
        <v>0</v>
      </c>
      <c r="L814" t="n">
        <v>0</v>
      </c>
      <c r="M814" t="n">
        <v>0</v>
      </c>
      <c r="N814" t="n">
        <v>0</v>
      </c>
      <c r="O814" t="n">
        <v>0</v>
      </c>
      <c r="P814" t="n">
        <v>0</v>
      </c>
      <c r="Q814" t="n">
        <v>0</v>
      </c>
      <c r="R814" s="2" t="inlineStr"/>
    </row>
    <row r="815" ht="15" customHeight="1">
      <c r="A815" t="inlineStr">
        <is>
          <t>A 27824-2022</t>
        </is>
      </c>
      <c r="B815" s="1" t="n">
        <v>44743.59331018518</v>
      </c>
      <c r="C815" s="1" t="n">
        <v>46047</v>
      </c>
      <c r="D815" t="inlineStr">
        <is>
          <t>STOCKHOLMS LÄN</t>
        </is>
      </c>
      <c r="E815" t="inlineStr">
        <is>
          <t>NORRTÄLJE</t>
        </is>
      </c>
      <c r="F815" t="inlineStr">
        <is>
          <t>Kommuner</t>
        </is>
      </c>
      <c r="G815" t="n">
        <v>3.1</v>
      </c>
      <c r="H815" t="n">
        <v>0</v>
      </c>
      <c r="I815" t="n">
        <v>0</v>
      </c>
      <c r="J815" t="n">
        <v>0</v>
      </c>
      <c r="K815" t="n">
        <v>0</v>
      </c>
      <c r="L815" t="n">
        <v>0</v>
      </c>
      <c r="M815" t="n">
        <v>0</v>
      </c>
      <c r="N815" t="n">
        <v>0</v>
      </c>
      <c r="O815" t="n">
        <v>0</v>
      </c>
      <c r="P815" t="n">
        <v>0</v>
      </c>
      <c r="Q815" t="n">
        <v>0</v>
      </c>
      <c r="R815" s="2" t="inlineStr"/>
    </row>
    <row r="816" ht="15" customHeight="1">
      <c r="A816" t="inlineStr">
        <is>
          <t>A 59893-2022</t>
        </is>
      </c>
      <c r="B816" s="1" t="n">
        <v>44908.77368055555</v>
      </c>
      <c r="C816" s="1" t="n">
        <v>46047</v>
      </c>
      <c r="D816" t="inlineStr">
        <is>
          <t>STOCKHOLMS LÄN</t>
        </is>
      </c>
      <c r="E816" t="inlineStr">
        <is>
          <t>NORRTÄLJE</t>
        </is>
      </c>
      <c r="G816" t="n">
        <v>3</v>
      </c>
      <c r="H816" t="n">
        <v>0</v>
      </c>
      <c r="I816" t="n">
        <v>0</v>
      </c>
      <c r="J816" t="n">
        <v>0</v>
      </c>
      <c r="K816" t="n">
        <v>0</v>
      </c>
      <c r="L816" t="n">
        <v>0</v>
      </c>
      <c r="M816" t="n">
        <v>0</v>
      </c>
      <c r="N816" t="n">
        <v>0</v>
      </c>
      <c r="O816" t="n">
        <v>0</v>
      </c>
      <c r="P816" t="n">
        <v>0</v>
      </c>
      <c r="Q816" t="n">
        <v>0</v>
      </c>
      <c r="R816" s="2" t="inlineStr"/>
    </row>
    <row r="817" ht="15" customHeight="1">
      <c r="A817" t="inlineStr">
        <is>
          <t>A 28182-2022</t>
        </is>
      </c>
      <c r="B817" s="1" t="n">
        <v>44746.58530092592</v>
      </c>
      <c r="C817" s="1" t="n">
        <v>46047</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34461-2023</t>
        </is>
      </c>
      <c r="B818" s="1" t="n">
        <v>45139</v>
      </c>
      <c r="C818" s="1" t="n">
        <v>46047</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39905-2023</t>
        </is>
      </c>
      <c r="B819" s="1" t="n">
        <v>45168.44489583333</v>
      </c>
      <c r="C819" s="1" t="n">
        <v>46047</v>
      </c>
      <c r="D819" t="inlineStr">
        <is>
          <t>STOCKHOLMS LÄN</t>
        </is>
      </c>
      <c r="E819" t="inlineStr">
        <is>
          <t>NORRTÄLJE</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22232-2024</t>
        </is>
      </c>
      <c r="B820" s="1" t="n">
        <v>45446.4287962963</v>
      </c>
      <c r="C820" s="1" t="n">
        <v>46047</v>
      </c>
      <c r="D820" t="inlineStr">
        <is>
          <t>STOCKHOLMS LÄN</t>
        </is>
      </c>
      <c r="E820" t="inlineStr">
        <is>
          <t>NORRTÄLJE</t>
        </is>
      </c>
      <c r="G820" t="n">
        <v>12.8</v>
      </c>
      <c r="H820" t="n">
        <v>0</v>
      </c>
      <c r="I820" t="n">
        <v>0</v>
      </c>
      <c r="J820" t="n">
        <v>0</v>
      </c>
      <c r="K820" t="n">
        <v>0</v>
      </c>
      <c r="L820" t="n">
        <v>0</v>
      </c>
      <c r="M820" t="n">
        <v>0</v>
      </c>
      <c r="N820" t="n">
        <v>0</v>
      </c>
      <c r="O820" t="n">
        <v>0</v>
      </c>
      <c r="P820" t="n">
        <v>0</v>
      </c>
      <c r="Q820" t="n">
        <v>0</v>
      </c>
      <c r="R820" s="2" t="inlineStr"/>
    </row>
    <row r="821" ht="15" customHeight="1">
      <c r="A821" t="inlineStr">
        <is>
          <t>A 5645-2023</t>
        </is>
      </c>
      <c r="B821" s="1" t="n">
        <v>44960.60469907407</v>
      </c>
      <c r="C821" s="1" t="n">
        <v>46047</v>
      </c>
      <c r="D821" t="inlineStr">
        <is>
          <t>STOCKHOLMS LÄN</t>
        </is>
      </c>
      <c r="E821" t="inlineStr">
        <is>
          <t>NORRTÄLJE</t>
        </is>
      </c>
      <c r="G821" t="n">
        <v>1.7</v>
      </c>
      <c r="H821" t="n">
        <v>0</v>
      </c>
      <c r="I821" t="n">
        <v>0</v>
      </c>
      <c r="J821" t="n">
        <v>0</v>
      </c>
      <c r="K821" t="n">
        <v>0</v>
      </c>
      <c r="L821" t="n">
        <v>0</v>
      </c>
      <c r="M821" t="n">
        <v>0</v>
      </c>
      <c r="N821" t="n">
        <v>0</v>
      </c>
      <c r="O821" t="n">
        <v>0</v>
      </c>
      <c r="P821" t="n">
        <v>0</v>
      </c>
      <c r="Q821" t="n">
        <v>0</v>
      </c>
      <c r="R821" s="2" t="inlineStr"/>
    </row>
    <row r="822" ht="15" customHeight="1">
      <c r="A822" t="inlineStr">
        <is>
          <t>A 68361-2021</t>
        </is>
      </c>
      <c r="B822" s="1" t="n">
        <v>44528.91494212963</v>
      </c>
      <c r="C822" s="1" t="n">
        <v>46047</v>
      </c>
      <c r="D822" t="inlineStr">
        <is>
          <t>STOCKHOLMS LÄN</t>
        </is>
      </c>
      <c r="E822" t="inlineStr">
        <is>
          <t>NORRTÄLJE</t>
        </is>
      </c>
      <c r="G822" t="n">
        <v>1.9</v>
      </c>
      <c r="H822" t="n">
        <v>0</v>
      </c>
      <c r="I822" t="n">
        <v>0</v>
      </c>
      <c r="J822" t="n">
        <v>0</v>
      </c>
      <c r="K822" t="n">
        <v>0</v>
      </c>
      <c r="L822" t="n">
        <v>0</v>
      </c>
      <c r="M822" t="n">
        <v>0</v>
      </c>
      <c r="N822" t="n">
        <v>0</v>
      </c>
      <c r="O822" t="n">
        <v>0</v>
      </c>
      <c r="P822" t="n">
        <v>0</v>
      </c>
      <c r="Q822" t="n">
        <v>0</v>
      </c>
      <c r="R822" s="2" t="inlineStr"/>
    </row>
    <row r="823" ht="15" customHeight="1">
      <c r="A823" t="inlineStr">
        <is>
          <t>A 51046-2023</t>
        </is>
      </c>
      <c r="B823" s="1" t="n">
        <v>45218</v>
      </c>
      <c r="C823" s="1" t="n">
        <v>46047</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25619-2022</t>
        </is>
      </c>
      <c r="B824" s="1" t="n">
        <v>44732</v>
      </c>
      <c r="C824" s="1" t="n">
        <v>46047</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60529-2023</t>
        </is>
      </c>
      <c r="B825" s="1" t="n">
        <v>45259</v>
      </c>
      <c r="C825" s="1" t="n">
        <v>46047</v>
      </c>
      <c r="D825" t="inlineStr">
        <is>
          <t>STOCKHOLMS LÄN</t>
        </is>
      </c>
      <c r="E825" t="inlineStr">
        <is>
          <t>NORRTÄLJE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36396-2025</t>
        </is>
      </c>
      <c r="B826" s="1" t="n">
        <v>45868.62267361111</v>
      </c>
      <c r="C826" s="1" t="n">
        <v>46047</v>
      </c>
      <c r="D826" t="inlineStr">
        <is>
          <t>STOCKHOLMS LÄN</t>
        </is>
      </c>
      <c r="E826" t="inlineStr">
        <is>
          <t>NORRTÄLJE</t>
        </is>
      </c>
      <c r="G826" t="n">
        <v>4.1</v>
      </c>
      <c r="H826" t="n">
        <v>0</v>
      </c>
      <c r="I826" t="n">
        <v>0</v>
      </c>
      <c r="J826" t="n">
        <v>0</v>
      </c>
      <c r="K826" t="n">
        <v>0</v>
      </c>
      <c r="L826" t="n">
        <v>0</v>
      </c>
      <c r="M826" t="n">
        <v>0</v>
      </c>
      <c r="N826" t="n">
        <v>0</v>
      </c>
      <c r="O826" t="n">
        <v>0</v>
      </c>
      <c r="P826" t="n">
        <v>0</v>
      </c>
      <c r="Q826" t="n">
        <v>0</v>
      </c>
      <c r="R826" s="2" t="inlineStr"/>
    </row>
    <row r="827" ht="15" customHeight="1">
      <c r="A827" t="inlineStr">
        <is>
          <t>A 17382-2024</t>
        </is>
      </c>
      <c r="B827" s="1" t="n">
        <v>45414.65855324074</v>
      </c>
      <c r="C827" s="1" t="n">
        <v>46047</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36246-2021</t>
        </is>
      </c>
      <c r="B828" s="1" t="n">
        <v>44390</v>
      </c>
      <c r="C828" s="1" t="n">
        <v>46047</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6070-2022</t>
        </is>
      </c>
      <c r="B829" s="1" t="n">
        <v>44599.58428240741</v>
      </c>
      <c r="C829" s="1" t="n">
        <v>46047</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17039-2024</t>
        </is>
      </c>
      <c r="B830" s="1" t="n">
        <v>45412.4104050926</v>
      </c>
      <c r="C830" s="1" t="n">
        <v>46047</v>
      </c>
      <c r="D830" t="inlineStr">
        <is>
          <t>STOCKHOLMS LÄN</t>
        </is>
      </c>
      <c r="E830" t="inlineStr">
        <is>
          <t>NORRTÄLJE</t>
        </is>
      </c>
      <c r="G830" t="n">
        <v>5.9</v>
      </c>
      <c r="H830" t="n">
        <v>0</v>
      </c>
      <c r="I830" t="n">
        <v>0</v>
      </c>
      <c r="J830" t="n">
        <v>0</v>
      </c>
      <c r="K830" t="n">
        <v>0</v>
      </c>
      <c r="L830" t="n">
        <v>0</v>
      </c>
      <c r="M830" t="n">
        <v>0</v>
      </c>
      <c r="N830" t="n">
        <v>0</v>
      </c>
      <c r="O830" t="n">
        <v>0</v>
      </c>
      <c r="P830" t="n">
        <v>0</v>
      </c>
      <c r="Q830" t="n">
        <v>0</v>
      </c>
      <c r="R830" s="2" t="inlineStr"/>
    </row>
    <row r="831" ht="15" customHeight="1">
      <c r="A831" t="inlineStr">
        <is>
          <t>A 19706-2023</t>
        </is>
      </c>
      <c r="B831" s="1" t="n">
        <v>45051.455</v>
      </c>
      <c r="C831" s="1" t="n">
        <v>46047</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48180-2023</t>
        </is>
      </c>
      <c r="B832" s="1" t="n">
        <v>45205</v>
      </c>
      <c r="C832" s="1" t="n">
        <v>46047</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18539-2021</t>
        </is>
      </c>
      <c r="B833" s="1" t="n">
        <v>44306</v>
      </c>
      <c r="C833" s="1" t="n">
        <v>46047</v>
      </c>
      <c r="D833" t="inlineStr">
        <is>
          <t>STOCKHOLMS LÄN</t>
        </is>
      </c>
      <c r="E833" t="inlineStr">
        <is>
          <t>NORRTÄLJE</t>
        </is>
      </c>
      <c r="F833" t="inlineStr">
        <is>
          <t>Holmen skog AB</t>
        </is>
      </c>
      <c r="G833" t="n">
        <v>5.5</v>
      </c>
      <c r="H833" t="n">
        <v>0</v>
      </c>
      <c r="I833" t="n">
        <v>0</v>
      </c>
      <c r="J833" t="n">
        <v>0</v>
      </c>
      <c r="K833" t="n">
        <v>0</v>
      </c>
      <c r="L833" t="n">
        <v>0</v>
      </c>
      <c r="M833" t="n">
        <v>0</v>
      </c>
      <c r="N833" t="n">
        <v>0</v>
      </c>
      <c r="O833" t="n">
        <v>0</v>
      </c>
      <c r="P833" t="n">
        <v>0</v>
      </c>
      <c r="Q833" t="n">
        <v>0</v>
      </c>
      <c r="R833" s="2" t="inlineStr"/>
    </row>
    <row r="834" ht="15" customHeight="1">
      <c r="A834" t="inlineStr">
        <is>
          <t>A 35695-2023</t>
        </is>
      </c>
      <c r="B834" s="1" t="n">
        <v>45147.65407407407</v>
      </c>
      <c r="C834" s="1" t="n">
        <v>46047</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45173-2023</t>
        </is>
      </c>
      <c r="B835" s="1" t="n">
        <v>45191</v>
      </c>
      <c r="C835" s="1" t="n">
        <v>46047</v>
      </c>
      <c r="D835" t="inlineStr">
        <is>
          <t>STOCKHOLMS LÄN</t>
        </is>
      </c>
      <c r="E835" t="inlineStr">
        <is>
          <t>NORRTÄLJE</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17612-2022</t>
        </is>
      </c>
      <c r="B836" s="1" t="n">
        <v>44680</v>
      </c>
      <c r="C836" s="1" t="n">
        <v>46047</v>
      </c>
      <c r="D836" t="inlineStr">
        <is>
          <t>STOCKHOLMS LÄN</t>
        </is>
      </c>
      <c r="E836" t="inlineStr">
        <is>
          <t>NORRTÄLJE</t>
        </is>
      </c>
      <c r="G836" t="n">
        <v>2.6</v>
      </c>
      <c r="H836" t="n">
        <v>0</v>
      </c>
      <c r="I836" t="n">
        <v>0</v>
      </c>
      <c r="J836" t="n">
        <v>0</v>
      </c>
      <c r="K836" t="n">
        <v>0</v>
      </c>
      <c r="L836" t="n">
        <v>0</v>
      </c>
      <c r="M836" t="n">
        <v>0</v>
      </c>
      <c r="N836" t="n">
        <v>0</v>
      </c>
      <c r="O836" t="n">
        <v>0</v>
      </c>
      <c r="P836" t="n">
        <v>0</v>
      </c>
      <c r="Q836" t="n">
        <v>0</v>
      </c>
      <c r="R836" s="2" t="inlineStr"/>
    </row>
    <row r="837" ht="15" customHeight="1">
      <c r="A837" t="inlineStr">
        <is>
          <t>A 19952-2023</t>
        </is>
      </c>
      <c r="B837" s="1" t="n">
        <v>45054.54091435186</v>
      </c>
      <c r="C837" s="1" t="n">
        <v>46047</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19994-2023</t>
        </is>
      </c>
      <c r="B838" s="1" t="n">
        <v>45054</v>
      </c>
      <c r="C838" s="1" t="n">
        <v>46047</v>
      </c>
      <c r="D838" t="inlineStr">
        <is>
          <t>STOCKHOLMS LÄN</t>
        </is>
      </c>
      <c r="E838" t="inlineStr">
        <is>
          <t>NORRTÄLJE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16835-2022</t>
        </is>
      </c>
      <c r="B839" s="1" t="n">
        <v>44673</v>
      </c>
      <c r="C839" s="1" t="n">
        <v>46047</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62765-2022</t>
        </is>
      </c>
      <c r="B840" s="1" t="n">
        <v>44637</v>
      </c>
      <c r="C840" s="1" t="n">
        <v>46047</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58404-2023</t>
        </is>
      </c>
      <c r="B841" s="1" t="n">
        <v>45245</v>
      </c>
      <c r="C841" s="1" t="n">
        <v>46047</v>
      </c>
      <c r="D841" t="inlineStr">
        <is>
          <t>STOCKHOLMS LÄN</t>
        </is>
      </c>
      <c r="E841" t="inlineStr">
        <is>
          <t>NORRTÄLJE</t>
        </is>
      </c>
      <c r="G841" t="n">
        <v>53.5</v>
      </c>
      <c r="H841" t="n">
        <v>0</v>
      </c>
      <c r="I841" t="n">
        <v>0</v>
      </c>
      <c r="J841" t="n">
        <v>0</v>
      </c>
      <c r="K841" t="n">
        <v>0</v>
      </c>
      <c r="L841" t="n">
        <v>0</v>
      </c>
      <c r="M841" t="n">
        <v>0</v>
      </c>
      <c r="N841" t="n">
        <v>0</v>
      </c>
      <c r="O841" t="n">
        <v>0</v>
      </c>
      <c r="P841" t="n">
        <v>0</v>
      </c>
      <c r="Q841" t="n">
        <v>0</v>
      </c>
      <c r="R841" s="2" t="inlineStr"/>
    </row>
    <row r="842" ht="15" customHeight="1">
      <c r="A842" t="inlineStr">
        <is>
          <t>A 14130-2025</t>
        </is>
      </c>
      <c r="B842" s="1" t="n">
        <v>45740.47288194444</v>
      </c>
      <c r="C842" s="1" t="n">
        <v>46047</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8586-2023</t>
        </is>
      </c>
      <c r="B843" s="1" t="n">
        <v>44977</v>
      </c>
      <c r="C843" s="1" t="n">
        <v>46047</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24705-2023</t>
        </is>
      </c>
      <c r="B844" s="1" t="n">
        <v>45084.54459490741</v>
      </c>
      <c r="C844" s="1" t="n">
        <v>46047</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574-2023</t>
        </is>
      </c>
      <c r="B845" s="1" t="n">
        <v>44925</v>
      </c>
      <c r="C845" s="1" t="n">
        <v>46047</v>
      </c>
      <c r="D845" t="inlineStr">
        <is>
          <t>STOCKHOLMS LÄN</t>
        </is>
      </c>
      <c r="E845" t="inlineStr">
        <is>
          <t>NORRTÄLJE</t>
        </is>
      </c>
      <c r="G845" t="n">
        <v>5</v>
      </c>
      <c r="H845" t="n">
        <v>0</v>
      </c>
      <c r="I845" t="n">
        <v>0</v>
      </c>
      <c r="J845" t="n">
        <v>0</v>
      </c>
      <c r="K845" t="n">
        <v>0</v>
      </c>
      <c r="L845" t="n">
        <v>0</v>
      </c>
      <c r="M845" t="n">
        <v>0</v>
      </c>
      <c r="N845" t="n">
        <v>0</v>
      </c>
      <c r="O845" t="n">
        <v>0</v>
      </c>
      <c r="P845" t="n">
        <v>0</v>
      </c>
      <c r="Q845" t="n">
        <v>0</v>
      </c>
      <c r="R845" s="2" t="inlineStr"/>
    </row>
    <row r="846" ht="15" customHeight="1">
      <c r="A846" t="inlineStr">
        <is>
          <t>A 30283-2022</t>
        </is>
      </c>
      <c r="B846" s="1" t="n">
        <v>44760</v>
      </c>
      <c r="C846" s="1" t="n">
        <v>46047</v>
      </c>
      <c r="D846" t="inlineStr">
        <is>
          <t>STOCKHOLMS LÄN</t>
        </is>
      </c>
      <c r="E846" t="inlineStr">
        <is>
          <t>NORRTÄLJE</t>
        </is>
      </c>
      <c r="G846" t="n">
        <v>6.2</v>
      </c>
      <c r="H846" t="n">
        <v>0</v>
      </c>
      <c r="I846" t="n">
        <v>0</v>
      </c>
      <c r="J846" t="n">
        <v>0</v>
      </c>
      <c r="K846" t="n">
        <v>0</v>
      </c>
      <c r="L846" t="n">
        <v>0</v>
      </c>
      <c r="M846" t="n">
        <v>0</v>
      </c>
      <c r="N846" t="n">
        <v>0</v>
      </c>
      <c r="O846" t="n">
        <v>0</v>
      </c>
      <c r="P846" t="n">
        <v>0</v>
      </c>
      <c r="Q846" t="n">
        <v>0</v>
      </c>
      <c r="R846" s="2" t="inlineStr"/>
    </row>
    <row r="847" ht="15" customHeight="1">
      <c r="A847" t="inlineStr">
        <is>
          <t>A 30290-2022</t>
        </is>
      </c>
      <c r="B847" s="1" t="n">
        <v>44760</v>
      </c>
      <c r="C847" s="1" t="n">
        <v>46047</v>
      </c>
      <c r="D847" t="inlineStr">
        <is>
          <t>STOCKHOLMS LÄN</t>
        </is>
      </c>
      <c r="E847" t="inlineStr">
        <is>
          <t>NORRTÄLJE</t>
        </is>
      </c>
      <c r="G847" t="n">
        <v>4.8</v>
      </c>
      <c r="H847" t="n">
        <v>0</v>
      </c>
      <c r="I847" t="n">
        <v>0</v>
      </c>
      <c r="J847" t="n">
        <v>0</v>
      </c>
      <c r="K847" t="n">
        <v>0</v>
      </c>
      <c r="L847" t="n">
        <v>0</v>
      </c>
      <c r="M847" t="n">
        <v>0</v>
      </c>
      <c r="N847" t="n">
        <v>0</v>
      </c>
      <c r="O847" t="n">
        <v>0</v>
      </c>
      <c r="P847" t="n">
        <v>0</v>
      </c>
      <c r="Q847" t="n">
        <v>0</v>
      </c>
      <c r="R847" s="2" t="inlineStr"/>
    </row>
    <row r="848" ht="15" customHeight="1">
      <c r="A848" t="inlineStr">
        <is>
          <t>A 21696-2024</t>
        </is>
      </c>
      <c r="B848" s="1" t="n">
        <v>45442.45686342593</v>
      </c>
      <c r="C848" s="1" t="n">
        <v>46047</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16202-2022</t>
        </is>
      </c>
      <c r="B849" s="1" t="n">
        <v>44670</v>
      </c>
      <c r="C849" s="1" t="n">
        <v>46047</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29684-2021</t>
        </is>
      </c>
      <c r="B850" s="1" t="n">
        <v>44362.37172453704</v>
      </c>
      <c r="C850" s="1" t="n">
        <v>46047</v>
      </c>
      <c r="D850" t="inlineStr">
        <is>
          <t>STOCKHOLMS LÄN</t>
        </is>
      </c>
      <c r="E850" t="inlineStr">
        <is>
          <t>NORRTÄLJE</t>
        </is>
      </c>
      <c r="F850" t="inlineStr">
        <is>
          <t>Holmen skog AB</t>
        </is>
      </c>
      <c r="G850" t="n">
        <v>1.5</v>
      </c>
      <c r="H850" t="n">
        <v>0</v>
      </c>
      <c r="I850" t="n">
        <v>0</v>
      </c>
      <c r="J850" t="n">
        <v>0</v>
      </c>
      <c r="K850" t="n">
        <v>0</v>
      </c>
      <c r="L850" t="n">
        <v>0</v>
      </c>
      <c r="M850" t="n">
        <v>0</v>
      </c>
      <c r="N850" t="n">
        <v>0</v>
      </c>
      <c r="O850" t="n">
        <v>0</v>
      </c>
      <c r="P850" t="n">
        <v>0</v>
      </c>
      <c r="Q850" t="n">
        <v>0</v>
      </c>
      <c r="R850" s="2" t="inlineStr"/>
    </row>
    <row r="851" ht="15" customHeight="1">
      <c r="A851" t="inlineStr">
        <is>
          <t>A 67990-2021</t>
        </is>
      </c>
      <c r="B851" s="1" t="n">
        <v>44525</v>
      </c>
      <c r="C851" s="1" t="n">
        <v>46047</v>
      </c>
      <c r="D851" t="inlineStr">
        <is>
          <t>STOCKHOLMS LÄN</t>
        </is>
      </c>
      <c r="E851" t="inlineStr">
        <is>
          <t>NORRTÄLJE</t>
        </is>
      </c>
      <c r="F851" t="inlineStr">
        <is>
          <t>Sveaskog</t>
        </is>
      </c>
      <c r="G851" t="n">
        <v>7.8</v>
      </c>
      <c r="H851" t="n">
        <v>0</v>
      </c>
      <c r="I851" t="n">
        <v>0</v>
      </c>
      <c r="J851" t="n">
        <v>0</v>
      </c>
      <c r="K851" t="n">
        <v>0</v>
      </c>
      <c r="L851" t="n">
        <v>0</v>
      </c>
      <c r="M851" t="n">
        <v>0</v>
      </c>
      <c r="N851" t="n">
        <v>0</v>
      </c>
      <c r="O851" t="n">
        <v>0</v>
      </c>
      <c r="P851" t="n">
        <v>0</v>
      </c>
      <c r="Q851" t="n">
        <v>0</v>
      </c>
      <c r="R851" s="2" t="inlineStr"/>
    </row>
    <row r="852" ht="15" customHeight="1">
      <c r="A852" t="inlineStr">
        <is>
          <t>A 71552-2021</t>
        </is>
      </c>
      <c r="B852" s="1" t="n">
        <v>44540</v>
      </c>
      <c r="C852" s="1" t="n">
        <v>46047</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37261-2025</t>
        </is>
      </c>
      <c r="B853" s="1" t="n">
        <v>45876.45253472222</v>
      </c>
      <c r="C853" s="1" t="n">
        <v>46047</v>
      </c>
      <c r="D853" t="inlineStr">
        <is>
          <t>STOCKHOLMS LÄN</t>
        </is>
      </c>
      <c r="E853" t="inlineStr">
        <is>
          <t>NORRTÄLJE</t>
        </is>
      </c>
      <c r="F853" t="inlineStr">
        <is>
          <t>Kommuner</t>
        </is>
      </c>
      <c r="G853" t="n">
        <v>2.2</v>
      </c>
      <c r="H853" t="n">
        <v>0</v>
      </c>
      <c r="I853" t="n">
        <v>0</v>
      </c>
      <c r="J853" t="n">
        <v>0</v>
      </c>
      <c r="K853" t="n">
        <v>0</v>
      </c>
      <c r="L853" t="n">
        <v>0</v>
      </c>
      <c r="M853" t="n">
        <v>0</v>
      </c>
      <c r="N853" t="n">
        <v>0</v>
      </c>
      <c r="O853" t="n">
        <v>0</v>
      </c>
      <c r="P853" t="n">
        <v>0</v>
      </c>
      <c r="Q853" t="n">
        <v>0</v>
      </c>
      <c r="R853" s="2" t="inlineStr"/>
    </row>
    <row r="854" ht="15" customHeight="1">
      <c r="A854" t="inlineStr">
        <is>
          <t>A 73992-2021</t>
        </is>
      </c>
      <c r="B854" s="1" t="n">
        <v>44556</v>
      </c>
      <c r="C854" s="1" t="n">
        <v>46047</v>
      </c>
      <c r="D854" t="inlineStr">
        <is>
          <t>STOCKHOLMS LÄN</t>
        </is>
      </c>
      <c r="E854" t="inlineStr">
        <is>
          <t>NORRTÄLJE</t>
        </is>
      </c>
      <c r="G854" t="n">
        <v>12.5</v>
      </c>
      <c r="H854" t="n">
        <v>0</v>
      </c>
      <c r="I854" t="n">
        <v>0</v>
      </c>
      <c r="J854" t="n">
        <v>0</v>
      </c>
      <c r="K854" t="n">
        <v>0</v>
      </c>
      <c r="L854" t="n">
        <v>0</v>
      </c>
      <c r="M854" t="n">
        <v>0</v>
      </c>
      <c r="N854" t="n">
        <v>0</v>
      </c>
      <c r="O854" t="n">
        <v>0</v>
      </c>
      <c r="P854" t="n">
        <v>0</v>
      </c>
      <c r="Q854" t="n">
        <v>0</v>
      </c>
      <c r="R854" s="2" t="inlineStr"/>
    </row>
    <row r="855" ht="15" customHeight="1">
      <c r="A855" t="inlineStr">
        <is>
          <t>A 26113-2024</t>
        </is>
      </c>
      <c r="B855" s="1" t="n">
        <v>45468.45541666666</v>
      </c>
      <c r="C855" s="1" t="n">
        <v>46047</v>
      </c>
      <c r="D855" t="inlineStr">
        <is>
          <t>STOCKHOLMS LÄN</t>
        </is>
      </c>
      <c r="E855" t="inlineStr">
        <is>
          <t>NORRTÄLJE</t>
        </is>
      </c>
      <c r="G855" t="n">
        <v>0.4</v>
      </c>
      <c r="H855" t="n">
        <v>0</v>
      </c>
      <c r="I855" t="n">
        <v>0</v>
      </c>
      <c r="J855" t="n">
        <v>0</v>
      </c>
      <c r="K855" t="n">
        <v>0</v>
      </c>
      <c r="L855" t="n">
        <v>0</v>
      </c>
      <c r="M855" t="n">
        <v>0</v>
      </c>
      <c r="N855" t="n">
        <v>0</v>
      </c>
      <c r="O855" t="n">
        <v>0</v>
      </c>
      <c r="P855" t="n">
        <v>0</v>
      </c>
      <c r="Q855" t="n">
        <v>0</v>
      </c>
      <c r="R855" s="2" t="inlineStr"/>
    </row>
    <row r="856" ht="15" customHeight="1">
      <c r="A856" t="inlineStr">
        <is>
          <t>A 26116-2024</t>
        </is>
      </c>
      <c r="B856" s="1" t="n">
        <v>45468.45747685185</v>
      </c>
      <c r="C856" s="1" t="n">
        <v>46047</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67921-2021</t>
        </is>
      </c>
      <c r="B857" s="1" t="n">
        <v>44525</v>
      </c>
      <c r="C857" s="1" t="n">
        <v>46047</v>
      </c>
      <c r="D857" t="inlineStr">
        <is>
          <t>STOCKHOLMS LÄN</t>
        </is>
      </c>
      <c r="E857" t="inlineStr">
        <is>
          <t>NORRTÄLJE</t>
        </is>
      </c>
      <c r="G857" t="n">
        <v>6.3</v>
      </c>
      <c r="H857" t="n">
        <v>0</v>
      </c>
      <c r="I857" t="n">
        <v>0</v>
      </c>
      <c r="J857" t="n">
        <v>0</v>
      </c>
      <c r="K857" t="n">
        <v>0</v>
      </c>
      <c r="L857" t="n">
        <v>0</v>
      </c>
      <c r="M857" t="n">
        <v>0</v>
      </c>
      <c r="N857" t="n">
        <v>0</v>
      </c>
      <c r="O857" t="n">
        <v>0</v>
      </c>
      <c r="P857" t="n">
        <v>0</v>
      </c>
      <c r="Q857" t="n">
        <v>0</v>
      </c>
      <c r="R857" s="2" t="inlineStr"/>
    </row>
    <row r="858" ht="15" customHeight="1">
      <c r="A858" t="inlineStr">
        <is>
          <t>A 65499-2021</t>
        </is>
      </c>
      <c r="B858" s="1" t="n">
        <v>44516</v>
      </c>
      <c r="C858" s="1" t="n">
        <v>46047</v>
      </c>
      <c r="D858" t="inlineStr">
        <is>
          <t>STOCKHOLMS LÄN</t>
        </is>
      </c>
      <c r="E858" t="inlineStr">
        <is>
          <t>NORRTÄLJE</t>
        </is>
      </c>
      <c r="F858" t="inlineStr">
        <is>
          <t>Kommuner</t>
        </is>
      </c>
      <c r="G858" t="n">
        <v>5.2</v>
      </c>
      <c r="H858" t="n">
        <v>0</v>
      </c>
      <c r="I858" t="n">
        <v>0</v>
      </c>
      <c r="J858" t="n">
        <v>0</v>
      </c>
      <c r="K858" t="n">
        <v>0</v>
      </c>
      <c r="L858" t="n">
        <v>0</v>
      </c>
      <c r="M858" t="n">
        <v>0</v>
      </c>
      <c r="N858" t="n">
        <v>0</v>
      </c>
      <c r="O858" t="n">
        <v>0</v>
      </c>
      <c r="P858" t="n">
        <v>0</v>
      </c>
      <c r="Q858" t="n">
        <v>0</v>
      </c>
      <c r="R858" s="2" t="inlineStr"/>
    </row>
    <row r="859" ht="15" customHeight="1">
      <c r="A859" t="inlineStr">
        <is>
          <t>A 60884-2024</t>
        </is>
      </c>
      <c r="B859" s="1" t="n">
        <v>45644.90815972222</v>
      </c>
      <c r="C859" s="1" t="n">
        <v>46047</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37628-2025</t>
        </is>
      </c>
      <c r="B860" s="1" t="n">
        <v>45880.46189814815</v>
      </c>
      <c r="C860" s="1" t="n">
        <v>46047</v>
      </c>
      <c r="D860" t="inlineStr">
        <is>
          <t>STOCKHOLMS LÄN</t>
        </is>
      </c>
      <c r="E860" t="inlineStr">
        <is>
          <t>NORRTÄLJE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38610-2022</t>
        </is>
      </c>
      <c r="B861" s="1" t="n">
        <v>44813.59915509259</v>
      </c>
      <c r="C861" s="1" t="n">
        <v>46047</v>
      </c>
      <c r="D861" t="inlineStr">
        <is>
          <t>STOCKHOLMS LÄN</t>
        </is>
      </c>
      <c r="E861" t="inlineStr">
        <is>
          <t>NORRTÄLJE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29369-2024</t>
        </is>
      </c>
      <c r="B862" s="1" t="n">
        <v>45483.57244212963</v>
      </c>
      <c r="C862" s="1" t="n">
        <v>46047</v>
      </c>
      <c r="D862" t="inlineStr">
        <is>
          <t>STOCKHOLMS LÄN</t>
        </is>
      </c>
      <c r="E862" t="inlineStr">
        <is>
          <t>NORRTÄLJE</t>
        </is>
      </c>
      <c r="G862" t="n">
        <v>15.9</v>
      </c>
      <c r="H862" t="n">
        <v>0</v>
      </c>
      <c r="I862" t="n">
        <v>0</v>
      </c>
      <c r="J862" t="n">
        <v>0</v>
      </c>
      <c r="K862" t="n">
        <v>0</v>
      </c>
      <c r="L862" t="n">
        <v>0</v>
      </c>
      <c r="M862" t="n">
        <v>0</v>
      </c>
      <c r="N862" t="n">
        <v>0</v>
      </c>
      <c r="O862" t="n">
        <v>0</v>
      </c>
      <c r="P862" t="n">
        <v>0</v>
      </c>
      <c r="Q862" t="n">
        <v>0</v>
      </c>
      <c r="R862" s="2" t="inlineStr"/>
    </row>
    <row r="863" ht="15" customHeight="1">
      <c r="A863" t="inlineStr">
        <is>
          <t>A 37632-2025</t>
        </is>
      </c>
      <c r="B863" s="1" t="n">
        <v>45880.46524305556</v>
      </c>
      <c r="C863" s="1" t="n">
        <v>46047</v>
      </c>
      <c r="D863" t="inlineStr">
        <is>
          <t>STOCKHOLMS LÄN</t>
        </is>
      </c>
      <c r="E863" t="inlineStr">
        <is>
          <t>NORRTÄLJE</t>
        </is>
      </c>
      <c r="F863" t="inlineStr">
        <is>
          <t>Sveaskog</t>
        </is>
      </c>
      <c r="G863" t="n">
        <v>6.4</v>
      </c>
      <c r="H863" t="n">
        <v>0</v>
      </c>
      <c r="I863" t="n">
        <v>0</v>
      </c>
      <c r="J863" t="n">
        <v>0</v>
      </c>
      <c r="K863" t="n">
        <v>0</v>
      </c>
      <c r="L863" t="n">
        <v>0</v>
      </c>
      <c r="M863" t="n">
        <v>0</v>
      </c>
      <c r="N863" t="n">
        <v>0</v>
      </c>
      <c r="O863" t="n">
        <v>0</v>
      </c>
      <c r="P863" t="n">
        <v>0</v>
      </c>
      <c r="Q863" t="n">
        <v>0</v>
      </c>
      <c r="R863" s="2" t="inlineStr"/>
    </row>
    <row r="864" ht="15" customHeight="1">
      <c r="A864" t="inlineStr">
        <is>
          <t>A 29841-2024</t>
        </is>
      </c>
      <c r="B864" s="1" t="n">
        <v>45485.60261574074</v>
      </c>
      <c r="C864" s="1" t="n">
        <v>46047</v>
      </c>
      <c r="D864" t="inlineStr">
        <is>
          <t>STOCKHOLMS LÄN</t>
        </is>
      </c>
      <c r="E864" t="inlineStr">
        <is>
          <t>NORRTÄLJE</t>
        </is>
      </c>
      <c r="G864" t="n">
        <v>15.9</v>
      </c>
      <c r="H864" t="n">
        <v>0</v>
      </c>
      <c r="I864" t="n">
        <v>0</v>
      </c>
      <c r="J864" t="n">
        <v>0</v>
      </c>
      <c r="K864" t="n">
        <v>0</v>
      </c>
      <c r="L864" t="n">
        <v>0</v>
      </c>
      <c r="M864" t="n">
        <v>0</v>
      </c>
      <c r="N864" t="n">
        <v>0</v>
      </c>
      <c r="O864" t="n">
        <v>0</v>
      </c>
      <c r="P864" t="n">
        <v>0</v>
      </c>
      <c r="Q864" t="n">
        <v>0</v>
      </c>
      <c r="R864" s="2" t="inlineStr"/>
    </row>
    <row r="865" ht="15" customHeight="1">
      <c r="A865" t="inlineStr">
        <is>
          <t>A 20692-2025</t>
        </is>
      </c>
      <c r="B865" s="1" t="n">
        <v>45776.46369212963</v>
      </c>
      <c r="C865" s="1" t="n">
        <v>46047</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10090-2022</t>
        </is>
      </c>
      <c r="B866" s="1" t="n">
        <v>44621</v>
      </c>
      <c r="C866" s="1" t="n">
        <v>46047</v>
      </c>
      <c r="D866" t="inlineStr">
        <is>
          <t>STOCKHOLMS LÄN</t>
        </is>
      </c>
      <c r="E866" t="inlineStr">
        <is>
          <t>NORRTÄLJE</t>
        </is>
      </c>
      <c r="G866" t="n">
        <v>5.2</v>
      </c>
      <c r="H866" t="n">
        <v>0</v>
      </c>
      <c r="I866" t="n">
        <v>0</v>
      </c>
      <c r="J866" t="n">
        <v>0</v>
      </c>
      <c r="K866" t="n">
        <v>0</v>
      </c>
      <c r="L866" t="n">
        <v>0</v>
      </c>
      <c r="M866" t="n">
        <v>0</v>
      </c>
      <c r="N866" t="n">
        <v>0</v>
      </c>
      <c r="O866" t="n">
        <v>0</v>
      </c>
      <c r="P866" t="n">
        <v>0</v>
      </c>
      <c r="Q866" t="n">
        <v>0</v>
      </c>
      <c r="R866" s="2" t="inlineStr"/>
    </row>
    <row r="867" ht="15" customHeight="1">
      <c r="A867" t="inlineStr">
        <is>
          <t>A 14724-2022</t>
        </is>
      </c>
      <c r="B867" s="1" t="n">
        <v>44656</v>
      </c>
      <c r="C867" s="1" t="n">
        <v>46047</v>
      </c>
      <c r="D867" t="inlineStr">
        <is>
          <t>STOCKHOLMS LÄN</t>
        </is>
      </c>
      <c r="E867" t="inlineStr">
        <is>
          <t>NORRTÄLJE</t>
        </is>
      </c>
      <c r="F867" t="inlineStr">
        <is>
          <t>Sveaskog</t>
        </is>
      </c>
      <c r="G867" t="n">
        <v>9</v>
      </c>
      <c r="H867" t="n">
        <v>0</v>
      </c>
      <c r="I867" t="n">
        <v>0</v>
      </c>
      <c r="J867" t="n">
        <v>0</v>
      </c>
      <c r="K867" t="n">
        <v>0</v>
      </c>
      <c r="L867" t="n">
        <v>0</v>
      </c>
      <c r="M867" t="n">
        <v>0</v>
      </c>
      <c r="N867" t="n">
        <v>0</v>
      </c>
      <c r="O867" t="n">
        <v>0</v>
      </c>
      <c r="P867" t="n">
        <v>0</v>
      </c>
      <c r="Q867" t="n">
        <v>0</v>
      </c>
      <c r="R867" s="2" t="inlineStr"/>
    </row>
    <row r="868" ht="15" customHeight="1">
      <c r="A868" t="inlineStr">
        <is>
          <t>A 37630-2025</t>
        </is>
      </c>
      <c r="B868" s="1" t="n">
        <v>45880.46372685185</v>
      </c>
      <c r="C868" s="1" t="n">
        <v>46047</v>
      </c>
      <c r="D868" t="inlineStr">
        <is>
          <t>STOCKHOLMS LÄN</t>
        </is>
      </c>
      <c r="E868" t="inlineStr">
        <is>
          <t>NORRTÄLJE</t>
        </is>
      </c>
      <c r="F868" t="inlineStr">
        <is>
          <t>Sveaskog</t>
        </is>
      </c>
      <c r="G868" t="n">
        <v>12.9</v>
      </c>
      <c r="H868" t="n">
        <v>0</v>
      </c>
      <c r="I868" t="n">
        <v>0</v>
      </c>
      <c r="J868" t="n">
        <v>0</v>
      </c>
      <c r="K868" t="n">
        <v>0</v>
      </c>
      <c r="L868" t="n">
        <v>0</v>
      </c>
      <c r="M868" t="n">
        <v>0</v>
      </c>
      <c r="N868" t="n">
        <v>0</v>
      </c>
      <c r="O868" t="n">
        <v>0</v>
      </c>
      <c r="P868" t="n">
        <v>0</v>
      </c>
      <c r="Q868" t="n">
        <v>0</v>
      </c>
      <c r="R868" s="2" t="inlineStr"/>
    </row>
    <row r="869" ht="15" customHeight="1">
      <c r="A869" t="inlineStr">
        <is>
          <t>A 18846-2022</t>
        </is>
      </c>
      <c r="B869" s="1" t="n">
        <v>44690</v>
      </c>
      <c r="C869" s="1" t="n">
        <v>46047</v>
      </c>
      <c r="D869" t="inlineStr">
        <is>
          <t>STOCKHOLMS LÄN</t>
        </is>
      </c>
      <c r="E869" t="inlineStr">
        <is>
          <t>NORRTÄLJE</t>
        </is>
      </c>
      <c r="G869" t="n">
        <v>7</v>
      </c>
      <c r="H869" t="n">
        <v>0</v>
      </c>
      <c r="I869" t="n">
        <v>0</v>
      </c>
      <c r="J869" t="n">
        <v>0</v>
      </c>
      <c r="K869" t="n">
        <v>0</v>
      </c>
      <c r="L869" t="n">
        <v>0</v>
      </c>
      <c r="M869" t="n">
        <v>0</v>
      </c>
      <c r="N869" t="n">
        <v>0</v>
      </c>
      <c r="O869" t="n">
        <v>0</v>
      </c>
      <c r="P869" t="n">
        <v>0</v>
      </c>
      <c r="Q869" t="n">
        <v>0</v>
      </c>
      <c r="R869" s="2" t="inlineStr"/>
    </row>
    <row r="870" ht="15" customHeight="1">
      <c r="A870" t="inlineStr">
        <is>
          <t>A 43300-2023</t>
        </is>
      </c>
      <c r="B870" s="1" t="n">
        <v>45183</v>
      </c>
      <c r="C870" s="1" t="n">
        <v>46047</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25654-2023</t>
        </is>
      </c>
      <c r="B871" s="1" t="n">
        <v>45089</v>
      </c>
      <c r="C871" s="1" t="n">
        <v>46047</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46071-2024</t>
        </is>
      </c>
      <c r="B872" s="1" t="n">
        <v>45581</v>
      </c>
      <c r="C872" s="1" t="n">
        <v>46047</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38720-2025</t>
        </is>
      </c>
      <c r="B873" s="1" t="n">
        <v>45886</v>
      </c>
      <c r="C873" s="1" t="n">
        <v>46047</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13137-2024</t>
        </is>
      </c>
      <c r="B874" s="1" t="n">
        <v>45386.34175925926</v>
      </c>
      <c r="C874" s="1" t="n">
        <v>46047</v>
      </c>
      <c r="D874" t="inlineStr">
        <is>
          <t>STOCKHOLMS LÄN</t>
        </is>
      </c>
      <c r="E874" t="inlineStr">
        <is>
          <t>NORRTÄLJE</t>
        </is>
      </c>
      <c r="G874" t="n">
        <v>5</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46047</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20121-2022</t>
        </is>
      </c>
      <c r="B876" s="1" t="n">
        <v>44698</v>
      </c>
      <c r="C876" s="1" t="n">
        <v>46047</v>
      </c>
      <c r="D876" t="inlineStr">
        <is>
          <t>STOCKHOLMS LÄN</t>
        </is>
      </c>
      <c r="E876" t="inlineStr">
        <is>
          <t>NORRTÄLJE</t>
        </is>
      </c>
      <c r="G876" t="n">
        <v>4.2</v>
      </c>
      <c r="H876" t="n">
        <v>0</v>
      </c>
      <c r="I876" t="n">
        <v>0</v>
      </c>
      <c r="J876" t="n">
        <v>0</v>
      </c>
      <c r="K876" t="n">
        <v>0</v>
      </c>
      <c r="L876" t="n">
        <v>0</v>
      </c>
      <c r="M876" t="n">
        <v>0</v>
      </c>
      <c r="N876" t="n">
        <v>0</v>
      </c>
      <c r="O876" t="n">
        <v>0</v>
      </c>
      <c r="P876" t="n">
        <v>0</v>
      </c>
      <c r="Q876" t="n">
        <v>0</v>
      </c>
      <c r="R876" s="2" t="inlineStr"/>
    </row>
    <row r="877" ht="15" customHeight="1">
      <c r="A877" t="inlineStr">
        <is>
          <t>A 24350-2025</t>
        </is>
      </c>
      <c r="B877" s="1" t="n">
        <v>45797.58350694444</v>
      </c>
      <c r="C877" s="1" t="n">
        <v>46047</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26703-2025</t>
        </is>
      </c>
      <c r="B878" s="1" t="n">
        <v>45810.45263888889</v>
      </c>
      <c r="C878" s="1" t="n">
        <v>46047</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33385-2024</t>
        </is>
      </c>
      <c r="B879" s="1" t="n">
        <v>45519</v>
      </c>
      <c r="C879" s="1" t="n">
        <v>46047</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38153-2025</t>
        </is>
      </c>
      <c r="B880" s="1" t="n">
        <v>45882.59722222222</v>
      </c>
      <c r="C880" s="1" t="n">
        <v>46047</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41172-2023</t>
        </is>
      </c>
      <c r="B881" s="1" t="n">
        <v>45170</v>
      </c>
      <c r="C881" s="1" t="n">
        <v>46047</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73307-2021</t>
        </is>
      </c>
      <c r="B882" s="1" t="n">
        <v>44549</v>
      </c>
      <c r="C882" s="1" t="n">
        <v>46047</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50534-2024</t>
        </is>
      </c>
      <c r="B883" s="1" t="n">
        <v>45601.56726851852</v>
      </c>
      <c r="C883" s="1" t="n">
        <v>46047</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22816-2021</t>
        </is>
      </c>
      <c r="B884" s="1" t="n">
        <v>44325</v>
      </c>
      <c r="C884" s="1" t="n">
        <v>46047</v>
      </c>
      <c r="D884" t="inlineStr">
        <is>
          <t>STOCKHOLMS LÄN</t>
        </is>
      </c>
      <c r="E884" t="inlineStr">
        <is>
          <t>NORRTÄLJE</t>
        </is>
      </c>
      <c r="G884" t="n">
        <v>4.5</v>
      </c>
      <c r="H884" t="n">
        <v>0</v>
      </c>
      <c r="I884" t="n">
        <v>0</v>
      </c>
      <c r="J884" t="n">
        <v>0</v>
      </c>
      <c r="K884" t="n">
        <v>0</v>
      </c>
      <c r="L884" t="n">
        <v>0</v>
      </c>
      <c r="M884" t="n">
        <v>0</v>
      </c>
      <c r="N884" t="n">
        <v>0</v>
      </c>
      <c r="O884" t="n">
        <v>0</v>
      </c>
      <c r="P884" t="n">
        <v>0</v>
      </c>
      <c r="Q884" t="n">
        <v>0</v>
      </c>
      <c r="R884" s="2" t="inlineStr"/>
    </row>
    <row r="885" ht="15" customHeight="1">
      <c r="A885" t="inlineStr">
        <is>
          <t>A 38593-2025</t>
        </is>
      </c>
      <c r="B885" s="1" t="n">
        <v>45884.48696759259</v>
      </c>
      <c r="C885" s="1" t="n">
        <v>46047</v>
      </c>
      <c r="D885" t="inlineStr">
        <is>
          <t>STOCKHOLMS LÄN</t>
        </is>
      </c>
      <c r="E885" t="inlineStr">
        <is>
          <t>NORRTÄLJE</t>
        </is>
      </c>
      <c r="G885" t="n">
        <v>3</v>
      </c>
      <c r="H885" t="n">
        <v>0</v>
      </c>
      <c r="I885" t="n">
        <v>0</v>
      </c>
      <c r="J885" t="n">
        <v>0</v>
      </c>
      <c r="K885" t="n">
        <v>0</v>
      </c>
      <c r="L885" t="n">
        <v>0</v>
      </c>
      <c r="M885" t="n">
        <v>0</v>
      </c>
      <c r="N885" t="n">
        <v>0</v>
      </c>
      <c r="O885" t="n">
        <v>0</v>
      </c>
      <c r="P885" t="n">
        <v>0</v>
      </c>
      <c r="Q885" t="n">
        <v>0</v>
      </c>
      <c r="R885" s="2" t="inlineStr"/>
    </row>
    <row r="886" ht="15" customHeight="1">
      <c r="A886" t="inlineStr">
        <is>
          <t>A 11988-2021</t>
        </is>
      </c>
      <c r="B886" s="1" t="n">
        <v>44266</v>
      </c>
      <c r="C886" s="1" t="n">
        <v>46047</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12132-2021</t>
        </is>
      </c>
      <c r="B887" s="1" t="n">
        <v>44266</v>
      </c>
      <c r="C887" s="1" t="n">
        <v>46047</v>
      </c>
      <c r="D887" t="inlineStr">
        <is>
          <t>STOCKHOLMS LÄN</t>
        </is>
      </c>
      <c r="E887" t="inlineStr">
        <is>
          <t>NORRTÄLJE</t>
        </is>
      </c>
      <c r="G887" t="n">
        <v>4</v>
      </c>
      <c r="H887" t="n">
        <v>0</v>
      </c>
      <c r="I887" t="n">
        <v>0</v>
      </c>
      <c r="J887" t="n">
        <v>0</v>
      </c>
      <c r="K887" t="n">
        <v>0</v>
      </c>
      <c r="L887" t="n">
        <v>0</v>
      </c>
      <c r="M887" t="n">
        <v>0</v>
      </c>
      <c r="N887" t="n">
        <v>0</v>
      </c>
      <c r="O887" t="n">
        <v>0</v>
      </c>
      <c r="P887" t="n">
        <v>0</v>
      </c>
      <c r="Q887" t="n">
        <v>0</v>
      </c>
      <c r="R887" s="2" t="inlineStr"/>
    </row>
    <row r="888" ht="15" customHeight="1">
      <c r="A888" t="inlineStr">
        <is>
          <t>A 65499-2021</t>
        </is>
      </c>
      <c r="B888" s="1" t="n">
        <v>44516</v>
      </c>
      <c r="C888" s="1" t="n">
        <v>46047</v>
      </c>
      <c r="D888" t="inlineStr">
        <is>
          <t>STOCKHOLMS LÄN</t>
        </is>
      </c>
      <c r="E888" t="inlineStr">
        <is>
          <t>NORRTÄLJE</t>
        </is>
      </c>
      <c r="F888" t="inlineStr">
        <is>
          <t>Kommuner</t>
        </is>
      </c>
      <c r="G888" t="n">
        <v>5.2</v>
      </c>
      <c r="H888" t="n">
        <v>0</v>
      </c>
      <c r="I888" t="n">
        <v>0</v>
      </c>
      <c r="J888" t="n">
        <v>0</v>
      </c>
      <c r="K888" t="n">
        <v>0</v>
      </c>
      <c r="L888" t="n">
        <v>0</v>
      </c>
      <c r="M888" t="n">
        <v>0</v>
      </c>
      <c r="N888" t="n">
        <v>0</v>
      </c>
      <c r="O888" t="n">
        <v>0</v>
      </c>
      <c r="P888" t="n">
        <v>0</v>
      </c>
      <c r="Q888" t="n">
        <v>0</v>
      </c>
      <c r="R888" s="2" t="inlineStr"/>
    </row>
    <row r="889" ht="15" customHeight="1">
      <c r="A889" t="inlineStr">
        <is>
          <t>A 65511-2021</t>
        </is>
      </c>
      <c r="B889" s="1" t="n">
        <v>44516.40674768519</v>
      </c>
      <c r="C889" s="1" t="n">
        <v>46047</v>
      </c>
      <c r="D889" t="inlineStr">
        <is>
          <t>STOCKHOLMS LÄN</t>
        </is>
      </c>
      <c r="E889" t="inlineStr">
        <is>
          <t>NORRTÄLJE</t>
        </is>
      </c>
      <c r="F889" t="inlineStr">
        <is>
          <t>Kommuner</t>
        </is>
      </c>
      <c r="G889" t="n">
        <v>2.8</v>
      </c>
      <c r="H889" t="n">
        <v>0</v>
      </c>
      <c r="I889" t="n">
        <v>0</v>
      </c>
      <c r="J889" t="n">
        <v>0</v>
      </c>
      <c r="K889" t="n">
        <v>0</v>
      </c>
      <c r="L889" t="n">
        <v>0</v>
      </c>
      <c r="M889" t="n">
        <v>0</v>
      </c>
      <c r="N889" t="n">
        <v>0</v>
      </c>
      <c r="O889" t="n">
        <v>0</v>
      </c>
      <c r="P889" t="n">
        <v>0</v>
      </c>
      <c r="Q889" t="n">
        <v>0</v>
      </c>
      <c r="R889" s="2" t="inlineStr"/>
    </row>
    <row r="890" ht="15" customHeight="1">
      <c r="A890" t="inlineStr">
        <is>
          <t>A 22833-2024</t>
        </is>
      </c>
      <c r="B890" s="1" t="n">
        <v>45448.56746527777</v>
      </c>
      <c r="C890" s="1" t="n">
        <v>46047</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46047</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29362-2022</t>
        </is>
      </c>
      <c r="B892" s="1" t="n">
        <v>44753</v>
      </c>
      <c r="C892" s="1" t="n">
        <v>46047</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58492-2022</t>
        </is>
      </c>
      <c r="B893" s="1" t="n">
        <v>44902</v>
      </c>
      <c r="C893" s="1" t="n">
        <v>46047</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51315-2021</t>
        </is>
      </c>
      <c r="B894" s="1" t="n">
        <v>44461</v>
      </c>
      <c r="C894" s="1" t="n">
        <v>46047</v>
      </c>
      <c r="D894" t="inlineStr">
        <is>
          <t>STOCKHOLMS LÄN</t>
        </is>
      </c>
      <c r="E894" t="inlineStr">
        <is>
          <t>NORRTÄLJE</t>
        </is>
      </c>
      <c r="F894" t="inlineStr">
        <is>
          <t>Holmen skog AB</t>
        </is>
      </c>
      <c r="G894" t="n">
        <v>2.2</v>
      </c>
      <c r="H894" t="n">
        <v>0</v>
      </c>
      <c r="I894" t="n">
        <v>0</v>
      </c>
      <c r="J894" t="n">
        <v>0</v>
      </c>
      <c r="K894" t="n">
        <v>0</v>
      </c>
      <c r="L894" t="n">
        <v>0</v>
      </c>
      <c r="M894" t="n">
        <v>0</v>
      </c>
      <c r="N894" t="n">
        <v>0</v>
      </c>
      <c r="O894" t="n">
        <v>0</v>
      </c>
      <c r="P894" t="n">
        <v>0</v>
      </c>
      <c r="Q894" t="n">
        <v>0</v>
      </c>
      <c r="R894" s="2" t="inlineStr"/>
    </row>
    <row r="895" ht="15" customHeight="1">
      <c r="A895" t="inlineStr">
        <is>
          <t>A 14873-2025</t>
        </is>
      </c>
      <c r="B895" s="1" t="n">
        <v>45743.44953703704</v>
      </c>
      <c r="C895" s="1" t="n">
        <v>46047</v>
      </c>
      <c r="D895" t="inlineStr">
        <is>
          <t>STOCKHOLMS LÄN</t>
        </is>
      </c>
      <c r="E895" t="inlineStr">
        <is>
          <t>NORRTÄLJE</t>
        </is>
      </c>
      <c r="G895" t="n">
        <v>10.2</v>
      </c>
      <c r="H895" t="n">
        <v>0</v>
      </c>
      <c r="I895" t="n">
        <v>0</v>
      </c>
      <c r="J895" t="n">
        <v>0</v>
      </c>
      <c r="K895" t="n">
        <v>0</v>
      </c>
      <c r="L895" t="n">
        <v>0</v>
      </c>
      <c r="M895" t="n">
        <v>0</v>
      </c>
      <c r="N895" t="n">
        <v>0</v>
      </c>
      <c r="O895" t="n">
        <v>0</v>
      </c>
      <c r="P895" t="n">
        <v>0</v>
      </c>
      <c r="Q895" t="n">
        <v>0</v>
      </c>
      <c r="R895" s="2" t="inlineStr"/>
    </row>
    <row r="896" ht="15" customHeight="1">
      <c r="A896" t="inlineStr">
        <is>
          <t>A 34773-2022</t>
        </is>
      </c>
      <c r="B896" s="1" t="n">
        <v>44795</v>
      </c>
      <c r="C896" s="1" t="n">
        <v>46047</v>
      </c>
      <c r="D896" t="inlineStr">
        <is>
          <t>STOCKHOLMS LÄN</t>
        </is>
      </c>
      <c r="E896" t="inlineStr">
        <is>
          <t>NORRTÄLJE</t>
        </is>
      </c>
      <c r="G896" t="n">
        <v>3.9</v>
      </c>
      <c r="H896" t="n">
        <v>0</v>
      </c>
      <c r="I896" t="n">
        <v>0</v>
      </c>
      <c r="J896" t="n">
        <v>0</v>
      </c>
      <c r="K896" t="n">
        <v>0</v>
      </c>
      <c r="L896" t="n">
        <v>0</v>
      </c>
      <c r="M896" t="n">
        <v>0</v>
      </c>
      <c r="N896" t="n">
        <v>0</v>
      </c>
      <c r="O896" t="n">
        <v>0</v>
      </c>
      <c r="P896" t="n">
        <v>0</v>
      </c>
      <c r="Q896" t="n">
        <v>0</v>
      </c>
      <c r="R896" s="2" t="inlineStr"/>
    </row>
    <row r="897" ht="15" customHeight="1">
      <c r="A897" t="inlineStr">
        <is>
          <t>A 33173-2024</t>
        </is>
      </c>
      <c r="B897" s="1" t="n">
        <v>45518</v>
      </c>
      <c r="C897" s="1" t="n">
        <v>46047</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27677-2025</t>
        </is>
      </c>
      <c r="B898" s="1" t="n">
        <v>45813.63650462963</v>
      </c>
      <c r="C898" s="1" t="n">
        <v>46047</v>
      </c>
      <c r="D898" t="inlineStr">
        <is>
          <t>STOCKHOLMS LÄN</t>
        </is>
      </c>
      <c r="E898" t="inlineStr">
        <is>
          <t>NORRTÄLJE</t>
        </is>
      </c>
      <c r="G898" t="n">
        <v>2</v>
      </c>
      <c r="H898" t="n">
        <v>0</v>
      </c>
      <c r="I898" t="n">
        <v>0</v>
      </c>
      <c r="J898" t="n">
        <v>0</v>
      </c>
      <c r="K898" t="n">
        <v>0</v>
      </c>
      <c r="L898" t="n">
        <v>0</v>
      </c>
      <c r="M898" t="n">
        <v>0</v>
      </c>
      <c r="N898" t="n">
        <v>0</v>
      </c>
      <c r="O898" t="n">
        <v>0</v>
      </c>
      <c r="P898" t="n">
        <v>0</v>
      </c>
      <c r="Q898" t="n">
        <v>0</v>
      </c>
      <c r="R898" s="2" t="inlineStr"/>
    </row>
    <row r="899" ht="15" customHeight="1">
      <c r="A899" t="inlineStr">
        <is>
          <t>A 39152-2025</t>
        </is>
      </c>
      <c r="B899" s="1" t="n">
        <v>45888</v>
      </c>
      <c r="C899" s="1" t="n">
        <v>46047</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39149-2025</t>
        </is>
      </c>
      <c r="B900" s="1" t="n">
        <v>45888.60714120371</v>
      </c>
      <c r="C900" s="1" t="n">
        <v>46047</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4484-2025</t>
        </is>
      </c>
      <c r="B901" s="1" t="n">
        <v>45686.65545138889</v>
      </c>
      <c r="C901" s="1" t="n">
        <v>46047</v>
      </c>
      <c r="D901" t="inlineStr">
        <is>
          <t>STOCKHOLMS LÄN</t>
        </is>
      </c>
      <c r="E901" t="inlineStr">
        <is>
          <t>NORRTÄLJE</t>
        </is>
      </c>
      <c r="G901" t="n">
        <v>1.9</v>
      </c>
      <c r="H901" t="n">
        <v>0</v>
      </c>
      <c r="I901" t="n">
        <v>0</v>
      </c>
      <c r="J901" t="n">
        <v>0</v>
      </c>
      <c r="K901" t="n">
        <v>0</v>
      </c>
      <c r="L901" t="n">
        <v>0</v>
      </c>
      <c r="M901" t="n">
        <v>0</v>
      </c>
      <c r="N901" t="n">
        <v>0</v>
      </c>
      <c r="O901" t="n">
        <v>0</v>
      </c>
      <c r="P901" t="n">
        <v>0</v>
      </c>
      <c r="Q901" t="n">
        <v>0</v>
      </c>
      <c r="R901" s="2" t="inlineStr"/>
    </row>
    <row r="902" ht="15" customHeight="1">
      <c r="A902" t="inlineStr">
        <is>
          <t>A 33878-2024</t>
        </is>
      </c>
      <c r="B902" s="1" t="n">
        <v>45522.44414351852</v>
      </c>
      <c r="C902" s="1" t="n">
        <v>46047</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9246-2024</t>
        </is>
      </c>
      <c r="B903" s="1" t="n">
        <v>45357</v>
      </c>
      <c r="C903" s="1" t="n">
        <v>46047</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35698-2023</t>
        </is>
      </c>
      <c r="B904" s="1" t="n">
        <v>45147</v>
      </c>
      <c r="C904" s="1" t="n">
        <v>46047</v>
      </c>
      <c r="D904" t="inlineStr">
        <is>
          <t>STOCKHOLMS LÄN</t>
        </is>
      </c>
      <c r="E904" t="inlineStr">
        <is>
          <t>NORRTÄLJE</t>
        </is>
      </c>
      <c r="G904" t="n">
        <v>2.1</v>
      </c>
      <c r="H904" t="n">
        <v>0</v>
      </c>
      <c r="I904" t="n">
        <v>0</v>
      </c>
      <c r="J904" t="n">
        <v>0</v>
      </c>
      <c r="K904" t="n">
        <v>0</v>
      </c>
      <c r="L904" t="n">
        <v>0</v>
      </c>
      <c r="M904" t="n">
        <v>0</v>
      </c>
      <c r="N904" t="n">
        <v>0</v>
      </c>
      <c r="O904" t="n">
        <v>0</v>
      </c>
      <c r="P904" t="n">
        <v>0</v>
      </c>
      <c r="Q904" t="n">
        <v>0</v>
      </c>
      <c r="R904" s="2" t="inlineStr"/>
    </row>
    <row r="905" ht="15" customHeight="1">
      <c r="A905" t="inlineStr">
        <is>
          <t>A 62398-2022</t>
        </is>
      </c>
      <c r="B905" s="1" t="n">
        <v>44923.90159722222</v>
      </c>
      <c r="C905" s="1" t="n">
        <v>46047</v>
      </c>
      <c r="D905" t="inlineStr">
        <is>
          <t>STOCKHOLMS LÄN</t>
        </is>
      </c>
      <c r="E905" t="inlineStr">
        <is>
          <t>NORRTÄLJE</t>
        </is>
      </c>
      <c r="G905" t="n">
        <v>4</v>
      </c>
      <c r="H905" t="n">
        <v>0</v>
      </c>
      <c r="I905" t="n">
        <v>0</v>
      </c>
      <c r="J905" t="n">
        <v>0</v>
      </c>
      <c r="K905" t="n">
        <v>0</v>
      </c>
      <c r="L905" t="n">
        <v>0</v>
      </c>
      <c r="M905" t="n">
        <v>0</v>
      </c>
      <c r="N905" t="n">
        <v>0</v>
      </c>
      <c r="O905" t="n">
        <v>0</v>
      </c>
      <c r="P905" t="n">
        <v>0</v>
      </c>
      <c r="Q905" t="n">
        <v>0</v>
      </c>
      <c r="R905" s="2" t="inlineStr"/>
    </row>
    <row r="906" ht="15" customHeight="1">
      <c r="A906" t="inlineStr">
        <is>
          <t>A 39692-2025</t>
        </is>
      </c>
      <c r="B906" s="1" t="n">
        <v>45890.68083333333</v>
      </c>
      <c r="C906" s="1" t="n">
        <v>46047</v>
      </c>
      <c r="D906" t="inlineStr">
        <is>
          <t>STOCKHOLMS LÄN</t>
        </is>
      </c>
      <c r="E906" t="inlineStr">
        <is>
          <t>NORRTÄLJE</t>
        </is>
      </c>
      <c r="G906" t="n">
        <v>10.5</v>
      </c>
      <c r="H906" t="n">
        <v>0</v>
      </c>
      <c r="I906" t="n">
        <v>0</v>
      </c>
      <c r="J906" t="n">
        <v>0</v>
      </c>
      <c r="K906" t="n">
        <v>0</v>
      </c>
      <c r="L906" t="n">
        <v>0</v>
      </c>
      <c r="M906" t="n">
        <v>0</v>
      </c>
      <c r="N906" t="n">
        <v>0</v>
      </c>
      <c r="O906" t="n">
        <v>0</v>
      </c>
      <c r="P906" t="n">
        <v>0</v>
      </c>
      <c r="Q906" t="n">
        <v>0</v>
      </c>
      <c r="R906" s="2" t="inlineStr"/>
    </row>
    <row r="907" ht="15" customHeight="1">
      <c r="A907" t="inlineStr">
        <is>
          <t>A 49700-2023</t>
        </is>
      </c>
      <c r="B907" s="1" t="n">
        <v>45212</v>
      </c>
      <c r="C907" s="1" t="n">
        <v>46047</v>
      </c>
      <c r="D907" t="inlineStr">
        <is>
          <t>STOCKHOLMS LÄN</t>
        </is>
      </c>
      <c r="E907" t="inlineStr">
        <is>
          <t>NORRTÄLJE</t>
        </is>
      </c>
      <c r="G907" t="n">
        <v>1.4</v>
      </c>
      <c r="H907" t="n">
        <v>0</v>
      </c>
      <c r="I907" t="n">
        <v>0</v>
      </c>
      <c r="J907" t="n">
        <v>0</v>
      </c>
      <c r="K907" t="n">
        <v>0</v>
      </c>
      <c r="L907" t="n">
        <v>0</v>
      </c>
      <c r="M907" t="n">
        <v>0</v>
      </c>
      <c r="N907" t="n">
        <v>0</v>
      </c>
      <c r="O907" t="n">
        <v>0</v>
      </c>
      <c r="P907" t="n">
        <v>0</v>
      </c>
      <c r="Q907" t="n">
        <v>0</v>
      </c>
      <c r="R907" s="2" t="inlineStr"/>
    </row>
    <row r="908" ht="15" customHeight="1">
      <c r="A908" t="inlineStr">
        <is>
          <t>A 35639-2025</t>
        </is>
      </c>
      <c r="B908" s="1" t="n">
        <v>45859</v>
      </c>
      <c r="C908" s="1" t="n">
        <v>46047</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32071-2023</t>
        </is>
      </c>
      <c r="B909" s="1" t="n">
        <v>45119.57728009259</v>
      </c>
      <c r="C909" s="1" t="n">
        <v>46047</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1425-2025</t>
        </is>
      </c>
      <c r="B910" s="1" t="n">
        <v>45668.67446759259</v>
      </c>
      <c r="C910" s="1" t="n">
        <v>46047</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17775-2022</t>
        </is>
      </c>
      <c r="B911" s="1" t="n">
        <v>44682.78430555556</v>
      </c>
      <c r="C911" s="1" t="n">
        <v>46047</v>
      </c>
      <c r="D911" t="inlineStr">
        <is>
          <t>STOCKHOLMS LÄN</t>
        </is>
      </c>
      <c r="E911" t="inlineStr">
        <is>
          <t>NORRTÄLJE</t>
        </is>
      </c>
      <c r="G911" t="n">
        <v>4.7</v>
      </c>
      <c r="H911" t="n">
        <v>0</v>
      </c>
      <c r="I911" t="n">
        <v>0</v>
      </c>
      <c r="J911" t="n">
        <v>0</v>
      </c>
      <c r="K911" t="n">
        <v>0</v>
      </c>
      <c r="L911" t="n">
        <v>0</v>
      </c>
      <c r="M911" t="n">
        <v>0</v>
      </c>
      <c r="N911" t="n">
        <v>0</v>
      </c>
      <c r="O911" t="n">
        <v>0</v>
      </c>
      <c r="P911" t="n">
        <v>0</v>
      </c>
      <c r="Q911" t="n">
        <v>0</v>
      </c>
      <c r="R911" s="2" t="inlineStr"/>
    </row>
    <row r="912" ht="15" customHeight="1">
      <c r="A912" t="inlineStr">
        <is>
          <t>A 35636-2025</t>
        </is>
      </c>
      <c r="B912" s="1" t="n">
        <v>45859</v>
      </c>
      <c r="C912" s="1" t="n">
        <v>46047</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44815.74539351852</v>
      </c>
      <c r="C913" s="1" t="n">
        <v>46047</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10215-2023</t>
        </is>
      </c>
      <c r="B914" s="1" t="n">
        <v>44986.5887962963</v>
      </c>
      <c r="C914" s="1" t="n">
        <v>46047</v>
      </c>
      <c r="D914" t="inlineStr">
        <is>
          <t>STOCKHOLMS LÄN</t>
        </is>
      </c>
      <c r="E914" t="inlineStr">
        <is>
          <t>NORRTÄLJE</t>
        </is>
      </c>
      <c r="G914" t="n">
        <v>6.5</v>
      </c>
      <c r="H914" t="n">
        <v>0</v>
      </c>
      <c r="I914" t="n">
        <v>0</v>
      </c>
      <c r="J914" t="n">
        <v>0</v>
      </c>
      <c r="K914" t="n">
        <v>0</v>
      </c>
      <c r="L914" t="n">
        <v>0</v>
      </c>
      <c r="M914" t="n">
        <v>0</v>
      </c>
      <c r="N914" t="n">
        <v>0</v>
      </c>
      <c r="O914" t="n">
        <v>0</v>
      </c>
      <c r="P914" t="n">
        <v>0</v>
      </c>
      <c r="Q914" t="n">
        <v>0</v>
      </c>
      <c r="R914" s="2" t="inlineStr"/>
    </row>
    <row r="915" ht="15" customHeight="1">
      <c r="A915" t="inlineStr">
        <is>
          <t>A 40172-2025</t>
        </is>
      </c>
      <c r="B915" s="1" t="n">
        <v>45894.6353125</v>
      </c>
      <c r="C915" s="1" t="n">
        <v>46047</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40033-2025</t>
        </is>
      </c>
      <c r="B916" s="1" t="n">
        <v>45893</v>
      </c>
      <c r="C916" s="1" t="n">
        <v>46047</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40032-2025</t>
        </is>
      </c>
      <c r="B917" s="1" t="n">
        <v>45893</v>
      </c>
      <c r="C917" s="1" t="n">
        <v>46047</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25609-2023</t>
        </is>
      </c>
      <c r="B918" s="1" t="n">
        <v>45089</v>
      </c>
      <c r="C918" s="1" t="n">
        <v>46047</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40292-2025</t>
        </is>
      </c>
      <c r="B919" s="1" t="n">
        <v>45895.3867824074</v>
      </c>
      <c r="C919" s="1" t="n">
        <v>46047</v>
      </c>
      <c r="D919" t="inlineStr">
        <is>
          <t>STOCKHOLMS LÄN</t>
        </is>
      </c>
      <c r="E919" t="inlineStr">
        <is>
          <t>NORRTÄLJE</t>
        </is>
      </c>
      <c r="G919" t="n">
        <v>3.5</v>
      </c>
      <c r="H919" t="n">
        <v>0</v>
      </c>
      <c r="I919" t="n">
        <v>0</v>
      </c>
      <c r="J919" t="n">
        <v>0</v>
      </c>
      <c r="K919" t="n">
        <v>0</v>
      </c>
      <c r="L919" t="n">
        <v>0</v>
      </c>
      <c r="M919" t="n">
        <v>0</v>
      </c>
      <c r="N919" t="n">
        <v>0</v>
      </c>
      <c r="O919" t="n">
        <v>0</v>
      </c>
      <c r="P919" t="n">
        <v>0</v>
      </c>
      <c r="Q919" t="n">
        <v>0</v>
      </c>
      <c r="R919" s="2" t="inlineStr"/>
    </row>
    <row r="920" ht="15" customHeight="1">
      <c r="A920" t="inlineStr">
        <is>
          <t>A 40294-2025</t>
        </is>
      </c>
      <c r="B920" s="1" t="n">
        <v>45895.38778935185</v>
      </c>
      <c r="C920" s="1" t="n">
        <v>46047</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20014-2025</t>
        </is>
      </c>
      <c r="B921" s="1" t="n">
        <v>45772.3078125</v>
      </c>
      <c r="C921" s="1" t="n">
        <v>46047</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20136-2025</t>
        </is>
      </c>
      <c r="B922" s="1" t="n">
        <v>45772.51127314815</v>
      </c>
      <c r="C922" s="1" t="n">
        <v>46047</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40228-2025</t>
        </is>
      </c>
      <c r="B923" s="1" t="n">
        <v>45894.70854166667</v>
      </c>
      <c r="C923" s="1" t="n">
        <v>46047</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2287-2024</t>
        </is>
      </c>
      <c r="B924" s="1" t="n">
        <v>45310</v>
      </c>
      <c r="C924" s="1" t="n">
        <v>46047</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13785-2024</t>
        </is>
      </c>
      <c r="B925" s="1" t="n">
        <v>45391.3395949074</v>
      </c>
      <c r="C925" s="1" t="n">
        <v>46047</v>
      </c>
      <c r="D925" t="inlineStr">
        <is>
          <t>STOCKHOLMS LÄN</t>
        </is>
      </c>
      <c r="E925" t="inlineStr">
        <is>
          <t>NORRTÄLJE</t>
        </is>
      </c>
      <c r="G925" t="n">
        <v>5</v>
      </c>
      <c r="H925" t="n">
        <v>0</v>
      </c>
      <c r="I925" t="n">
        <v>0</v>
      </c>
      <c r="J925" t="n">
        <v>0</v>
      </c>
      <c r="K925" t="n">
        <v>0</v>
      </c>
      <c r="L925" t="n">
        <v>0</v>
      </c>
      <c r="M925" t="n">
        <v>0</v>
      </c>
      <c r="N925" t="n">
        <v>0</v>
      </c>
      <c r="O925" t="n">
        <v>0</v>
      </c>
      <c r="P925" t="n">
        <v>0</v>
      </c>
      <c r="Q925" t="n">
        <v>0</v>
      </c>
      <c r="R925" s="2" t="inlineStr"/>
    </row>
    <row r="926" ht="15" customHeight="1">
      <c r="A926" t="inlineStr">
        <is>
          <t>A 50469-2022</t>
        </is>
      </c>
      <c r="B926" s="1" t="n">
        <v>44866.49827546296</v>
      </c>
      <c r="C926" s="1" t="n">
        <v>46047</v>
      </c>
      <c r="D926" t="inlineStr">
        <is>
          <t>STOCKHOLMS LÄN</t>
        </is>
      </c>
      <c r="E926" t="inlineStr">
        <is>
          <t>NORRTÄLJE</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40230-2025</t>
        </is>
      </c>
      <c r="B927" s="1" t="n">
        <v>45894.71101851852</v>
      </c>
      <c r="C927" s="1" t="n">
        <v>46047</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51116-2022</t>
        </is>
      </c>
      <c r="B928" s="1" t="n">
        <v>44868.45741898148</v>
      </c>
      <c r="C928" s="1" t="n">
        <v>46047</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40217-2025</t>
        </is>
      </c>
      <c r="B929" s="1" t="n">
        <v>45894.68864583333</v>
      </c>
      <c r="C929" s="1" t="n">
        <v>46047</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60217-2021</t>
        </is>
      </c>
      <c r="B930" s="1" t="n">
        <v>44495.5893287037</v>
      </c>
      <c r="C930" s="1" t="n">
        <v>46047</v>
      </c>
      <c r="D930" t="inlineStr">
        <is>
          <t>STOCKHOLMS LÄN</t>
        </is>
      </c>
      <c r="E930" t="inlineStr">
        <is>
          <t>NORRTÄLJE</t>
        </is>
      </c>
      <c r="G930" t="n">
        <v>4.3</v>
      </c>
      <c r="H930" t="n">
        <v>0</v>
      </c>
      <c r="I930" t="n">
        <v>0</v>
      </c>
      <c r="J930" t="n">
        <v>0</v>
      </c>
      <c r="K930" t="n">
        <v>0</v>
      </c>
      <c r="L930" t="n">
        <v>0</v>
      </c>
      <c r="M930" t="n">
        <v>0</v>
      </c>
      <c r="N930" t="n">
        <v>0</v>
      </c>
      <c r="O930" t="n">
        <v>0</v>
      </c>
      <c r="P930" t="n">
        <v>0</v>
      </c>
      <c r="Q930" t="n">
        <v>0</v>
      </c>
      <c r="R930" s="2" t="inlineStr"/>
    </row>
    <row r="931" ht="15" customHeight="1">
      <c r="A931" t="inlineStr">
        <is>
          <t>A 5839-2023</t>
        </is>
      </c>
      <c r="B931" s="1" t="n">
        <v>44963</v>
      </c>
      <c r="C931" s="1" t="n">
        <v>46047</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40097-2025</t>
        </is>
      </c>
      <c r="B932" s="1" t="n">
        <v>45894.48322916667</v>
      </c>
      <c r="C932" s="1" t="n">
        <v>46047</v>
      </c>
      <c r="D932" t="inlineStr">
        <is>
          <t>STOCKHOLMS LÄN</t>
        </is>
      </c>
      <c r="E932" t="inlineStr">
        <is>
          <t>NORRTÄLJE</t>
        </is>
      </c>
      <c r="G932" t="n">
        <v>3</v>
      </c>
      <c r="H932" t="n">
        <v>0</v>
      </c>
      <c r="I932" t="n">
        <v>0</v>
      </c>
      <c r="J932" t="n">
        <v>0</v>
      </c>
      <c r="K932" t="n">
        <v>0</v>
      </c>
      <c r="L932" t="n">
        <v>0</v>
      </c>
      <c r="M932" t="n">
        <v>0</v>
      </c>
      <c r="N932" t="n">
        <v>0</v>
      </c>
      <c r="O932" t="n">
        <v>0</v>
      </c>
      <c r="P932" t="n">
        <v>0</v>
      </c>
      <c r="Q932" t="n">
        <v>0</v>
      </c>
      <c r="R932" s="2" t="inlineStr"/>
    </row>
    <row r="933" ht="15" customHeight="1">
      <c r="A933" t="inlineStr">
        <is>
          <t>A 40829-2025</t>
        </is>
      </c>
      <c r="B933" s="1" t="n">
        <v>45897.50802083333</v>
      </c>
      <c r="C933" s="1" t="n">
        <v>46047</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40837-2025</t>
        </is>
      </c>
      <c r="B934" s="1" t="n">
        <v>45897.51328703704</v>
      </c>
      <c r="C934" s="1" t="n">
        <v>46047</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40529-2025</t>
        </is>
      </c>
      <c r="B935" s="1" t="n">
        <v>45896.38466435186</v>
      </c>
      <c r="C935" s="1" t="n">
        <v>46047</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40831-2025</t>
        </is>
      </c>
      <c r="B936" s="1" t="n">
        <v>45897.51077546296</v>
      </c>
      <c r="C936" s="1" t="n">
        <v>46047</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38985-2022</t>
        </is>
      </c>
      <c r="B937" s="1" t="n">
        <v>44816</v>
      </c>
      <c r="C937" s="1" t="n">
        <v>46047</v>
      </c>
      <c r="D937" t="inlineStr">
        <is>
          <t>STOCKHOLMS LÄN</t>
        </is>
      </c>
      <c r="E937" t="inlineStr">
        <is>
          <t>NORRTÄLJE</t>
        </is>
      </c>
      <c r="G937" t="n">
        <v>10.1</v>
      </c>
      <c r="H937" t="n">
        <v>0</v>
      </c>
      <c r="I937" t="n">
        <v>0</v>
      </c>
      <c r="J937" t="n">
        <v>0</v>
      </c>
      <c r="K937" t="n">
        <v>0</v>
      </c>
      <c r="L937" t="n">
        <v>0</v>
      </c>
      <c r="M937" t="n">
        <v>0</v>
      </c>
      <c r="N937" t="n">
        <v>0</v>
      </c>
      <c r="O937" t="n">
        <v>0</v>
      </c>
      <c r="P937" t="n">
        <v>0</v>
      </c>
      <c r="Q937" t="n">
        <v>0</v>
      </c>
      <c r="R937" s="2" t="inlineStr"/>
    </row>
    <row r="938" ht="15" customHeight="1">
      <c r="A938" t="inlineStr">
        <is>
          <t>A 41158-2025</t>
        </is>
      </c>
      <c r="B938" s="1" t="n">
        <v>45898.5315625</v>
      </c>
      <c r="C938" s="1" t="n">
        <v>46047</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5665-2025</t>
        </is>
      </c>
      <c r="B939" s="1" t="n">
        <v>45693</v>
      </c>
      <c r="C939" s="1" t="n">
        <v>46047</v>
      </c>
      <c r="D939" t="inlineStr">
        <is>
          <t>STOCKHOLMS LÄN</t>
        </is>
      </c>
      <c r="E939" t="inlineStr">
        <is>
          <t>NORRTÄLJE</t>
        </is>
      </c>
      <c r="G939" t="n">
        <v>4</v>
      </c>
      <c r="H939" t="n">
        <v>0</v>
      </c>
      <c r="I939" t="n">
        <v>0</v>
      </c>
      <c r="J939" t="n">
        <v>0</v>
      </c>
      <c r="K939" t="n">
        <v>0</v>
      </c>
      <c r="L939" t="n">
        <v>0</v>
      </c>
      <c r="M939" t="n">
        <v>0</v>
      </c>
      <c r="N939" t="n">
        <v>0</v>
      </c>
      <c r="O939" t="n">
        <v>0</v>
      </c>
      <c r="P939" t="n">
        <v>0</v>
      </c>
      <c r="Q939" t="n">
        <v>0</v>
      </c>
      <c r="R939" s="2" t="inlineStr"/>
    </row>
    <row r="940" ht="15" customHeight="1">
      <c r="A940" t="inlineStr">
        <is>
          <t>A 3426-2025</t>
        </is>
      </c>
      <c r="B940" s="1" t="n">
        <v>45680.42665509259</v>
      </c>
      <c r="C940" s="1" t="n">
        <v>46047</v>
      </c>
      <c r="D940" t="inlineStr">
        <is>
          <t>STOCKHOLMS LÄN</t>
        </is>
      </c>
      <c r="E940" t="inlineStr">
        <is>
          <t>NORRTÄLJE</t>
        </is>
      </c>
      <c r="G940" t="n">
        <v>3.2</v>
      </c>
      <c r="H940" t="n">
        <v>0</v>
      </c>
      <c r="I940" t="n">
        <v>0</v>
      </c>
      <c r="J940" t="n">
        <v>0</v>
      </c>
      <c r="K940" t="n">
        <v>0</v>
      </c>
      <c r="L940" t="n">
        <v>0</v>
      </c>
      <c r="M940" t="n">
        <v>0</v>
      </c>
      <c r="N940" t="n">
        <v>0</v>
      </c>
      <c r="O940" t="n">
        <v>0</v>
      </c>
      <c r="P940" t="n">
        <v>0</v>
      </c>
      <c r="Q940" t="n">
        <v>0</v>
      </c>
      <c r="R940" s="2" t="inlineStr"/>
    </row>
    <row r="941" ht="15" customHeight="1">
      <c r="A941" t="inlineStr">
        <is>
          <t>A 15733-2025</t>
        </is>
      </c>
      <c r="B941" s="1" t="n">
        <v>45748</v>
      </c>
      <c r="C941" s="1" t="n">
        <v>46047</v>
      </c>
      <c r="D941" t="inlineStr">
        <is>
          <t>STOCKHOLMS LÄN</t>
        </is>
      </c>
      <c r="E941" t="inlineStr">
        <is>
          <t>NORRTÄLJE</t>
        </is>
      </c>
      <c r="G941" t="n">
        <v>13.3</v>
      </c>
      <c r="H941" t="n">
        <v>0</v>
      </c>
      <c r="I941" t="n">
        <v>0</v>
      </c>
      <c r="J941" t="n">
        <v>0</v>
      </c>
      <c r="K941" t="n">
        <v>0</v>
      </c>
      <c r="L941" t="n">
        <v>0</v>
      </c>
      <c r="M941" t="n">
        <v>0</v>
      </c>
      <c r="N941" t="n">
        <v>0</v>
      </c>
      <c r="O941" t="n">
        <v>0</v>
      </c>
      <c r="P941" t="n">
        <v>0</v>
      </c>
      <c r="Q941" t="n">
        <v>0</v>
      </c>
      <c r="R941" s="2" t="inlineStr"/>
    </row>
    <row r="942" ht="15" customHeight="1">
      <c r="A942" t="inlineStr">
        <is>
          <t>A 19058-2024</t>
        </is>
      </c>
      <c r="B942" s="1" t="n">
        <v>45427.89121527778</v>
      </c>
      <c r="C942" s="1" t="n">
        <v>46047</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41053-2025</t>
        </is>
      </c>
      <c r="B943" s="1" t="n">
        <v>45898.40480324074</v>
      </c>
      <c r="C943" s="1" t="n">
        <v>46047</v>
      </c>
      <c r="D943" t="inlineStr">
        <is>
          <t>STOCKHOLMS LÄN</t>
        </is>
      </c>
      <c r="E943" t="inlineStr">
        <is>
          <t>NORRTÄLJE</t>
        </is>
      </c>
      <c r="F943" t="inlineStr">
        <is>
          <t>Holmen skog AB</t>
        </is>
      </c>
      <c r="G943" t="n">
        <v>2.5</v>
      </c>
      <c r="H943" t="n">
        <v>0</v>
      </c>
      <c r="I943" t="n">
        <v>0</v>
      </c>
      <c r="J943" t="n">
        <v>0</v>
      </c>
      <c r="K943" t="n">
        <v>0</v>
      </c>
      <c r="L943" t="n">
        <v>0</v>
      </c>
      <c r="M943" t="n">
        <v>0</v>
      </c>
      <c r="N943" t="n">
        <v>0</v>
      </c>
      <c r="O943" t="n">
        <v>0</v>
      </c>
      <c r="P943" t="n">
        <v>0</v>
      </c>
      <c r="Q943" t="n">
        <v>0</v>
      </c>
      <c r="R943" s="2" t="inlineStr"/>
    </row>
    <row r="944" ht="15" customHeight="1">
      <c r="A944" t="inlineStr">
        <is>
          <t>A 41275-2025</t>
        </is>
      </c>
      <c r="B944" s="1" t="n">
        <v>45898.62625</v>
      </c>
      <c r="C944" s="1" t="n">
        <v>46047</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41272-2025</t>
        </is>
      </c>
      <c r="B945" s="1" t="n">
        <v>45898.62373842593</v>
      </c>
      <c r="C945" s="1" t="n">
        <v>46047</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58530-2024</t>
        </is>
      </c>
      <c r="B946" s="1" t="n">
        <v>45635.44788194444</v>
      </c>
      <c r="C946" s="1" t="n">
        <v>46047</v>
      </c>
      <c r="D946" t="inlineStr">
        <is>
          <t>STOCKHOLMS LÄN</t>
        </is>
      </c>
      <c r="E946" t="inlineStr">
        <is>
          <t>NORRTÄLJE</t>
        </is>
      </c>
      <c r="G946" t="n">
        <v>4.5</v>
      </c>
      <c r="H946" t="n">
        <v>0</v>
      </c>
      <c r="I946" t="n">
        <v>0</v>
      </c>
      <c r="J946" t="n">
        <v>0</v>
      </c>
      <c r="K946" t="n">
        <v>0</v>
      </c>
      <c r="L946" t="n">
        <v>0</v>
      </c>
      <c r="M946" t="n">
        <v>0</v>
      </c>
      <c r="N946" t="n">
        <v>0</v>
      </c>
      <c r="O946" t="n">
        <v>0</v>
      </c>
      <c r="P946" t="n">
        <v>0</v>
      </c>
      <c r="Q946" t="n">
        <v>0</v>
      </c>
      <c r="R946" s="2" t="inlineStr"/>
    </row>
    <row r="947" ht="15" customHeight="1">
      <c r="A947" t="inlineStr">
        <is>
          <t>A 22421-2021</t>
        </is>
      </c>
      <c r="B947" s="1" t="n">
        <v>44326</v>
      </c>
      <c r="C947" s="1" t="n">
        <v>46047</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41301-2025</t>
        </is>
      </c>
      <c r="B948" s="1" t="n">
        <v>45898.68826388889</v>
      </c>
      <c r="C948" s="1" t="n">
        <v>46047</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41174-2025</t>
        </is>
      </c>
      <c r="B949" s="1" t="n">
        <v>45898.54921296296</v>
      </c>
      <c r="C949" s="1" t="n">
        <v>46047</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41030-2025</t>
        </is>
      </c>
      <c r="B950" s="1" t="n">
        <v>45898.37636574074</v>
      </c>
      <c r="C950" s="1" t="n">
        <v>46047</v>
      </c>
      <c r="D950" t="inlineStr">
        <is>
          <t>STOCKHOLMS LÄN</t>
        </is>
      </c>
      <c r="E950" t="inlineStr">
        <is>
          <t>NORRTÄLJE</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40761-2024</t>
        </is>
      </c>
      <c r="B951" s="1" t="n">
        <v>45558.46283564815</v>
      </c>
      <c r="C951" s="1" t="n">
        <v>46047</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41036-2025</t>
        </is>
      </c>
      <c r="B952" s="1" t="n">
        <v>45898.38552083333</v>
      </c>
      <c r="C952" s="1" t="n">
        <v>46047</v>
      </c>
      <c r="D952" t="inlineStr">
        <is>
          <t>STOCKHOLMS LÄN</t>
        </is>
      </c>
      <c r="E952" t="inlineStr">
        <is>
          <t>NORRTÄLJE</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41106-2025</t>
        </is>
      </c>
      <c r="B953" s="1" t="n">
        <v>45898.45636574074</v>
      </c>
      <c r="C953" s="1" t="n">
        <v>46047</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41110-2025</t>
        </is>
      </c>
      <c r="B954" s="1" t="n">
        <v>45898.45976851852</v>
      </c>
      <c r="C954" s="1" t="n">
        <v>46047</v>
      </c>
      <c r="D954" t="inlineStr">
        <is>
          <t>STOCKHOLMS LÄN</t>
        </is>
      </c>
      <c r="E954" t="inlineStr">
        <is>
          <t>NORRTÄLJE</t>
        </is>
      </c>
      <c r="F954" t="inlineStr">
        <is>
          <t>Holmen skog AB</t>
        </is>
      </c>
      <c r="G954" t="n">
        <v>6.7</v>
      </c>
      <c r="H954" t="n">
        <v>0</v>
      </c>
      <c r="I954" t="n">
        <v>0</v>
      </c>
      <c r="J954" t="n">
        <v>0</v>
      </c>
      <c r="K954" t="n">
        <v>0</v>
      </c>
      <c r="L954" t="n">
        <v>0</v>
      </c>
      <c r="M954" t="n">
        <v>0</v>
      </c>
      <c r="N954" t="n">
        <v>0</v>
      </c>
      <c r="O954" t="n">
        <v>0</v>
      </c>
      <c r="P954" t="n">
        <v>0</v>
      </c>
      <c r="Q954" t="n">
        <v>0</v>
      </c>
      <c r="R954" s="2" t="inlineStr"/>
    </row>
    <row r="955" ht="15" customHeight="1">
      <c r="A955" t="inlineStr">
        <is>
          <t>A 41259-2025</t>
        </is>
      </c>
      <c r="B955" s="1" t="n">
        <v>45898.61054398148</v>
      </c>
      <c r="C955" s="1" t="n">
        <v>46047</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10511-2025</t>
        </is>
      </c>
      <c r="B956" s="1" t="n">
        <v>45721.40780092592</v>
      </c>
      <c r="C956" s="1" t="n">
        <v>46047</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19057-2024</t>
        </is>
      </c>
      <c r="B957" s="1" t="n">
        <v>45427.88731481481</v>
      </c>
      <c r="C957" s="1" t="n">
        <v>46047</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4553-2023</t>
        </is>
      </c>
      <c r="B958" s="1" t="n">
        <v>44956.65920138889</v>
      </c>
      <c r="C958" s="1" t="n">
        <v>46047</v>
      </c>
      <c r="D958" t="inlineStr">
        <is>
          <t>STOCKHOLMS LÄN</t>
        </is>
      </c>
      <c r="E958" t="inlineStr">
        <is>
          <t>NORRTÄLJE</t>
        </is>
      </c>
      <c r="G958" t="n">
        <v>7.5</v>
      </c>
      <c r="H958" t="n">
        <v>0</v>
      </c>
      <c r="I958" t="n">
        <v>0</v>
      </c>
      <c r="J958" t="n">
        <v>0</v>
      </c>
      <c r="K958" t="n">
        <v>0</v>
      </c>
      <c r="L958" t="n">
        <v>0</v>
      </c>
      <c r="M958" t="n">
        <v>0</v>
      </c>
      <c r="N958" t="n">
        <v>0</v>
      </c>
      <c r="O958" t="n">
        <v>0</v>
      </c>
      <c r="P958" t="n">
        <v>0</v>
      </c>
      <c r="Q958" t="n">
        <v>0</v>
      </c>
      <c r="R958" s="2" t="inlineStr"/>
    </row>
    <row r="959" ht="15" customHeight="1">
      <c r="A959" t="inlineStr">
        <is>
          <t>A 4593-2023</t>
        </is>
      </c>
      <c r="B959" s="1" t="n">
        <v>44956</v>
      </c>
      <c r="C959" s="1" t="n">
        <v>46047</v>
      </c>
      <c r="D959" t="inlineStr">
        <is>
          <t>STOCKHOLMS LÄN</t>
        </is>
      </c>
      <c r="E959" t="inlineStr">
        <is>
          <t>NORRTÄLJE</t>
        </is>
      </c>
      <c r="G959" t="n">
        <v>0.4</v>
      </c>
      <c r="H959" t="n">
        <v>0</v>
      </c>
      <c r="I959" t="n">
        <v>0</v>
      </c>
      <c r="J959" t="n">
        <v>0</v>
      </c>
      <c r="K959" t="n">
        <v>0</v>
      </c>
      <c r="L959" t="n">
        <v>0</v>
      </c>
      <c r="M959" t="n">
        <v>0</v>
      </c>
      <c r="N959" t="n">
        <v>0</v>
      </c>
      <c r="O959" t="n">
        <v>0</v>
      </c>
      <c r="P959" t="n">
        <v>0</v>
      </c>
      <c r="Q959" t="n">
        <v>0</v>
      </c>
      <c r="R959" s="2" t="inlineStr"/>
    </row>
    <row r="960" ht="15" customHeight="1">
      <c r="A960" t="inlineStr">
        <is>
          <t>A 13171-2025</t>
        </is>
      </c>
      <c r="B960" s="1" t="n">
        <v>45735.36594907408</v>
      </c>
      <c r="C960" s="1" t="n">
        <v>46047</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41966-2025</t>
        </is>
      </c>
      <c r="B961" s="1" t="n">
        <v>45903.47456018518</v>
      </c>
      <c r="C961" s="1" t="n">
        <v>46047</v>
      </c>
      <c r="D961" t="inlineStr">
        <is>
          <t>STOCKHOLMS LÄN</t>
        </is>
      </c>
      <c r="E961" t="inlineStr">
        <is>
          <t>NORRTÄLJE</t>
        </is>
      </c>
      <c r="F961" t="inlineStr">
        <is>
          <t>Sveaskog</t>
        </is>
      </c>
      <c r="G961" t="n">
        <v>3.7</v>
      </c>
      <c r="H961" t="n">
        <v>0</v>
      </c>
      <c r="I961" t="n">
        <v>0</v>
      </c>
      <c r="J961" t="n">
        <v>0</v>
      </c>
      <c r="K961" t="n">
        <v>0</v>
      </c>
      <c r="L961" t="n">
        <v>0</v>
      </c>
      <c r="M961" t="n">
        <v>0</v>
      </c>
      <c r="N961" t="n">
        <v>0</v>
      </c>
      <c r="O961" t="n">
        <v>0</v>
      </c>
      <c r="P961" t="n">
        <v>0</v>
      </c>
      <c r="Q961" t="n">
        <v>0</v>
      </c>
      <c r="R961" s="2" t="inlineStr"/>
    </row>
    <row r="962" ht="15" customHeight="1">
      <c r="A962" t="inlineStr">
        <is>
          <t>A 42038-2025</t>
        </is>
      </c>
      <c r="B962" s="1" t="n">
        <v>45903.61431712963</v>
      </c>
      <c r="C962" s="1" t="n">
        <v>46047</v>
      </c>
      <c r="D962" t="inlineStr">
        <is>
          <t>STOCKHOLMS LÄN</t>
        </is>
      </c>
      <c r="E962" t="inlineStr">
        <is>
          <t>NORRTÄLJE</t>
        </is>
      </c>
      <c r="F962" t="inlineStr">
        <is>
          <t>Sveaskog</t>
        </is>
      </c>
      <c r="G962" t="n">
        <v>6.4</v>
      </c>
      <c r="H962" t="n">
        <v>0</v>
      </c>
      <c r="I962" t="n">
        <v>0</v>
      </c>
      <c r="J962" t="n">
        <v>0</v>
      </c>
      <c r="K962" t="n">
        <v>0</v>
      </c>
      <c r="L962" t="n">
        <v>0</v>
      </c>
      <c r="M962" t="n">
        <v>0</v>
      </c>
      <c r="N962" t="n">
        <v>0</v>
      </c>
      <c r="O962" t="n">
        <v>0</v>
      </c>
      <c r="P962" t="n">
        <v>0</v>
      </c>
      <c r="Q962" t="n">
        <v>0</v>
      </c>
      <c r="R962" s="2" t="inlineStr"/>
    </row>
    <row r="963" ht="15" customHeight="1">
      <c r="A963" t="inlineStr">
        <is>
          <t>A 51978-2023</t>
        </is>
      </c>
      <c r="B963" s="1" t="n">
        <v>45223</v>
      </c>
      <c r="C963" s="1" t="n">
        <v>46047</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18092-2022</t>
        </is>
      </c>
      <c r="B964" s="1" t="n">
        <v>44684</v>
      </c>
      <c r="C964" s="1" t="n">
        <v>46047</v>
      </c>
      <c r="D964" t="inlineStr">
        <is>
          <t>STOCKHOLMS LÄN</t>
        </is>
      </c>
      <c r="E964" t="inlineStr">
        <is>
          <t>NORRTÄLJE</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59310-2023</t>
        </is>
      </c>
      <c r="B965" s="1" t="n">
        <v>45253.61146990741</v>
      </c>
      <c r="C965" s="1" t="n">
        <v>46047</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41964-2025</t>
        </is>
      </c>
      <c r="B966" s="1" t="n">
        <v>45903.47270833333</v>
      </c>
      <c r="C966" s="1" t="n">
        <v>46047</v>
      </c>
      <c r="D966" t="inlineStr">
        <is>
          <t>STOCKHOLMS LÄN</t>
        </is>
      </c>
      <c r="E966" t="inlineStr">
        <is>
          <t>NORRTÄLJE</t>
        </is>
      </c>
      <c r="F966" t="inlineStr">
        <is>
          <t>Sveaskog</t>
        </is>
      </c>
      <c r="G966" t="n">
        <v>4</v>
      </c>
      <c r="H966" t="n">
        <v>0</v>
      </c>
      <c r="I966" t="n">
        <v>0</v>
      </c>
      <c r="J966" t="n">
        <v>0</v>
      </c>
      <c r="K966" t="n">
        <v>0</v>
      </c>
      <c r="L966" t="n">
        <v>0</v>
      </c>
      <c r="M966" t="n">
        <v>0</v>
      </c>
      <c r="N966" t="n">
        <v>0</v>
      </c>
      <c r="O966" t="n">
        <v>0</v>
      </c>
      <c r="P966" t="n">
        <v>0</v>
      </c>
      <c r="Q966" t="n">
        <v>0</v>
      </c>
      <c r="R966" s="2" t="inlineStr"/>
    </row>
    <row r="967" ht="15" customHeight="1">
      <c r="A967" t="inlineStr">
        <is>
          <t>A 9329-2023</t>
        </is>
      </c>
      <c r="B967" s="1" t="n">
        <v>44980</v>
      </c>
      <c r="C967" s="1" t="n">
        <v>46047</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59878-2024</t>
        </is>
      </c>
      <c r="B968" s="1" t="n">
        <v>45640.60240740741</v>
      </c>
      <c r="C968" s="1" t="n">
        <v>46047</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41335-2023</t>
        </is>
      </c>
      <c r="B969" s="1" t="n">
        <v>45174.68702546296</v>
      </c>
      <c r="C969" s="1" t="n">
        <v>46047</v>
      </c>
      <c r="D969" t="inlineStr">
        <is>
          <t>STOCKHOLMS LÄN</t>
        </is>
      </c>
      <c r="E969" t="inlineStr">
        <is>
          <t>NORRTÄLJE</t>
        </is>
      </c>
      <c r="F969" t="inlineStr">
        <is>
          <t>Holmen skog AB</t>
        </is>
      </c>
      <c r="G969" t="n">
        <v>4.4</v>
      </c>
      <c r="H969" t="n">
        <v>0</v>
      </c>
      <c r="I969" t="n">
        <v>0</v>
      </c>
      <c r="J969" t="n">
        <v>0</v>
      </c>
      <c r="K969" t="n">
        <v>0</v>
      </c>
      <c r="L969" t="n">
        <v>0</v>
      </c>
      <c r="M969" t="n">
        <v>0</v>
      </c>
      <c r="N969" t="n">
        <v>0</v>
      </c>
      <c r="O969" t="n">
        <v>0</v>
      </c>
      <c r="P969" t="n">
        <v>0</v>
      </c>
      <c r="Q969" t="n">
        <v>0</v>
      </c>
      <c r="R969" s="2" t="inlineStr"/>
    </row>
    <row r="970" ht="15" customHeight="1">
      <c r="A970" t="inlineStr">
        <is>
          <t>A 33040-2021</t>
        </is>
      </c>
      <c r="B970" s="1" t="n">
        <v>44376.50728009259</v>
      </c>
      <c r="C970" s="1" t="n">
        <v>46047</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33053-2021</t>
        </is>
      </c>
      <c r="B971" s="1" t="n">
        <v>44376</v>
      </c>
      <c r="C971" s="1" t="n">
        <v>46047</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30699-2025</t>
        </is>
      </c>
      <c r="B972" s="1" t="n">
        <v>45831.54618055555</v>
      </c>
      <c r="C972" s="1" t="n">
        <v>46047</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43150-2023</t>
        </is>
      </c>
      <c r="B973" s="1" t="n">
        <v>45183</v>
      </c>
      <c r="C973" s="1" t="n">
        <v>46047</v>
      </c>
      <c r="D973" t="inlineStr">
        <is>
          <t>STOCKHOLMS LÄN</t>
        </is>
      </c>
      <c r="E973" t="inlineStr">
        <is>
          <t>NORRTÄLJE</t>
        </is>
      </c>
      <c r="G973" t="n">
        <v>2.4</v>
      </c>
      <c r="H973" t="n">
        <v>0</v>
      </c>
      <c r="I973" t="n">
        <v>0</v>
      </c>
      <c r="J973" t="n">
        <v>0</v>
      </c>
      <c r="K973" t="n">
        <v>0</v>
      </c>
      <c r="L973" t="n">
        <v>0</v>
      </c>
      <c r="M973" t="n">
        <v>0</v>
      </c>
      <c r="N973" t="n">
        <v>0</v>
      </c>
      <c r="O973" t="n">
        <v>0</v>
      </c>
      <c r="P973" t="n">
        <v>0</v>
      </c>
      <c r="Q973" t="n">
        <v>0</v>
      </c>
      <c r="R973" s="2" t="inlineStr"/>
    </row>
    <row r="974" ht="15" customHeight="1">
      <c r="A974" t="inlineStr">
        <is>
          <t>A 5950-2021</t>
        </is>
      </c>
      <c r="B974" s="1" t="n">
        <v>44231</v>
      </c>
      <c r="C974" s="1" t="n">
        <v>46047</v>
      </c>
      <c r="D974" t="inlineStr">
        <is>
          <t>STOCKHOLMS LÄN</t>
        </is>
      </c>
      <c r="E974" t="inlineStr">
        <is>
          <t>NORRTÄLJE</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54259-2023</t>
        </is>
      </c>
      <c r="B975" s="1" t="n">
        <v>45232</v>
      </c>
      <c r="C975" s="1" t="n">
        <v>46047</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60822-2023</t>
        </is>
      </c>
      <c r="B976" s="1" t="n">
        <v>45259</v>
      </c>
      <c r="C976" s="1" t="n">
        <v>46047</v>
      </c>
      <c r="D976" t="inlineStr">
        <is>
          <t>STOCKHOLMS LÄN</t>
        </is>
      </c>
      <c r="E976" t="inlineStr">
        <is>
          <t>NORRTÄLJE</t>
        </is>
      </c>
      <c r="G976" t="n">
        <v>5.2</v>
      </c>
      <c r="H976" t="n">
        <v>0</v>
      </c>
      <c r="I976" t="n">
        <v>0</v>
      </c>
      <c r="J976" t="n">
        <v>0</v>
      </c>
      <c r="K976" t="n">
        <v>0</v>
      </c>
      <c r="L976" t="n">
        <v>0</v>
      </c>
      <c r="M976" t="n">
        <v>0</v>
      </c>
      <c r="N976" t="n">
        <v>0</v>
      </c>
      <c r="O976" t="n">
        <v>0</v>
      </c>
      <c r="P976" t="n">
        <v>0</v>
      </c>
      <c r="Q976" t="n">
        <v>0</v>
      </c>
      <c r="R976" s="2" t="inlineStr"/>
    </row>
    <row r="977" ht="15" customHeight="1">
      <c r="A977" t="inlineStr">
        <is>
          <t>A 20011-2025</t>
        </is>
      </c>
      <c r="B977" s="1" t="n">
        <v>45772.29622685185</v>
      </c>
      <c r="C977" s="1" t="n">
        <v>46047</v>
      </c>
      <c r="D977" t="inlineStr">
        <is>
          <t>STOCKHOLMS LÄN</t>
        </is>
      </c>
      <c r="E977" t="inlineStr">
        <is>
          <t>NORRTÄLJE</t>
        </is>
      </c>
      <c r="G977" t="n">
        <v>3.5</v>
      </c>
      <c r="H977" t="n">
        <v>0</v>
      </c>
      <c r="I977" t="n">
        <v>0</v>
      </c>
      <c r="J977" t="n">
        <v>0</v>
      </c>
      <c r="K977" t="n">
        <v>0</v>
      </c>
      <c r="L977" t="n">
        <v>0</v>
      </c>
      <c r="M977" t="n">
        <v>0</v>
      </c>
      <c r="N977" t="n">
        <v>0</v>
      </c>
      <c r="O977" t="n">
        <v>0</v>
      </c>
      <c r="P977" t="n">
        <v>0</v>
      </c>
      <c r="Q977" t="n">
        <v>0</v>
      </c>
      <c r="R977" s="2" t="inlineStr"/>
    </row>
    <row r="978" ht="15" customHeight="1">
      <c r="A978" t="inlineStr">
        <is>
          <t>A 42856-2025</t>
        </is>
      </c>
      <c r="B978" s="1" t="n">
        <v>45908</v>
      </c>
      <c r="C978" s="1" t="n">
        <v>46047</v>
      </c>
      <c r="D978" t="inlineStr">
        <is>
          <t>STOCKHOLMS LÄN</t>
        </is>
      </c>
      <c r="E978" t="inlineStr">
        <is>
          <t>NORRTÄLJE</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12031-2021</t>
        </is>
      </c>
      <c r="B979" s="1" t="n">
        <v>44266</v>
      </c>
      <c r="C979" s="1" t="n">
        <v>46047</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27381-2024</t>
        </is>
      </c>
      <c r="B980" s="1" t="n">
        <v>45473.94501157408</v>
      </c>
      <c r="C980" s="1" t="n">
        <v>46047</v>
      </c>
      <c r="D980" t="inlineStr">
        <is>
          <t>STOCKHOLMS LÄN</t>
        </is>
      </c>
      <c r="E980" t="inlineStr">
        <is>
          <t>NORRTÄLJE</t>
        </is>
      </c>
      <c r="G980" t="n">
        <v>4.5</v>
      </c>
      <c r="H980" t="n">
        <v>0</v>
      </c>
      <c r="I980" t="n">
        <v>0</v>
      </c>
      <c r="J980" t="n">
        <v>0</v>
      </c>
      <c r="K980" t="n">
        <v>0</v>
      </c>
      <c r="L980" t="n">
        <v>0</v>
      </c>
      <c r="M980" t="n">
        <v>0</v>
      </c>
      <c r="N980" t="n">
        <v>0</v>
      </c>
      <c r="O980" t="n">
        <v>0</v>
      </c>
      <c r="P980" t="n">
        <v>0</v>
      </c>
      <c r="Q980" t="n">
        <v>0</v>
      </c>
      <c r="R980" s="2" t="inlineStr"/>
    </row>
    <row r="981" ht="15" customHeight="1">
      <c r="A981" t="inlineStr">
        <is>
          <t>A 24835-2025</t>
        </is>
      </c>
      <c r="B981" s="1" t="n">
        <v>45799</v>
      </c>
      <c r="C981" s="1" t="n">
        <v>46047</v>
      </c>
      <c r="D981" t="inlineStr">
        <is>
          <t>STOCKHOLMS LÄN</t>
        </is>
      </c>
      <c r="E981" t="inlineStr">
        <is>
          <t>NORRTÄLJE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23265-2023</t>
        </is>
      </c>
      <c r="B982" s="1" t="n">
        <v>45075.90703703704</v>
      </c>
      <c r="C982" s="1" t="n">
        <v>46047</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26117-2024</t>
        </is>
      </c>
      <c r="B983" s="1" t="n">
        <v>45468.45877314815</v>
      </c>
      <c r="C983" s="1" t="n">
        <v>46047</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43169-2025</t>
        </is>
      </c>
      <c r="B984" s="1" t="n">
        <v>45910</v>
      </c>
      <c r="C984" s="1" t="n">
        <v>46047</v>
      </c>
      <c r="D984" t="inlineStr">
        <is>
          <t>STOCKHOLMS LÄN</t>
        </is>
      </c>
      <c r="E984" t="inlineStr">
        <is>
          <t>NORRTÄLJE</t>
        </is>
      </c>
      <c r="G984" t="n">
        <v>6.9</v>
      </c>
      <c r="H984" t="n">
        <v>0</v>
      </c>
      <c r="I984" t="n">
        <v>0</v>
      </c>
      <c r="J984" t="n">
        <v>0</v>
      </c>
      <c r="K984" t="n">
        <v>0</v>
      </c>
      <c r="L984" t="n">
        <v>0</v>
      </c>
      <c r="M984" t="n">
        <v>0</v>
      </c>
      <c r="N984" t="n">
        <v>0</v>
      </c>
      <c r="O984" t="n">
        <v>0</v>
      </c>
      <c r="P984" t="n">
        <v>0</v>
      </c>
      <c r="Q984" t="n">
        <v>0</v>
      </c>
      <c r="R984" s="2" t="inlineStr"/>
    </row>
    <row r="985" ht="15" customHeight="1">
      <c r="A985" t="inlineStr">
        <is>
          <t>A 30719-2025</t>
        </is>
      </c>
      <c r="B985" s="1" t="n">
        <v>45831</v>
      </c>
      <c r="C985" s="1" t="n">
        <v>46047</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43269-2025</t>
        </is>
      </c>
      <c r="B986" s="1" t="n">
        <v>45910.5819212963</v>
      </c>
      <c r="C986" s="1" t="n">
        <v>46047</v>
      </c>
      <c r="D986" t="inlineStr">
        <is>
          <t>STOCKHOLMS LÄN</t>
        </is>
      </c>
      <c r="E986" t="inlineStr">
        <is>
          <t>NORRTÄLJE</t>
        </is>
      </c>
      <c r="G986" t="n">
        <v>3.7</v>
      </c>
      <c r="H986" t="n">
        <v>0</v>
      </c>
      <c r="I986" t="n">
        <v>0</v>
      </c>
      <c r="J986" t="n">
        <v>0</v>
      </c>
      <c r="K986" t="n">
        <v>0</v>
      </c>
      <c r="L986" t="n">
        <v>0</v>
      </c>
      <c r="M986" t="n">
        <v>0</v>
      </c>
      <c r="N986" t="n">
        <v>0</v>
      </c>
      <c r="O986" t="n">
        <v>0</v>
      </c>
      <c r="P986" t="n">
        <v>0</v>
      </c>
      <c r="Q986" t="n">
        <v>0</v>
      </c>
      <c r="R986" s="2" t="inlineStr"/>
    </row>
    <row r="987" ht="15" customHeight="1">
      <c r="A987" t="inlineStr">
        <is>
          <t>A 20336-2024</t>
        </is>
      </c>
      <c r="B987" s="1" t="n">
        <v>45435.43123842592</v>
      </c>
      <c r="C987" s="1" t="n">
        <v>46047</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1847-2023</t>
        </is>
      </c>
      <c r="B988" s="1" t="n">
        <v>44938</v>
      </c>
      <c r="C988" s="1" t="n">
        <v>46047</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43916-2025</t>
        </is>
      </c>
      <c r="B989" s="1" t="n">
        <v>45914.78884259259</v>
      </c>
      <c r="C989" s="1" t="n">
        <v>46047</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59721-2024</t>
        </is>
      </c>
      <c r="B990" s="1" t="n">
        <v>45639.47385416667</v>
      </c>
      <c r="C990" s="1" t="n">
        <v>46047</v>
      </c>
      <c r="D990" t="inlineStr">
        <is>
          <t>STOCKHOLMS LÄN</t>
        </is>
      </c>
      <c r="E990" t="inlineStr">
        <is>
          <t>NORRTÄLJE</t>
        </is>
      </c>
      <c r="G990" t="n">
        <v>4.6</v>
      </c>
      <c r="H990" t="n">
        <v>0</v>
      </c>
      <c r="I990" t="n">
        <v>0</v>
      </c>
      <c r="J990" t="n">
        <v>0</v>
      </c>
      <c r="K990" t="n">
        <v>0</v>
      </c>
      <c r="L990" t="n">
        <v>0</v>
      </c>
      <c r="M990" t="n">
        <v>0</v>
      </c>
      <c r="N990" t="n">
        <v>0</v>
      </c>
      <c r="O990" t="n">
        <v>0</v>
      </c>
      <c r="P990" t="n">
        <v>0</v>
      </c>
      <c r="Q990" t="n">
        <v>0</v>
      </c>
      <c r="R990" s="2" t="inlineStr"/>
    </row>
    <row r="991" ht="15" customHeight="1">
      <c r="A991" t="inlineStr">
        <is>
          <t>A 44354-2025</t>
        </is>
      </c>
      <c r="B991" s="1" t="n">
        <v>45916.44655092592</v>
      </c>
      <c r="C991" s="1" t="n">
        <v>46047</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37010-2022</t>
        </is>
      </c>
      <c r="B992" s="1" t="n">
        <v>44806.41576388889</v>
      </c>
      <c r="C992" s="1" t="n">
        <v>46047</v>
      </c>
      <c r="D992" t="inlineStr">
        <is>
          <t>STOCKHOLMS LÄN</t>
        </is>
      </c>
      <c r="E992" t="inlineStr">
        <is>
          <t>NORRTÄLJE</t>
        </is>
      </c>
      <c r="G992" t="n">
        <v>2.7</v>
      </c>
      <c r="H992" t="n">
        <v>0</v>
      </c>
      <c r="I992" t="n">
        <v>0</v>
      </c>
      <c r="J992" t="n">
        <v>0</v>
      </c>
      <c r="K992" t="n">
        <v>0</v>
      </c>
      <c r="L992" t="n">
        <v>0</v>
      </c>
      <c r="M992" t="n">
        <v>0</v>
      </c>
      <c r="N992" t="n">
        <v>0</v>
      </c>
      <c r="O992" t="n">
        <v>0</v>
      </c>
      <c r="P992" t="n">
        <v>0</v>
      </c>
      <c r="Q992" t="n">
        <v>0</v>
      </c>
      <c r="R992" s="2" t="inlineStr"/>
    </row>
    <row r="993" ht="15" customHeight="1">
      <c r="A993" t="inlineStr">
        <is>
          <t>A 44306-2025</t>
        </is>
      </c>
      <c r="B993" s="1" t="n">
        <v>45916.37736111111</v>
      </c>
      <c r="C993" s="1" t="n">
        <v>46047</v>
      </c>
      <c r="D993" t="inlineStr">
        <is>
          <t>STOCKHOLMS LÄN</t>
        </is>
      </c>
      <c r="E993" t="inlineStr">
        <is>
          <t>NORRTÄLJE</t>
        </is>
      </c>
      <c r="G993" t="n">
        <v>2.8</v>
      </c>
      <c r="H993" t="n">
        <v>0</v>
      </c>
      <c r="I993" t="n">
        <v>0</v>
      </c>
      <c r="J993" t="n">
        <v>0</v>
      </c>
      <c r="K993" t="n">
        <v>0</v>
      </c>
      <c r="L993" t="n">
        <v>0</v>
      </c>
      <c r="M993" t="n">
        <v>0</v>
      </c>
      <c r="N993" t="n">
        <v>0</v>
      </c>
      <c r="O993" t="n">
        <v>0</v>
      </c>
      <c r="P993" t="n">
        <v>0</v>
      </c>
      <c r="Q993" t="n">
        <v>0</v>
      </c>
      <c r="R993" s="2" t="inlineStr"/>
    </row>
    <row r="994" ht="15" customHeight="1">
      <c r="A994" t="inlineStr">
        <is>
          <t>A 44343-2025</t>
        </is>
      </c>
      <c r="B994" s="1" t="n">
        <v>45916.43378472222</v>
      </c>
      <c r="C994" s="1" t="n">
        <v>46047</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951-2023</t>
        </is>
      </c>
      <c r="B995" s="1" t="n">
        <v>44934</v>
      </c>
      <c r="C995" s="1" t="n">
        <v>46047</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44349-2025</t>
        </is>
      </c>
      <c r="B996" s="1" t="n">
        <v>45916.43929398148</v>
      </c>
      <c r="C996" s="1" t="n">
        <v>46047</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44311-2025</t>
        </is>
      </c>
      <c r="B997" s="1" t="n">
        <v>45916.38394675926</v>
      </c>
      <c r="C997" s="1" t="n">
        <v>46047</v>
      </c>
      <c r="D997" t="inlineStr">
        <is>
          <t>STOCKHOLMS LÄN</t>
        </is>
      </c>
      <c r="E997" t="inlineStr">
        <is>
          <t>NORRTÄLJE</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44333-2025</t>
        </is>
      </c>
      <c r="B998" s="1" t="n">
        <v>45916.42293981482</v>
      </c>
      <c r="C998" s="1" t="n">
        <v>46047</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5423-2023</t>
        </is>
      </c>
      <c r="B999" s="1" t="n">
        <v>44959.74533564815</v>
      </c>
      <c r="C999" s="1" t="n">
        <v>46047</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50182-2024</t>
        </is>
      </c>
      <c r="B1000" s="1" t="n">
        <v>45600.47275462963</v>
      </c>
      <c r="C1000" s="1" t="n">
        <v>46047</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12629-2024</t>
        </is>
      </c>
      <c r="B1001" s="1" t="n">
        <v>45383</v>
      </c>
      <c r="C1001" s="1" t="n">
        <v>46047</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35708-2022</t>
        </is>
      </c>
      <c r="B1002" s="1" t="n">
        <v>44799.65013888889</v>
      </c>
      <c r="C1002" s="1" t="n">
        <v>46047</v>
      </c>
      <c r="D1002" t="inlineStr">
        <is>
          <t>STOCKHOLMS LÄN</t>
        </is>
      </c>
      <c r="E1002" t="inlineStr">
        <is>
          <t>NORRTÄLJE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44937-2025</t>
        </is>
      </c>
      <c r="B1003" s="1" t="n">
        <v>45918</v>
      </c>
      <c r="C1003" s="1" t="n">
        <v>46047</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45220-2024</t>
        </is>
      </c>
      <c r="B1004" s="1" t="n">
        <v>45575</v>
      </c>
      <c r="C1004" s="1" t="n">
        <v>46047</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21731-2023</t>
        </is>
      </c>
      <c r="B1005" s="1" t="n">
        <v>45063</v>
      </c>
      <c r="C1005" s="1" t="n">
        <v>46047</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23266-2023</t>
        </is>
      </c>
      <c r="B1006" s="1" t="n">
        <v>45075.90817129629</v>
      </c>
      <c r="C1006" s="1" t="n">
        <v>46047</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47521-2024</t>
        </is>
      </c>
      <c r="B1007" s="1" t="n">
        <v>45587.62565972222</v>
      </c>
      <c r="C1007" s="1" t="n">
        <v>46047</v>
      </c>
      <c r="D1007" t="inlineStr">
        <is>
          <t>STOCKHOLMS LÄN</t>
        </is>
      </c>
      <c r="E1007" t="inlineStr">
        <is>
          <t>NORRTÄLJE</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58260-2023</t>
        </is>
      </c>
      <c r="B1008" s="1" t="n">
        <v>45245</v>
      </c>
      <c r="C1008" s="1" t="n">
        <v>46047</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58261-2023</t>
        </is>
      </c>
      <c r="B1009" s="1" t="n">
        <v>45245</v>
      </c>
      <c r="C1009" s="1" t="n">
        <v>46047</v>
      </c>
      <c r="D1009" t="inlineStr">
        <is>
          <t>STOCKHOLMS LÄN</t>
        </is>
      </c>
      <c r="E1009" t="inlineStr">
        <is>
          <t>NORRTÄLJE</t>
        </is>
      </c>
      <c r="G1009" t="n">
        <v>53.5</v>
      </c>
      <c r="H1009" t="n">
        <v>0</v>
      </c>
      <c r="I1009" t="n">
        <v>0</v>
      </c>
      <c r="J1009" t="n">
        <v>0</v>
      </c>
      <c r="K1009" t="n">
        <v>0</v>
      </c>
      <c r="L1009" t="n">
        <v>0</v>
      </c>
      <c r="M1009" t="n">
        <v>0</v>
      </c>
      <c r="N1009" t="n">
        <v>0</v>
      </c>
      <c r="O1009" t="n">
        <v>0</v>
      </c>
      <c r="P1009" t="n">
        <v>0</v>
      </c>
      <c r="Q1009" t="n">
        <v>0</v>
      </c>
      <c r="R1009" s="2" t="inlineStr"/>
    </row>
    <row r="1010" ht="15" customHeight="1">
      <c r="A1010" t="inlineStr">
        <is>
          <t>A 22359-2025</t>
        </is>
      </c>
      <c r="B1010" s="1" t="n">
        <v>45786</v>
      </c>
      <c r="C1010" s="1" t="n">
        <v>46047</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45697-2025</t>
        </is>
      </c>
      <c r="B1011" s="1" t="n">
        <v>45923.39877314815</v>
      </c>
      <c r="C1011" s="1" t="n">
        <v>46047</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46415-2025</t>
        </is>
      </c>
      <c r="B1012" s="1" t="n">
        <v>45925.58636574074</v>
      </c>
      <c r="C1012" s="1" t="n">
        <v>46047</v>
      </c>
      <c r="D1012" t="inlineStr">
        <is>
          <t>STOCKHOLMS LÄN</t>
        </is>
      </c>
      <c r="E1012" t="inlineStr">
        <is>
          <t>NORRTÄLJE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29266-2022</t>
        </is>
      </c>
      <c r="B1013" s="1" t="n">
        <v>44750.66068287037</v>
      </c>
      <c r="C1013" s="1" t="n">
        <v>46047</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29278-2022</t>
        </is>
      </c>
      <c r="B1014" s="1" t="n">
        <v>44750</v>
      </c>
      <c r="C1014" s="1" t="n">
        <v>46047</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37273-2024</t>
        </is>
      </c>
      <c r="B1015" s="1" t="n">
        <v>45540</v>
      </c>
      <c r="C1015" s="1" t="n">
        <v>46047</v>
      </c>
      <c r="D1015" t="inlineStr">
        <is>
          <t>STOCKHOLMS LÄN</t>
        </is>
      </c>
      <c r="E1015" t="inlineStr">
        <is>
          <t>NORRTÄLJE</t>
        </is>
      </c>
      <c r="F1015" t="inlineStr">
        <is>
          <t>Sveaskog</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12908-2025</t>
        </is>
      </c>
      <c r="B1016" s="1" t="n">
        <v>45733.82105324074</v>
      </c>
      <c r="C1016" s="1" t="n">
        <v>46047</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23060-2023</t>
        </is>
      </c>
      <c r="B1017" s="1" t="n">
        <v>45075</v>
      </c>
      <c r="C1017" s="1" t="n">
        <v>46047</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46900-2025</t>
        </is>
      </c>
      <c r="B1018" s="1" t="n">
        <v>45929.38712962963</v>
      </c>
      <c r="C1018" s="1" t="n">
        <v>46047</v>
      </c>
      <c r="D1018" t="inlineStr">
        <is>
          <t>STOCKHOLMS LÄN</t>
        </is>
      </c>
      <c r="E1018" t="inlineStr">
        <is>
          <t>NORRTÄLJE</t>
        </is>
      </c>
      <c r="F1018" t="inlineStr">
        <is>
          <t>Holmen skog AB</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35256-2025</t>
        </is>
      </c>
      <c r="B1019" s="1" t="n">
        <v>45853</v>
      </c>
      <c r="C1019" s="1" t="n">
        <v>46047</v>
      </c>
      <c r="D1019" t="inlineStr">
        <is>
          <t>STOCKHOLMS LÄN</t>
        </is>
      </c>
      <c r="E1019" t="inlineStr">
        <is>
          <t>NORRTÄLJE</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32103-2022</t>
        </is>
      </c>
      <c r="B1020" s="1" t="n">
        <v>44778</v>
      </c>
      <c r="C1020" s="1" t="n">
        <v>46047</v>
      </c>
      <c r="D1020" t="inlineStr">
        <is>
          <t>STOCKHOLMS LÄN</t>
        </is>
      </c>
      <c r="E1020" t="inlineStr">
        <is>
          <t>NORRTÄLJE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6401-2024</t>
        </is>
      </c>
      <c r="B1021" s="1" t="n">
        <v>45338</v>
      </c>
      <c r="C1021" s="1" t="n">
        <v>46047</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59504-2023</t>
        </is>
      </c>
      <c r="B1022" s="1" t="n">
        <v>45254</v>
      </c>
      <c r="C1022" s="1" t="n">
        <v>46047</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52321-2024</t>
        </is>
      </c>
      <c r="B1023" s="1" t="n">
        <v>45608</v>
      </c>
      <c r="C1023" s="1" t="n">
        <v>46047</v>
      </c>
      <c r="D1023" t="inlineStr">
        <is>
          <t>STOCKHOLMS LÄN</t>
        </is>
      </c>
      <c r="E1023" t="inlineStr">
        <is>
          <t>NORRTÄLJE</t>
        </is>
      </c>
      <c r="G1023" t="n">
        <v>18.1</v>
      </c>
      <c r="H1023" t="n">
        <v>0</v>
      </c>
      <c r="I1023" t="n">
        <v>0</v>
      </c>
      <c r="J1023" t="n">
        <v>0</v>
      </c>
      <c r="K1023" t="n">
        <v>0</v>
      </c>
      <c r="L1023" t="n">
        <v>0</v>
      </c>
      <c r="M1023" t="n">
        <v>0</v>
      </c>
      <c r="N1023" t="n">
        <v>0</v>
      </c>
      <c r="O1023" t="n">
        <v>0</v>
      </c>
      <c r="P1023" t="n">
        <v>0</v>
      </c>
      <c r="Q1023" t="n">
        <v>0</v>
      </c>
      <c r="R1023" s="2" t="inlineStr"/>
    </row>
    <row r="1024" ht="15" customHeight="1">
      <c r="A1024" t="inlineStr">
        <is>
          <t>A 48151-2024</t>
        </is>
      </c>
      <c r="B1024" s="1" t="n">
        <v>45589.68289351852</v>
      </c>
      <c r="C1024" s="1" t="n">
        <v>46047</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47498-2025</t>
        </is>
      </c>
      <c r="B1025" s="1" t="n">
        <v>45930.8134375</v>
      </c>
      <c r="C1025" s="1" t="n">
        <v>46047</v>
      </c>
      <c r="D1025" t="inlineStr">
        <is>
          <t>STOCKHOLMS LÄN</t>
        </is>
      </c>
      <c r="E1025" t="inlineStr">
        <is>
          <t>NORRTÄLJE</t>
        </is>
      </c>
      <c r="F1025" t="inlineStr">
        <is>
          <t>Holmen skog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47460-2025</t>
        </is>
      </c>
      <c r="B1026" s="1" t="n">
        <v>45930.66012731481</v>
      </c>
      <c r="C1026" s="1" t="n">
        <v>46047</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47496-2025</t>
        </is>
      </c>
      <c r="B1027" s="1" t="n">
        <v>45930.79252314815</v>
      </c>
      <c r="C1027" s="1" t="n">
        <v>46047</v>
      </c>
      <c r="D1027" t="inlineStr">
        <is>
          <t>STOCKHOLMS LÄN</t>
        </is>
      </c>
      <c r="E1027" t="inlineStr">
        <is>
          <t>NORRTÄLJE</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47497-2025</t>
        </is>
      </c>
      <c r="B1028" s="1" t="n">
        <v>45930.80217592593</v>
      </c>
      <c r="C1028" s="1" t="n">
        <v>46047</v>
      </c>
      <c r="D1028" t="inlineStr">
        <is>
          <t>STOCKHOLMS LÄN</t>
        </is>
      </c>
      <c r="E1028" t="inlineStr">
        <is>
          <t>NORRTÄLJE</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20370-2025</t>
        </is>
      </c>
      <c r="B1029" s="1" t="n">
        <v>45775.41451388889</v>
      </c>
      <c r="C1029" s="1" t="n">
        <v>46047</v>
      </c>
      <c r="D1029" t="inlineStr">
        <is>
          <t>STOCKHOLMS LÄN</t>
        </is>
      </c>
      <c r="E1029" t="inlineStr">
        <is>
          <t>NORRTÄLJE</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19580-2022</t>
        </is>
      </c>
      <c r="B1030" s="1" t="n">
        <v>44693</v>
      </c>
      <c r="C1030" s="1" t="n">
        <v>46047</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48360-2025</t>
        </is>
      </c>
      <c r="B1031" s="1" t="n">
        <v>45933.66253472222</v>
      </c>
      <c r="C1031" s="1" t="n">
        <v>46047</v>
      </c>
      <c r="D1031" t="inlineStr">
        <is>
          <t>STOCKHOLMS LÄN</t>
        </is>
      </c>
      <c r="E1031" t="inlineStr">
        <is>
          <t>NORRTÄLJE</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48370-2025</t>
        </is>
      </c>
      <c r="B1032" s="1" t="n">
        <v>45933.67854166667</v>
      </c>
      <c r="C1032" s="1" t="n">
        <v>46047</v>
      </c>
      <c r="D1032" t="inlineStr">
        <is>
          <t>STOCKHOLMS LÄN</t>
        </is>
      </c>
      <c r="E1032" t="inlineStr">
        <is>
          <t>NORRTÄLJE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48364-2025</t>
        </is>
      </c>
      <c r="B1033" s="1" t="n">
        <v>45933.66796296297</v>
      </c>
      <c r="C1033" s="1" t="n">
        <v>46047</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30731-2023</t>
        </is>
      </c>
      <c r="B1034" s="1" t="n">
        <v>45112</v>
      </c>
      <c r="C1034" s="1" t="n">
        <v>46047</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4580-2025</t>
        </is>
      </c>
      <c r="B1035" s="1" t="n">
        <v>45687.5038425926</v>
      </c>
      <c r="C1035" s="1" t="n">
        <v>46047</v>
      </c>
      <c r="D1035" t="inlineStr">
        <is>
          <t>STOCKHOLMS LÄN</t>
        </is>
      </c>
      <c r="E1035" t="inlineStr">
        <is>
          <t>NORRTÄLJE</t>
        </is>
      </c>
      <c r="F1035" t="inlineStr">
        <is>
          <t>Holmen skog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31057-2022</t>
        </is>
      </c>
      <c r="B1036" s="1" t="n">
        <v>44769</v>
      </c>
      <c r="C1036" s="1" t="n">
        <v>46047</v>
      </c>
      <c r="D1036" t="inlineStr">
        <is>
          <t>STOCKHOLMS LÄN</t>
        </is>
      </c>
      <c r="E1036" t="inlineStr">
        <is>
          <t>NORRTÄLJE</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48174-2025</t>
        </is>
      </c>
      <c r="B1037" s="1" t="n">
        <v>45933.44230324074</v>
      </c>
      <c r="C1037" s="1" t="n">
        <v>46047</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48127-2025</t>
        </is>
      </c>
      <c r="B1038" s="1" t="n">
        <v>45933.36621527778</v>
      </c>
      <c r="C1038" s="1" t="n">
        <v>46047</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48179-2025</t>
        </is>
      </c>
      <c r="B1039" s="1" t="n">
        <v>45933.44907407407</v>
      </c>
      <c r="C1039" s="1" t="n">
        <v>46047</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31140-2023</t>
        </is>
      </c>
      <c r="B1040" s="1" t="n">
        <v>45113</v>
      </c>
      <c r="C1040" s="1" t="n">
        <v>46047</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31149-2023</t>
        </is>
      </c>
      <c r="B1041" s="1" t="n">
        <v>45113</v>
      </c>
      <c r="C1041" s="1" t="n">
        <v>46047</v>
      </c>
      <c r="D1041" t="inlineStr">
        <is>
          <t>STOCKHOLMS LÄN</t>
        </is>
      </c>
      <c r="E1041" t="inlineStr">
        <is>
          <t>NORRTÄLJE</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4658-2024</t>
        </is>
      </c>
      <c r="B1042" s="1" t="n">
        <v>45328.46336805556</v>
      </c>
      <c r="C1042" s="1" t="n">
        <v>46047</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19131-2025</t>
        </is>
      </c>
      <c r="B1043" s="1" t="n">
        <v>45769</v>
      </c>
      <c r="C1043" s="1" t="n">
        <v>46047</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48718-2025</t>
        </is>
      </c>
      <c r="B1044" s="1" t="n">
        <v>45936</v>
      </c>
      <c r="C1044" s="1" t="n">
        <v>46047</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48593-2025</t>
        </is>
      </c>
      <c r="B1045" s="1" t="n">
        <v>45936.4627662037</v>
      </c>
      <c r="C1045" s="1" t="n">
        <v>46047</v>
      </c>
      <c r="D1045" t="inlineStr">
        <is>
          <t>STOCKHOLMS LÄN</t>
        </is>
      </c>
      <c r="E1045" t="inlineStr">
        <is>
          <t>NORRTÄLJE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48443-2025</t>
        </is>
      </c>
      <c r="B1046" s="1" t="n">
        <v>45935.55326388889</v>
      </c>
      <c r="C1046" s="1" t="n">
        <v>46047</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48780-2025</t>
        </is>
      </c>
      <c r="B1047" s="1" t="n">
        <v>45937.30377314815</v>
      </c>
      <c r="C1047" s="1" t="n">
        <v>46047</v>
      </c>
      <c r="D1047" t="inlineStr">
        <is>
          <t>STOCKHOLMS LÄN</t>
        </is>
      </c>
      <c r="E1047" t="inlineStr">
        <is>
          <t>NORRTÄLJE</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49129-2025</t>
        </is>
      </c>
      <c r="B1048" s="1" t="n">
        <v>45937.89517361111</v>
      </c>
      <c r="C1048" s="1" t="n">
        <v>46047</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50097-2025</t>
        </is>
      </c>
      <c r="B1049" s="1" t="n">
        <v>45943.50207175926</v>
      </c>
      <c r="C1049" s="1" t="n">
        <v>46047</v>
      </c>
      <c r="D1049" t="inlineStr">
        <is>
          <t>STOCKHOLMS LÄN</t>
        </is>
      </c>
      <c r="E1049" t="inlineStr">
        <is>
          <t>NORRTÄLJE</t>
        </is>
      </c>
      <c r="F1049" t="inlineStr">
        <is>
          <t>Holmen skog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49836-2025</t>
        </is>
      </c>
      <c r="B1050" s="1" t="n">
        <v>45940.46862268518</v>
      </c>
      <c r="C1050" s="1" t="n">
        <v>46047</v>
      </c>
      <c r="D1050" t="inlineStr">
        <is>
          <t>STOCKHOLMS LÄN</t>
        </is>
      </c>
      <c r="E1050" t="inlineStr">
        <is>
          <t>NORRTÄLJE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50327-2025</t>
        </is>
      </c>
      <c r="B1051" s="1" t="n">
        <v>45944.46387731482</v>
      </c>
      <c r="C1051" s="1" t="n">
        <v>46047</v>
      </c>
      <c r="D1051" t="inlineStr">
        <is>
          <t>STOCKHOLMS LÄN</t>
        </is>
      </c>
      <c r="E1051" t="inlineStr">
        <is>
          <t>NORRTÄLJE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50563-2025</t>
        </is>
      </c>
      <c r="B1052" s="1" t="n">
        <v>45944</v>
      </c>
      <c r="C1052" s="1" t="n">
        <v>46047</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50333-2025</t>
        </is>
      </c>
      <c r="B1053" s="1" t="n">
        <v>45944.47178240741</v>
      </c>
      <c r="C1053" s="1" t="n">
        <v>46047</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51122-2025</t>
        </is>
      </c>
      <c r="B1054" s="1" t="n">
        <v>45947.53693287037</v>
      </c>
      <c r="C1054" s="1" t="n">
        <v>46047</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51233-2025</t>
        </is>
      </c>
      <c r="B1055" s="1" t="n">
        <v>45947.68232638889</v>
      </c>
      <c r="C1055" s="1" t="n">
        <v>46047</v>
      </c>
      <c r="D1055" t="inlineStr">
        <is>
          <t>STOCKHOLMS LÄN</t>
        </is>
      </c>
      <c r="E1055" t="inlineStr">
        <is>
          <t>NORRTÄLJE</t>
        </is>
      </c>
      <c r="F1055" t="inlineStr">
        <is>
          <t>Naturvårdsverket</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51236-2025</t>
        </is>
      </c>
      <c r="B1056" s="1" t="n">
        <v>45947.69078703703</v>
      </c>
      <c r="C1056" s="1" t="n">
        <v>46047</v>
      </c>
      <c r="D1056" t="inlineStr">
        <is>
          <t>STOCKHOLMS LÄN</t>
        </is>
      </c>
      <c r="E1056" t="inlineStr">
        <is>
          <t>NORRTÄLJE</t>
        </is>
      </c>
      <c r="F1056" t="inlineStr">
        <is>
          <t>Naturvårdsverket</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51241-2025</t>
        </is>
      </c>
      <c r="B1057" s="1" t="n">
        <v>45947.71726851852</v>
      </c>
      <c r="C1057" s="1" t="n">
        <v>46047</v>
      </c>
      <c r="D1057" t="inlineStr">
        <is>
          <t>STOCKHOLMS LÄN</t>
        </is>
      </c>
      <c r="E1057" t="inlineStr">
        <is>
          <t>NORRTÄLJE</t>
        </is>
      </c>
      <c r="F1057" t="inlineStr">
        <is>
          <t>Naturvårdsverket</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51240-2025</t>
        </is>
      </c>
      <c r="B1058" s="1" t="n">
        <v>45947.70420138889</v>
      </c>
      <c r="C1058" s="1" t="n">
        <v>46047</v>
      </c>
      <c r="D1058" t="inlineStr">
        <is>
          <t>STOCKHOLMS LÄN</t>
        </is>
      </c>
      <c r="E1058" t="inlineStr">
        <is>
          <t>NORRTÄLJE</t>
        </is>
      </c>
      <c r="F1058" t="inlineStr">
        <is>
          <t>Naturvårdsverket</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51121-2025</t>
        </is>
      </c>
      <c r="B1059" s="1" t="n">
        <v>45947.53293981482</v>
      </c>
      <c r="C1059" s="1" t="n">
        <v>46047</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59477-2025</t>
        </is>
      </c>
      <c r="B1060" s="1" t="n">
        <v>45989.58679398148</v>
      </c>
      <c r="C1060" s="1" t="n">
        <v>46047</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51532-2025</t>
        </is>
      </c>
      <c r="B1061" s="1" t="n">
        <v>45950.68297453703</v>
      </c>
      <c r="C1061" s="1" t="n">
        <v>46047</v>
      </c>
      <c r="D1061" t="inlineStr">
        <is>
          <t>STOCKHOLMS LÄN</t>
        </is>
      </c>
      <c r="E1061" t="inlineStr">
        <is>
          <t>NORRTÄLJE</t>
        </is>
      </c>
      <c r="F1061" t="inlineStr">
        <is>
          <t>Naturvårdsverket</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51789-2025</t>
        </is>
      </c>
      <c r="B1062" s="1" t="n">
        <v>45951.68046296296</v>
      </c>
      <c r="C1062" s="1" t="n">
        <v>46047</v>
      </c>
      <c r="D1062" t="inlineStr">
        <is>
          <t>STOCKHOLMS LÄN</t>
        </is>
      </c>
      <c r="E1062" t="inlineStr">
        <is>
          <t>NORRTÄLJE</t>
        </is>
      </c>
      <c r="F1062" t="inlineStr">
        <is>
          <t>Naturvårdsverket</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51960-2025</t>
        </is>
      </c>
      <c r="B1063" s="1" t="n">
        <v>45952.54755787037</v>
      </c>
      <c r="C1063" s="1" t="n">
        <v>46047</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51941-2025</t>
        </is>
      </c>
      <c r="B1064" s="1" t="n">
        <v>45952.52261574074</v>
      </c>
      <c r="C1064" s="1" t="n">
        <v>46047</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52061-2025</t>
        </is>
      </c>
      <c r="B1065" s="1" t="n">
        <v>45952.63679398148</v>
      </c>
      <c r="C1065" s="1" t="n">
        <v>46047</v>
      </c>
      <c r="D1065" t="inlineStr">
        <is>
          <t>STOCKHOLMS LÄN</t>
        </is>
      </c>
      <c r="E1065" t="inlineStr">
        <is>
          <t>NORRTÄLJE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51945-2025</t>
        </is>
      </c>
      <c r="B1066" s="1" t="n">
        <v>45952.52679398148</v>
      </c>
      <c r="C1066" s="1" t="n">
        <v>46047</v>
      </c>
      <c r="D1066" t="inlineStr">
        <is>
          <t>STOCKHOLMS LÄN</t>
        </is>
      </c>
      <c r="E1066" t="inlineStr">
        <is>
          <t>NORRTÄLJE</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52251-2025</t>
        </is>
      </c>
      <c r="B1067" s="1" t="n">
        <v>45953.49185185185</v>
      </c>
      <c r="C1067" s="1" t="n">
        <v>46047</v>
      </c>
      <c r="D1067" t="inlineStr">
        <is>
          <t>STOCKHOLMS LÄN</t>
        </is>
      </c>
      <c r="E1067" t="inlineStr">
        <is>
          <t>NORRTÄLJE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52254-2025</t>
        </is>
      </c>
      <c r="B1068" s="1" t="n">
        <v>45953.49519675926</v>
      </c>
      <c r="C1068" s="1" t="n">
        <v>46047</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52773-2025</t>
        </is>
      </c>
      <c r="B1069" s="1" t="n">
        <v>45957.41457175926</v>
      </c>
      <c r="C1069" s="1" t="n">
        <v>46047</v>
      </c>
      <c r="D1069" t="inlineStr">
        <is>
          <t>STOCKHOLMS LÄN</t>
        </is>
      </c>
      <c r="E1069" t="inlineStr">
        <is>
          <t>NORRTÄLJE</t>
        </is>
      </c>
      <c r="F1069" t="inlineStr">
        <is>
          <t>Sveaskog</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52777-2025</t>
        </is>
      </c>
      <c r="B1070" s="1" t="n">
        <v>45957.41832175926</v>
      </c>
      <c r="C1070" s="1" t="n">
        <v>46047</v>
      </c>
      <c r="D1070" t="inlineStr">
        <is>
          <t>STOCKHOLMS LÄN</t>
        </is>
      </c>
      <c r="E1070" t="inlineStr">
        <is>
          <t>NORRTÄLJE</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52526-2025</t>
        </is>
      </c>
      <c r="B1071" s="1" t="n">
        <v>45954.53061342592</v>
      </c>
      <c r="C1071" s="1" t="n">
        <v>46047</v>
      </c>
      <c r="D1071" t="inlineStr">
        <is>
          <t>STOCKHOLMS LÄN</t>
        </is>
      </c>
      <c r="E1071" t="inlineStr">
        <is>
          <t>NORRTÄLJE</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53000-2025</t>
        </is>
      </c>
      <c r="B1072" s="1" t="n">
        <v>45957.74357638889</v>
      </c>
      <c r="C1072" s="1" t="n">
        <v>46047</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52703-2025</t>
        </is>
      </c>
      <c r="B1073" s="1" t="n">
        <v>45956.88643518519</v>
      </c>
      <c r="C1073" s="1" t="n">
        <v>46047</v>
      </c>
      <c r="D1073" t="inlineStr">
        <is>
          <t>STOCKHOLMS LÄN</t>
        </is>
      </c>
      <c r="E1073" t="inlineStr">
        <is>
          <t>NORRTÄLJE</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52729-2025</t>
        </is>
      </c>
      <c r="B1074" s="1" t="n">
        <v>45957.3636574074</v>
      </c>
      <c r="C1074" s="1" t="n">
        <v>46047</v>
      </c>
      <c r="D1074" t="inlineStr">
        <is>
          <t>STOCKHOLMS LÄN</t>
        </is>
      </c>
      <c r="E1074" t="inlineStr">
        <is>
          <t>NORRTÄLJE</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52734-2025</t>
        </is>
      </c>
      <c r="B1075" s="1" t="n">
        <v>45957.3710300926</v>
      </c>
      <c r="C1075" s="1" t="n">
        <v>46047</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52776-2025</t>
        </is>
      </c>
      <c r="B1076" s="1" t="n">
        <v>45957.41724537037</v>
      </c>
      <c r="C1076" s="1" t="n">
        <v>46047</v>
      </c>
      <c r="D1076" t="inlineStr">
        <is>
          <t>STOCKHOLMS LÄN</t>
        </is>
      </c>
      <c r="E1076" t="inlineStr">
        <is>
          <t>NORRTÄLJE</t>
        </is>
      </c>
      <c r="F1076" t="inlineStr">
        <is>
          <t>Sveaskog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52529-2025</t>
        </is>
      </c>
      <c r="B1077" s="1" t="n">
        <v>45954.53229166667</v>
      </c>
      <c r="C1077" s="1" t="n">
        <v>46047</v>
      </c>
      <c r="D1077" t="inlineStr">
        <is>
          <t>STOCKHOLMS LÄN</t>
        </is>
      </c>
      <c r="E1077" t="inlineStr">
        <is>
          <t>NORRTÄLJE</t>
        </is>
      </c>
      <c r="F1077" t="inlineStr">
        <is>
          <t>Sveaskog</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52704-2025</t>
        </is>
      </c>
      <c r="B1078" s="1" t="n">
        <v>45956.89097222222</v>
      </c>
      <c r="C1078" s="1" t="n">
        <v>46047</v>
      </c>
      <c r="D1078" t="inlineStr">
        <is>
          <t>STOCKHOLMS LÄN</t>
        </is>
      </c>
      <c r="E1078" t="inlineStr">
        <is>
          <t>NORRTÄLJE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52553-2025</t>
        </is>
      </c>
      <c r="B1079" s="1" t="n">
        <v>45954.5624537037</v>
      </c>
      <c r="C1079" s="1" t="n">
        <v>46047</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53299-2025</t>
        </is>
      </c>
      <c r="B1080" s="1" t="n">
        <v>45959.31901620371</v>
      </c>
      <c r="C1080" s="1" t="n">
        <v>46047</v>
      </c>
      <c r="D1080" t="inlineStr">
        <is>
          <t>STOCKHOLMS LÄN</t>
        </is>
      </c>
      <c r="E1080" t="inlineStr">
        <is>
          <t>NORRTÄLJE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53087-2025</t>
        </is>
      </c>
      <c r="B1081" s="1" t="n">
        <v>45958.41065972222</v>
      </c>
      <c r="C1081" s="1" t="n">
        <v>46047</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53115-2025</t>
        </is>
      </c>
      <c r="B1082" s="1" t="n">
        <v>45958.44614583333</v>
      </c>
      <c r="C1082" s="1" t="n">
        <v>46047</v>
      </c>
      <c r="D1082" t="inlineStr">
        <is>
          <t>STOCKHOLMS LÄN</t>
        </is>
      </c>
      <c r="E1082" t="inlineStr">
        <is>
          <t>NORRTÄLJE</t>
        </is>
      </c>
      <c r="F1082" t="inlineStr">
        <is>
          <t>Kyrkan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53629-2025</t>
        </is>
      </c>
      <c r="B1083" s="1" t="n">
        <v>45960.49570601852</v>
      </c>
      <c r="C1083" s="1" t="n">
        <v>46047</v>
      </c>
      <c r="D1083" t="inlineStr">
        <is>
          <t>STOCKHOLMS LÄN</t>
        </is>
      </c>
      <c r="E1083" t="inlineStr">
        <is>
          <t>NORRTÄLJE</t>
        </is>
      </c>
      <c r="F1083" t="inlineStr">
        <is>
          <t>Naturvårdsverket</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53747-2025</t>
        </is>
      </c>
      <c r="B1084" s="1" t="n">
        <v>45960.65415509259</v>
      </c>
      <c r="C1084" s="1" t="n">
        <v>46047</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62708-2025</t>
        </is>
      </c>
      <c r="B1085" s="1" t="n">
        <v>46008.50986111111</v>
      </c>
      <c r="C1085" s="1" t="n">
        <v>46047</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62689-2025</t>
        </is>
      </c>
      <c r="B1086" s="1" t="n">
        <v>46008.47171296296</v>
      </c>
      <c r="C1086" s="1" t="n">
        <v>46047</v>
      </c>
      <c r="D1086" t="inlineStr">
        <is>
          <t>STOCKHOLMS LÄN</t>
        </is>
      </c>
      <c r="E1086" t="inlineStr">
        <is>
          <t>NORRTÄLJE</t>
        </is>
      </c>
      <c r="F1086" t="inlineStr">
        <is>
          <t>Kyrkan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62681-2025</t>
        </is>
      </c>
      <c r="B1087" s="1" t="n">
        <v>46008.45534722223</v>
      </c>
      <c r="C1087" s="1" t="n">
        <v>46047</v>
      </c>
      <c r="D1087" t="inlineStr">
        <is>
          <t>STOCKHOLMS LÄN</t>
        </is>
      </c>
      <c r="E1087" t="inlineStr">
        <is>
          <t>NORRTÄLJE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62922-2025</t>
        </is>
      </c>
      <c r="B1088" s="1" t="n">
        <v>46009.38064814815</v>
      </c>
      <c r="C1088" s="1" t="n">
        <v>46047</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54907-2025</t>
        </is>
      </c>
      <c r="B1089" s="1" t="n">
        <v>45967.37137731481</v>
      </c>
      <c r="C1089" s="1" t="n">
        <v>46047</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55503-2025</t>
        </is>
      </c>
      <c r="B1090" s="1" t="n">
        <v>45971</v>
      </c>
      <c r="C1090" s="1" t="n">
        <v>46047</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55599-2025</t>
        </is>
      </c>
      <c r="B1091" s="1" t="n">
        <v>45971.76810185185</v>
      </c>
      <c r="C1091" s="1" t="n">
        <v>46047</v>
      </c>
      <c r="D1091" t="inlineStr">
        <is>
          <t>STOCKHOLMS LÄN</t>
        </is>
      </c>
      <c r="E1091" t="inlineStr">
        <is>
          <t>NORRTÄLJE</t>
        </is>
      </c>
      <c r="F1091" t="inlineStr">
        <is>
          <t>Holmen skog AB</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56114-2025</t>
        </is>
      </c>
      <c r="B1092" s="1" t="n">
        <v>45973.74474537037</v>
      </c>
      <c r="C1092" s="1" t="n">
        <v>46047</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56207-2025</t>
        </is>
      </c>
      <c r="B1093" s="1" t="n">
        <v>45974.47329861111</v>
      </c>
      <c r="C1093" s="1" t="n">
        <v>46047</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58403-2025</t>
        </is>
      </c>
      <c r="B1094" s="1" t="n">
        <v>45985.56777777777</v>
      </c>
      <c r="C1094" s="1" t="n">
        <v>46047</v>
      </c>
      <c r="D1094" t="inlineStr">
        <is>
          <t>STOCKHOLMS LÄN</t>
        </is>
      </c>
      <c r="E1094" t="inlineStr">
        <is>
          <t>NORRTÄLJE</t>
        </is>
      </c>
      <c r="F1094" t="inlineStr">
        <is>
          <t>Naturvårdsverket</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58142-2025</t>
        </is>
      </c>
      <c r="B1095" s="1" t="n">
        <v>45982.63791666667</v>
      </c>
      <c r="C1095" s="1" t="n">
        <v>46047</v>
      </c>
      <c r="D1095" t="inlineStr">
        <is>
          <t>STOCKHOLMS LÄN</t>
        </is>
      </c>
      <c r="E1095" t="inlineStr">
        <is>
          <t>NORRTÄLJE</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57953-2025</t>
        </is>
      </c>
      <c r="B1096" s="1" t="n">
        <v>45982.35016203704</v>
      </c>
      <c r="C1096" s="1" t="n">
        <v>46047</v>
      </c>
      <c r="D1096" t="inlineStr">
        <is>
          <t>STOCKHOLMS LÄN</t>
        </is>
      </c>
      <c r="E1096" t="inlineStr">
        <is>
          <t>NORRTÄLJE</t>
        </is>
      </c>
      <c r="F1096" t="inlineStr">
        <is>
          <t>Sveaskog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197-2026</t>
        </is>
      </c>
      <c r="B1097" s="1" t="n">
        <v>46026</v>
      </c>
      <c r="C1097" s="1" t="n">
        <v>46047</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124-2026</t>
        </is>
      </c>
      <c r="B1098" s="1" t="n">
        <v>46024.58378472222</v>
      </c>
      <c r="C1098" s="1" t="n">
        <v>46047</v>
      </c>
      <c r="D1098" t="inlineStr">
        <is>
          <t>STOCKHOLMS LÄN</t>
        </is>
      </c>
      <c r="E1098" t="inlineStr">
        <is>
          <t>NORRTÄLJE</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58939-2025</t>
        </is>
      </c>
      <c r="B1099" s="1" t="n">
        <v>45987.5681712963</v>
      </c>
      <c r="C1099" s="1" t="n">
        <v>46047</v>
      </c>
      <c r="D1099" t="inlineStr">
        <is>
          <t>STOCKHOLMS LÄN</t>
        </is>
      </c>
      <c r="E1099" t="inlineStr">
        <is>
          <t>NORRTÄLJE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693-2026</t>
        </is>
      </c>
      <c r="B1100" s="1" t="n">
        <v>46029.6133449074</v>
      </c>
      <c r="C1100" s="1" t="n">
        <v>46047</v>
      </c>
      <c r="D1100" t="inlineStr">
        <is>
          <t>STOCKHOLMS LÄN</t>
        </is>
      </c>
      <c r="E1100" t="inlineStr">
        <is>
          <t>NORRTÄLJE</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718-2026</t>
        </is>
      </c>
      <c r="B1101" s="1" t="n">
        <v>46029.63174768518</v>
      </c>
      <c r="C1101" s="1" t="n">
        <v>46047</v>
      </c>
      <c r="D1101" t="inlineStr">
        <is>
          <t>STOCKHOLMS LÄN</t>
        </is>
      </c>
      <c r="E1101" t="inlineStr">
        <is>
          <t>NORRTÄLJE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694-2026</t>
        </is>
      </c>
      <c r="B1102" s="1" t="n">
        <v>46029.61375</v>
      </c>
      <c r="C1102" s="1" t="n">
        <v>46047</v>
      </c>
      <c r="D1102" t="inlineStr">
        <is>
          <t>STOCKHOLMS LÄN</t>
        </is>
      </c>
      <c r="E1102" t="inlineStr">
        <is>
          <t>NORRTÄLJE</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475-2026</t>
        </is>
      </c>
      <c r="B1103" s="1" t="n">
        <v>46029.39351851852</v>
      </c>
      <c r="C1103" s="1" t="n">
        <v>46047</v>
      </c>
      <c r="D1103" t="inlineStr">
        <is>
          <t>STOCKHOLMS LÄN</t>
        </is>
      </c>
      <c r="E1103" t="inlineStr">
        <is>
          <t>NORRTÄLJE</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717-2026</t>
        </is>
      </c>
      <c r="B1104" s="1" t="n">
        <v>46029.63028935185</v>
      </c>
      <c r="C1104" s="1" t="n">
        <v>46047</v>
      </c>
      <c r="D1104" t="inlineStr">
        <is>
          <t>STOCKHOLMS LÄN</t>
        </is>
      </c>
      <c r="E1104" t="inlineStr">
        <is>
          <t>NORRTÄLJE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812-2026</t>
        </is>
      </c>
      <c r="B1105" s="1" t="n">
        <v>46030.33358796296</v>
      </c>
      <c r="C1105" s="1" t="n">
        <v>46047</v>
      </c>
      <c r="D1105" t="inlineStr">
        <is>
          <t>STOCKHOLMS LÄN</t>
        </is>
      </c>
      <c r="E1105" t="inlineStr">
        <is>
          <t>NORRTÄLJE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59041-2025</t>
        </is>
      </c>
      <c r="B1106" s="1" t="n">
        <v>45988</v>
      </c>
      <c r="C1106" s="1" t="n">
        <v>46047</v>
      </c>
      <c r="D1106" t="inlineStr">
        <is>
          <t>STOCKHOLMS LÄN</t>
        </is>
      </c>
      <c r="E1106" t="inlineStr">
        <is>
          <t>NORRTÄLJE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59914-2025</t>
        </is>
      </c>
      <c r="B1107" s="1" t="n">
        <v>45993.37056712963</v>
      </c>
      <c r="C1107" s="1" t="n">
        <v>46047</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59672-2025</t>
        </is>
      </c>
      <c r="B1108" s="1" t="n">
        <v>45992.45884259259</v>
      </c>
      <c r="C1108" s="1" t="n">
        <v>46047</v>
      </c>
      <c r="D1108" t="inlineStr">
        <is>
          <t>STOCKHOLMS LÄN</t>
        </is>
      </c>
      <c r="E1108" t="inlineStr">
        <is>
          <t>NORRTÄLJE</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57788-2025</t>
        </is>
      </c>
      <c r="B1109" s="1" t="n">
        <v>45981.5778125</v>
      </c>
      <c r="C1109" s="1" t="n">
        <v>46047</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59907-2025</t>
        </is>
      </c>
      <c r="B1110" s="1" t="n">
        <v>45993.35350694445</v>
      </c>
      <c r="C1110" s="1" t="n">
        <v>46047</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1755-2026</t>
        </is>
      </c>
      <c r="B1111" s="1" t="n">
        <v>46034.66230324074</v>
      </c>
      <c r="C1111" s="1" t="n">
        <v>46047</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53499-2025</t>
        </is>
      </c>
      <c r="B1112" s="1" t="n">
        <v>45960</v>
      </c>
      <c r="C1112" s="1" t="n">
        <v>46047</v>
      </c>
      <c r="D1112" t="inlineStr">
        <is>
          <t>STOCKHOLMS LÄN</t>
        </is>
      </c>
      <c r="E1112" t="inlineStr">
        <is>
          <t>NORRTÄLJE</t>
        </is>
      </c>
      <c r="G1112" t="n">
        <v>23.8</v>
      </c>
      <c r="H1112" t="n">
        <v>0</v>
      </c>
      <c r="I1112" t="n">
        <v>0</v>
      </c>
      <c r="J1112" t="n">
        <v>0</v>
      </c>
      <c r="K1112" t="n">
        <v>0</v>
      </c>
      <c r="L1112" t="n">
        <v>0</v>
      </c>
      <c r="M1112" t="n">
        <v>0</v>
      </c>
      <c r="N1112" t="n">
        <v>0</v>
      </c>
      <c r="O1112" t="n">
        <v>0</v>
      </c>
      <c r="P1112" t="n">
        <v>0</v>
      </c>
      <c r="Q1112" t="n">
        <v>0</v>
      </c>
      <c r="R1112" s="2" t="inlineStr"/>
    </row>
    <row r="1113" ht="15" customHeight="1">
      <c r="A1113" t="inlineStr">
        <is>
          <t>A 59924-2025</t>
        </is>
      </c>
      <c r="B1113" s="1" t="n">
        <v>45993.38928240741</v>
      </c>
      <c r="C1113" s="1" t="n">
        <v>46047</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2116-2026</t>
        </is>
      </c>
      <c r="B1114" s="1" t="n">
        <v>46036.38108796296</v>
      </c>
      <c r="C1114" s="1" t="n">
        <v>46047</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60253-2025</t>
        </is>
      </c>
      <c r="B1115" s="1" t="n">
        <v>45994.59827546297</v>
      </c>
      <c r="C1115" s="1" t="n">
        <v>46047</v>
      </c>
      <c r="D1115" t="inlineStr">
        <is>
          <t>STOCKHOLMS LÄN</t>
        </is>
      </c>
      <c r="E1115" t="inlineStr">
        <is>
          <t>NORRTÄLJE</t>
        </is>
      </c>
      <c r="F1115" t="inlineStr">
        <is>
          <t>Holmen skog AB</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60214-2025</t>
        </is>
      </c>
      <c r="B1116" s="1" t="n">
        <v>45994.53761574074</v>
      </c>
      <c r="C1116" s="1" t="n">
        <v>46047</v>
      </c>
      <c r="D1116" t="inlineStr">
        <is>
          <t>STOCKHOLMS LÄN</t>
        </is>
      </c>
      <c r="E1116" t="inlineStr">
        <is>
          <t>NORRTÄLJE</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2088-2026</t>
        </is>
      </c>
      <c r="B1117" s="1" t="n">
        <v>46036.35909722222</v>
      </c>
      <c r="C1117" s="1" t="n">
        <v>46047</v>
      </c>
      <c r="D1117" t="inlineStr">
        <is>
          <t>STOCKHOLMS LÄN</t>
        </is>
      </c>
      <c r="E1117" t="inlineStr">
        <is>
          <t>NORRTÄLJE</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60223-2025</t>
        </is>
      </c>
      <c r="B1118" s="1" t="n">
        <v>45994.54497685185</v>
      </c>
      <c r="C1118" s="1" t="n">
        <v>46047</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33279-2025</t>
        </is>
      </c>
      <c r="B1119" s="1" t="n">
        <v>45840</v>
      </c>
      <c r="C1119" s="1" t="n">
        <v>46047</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60745-2025</t>
        </is>
      </c>
      <c r="B1120" s="1" t="n">
        <v>45999.37753472223</v>
      </c>
      <c r="C1120" s="1" t="n">
        <v>46047</v>
      </c>
      <c r="D1120" t="inlineStr">
        <is>
          <t>STOCKHOLMS LÄN</t>
        </is>
      </c>
      <c r="E1120" t="inlineStr">
        <is>
          <t>NORRTÄLJE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60649-2025</t>
        </is>
      </c>
      <c r="B1121" s="1" t="n">
        <v>45996.4560300926</v>
      </c>
      <c r="C1121" s="1" t="n">
        <v>46047</v>
      </c>
      <c r="D1121" t="inlineStr">
        <is>
          <t>STOCKHOLMS LÄN</t>
        </is>
      </c>
      <c r="E1121" t="inlineStr">
        <is>
          <t>NORRTÄLJE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60948-2025</t>
        </is>
      </c>
      <c r="B1122" s="1" t="n">
        <v>45999.650625</v>
      </c>
      <c r="C1122" s="1" t="n">
        <v>46047</v>
      </c>
      <c r="D1122" t="inlineStr">
        <is>
          <t>STOCKHOLMS LÄN</t>
        </is>
      </c>
      <c r="E1122" t="inlineStr">
        <is>
          <t>NORRTÄLJE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1789-2026</t>
        </is>
      </c>
      <c r="B1123" s="1" t="n">
        <v>46034</v>
      </c>
      <c r="C1123" s="1" t="n">
        <v>46047</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60928-2025</t>
        </is>
      </c>
      <c r="B1124" s="1" t="n">
        <v>45999.633125</v>
      </c>
      <c r="C1124" s="1" t="n">
        <v>46047</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3933-2026</t>
        </is>
      </c>
      <c r="B1125" s="1" t="n">
        <v>46043.79916666666</v>
      </c>
      <c r="C1125" s="1" t="n">
        <v>46047</v>
      </c>
      <c r="D1125" t="inlineStr">
        <is>
          <t>STOCKHOLMS LÄN</t>
        </is>
      </c>
      <c r="E1125" t="inlineStr">
        <is>
          <t>NORRTÄLJE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61160-2025</t>
        </is>
      </c>
      <c r="B1126" s="1" t="n">
        <v>46000.55262731481</v>
      </c>
      <c r="C1126" s="1" t="n">
        <v>46047</v>
      </c>
      <c r="D1126" t="inlineStr">
        <is>
          <t>STOCKHOLMS LÄN</t>
        </is>
      </c>
      <c r="E1126" t="inlineStr">
        <is>
          <t>NORRTÄLJE</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61419-2025</t>
        </is>
      </c>
      <c r="B1127" s="1" t="n">
        <v>46001.54137731482</v>
      </c>
      <c r="C1127" s="1" t="n">
        <v>46047</v>
      </c>
      <c r="D1127" t="inlineStr">
        <is>
          <t>STOCKHOLMS LÄN</t>
        </is>
      </c>
      <c r="E1127" t="inlineStr">
        <is>
          <t>NORRTÄLJE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61430-2025</t>
        </is>
      </c>
      <c r="B1128" s="1" t="n">
        <v>46001.55583333333</v>
      </c>
      <c r="C1128" s="1" t="n">
        <v>46047</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3549-2026</t>
        </is>
      </c>
      <c r="B1129" s="1" t="n">
        <v>46042.64372685185</v>
      </c>
      <c r="C1129" s="1" t="n">
        <v>46047</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61452-2025</t>
        </is>
      </c>
      <c r="B1130" s="1" t="n">
        <v>46001.58043981482</v>
      </c>
      <c r="C1130" s="1" t="n">
        <v>46047</v>
      </c>
      <c r="D1130" t="inlineStr">
        <is>
          <t>STOCKHOLMS LÄN</t>
        </is>
      </c>
      <c r="E1130" t="inlineStr">
        <is>
          <t>NORRTÄLJE</t>
        </is>
      </c>
      <c r="F1130" t="inlineStr">
        <is>
          <t>Holmen skog AB</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61289-2025</t>
        </is>
      </c>
      <c r="B1131" s="1" t="n">
        <v>46000.73659722223</v>
      </c>
      <c r="C1131" s="1" t="n">
        <v>46047</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61769-2025</t>
        </is>
      </c>
      <c r="B1132" s="1" t="n">
        <v>46002.64556712963</v>
      </c>
      <c r="C1132" s="1" t="n">
        <v>46047</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4235-2026</t>
        </is>
      </c>
      <c r="B1133" s="1" t="n">
        <v>46044.89895833333</v>
      </c>
      <c r="C1133" s="1" t="n">
        <v>46047</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39610-2025</t>
        </is>
      </c>
      <c r="B1134" s="1" t="n">
        <v>45890</v>
      </c>
      <c r="C1134" s="1" t="n">
        <v>46047</v>
      </c>
      <c r="D1134" t="inlineStr">
        <is>
          <t>STOCKHOLMS LÄN</t>
        </is>
      </c>
      <c r="E1134" t="inlineStr">
        <is>
          <t>NORRTÄLJE</t>
        </is>
      </c>
      <c r="G1134" t="n">
        <v>28.6</v>
      </c>
      <c r="H1134" t="n">
        <v>0</v>
      </c>
      <c r="I1134" t="n">
        <v>0</v>
      </c>
      <c r="J1134" t="n">
        <v>0</v>
      </c>
      <c r="K1134" t="n">
        <v>0</v>
      </c>
      <c r="L1134" t="n">
        <v>0</v>
      </c>
      <c r="M1134" t="n">
        <v>0</v>
      </c>
      <c r="N1134" t="n">
        <v>0</v>
      </c>
      <c r="O1134" t="n">
        <v>0</v>
      </c>
      <c r="P1134" t="n">
        <v>0</v>
      </c>
      <c r="Q1134" t="n">
        <v>0</v>
      </c>
      <c r="R1134" s="2" t="inlineStr"/>
    </row>
    <row r="1135" ht="15" customHeight="1">
      <c r="A1135" t="inlineStr">
        <is>
          <t>A 61764-2025</t>
        </is>
      </c>
      <c r="B1135" s="1" t="n">
        <v>46002.62763888889</v>
      </c>
      <c r="C1135" s="1" t="n">
        <v>46047</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4232-2026</t>
        </is>
      </c>
      <c r="B1136" s="1" t="n">
        <v>46044.89594907407</v>
      </c>
      <c r="C1136" s="1" t="n">
        <v>46047</v>
      </c>
      <c r="D1136" t="inlineStr">
        <is>
          <t>STOCKHOLMS LÄN</t>
        </is>
      </c>
      <c r="E1136" t="inlineStr">
        <is>
          <t>NORRTÄLJE</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4231-2026</t>
        </is>
      </c>
      <c r="B1137" s="1" t="n">
        <v>46044.89506944444</v>
      </c>
      <c r="C1137" s="1" t="n">
        <v>46047</v>
      </c>
      <c r="D1137" t="inlineStr">
        <is>
          <t>STOCKHOLMS LÄN</t>
        </is>
      </c>
      <c r="E1137" t="inlineStr">
        <is>
          <t>NORRTÄLJE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4227-2026</t>
        </is>
      </c>
      <c r="B1138" s="1" t="n">
        <v>46044.87450231481</v>
      </c>
      <c r="C1138" s="1" t="n">
        <v>46047</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c r="A1139" t="inlineStr">
        <is>
          <t>A 4230-2026</t>
        </is>
      </c>
      <c r="B1139" s="1" t="n">
        <v>46044.89366898148</v>
      </c>
      <c r="C1139" s="1" t="n">
        <v>46047</v>
      </c>
      <c r="D1139" t="inlineStr">
        <is>
          <t>STOCKHOLMS LÄN</t>
        </is>
      </c>
      <c r="E1139" t="inlineStr">
        <is>
          <t>NORRTÄLJE</t>
        </is>
      </c>
      <c r="G1139" t="n">
        <v>10.8</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2026-01-25T11:02:04Z</dcterms:created>
  <dcterms:modified xmlns:dcterms="http://purl.org/dc/terms/" xmlns:xsi="http://www.w3.org/2001/XMLSchema-instance" xsi:type="dcterms:W3CDTF">2026-01-25T11:02:05Z</dcterms:modified>
</cp:coreProperties>
</file>