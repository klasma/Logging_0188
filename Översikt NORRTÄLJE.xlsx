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45992</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45992</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45992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45992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45992</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45992</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45992</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45992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45992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45992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45992</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45992</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45992</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45992</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45992</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73093-2021</t>
        </is>
      </c>
      <c r="B23" s="1" t="n">
        <v>44550</v>
      </c>
      <c r="C23" s="1" t="n">
        <v>45992</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47274-2024</t>
        </is>
      </c>
      <c r="B24" s="1" t="n">
        <v>45586</v>
      </c>
      <c r="C24" s="1" t="n">
        <v>45992</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52815-2021</t>
        </is>
      </c>
      <c r="B25" s="1" t="n">
        <v>44467</v>
      </c>
      <c r="C25" s="1" t="n">
        <v>45992</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45992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59582-2024</t>
        </is>
      </c>
      <c r="B27" s="1" t="n">
        <v>45638</v>
      </c>
      <c r="C27" s="1" t="n">
        <v>45992</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45992</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45992</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45992</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45992</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45992</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45992</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45992</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45992</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45992</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45992</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45992</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45992</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15804-2025</t>
        </is>
      </c>
      <c r="B40" s="1" t="n">
        <v>45748.6521875</v>
      </c>
      <c r="C40" s="1" t="n">
        <v>45992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45992</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45992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45992</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45992</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45992</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45992</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72305-2021</t>
        </is>
      </c>
      <c r="B47" s="1" t="n">
        <v>44545</v>
      </c>
      <c r="C47" s="1" t="n">
        <v>45992</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34521-2025</t>
        </is>
      </c>
      <c r="B48" s="1" t="n">
        <v>45847.47052083333</v>
      </c>
      <c r="C48" s="1" t="n">
        <v>45992</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45992</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24052-2021</t>
        </is>
      </c>
      <c r="B50" s="1" t="n">
        <v>44336</v>
      </c>
      <c r="C50" s="1" t="n">
        <v>45992</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45992</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45992</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45992</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45992</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45992</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45992</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45992</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45992</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45992</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45992</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45992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45992</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27870-2022</t>
        </is>
      </c>
      <c r="B63" s="1" t="n">
        <v>44743.64592592593</v>
      </c>
      <c r="C63" s="1" t="n">
        <v>45992</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50618-2022</t>
        </is>
      </c>
      <c r="B64" s="1" t="n">
        <v>44866</v>
      </c>
      <c r="C64" s="1" t="n">
        <v>45992</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52726-2025</t>
        </is>
      </c>
      <c r="B65" s="1" t="n">
        <v>45957.34722222222</v>
      </c>
      <c r="C65" s="1" t="n">
        <v>45992</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20185-2022</t>
        </is>
      </c>
      <c r="B66" s="1" t="n">
        <v>44698</v>
      </c>
      <c r="C66" s="1" t="n">
        <v>45992</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52133-2022</t>
        </is>
      </c>
      <c r="B67" s="1" t="n">
        <v>44868</v>
      </c>
      <c r="C67" s="1" t="n">
        <v>45992</v>
      </c>
      <c r="D67" t="inlineStr">
        <is>
          <t>STOCKHOLMS LÄN</t>
        </is>
      </c>
      <c r="E67" t="inlineStr">
        <is>
          <t>NORRTÄLJE</t>
        </is>
      </c>
      <c r="G67" t="n">
        <v>11.5</v>
      </c>
      <c r="H67" t="n">
        <v>1</v>
      </c>
      <c r="I67" t="n">
        <v>0</v>
      </c>
      <c r="J67" t="n">
        <v>1</v>
      </c>
      <c r="K67" t="n">
        <v>1</v>
      </c>
      <c r="L67" t="n">
        <v>0</v>
      </c>
      <c r="M67" t="n">
        <v>0</v>
      </c>
      <c r="N67" t="n">
        <v>0</v>
      </c>
      <c r="O67" t="n">
        <v>2</v>
      </c>
      <c r="P67" t="n">
        <v>1</v>
      </c>
      <c r="Q67" t="n">
        <v>2</v>
      </c>
      <c r="R67" s="2" t="inlineStr">
        <is>
          <t>Knärot
Grön aspvedbock</t>
        </is>
      </c>
      <c r="S67">
        <f>HYPERLINK("https://klasma.github.io/Logging_0188/artfynd/A 52133-2022 artfynd.xlsx", "A 52133-2022")</f>
        <v/>
      </c>
      <c r="T67">
        <f>HYPERLINK("https://klasma.github.io/Logging_0188/kartor/A 52133-2022 karta.png", "A 52133-2022")</f>
        <v/>
      </c>
      <c r="U67">
        <f>HYPERLINK("https://klasma.github.io/Logging_0188/knärot/A 52133-2022 karta knärot.png", "A 52133-2022")</f>
        <v/>
      </c>
      <c r="V67">
        <f>HYPERLINK("https://klasma.github.io/Logging_0188/klagomål/A 52133-2022 FSC-klagomål.docx", "A 52133-2022")</f>
        <v/>
      </c>
      <c r="W67">
        <f>HYPERLINK("https://klasma.github.io/Logging_0188/klagomålsmail/A 52133-2022 FSC-klagomål mail.docx", "A 52133-2022")</f>
        <v/>
      </c>
      <c r="X67">
        <f>HYPERLINK("https://klasma.github.io/Logging_0188/tillsyn/A 52133-2022 tillsynsbegäran.docx", "A 52133-2022")</f>
        <v/>
      </c>
      <c r="Y67">
        <f>HYPERLINK("https://klasma.github.io/Logging_0188/tillsynsmail/A 52133-2022 tillsynsbegäran mail.docx", "A 52133-2022")</f>
        <v/>
      </c>
    </row>
    <row r="68" ht="15" customHeight="1">
      <c r="A68" t="inlineStr">
        <is>
          <t>A 31803-2021</t>
        </is>
      </c>
      <c r="B68" s="1" t="n">
        <v>44370</v>
      </c>
      <c r="C68" s="1" t="n">
        <v>45992</v>
      </c>
      <c r="D68" t="inlineStr">
        <is>
          <t>STOCKHOLMS LÄN</t>
        </is>
      </c>
      <c r="E68" t="inlineStr">
        <is>
          <t>NORRTÄLJE</t>
        </is>
      </c>
      <c r="G68" t="n">
        <v>4.6</v>
      </c>
      <c r="H68" t="n">
        <v>0</v>
      </c>
      <c r="I68" t="n">
        <v>1</v>
      </c>
      <c r="J68" t="n">
        <v>1</v>
      </c>
      <c r="K68" t="n">
        <v>0</v>
      </c>
      <c r="L68" t="n">
        <v>0</v>
      </c>
      <c r="M68" t="n">
        <v>0</v>
      </c>
      <c r="N68" t="n">
        <v>0</v>
      </c>
      <c r="O68" t="n">
        <v>1</v>
      </c>
      <c r="P68" t="n">
        <v>0</v>
      </c>
      <c r="Q68" t="n">
        <v>2</v>
      </c>
      <c r="R68" s="2" t="inlineStr">
        <is>
          <t>Slåtterfibbla
Vårärt</t>
        </is>
      </c>
      <c r="S68">
        <f>HYPERLINK("https://klasma.github.io/Logging_0188/artfynd/A 31803-2021 artfynd.xlsx", "A 31803-2021")</f>
        <v/>
      </c>
      <c r="T68">
        <f>HYPERLINK("https://klasma.github.io/Logging_0188/kartor/A 31803-2021 karta.png", "A 31803-2021")</f>
        <v/>
      </c>
      <c r="V68">
        <f>HYPERLINK("https://klasma.github.io/Logging_0188/klagomål/A 31803-2021 FSC-klagomål.docx", "A 31803-2021")</f>
        <v/>
      </c>
      <c r="W68">
        <f>HYPERLINK("https://klasma.github.io/Logging_0188/klagomålsmail/A 31803-2021 FSC-klagomål mail.docx", "A 31803-2021")</f>
        <v/>
      </c>
      <c r="X68">
        <f>HYPERLINK("https://klasma.github.io/Logging_0188/tillsyn/A 31803-2021 tillsynsbegäran.docx", "A 31803-2021")</f>
        <v/>
      </c>
      <c r="Y68">
        <f>HYPERLINK("https://klasma.github.io/Logging_0188/tillsynsmail/A 31803-2021 tillsynsbegäran mail.docx", "A 31803-2021")</f>
        <v/>
      </c>
    </row>
    <row r="69" ht="15" customHeight="1">
      <c r="A69" t="inlineStr">
        <is>
          <t>A 4634-2021</t>
        </is>
      </c>
      <c r="B69" s="1" t="n">
        <v>44224</v>
      </c>
      <c r="C69" s="1" t="n">
        <v>45992</v>
      </c>
      <c r="D69" t="inlineStr">
        <is>
          <t>STOCKHOLMS LÄN</t>
        </is>
      </c>
      <c r="E69" t="inlineStr">
        <is>
          <t>NORRTÄLJE</t>
        </is>
      </c>
      <c r="G69" t="n">
        <v>3.7</v>
      </c>
      <c r="H69" t="n">
        <v>2</v>
      </c>
      <c r="I69" t="n">
        <v>1</v>
      </c>
      <c r="J69" t="n">
        <v>0</v>
      </c>
      <c r="K69" t="n">
        <v>0</v>
      </c>
      <c r="L69" t="n">
        <v>0</v>
      </c>
      <c r="M69" t="n">
        <v>0</v>
      </c>
      <c r="N69" t="n">
        <v>0</v>
      </c>
      <c r="O69" t="n">
        <v>0</v>
      </c>
      <c r="P69" t="n">
        <v>0</v>
      </c>
      <c r="Q69" t="n">
        <v>2</v>
      </c>
      <c r="R69" s="2" t="inlineStr">
        <is>
          <t>Grön sköldmossa
Tjäder</t>
        </is>
      </c>
      <c r="S69">
        <f>HYPERLINK("https://klasma.github.io/Logging_0188/artfynd/A 4634-2021 artfynd.xlsx", "A 4634-2021")</f>
        <v/>
      </c>
      <c r="T69">
        <f>HYPERLINK("https://klasma.github.io/Logging_0188/kartor/A 4634-2021 karta.png", "A 4634-2021")</f>
        <v/>
      </c>
      <c r="V69">
        <f>HYPERLINK("https://klasma.github.io/Logging_0188/klagomål/A 4634-2021 FSC-klagomål.docx", "A 4634-2021")</f>
        <v/>
      </c>
      <c r="W69">
        <f>HYPERLINK("https://klasma.github.io/Logging_0188/klagomålsmail/A 4634-2021 FSC-klagomål mail.docx", "A 4634-2021")</f>
        <v/>
      </c>
      <c r="X69">
        <f>HYPERLINK("https://klasma.github.io/Logging_0188/tillsyn/A 4634-2021 tillsynsbegäran.docx", "A 4634-2021")</f>
        <v/>
      </c>
      <c r="Y69">
        <f>HYPERLINK("https://klasma.github.io/Logging_0188/tillsynsmail/A 4634-2021 tillsynsbegäran mail.docx", "A 4634-2021")</f>
        <v/>
      </c>
      <c r="Z69">
        <f>HYPERLINK("https://klasma.github.io/Logging_0188/fåglar/A 4634-2021 prioriterade fågelarter.docx", "A 4634-2021")</f>
        <v/>
      </c>
    </row>
    <row r="70" ht="15" customHeight="1">
      <c r="A70" t="inlineStr">
        <is>
          <t>A 58676-2021</t>
        </is>
      </c>
      <c r="B70" s="1" t="n">
        <v>44489</v>
      </c>
      <c r="C70" s="1" t="n">
        <v>45992</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38991-2022</t>
        </is>
      </c>
      <c r="B71" s="1" t="n">
        <v>44816.89569444444</v>
      </c>
      <c r="C71" s="1" t="n">
        <v>45992</v>
      </c>
      <c r="D71" t="inlineStr">
        <is>
          <t>STOCKHOLMS LÄN</t>
        </is>
      </c>
      <c r="E71" t="inlineStr">
        <is>
          <t>NORRTÄLJE</t>
        </is>
      </c>
      <c r="G71" t="n">
        <v>1.9</v>
      </c>
      <c r="H71" t="n">
        <v>0</v>
      </c>
      <c r="I71" t="n">
        <v>2</v>
      </c>
      <c r="J71" t="n">
        <v>0</v>
      </c>
      <c r="K71" t="n">
        <v>0</v>
      </c>
      <c r="L71" t="n">
        <v>0</v>
      </c>
      <c r="M71" t="n">
        <v>0</v>
      </c>
      <c r="N71" t="n">
        <v>0</v>
      </c>
      <c r="O71" t="n">
        <v>0</v>
      </c>
      <c r="P71" t="n">
        <v>0</v>
      </c>
      <c r="Q71" t="n">
        <v>2</v>
      </c>
      <c r="R71" s="2" t="inlineStr">
        <is>
          <t>Bronshjon
Grovticka</t>
        </is>
      </c>
      <c r="S71">
        <f>HYPERLINK("https://klasma.github.io/Logging_0188/artfynd/A 38991-2022 artfynd.xlsx", "A 38991-2022")</f>
        <v/>
      </c>
      <c r="T71">
        <f>HYPERLINK("https://klasma.github.io/Logging_0188/kartor/A 38991-2022 karta.png", "A 38991-2022")</f>
        <v/>
      </c>
      <c r="V71">
        <f>HYPERLINK("https://klasma.github.io/Logging_0188/klagomål/A 38991-2022 FSC-klagomål.docx", "A 38991-2022")</f>
        <v/>
      </c>
      <c r="W71">
        <f>HYPERLINK("https://klasma.github.io/Logging_0188/klagomålsmail/A 38991-2022 FSC-klagomål mail.docx", "A 38991-2022")</f>
        <v/>
      </c>
      <c r="X71">
        <f>HYPERLINK("https://klasma.github.io/Logging_0188/tillsyn/A 38991-2022 tillsynsbegäran.docx", "A 38991-2022")</f>
        <v/>
      </c>
      <c r="Y71">
        <f>HYPERLINK("https://klasma.github.io/Logging_0188/tillsynsmail/A 38991-2022 tillsynsbegäran mail.docx", "A 38991-2022")</f>
        <v/>
      </c>
    </row>
    <row r="72" ht="15" customHeight="1">
      <c r="A72" t="inlineStr">
        <is>
          <t>A 30693-2022</t>
        </is>
      </c>
      <c r="B72" s="1" t="n">
        <v>44763</v>
      </c>
      <c r="C72" s="1" t="n">
        <v>45992</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11031-2025</t>
        </is>
      </c>
      <c r="B73" s="1" t="n">
        <v>45723</v>
      </c>
      <c r="C73" s="1" t="n">
        <v>45992</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22190-2024</t>
        </is>
      </c>
      <c r="B74" s="1" t="n">
        <v>45446.35888888889</v>
      </c>
      <c r="C74" s="1" t="n">
        <v>45992</v>
      </c>
      <c r="D74" t="inlineStr">
        <is>
          <t>STOCKHOLMS LÄN</t>
        </is>
      </c>
      <c r="E74" t="inlineStr">
        <is>
          <t>NORRTÄLJE</t>
        </is>
      </c>
      <c r="G74" t="n">
        <v>2.8</v>
      </c>
      <c r="H74" t="n">
        <v>2</v>
      </c>
      <c r="I74" t="n">
        <v>1</v>
      </c>
      <c r="J74" t="n">
        <v>0</v>
      </c>
      <c r="K74" t="n">
        <v>0</v>
      </c>
      <c r="L74" t="n">
        <v>0</v>
      </c>
      <c r="M74" t="n">
        <v>0</v>
      </c>
      <c r="N74" t="n">
        <v>0</v>
      </c>
      <c r="O74" t="n">
        <v>0</v>
      </c>
      <c r="P74" t="n">
        <v>0</v>
      </c>
      <c r="Q74" t="n">
        <v>2</v>
      </c>
      <c r="R74" s="2" t="inlineStr">
        <is>
          <t>Skogsknipprot
Vanlig groda</t>
        </is>
      </c>
      <c r="S74">
        <f>HYPERLINK("https://klasma.github.io/Logging_0188/artfynd/A 22190-2024 artfynd.xlsx", "A 22190-2024")</f>
        <v/>
      </c>
      <c r="T74">
        <f>HYPERLINK("https://klasma.github.io/Logging_0188/kartor/A 22190-2024 karta.png", "A 22190-2024")</f>
        <v/>
      </c>
      <c r="V74">
        <f>HYPERLINK("https://klasma.github.io/Logging_0188/klagomål/A 22190-2024 FSC-klagomål.docx", "A 22190-2024")</f>
        <v/>
      </c>
      <c r="W74">
        <f>HYPERLINK("https://klasma.github.io/Logging_0188/klagomålsmail/A 22190-2024 FSC-klagomål mail.docx", "A 22190-2024")</f>
        <v/>
      </c>
      <c r="X74">
        <f>HYPERLINK("https://klasma.github.io/Logging_0188/tillsyn/A 22190-2024 tillsynsbegäran.docx", "A 22190-2024")</f>
        <v/>
      </c>
      <c r="Y74">
        <f>HYPERLINK("https://klasma.github.io/Logging_0188/tillsynsmail/A 22190-2024 tillsynsbegäran mail.docx", "A 22190-2024")</f>
        <v/>
      </c>
    </row>
    <row r="75" ht="15" customHeight="1">
      <c r="A75" t="inlineStr">
        <is>
          <t>A 53608-2025</t>
        </is>
      </c>
      <c r="B75" s="1" t="n">
        <v>45960</v>
      </c>
      <c r="C75" s="1" t="n">
        <v>45992</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51980-2022</t>
        </is>
      </c>
      <c r="B76" s="1" t="n">
        <v>44872</v>
      </c>
      <c r="C76" s="1" t="n">
        <v>45992</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50697-2025</t>
        </is>
      </c>
      <c r="B77" s="1" t="n">
        <v>45945.90854166666</v>
      </c>
      <c r="C77" s="1" t="n">
        <v>45992</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51220-2023</t>
        </is>
      </c>
      <c r="B78" s="1" t="n">
        <v>45219</v>
      </c>
      <c r="C78" s="1" t="n">
        <v>45992</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52124-2022</t>
        </is>
      </c>
      <c r="B79" s="1" t="n">
        <v>44868</v>
      </c>
      <c r="C79" s="1" t="n">
        <v>45992</v>
      </c>
      <c r="D79" t="inlineStr">
        <is>
          <t>STOCKHOLMS LÄN</t>
        </is>
      </c>
      <c r="E79" t="inlineStr">
        <is>
          <t>NORRTÄLJE</t>
        </is>
      </c>
      <c r="G79" t="n">
        <v>4.8</v>
      </c>
      <c r="H79" t="n">
        <v>1</v>
      </c>
      <c r="I79" t="n">
        <v>0</v>
      </c>
      <c r="J79" t="n">
        <v>1</v>
      </c>
      <c r="K79" t="n">
        <v>0</v>
      </c>
      <c r="L79" t="n">
        <v>0</v>
      </c>
      <c r="M79" t="n">
        <v>0</v>
      </c>
      <c r="N79" t="n">
        <v>0</v>
      </c>
      <c r="O79" t="n">
        <v>1</v>
      </c>
      <c r="P79" t="n">
        <v>0</v>
      </c>
      <c r="Q79" t="n">
        <v>2</v>
      </c>
      <c r="R79" s="2" t="inlineStr">
        <is>
          <t>Kandelabersvamp
Blåsippa</t>
        </is>
      </c>
      <c r="S79">
        <f>HYPERLINK("https://klasma.github.io/Logging_0188/artfynd/A 52124-2022 artfynd.xlsx", "A 52124-2022")</f>
        <v/>
      </c>
      <c r="T79">
        <f>HYPERLINK("https://klasma.github.io/Logging_0188/kartor/A 52124-2022 karta.png", "A 52124-2022")</f>
        <v/>
      </c>
      <c r="V79">
        <f>HYPERLINK("https://klasma.github.io/Logging_0188/klagomål/A 52124-2022 FSC-klagomål.docx", "A 52124-2022")</f>
        <v/>
      </c>
      <c r="W79">
        <f>HYPERLINK("https://klasma.github.io/Logging_0188/klagomålsmail/A 52124-2022 FSC-klagomål mail.docx", "A 52124-2022")</f>
        <v/>
      </c>
      <c r="X79">
        <f>HYPERLINK("https://klasma.github.io/Logging_0188/tillsyn/A 52124-2022 tillsynsbegäran.docx", "A 52124-2022")</f>
        <v/>
      </c>
      <c r="Y79">
        <f>HYPERLINK("https://klasma.github.io/Logging_0188/tillsynsmail/A 52124-2022 tillsynsbegäran mail.docx", "A 52124-2022")</f>
        <v/>
      </c>
    </row>
    <row r="80" ht="15" customHeight="1">
      <c r="A80" t="inlineStr">
        <is>
          <t>A 52825-2023</t>
        </is>
      </c>
      <c r="B80" s="1" t="n">
        <v>45226</v>
      </c>
      <c r="C80" s="1" t="n">
        <v>45992</v>
      </c>
      <c r="D80" t="inlineStr">
        <is>
          <t>STOCKHOLMS LÄN</t>
        </is>
      </c>
      <c r="E80" t="inlineStr">
        <is>
          <t>NORRTÄLJE</t>
        </is>
      </c>
      <c r="G80" t="n">
        <v>1</v>
      </c>
      <c r="H80" t="n">
        <v>0</v>
      </c>
      <c r="I80" t="n">
        <v>2</v>
      </c>
      <c r="J80" t="n">
        <v>0</v>
      </c>
      <c r="K80" t="n">
        <v>0</v>
      </c>
      <c r="L80" t="n">
        <v>0</v>
      </c>
      <c r="M80" t="n">
        <v>0</v>
      </c>
      <c r="N80" t="n">
        <v>0</v>
      </c>
      <c r="O80" t="n">
        <v>0</v>
      </c>
      <c r="P80" t="n">
        <v>0</v>
      </c>
      <c r="Q80" t="n">
        <v>2</v>
      </c>
      <c r="R80" s="2" t="inlineStr">
        <is>
          <t>Fjällig taggsvamp s.str.
Strimspindling</t>
        </is>
      </c>
      <c r="S80">
        <f>HYPERLINK("https://klasma.github.io/Logging_0188/artfynd/A 52825-2023 artfynd.xlsx", "A 52825-2023")</f>
        <v/>
      </c>
      <c r="T80">
        <f>HYPERLINK("https://klasma.github.io/Logging_0188/kartor/A 52825-2023 karta.png", "A 52825-2023")</f>
        <v/>
      </c>
      <c r="V80">
        <f>HYPERLINK("https://klasma.github.io/Logging_0188/klagomål/A 52825-2023 FSC-klagomål.docx", "A 52825-2023")</f>
        <v/>
      </c>
      <c r="W80">
        <f>HYPERLINK("https://klasma.github.io/Logging_0188/klagomålsmail/A 52825-2023 FSC-klagomål mail.docx", "A 52825-2023")</f>
        <v/>
      </c>
      <c r="X80">
        <f>HYPERLINK("https://klasma.github.io/Logging_0188/tillsyn/A 52825-2023 tillsynsbegäran.docx", "A 52825-2023")</f>
        <v/>
      </c>
      <c r="Y80">
        <f>HYPERLINK("https://klasma.github.io/Logging_0188/tillsynsmail/A 52825-2023 tillsynsbegäran mail.docx", "A 52825-2023")</f>
        <v/>
      </c>
    </row>
    <row r="81" ht="15" customHeight="1">
      <c r="A81" t="inlineStr">
        <is>
          <t>A 16260-2022</t>
        </is>
      </c>
      <c r="B81" s="1" t="n">
        <v>44670</v>
      </c>
      <c r="C81" s="1" t="n">
        <v>45992</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52360-2024</t>
        </is>
      </c>
      <c r="B82" s="1" t="n">
        <v>45609.37094907407</v>
      </c>
      <c r="C82" s="1" t="n">
        <v>45992</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1547-2022</t>
        </is>
      </c>
      <c r="B83" s="1" t="n">
        <v>44573</v>
      </c>
      <c r="C83" s="1" t="n">
        <v>45992</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45992</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30138-2021</t>
        </is>
      </c>
      <c r="B85" s="1" t="n">
        <v>44363</v>
      </c>
      <c r="C85" s="1" t="n">
        <v>45992</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45992</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45992</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11429-2023</t>
        </is>
      </c>
      <c r="B88" s="1" t="n">
        <v>44993</v>
      </c>
      <c r="C88" s="1" t="n">
        <v>45992</v>
      </c>
      <c r="D88" t="inlineStr">
        <is>
          <t>STOCKHOLMS LÄN</t>
        </is>
      </c>
      <c r="E88" t="inlineStr">
        <is>
          <t>NORRTÄLJE</t>
        </is>
      </c>
      <c r="G88" t="n">
        <v>2</v>
      </c>
      <c r="H88" t="n">
        <v>0</v>
      </c>
      <c r="I88" t="n">
        <v>0</v>
      </c>
      <c r="J88" t="n">
        <v>1</v>
      </c>
      <c r="K88" t="n">
        <v>0</v>
      </c>
      <c r="L88" t="n">
        <v>0</v>
      </c>
      <c r="M88" t="n">
        <v>0</v>
      </c>
      <c r="N88" t="n">
        <v>0</v>
      </c>
      <c r="O88" t="n">
        <v>1</v>
      </c>
      <c r="P88" t="n">
        <v>0</v>
      </c>
      <c r="Q88" t="n">
        <v>1</v>
      </c>
      <c r="R88" s="2" t="inlineStr">
        <is>
          <t>Skogsklocka</t>
        </is>
      </c>
      <c r="S88">
        <f>HYPERLINK("https://klasma.github.io/Logging_0188/artfynd/A 11429-2023 artfynd.xlsx", "A 11429-2023")</f>
        <v/>
      </c>
      <c r="T88">
        <f>HYPERLINK("https://klasma.github.io/Logging_0188/kartor/A 11429-2023 karta.png", "A 11429-2023")</f>
        <v/>
      </c>
      <c r="V88">
        <f>HYPERLINK("https://klasma.github.io/Logging_0188/klagomål/A 11429-2023 FSC-klagomål.docx", "A 11429-2023")</f>
        <v/>
      </c>
      <c r="W88">
        <f>HYPERLINK("https://klasma.github.io/Logging_0188/klagomålsmail/A 11429-2023 FSC-klagomål mail.docx", "A 11429-2023")</f>
        <v/>
      </c>
      <c r="X88">
        <f>HYPERLINK("https://klasma.github.io/Logging_0188/tillsyn/A 11429-2023 tillsynsbegäran.docx", "A 11429-2023")</f>
        <v/>
      </c>
      <c r="Y88">
        <f>HYPERLINK("https://klasma.github.io/Logging_0188/tillsynsmail/A 11429-2023 tillsynsbegäran mail.docx", "A 11429-2023")</f>
        <v/>
      </c>
    </row>
    <row r="89" ht="15" customHeight="1">
      <c r="A89" t="inlineStr">
        <is>
          <t>A 4595-2023</t>
        </is>
      </c>
      <c r="B89" s="1" t="n">
        <v>44956</v>
      </c>
      <c r="C89" s="1" t="n">
        <v>45992</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23905-2025</t>
        </is>
      </c>
      <c r="B90" s="1" t="n">
        <v>45794.63298611111</v>
      </c>
      <c r="C90" s="1" t="n">
        <v>45992</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24535-2023</t>
        </is>
      </c>
      <c r="B91" s="1" t="n">
        <v>45082</v>
      </c>
      <c r="C91" s="1" t="n">
        <v>45992</v>
      </c>
      <c r="D91" t="inlineStr">
        <is>
          <t>STOCKHOLMS LÄN</t>
        </is>
      </c>
      <c r="E91" t="inlineStr">
        <is>
          <t>NORRTÄLJE</t>
        </is>
      </c>
      <c r="F91" t="inlineStr">
        <is>
          <t>Kommuner</t>
        </is>
      </c>
      <c r="G91" t="n">
        <v>2</v>
      </c>
      <c r="H91" t="n">
        <v>1</v>
      </c>
      <c r="I91" t="n">
        <v>0</v>
      </c>
      <c r="J91" t="n">
        <v>0</v>
      </c>
      <c r="K91" t="n">
        <v>0</v>
      </c>
      <c r="L91" t="n">
        <v>0</v>
      </c>
      <c r="M91" t="n">
        <v>0</v>
      </c>
      <c r="N91" t="n">
        <v>0</v>
      </c>
      <c r="O91" t="n">
        <v>0</v>
      </c>
      <c r="P91" t="n">
        <v>0</v>
      </c>
      <c r="Q91" t="n">
        <v>1</v>
      </c>
      <c r="R91" s="2" t="inlineStr">
        <is>
          <t>Blåsippa</t>
        </is>
      </c>
      <c r="S91">
        <f>HYPERLINK("https://klasma.github.io/Logging_0188/artfynd/A 24535-2023 artfynd.xlsx", "A 24535-2023")</f>
        <v/>
      </c>
      <c r="T91">
        <f>HYPERLINK("https://klasma.github.io/Logging_0188/kartor/A 24535-2023 karta.png", "A 24535-2023")</f>
        <v/>
      </c>
      <c r="V91">
        <f>HYPERLINK("https://klasma.github.io/Logging_0188/klagomål/A 24535-2023 FSC-klagomål.docx", "A 24535-2023")</f>
        <v/>
      </c>
      <c r="W91">
        <f>HYPERLINK("https://klasma.github.io/Logging_0188/klagomålsmail/A 24535-2023 FSC-klagomål mail.docx", "A 24535-2023")</f>
        <v/>
      </c>
      <c r="X91">
        <f>HYPERLINK("https://klasma.github.io/Logging_0188/tillsyn/A 24535-2023 tillsynsbegäran.docx", "A 24535-2023")</f>
        <v/>
      </c>
      <c r="Y91">
        <f>HYPERLINK("https://klasma.github.io/Logging_0188/tillsynsmail/A 24535-2023 tillsynsbegäran mail.docx", "A 24535-2023")</f>
        <v/>
      </c>
    </row>
    <row r="92" ht="15" customHeight="1">
      <c r="A92" t="inlineStr">
        <is>
          <t>A 25669-2025</t>
        </is>
      </c>
      <c r="B92" s="1" t="n">
        <v>45803.62766203703</v>
      </c>
      <c r="C92" s="1" t="n">
        <v>45992</v>
      </c>
      <c r="D92" t="inlineStr">
        <is>
          <t>STOCKHOLMS LÄN</t>
        </is>
      </c>
      <c r="E92" t="inlineStr">
        <is>
          <t>NORRTÄLJE</t>
        </is>
      </c>
      <c r="F92" t="inlineStr">
        <is>
          <t>Holmen skog AB</t>
        </is>
      </c>
      <c r="G92" t="n">
        <v>3.1</v>
      </c>
      <c r="H92" t="n">
        <v>1</v>
      </c>
      <c r="I92" t="n">
        <v>0</v>
      </c>
      <c r="J92" t="n">
        <v>0</v>
      </c>
      <c r="K92" t="n">
        <v>0</v>
      </c>
      <c r="L92" t="n">
        <v>0</v>
      </c>
      <c r="M92" t="n">
        <v>0</v>
      </c>
      <c r="N92" t="n">
        <v>0</v>
      </c>
      <c r="O92" t="n">
        <v>0</v>
      </c>
      <c r="P92" t="n">
        <v>0</v>
      </c>
      <c r="Q92" t="n">
        <v>1</v>
      </c>
      <c r="R92" s="2" t="inlineStr">
        <is>
          <t>Tjäder</t>
        </is>
      </c>
      <c r="S92">
        <f>HYPERLINK("https://klasma.github.io/Logging_0188/artfynd/A 25669-2025 artfynd.xlsx", "A 25669-2025")</f>
        <v/>
      </c>
      <c r="T92">
        <f>HYPERLINK("https://klasma.github.io/Logging_0188/kartor/A 25669-2025 karta.png", "A 25669-2025")</f>
        <v/>
      </c>
      <c r="V92">
        <f>HYPERLINK("https://klasma.github.io/Logging_0188/klagomål/A 25669-2025 FSC-klagomål.docx", "A 25669-2025")</f>
        <v/>
      </c>
      <c r="W92">
        <f>HYPERLINK("https://klasma.github.io/Logging_0188/klagomålsmail/A 25669-2025 FSC-klagomål mail.docx", "A 25669-2025")</f>
        <v/>
      </c>
      <c r="X92">
        <f>HYPERLINK("https://klasma.github.io/Logging_0188/tillsyn/A 25669-2025 tillsynsbegäran.docx", "A 25669-2025")</f>
        <v/>
      </c>
      <c r="Y92">
        <f>HYPERLINK("https://klasma.github.io/Logging_0188/tillsynsmail/A 25669-2025 tillsynsbegäran mail.docx", "A 25669-2025")</f>
        <v/>
      </c>
      <c r="Z92">
        <f>HYPERLINK("https://klasma.github.io/Logging_0188/fåglar/A 25669-2025 prioriterade fågelarter.docx", "A 25669-2025")</f>
        <v/>
      </c>
    </row>
    <row r="93" ht="15" customHeight="1">
      <c r="A93" t="inlineStr">
        <is>
          <t>A 35764-2024</t>
        </is>
      </c>
      <c r="B93" s="1" t="n">
        <v>45532</v>
      </c>
      <c r="C93" s="1" t="n">
        <v>45992</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35649-2023</t>
        </is>
      </c>
      <c r="B94" s="1" t="n">
        <v>45146</v>
      </c>
      <c r="C94" s="1" t="n">
        <v>45992</v>
      </c>
      <c r="D94" t="inlineStr">
        <is>
          <t>STOCKHOLMS LÄN</t>
        </is>
      </c>
      <c r="E94" t="inlineStr">
        <is>
          <t>NORRTÄLJE</t>
        </is>
      </c>
      <c r="G94" t="n">
        <v>25.1</v>
      </c>
      <c r="H94" t="n">
        <v>0</v>
      </c>
      <c r="I94" t="n">
        <v>0</v>
      </c>
      <c r="J94" t="n">
        <v>1</v>
      </c>
      <c r="K94" t="n">
        <v>0</v>
      </c>
      <c r="L94" t="n">
        <v>0</v>
      </c>
      <c r="M94" t="n">
        <v>0</v>
      </c>
      <c r="N94" t="n">
        <v>0</v>
      </c>
      <c r="O94" t="n">
        <v>1</v>
      </c>
      <c r="P94" t="n">
        <v>0</v>
      </c>
      <c r="Q94" t="n">
        <v>1</v>
      </c>
      <c r="R94" s="2" t="inlineStr">
        <is>
          <t>Månlåsbräken</t>
        </is>
      </c>
      <c r="S94">
        <f>HYPERLINK("https://klasma.github.io/Logging_0188/artfynd/A 35649-2023 artfynd.xlsx", "A 35649-2023")</f>
        <v/>
      </c>
      <c r="T94">
        <f>HYPERLINK("https://klasma.github.io/Logging_0188/kartor/A 35649-2023 karta.png", "A 35649-2023")</f>
        <v/>
      </c>
      <c r="V94">
        <f>HYPERLINK("https://klasma.github.io/Logging_0188/klagomål/A 35649-2023 FSC-klagomål.docx", "A 35649-2023")</f>
        <v/>
      </c>
      <c r="W94">
        <f>HYPERLINK("https://klasma.github.io/Logging_0188/klagomålsmail/A 35649-2023 FSC-klagomål mail.docx", "A 35649-2023")</f>
        <v/>
      </c>
      <c r="X94">
        <f>HYPERLINK("https://klasma.github.io/Logging_0188/tillsyn/A 35649-2023 tillsynsbegäran.docx", "A 35649-2023")</f>
        <v/>
      </c>
      <c r="Y94">
        <f>HYPERLINK("https://klasma.github.io/Logging_0188/tillsynsmail/A 35649-2023 tillsynsbegäran mail.docx", "A 35649-2023")</f>
        <v/>
      </c>
    </row>
    <row r="95" ht="15" customHeight="1">
      <c r="A95" t="inlineStr">
        <is>
          <t>A 4532-2025</t>
        </is>
      </c>
      <c r="B95" s="1" t="n">
        <v>45687.34177083334</v>
      </c>
      <c r="C95" s="1" t="n">
        <v>45992</v>
      </c>
      <c r="D95" t="inlineStr">
        <is>
          <t>STOCKHOLMS LÄN</t>
        </is>
      </c>
      <c r="E95" t="inlineStr">
        <is>
          <t>NORRTÄLJE</t>
        </is>
      </c>
      <c r="F95" t="inlineStr">
        <is>
          <t>Holmen skog AB</t>
        </is>
      </c>
      <c r="G95" t="n">
        <v>6.4</v>
      </c>
      <c r="H95" t="n">
        <v>1</v>
      </c>
      <c r="I95" t="n">
        <v>0</v>
      </c>
      <c r="J95" t="n">
        <v>0</v>
      </c>
      <c r="K95" t="n">
        <v>0</v>
      </c>
      <c r="L95" t="n">
        <v>1</v>
      </c>
      <c r="M95" t="n">
        <v>0</v>
      </c>
      <c r="N95" t="n">
        <v>0</v>
      </c>
      <c r="O95" t="n">
        <v>1</v>
      </c>
      <c r="P95" t="n">
        <v>1</v>
      </c>
      <c r="Q95" t="n">
        <v>1</v>
      </c>
      <c r="R95" s="2" t="inlineStr">
        <is>
          <t>Asknätfjäril</t>
        </is>
      </c>
      <c r="S95">
        <f>HYPERLINK("https://klasma.github.io/Logging_0188/artfynd/A 4532-2025 artfynd.xlsx", "A 4532-2025")</f>
        <v/>
      </c>
      <c r="T95">
        <f>HYPERLINK("https://klasma.github.io/Logging_0188/kartor/A 4532-2025 karta.png", "A 4532-2025")</f>
        <v/>
      </c>
      <c r="V95">
        <f>HYPERLINK("https://klasma.github.io/Logging_0188/klagomål/A 4532-2025 FSC-klagomål.docx", "A 4532-2025")</f>
        <v/>
      </c>
      <c r="W95">
        <f>HYPERLINK("https://klasma.github.io/Logging_0188/klagomålsmail/A 4532-2025 FSC-klagomål mail.docx", "A 4532-2025")</f>
        <v/>
      </c>
      <c r="X95">
        <f>HYPERLINK("https://klasma.github.io/Logging_0188/tillsyn/A 4532-2025 tillsynsbegäran.docx", "A 4532-2025")</f>
        <v/>
      </c>
      <c r="Y95">
        <f>HYPERLINK("https://klasma.github.io/Logging_0188/tillsynsmail/A 4532-2025 tillsynsbegäran mail.docx", "A 4532-2025")</f>
        <v/>
      </c>
    </row>
    <row r="96" ht="15" customHeight="1">
      <c r="A96" t="inlineStr">
        <is>
          <t>A 35691-2023</t>
        </is>
      </c>
      <c r="B96" s="1" t="n">
        <v>45147.65222222222</v>
      </c>
      <c r="C96" s="1" t="n">
        <v>45992</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45992</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40861-2025</t>
        </is>
      </c>
      <c r="B98" s="1" t="n">
        <v>45897.56356481482</v>
      </c>
      <c r="C98" s="1" t="n">
        <v>45992</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13271-2025</t>
        </is>
      </c>
      <c r="B99" s="1" t="n">
        <v>45735.54510416667</v>
      </c>
      <c r="C99" s="1" t="n">
        <v>45992</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6381-2023</t>
        </is>
      </c>
      <c r="B100" s="1" t="n">
        <v>44965</v>
      </c>
      <c r="C100" s="1" t="n">
        <v>45992</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50854-2022</t>
        </is>
      </c>
      <c r="B101" s="1" t="n">
        <v>44863</v>
      </c>
      <c r="C101" s="1" t="n">
        <v>45992</v>
      </c>
      <c r="D101" t="inlineStr">
        <is>
          <t>STOCKHOLMS LÄN</t>
        </is>
      </c>
      <c r="E101" t="inlineStr">
        <is>
          <t>NORRTÄLJE</t>
        </is>
      </c>
      <c r="G101" t="n">
        <v>2.9</v>
      </c>
      <c r="H101" t="n">
        <v>0</v>
      </c>
      <c r="I101" t="n">
        <v>1</v>
      </c>
      <c r="J101" t="n">
        <v>0</v>
      </c>
      <c r="K101" t="n">
        <v>0</v>
      </c>
      <c r="L101" t="n">
        <v>0</v>
      </c>
      <c r="M101" t="n">
        <v>0</v>
      </c>
      <c r="N101" t="n">
        <v>0</v>
      </c>
      <c r="O101" t="n">
        <v>0</v>
      </c>
      <c r="P101" t="n">
        <v>0</v>
      </c>
      <c r="Q101" t="n">
        <v>1</v>
      </c>
      <c r="R101" s="2" t="inlineStr">
        <is>
          <t>Tibast</t>
        </is>
      </c>
      <c r="S101">
        <f>HYPERLINK("https://klasma.github.io/Logging_0188/artfynd/A 50854-2022 artfynd.xlsx", "A 50854-2022")</f>
        <v/>
      </c>
      <c r="T101">
        <f>HYPERLINK("https://klasma.github.io/Logging_0188/kartor/A 50854-2022 karta.png", "A 50854-2022")</f>
        <v/>
      </c>
      <c r="V101">
        <f>HYPERLINK("https://klasma.github.io/Logging_0188/klagomål/A 50854-2022 FSC-klagomål.docx", "A 50854-2022")</f>
        <v/>
      </c>
      <c r="W101">
        <f>HYPERLINK("https://klasma.github.io/Logging_0188/klagomålsmail/A 50854-2022 FSC-klagomål mail.docx", "A 50854-2022")</f>
        <v/>
      </c>
      <c r="X101">
        <f>HYPERLINK("https://klasma.github.io/Logging_0188/tillsyn/A 50854-2022 tillsynsbegäran.docx", "A 50854-2022")</f>
        <v/>
      </c>
      <c r="Y101">
        <f>HYPERLINK("https://klasma.github.io/Logging_0188/tillsynsmail/A 50854-2022 tillsynsbegäran mail.docx", "A 50854-2022")</f>
        <v/>
      </c>
    </row>
    <row r="102" ht="15" customHeight="1">
      <c r="A102" t="inlineStr">
        <is>
          <t>A 42313-2025</t>
        </is>
      </c>
      <c r="B102" s="1" t="n">
        <v>45904.6575</v>
      </c>
      <c r="C102" s="1" t="n">
        <v>45992</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29946-2025</t>
        </is>
      </c>
      <c r="B103" s="1" t="n">
        <v>45826.46392361111</v>
      </c>
      <c r="C103" s="1" t="n">
        <v>45992</v>
      </c>
      <c r="D103" t="inlineStr">
        <is>
          <t>STOCKHOLMS LÄN</t>
        </is>
      </c>
      <c r="E103" t="inlineStr">
        <is>
          <t>NORRTÄLJE</t>
        </is>
      </c>
      <c r="F103" t="inlineStr">
        <is>
          <t>Holmen skog AB</t>
        </is>
      </c>
      <c r="G103" t="n">
        <v>3.6</v>
      </c>
      <c r="H103" t="n">
        <v>1</v>
      </c>
      <c r="I103" t="n">
        <v>0</v>
      </c>
      <c r="J103" t="n">
        <v>0</v>
      </c>
      <c r="K103" t="n">
        <v>0</v>
      </c>
      <c r="L103" t="n">
        <v>1</v>
      </c>
      <c r="M103" t="n">
        <v>0</v>
      </c>
      <c r="N103" t="n">
        <v>0</v>
      </c>
      <c r="O103" t="n">
        <v>1</v>
      </c>
      <c r="P103" t="n">
        <v>1</v>
      </c>
      <c r="Q103" t="n">
        <v>1</v>
      </c>
      <c r="R103" s="2" t="inlineStr">
        <is>
          <t>Asknätfjäril</t>
        </is>
      </c>
      <c r="S103">
        <f>HYPERLINK("https://klasma.github.io/Logging_0188/artfynd/A 29946-2025 artfynd.xlsx", "A 29946-2025")</f>
        <v/>
      </c>
      <c r="T103">
        <f>HYPERLINK("https://klasma.github.io/Logging_0188/kartor/A 29946-2025 karta.png", "A 29946-2025")</f>
        <v/>
      </c>
      <c r="V103">
        <f>HYPERLINK("https://klasma.github.io/Logging_0188/klagomål/A 29946-2025 FSC-klagomål.docx", "A 29946-2025")</f>
        <v/>
      </c>
      <c r="W103">
        <f>HYPERLINK("https://klasma.github.io/Logging_0188/klagomålsmail/A 29946-2025 FSC-klagomål mail.docx", "A 29946-2025")</f>
        <v/>
      </c>
      <c r="X103">
        <f>HYPERLINK("https://klasma.github.io/Logging_0188/tillsyn/A 29946-2025 tillsynsbegäran.docx", "A 29946-2025")</f>
        <v/>
      </c>
      <c r="Y103">
        <f>HYPERLINK("https://klasma.github.io/Logging_0188/tillsynsmail/A 29946-2025 tillsynsbegäran mail.docx", "A 29946-2025")</f>
        <v/>
      </c>
    </row>
    <row r="104" ht="15" customHeight="1">
      <c r="A104" t="inlineStr">
        <is>
          <t>A 33548-2025</t>
        </is>
      </c>
      <c r="B104" s="1" t="n">
        <v>45841.5721875</v>
      </c>
      <c r="C104" s="1" t="n">
        <v>45992</v>
      </c>
      <c r="D104" t="inlineStr">
        <is>
          <t>STOCKHOLMS LÄN</t>
        </is>
      </c>
      <c r="E104" t="inlineStr">
        <is>
          <t>NORRTÄLJE</t>
        </is>
      </c>
      <c r="G104" t="n">
        <v>12.2</v>
      </c>
      <c r="H104" t="n">
        <v>0</v>
      </c>
      <c r="I104" t="n">
        <v>0</v>
      </c>
      <c r="J104" t="n">
        <v>1</v>
      </c>
      <c r="K104" t="n">
        <v>0</v>
      </c>
      <c r="L104" t="n">
        <v>0</v>
      </c>
      <c r="M104" t="n">
        <v>0</v>
      </c>
      <c r="N104" t="n">
        <v>0</v>
      </c>
      <c r="O104" t="n">
        <v>1</v>
      </c>
      <c r="P104" t="n">
        <v>0</v>
      </c>
      <c r="Q104" t="n">
        <v>1</v>
      </c>
      <c r="R104" s="2" t="inlineStr">
        <is>
          <t>Dofttaggsvamp</t>
        </is>
      </c>
      <c r="S104">
        <f>HYPERLINK("https://klasma.github.io/Logging_0188/artfynd/A 33548-2025 artfynd.xlsx", "A 33548-2025")</f>
        <v/>
      </c>
      <c r="T104">
        <f>HYPERLINK("https://klasma.github.io/Logging_0188/kartor/A 33548-2025 karta.png", "A 33548-2025")</f>
        <v/>
      </c>
      <c r="V104">
        <f>HYPERLINK("https://klasma.github.io/Logging_0188/klagomål/A 33548-2025 FSC-klagomål.docx", "A 33548-2025")</f>
        <v/>
      </c>
      <c r="W104">
        <f>HYPERLINK("https://klasma.github.io/Logging_0188/klagomålsmail/A 33548-2025 FSC-klagomål mail.docx", "A 33548-2025")</f>
        <v/>
      </c>
      <c r="X104">
        <f>HYPERLINK("https://klasma.github.io/Logging_0188/tillsyn/A 33548-2025 tillsynsbegäran.docx", "A 33548-2025")</f>
        <v/>
      </c>
      <c r="Y104">
        <f>HYPERLINK("https://klasma.github.io/Logging_0188/tillsynsmail/A 33548-2025 tillsynsbegäran mail.docx", "A 33548-2025")</f>
        <v/>
      </c>
    </row>
    <row r="105" ht="15" customHeight="1">
      <c r="A105" t="inlineStr">
        <is>
          <t>A 26120-2024</t>
        </is>
      </c>
      <c r="B105" s="1" t="n">
        <v>45468.45995370371</v>
      </c>
      <c r="C105" s="1" t="n">
        <v>45992</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33546-2025</t>
        </is>
      </c>
      <c r="B106" s="1" t="n">
        <v>45841.56996527778</v>
      </c>
      <c r="C106" s="1" t="n">
        <v>45992</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52775-2025</t>
        </is>
      </c>
      <c r="B107" s="1" t="n">
        <v>45957.41608796296</v>
      </c>
      <c r="C107" s="1" t="n">
        <v>45992</v>
      </c>
      <c r="D107" t="inlineStr">
        <is>
          <t>STOCKHOLMS LÄN</t>
        </is>
      </c>
      <c r="E107" t="inlineStr">
        <is>
          <t>NORRTÄLJE</t>
        </is>
      </c>
      <c r="F107" t="inlineStr">
        <is>
          <t>Sveaskog</t>
        </is>
      </c>
      <c r="G107" t="n">
        <v>5.6</v>
      </c>
      <c r="H107" t="n">
        <v>0</v>
      </c>
      <c r="I107" t="n">
        <v>0</v>
      </c>
      <c r="J107" t="n">
        <v>1</v>
      </c>
      <c r="K107" t="n">
        <v>0</v>
      </c>
      <c r="L107" t="n">
        <v>0</v>
      </c>
      <c r="M107" t="n">
        <v>0</v>
      </c>
      <c r="N107" t="n">
        <v>0</v>
      </c>
      <c r="O107" t="n">
        <v>1</v>
      </c>
      <c r="P107" t="n">
        <v>0</v>
      </c>
      <c r="Q107" t="n">
        <v>1</v>
      </c>
      <c r="R107" s="2" t="inlineStr">
        <is>
          <t>Vedtrappmossa</t>
        </is>
      </c>
      <c r="S107">
        <f>HYPERLINK("https://klasma.github.io/Logging_0188/artfynd/A 52775-2025 artfynd.xlsx", "A 52775-2025")</f>
        <v/>
      </c>
      <c r="T107">
        <f>HYPERLINK("https://klasma.github.io/Logging_0188/kartor/A 52775-2025 karta.png", "A 52775-2025")</f>
        <v/>
      </c>
      <c r="V107">
        <f>HYPERLINK("https://klasma.github.io/Logging_0188/klagomål/A 52775-2025 FSC-klagomål.docx", "A 52775-2025")</f>
        <v/>
      </c>
      <c r="W107">
        <f>HYPERLINK("https://klasma.github.io/Logging_0188/klagomålsmail/A 52775-2025 FSC-klagomål mail.docx", "A 52775-2025")</f>
        <v/>
      </c>
      <c r="X107">
        <f>HYPERLINK("https://klasma.github.io/Logging_0188/tillsyn/A 52775-2025 tillsynsbegäran.docx", "A 52775-2025")</f>
        <v/>
      </c>
      <c r="Y107">
        <f>HYPERLINK("https://klasma.github.io/Logging_0188/tillsynsmail/A 52775-2025 tillsynsbegäran mail.docx", "A 52775-2025")</f>
        <v/>
      </c>
    </row>
    <row r="108" ht="15" customHeight="1">
      <c r="A108" t="inlineStr">
        <is>
          <t>A 64456-2023</t>
        </is>
      </c>
      <c r="B108" s="1" t="n">
        <v>45280</v>
      </c>
      <c r="C108" s="1" t="n">
        <v>45992</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53716-2025</t>
        </is>
      </c>
      <c r="B109" s="1" t="n">
        <v>45960.61782407408</v>
      </c>
      <c r="C109" s="1" t="n">
        <v>45992</v>
      </c>
      <c r="D109" t="inlineStr">
        <is>
          <t>STOCKHOLMS LÄN</t>
        </is>
      </c>
      <c r="E109" t="inlineStr">
        <is>
          <t>NORRTÄLJE</t>
        </is>
      </c>
      <c r="G109" t="n">
        <v>3.4</v>
      </c>
      <c r="H109" t="n">
        <v>0</v>
      </c>
      <c r="I109" t="n">
        <v>0</v>
      </c>
      <c r="J109" t="n">
        <v>0</v>
      </c>
      <c r="K109" t="n">
        <v>0</v>
      </c>
      <c r="L109" t="n">
        <v>1</v>
      </c>
      <c r="M109" t="n">
        <v>0</v>
      </c>
      <c r="N109" t="n">
        <v>0</v>
      </c>
      <c r="O109" t="n">
        <v>1</v>
      </c>
      <c r="P109" t="n">
        <v>1</v>
      </c>
      <c r="Q109" t="n">
        <v>1</v>
      </c>
      <c r="R109" s="2" t="inlineStr">
        <is>
          <t>Fältgentiana</t>
        </is>
      </c>
      <c r="S109">
        <f>HYPERLINK("https://klasma.github.io/Logging_0188/artfynd/A 53716-2025 artfynd.xlsx", "A 53716-2025")</f>
        <v/>
      </c>
      <c r="T109">
        <f>HYPERLINK("https://klasma.github.io/Logging_0188/kartor/A 53716-2025 karta.png", "A 53716-2025")</f>
        <v/>
      </c>
      <c r="V109">
        <f>HYPERLINK("https://klasma.github.io/Logging_0188/klagomål/A 53716-2025 FSC-klagomål.docx", "A 53716-2025")</f>
        <v/>
      </c>
      <c r="W109">
        <f>HYPERLINK("https://klasma.github.io/Logging_0188/klagomålsmail/A 53716-2025 FSC-klagomål mail.docx", "A 53716-2025")</f>
        <v/>
      </c>
      <c r="X109">
        <f>HYPERLINK("https://klasma.github.io/Logging_0188/tillsyn/A 53716-2025 tillsynsbegäran.docx", "A 53716-2025")</f>
        <v/>
      </c>
      <c r="Y109">
        <f>HYPERLINK("https://klasma.github.io/Logging_0188/tillsynsmail/A 53716-2025 tillsynsbegäran mail.docx", "A 53716-2025")</f>
        <v/>
      </c>
    </row>
    <row r="110" ht="15" customHeight="1">
      <c r="A110" t="inlineStr">
        <is>
          <t>A 8371-2025</t>
        </is>
      </c>
      <c r="B110" s="1" t="n">
        <v>45708</v>
      </c>
      <c r="C110" s="1" t="n">
        <v>45992</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24330-2023</t>
        </is>
      </c>
      <c r="B111" s="1" t="n">
        <v>45081</v>
      </c>
      <c r="C111" s="1" t="n">
        <v>45992</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21744-2023</t>
        </is>
      </c>
      <c r="B112" s="1" t="n">
        <v>45065</v>
      </c>
      <c r="C112" s="1" t="n">
        <v>45992</v>
      </c>
      <c r="D112" t="inlineStr">
        <is>
          <t>STOCKHOLMS LÄN</t>
        </is>
      </c>
      <c r="E112" t="inlineStr">
        <is>
          <t>NORRTÄLJE</t>
        </is>
      </c>
      <c r="F112" t="inlineStr">
        <is>
          <t>Holmen skog AB</t>
        </is>
      </c>
      <c r="G112" t="n">
        <v>4.2</v>
      </c>
      <c r="H112" t="n">
        <v>0</v>
      </c>
      <c r="I112" t="n">
        <v>1</v>
      </c>
      <c r="J112" t="n">
        <v>0</v>
      </c>
      <c r="K112" t="n">
        <v>0</v>
      </c>
      <c r="L112" t="n">
        <v>0</v>
      </c>
      <c r="M112" t="n">
        <v>0</v>
      </c>
      <c r="N112" t="n">
        <v>0</v>
      </c>
      <c r="O112" t="n">
        <v>0</v>
      </c>
      <c r="P112" t="n">
        <v>0</v>
      </c>
      <c r="Q112" t="n">
        <v>1</v>
      </c>
      <c r="R112" s="2" t="inlineStr">
        <is>
          <t>Korallblylav</t>
        </is>
      </c>
      <c r="S112">
        <f>HYPERLINK("https://klasma.github.io/Logging_0188/artfynd/A 21744-2023 artfynd.xlsx", "A 21744-2023")</f>
        <v/>
      </c>
      <c r="T112">
        <f>HYPERLINK("https://klasma.github.io/Logging_0188/kartor/A 21744-2023 karta.png", "A 21744-2023")</f>
        <v/>
      </c>
      <c r="V112">
        <f>HYPERLINK("https://klasma.github.io/Logging_0188/klagomål/A 21744-2023 FSC-klagomål.docx", "A 21744-2023")</f>
        <v/>
      </c>
      <c r="W112">
        <f>HYPERLINK("https://klasma.github.io/Logging_0188/klagomålsmail/A 21744-2023 FSC-klagomål mail.docx", "A 21744-2023")</f>
        <v/>
      </c>
      <c r="X112">
        <f>HYPERLINK("https://klasma.github.io/Logging_0188/tillsyn/A 21744-2023 tillsynsbegäran.docx", "A 21744-2023")</f>
        <v/>
      </c>
      <c r="Y112">
        <f>HYPERLINK("https://klasma.github.io/Logging_0188/tillsynsmail/A 21744-2023 tillsynsbegäran mail.docx", "A 21744-2023")</f>
        <v/>
      </c>
    </row>
    <row r="113" ht="15" customHeight="1">
      <c r="A113" t="inlineStr">
        <is>
          <t>A 1162-2021</t>
        </is>
      </c>
      <c r="B113" s="1" t="n">
        <v>44207</v>
      </c>
      <c r="C113" s="1" t="n">
        <v>45992</v>
      </c>
      <c r="D113" t="inlineStr">
        <is>
          <t>STOCKHOLMS LÄN</t>
        </is>
      </c>
      <c r="E113" t="inlineStr">
        <is>
          <t>NORRTÄLJE</t>
        </is>
      </c>
      <c r="G113" t="n">
        <v>2.2</v>
      </c>
      <c r="H113" t="n">
        <v>1</v>
      </c>
      <c r="I113" t="n">
        <v>0</v>
      </c>
      <c r="J113" t="n">
        <v>0</v>
      </c>
      <c r="K113" t="n">
        <v>1</v>
      </c>
      <c r="L113" t="n">
        <v>0</v>
      </c>
      <c r="M113" t="n">
        <v>0</v>
      </c>
      <c r="N113" t="n">
        <v>0</v>
      </c>
      <c r="O113" t="n">
        <v>1</v>
      </c>
      <c r="P113" t="n">
        <v>1</v>
      </c>
      <c r="Q113" t="n">
        <v>1</v>
      </c>
      <c r="R113" s="2" t="inlineStr">
        <is>
          <t>Hällebräcka</t>
        </is>
      </c>
      <c r="S113">
        <f>HYPERLINK("https://klasma.github.io/Logging_0188/artfynd/A 1162-2021 artfynd.xlsx", "A 1162-2021")</f>
        <v/>
      </c>
      <c r="T113">
        <f>HYPERLINK("https://klasma.github.io/Logging_0188/kartor/A 1162-2021 karta.png", "A 1162-2021")</f>
        <v/>
      </c>
      <c r="V113">
        <f>HYPERLINK("https://klasma.github.io/Logging_0188/klagomål/A 1162-2021 FSC-klagomål.docx", "A 1162-2021")</f>
        <v/>
      </c>
      <c r="W113">
        <f>HYPERLINK("https://klasma.github.io/Logging_0188/klagomålsmail/A 1162-2021 FSC-klagomål mail.docx", "A 1162-2021")</f>
        <v/>
      </c>
      <c r="X113">
        <f>HYPERLINK("https://klasma.github.io/Logging_0188/tillsyn/A 1162-2021 tillsynsbegäran.docx", "A 1162-2021")</f>
        <v/>
      </c>
      <c r="Y113">
        <f>HYPERLINK("https://klasma.github.io/Logging_0188/tillsynsmail/A 1162-2021 tillsynsbegäran mail.docx", "A 1162-2021")</f>
        <v/>
      </c>
    </row>
    <row r="114" ht="15" customHeight="1">
      <c r="A114" t="inlineStr">
        <is>
          <t>A 39158-2025</t>
        </is>
      </c>
      <c r="B114" s="1" t="n">
        <v>45888</v>
      </c>
      <c r="C114" s="1" t="n">
        <v>45992</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52611-2024</t>
        </is>
      </c>
      <c r="B115" s="1" t="n">
        <v>45609.83747685186</v>
      </c>
      <c r="C115" s="1" t="n">
        <v>45992</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45992</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26635-2023</t>
        </is>
      </c>
      <c r="B117" s="1" t="n">
        <v>45092</v>
      </c>
      <c r="C117" s="1" t="n">
        <v>45992</v>
      </c>
      <c r="D117" t="inlineStr">
        <is>
          <t>STOCKHOLMS LÄN</t>
        </is>
      </c>
      <c r="E117" t="inlineStr">
        <is>
          <t>NORRTÄLJE</t>
        </is>
      </c>
      <c r="G117" t="n">
        <v>3.1</v>
      </c>
      <c r="H117" t="n">
        <v>1</v>
      </c>
      <c r="I117" t="n">
        <v>0</v>
      </c>
      <c r="J117" t="n">
        <v>0</v>
      </c>
      <c r="K117" t="n">
        <v>0</v>
      </c>
      <c r="L117" t="n">
        <v>0</v>
      </c>
      <c r="M117" t="n">
        <v>0</v>
      </c>
      <c r="N117" t="n">
        <v>0</v>
      </c>
      <c r="O117" t="n">
        <v>0</v>
      </c>
      <c r="P117" t="n">
        <v>0</v>
      </c>
      <c r="Q117" t="n">
        <v>1</v>
      </c>
      <c r="R117" s="2" t="inlineStr">
        <is>
          <t>Fläcknycklar</t>
        </is>
      </c>
      <c r="S117">
        <f>HYPERLINK("https://klasma.github.io/Logging_0188/artfynd/A 26635-2023 artfynd.xlsx", "A 26635-2023")</f>
        <v/>
      </c>
      <c r="T117">
        <f>HYPERLINK("https://klasma.github.io/Logging_0188/kartor/A 26635-2023 karta.png", "A 26635-2023")</f>
        <v/>
      </c>
      <c r="V117">
        <f>HYPERLINK("https://klasma.github.io/Logging_0188/klagomål/A 26635-2023 FSC-klagomål.docx", "A 26635-2023")</f>
        <v/>
      </c>
      <c r="W117">
        <f>HYPERLINK("https://klasma.github.io/Logging_0188/klagomålsmail/A 26635-2023 FSC-klagomål mail.docx", "A 26635-2023")</f>
        <v/>
      </c>
      <c r="X117">
        <f>HYPERLINK("https://klasma.github.io/Logging_0188/tillsyn/A 26635-2023 tillsynsbegäran.docx", "A 26635-2023")</f>
        <v/>
      </c>
      <c r="Y117">
        <f>HYPERLINK("https://klasma.github.io/Logging_0188/tillsynsmail/A 26635-2023 tillsynsbegäran mail.docx", "A 26635-2023")</f>
        <v/>
      </c>
    </row>
    <row r="118" ht="15" customHeight="1">
      <c r="A118" t="inlineStr">
        <is>
          <t>A 47898-2022</t>
        </is>
      </c>
      <c r="B118" s="1" t="n">
        <v>44855</v>
      </c>
      <c r="C118" s="1" t="n">
        <v>45992</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16870-2025</t>
        </is>
      </c>
      <c r="B119" s="1" t="n">
        <v>45754</v>
      </c>
      <c r="C119" s="1" t="n">
        <v>45992</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14365-2025</t>
        </is>
      </c>
      <c r="B120" s="1" t="n">
        <v>45741.38688657407</v>
      </c>
      <c r="C120" s="1" t="n">
        <v>45992</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32111-2022</t>
        </is>
      </c>
      <c r="B121" s="1" t="n">
        <v>44778.92797453704</v>
      </c>
      <c r="C121" s="1" t="n">
        <v>45992</v>
      </c>
      <c r="D121" t="inlineStr">
        <is>
          <t>STOCKHOLMS LÄN</t>
        </is>
      </c>
      <c r="E121" t="inlineStr">
        <is>
          <t>NORRTÄLJE</t>
        </is>
      </c>
      <c r="G121" t="n">
        <v>3.1</v>
      </c>
      <c r="H121" t="n">
        <v>0</v>
      </c>
      <c r="I121" t="n">
        <v>0</v>
      </c>
      <c r="J121" t="n">
        <v>1</v>
      </c>
      <c r="K121" t="n">
        <v>0</v>
      </c>
      <c r="L121" t="n">
        <v>0</v>
      </c>
      <c r="M121" t="n">
        <v>0</v>
      </c>
      <c r="N121" t="n">
        <v>0</v>
      </c>
      <c r="O121" t="n">
        <v>1</v>
      </c>
      <c r="P121" t="n">
        <v>0</v>
      </c>
      <c r="Q121" t="n">
        <v>1</v>
      </c>
      <c r="R121" s="2" t="inlineStr">
        <is>
          <t>Orange taggsvamp</t>
        </is>
      </c>
      <c r="S121">
        <f>HYPERLINK("https://klasma.github.io/Logging_0188/artfynd/A 32111-2022 artfynd.xlsx", "A 32111-2022")</f>
        <v/>
      </c>
      <c r="T121">
        <f>HYPERLINK("https://klasma.github.io/Logging_0188/kartor/A 32111-2022 karta.png", "A 32111-2022")</f>
        <v/>
      </c>
      <c r="V121">
        <f>HYPERLINK("https://klasma.github.io/Logging_0188/klagomål/A 32111-2022 FSC-klagomål.docx", "A 32111-2022")</f>
        <v/>
      </c>
      <c r="W121">
        <f>HYPERLINK("https://klasma.github.io/Logging_0188/klagomålsmail/A 32111-2022 FSC-klagomål mail.docx", "A 32111-2022")</f>
        <v/>
      </c>
      <c r="X121">
        <f>HYPERLINK("https://klasma.github.io/Logging_0188/tillsyn/A 32111-2022 tillsynsbegäran.docx", "A 32111-2022")</f>
        <v/>
      </c>
      <c r="Y121">
        <f>HYPERLINK("https://klasma.github.io/Logging_0188/tillsynsmail/A 32111-2022 tillsynsbegäran mail.docx", "A 32111-2022")</f>
        <v/>
      </c>
    </row>
    <row r="122" ht="15" customHeight="1">
      <c r="A122" t="inlineStr">
        <is>
          <t>A 4385-2023</t>
        </is>
      </c>
      <c r="B122" s="1" t="n">
        <v>44955.71322916666</v>
      </c>
      <c r="C122" s="1" t="n">
        <v>45992</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45992</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19829-2022</t>
        </is>
      </c>
      <c r="B124" s="1" t="n">
        <v>44695.43527777777</v>
      </c>
      <c r="C124" s="1" t="n">
        <v>45992</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52508-2023</t>
        </is>
      </c>
      <c r="B125" s="1" t="n">
        <v>45225</v>
      </c>
      <c r="C125" s="1" t="n">
        <v>45992</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27827-2022</t>
        </is>
      </c>
      <c r="B126" s="1" t="n">
        <v>44743.59504629629</v>
      </c>
      <c r="C126" s="1" t="n">
        <v>45992</v>
      </c>
      <c r="D126" t="inlineStr">
        <is>
          <t>STOCKHOLMS LÄN</t>
        </is>
      </c>
      <c r="E126" t="inlineStr">
        <is>
          <t>NORRTÄLJE</t>
        </is>
      </c>
      <c r="F126" t="inlineStr">
        <is>
          <t>Holmen skog AB</t>
        </is>
      </c>
      <c r="G126" t="n">
        <v>4.7</v>
      </c>
      <c r="H126" t="n">
        <v>1</v>
      </c>
      <c r="I126" t="n">
        <v>0</v>
      </c>
      <c r="J126" t="n">
        <v>1</v>
      </c>
      <c r="K126" t="n">
        <v>0</v>
      </c>
      <c r="L126" t="n">
        <v>0</v>
      </c>
      <c r="M126" t="n">
        <v>0</v>
      </c>
      <c r="N126" t="n">
        <v>0</v>
      </c>
      <c r="O126" t="n">
        <v>1</v>
      </c>
      <c r="P126" t="n">
        <v>0</v>
      </c>
      <c r="Q126" t="n">
        <v>1</v>
      </c>
      <c r="R126" s="2" t="inlineStr">
        <is>
          <t>Nordfladdermus</t>
        </is>
      </c>
      <c r="S126">
        <f>HYPERLINK("https://klasma.github.io/Logging_0188/artfynd/A 27827-2022 artfynd.xlsx", "A 27827-2022")</f>
        <v/>
      </c>
      <c r="T126">
        <f>HYPERLINK("https://klasma.github.io/Logging_0188/kartor/A 27827-2022 karta.png", "A 27827-2022")</f>
        <v/>
      </c>
      <c r="V126">
        <f>HYPERLINK("https://klasma.github.io/Logging_0188/klagomål/A 27827-2022 FSC-klagomål.docx", "A 27827-2022")</f>
        <v/>
      </c>
      <c r="W126">
        <f>HYPERLINK("https://klasma.github.io/Logging_0188/klagomålsmail/A 27827-2022 FSC-klagomål mail.docx", "A 27827-2022")</f>
        <v/>
      </c>
      <c r="X126">
        <f>HYPERLINK("https://klasma.github.io/Logging_0188/tillsyn/A 27827-2022 tillsynsbegäran.docx", "A 27827-2022")</f>
        <v/>
      </c>
      <c r="Y126">
        <f>HYPERLINK("https://klasma.github.io/Logging_0188/tillsynsmail/A 27827-2022 tillsynsbegäran mail.docx", "A 27827-2022")</f>
        <v/>
      </c>
    </row>
    <row r="127" ht="15" customHeight="1">
      <c r="A127" t="inlineStr">
        <is>
          <t>A 23146-2024</t>
        </is>
      </c>
      <c r="B127" s="1" t="n">
        <v>45450.63958333333</v>
      </c>
      <c r="C127" s="1" t="n">
        <v>45992</v>
      </c>
      <c r="D127" t="inlineStr">
        <is>
          <t>STOCKHOLMS LÄN</t>
        </is>
      </c>
      <c r="E127" t="inlineStr">
        <is>
          <t>NORRTÄLJE</t>
        </is>
      </c>
      <c r="F127" t="inlineStr">
        <is>
          <t>Kommuner</t>
        </is>
      </c>
      <c r="G127" t="n">
        <v>6</v>
      </c>
      <c r="H127" t="n">
        <v>0</v>
      </c>
      <c r="I127" t="n">
        <v>0</v>
      </c>
      <c r="J127" t="n">
        <v>1</v>
      </c>
      <c r="K127" t="n">
        <v>0</v>
      </c>
      <c r="L127" t="n">
        <v>0</v>
      </c>
      <c r="M127" t="n">
        <v>0</v>
      </c>
      <c r="N127" t="n">
        <v>0</v>
      </c>
      <c r="O127" t="n">
        <v>1</v>
      </c>
      <c r="P127" t="n">
        <v>0</v>
      </c>
      <c r="Q127" t="n">
        <v>1</v>
      </c>
      <c r="R127" s="2" t="inlineStr">
        <is>
          <t>Motaggsvamp</t>
        </is>
      </c>
      <c r="S127">
        <f>HYPERLINK("https://klasma.github.io/Logging_0188/artfynd/A 23146-2024 artfynd.xlsx", "A 23146-2024")</f>
        <v/>
      </c>
      <c r="T127">
        <f>HYPERLINK("https://klasma.github.io/Logging_0188/kartor/A 23146-2024 karta.png", "A 23146-2024")</f>
        <v/>
      </c>
      <c r="V127">
        <f>HYPERLINK("https://klasma.github.io/Logging_0188/klagomål/A 23146-2024 FSC-klagomål.docx", "A 23146-2024")</f>
        <v/>
      </c>
      <c r="W127">
        <f>HYPERLINK("https://klasma.github.io/Logging_0188/klagomålsmail/A 23146-2024 FSC-klagomål mail.docx", "A 23146-2024")</f>
        <v/>
      </c>
      <c r="X127">
        <f>HYPERLINK("https://klasma.github.io/Logging_0188/tillsyn/A 23146-2024 tillsynsbegäran.docx", "A 23146-2024")</f>
        <v/>
      </c>
      <c r="Y127">
        <f>HYPERLINK("https://klasma.github.io/Logging_0188/tillsynsmail/A 23146-2024 tillsynsbegäran mail.docx", "A 23146-2024")</f>
        <v/>
      </c>
    </row>
    <row r="128" ht="15" customHeight="1">
      <c r="A128" t="inlineStr">
        <is>
          <t>A 27538-2024</t>
        </is>
      </c>
      <c r="B128" s="1" t="n">
        <v>45474</v>
      </c>
      <c r="C128" s="1" t="n">
        <v>45992</v>
      </c>
      <c r="D128" t="inlineStr">
        <is>
          <t>STOCKHOLMS LÄN</t>
        </is>
      </c>
      <c r="E128" t="inlineStr">
        <is>
          <t>NORRTÄLJE</t>
        </is>
      </c>
      <c r="G128" t="n">
        <v>1.5</v>
      </c>
      <c r="H128" t="n">
        <v>1</v>
      </c>
      <c r="I128" t="n">
        <v>1</v>
      </c>
      <c r="J128" t="n">
        <v>0</v>
      </c>
      <c r="K128" t="n">
        <v>0</v>
      </c>
      <c r="L128" t="n">
        <v>0</v>
      </c>
      <c r="M128" t="n">
        <v>0</v>
      </c>
      <c r="N128" t="n">
        <v>0</v>
      </c>
      <c r="O128" t="n">
        <v>0</v>
      </c>
      <c r="P128" t="n">
        <v>0</v>
      </c>
      <c r="Q128" t="n">
        <v>1</v>
      </c>
      <c r="R128" s="2" t="inlineStr">
        <is>
          <t>Skogsknipprot</t>
        </is>
      </c>
      <c r="S128">
        <f>HYPERLINK("https://klasma.github.io/Logging_0188/artfynd/A 27538-2024 artfynd.xlsx", "A 27538-2024")</f>
        <v/>
      </c>
      <c r="T128">
        <f>HYPERLINK("https://klasma.github.io/Logging_0188/kartor/A 27538-2024 karta.png", "A 27538-2024")</f>
        <v/>
      </c>
      <c r="V128">
        <f>HYPERLINK("https://klasma.github.io/Logging_0188/klagomål/A 27538-2024 FSC-klagomål.docx", "A 27538-2024")</f>
        <v/>
      </c>
      <c r="W128">
        <f>HYPERLINK("https://klasma.github.io/Logging_0188/klagomålsmail/A 27538-2024 FSC-klagomål mail.docx", "A 27538-2024")</f>
        <v/>
      </c>
      <c r="X128">
        <f>HYPERLINK("https://klasma.github.io/Logging_0188/tillsyn/A 27538-2024 tillsynsbegäran.docx", "A 27538-2024")</f>
        <v/>
      </c>
      <c r="Y128">
        <f>HYPERLINK("https://klasma.github.io/Logging_0188/tillsynsmail/A 27538-2024 tillsynsbegäran mail.docx", "A 27538-2024")</f>
        <v/>
      </c>
    </row>
    <row r="129" ht="15" customHeight="1">
      <c r="A129" t="inlineStr">
        <is>
          <t>A 48131-2023</t>
        </is>
      </c>
      <c r="B129" s="1" t="n">
        <v>45205</v>
      </c>
      <c r="C129" s="1" t="n">
        <v>45992</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21150-2022</t>
        </is>
      </c>
      <c r="B130" s="1" t="n">
        <v>44704</v>
      </c>
      <c r="C130" s="1" t="n">
        <v>45992</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21150-2022 artfynd.xlsx", "A 21150-2022")</f>
        <v/>
      </c>
      <c r="T130">
        <f>HYPERLINK("https://klasma.github.io/Logging_0188/kartor/A 21150-2022 karta.png", "A 21150-2022")</f>
        <v/>
      </c>
      <c r="V130">
        <f>HYPERLINK("https://klasma.github.io/Logging_0188/klagomål/A 21150-2022 FSC-klagomål.docx", "A 21150-2022")</f>
        <v/>
      </c>
      <c r="W130">
        <f>HYPERLINK("https://klasma.github.io/Logging_0188/klagomålsmail/A 21150-2022 FSC-klagomål mail.docx", "A 21150-2022")</f>
        <v/>
      </c>
      <c r="X130">
        <f>HYPERLINK("https://klasma.github.io/Logging_0188/tillsyn/A 21150-2022 tillsynsbegäran.docx", "A 21150-2022")</f>
        <v/>
      </c>
      <c r="Y130">
        <f>HYPERLINK("https://klasma.github.io/Logging_0188/tillsynsmail/A 21150-2022 tillsynsbegäran mail.docx", "A 21150-2022")</f>
        <v/>
      </c>
    </row>
    <row r="131" ht="15" customHeight="1">
      <c r="A131" t="inlineStr">
        <is>
          <t>A 58888-2021</t>
        </is>
      </c>
      <c r="B131" s="1" t="n">
        <v>44489</v>
      </c>
      <c r="C131" s="1" t="n">
        <v>45992</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9955-2022</t>
        </is>
      </c>
      <c r="B132" s="1" t="n">
        <v>44620</v>
      </c>
      <c r="C132" s="1" t="n">
        <v>45992</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1970-2021</t>
        </is>
      </c>
      <c r="B133" s="1" t="n">
        <v>44210</v>
      </c>
      <c r="C133" s="1" t="n">
        <v>45992</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45992</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45992</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45992</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45992</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45992</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45992</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45992</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45992</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45992</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45992</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24977-2022</t>
        </is>
      </c>
      <c r="B144" s="1" t="n">
        <v>44728.73465277778</v>
      </c>
      <c r="C144" s="1" t="n">
        <v>45992</v>
      </c>
      <c r="D144" t="inlineStr">
        <is>
          <t>STOCKHOLMS LÄN</t>
        </is>
      </c>
      <c r="E144" t="inlineStr">
        <is>
          <t>NORRTÄLJE</t>
        </is>
      </c>
      <c r="F144" t="inlineStr">
        <is>
          <t>Kyrkan</t>
        </is>
      </c>
      <c r="G144" t="n">
        <v>1</v>
      </c>
      <c r="H144" t="n">
        <v>0</v>
      </c>
      <c r="I144" t="n">
        <v>0</v>
      </c>
      <c r="J144" t="n">
        <v>0</v>
      </c>
      <c r="K144" t="n">
        <v>0</v>
      </c>
      <c r="L144" t="n">
        <v>0</v>
      </c>
      <c r="M144" t="n">
        <v>0</v>
      </c>
      <c r="N144" t="n">
        <v>0</v>
      </c>
      <c r="O144" t="n">
        <v>0</v>
      </c>
      <c r="P144" t="n">
        <v>0</v>
      </c>
      <c r="Q144" t="n">
        <v>0</v>
      </c>
      <c r="R144" s="2" t="inlineStr"/>
    </row>
    <row r="145" ht="15" customHeight="1">
      <c r="A145" t="inlineStr">
        <is>
          <t>A 31934-2022</t>
        </is>
      </c>
      <c r="B145" s="1" t="n">
        <v>44777</v>
      </c>
      <c r="C145" s="1" t="n">
        <v>45992</v>
      </c>
      <c r="D145" t="inlineStr">
        <is>
          <t>STOCKHOLMS LÄN</t>
        </is>
      </c>
      <c r="E145" t="inlineStr">
        <is>
          <t>NORRTÄLJE</t>
        </is>
      </c>
      <c r="G145" t="n">
        <v>1.2</v>
      </c>
      <c r="H145" t="n">
        <v>0</v>
      </c>
      <c r="I145" t="n">
        <v>0</v>
      </c>
      <c r="J145" t="n">
        <v>0</v>
      </c>
      <c r="K145" t="n">
        <v>0</v>
      </c>
      <c r="L145" t="n">
        <v>0</v>
      </c>
      <c r="M145" t="n">
        <v>0</v>
      </c>
      <c r="N145" t="n">
        <v>0</v>
      </c>
      <c r="O145" t="n">
        <v>0</v>
      </c>
      <c r="P145" t="n">
        <v>0</v>
      </c>
      <c r="Q145" t="n">
        <v>0</v>
      </c>
      <c r="R145" s="2" t="inlineStr"/>
    </row>
    <row r="146" ht="15" customHeight="1">
      <c r="A146" t="inlineStr">
        <is>
          <t>A 37815-2022</t>
        </is>
      </c>
      <c r="B146" s="1" t="n">
        <v>44810.85092592592</v>
      </c>
      <c r="C146" s="1" t="n">
        <v>45992</v>
      </c>
      <c r="D146" t="inlineStr">
        <is>
          <t>STOCKHOLMS LÄN</t>
        </is>
      </c>
      <c r="E146" t="inlineStr">
        <is>
          <t>NORRTÄLJE</t>
        </is>
      </c>
      <c r="G146" t="n">
        <v>1.3</v>
      </c>
      <c r="H146" t="n">
        <v>0</v>
      </c>
      <c r="I146" t="n">
        <v>0</v>
      </c>
      <c r="J146" t="n">
        <v>0</v>
      </c>
      <c r="K146" t="n">
        <v>0</v>
      </c>
      <c r="L146" t="n">
        <v>0</v>
      </c>
      <c r="M146" t="n">
        <v>0</v>
      </c>
      <c r="N146" t="n">
        <v>0</v>
      </c>
      <c r="O146" t="n">
        <v>0</v>
      </c>
      <c r="P146" t="n">
        <v>0</v>
      </c>
      <c r="Q146" t="n">
        <v>0</v>
      </c>
      <c r="R146" s="2" t="inlineStr"/>
    </row>
    <row r="147" ht="15" customHeight="1">
      <c r="A147" t="inlineStr">
        <is>
          <t>A 73855-2021</t>
        </is>
      </c>
      <c r="B147" s="1" t="n">
        <v>44552</v>
      </c>
      <c r="C147" s="1" t="n">
        <v>45992</v>
      </c>
      <c r="D147" t="inlineStr">
        <is>
          <t>STOCKHOLMS LÄN</t>
        </is>
      </c>
      <c r="E147" t="inlineStr">
        <is>
          <t>NORRTÄLJE</t>
        </is>
      </c>
      <c r="F147" t="inlineStr">
        <is>
          <t>Övriga Aktiebolag</t>
        </is>
      </c>
      <c r="G147" t="n">
        <v>4</v>
      </c>
      <c r="H147" t="n">
        <v>0</v>
      </c>
      <c r="I147" t="n">
        <v>0</v>
      </c>
      <c r="J147" t="n">
        <v>0</v>
      </c>
      <c r="K147" t="n">
        <v>0</v>
      </c>
      <c r="L147" t="n">
        <v>0</v>
      </c>
      <c r="M147" t="n">
        <v>0</v>
      </c>
      <c r="N147" t="n">
        <v>0</v>
      </c>
      <c r="O147" t="n">
        <v>0</v>
      </c>
      <c r="P147" t="n">
        <v>0</v>
      </c>
      <c r="Q147" t="n">
        <v>0</v>
      </c>
      <c r="R147" s="2" t="inlineStr"/>
    </row>
    <row r="148" ht="15" customHeight="1">
      <c r="A148" t="inlineStr">
        <is>
          <t>A 23096-2021</t>
        </is>
      </c>
      <c r="B148" s="1" t="n">
        <v>44330</v>
      </c>
      <c r="C148" s="1" t="n">
        <v>45992</v>
      </c>
      <c r="D148" t="inlineStr">
        <is>
          <t>STOCKHOLMS LÄN</t>
        </is>
      </c>
      <c r="E148" t="inlineStr">
        <is>
          <t>NORRTÄLJE</t>
        </is>
      </c>
      <c r="G148" t="n">
        <v>0.3</v>
      </c>
      <c r="H148" t="n">
        <v>0</v>
      </c>
      <c r="I148" t="n">
        <v>0</v>
      </c>
      <c r="J148" t="n">
        <v>0</v>
      </c>
      <c r="K148" t="n">
        <v>0</v>
      </c>
      <c r="L148" t="n">
        <v>0</v>
      </c>
      <c r="M148" t="n">
        <v>0</v>
      </c>
      <c r="N148" t="n">
        <v>0</v>
      </c>
      <c r="O148" t="n">
        <v>0</v>
      </c>
      <c r="P148" t="n">
        <v>0</v>
      </c>
      <c r="Q148" t="n">
        <v>0</v>
      </c>
      <c r="R148" s="2" t="inlineStr"/>
    </row>
    <row r="149" ht="15" customHeight="1">
      <c r="A149" t="inlineStr">
        <is>
          <t>A 11821-2022</t>
        </is>
      </c>
      <c r="B149" s="1" t="n">
        <v>44634</v>
      </c>
      <c r="C149" s="1" t="n">
        <v>45992</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2977-2022</t>
        </is>
      </c>
      <c r="B150" s="1" t="n">
        <v>44581.75819444445</v>
      </c>
      <c r="C150" s="1" t="n">
        <v>45992</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74468-2021</t>
        </is>
      </c>
      <c r="B151" s="1" t="n">
        <v>44560</v>
      </c>
      <c r="C151" s="1" t="n">
        <v>45992</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45992</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45992</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45992</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45992</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45992</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45992</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45992</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43374-2022</t>
        </is>
      </c>
      <c r="B159" s="1" t="n">
        <v>44834</v>
      </c>
      <c r="C159" s="1" t="n">
        <v>45992</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45992</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9719-2021</t>
        </is>
      </c>
      <c r="B161" s="1" t="n">
        <v>44252</v>
      </c>
      <c r="C161" s="1" t="n">
        <v>45992</v>
      </c>
      <c r="D161" t="inlineStr">
        <is>
          <t>STOCKHOLMS LÄN</t>
        </is>
      </c>
      <c r="E161" t="inlineStr">
        <is>
          <t>NORRTÄLJE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48384-2021</t>
        </is>
      </c>
      <c r="B162" s="1" t="n">
        <v>44451</v>
      </c>
      <c r="C162" s="1" t="n">
        <v>45992</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45992</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48492-2022</t>
        </is>
      </c>
      <c r="B164" s="1" t="n">
        <v>44858</v>
      </c>
      <c r="C164" s="1" t="n">
        <v>45992</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8338-2021</t>
        </is>
      </c>
      <c r="B165" s="1" t="n">
        <v>44244</v>
      </c>
      <c r="C165" s="1" t="n">
        <v>45992</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60822-2021</t>
        </is>
      </c>
      <c r="B166" s="1" t="n">
        <v>44496</v>
      </c>
      <c r="C166" s="1" t="n">
        <v>45992</v>
      </c>
      <c r="D166" t="inlineStr">
        <is>
          <t>STOCKHOLMS LÄN</t>
        </is>
      </c>
      <c r="E166" t="inlineStr">
        <is>
          <t>NORRTÄLJE</t>
        </is>
      </c>
      <c r="G166" t="n">
        <v>7.6</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45992</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45992</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45992</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45992</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45992</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45992</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28209-2022</t>
        </is>
      </c>
      <c r="B173" s="1" t="n">
        <v>44746</v>
      </c>
      <c r="C173" s="1" t="n">
        <v>45992</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45992</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18609-2021</t>
        </is>
      </c>
      <c r="B175" s="1" t="n">
        <v>44306</v>
      </c>
      <c r="C175" s="1" t="n">
        <v>45992</v>
      </c>
      <c r="D175" t="inlineStr">
        <is>
          <t>STOCKHOLMS LÄN</t>
        </is>
      </c>
      <c r="E175" t="inlineStr">
        <is>
          <t>NORRTÄLJE</t>
        </is>
      </c>
      <c r="G175" t="n">
        <v>9.5</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45992</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45992</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45992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45992</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45992</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60186-2021</t>
        </is>
      </c>
      <c r="B181" s="1" t="n">
        <v>44495</v>
      </c>
      <c r="C181" s="1" t="n">
        <v>45992</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28959-2022</t>
        </is>
      </c>
      <c r="B182" s="1" t="n">
        <v>44749.61980324074</v>
      </c>
      <c r="C182" s="1" t="n">
        <v>45992</v>
      </c>
      <c r="D182" t="inlineStr">
        <is>
          <t>STOCKHOLMS LÄN</t>
        </is>
      </c>
      <c r="E182" t="inlineStr">
        <is>
          <t>NORRTÄLJE</t>
        </is>
      </c>
      <c r="G182" t="n">
        <v>5.2</v>
      </c>
      <c r="H182" t="n">
        <v>0</v>
      </c>
      <c r="I182" t="n">
        <v>0</v>
      </c>
      <c r="J182" t="n">
        <v>0</v>
      </c>
      <c r="K182" t="n">
        <v>0</v>
      </c>
      <c r="L182" t="n">
        <v>0</v>
      </c>
      <c r="M182" t="n">
        <v>0</v>
      </c>
      <c r="N182" t="n">
        <v>0</v>
      </c>
      <c r="O182" t="n">
        <v>0</v>
      </c>
      <c r="P182" t="n">
        <v>0</v>
      </c>
      <c r="Q182" t="n">
        <v>0</v>
      </c>
      <c r="R182" s="2" t="inlineStr"/>
    </row>
    <row r="183" ht="15" customHeight="1">
      <c r="A183" t="inlineStr">
        <is>
          <t>A 54340-2022</t>
        </is>
      </c>
      <c r="B183" s="1" t="n">
        <v>44882.44732638889</v>
      </c>
      <c r="C183" s="1" t="n">
        <v>45992</v>
      </c>
      <c r="D183" t="inlineStr">
        <is>
          <t>STOCKHOLMS LÄN</t>
        </is>
      </c>
      <c r="E183" t="inlineStr">
        <is>
          <t>NORRTÄLJE</t>
        </is>
      </c>
      <c r="G183" t="n">
        <v>6.7</v>
      </c>
      <c r="H183" t="n">
        <v>0</v>
      </c>
      <c r="I183" t="n">
        <v>0</v>
      </c>
      <c r="J183" t="n">
        <v>0</v>
      </c>
      <c r="K183" t="n">
        <v>0</v>
      </c>
      <c r="L183" t="n">
        <v>0</v>
      </c>
      <c r="M183" t="n">
        <v>0</v>
      </c>
      <c r="N183" t="n">
        <v>0</v>
      </c>
      <c r="O183" t="n">
        <v>0</v>
      </c>
      <c r="P183" t="n">
        <v>0</v>
      </c>
      <c r="Q183" t="n">
        <v>0</v>
      </c>
      <c r="R183" s="2" t="inlineStr"/>
    </row>
    <row r="184" ht="15" customHeight="1">
      <c r="A184" t="inlineStr">
        <is>
          <t>A 54355-2022</t>
        </is>
      </c>
      <c r="B184" s="1" t="n">
        <v>44882</v>
      </c>
      <c r="C184" s="1" t="n">
        <v>45992</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72308-2021</t>
        </is>
      </c>
      <c r="B185" s="1" t="n">
        <v>44545.4189699074</v>
      </c>
      <c r="C185" s="1" t="n">
        <v>45992</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20073-2021</t>
        </is>
      </c>
      <c r="B186" s="1" t="n">
        <v>44314</v>
      </c>
      <c r="C186" s="1" t="n">
        <v>45992</v>
      </c>
      <c r="D186" t="inlineStr">
        <is>
          <t>STOCKHOLMS LÄN</t>
        </is>
      </c>
      <c r="E186" t="inlineStr">
        <is>
          <t>NORRTÄLJE</t>
        </is>
      </c>
      <c r="G186" t="n">
        <v>4.6</v>
      </c>
      <c r="H186" t="n">
        <v>0</v>
      </c>
      <c r="I186" t="n">
        <v>0</v>
      </c>
      <c r="J186" t="n">
        <v>0</v>
      </c>
      <c r="K186" t="n">
        <v>0</v>
      </c>
      <c r="L186" t="n">
        <v>0</v>
      </c>
      <c r="M186" t="n">
        <v>0</v>
      </c>
      <c r="N186" t="n">
        <v>0</v>
      </c>
      <c r="O186" t="n">
        <v>0</v>
      </c>
      <c r="P186" t="n">
        <v>0</v>
      </c>
      <c r="Q186" t="n">
        <v>0</v>
      </c>
      <c r="R186" s="2" t="inlineStr"/>
    </row>
    <row r="187" ht="15" customHeight="1">
      <c r="A187" t="inlineStr">
        <is>
          <t>A 14381-2021</t>
        </is>
      </c>
      <c r="B187" s="1" t="n">
        <v>44279</v>
      </c>
      <c r="C187" s="1" t="n">
        <v>45992</v>
      </c>
      <c r="D187" t="inlineStr">
        <is>
          <t>STOCKHOLMS LÄN</t>
        </is>
      </c>
      <c r="E187" t="inlineStr">
        <is>
          <t>NORRTÄLJE</t>
        </is>
      </c>
      <c r="G187" t="n">
        <v>0.9</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45992</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27538-2022</t>
        </is>
      </c>
      <c r="B189" s="1" t="n">
        <v>44742</v>
      </c>
      <c r="C189" s="1" t="n">
        <v>45992</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45992</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16668-2021</t>
        </is>
      </c>
      <c r="B191" s="1" t="n">
        <v>44294</v>
      </c>
      <c r="C191" s="1" t="n">
        <v>45992</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45992</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45992</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45992</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45992</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45992</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45992</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45992</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45992</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45992</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45992</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45992</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45992</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45992</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45992</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348-2021</t>
        </is>
      </c>
      <c r="B206" s="1" t="n">
        <v>44201</v>
      </c>
      <c r="C206" s="1" t="n">
        <v>45992</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367-2021</t>
        </is>
      </c>
      <c r="B207" s="1" t="n">
        <v>44201</v>
      </c>
      <c r="C207" s="1" t="n">
        <v>45992</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45992</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45992</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45992</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45992</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45992</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45992</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45992</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45992</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45992</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45992</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45992</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9467-2021</t>
        </is>
      </c>
      <c r="B219" s="1" t="n">
        <v>44251.43971064815</v>
      </c>
      <c r="C219" s="1" t="n">
        <v>45992</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45992</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45992</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45992</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45992</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45992</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45992</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45992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45992</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45992</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45992</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45992</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45992</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66372-2020</t>
        </is>
      </c>
      <c r="B232" s="1" t="n">
        <v>44176</v>
      </c>
      <c r="C232" s="1" t="n">
        <v>45992</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45992</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45992</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45992</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45992</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45992</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45992</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45992</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45992</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45992</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45992</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45992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45992</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45992</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45992</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45992</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45992</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45992</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45992</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45992</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45992</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45992</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45992</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45992</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45992</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45992</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45992</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45992</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45992</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45992</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45992</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45992</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45992</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45992</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45992</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45992</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45992</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45992</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45992</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45992</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45992</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45992</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45992</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45992</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45992</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45992</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45992</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45992</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45992</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45992</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45992</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45992</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45992</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45992</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45992</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45992</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45992</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45992</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45992</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45992</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45992</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45992</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45992</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27828-2022</t>
        </is>
      </c>
      <c r="B295" s="1" t="n">
        <v>44743.59765046297</v>
      </c>
      <c r="C295" s="1" t="n">
        <v>45992</v>
      </c>
      <c r="D295" t="inlineStr">
        <is>
          <t>STOCKHOLMS LÄN</t>
        </is>
      </c>
      <c r="E295" t="inlineStr">
        <is>
          <t>NORRTÄLJE</t>
        </is>
      </c>
      <c r="F295" t="inlineStr">
        <is>
          <t>Kommuner</t>
        </is>
      </c>
      <c r="G295" t="n">
        <v>1.6</v>
      </c>
      <c r="H295" t="n">
        <v>0</v>
      </c>
      <c r="I295" t="n">
        <v>0</v>
      </c>
      <c r="J295" t="n">
        <v>0</v>
      </c>
      <c r="K295" t="n">
        <v>0</v>
      </c>
      <c r="L295" t="n">
        <v>0</v>
      </c>
      <c r="M295" t="n">
        <v>0</v>
      </c>
      <c r="N295" t="n">
        <v>0</v>
      </c>
      <c r="O295" t="n">
        <v>0</v>
      </c>
      <c r="P295" t="n">
        <v>0</v>
      </c>
      <c r="Q295" t="n">
        <v>0</v>
      </c>
      <c r="R295" s="2" t="inlineStr"/>
    </row>
    <row r="296" ht="15" customHeight="1">
      <c r="A296" t="inlineStr">
        <is>
          <t>A 15915-2023</t>
        </is>
      </c>
      <c r="B296" s="1" t="n">
        <v>45022</v>
      </c>
      <c r="C296" s="1" t="n">
        <v>45992</v>
      </c>
      <c r="D296" t="inlineStr">
        <is>
          <t>STOCKHOLMS LÄN</t>
        </is>
      </c>
      <c r="E296" t="inlineStr">
        <is>
          <t>NORRTÄLJE</t>
        </is>
      </c>
      <c r="G296" t="n">
        <v>2.9</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45992</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45992</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33226-2024</t>
        </is>
      </c>
      <c r="B299" s="1" t="n">
        <v>45518</v>
      </c>
      <c r="C299" s="1" t="n">
        <v>45992</v>
      </c>
      <c r="D299" t="inlineStr">
        <is>
          <t>STOCKHOLMS LÄN</t>
        </is>
      </c>
      <c r="E299" t="inlineStr">
        <is>
          <t>NORRTÄLJE</t>
        </is>
      </c>
      <c r="G299" t="n">
        <v>13.8</v>
      </c>
      <c r="H299" t="n">
        <v>0</v>
      </c>
      <c r="I299" t="n">
        <v>0</v>
      </c>
      <c r="J299" t="n">
        <v>0</v>
      </c>
      <c r="K299" t="n">
        <v>0</v>
      </c>
      <c r="L299" t="n">
        <v>0</v>
      </c>
      <c r="M299" t="n">
        <v>0</v>
      </c>
      <c r="N299" t="n">
        <v>0</v>
      </c>
      <c r="O299" t="n">
        <v>0</v>
      </c>
      <c r="P299" t="n">
        <v>0</v>
      </c>
      <c r="Q299" t="n">
        <v>0</v>
      </c>
      <c r="R299" s="2" t="inlineStr"/>
    </row>
    <row r="300" ht="15" customHeight="1">
      <c r="A300" t="inlineStr">
        <is>
          <t>A 52260-2022</t>
        </is>
      </c>
      <c r="B300" s="1" t="n">
        <v>44869</v>
      </c>
      <c r="C300" s="1" t="n">
        <v>45992</v>
      </c>
      <c r="D300" t="inlineStr">
        <is>
          <t>STOCKHOLMS LÄN</t>
        </is>
      </c>
      <c r="E300" t="inlineStr">
        <is>
          <t>NORRTÄLJE</t>
        </is>
      </c>
      <c r="G300" t="n">
        <v>3.1</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45992</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25557-2023</t>
        </is>
      </c>
      <c r="B302" s="1" t="n">
        <v>45089</v>
      </c>
      <c r="C302" s="1" t="n">
        <v>45992</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45992</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45992</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29972-2024</t>
        </is>
      </c>
      <c r="B305" s="1" t="n">
        <v>45485</v>
      </c>
      <c r="C305" s="1" t="n">
        <v>45992</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45992</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5027-2025</t>
        </is>
      </c>
      <c r="B307" s="1" t="n">
        <v>45691.41101851852</v>
      </c>
      <c r="C307" s="1" t="n">
        <v>45992</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45992</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11122-2021</t>
        </is>
      </c>
      <c r="B309" s="1" t="n">
        <v>44260</v>
      </c>
      <c r="C309" s="1" t="n">
        <v>45992</v>
      </c>
      <c r="D309" t="inlineStr">
        <is>
          <t>STOCKHOLMS LÄN</t>
        </is>
      </c>
      <c r="E309" t="inlineStr">
        <is>
          <t>NORRTÄLJE</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20015-2023</t>
        </is>
      </c>
      <c r="B310" s="1" t="n">
        <v>45054</v>
      </c>
      <c r="C310" s="1" t="n">
        <v>45992</v>
      </c>
      <c r="D310" t="inlineStr">
        <is>
          <t>STOCKHOLMS LÄN</t>
        </is>
      </c>
      <c r="E310" t="inlineStr">
        <is>
          <t>NORRTÄLJE</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3273-2025</t>
        </is>
      </c>
      <c r="B311" s="1" t="n">
        <v>45679</v>
      </c>
      <c r="C311" s="1" t="n">
        <v>45992</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45992</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21291-2021</t>
        </is>
      </c>
      <c r="B313" s="1" t="n">
        <v>44319</v>
      </c>
      <c r="C313" s="1" t="n">
        <v>45992</v>
      </c>
      <c r="D313" t="inlineStr">
        <is>
          <t>STOCKHOLMS LÄN</t>
        </is>
      </c>
      <c r="E313" t="inlineStr">
        <is>
          <t>NORRTÄLJE</t>
        </is>
      </c>
      <c r="G313" t="n">
        <v>12.7</v>
      </c>
      <c r="H313" t="n">
        <v>0</v>
      </c>
      <c r="I313" t="n">
        <v>0</v>
      </c>
      <c r="J313" t="n">
        <v>0</v>
      </c>
      <c r="K313" t="n">
        <v>0</v>
      </c>
      <c r="L313" t="n">
        <v>0</v>
      </c>
      <c r="M313" t="n">
        <v>0</v>
      </c>
      <c r="N313" t="n">
        <v>0</v>
      </c>
      <c r="O313" t="n">
        <v>0</v>
      </c>
      <c r="P313" t="n">
        <v>0</v>
      </c>
      <c r="Q313" t="n">
        <v>0</v>
      </c>
      <c r="R313" s="2" t="inlineStr"/>
    </row>
    <row r="314" ht="15" customHeight="1">
      <c r="A314" t="inlineStr">
        <is>
          <t>A 15256-2023</t>
        </is>
      </c>
      <c r="B314" s="1" t="n">
        <v>45019.3959837963</v>
      </c>
      <c r="C314" s="1" t="n">
        <v>45992</v>
      </c>
      <c r="D314" t="inlineStr">
        <is>
          <t>STOCKHOLMS LÄN</t>
        </is>
      </c>
      <c r="E314" t="inlineStr">
        <is>
          <t>NORRTÄLJE</t>
        </is>
      </c>
      <c r="G314" t="n">
        <v>2.4</v>
      </c>
      <c r="H314" t="n">
        <v>0</v>
      </c>
      <c r="I314" t="n">
        <v>0</v>
      </c>
      <c r="J314" t="n">
        <v>0</v>
      </c>
      <c r="K314" t="n">
        <v>0</v>
      </c>
      <c r="L314" t="n">
        <v>0</v>
      </c>
      <c r="M314" t="n">
        <v>0</v>
      </c>
      <c r="N314" t="n">
        <v>0</v>
      </c>
      <c r="O314" t="n">
        <v>0</v>
      </c>
      <c r="P314" t="n">
        <v>0</v>
      </c>
      <c r="Q314" t="n">
        <v>0</v>
      </c>
      <c r="R314" s="2" t="inlineStr"/>
    </row>
    <row r="315" ht="15" customHeight="1">
      <c r="A315" t="inlineStr">
        <is>
          <t>A 20428-2024</t>
        </is>
      </c>
      <c r="B315" s="1" t="n">
        <v>45435</v>
      </c>
      <c r="C315" s="1" t="n">
        <v>45992</v>
      </c>
      <c r="D315" t="inlineStr">
        <is>
          <t>STOCKHOLMS LÄN</t>
        </is>
      </c>
      <c r="E315" t="inlineStr">
        <is>
          <t>NORRTÄLJE</t>
        </is>
      </c>
      <c r="G315" t="n">
        <v>3.7</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45992</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45992</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22456-2023</t>
        </is>
      </c>
      <c r="B318" s="1" t="n">
        <v>45070</v>
      </c>
      <c r="C318" s="1" t="n">
        <v>45992</v>
      </c>
      <c r="D318" t="inlineStr">
        <is>
          <t>STOCKHOLMS LÄN</t>
        </is>
      </c>
      <c r="E318" t="inlineStr">
        <is>
          <t>NORRTÄLJE</t>
        </is>
      </c>
      <c r="G318" t="n">
        <v>3.1</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45992</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45992</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17785-2024</t>
        </is>
      </c>
      <c r="B321" s="1" t="n">
        <v>45418.6968287037</v>
      </c>
      <c r="C321" s="1" t="n">
        <v>45992</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55696-2022</t>
        </is>
      </c>
      <c r="B322" s="1" t="n">
        <v>44888</v>
      </c>
      <c r="C322" s="1" t="n">
        <v>45992</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6678-2025</t>
        </is>
      </c>
      <c r="B323" s="1" t="n">
        <v>45700</v>
      </c>
      <c r="C323" s="1" t="n">
        <v>45992</v>
      </c>
      <c r="D323" t="inlineStr">
        <is>
          <t>STOCKHOLMS LÄN</t>
        </is>
      </c>
      <c r="E323" t="inlineStr">
        <is>
          <t>NORRTÄLJE</t>
        </is>
      </c>
      <c r="F323" t="inlineStr">
        <is>
          <t>Övriga Aktiebolag</t>
        </is>
      </c>
      <c r="G323" t="n">
        <v>6.6</v>
      </c>
      <c r="H323" t="n">
        <v>0</v>
      </c>
      <c r="I323" t="n">
        <v>0</v>
      </c>
      <c r="J323" t="n">
        <v>0</v>
      </c>
      <c r="K323" t="n">
        <v>0</v>
      </c>
      <c r="L323" t="n">
        <v>0</v>
      </c>
      <c r="M323" t="n">
        <v>0</v>
      </c>
      <c r="N323" t="n">
        <v>0</v>
      </c>
      <c r="O323" t="n">
        <v>0</v>
      </c>
      <c r="P323" t="n">
        <v>0</v>
      </c>
      <c r="Q323" t="n">
        <v>0</v>
      </c>
      <c r="R323" s="2" t="inlineStr"/>
    </row>
    <row r="324" ht="15" customHeight="1">
      <c r="A324" t="inlineStr">
        <is>
          <t>A 10676-2025</t>
        </is>
      </c>
      <c r="B324" s="1" t="n">
        <v>45721.88684027778</v>
      </c>
      <c r="C324" s="1" t="n">
        <v>45992</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20852-2023</t>
        </is>
      </c>
      <c r="B325" s="1" t="n">
        <v>45058.78607638889</v>
      </c>
      <c r="C325" s="1" t="n">
        <v>45992</v>
      </c>
      <c r="D325" t="inlineStr">
        <is>
          <t>STOCKHOLMS LÄN</t>
        </is>
      </c>
      <c r="E325" t="inlineStr">
        <is>
          <t>NORRTÄLJE</t>
        </is>
      </c>
      <c r="G325" t="n">
        <v>3.5</v>
      </c>
      <c r="H325" t="n">
        <v>0</v>
      </c>
      <c r="I325" t="n">
        <v>0</v>
      </c>
      <c r="J325" t="n">
        <v>0</v>
      </c>
      <c r="K325" t="n">
        <v>0</v>
      </c>
      <c r="L325" t="n">
        <v>0</v>
      </c>
      <c r="M325" t="n">
        <v>0</v>
      </c>
      <c r="N325" t="n">
        <v>0</v>
      </c>
      <c r="O325" t="n">
        <v>0</v>
      </c>
      <c r="P325" t="n">
        <v>0</v>
      </c>
      <c r="Q325" t="n">
        <v>0</v>
      </c>
      <c r="R325" s="2" t="inlineStr"/>
    </row>
    <row r="326" ht="15" customHeight="1">
      <c r="A326" t="inlineStr">
        <is>
          <t>A 19982-2022</t>
        </is>
      </c>
      <c r="B326" s="1" t="n">
        <v>44697</v>
      </c>
      <c r="C326" s="1" t="n">
        <v>45992</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22412-2021</t>
        </is>
      </c>
      <c r="B327" s="1" t="n">
        <v>44326.61967592593</v>
      </c>
      <c r="C327" s="1" t="n">
        <v>45992</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42075-2023</t>
        </is>
      </c>
      <c r="B328" s="1" t="n">
        <v>45177</v>
      </c>
      <c r="C328" s="1" t="n">
        <v>45992</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45992</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45992</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45992</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50355-2024</t>
        </is>
      </c>
      <c r="B332" s="1" t="n">
        <v>45600.86128472222</v>
      </c>
      <c r="C332" s="1" t="n">
        <v>45992</v>
      </c>
      <c r="D332" t="inlineStr">
        <is>
          <t>STOCKHOLMS LÄN</t>
        </is>
      </c>
      <c r="E332" t="inlineStr">
        <is>
          <t>NORRTÄLJE</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45992</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68081-2020</t>
        </is>
      </c>
      <c r="B334" s="1" t="n">
        <v>44183</v>
      </c>
      <c r="C334" s="1" t="n">
        <v>45992</v>
      </c>
      <c r="D334" t="inlineStr">
        <is>
          <t>STOCKHOLMS LÄN</t>
        </is>
      </c>
      <c r="E334" t="inlineStr">
        <is>
          <t>NORRTÄLJE</t>
        </is>
      </c>
      <c r="G334" t="n">
        <v>2.1</v>
      </c>
      <c r="H334" t="n">
        <v>0</v>
      </c>
      <c r="I334" t="n">
        <v>0</v>
      </c>
      <c r="J334" t="n">
        <v>0</v>
      </c>
      <c r="K334" t="n">
        <v>0</v>
      </c>
      <c r="L334" t="n">
        <v>0</v>
      </c>
      <c r="M334" t="n">
        <v>0</v>
      </c>
      <c r="N334" t="n">
        <v>0</v>
      </c>
      <c r="O334" t="n">
        <v>0</v>
      </c>
      <c r="P334" t="n">
        <v>0</v>
      </c>
      <c r="Q334" t="n">
        <v>0</v>
      </c>
      <c r="R334" s="2" t="inlineStr"/>
    </row>
    <row r="335" ht="15" customHeight="1">
      <c r="A335" t="inlineStr">
        <is>
          <t>A 13053-2022</t>
        </is>
      </c>
      <c r="B335" s="1" t="n">
        <v>44643</v>
      </c>
      <c r="C335" s="1" t="n">
        <v>45992</v>
      </c>
      <c r="D335" t="inlineStr">
        <is>
          <t>STOCKHOLMS LÄN</t>
        </is>
      </c>
      <c r="E335" t="inlineStr">
        <is>
          <t>NORRTÄLJE</t>
        </is>
      </c>
      <c r="G335" t="n">
        <v>2.8</v>
      </c>
      <c r="H335" t="n">
        <v>0</v>
      </c>
      <c r="I335" t="n">
        <v>0</v>
      </c>
      <c r="J335" t="n">
        <v>0</v>
      </c>
      <c r="K335" t="n">
        <v>0</v>
      </c>
      <c r="L335" t="n">
        <v>0</v>
      </c>
      <c r="M335" t="n">
        <v>0</v>
      </c>
      <c r="N335" t="n">
        <v>0</v>
      </c>
      <c r="O335" t="n">
        <v>0</v>
      </c>
      <c r="P335" t="n">
        <v>0</v>
      </c>
      <c r="Q335" t="n">
        <v>0</v>
      </c>
      <c r="R335" s="2" t="inlineStr"/>
    </row>
    <row r="336" ht="15" customHeight="1">
      <c r="A336" t="inlineStr">
        <is>
          <t>A 7413-2024</t>
        </is>
      </c>
      <c r="B336" s="1" t="n">
        <v>45345.6059837963</v>
      </c>
      <c r="C336" s="1" t="n">
        <v>45992</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12251-2025</t>
        </is>
      </c>
      <c r="B337" s="1" t="n">
        <v>45729.60859953704</v>
      </c>
      <c r="C337" s="1" t="n">
        <v>45992</v>
      </c>
      <c r="D337" t="inlineStr">
        <is>
          <t>STOCKHOLMS LÄN</t>
        </is>
      </c>
      <c r="E337" t="inlineStr">
        <is>
          <t>NORRTÄLJE</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58863-2024</t>
        </is>
      </c>
      <c r="B338" s="1" t="n">
        <v>45636.41572916666</v>
      </c>
      <c r="C338" s="1" t="n">
        <v>45992</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45992</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45992</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58277-2023</t>
        </is>
      </c>
      <c r="B341" s="1" t="n">
        <v>45245</v>
      </c>
      <c r="C341" s="1" t="n">
        <v>45992</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50154-2024</t>
        </is>
      </c>
      <c r="B342" s="1" t="n">
        <v>45600.4558912037</v>
      </c>
      <c r="C342" s="1" t="n">
        <v>45992</v>
      </c>
      <c r="D342" t="inlineStr">
        <is>
          <t>STOCKHOLMS LÄN</t>
        </is>
      </c>
      <c r="E342" t="inlineStr">
        <is>
          <t>NORRTÄLJE</t>
        </is>
      </c>
      <c r="G342" t="n">
        <v>2.5</v>
      </c>
      <c r="H342" t="n">
        <v>0</v>
      </c>
      <c r="I342" t="n">
        <v>0</v>
      </c>
      <c r="J342" t="n">
        <v>0</v>
      </c>
      <c r="K342" t="n">
        <v>0</v>
      </c>
      <c r="L342" t="n">
        <v>0</v>
      </c>
      <c r="M342" t="n">
        <v>0</v>
      </c>
      <c r="N342" t="n">
        <v>0</v>
      </c>
      <c r="O342" t="n">
        <v>0</v>
      </c>
      <c r="P342" t="n">
        <v>0</v>
      </c>
      <c r="Q342" t="n">
        <v>0</v>
      </c>
      <c r="R342" s="2" t="inlineStr"/>
    </row>
    <row r="343" ht="15" customHeight="1">
      <c r="A343" t="inlineStr">
        <is>
          <t>A 23749-2024</t>
        </is>
      </c>
      <c r="B343" s="1" t="n">
        <v>45455.33037037037</v>
      </c>
      <c r="C343" s="1" t="n">
        <v>45992</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11940-2023</t>
        </is>
      </c>
      <c r="B344" s="1" t="n">
        <v>44995</v>
      </c>
      <c r="C344" s="1" t="n">
        <v>45992</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51325-2023</t>
        </is>
      </c>
      <c r="B345" s="1" t="n">
        <v>45219</v>
      </c>
      <c r="C345" s="1" t="n">
        <v>45992</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7903-2021</t>
        </is>
      </c>
      <c r="B346" s="1" t="n">
        <v>44243.33587962963</v>
      </c>
      <c r="C346" s="1" t="n">
        <v>45992</v>
      </c>
      <c r="D346" t="inlineStr">
        <is>
          <t>STOCKHOLMS LÄN</t>
        </is>
      </c>
      <c r="E346" t="inlineStr">
        <is>
          <t>NORRTÄLJE</t>
        </is>
      </c>
      <c r="G346" t="n">
        <v>3.5</v>
      </c>
      <c r="H346" t="n">
        <v>0</v>
      </c>
      <c r="I346" t="n">
        <v>0</v>
      </c>
      <c r="J346" t="n">
        <v>0</v>
      </c>
      <c r="K346" t="n">
        <v>0</v>
      </c>
      <c r="L346" t="n">
        <v>0</v>
      </c>
      <c r="M346" t="n">
        <v>0</v>
      </c>
      <c r="N346" t="n">
        <v>0</v>
      </c>
      <c r="O346" t="n">
        <v>0</v>
      </c>
      <c r="P346" t="n">
        <v>0</v>
      </c>
      <c r="Q346" t="n">
        <v>0</v>
      </c>
      <c r="R346" s="2" t="inlineStr"/>
    </row>
    <row r="347" ht="15" customHeight="1">
      <c r="A347" t="inlineStr">
        <is>
          <t>A 2281-2024</t>
        </is>
      </c>
      <c r="B347" s="1" t="n">
        <v>45310.40628472222</v>
      </c>
      <c r="C347" s="1" t="n">
        <v>45992</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59534-2024</t>
        </is>
      </c>
      <c r="B348" s="1" t="n">
        <v>45638.5987037037</v>
      </c>
      <c r="C348" s="1" t="n">
        <v>45992</v>
      </c>
      <c r="D348" t="inlineStr">
        <is>
          <t>STOCKHOLMS LÄN</t>
        </is>
      </c>
      <c r="E348" t="inlineStr">
        <is>
          <t>NORRTÄLJE</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31107-2022</t>
        </is>
      </c>
      <c r="B349" s="1" t="n">
        <v>44769.66864583334</v>
      </c>
      <c r="C349" s="1" t="n">
        <v>45992</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39213-2022</t>
        </is>
      </c>
      <c r="B350" s="1" t="n">
        <v>44817.56120370371</v>
      </c>
      <c r="C350" s="1" t="n">
        <v>45992</v>
      </c>
      <c r="D350" t="inlineStr">
        <is>
          <t>STOCKHOLMS LÄN</t>
        </is>
      </c>
      <c r="E350" t="inlineStr">
        <is>
          <t>NORRTÄLJE</t>
        </is>
      </c>
      <c r="G350" t="n">
        <v>3.4</v>
      </c>
      <c r="H350" t="n">
        <v>0</v>
      </c>
      <c r="I350" t="n">
        <v>0</v>
      </c>
      <c r="J350" t="n">
        <v>0</v>
      </c>
      <c r="K350" t="n">
        <v>0</v>
      </c>
      <c r="L350" t="n">
        <v>0</v>
      </c>
      <c r="M350" t="n">
        <v>0</v>
      </c>
      <c r="N350" t="n">
        <v>0</v>
      </c>
      <c r="O350" t="n">
        <v>0</v>
      </c>
      <c r="P350" t="n">
        <v>0</v>
      </c>
      <c r="Q350" t="n">
        <v>0</v>
      </c>
      <c r="R350" s="2" t="inlineStr"/>
    </row>
    <row r="351" ht="15" customHeight="1">
      <c r="A351" t="inlineStr">
        <is>
          <t>A 13860-2023</t>
        </is>
      </c>
      <c r="B351" s="1" t="n">
        <v>45007</v>
      </c>
      <c r="C351" s="1" t="n">
        <v>45992</v>
      </c>
      <c r="D351" t="inlineStr">
        <is>
          <t>STOCKHOLMS LÄN</t>
        </is>
      </c>
      <c r="E351" t="inlineStr">
        <is>
          <t>NORRTÄLJE</t>
        </is>
      </c>
      <c r="G351" t="n">
        <v>1.6</v>
      </c>
      <c r="H351" t="n">
        <v>0</v>
      </c>
      <c r="I351" t="n">
        <v>0</v>
      </c>
      <c r="J351" t="n">
        <v>0</v>
      </c>
      <c r="K351" t="n">
        <v>0</v>
      </c>
      <c r="L351" t="n">
        <v>0</v>
      </c>
      <c r="M351" t="n">
        <v>0</v>
      </c>
      <c r="N351" t="n">
        <v>0</v>
      </c>
      <c r="O351" t="n">
        <v>0</v>
      </c>
      <c r="P351" t="n">
        <v>0</v>
      </c>
      <c r="Q351" t="n">
        <v>0</v>
      </c>
      <c r="R351" s="2" t="inlineStr"/>
    </row>
    <row r="352" ht="15" customHeight="1">
      <c r="A352" t="inlineStr">
        <is>
          <t>A 6855-2025</t>
        </is>
      </c>
      <c r="B352" s="1" t="n">
        <v>45700</v>
      </c>
      <c r="C352" s="1" t="n">
        <v>45992</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60525-2022</t>
        </is>
      </c>
      <c r="B353" s="1" t="n">
        <v>44904</v>
      </c>
      <c r="C353" s="1" t="n">
        <v>45992</v>
      </c>
      <c r="D353" t="inlineStr">
        <is>
          <t>STOCKHOLMS LÄN</t>
        </is>
      </c>
      <c r="E353" t="inlineStr">
        <is>
          <t>NORRTÄLJE</t>
        </is>
      </c>
      <c r="G353" t="n">
        <v>13.4</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45992</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13314-2025</t>
        </is>
      </c>
      <c r="B355" s="1" t="n">
        <v>45735.59287037037</v>
      </c>
      <c r="C355" s="1" t="n">
        <v>45992</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12901-2024</t>
        </is>
      </c>
      <c r="B356" s="1" t="n">
        <v>45385.37922453704</v>
      </c>
      <c r="C356" s="1" t="n">
        <v>45992</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34432-2021</t>
        </is>
      </c>
      <c r="B357" s="1" t="n">
        <v>44380.77346064815</v>
      </c>
      <c r="C357" s="1" t="n">
        <v>45992</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8950-2025</t>
        </is>
      </c>
      <c r="B358" s="1" t="n">
        <v>45713</v>
      </c>
      <c r="C358" s="1" t="n">
        <v>45992</v>
      </c>
      <c r="D358" t="inlineStr">
        <is>
          <t>STOCKHOLMS LÄN</t>
        </is>
      </c>
      <c r="E358" t="inlineStr">
        <is>
          <t>NORRTÄLJE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12301-2025</t>
        </is>
      </c>
      <c r="B359" s="1" t="n">
        <v>45729.7271875</v>
      </c>
      <c r="C359" s="1" t="n">
        <v>45992</v>
      </c>
      <c r="D359" t="inlineStr">
        <is>
          <t>STOCKHOLMS LÄN</t>
        </is>
      </c>
      <c r="E359" t="inlineStr">
        <is>
          <t>NORRTÄLJE</t>
        </is>
      </c>
      <c r="G359" t="n">
        <v>3.2</v>
      </c>
      <c r="H359" t="n">
        <v>0</v>
      </c>
      <c r="I359" t="n">
        <v>0</v>
      </c>
      <c r="J359" t="n">
        <v>0</v>
      </c>
      <c r="K359" t="n">
        <v>0</v>
      </c>
      <c r="L359" t="n">
        <v>0</v>
      </c>
      <c r="M359" t="n">
        <v>0</v>
      </c>
      <c r="N359" t="n">
        <v>0</v>
      </c>
      <c r="O359" t="n">
        <v>0</v>
      </c>
      <c r="P359" t="n">
        <v>0</v>
      </c>
      <c r="Q359" t="n">
        <v>0</v>
      </c>
      <c r="R359" s="2" t="inlineStr"/>
    </row>
    <row r="360" ht="15" customHeight="1">
      <c r="A360" t="inlineStr">
        <is>
          <t>A 23149-2024</t>
        </is>
      </c>
      <c r="B360" s="1" t="n">
        <v>45450.64208333333</v>
      </c>
      <c r="C360" s="1" t="n">
        <v>45992</v>
      </c>
      <c r="D360" t="inlineStr">
        <is>
          <t>STOCKHOLMS LÄN</t>
        </is>
      </c>
      <c r="E360" t="inlineStr">
        <is>
          <t>NORRTÄLJE</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23151-2024</t>
        </is>
      </c>
      <c r="B361" s="1" t="n">
        <v>45450</v>
      </c>
      <c r="C361" s="1" t="n">
        <v>45992</v>
      </c>
      <c r="D361" t="inlineStr">
        <is>
          <t>STOCKHOLMS LÄN</t>
        </is>
      </c>
      <c r="E361" t="inlineStr">
        <is>
          <t>NORRTÄLJE</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24351-2025</t>
        </is>
      </c>
      <c r="B362" s="1" t="n">
        <v>45797.58399305555</v>
      </c>
      <c r="C362" s="1" t="n">
        <v>45992</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13283-2025</t>
        </is>
      </c>
      <c r="B363" s="1" t="n">
        <v>45735</v>
      </c>
      <c r="C363" s="1" t="n">
        <v>45992</v>
      </c>
      <c r="D363" t="inlineStr">
        <is>
          <t>STOCKHOLMS LÄN</t>
        </is>
      </c>
      <c r="E363" t="inlineStr">
        <is>
          <t>NORRTÄLJE</t>
        </is>
      </c>
      <c r="G363" t="n">
        <v>4.9</v>
      </c>
      <c r="H363" t="n">
        <v>0</v>
      </c>
      <c r="I363" t="n">
        <v>0</v>
      </c>
      <c r="J363" t="n">
        <v>0</v>
      </c>
      <c r="K363" t="n">
        <v>0</v>
      </c>
      <c r="L363" t="n">
        <v>0</v>
      </c>
      <c r="M363" t="n">
        <v>0</v>
      </c>
      <c r="N363" t="n">
        <v>0</v>
      </c>
      <c r="O363" t="n">
        <v>0</v>
      </c>
      <c r="P363" t="n">
        <v>0</v>
      </c>
      <c r="Q363" t="n">
        <v>0</v>
      </c>
      <c r="R363" s="2" t="inlineStr"/>
    </row>
    <row r="364" ht="15" customHeight="1">
      <c r="A364" t="inlineStr">
        <is>
          <t>A 32705-2022</t>
        </is>
      </c>
      <c r="B364" s="1" t="n">
        <v>44783</v>
      </c>
      <c r="C364" s="1" t="n">
        <v>45992</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45992</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24687-2025</t>
        </is>
      </c>
      <c r="B366" s="1" t="n">
        <v>45798.66767361111</v>
      </c>
      <c r="C366" s="1" t="n">
        <v>45992</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60185-2024</t>
        </is>
      </c>
      <c r="B367" s="1" t="n">
        <v>45642.64634259259</v>
      </c>
      <c r="C367" s="1" t="n">
        <v>45992</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38720-2025</t>
        </is>
      </c>
      <c r="B368" s="1" t="n">
        <v>45886</v>
      </c>
      <c r="C368" s="1" t="n">
        <v>45992</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48686-2023</t>
        </is>
      </c>
      <c r="B369" s="1" t="n">
        <v>45208</v>
      </c>
      <c r="C369" s="1" t="n">
        <v>45992</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48691-2023</t>
        </is>
      </c>
      <c r="B370" s="1" t="n">
        <v>45208</v>
      </c>
      <c r="C370" s="1" t="n">
        <v>45992</v>
      </c>
      <c r="D370" t="inlineStr">
        <is>
          <t>STOCKHOLMS LÄN</t>
        </is>
      </c>
      <c r="E370" t="inlineStr">
        <is>
          <t>NORRTÄLJE</t>
        </is>
      </c>
      <c r="G370" t="n">
        <v>5.8</v>
      </c>
      <c r="H370" t="n">
        <v>0</v>
      </c>
      <c r="I370" t="n">
        <v>0</v>
      </c>
      <c r="J370" t="n">
        <v>0</v>
      </c>
      <c r="K370" t="n">
        <v>0</v>
      </c>
      <c r="L370" t="n">
        <v>0</v>
      </c>
      <c r="M370" t="n">
        <v>0</v>
      </c>
      <c r="N370" t="n">
        <v>0</v>
      </c>
      <c r="O370" t="n">
        <v>0</v>
      </c>
      <c r="P370" t="n">
        <v>0</v>
      </c>
      <c r="Q370" t="n">
        <v>0</v>
      </c>
      <c r="R370" s="2" t="inlineStr"/>
    </row>
    <row r="371" ht="15" customHeight="1">
      <c r="A371" t="inlineStr">
        <is>
          <t>A 47481-2024</t>
        </is>
      </c>
      <c r="B371" s="1" t="n">
        <v>45587</v>
      </c>
      <c r="C371" s="1" t="n">
        <v>45992</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57037-2022</t>
        </is>
      </c>
      <c r="B372" s="1" t="n">
        <v>44895</v>
      </c>
      <c r="C372" s="1" t="n">
        <v>45992</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24638-2025</t>
        </is>
      </c>
      <c r="B373" s="1" t="n">
        <v>45798</v>
      </c>
      <c r="C373" s="1" t="n">
        <v>45992</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21726-2022</t>
        </is>
      </c>
      <c r="B374" s="1" t="n">
        <v>44708</v>
      </c>
      <c r="C374" s="1" t="n">
        <v>45992</v>
      </c>
      <c r="D374" t="inlineStr">
        <is>
          <t>STOCKHOLMS LÄN</t>
        </is>
      </c>
      <c r="E374" t="inlineStr">
        <is>
          <t>NORRTÄLJE</t>
        </is>
      </c>
      <c r="G374" t="n">
        <v>0.2</v>
      </c>
      <c r="H374" t="n">
        <v>0</v>
      </c>
      <c r="I374" t="n">
        <v>0</v>
      </c>
      <c r="J374" t="n">
        <v>0</v>
      </c>
      <c r="K374" t="n">
        <v>0</v>
      </c>
      <c r="L374" t="n">
        <v>0</v>
      </c>
      <c r="M374" t="n">
        <v>0</v>
      </c>
      <c r="N374" t="n">
        <v>0</v>
      </c>
      <c r="O374" t="n">
        <v>0</v>
      </c>
      <c r="P374" t="n">
        <v>0</v>
      </c>
      <c r="Q374" t="n">
        <v>0</v>
      </c>
      <c r="R374" s="2" t="inlineStr"/>
    </row>
    <row r="375" ht="15" customHeight="1">
      <c r="A375" t="inlineStr">
        <is>
          <t>A 21739-2022</t>
        </is>
      </c>
      <c r="B375" s="1" t="n">
        <v>44708.36708333333</v>
      </c>
      <c r="C375" s="1" t="n">
        <v>45992</v>
      </c>
      <c r="D375" t="inlineStr">
        <is>
          <t>STOCKHOLMS LÄN</t>
        </is>
      </c>
      <c r="E375" t="inlineStr">
        <is>
          <t>NORRTÄLJE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35210-2023</t>
        </is>
      </c>
      <c r="B376" s="1" t="n">
        <v>45145.63584490741</v>
      </c>
      <c r="C376" s="1" t="n">
        <v>45992</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28603-2024</t>
        </is>
      </c>
      <c r="B377" s="1" t="n">
        <v>45478.42887731481</v>
      </c>
      <c r="C377" s="1" t="n">
        <v>45992</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59767-2022</t>
        </is>
      </c>
      <c r="B378" s="1" t="n">
        <v>44900</v>
      </c>
      <c r="C378" s="1" t="n">
        <v>45992</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5823-2023</t>
        </is>
      </c>
      <c r="B379" s="1" t="n">
        <v>44963</v>
      </c>
      <c r="C379" s="1" t="n">
        <v>45992</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19915-2024</t>
        </is>
      </c>
      <c r="B380" s="1" t="n">
        <v>45433.58431712963</v>
      </c>
      <c r="C380" s="1" t="n">
        <v>45992</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15217-2023</t>
        </is>
      </c>
      <c r="B381" s="1" t="n">
        <v>45019.28847222222</v>
      </c>
      <c r="C381" s="1" t="n">
        <v>45992</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24690-2025</t>
        </is>
      </c>
      <c r="B382" s="1" t="n">
        <v>45798.67082175926</v>
      </c>
      <c r="C382" s="1" t="n">
        <v>45992</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47259-2024</t>
        </is>
      </c>
      <c r="B383" s="1" t="n">
        <v>45586</v>
      </c>
      <c r="C383" s="1" t="n">
        <v>45992</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50143-2023</t>
        </is>
      </c>
      <c r="B384" s="1" t="n">
        <v>45215</v>
      </c>
      <c r="C384" s="1" t="n">
        <v>45992</v>
      </c>
      <c r="D384" t="inlineStr">
        <is>
          <t>STOCKHOLMS LÄN</t>
        </is>
      </c>
      <c r="E384" t="inlineStr">
        <is>
          <t>NORRTÄLJE</t>
        </is>
      </c>
      <c r="G384" t="n">
        <v>10.3</v>
      </c>
      <c r="H384" t="n">
        <v>0</v>
      </c>
      <c r="I384" t="n">
        <v>0</v>
      </c>
      <c r="J384" t="n">
        <v>0</v>
      </c>
      <c r="K384" t="n">
        <v>0</v>
      </c>
      <c r="L384" t="n">
        <v>0</v>
      </c>
      <c r="M384" t="n">
        <v>0</v>
      </c>
      <c r="N384" t="n">
        <v>0</v>
      </c>
      <c r="O384" t="n">
        <v>0</v>
      </c>
      <c r="P384" t="n">
        <v>0</v>
      </c>
      <c r="Q384" t="n">
        <v>0</v>
      </c>
      <c r="R384" s="2" t="inlineStr"/>
    </row>
    <row r="385" ht="15" customHeight="1">
      <c r="A385" t="inlineStr">
        <is>
          <t>A 25702-2025</t>
        </is>
      </c>
      <c r="B385" s="1" t="n">
        <v>45800</v>
      </c>
      <c r="C385" s="1" t="n">
        <v>45992</v>
      </c>
      <c r="D385" t="inlineStr">
        <is>
          <t>STOCKHOLMS LÄN</t>
        </is>
      </c>
      <c r="E385" t="inlineStr">
        <is>
          <t>NORRTÄLJE</t>
        </is>
      </c>
      <c r="G385" t="n">
        <v>5.3</v>
      </c>
      <c r="H385" t="n">
        <v>0</v>
      </c>
      <c r="I385" t="n">
        <v>0</v>
      </c>
      <c r="J385" t="n">
        <v>0</v>
      </c>
      <c r="K385" t="n">
        <v>0</v>
      </c>
      <c r="L385" t="n">
        <v>0</v>
      </c>
      <c r="M385" t="n">
        <v>0</v>
      </c>
      <c r="N385" t="n">
        <v>0</v>
      </c>
      <c r="O385" t="n">
        <v>0</v>
      </c>
      <c r="P385" t="n">
        <v>0</v>
      </c>
      <c r="Q385" t="n">
        <v>0</v>
      </c>
      <c r="R385" s="2" t="inlineStr"/>
    </row>
    <row r="386" ht="15" customHeight="1">
      <c r="A386" t="inlineStr">
        <is>
          <t>A 29176-2024</t>
        </is>
      </c>
      <c r="B386" s="1" t="n">
        <v>45482.53388888889</v>
      </c>
      <c r="C386" s="1" t="n">
        <v>45992</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36430-2024</t>
        </is>
      </c>
      <c r="B387" s="1" t="n">
        <v>45536</v>
      </c>
      <c r="C387" s="1" t="n">
        <v>45992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25712-2025</t>
        </is>
      </c>
      <c r="B388" s="1" t="n">
        <v>45803.69228009259</v>
      </c>
      <c r="C388" s="1" t="n">
        <v>45992</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25725-2025</t>
        </is>
      </c>
      <c r="B389" s="1" t="n">
        <v>45800</v>
      </c>
      <c r="C389" s="1" t="n">
        <v>45992</v>
      </c>
      <c r="D389" t="inlineStr">
        <is>
          <t>STOCKHOLMS LÄN</t>
        </is>
      </c>
      <c r="E389" t="inlineStr">
        <is>
          <t>NORRTÄLJE</t>
        </is>
      </c>
      <c r="G389" t="n">
        <v>5.2</v>
      </c>
      <c r="H389" t="n">
        <v>0</v>
      </c>
      <c r="I389" t="n">
        <v>0</v>
      </c>
      <c r="J389" t="n">
        <v>0</v>
      </c>
      <c r="K389" t="n">
        <v>0</v>
      </c>
      <c r="L389" t="n">
        <v>0</v>
      </c>
      <c r="M389" t="n">
        <v>0</v>
      </c>
      <c r="N389" t="n">
        <v>0</v>
      </c>
      <c r="O389" t="n">
        <v>0</v>
      </c>
      <c r="P389" t="n">
        <v>0</v>
      </c>
      <c r="Q389" t="n">
        <v>0</v>
      </c>
      <c r="R389" s="2" t="inlineStr"/>
    </row>
    <row r="390" ht="15" customHeight="1">
      <c r="A390" t="inlineStr">
        <is>
          <t>A 38593-2025</t>
        </is>
      </c>
      <c r="B390" s="1" t="n">
        <v>45884.48696759259</v>
      </c>
      <c r="C390" s="1" t="n">
        <v>45992</v>
      </c>
      <c r="D390" t="inlineStr">
        <is>
          <t>STOCKHOLMS LÄN</t>
        </is>
      </c>
      <c r="E390" t="inlineStr">
        <is>
          <t>NORRTÄLJE</t>
        </is>
      </c>
      <c r="G390" t="n">
        <v>3</v>
      </c>
      <c r="H390" t="n">
        <v>0</v>
      </c>
      <c r="I390" t="n">
        <v>0</v>
      </c>
      <c r="J390" t="n">
        <v>0</v>
      </c>
      <c r="K390" t="n">
        <v>0</v>
      </c>
      <c r="L390" t="n">
        <v>0</v>
      </c>
      <c r="M390" t="n">
        <v>0</v>
      </c>
      <c r="N390" t="n">
        <v>0</v>
      </c>
      <c r="O390" t="n">
        <v>0</v>
      </c>
      <c r="P390" t="n">
        <v>0</v>
      </c>
      <c r="Q390" t="n">
        <v>0</v>
      </c>
      <c r="R390" s="2" t="inlineStr"/>
    </row>
    <row r="391" ht="15" customHeight="1">
      <c r="A391" t="inlineStr">
        <is>
          <t>A 51312-2023</t>
        </is>
      </c>
      <c r="B391" s="1" t="n">
        <v>45219.56697916667</v>
      </c>
      <c r="C391" s="1" t="n">
        <v>45992</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35640-2024</t>
        </is>
      </c>
      <c r="B392" s="1" t="n">
        <v>45531</v>
      </c>
      <c r="C392" s="1" t="n">
        <v>45992</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25733-2025</t>
        </is>
      </c>
      <c r="B393" s="1" t="n">
        <v>45800</v>
      </c>
      <c r="C393" s="1" t="n">
        <v>45992</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39238-2024</t>
        </is>
      </c>
      <c r="B394" s="1" t="n">
        <v>45549</v>
      </c>
      <c r="C394" s="1" t="n">
        <v>45992</v>
      </c>
      <c r="D394" t="inlineStr">
        <is>
          <t>STOCKHOLMS LÄN</t>
        </is>
      </c>
      <c r="E394" t="inlineStr">
        <is>
          <t>NORRTÄLJE</t>
        </is>
      </c>
      <c r="G394" t="n">
        <v>3.6</v>
      </c>
      <c r="H394" t="n">
        <v>0</v>
      </c>
      <c r="I394" t="n">
        <v>0</v>
      </c>
      <c r="J394" t="n">
        <v>0</v>
      </c>
      <c r="K394" t="n">
        <v>0</v>
      </c>
      <c r="L394" t="n">
        <v>0</v>
      </c>
      <c r="M394" t="n">
        <v>0</v>
      </c>
      <c r="N394" t="n">
        <v>0</v>
      </c>
      <c r="O394" t="n">
        <v>0</v>
      </c>
      <c r="P394" t="n">
        <v>0</v>
      </c>
      <c r="Q394" t="n">
        <v>0</v>
      </c>
      <c r="R394" s="2" t="inlineStr"/>
    </row>
    <row r="395" ht="15" customHeight="1">
      <c r="A395" t="inlineStr">
        <is>
          <t>A 25571-2025</t>
        </is>
      </c>
      <c r="B395" s="1" t="n">
        <v>45803.4675</v>
      </c>
      <c r="C395" s="1" t="n">
        <v>45992</v>
      </c>
      <c r="D395" t="inlineStr">
        <is>
          <t>STOCKHOLMS LÄN</t>
        </is>
      </c>
      <c r="E395" t="inlineStr">
        <is>
          <t>NORRTÄLJE</t>
        </is>
      </c>
      <c r="G395" t="n">
        <v>5.4</v>
      </c>
      <c r="H395" t="n">
        <v>0</v>
      </c>
      <c r="I395" t="n">
        <v>0</v>
      </c>
      <c r="J395" t="n">
        <v>0</v>
      </c>
      <c r="K395" t="n">
        <v>0</v>
      </c>
      <c r="L395" t="n">
        <v>0</v>
      </c>
      <c r="M395" t="n">
        <v>0</v>
      </c>
      <c r="N395" t="n">
        <v>0</v>
      </c>
      <c r="O395" t="n">
        <v>0</v>
      </c>
      <c r="P395" t="n">
        <v>0</v>
      </c>
      <c r="Q395" t="n">
        <v>0</v>
      </c>
      <c r="R395" s="2" t="inlineStr"/>
    </row>
    <row r="396" ht="15" customHeight="1">
      <c r="A396" t="inlineStr">
        <is>
          <t>A 25721-2025</t>
        </is>
      </c>
      <c r="B396" s="1" t="n">
        <v>45800</v>
      </c>
      <c r="C396" s="1" t="n">
        <v>45992</v>
      </c>
      <c r="D396" t="inlineStr">
        <is>
          <t>STOCKHOLMS LÄN</t>
        </is>
      </c>
      <c r="E396" t="inlineStr">
        <is>
          <t>NORRTÄLJE</t>
        </is>
      </c>
      <c r="G396" t="n">
        <v>6</v>
      </c>
      <c r="H396" t="n">
        <v>0</v>
      </c>
      <c r="I396" t="n">
        <v>0</v>
      </c>
      <c r="J396" t="n">
        <v>0</v>
      </c>
      <c r="K396" t="n">
        <v>0</v>
      </c>
      <c r="L396" t="n">
        <v>0</v>
      </c>
      <c r="M396" t="n">
        <v>0</v>
      </c>
      <c r="N396" t="n">
        <v>0</v>
      </c>
      <c r="O396" t="n">
        <v>0</v>
      </c>
      <c r="P396" t="n">
        <v>0</v>
      </c>
      <c r="Q396" t="n">
        <v>0</v>
      </c>
      <c r="R396" s="2" t="inlineStr"/>
    </row>
    <row r="397" ht="15" customHeight="1">
      <c r="A397" t="inlineStr">
        <is>
          <t>A 43212-2022</t>
        </is>
      </c>
      <c r="B397" s="1" t="n">
        <v>44834.38636574074</v>
      </c>
      <c r="C397" s="1" t="n">
        <v>45992</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51653-2022</t>
        </is>
      </c>
      <c r="B398" s="1" t="n">
        <v>44867</v>
      </c>
      <c r="C398" s="1" t="n">
        <v>45992</v>
      </c>
      <c r="D398" t="inlineStr">
        <is>
          <t>STOCKHOLMS LÄN</t>
        </is>
      </c>
      <c r="E398" t="inlineStr">
        <is>
          <t>NORRTÄLJE</t>
        </is>
      </c>
      <c r="G398" t="n">
        <v>6.6</v>
      </c>
      <c r="H398" t="n">
        <v>0</v>
      </c>
      <c r="I398" t="n">
        <v>0</v>
      </c>
      <c r="J398" t="n">
        <v>0</v>
      </c>
      <c r="K398" t="n">
        <v>0</v>
      </c>
      <c r="L398" t="n">
        <v>0</v>
      </c>
      <c r="M398" t="n">
        <v>0</v>
      </c>
      <c r="N398" t="n">
        <v>0</v>
      </c>
      <c r="O398" t="n">
        <v>0</v>
      </c>
      <c r="P398" t="n">
        <v>0</v>
      </c>
      <c r="Q398" t="n">
        <v>0</v>
      </c>
      <c r="R398" s="2" t="inlineStr"/>
    </row>
    <row r="399" ht="15" customHeight="1">
      <c r="A399" t="inlineStr">
        <is>
          <t>A 25697-2025</t>
        </is>
      </c>
      <c r="B399" s="1" t="n">
        <v>45803.66587962963</v>
      </c>
      <c r="C399" s="1" t="n">
        <v>45992</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41218-2024</t>
        </is>
      </c>
      <c r="B400" s="1" t="n">
        <v>45559.54706018518</v>
      </c>
      <c r="C400" s="1" t="n">
        <v>45992</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25709-2025</t>
        </is>
      </c>
      <c r="B401" s="1" t="n">
        <v>45800</v>
      </c>
      <c r="C401" s="1" t="n">
        <v>45992</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4322-2023</t>
        </is>
      </c>
      <c r="B402" s="1" t="n">
        <v>44953.69298611111</v>
      </c>
      <c r="C402" s="1" t="n">
        <v>45992</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38449-2022</t>
        </is>
      </c>
      <c r="B403" s="1" t="n">
        <v>44813</v>
      </c>
      <c r="C403" s="1" t="n">
        <v>45992</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34478-2025</t>
        </is>
      </c>
      <c r="B404" s="1" t="n">
        <v>45847.37414351852</v>
      </c>
      <c r="C404" s="1" t="n">
        <v>45992</v>
      </c>
      <c r="D404" t="inlineStr">
        <is>
          <t>STOCKHOLMS LÄN</t>
        </is>
      </c>
      <c r="E404" t="inlineStr">
        <is>
          <t>NORRTÄLJE</t>
        </is>
      </c>
      <c r="F404" t="inlineStr">
        <is>
          <t>Övriga Aktiebolag</t>
        </is>
      </c>
      <c r="G404" t="n">
        <v>10.8</v>
      </c>
      <c r="H404" t="n">
        <v>0</v>
      </c>
      <c r="I404" t="n">
        <v>0</v>
      </c>
      <c r="J404" t="n">
        <v>0</v>
      </c>
      <c r="K404" t="n">
        <v>0</v>
      </c>
      <c r="L404" t="n">
        <v>0</v>
      </c>
      <c r="M404" t="n">
        <v>0</v>
      </c>
      <c r="N404" t="n">
        <v>0</v>
      </c>
      <c r="O404" t="n">
        <v>0</v>
      </c>
      <c r="P404" t="n">
        <v>0</v>
      </c>
      <c r="Q404" t="n">
        <v>0</v>
      </c>
      <c r="R404" s="2" t="inlineStr"/>
    </row>
    <row r="405" ht="15" customHeight="1">
      <c r="A405" t="inlineStr">
        <is>
          <t>A 27677-2025</t>
        </is>
      </c>
      <c r="B405" s="1" t="n">
        <v>45813.63650462963</v>
      </c>
      <c r="C405" s="1" t="n">
        <v>45992</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39152-2025</t>
        </is>
      </c>
      <c r="B406" s="1" t="n">
        <v>45888</v>
      </c>
      <c r="C406" s="1" t="n">
        <v>45992</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38990-2022</t>
        </is>
      </c>
      <c r="B407" s="1" t="n">
        <v>44816</v>
      </c>
      <c r="C407" s="1" t="n">
        <v>45992</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17956-2025</t>
        </is>
      </c>
      <c r="B408" s="1" t="n">
        <v>45760.91174768518</v>
      </c>
      <c r="C408" s="1" t="n">
        <v>45992</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875-2023</t>
        </is>
      </c>
      <c r="B409" s="1" t="n">
        <v>44931.65626157408</v>
      </c>
      <c r="C409" s="1" t="n">
        <v>45992</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31236-2022</t>
        </is>
      </c>
      <c r="B410" s="1" t="n">
        <v>44771</v>
      </c>
      <c r="C410" s="1" t="n">
        <v>45992</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8315-2025</t>
        </is>
      </c>
      <c r="B411" s="1" t="n">
        <v>45708.61761574074</v>
      </c>
      <c r="C411" s="1" t="n">
        <v>45992</v>
      </c>
      <c r="D411" t="inlineStr">
        <is>
          <t>STOCKHOLMS LÄN</t>
        </is>
      </c>
      <c r="E411" t="inlineStr">
        <is>
          <t>NORRTÄLJE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53561-2023</t>
        </is>
      </c>
      <c r="B412" s="1" t="n">
        <v>45224</v>
      </c>
      <c r="C412" s="1" t="n">
        <v>45992</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31281-2022</t>
        </is>
      </c>
      <c r="B413" s="1" t="n">
        <v>44771</v>
      </c>
      <c r="C413" s="1" t="n">
        <v>45992</v>
      </c>
      <c r="D413" t="inlineStr">
        <is>
          <t>STOCKHOLMS LÄN</t>
        </is>
      </c>
      <c r="E413" t="inlineStr">
        <is>
          <t>NORRTÄLJE</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45992</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45992</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18665-2022</t>
        </is>
      </c>
      <c r="B416" s="1" t="n">
        <v>44687</v>
      </c>
      <c r="C416" s="1" t="n">
        <v>45992</v>
      </c>
      <c r="D416" t="inlineStr">
        <is>
          <t>STOCKHOLMS LÄN</t>
        </is>
      </c>
      <c r="E416" t="inlineStr">
        <is>
          <t>NORRTÄLJE</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39692-2025</t>
        </is>
      </c>
      <c r="B417" s="1" t="n">
        <v>45890.68083333333</v>
      </c>
      <c r="C417" s="1" t="n">
        <v>45992</v>
      </c>
      <c r="D417" t="inlineStr">
        <is>
          <t>STOCKHOLMS LÄN</t>
        </is>
      </c>
      <c r="E417" t="inlineStr">
        <is>
          <t>NORRTÄLJE</t>
        </is>
      </c>
      <c r="G417" t="n">
        <v>10.5</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45992</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35639-2025</t>
        </is>
      </c>
      <c r="B419" s="1" t="n">
        <v>45859</v>
      </c>
      <c r="C419" s="1" t="n">
        <v>45992</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26708-2025</t>
        </is>
      </c>
      <c r="B420" s="1" t="n">
        <v>45810.45633101852</v>
      </c>
      <c r="C420" s="1" t="n">
        <v>45992</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38591-2023</t>
        </is>
      </c>
      <c r="B421" s="1" t="n">
        <v>45162</v>
      </c>
      <c r="C421" s="1" t="n">
        <v>45992</v>
      </c>
      <c r="D421" t="inlineStr">
        <is>
          <t>STOCKHOLMS LÄN</t>
        </is>
      </c>
      <c r="E421" t="inlineStr">
        <is>
          <t>NORRTÄLJE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30338-2022</t>
        </is>
      </c>
      <c r="B422" s="1" t="n">
        <v>44760</v>
      </c>
      <c r="C422" s="1" t="n">
        <v>45992</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2888-2022</t>
        </is>
      </c>
      <c r="B423" s="1" t="n">
        <v>44581</v>
      </c>
      <c r="C423" s="1" t="n">
        <v>45992</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35636-2025</t>
        </is>
      </c>
      <c r="B424" s="1" t="n">
        <v>45859</v>
      </c>
      <c r="C424" s="1" t="n">
        <v>45992</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52686-2024</t>
        </is>
      </c>
      <c r="B425" s="1" t="n">
        <v>45610.39271990741</v>
      </c>
      <c r="C425" s="1" t="n">
        <v>45992</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26702-2025</t>
        </is>
      </c>
      <c r="B426" s="1" t="n">
        <v>45810.45236111111</v>
      </c>
      <c r="C426" s="1" t="n">
        <v>45992</v>
      </c>
      <c r="D426" t="inlineStr">
        <is>
          <t>STOCKHOLMS LÄN</t>
        </is>
      </c>
      <c r="E426" t="inlineStr">
        <is>
          <t>NORRTÄLJE</t>
        </is>
      </c>
      <c r="G426" t="n">
        <v>7.3</v>
      </c>
      <c r="H426" t="n">
        <v>0</v>
      </c>
      <c r="I426" t="n">
        <v>0</v>
      </c>
      <c r="J426" t="n">
        <v>0</v>
      </c>
      <c r="K426" t="n">
        <v>0</v>
      </c>
      <c r="L426" t="n">
        <v>0</v>
      </c>
      <c r="M426" t="n">
        <v>0</v>
      </c>
      <c r="N426" t="n">
        <v>0</v>
      </c>
      <c r="O426" t="n">
        <v>0</v>
      </c>
      <c r="P426" t="n">
        <v>0</v>
      </c>
      <c r="Q426" t="n">
        <v>0</v>
      </c>
      <c r="R426" s="2" t="inlineStr"/>
    </row>
    <row r="427" ht="15" customHeight="1">
      <c r="A427" t="inlineStr">
        <is>
          <t>A 20343-2024</t>
        </is>
      </c>
      <c r="B427" s="1" t="n">
        <v>45435.43466435185</v>
      </c>
      <c r="C427" s="1" t="n">
        <v>45992</v>
      </c>
      <c r="D427" t="inlineStr">
        <is>
          <t>STOCKHOLMS LÄN</t>
        </is>
      </c>
      <c r="E427" t="inlineStr">
        <is>
          <t>NORRTÄLJE</t>
        </is>
      </c>
      <c r="G427" t="n">
        <v>2.8</v>
      </c>
      <c r="H427" t="n">
        <v>0</v>
      </c>
      <c r="I427" t="n">
        <v>0</v>
      </c>
      <c r="J427" t="n">
        <v>0</v>
      </c>
      <c r="K427" t="n">
        <v>0</v>
      </c>
      <c r="L427" t="n">
        <v>0</v>
      </c>
      <c r="M427" t="n">
        <v>0</v>
      </c>
      <c r="N427" t="n">
        <v>0</v>
      </c>
      <c r="O427" t="n">
        <v>0</v>
      </c>
      <c r="P427" t="n">
        <v>0</v>
      </c>
      <c r="Q427" t="n">
        <v>0</v>
      </c>
      <c r="R427" s="2" t="inlineStr"/>
    </row>
    <row r="428" ht="15" customHeight="1">
      <c r="A428" t="inlineStr">
        <is>
          <t>A 20345-2024</t>
        </is>
      </c>
      <c r="B428" s="1" t="n">
        <v>45435.43820601852</v>
      </c>
      <c r="C428" s="1" t="n">
        <v>45992</v>
      </c>
      <c r="D428" t="inlineStr">
        <is>
          <t>STOCKHOLMS LÄN</t>
        </is>
      </c>
      <c r="E428" t="inlineStr">
        <is>
          <t>NORRTÄLJE</t>
        </is>
      </c>
      <c r="G428" t="n">
        <v>3.8</v>
      </c>
      <c r="H428" t="n">
        <v>0</v>
      </c>
      <c r="I428" t="n">
        <v>0</v>
      </c>
      <c r="J428" t="n">
        <v>0</v>
      </c>
      <c r="K428" t="n">
        <v>0</v>
      </c>
      <c r="L428" t="n">
        <v>0</v>
      </c>
      <c r="M428" t="n">
        <v>0</v>
      </c>
      <c r="N428" t="n">
        <v>0</v>
      </c>
      <c r="O428" t="n">
        <v>0</v>
      </c>
      <c r="P428" t="n">
        <v>0</v>
      </c>
      <c r="Q428" t="n">
        <v>0</v>
      </c>
      <c r="R428" s="2" t="inlineStr"/>
    </row>
    <row r="429" ht="15" customHeight="1">
      <c r="A429" t="inlineStr">
        <is>
          <t>A 9765-2024</t>
        </is>
      </c>
      <c r="B429" s="1" t="n">
        <v>45362.62811342593</v>
      </c>
      <c r="C429" s="1" t="n">
        <v>45992</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40172-2025</t>
        </is>
      </c>
      <c r="B430" s="1" t="n">
        <v>45894.6353125</v>
      </c>
      <c r="C430" s="1" t="n">
        <v>45992</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59875-2024</t>
        </is>
      </c>
      <c r="B431" s="1" t="n">
        <v>45640.58716435185</v>
      </c>
      <c r="C431" s="1" t="n">
        <v>45992</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40033-2025</t>
        </is>
      </c>
      <c r="B432" s="1" t="n">
        <v>45893</v>
      </c>
      <c r="C432" s="1" t="n">
        <v>45992</v>
      </c>
      <c r="D432" t="inlineStr">
        <is>
          <t>STOCKHOLMS LÄN</t>
        </is>
      </c>
      <c r="E432" t="inlineStr">
        <is>
          <t>NORRTÄLJE</t>
        </is>
      </c>
      <c r="G432" t="n">
        <v>1.7</v>
      </c>
      <c r="H432" t="n">
        <v>0</v>
      </c>
      <c r="I432" t="n">
        <v>0</v>
      </c>
      <c r="J432" t="n">
        <v>0</v>
      </c>
      <c r="K432" t="n">
        <v>0</v>
      </c>
      <c r="L432" t="n">
        <v>0</v>
      </c>
      <c r="M432" t="n">
        <v>0</v>
      </c>
      <c r="N432" t="n">
        <v>0</v>
      </c>
      <c r="O432" t="n">
        <v>0</v>
      </c>
      <c r="P432" t="n">
        <v>0</v>
      </c>
      <c r="Q432" t="n">
        <v>0</v>
      </c>
      <c r="R432" s="2" t="inlineStr"/>
    </row>
    <row r="433" ht="15" customHeight="1">
      <c r="A433" t="inlineStr">
        <is>
          <t>A 40032-2025</t>
        </is>
      </c>
      <c r="B433" s="1" t="n">
        <v>45893</v>
      </c>
      <c r="C433" s="1" t="n">
        <v>45992</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23061-2025</t>
        </is>
      </c>
      <c r="B434" s="1" t="n">
        <v>45790.81410879629</v>
      </c>
      <c r="C434" s="1" t="n">
        <v>45992</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40292-2025</t>
        </is>
      </c>
      <c r="B435" s="1" t="n">
        <v>45895.3867824074</v>
      </c>
      <c r="C435" s="1" t="n">
        <v>45992</v>
      </c>
      <c r="D435" t="inlineStr">
        <is>
          <t>STOCKHOLMS LÄN</t>
        </is>
      </c>
      <c r="E435" t="inlineStr">
        <is>
          <t>NORRTÄLJE</t>
        </is>
      </c>
      <c r="G435" t="n">
        <v>3.5</v>
      </c>
      <c r="H435" t="n">
        <v>0</v>
      </c>
      <c r="I435" t="n">
        <v>0</v>
      </c>
      <c r="J435" t="n">
        <v>0</v>
      </c>
      <c r="K435" t="n">
        <v>0</v>
      </c>
      <c r="L435" t="n">
        <v>0</v>
      </c>
      <c r="M435" t="n">
        <v>0</v>
      </c>
      <c r="N435" t="n">
        <v>0</v>
      </c>
      <c r="O435" t="n">
        <v>0</v>
      </c>
      <c r="P435" t="n">
        <v>0</v>
      </c>
      <c r="Q435" t="n">
        <v>0</v>
      </c>
      <c r="R435" s="2" t="inlineStr"/>
    </row>
    <row r="436" ht="15" customHeight="1">
      <c r="A436" t="inlineStr">
        <is>
          <t>A 40294-2025</t>
        </is>
      </c>
      <c r="B436" s="1" t="n">
        <v>45895.38778935185</v>
      </c>
      <c r="C436" s="1" t="n">
        <v>45992</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11-2024</t>
        </is>
      </c>
      <c r="B437" s="1" t="n">
        <v>45293</v>
      </c>
      <c r="C437" s="1" t="n">
        <v>45992</v>
      </c>
      <c r="D437" t="inlineStr">
        <is>
          <t>STOCKHOLMS LÄN</t>
        </is>
      </c>
      <c r="E437" t="inlineStr">
        <is>
          <t>NORRTÄLJE</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14559-2024</t>
        </is>
      </c>
      <c r="B438" s="1" t="n">
        <v>45394.72869212963</v>
      </c>
      <c r="C438" s="1" t="n">
        <v>45992</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40228-2025</t>
        </is>
      </c>
      <c r="B439" s="1" t="n">
        <v>45894.70854166667</v>
      </c>
      <c r="C439" s="1" t="n">
        <v>45992</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27040-2025</t>
        </is>
      </c>
      <c r="B440" s="1" t="n">
        <v>45811.60451388889</v>
      </c>
      <c r="C440" s="1" t="n">
        <v>45992</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8433-2022</t>
        </is>
      </c>
      <c r="B441" s="1" t="n">
        <v>44611</v>
      </c>
      <c r="C441" s="1" t="n">
        <v>45992</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26747-2025</t>
        </is>
      </c>
      <c r="B442" s="1" t="n">
        <v>45810.5333912037</v>
      </c>
      <c r="C442" s="1" t="n">
        <v>45992</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25525-2022</t>
        </is>
      </c>
      <c r="B443" s="1" t="n">
        <v>44732</v>
      </c>
      <c r="C443" s="1" t="n">
        <v>45992</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12302-2025</t>
        </is>
      </c>
      <c r="B444" s="1" t="n">
        <v>45729.72851851852</v>
      </c>
      <c r="C444" s="1" t="n">
        <v>45992</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40230-2025</t>
        </is>
      </c>
      <c r="B445" s="1" t="n">
        <v>45894.71101851852</v>
      </c>
      <c r="C445" s="1" t="n">
        <v>45992</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45992</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38889-2024</t>
        </is>
      </c>
      <c r="B447" s="1" t="n">
        <v>45547</v>
      </c>
      <c r="C447" s="1" t="n">
        <v>45992</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45451-2024</t>
        </is>
      </c>
      <c r="B448" s="1" t="n">
        <v>45576</v>
      </c>
      <c r="C448" s="1" t="n">
        <v>45992</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26675-2025</t>
        </is>
      </c>
      <c r="B449" s="1" t="n">
        <v>45810.42393518519</v>
      </c>
      <c r="C449" s="1" t="n">
        <v>45992</v>
      </c>
      <c r="D449" t="inlineStr">
        <is>
          <t>STOCKHOLMS LÄN</t>
        </is>
      </c>
      <c r="E449" t="inlineStr">
        <is>
          <t>NORRTÄLJE</t>
        </is>
      </c>
      <c r="G449" t="n">
        <v>2.7</v>
      </c>
      <c r="H449" t="n">
        <v>0</v>
      </c>
      <c r="I449" t="n">
        <v>0</v>
      </c>
      <c r="J449" t="n">
        <v>0</v>
      </c>
      <c r="K449" t="n">
        <v>0</v>
      </c>
      <c r="L449" t="n">
        <v>0</v>
      </c>
      <c r="M449" t="n">
        <v>0</v>
      </c>
      <c r="N449" t="n">
        <v>0</v>
      </c>
      <c r="O449" t="n">
        <v>0</v>
      </c>
      <c r="P449" t="n">
        <v>0</v>
      </c>
      <c r="Q449" t="n">
        <v>0</v>
      </c>
      <c r="R449" s="2" t="inlineStr"/>
    </row>
    <row r="450" ht="15" customHeight="1">
      <c r="A450" t="inlineStr">
        <is>
          <t>A 40097-2025</t>
        </is>
      </c>
      <c r="B450" s="1" t="n">
        <v>45894.48322916667</v>
      </c>
      <c r="C450" s="1" t="n">
        <v>45992</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40829-2025</t>
        </is>
      </c>
      <c r="B451" s="1" t="n">
        <v>45897.50802083333</v>
      </c>
      <c r="C451" s="1" t="n">
        <v>45992</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40837-2025</t>
        </is>
      </c>
      <c r="B452" s="1" t="n">
        <v>45897.51328703704</v>
      </c>
      <c r="C452" s="1" t="n">
        <v>45992</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27554-2025</t>
        </is>
      </c>
      <c r="B453" s="1" t="n">
        <v>45813.4709375</v>
      </c>
      <c r="C453" s="1" t="n">
        <v>45992</v>
      </c>
      <c r="D453" t="inlineStr">
        <is>
          <t>STOCKHOLMS LÄN</t>
        </is>
      </c>
      <c r="E453" t="inlineStr">
        <is>
          <t>NORRTÄLJE</t>
        </is>
      </c>
      <c r="F453" t="inlineStr">
        <is>
          <t>Övriga Aktiebolag</t>
        </is>
      </c>
      <c r="G453" t="n">
        <v>2.5</v>
      </c>
      <c r="H453" t="n">
        <v>0</v>
      </c>
      <c r="I453" t="n">
        <v>0</v>
      </c>
      <c r="J453" t="n">
        <v>0</v>
      </c>
      <c r="K453" t="n">
        <v>0</v>
      </c>
      <c r="L453" t="n">
        <v>0</v>
      </c>
      <c r="M453" t="n">
        <v>0</v>
      </c>
      <c r="N453" t="n">
        <v>0</v>
      </c>
      <c r="O453" t="n">
        <v>0</v>
      </c>
      <c r="P453" t="n">
        <v>0</v>
      </c>
      <c r="Q453" t="n">
        <v>0</v>
      </c>
      <c r="R453" s="2" t="inlineStr"/>
    </row>
    <row r="454" ht="15" customHeight="1">
      <c r="A454" t="inlineStr">
        <is>
          <t>A 40529-2025</t>
        </is>
      </c>
      <c r="B454" s="1" t="n">
        <v>45896.38466435186</v>
      </c>
      <c r="C454" s="1" t="n">
        <v>45992</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40831-2025</t>
        </is>
      </c>
      <c r="B455" s="1" t="n">
        <v>45897.51077546296</v>
      </c>
      <c r="C455" s="1" t="n">
        <v>45992</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27700-2025</t>
        </is>
      </c>
      <c r="B456" s="1" t="n">
        <v>45813.6799537037</v>
      </c>
      <c r="C456" s="1" t="n">
        <v>45992</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27697-2025</t>
        </is>
      </c>
      <c r="B457" s="1" t="n">
        <v>45813.66961805556</v>
      </c>
      <c r="C457" s="1" t="n">
        <v>45992</v>
      </c>
      <c r="D457" t="inlineStr">
        <is>
          <t>STOCKHOLMS LÄN</t>
        </is>
      </c>
      <c r="E457" t="inlineStr">
        <is>
          <t>NORRTÄLJE</t>
        </is>
      </c>
      <c r="G457" t="n">
        <v>6.2</v>
      </c>
      <c r="H457" t="n">
        <v>0</v>
      </c>
      <c r="I457" t="n">
        <v>0</v>
      </c>
      <c r="J457" t="n">
        <v>0</v>
      </c>
      <c r="K457" t="n">
        <v>0</v>
      </c>
      <c r="L457" t="n">
        <v>0</v>
      </c>
      <c r="M457" t="n">
        <v>0</v>
      </c>
      <c r="N457" t="n">
        <v>0</v>
      </c>
      <c r="O457" t="n">
        <v>0</v>
      </c>
      <c r="P457" t="n">
        <v>0</v>
      </c>
      <c r="Q457" t="n">
        <v>0</v>
      </c>
      <c r="R457" s="2" t="inlineStr"/>
    </row>
    <row r="458" ht="15" customHeight="1">
      <c r="A458" t="inlineStr">
        <is>
          <t>A 27802-2025</t>
        </is>
      </c>
      <c r="B458" s="1" t="n">
        <v>45817.2565625</v>
      </c>
      <c r="C458" s="1" t="n">
        <v>45992</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27806-2025</t>
        </is>
      </c>
      <c r="B459" s="1" t="n">
        <v>45817.30329861111</v>
      </c>
      <c r="C459" s="1" t="n">
        <v>45992</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27808-2025</t>
        </is>
      </c>
      <c r="B460" s="1" t="n">
        <v>45817.31085648148</v>
      </c>
      <c r="C460" s="1" t="n">
        <v>45992</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27810-2025</t>
        </is>
      </c>
      <c r="B461" s="1" t="n">
        <v>45817.31708333334</v>
      </c>
      <c r="C461" s="1" t="n">
        <v>45992</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27811-2025</t>
        </is>
      </c>
      <c r="B462" s="1" t="n">
        <v>45817.31986111111</v>
      </c>
      <c r="C462" s="1" t="n">
        <v>45992</v>
      </c>
      <c r="D462" t="inlineStr">
        <is>
          <t>STOCKHOLMS LÄN</t>
        </is>
      </c>
      <c r="E462" t="inlineStr">
        <is>
          <t>NORRTÄLJE</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27818-2025</t>
        </is>
      </c>
      <c r="B463" s="1" t="n">
        <v>45817.33503472222</v>
      </c>
      <c r="C463" s="1" t="n">
        <v>45992</v>
      </c>
      <c r="D463" t="inlineStr">
        <is>
          <t>STOCKHOLMS LÄN</t>
        </is>
      </c>
      <c r="E463" t="inlineStr">
        <is>
          <t>NORRTÄLJE</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26644-2024</t>
        </is>
      </c>
      <c r="B464" s="1" t="n">
        <v>45469</v>
      </c>
      <c r="C464" s="1" t="n">
        <v>45992</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41158-2025</t>
        </is>
      </c>
      <c r="B465" s="1" t="n">
        <v>45898.5315625</v>
      </c>
      <c r="C465" s="1" t="n">
        <v>45992</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15733-2025</t>
        </is>
      </c>
      <c r="B466" s="1" t="n">
        <v>45748</v>
      </c>
      <c r="C466" s="1" t="n">
        <v>45992</v>
      </c>
      <c r="D466" t="inlineStr">
        <is>
          <t>STOCKHOLMS LÄN</t>
        </is>
      </c>
      <c r="E466" t="inlineStr">
        <is>
          <t>NORRTÄLJE</t>
        </is>
      </c>
      <c r="G466" t="n">
        <v>13.3</v>
      </c>
      <c r="H466" t="n">
        <v>0</v>
      </c>
      <c r="I466" t="n">
        <v>0</v>
      </c>
      <c r="J466" t="n">
        <v>0</v>
      </c>
      <c r="K466" t="n">
        <v>0</v>
      </c>
      <c r="L466" t="n">
        <v>0</v>
      </c>
      <c r="M466" t="n">
        <v>0</v>
      </c>
      <c r="N466" t="n">
        <v>0</v>
      </c>
      <c r="O466" t="n">
        <v>0</v>
      </c>
      <c r="P466" t="n">
        <v>0</v>
      </c>
      <c r="Q466" t="n">
        <v>0</v>
      </c>
      <c r="R466" s="2" t="inlineStr"/>
    </row>
    <row r="467" ht="15" customHeight="1">
      <c r="A467" t="inlineStr">
        <is>
          <t>A 27801-2025</t>
        </is>
      </c>
      <c r="B467" s="1" t="n">
        <v>45817.25471064815</v>
      </c>
      <c r="C467" s="1" t="n">
        <v>45992</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19058-2024</t>
        </is>
      </c>
      <c r="B468" s="1" t="n">
        <v>45427.89121527778</v>
      </c>
      <c r="C468" s="1" t="n">
        <v>45992</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41053-2025</t>
        </is>
      </c>
      <c r="B469" s="1" t="n">
        <v>45898.40480324074</v>
      </c>
      <c r="C469" s="1" t="n">
        <v>45992</v>
      </c>
      <c r="D469" t="inlineStr">
        <is>
          <t>STOCKHOLMS LÄN</t>
        </is>
      </c>
      <c r="E469" t="inlineStr">
        <is>
          <t>NORRTÄLJE</t>
        </is>
      </c>
      <c r="F469" t="inlineStr">
        <is>
          <t>Holmen skog AB</t>
        </is>
      </c>
      <c r="G469" t="n">
        <v>2.5</v>
      </c>
      <c r="H469" t="n">
        <v>0</v>
      </c>
      <c r="I469" t="n">
        <v>0</v>
      </c>
      <c r="J469" t="n">
        <v>0</v>
      </c>
      <c r="K469" t="n">
        <v>0</v>
      </c>
      <c r="L469" t="n">
        <v>0</v>
      </c>
      <c r="M469" t="n">
        <v>0</v>
      </c>
      <c r="N469" t="n">
        <v>0</v>
      </c>
      <c r="O469" t="n">
        <v>0</v>
      </c>
      <c r="P469" t="n">
        <v>0</v>
      </c>
      <c r="Q469" t="n">
        <v>0</v>
      </c>
      <c r="R469" s="2" t="inlineStr"/>
    </row>
    <row r="470" ht="15" customHeight="1">
      <c r="A470" t="inlineStr">
        <is>
          <t>A 2982-2023</t>
        </is>
      </c>
      <c r="B470" s="1" t="n">
        <v>44945.67409722223</v>
      </c>
      <c r="C470" s="1" t="n">
        <v>45992</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27803-2025</t>
        </is>
      </c>
      <c r="B471" s="1" t="n">
        <v>45817.291875</v>
      </c>
      <c r="C471" s="1" t="n">
        <v>45992</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27813-2025</t>
        </is>
      </c>
      <c r="B472" s="1" t="n">
        <v>45817.32538194444</v>
      </c>
      <c r="C472" s="1" t="n">
        <v>45992</v>
      </c>
      <c r="D472" t="inlineStr">
        <is>
          <t>STOCKHOLMS LÄN</t>
        </is>
      </c>
      <c r="E472" t="inlineStr">
        <is>
          <t>NORRTÄLJE</t>
        </is>
      </c>
      <c r="G472" t="n">
        <v>1.6</v>
      </c>
      <c r="H472" t="n">
        <v>0</v>
      </c>
      <c r="I472" t="n">
        <v>0</v>
      </c>
      <c r="J472" t="n">
        <v>0</v>
      </c>
      <c r="K472" t="n">
        <v>0</v>
      </c>
      <c r="L472" t="n">
        <v>0</v>
      </c>
      <c r="M472" t="n">
        <v>0</v>
      </c>
      <c r="N472" t="n">
        <v>0</v>
      </c>
      <c r="O472" t="n">
        <v>0</v>
      </c>
      <c r="P472" t="n">
        <v>0</v>
      </c>
      <c r="Q472" t="n">
        <v>0</v>
      </c>
      <c r="R472" s="2" t="inlineStr"/>
    </row>
    <row r="473" ht="15" customHeight="1">
      <c r="A473" t="inlineStr">
        <is>
          <t>A 41275-2025</t>
        </is>
      </c>
      <c r="B473" s="1" t="n">
        <v>45898.62625</v>
      </c>
      <c r="C473" s="1" t="n">
        <v>45992</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41272-2025</t>
        </is>
      </c>
      <c r="B474" s="1" t="n">
        <v>45898.62373842593</v>
      </c>
      <c r="C474" s="1" t="n">
        <v>45992</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27821-2025</t>
        </is>
      </c>
      <c r="B475" s="1" t="n">
        <v>45817.34083333334</v>
      </c>
      <c r="C475" s="1" t="n">
        <v>45992</v>
      </c>
      <c r="D475" t="inlineStr">
        <is>
          <t>STOCKHOLMS LÄN</t>
        </is>
      </c>
      <c r="E475" t="inlineStr">
        <is>
          <t>NORRTÄLJE</t>
        </is>
      </c>
      <c r="G475" t="n">
        <v>3.2</v>
      </c>
      <c r="H475" t="n">
        <v>0</v>
      </c>
      <c r="I475" t="n">
        <v>0</v>
      </c>
      <c r="J475" t="n">
        <v>0</v>
      </c>
      <c r="K475" t="n">
        <v>0</v>
      </c>
      <c r="L475" t="n">
        <v>0</v>
      </c>
      <c r="M475" t="n">
        <v>0</v>
      </c>
      <c r="N475" t="n">
        <v>0</v>
      </c>
      <c r="O475" t="n">
        <v>0</v>
      </c>
      <c r="P475" t="n">
        <v>0</v>
      </c>
      <c r="Q475" t="n">
        <v>0</v>
      </c>
      <c r="R475" s="2" t="inlineStr"/>
    </row>
    <row r="476" ht="15" customHeight="1">
      <c r="A476" t="inlineStr">
        <is>
          <t>A 12535-2025</t>
        </is>
      </c>
      <c r="B476" s="1" t="n">
        <v>45730.69502314815</v>
      </c>
      <c r="C476" s="1" t="n">
        <v>45992</v>
      </c>
      <c r="D476" t="inlineStr">
        <is>
          <t>STOCKHOLMS LÄN</t>
        </is>
      </c>
      <c r="E476" t="inlineStr">
        <is>
          <t>NORRTÄLJE</t>
        </is>
      </c>
      <c r="G476" t="n">
        <v>7.1</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45992</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37136-2023</t>
        </is>
      </c>
      <c r="B478" s="1" t="n">
        <v>45155</v>
      </c>
      <c r="C478" s="1" t="n">
        <v>45992</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18787-2022</t>
        </is>
      </c>
      <c r="B479" s="1" t="n">
        <v>44687</v>
      </c>
      <c r="C479" s="1" t="n">
        <v>45992</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13718-2022</t>
        </is>
      </c>
      <c r="B480" s="1" t="n">
        <v>44649</v>
      </c>
      <c r="C480" s="1" t="n">
        <v>45992</v>
      </c>
      <c r="D480" t="inlineStr">
        <is>
          <t>STOCKHOLMS LÄN</t>
        </is>
      </c>
      <c r="E480" t="inlineStr">
        <is>
          <t>NORRTÄLJE</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15528-2025</t>
        </is>
      </c>
      <c r="B481" s="1" t="n">
        <v>45747.63471064815</v>
      </c>
      <c r="C481" s="1" t="n">
        <v>45992</v>
      </c>
      <c r="D481" t="inlineStr">
        <is>
          <t>STOCKHOLMS LÄN</t>
        </is>
      </c>
      <c r="E481" t="inlineStr">
        <is>
          <t>NORRTÄLJE</t>
        </is>
      </c>
      <c r="G481" t="n">
        <v>10</v>
      </c>
      <c r="H481" t="n">
        <v>0</v>
      </c>
      <c r="I481" t="n">
        <v>0</v>
      </c>
      <c r="J481" t="n">
        <v>0</v>
      </c>
      <c r="K481" t="n">
        <v>0</v>
      </c>
      <c r="L481" t="n">
        <v>0</v>
      </c>
      <c r="M481" t="n">
        <v>0</v>
      </c>
      <c r="N481" t="n">
        <v>0</v>
      </c>
      <c r="O481" t="n">
        <v>0</v>
      </c>
      <c r="P481" t="n">
        <v>0</v>
      </c>
      <c r="Q481" t="n">
        <v>0</v>
      </c>
      <c r="R481" s="2" t="inlineStr"/>
    </row>
    <row r="482" ht="15" customHeight="1">
      <c r="A482" t="inlineStr">
        <is>
          <t>A 11901-2024</t>
        </is>
      </c>
      <c r="B482" s="1" t="n">
        <v>45376.55638888889</v>
      </c>
      <c r="C482" s="1" t="n">
        <v>45992</v>
      </c>
      <c r="D482" t="inlineStr">
        <is>
          <t>STOCKHOLMS LÄN</t>
        </is>
      </c>
      <c r="E482" t="inlineStr">
        <is>
          <t>NORRTÄLJE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25621-2022</t>
        </is>
      </c>
      <c r="B483" s="1" t="n">
        <v>44732</v>
      </c>
      <c r="C483" s="1" t="n">
        <v>45992</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41174-2025</t>
        </is>
      </c>
      <c r="B484" s="1" t="n">
        <v>45898.54921296296</v>
      </c>
      <c r="C484" s="1" t="n">
        <v>45992</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41030-2025</t>
        </is>
      </c>
      <c r="B485" s="1" t="n">
        <v>45898.37636574074</v>
      </c>
      <c r="C485" s="1" t="n">
        <v>45992</v>
      </c>
      <c r="D485" t="inlineStr">
        <is>
          <t>STOCKHOLMS LÄN</t>
        </is>
      </c>
      <c r="E485" t="inlineStr">
        <is>
          <t>NORRTÄLJE</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36269-2022</t>
        </is>
      </c>
      <c r="B486" s="1" t="n">
        <v>44803</v>
      </c>
      <c r="C486" s="1" t="n">
        <v>45992</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36308-2022</t>
        </is>
      </c>
      <c r="B487" s="1" t="n">
        <v>44803</v>
      </c>
      <c r="C487" s="1" t="n">
        <v>45992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41036-2025</t>
        </is>
      </c>
      <c r="B488" s="1" t="n">
        <v>45898.38552083333</v>
      </c>
      <c r="C488" s="1" t="n">
        <v>45992</v>
      </c>
      <c r="D488" t="inlineStr">
        <is>
          <t>STOCKHOLMS LÄN</t>
        </is>
      </c>
      <c r="E488" t="inlineStr">
        <is>
          <t>NORRTÄLJE</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41106-2025</t>
        </is>
      </c>
      <c r="B489" s="1" t="n">
        <v>45898.45636574074</v>
      </c>
      <c r="C489" s="1" t="n">
        <v>45992</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41110-2025</t>
        </is>
      </c>
      <c r="B490" s="1" t="n">
        <v>45898.45976851852</v>
      </c>
      <c r="C490" s="1" t="n">
        <v>45992</v>
      </c>
      <c r="D490" t="inlineStr">
        <is>
          <t>STOCKHOLMS LÄN</t>
        </is>
      </c>
      <c r="E490" t="inlineStr">
        <is>
          <t>NORRTÄLJE</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6919-2025</t>
        </is>
      </c>
      <c r="B491" s="1" t="n">
        <v>45701.44372685185</v>
      </c>
      <c r="C491" s="1" t="n">
        <v>45992</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32100-2022</t>
        </is>
      </c>
      <c r="B492" s="1" t="n">
        <v>44778</v>
      </c>
      <c r="C492" s="1" t="n">
        <v>45992</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41259-2025</t>
        </is>
      </c>
      <c r="B493" s="1" t="n">
        <v>45898.61054398148</v>
      </c>
      <c r="C493" s="1" t="n">
        <v>45992</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11332-2025</t>
        </is>
      </c>
      <c r="B494" s="1" t="n">
        <v>45726.48152777777</v>
      </c>
      <c r="C494" s="1" t="n">
        <v>45992</v>
      </c>
      <c r="D494" t="inlineStr">
        <is>
          <t>STOCKHOLMS LÄN</t>
        </is>
      </c>
      <c r="E494" t="inlineStr">
        <is>
          <t>NORRTÄLJE</t>
        </is>
      </c>
      <c r="G494" t="n">
        <v>4.6</v>
      </c>
      <c r="H494" t="n">
        <v>0</v>
      </c>
      <c r="I494" t="n">
        <v>0</v>
      </c>
      <c r="J494" t="n">
        <v>0</v>
      </c>
      <c r="K494" t="n">
        <v>0</v>
      </c>
      <c r="L494" t="n">
        <v>0</v>
      </c>
      <c r="M494" t="n">
        <v>0</v>
      </c>
      <c r="N494" t="n">
        <v>0</v>
      </c>
      <c r="O494" t="n">
        <v>0</v>
      </c>
      <c r="P494" t="n">
        <v>0</v>
      </c>
      <c r="Q494" t="n">
        <v>0</v>
      </c>
      <c r="R494" s="2" t="inlineStr"/>
    </row>
    <row r="495" ht="15" customHeight="1">
      <c r="A495" t="inlineStr">
        <is>
          <t>A 10511-2025</t>
        </is>
      </c>
      <c r="B495" s="1" t="n">
        <v>45721.40780092592</v>
      </c>
      <c r="C495" s="1" t="n">
        <v>45992</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37444-2021</t>
        </is>
      </c>
      <c r="B496" s="1" t="n">
        <v>44398</v>
      </c>
      <c r="C496" s="1" t="n">
        <v>45992</v>
      </c>
      <c r="D496" t="inlineStr">
        <is>
          <t>STOCKHOLMS LÄN</t>
        </is>
      </c>
      <c r="E496" t="inlineStr">
        <is>
          <t>NORRTÄLJE</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30886-2022</t>
        </is>
      </c>
      <c r="B497" s="1" t="n">
        <v>44767.60601851852</v>
      </c>
      <c r="C497" s="1" t="n">
        <v>45992</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44075-2023</t>
        </is>
      </c>
      <c r="B498" s="1" t="n">
        <v>45188.41637731482</v>
      </c>
      <c r="C498" s="1" t="n">
        <v>45992</v>
      </c>
      <c r="D498" t="inlineStr">
        <is>
          <t>STOCKHOLMS LÄN</t>
        </is>
      </c>
      <c r="E498" t="inlineStr">
        <is>
          <t>NORRTÄLJE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45992</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9654-2022</t>
        </is>
      </c>
      <c r="B500" s="1" t="n">
        <v>44617</v>
      </c>
      <c r="C500" s="1" t="n">
        <v>45992</v>
      </c>
      <c r="D500" t="inlineStr">
        <is>
          <t>STOCKHOLMS LÄN</t>
        </is>
      </c>
      <c r="E500" t="inlineStr">
        <is>
          <t>NORRTÄLJE</t>
        </is>
      </c>
      <c r="G500" t="n">
        <v>6.4</v>
      </c>
      <c r="H500" t="n">
        <v>0</v>
      </c>
      <c r="I500" t="n">
        <v>0</v>
      </c>
      <c r="J500" t="n">
        <v>0</v>
      </c>
      <c r="K500" t="n">
        <v>0</v>
      </c>
      <c r="L500" t="n">
        <v>0</v>
      </c>
      <c r="M500" t="n">
        <v>0</v>
      </c>
      <c r="N500" t="n">
        <v>0</v>
      </c>
      <c r="O500" t="n">
        <v>0</v>
      </c>
      <c r="P500" t="n">
        <v>0</v>
      </c>
      <c r="Q500" t="n">
        <v>0</v>
      </c>
      <c r="R500" s="2" t="inlineStr"/>
    </row>
    <row r="501" ht="15" customHeight="1">
      <c r="A501" t="inlineStr">
        <is>
          <t>A 1453-2025</t>
        </is>
      </c>
      <c r="B501" s="1" t="n">
        <v>45670.3079050926</v>
      </c>
      <c r="C501" s="1" t="n">
        <v>45992</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41966-2025</t>
        </is>
      </c>
      <c r="B502" s="1" t="n">
        <v>45903.47456018518</v>
      </c>
      <c r="C502" s="1" t="n">
        <v>45992</v>
      </c>
      <c r="D502" t="inlineStr">
        <is>
          <t>STOCKHOLMS LÄN</t>
        </is>
      </c>
      <c r="E502" t="inlineStr">
        <is>
          <t>NORRTÄLJE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42038-2025</t>
        </is>
      </c>
      <c r="B503" s="1" t="n">
        <v>45903.61431712963</v>
      </c>
      <c r="C503" s="1" t="n">
        <v>45992</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5804-2025</t>
        </is>
      </c>
      <c r="B504" s="1" t="n">
        <v>45694.68207175926</v>
      </c>
      <c r="C504" s="1" t="n">
        <v>45992</v>
      </c>
      <c r="D504" t="inlineStr">
        <is>
          <t>STOCKHOLMS LÄN</t>
        </is>
      </c>
      <c r="E504" t="inlineStr">
        <is>
          <t>NORRTÄLJE</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50907-2022</t>
        </is>
      </c>
      <c r="B505" s="1" t="n">
        <v>44867.62090277778</v>
      </c>
      <c r="C505" s="1" t="n">
        <v>45992</v>
      </c>
      <c r="D505" t="inlineStr">
        <is>
          <t>STOCKHOLMS LÄN</t>
        </is>
      </c>
      <c r="E505" t="inlineStr">
        <is>
          <t>NORRTÄLJE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29003-2023</t>
        </is>
      </c>
      <c r="B506" s="1" t="n">
        <v>45104</v>
      </c>
      <c r="C506" s="1" t="n">
        <v>45992</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33295-2023</t>
        </is>
      </c>
      <c r="B507" s="1" t="n">
        <v>45127.69371527778</v>
      </c>
      <c r="C507" s="1" t="n">
        <v>45992</v>
      </c>
      <c r="D507" t="inlineStr">
        <is>
          <t>STOCKHOLMS LÄN</t>
        </is>
      </c>
      <c r="E507" t="inlineStr">
        <is>
          <t>NORRTÄLJE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14127-2025</t>
        </is>
      </c>
      <c r="B508" s="1" t="n">
        <v>45740.47055555556</v>
      </c>
      <c r="C508" s="1" t="n">
        <v>45992</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16980-2023</t>
        </is>
      </c>
      <c r="B509" s="1" t="n">
        <v>45033</v>
      </c>
      <c r="C509" s="1" t="n">
        <v>45992</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41964-2025</t>
        </is>
      </c>
      <c r="B510" s="1" t="n">
        <v>45903.47270833333</v>
      </c>
      <c r="C510" s="1" t="n">
        <v>45992</v>
      </c>
      <c r="D510" t="inlineStr">
        <is>
          <t>STOCKHOLMS LÄN</t>
        </is>
      </c>
      <c r="E510" t="inlineStr">
        <is>
          <t>NORRTÄLJE</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32595-2023</t>
        </is>
      </c>
      <c r="B511" s="1" t="n">
        <v>45121</v>
      </c>
      <c r="C511" s="1" t="n">
        <v>45992</v>
      </c>
      <c r="D511" t="inlineStr">
        <is>
          <t>STOCKHOLMS LÄN</t>
        </is>
      </c>
      <c r="E511" t="inlineStr">
        <is>
          <t>NORRTÄLJE</t>
        </is>
      </c>
      <c r="G511" t="n">
        <v>2.4</v>
      </c>
      <c r="H511" t="n">
        <v>0</v>
      </c>
      <c r="I511" t="n">
        <v>0</v>
      </c>
      <c r="J511" t="n">
        <v>0</v>
      </c>
      <c r="K511" t="n">
        <v>0</v>
      </c>
      <c r="L511" t="n">
        <v>0</v>
      </c>
      <c r="M511" t="n">
        <v>0</v>
      </c>
      <c r="N511" t="n">
        <v>0</v>
      </c>
      <c r="O511" t="n">
        <v>0</v>
      </c>
      <c r="P511" t="n">
        <v>0</v>
      </c>
      <c r="Q511" t="n">
        <v>0</v>
      </c>
      <c r="R511" s="2" t="inlineStr"/>
    </row>
    <row r="512" ht="15" customHeight="1">
      <c r="A512" t="inlineStr">
        <is>
          <t>A 29250-2025</t>
        </is>
      </c>
      <c r="B512" s="1" t="n">
        <v>45824.37275462963</v>
      </c>
      <c r="C512" s="1" t="n">
        <v>45992</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37550-2022</t>
        </is>
      </c>
      <c r="B513" s="1" t="n">
        <v>44809</v>
      </c>
      <c r="C513" s="1" t="n">
        <v>45992</v>
      </c>
      <c r="D513" t="inlineStr">
        <is>
          <t>STOCKHOLMS LÄN</t>
        </is>
      </c>
      <c r="E513" t="inlineStr">
        <is>
          <t>NORRTÄLJE</t>
        </is>
      </c>
      <c r="G513" t="n">
        <v>1</v>
      </c>
      <c r="H513" t="n">
        <v>0</v>
      </c>
      <c r="I513" t="n">
        <v>0</v>
      </c>
      <c r="J513" t="n">
        <v>0</v>
      </c>
      <c r="K513" t="n">
        <v>0</v>
      </c>
      <c r="L513" t="n">
        <v>0</v>
      </c>
      <c r="M513" t="n">
        <v>0</v>
      </c>
      <c r="N513" t="n">
        <v>0</v>
      </c>
      <c r="O513" t="n">
        <v>0</v>
      </c>
      <c r="P513" t="n">
        <v>0</v>
      </c>
      <c r="Q513" t="n">
        <v>0</v>
      </c>
      <c r="R513" s="2" t="inlineStr"/>
    </row>
    <row r="514" ht="15" customHeight="1">
      <c r="A514" t="inlineStr">
        <is>
          <t>A 30699-2025</t>
        </is>
      </c>
      <c r="B514" s="1" t="n">
        <v>45831.54618055555</v>
      </c>
      <c r="C514" s="1" t="n">
        <v>45992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48161-2022</t>
        </is>
      </c>
      <c r="B515" s="1" t="n">
        <v>44858</v>
      </c>
      <c r="C515" s="1" t="n">
        <v>45992</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48798-2021</t>
        </is>
      </c>
      <c r="B516" s="1" t="n">
        <v>44452</v>
      </c>
      <c r="C516" s="1" t="n">
        <v>45992</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45992</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54776-2023</t>
        </is>
      </c>
      <c r="B518" s="1" t="n">
        <v>45236.46369212963</v>
      </c>
      <c r="C518" s="1" t="n">
        <v>45992</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20011-2025</t>
        </is>
      </c>
      <c r="B519" s="1" t="n">
        <v>45772.29622685185</v>
      </c>
      <c r="C519" s="1" t="n">
        <v>45992</v>
      </c>
      <c r="D519" t="inlineStr">
        <is>
          <t>STOCKHOLMS LÄN</t>
        </is>
      </c>
      <c r="E519" t="inlineStr">
        <is>
          <t>NORRTÄLJE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42856-2025</t>
        </is>
      </c>
      <c r="B520" s="1" t="n">
        <v>45908</v>
      </c>
      <c r="C520" s="1" t="n">
        <v>45992</v>
      </c>
      <c r="D520" t="inlineStr">
        <is>
          <t>STOCKHOLMS LÄN</t>
        </is>
      </c>
      <c r="E520" t="inlineStr">
        <is>
          <t>NORRTÄLJE</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57442-2021</t>
        </is>
      </c>
      <c r="B521" s="1" t="n">
        <v>44483</v>
      </c>
      <c r="C521" s="1" t="n">
        <v>45992</v>
      </c>
      <c r="D521" t="inlineStr">
        <is>
          <t>STOCKHOLMS LÄN</t>
        </is>
      </c>
      <c r="E521" t="inlineStr">
        <is>
          <t>NORRTÄLJE</t>
        </is>
      </c>
      <c r="G521" t="n">
        <v>3.3</v>
      </c>
      <c r="H521" t="n">
        <v>0</v>
      </c>
      <c r="I521" t="n">
        <v>0</v>
      </c>
      <c r="J521" t="n">
        <v>0</v>
      </c>
      <c r="K521" t="n">
        <v>0</v>
      </c>
      <c r="L521" t="n">
        <v>0</v>
      </c>
      <c r="M521" t="n">
        <v>0</v>
      </c>
      <c r="N521" t="n">
        <v>0</v>
      </c>
      <c r="O521" t="n">
        <v>0</v>
      </c>
      <c r="P521" t="n">
        <v>0</v>
      </c>
      <c r="Q521" t="n">
        <v>0</v>
      </c>
      <c r="R521" s="2" t="inlineStr"/>
    </row>
    <row r="522" ht="15" customHeight="1">
      <c r="A522" t="inlineStr">
        <is>
          <t>A 55952-2024</t>
        </is>
      </c>
      <c r="B522" s="1" t="n">
        <v>45623.62563657408</v>
      </c>
      <c r="C522" s="1" t="n">
        <v>45992</v>
      </c>
      <c r="D522" t="inlineStr">
        <is>
          <t>STOCKHOLMS LÄN</t>
        </is>
      </c>
      <c r="E522" t="inlineStr">
        <is>
          <t>NORRTÄLJE</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8135-2025</t>
        </is>
      </c>
      <c r="B523" s="1" t="n">
        <v>45707.84997685185</v>
      </c>
      <c r="C523" s="1" t="n">
        <v>45992</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3383-2023</t>
        </is>
      </c>
      <c r="B524" s="1" t="n">
        <v>44949</v>
      </c>
      <c r="C524" s="1" t="n">
        <v>45992</v>
      </c>
      <c r="D524" t="inlineStr">
        <is>
          <t>STOCKHOLMS LÄN</t>
        </is>
      </c>
      <c r="E524" t="inlineStr">
        <is>
          <t>NORRTÄLJE</t>
        </is>
      </c>
      <c r="G524" t="n">
        <v>14.6</v>
      </c>
      <c r="H524" t="n">
        <v>0</v>
      </c>
      <c r="I524" t="n">
        <v>0</v>
      </c>
      <c r="J524" t="n">
        <v>0</v>
      </c>
      <c r="K524" t="n">
        <v>0</v>
      </c>
      <c r="L524" t="n">
        <v>0</v>
      </c>
      <c r="M524" t="n">
        <v>0</v>
      </c>
      <c r="N524" t="n">
        <v>0</v>
      </c>
      <c r="O524" t="n">
        <v>0</v>
      </c>
      <c r="P524" t="n">
        <v>0</v>
      </c>
      <c r="Q524" t="n">
        <v>0</v>
      </c>
      <c r="R524" s="2" t="inlineStr"/>
    </row>
    <row r="525" ht="15" customHeight="1">
      <c r="A525" t="inlineStr">
        <is>
          <t>A 51532-2025</t>
        </is>
      </c>
      <c r="B525" s="1" t="n">
        <v>45950.68297453703</v>
      </c>
      <c r="C525" s="1" t="n">
        <v>45992</v>
      </c>
      <c r="D525" t="inlineStr">
        <is>
          <t>STOCKHOLMS LÄN</t>
        </is>
      </c>
      <c r="E525" t="inlineStr">
        <is>
          <t>NORRTÄLJE</t>
        </is>
      </c>
      <c r="F525" t="inlineStr">
        <is>
          <t>Naturvårdsverket</t>
        </is>
      </c>
      <c r="G525" t="n">
        <v>17.3</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45992</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21732-2023</t>
        </is>
      </c>
      <c r="B527" s="1" t="n">
        <v>45063</v>
      </c>
      <c r="C527" s="1" t="n">
        <v>45992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23307-2024</t>
        </is>
      </c>
      <c r="B528" s="1" t="n">
        <v>45453</v>
      </c>
      <c r="C528" s="1" t="n">
        <v>45992</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30639-2025</t>
        </is>
      </c>
      <c r="B529" s="1" t="n">
        <v>45831.4844212963</v>
      </c>
      <c r="C529" s="1" t="n">
        <v>45992</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30668-2025</t>
        </is>
      </c>
      <c r="B530" s="1" t="n">
        <v>45831.51659722222</v>
      </c>
      <c r="C530" s="1" t="n">
        <v>45992</v>
      </c>
      <c r="D530" t="inlineStr">
        <is>
          <t>STOCKHOLMS LÄN</t>
        </is>
      </c>
      <c r="E530" t="inlineStr">
        <is>
          <t>NORRTÄLJE</t>
        </is>
      </c>
      <c r="G530" t="n">
        <v>4.9</v>
      </c>
      <c r="H530" t="n">
        <v>0</v>
      </c>
      <c r="I530" t="n">
        <v>0</v>
      </c>
      <c r="J530" t="n">
        <v>0</v>
      </c>
      <c r="K530" t="n">
        <v>0</v>
      </c>
      <c r="L530" t="n">
        <v>0</v>
      </c>
      <c r="M530" t="n">
        <v>0</v>
      </c>
      <c r="N530" t="n">
        <v>0</v>
      </c>
      <c r="O530" t="n">
        <v>0</v>
      </c>
      <c r="P530" t="n">
        <v>0</v>
      </c>
      <c r="Q530" t="n">
        <v>0</v>
      </c>
      <c r="R530" s="2" t="inlineStr"/>
    </row>
    <row r="531" ht="15" customHeight="1">
      <c r="A531" t="inlineStr">
        <is>
          <t>A 51789-2025</t>
        </is>
      </c>
      <c r="B531" s="1" t="n">
        <v>45951.68046296296</v>
      </c>
      <c r="C531" s="1" t="n">
        <v>45992</v>
      </c>
      <c r="D531" t="inlineStr">
        <is>
          <t>STOCKHOLMS LÄN</t>
        </is>
      </c>
      <c r="E531" t="inlineStr">
        <is>
          <t>NORRTÄLJE</t>
        </is>
      </c>
      <c r="F531" t="inlineStr">
        <is>
          <t>Naturvårdsverket</t>
        </is>
      </c>
      <c r="G531" t="n">
        <v>8.9</v>
      </c>
      <c r="H531" t="n">
        <v>0</v>
      </c>
      <c r="I531" t="n">
        <v>0</v>
      </c>
      <c r="J531" t="n">
        <v>0</v>
      </c>
      <c r="K531" t="n">
        <v>0</v>
      </c>
      <c r="L531" t="n">
        <v>0</v>
      </c>
      <c r="M531" t="n">
        <v>0</v>
      </c>
      <c r="N531" t="n">
        <v>0</v>
      </c>
      <c r="O531" t="n">
        <v>0</v>
      </c>
      <c r="P531" t="n">
        <v>0</v>
      </c>
      <c r="Q531" t="n">
        <v>0</v>
      </c>
      <c r="R531" s="2" t="inlineStr"/>
    </row>
    <row r="532" ht="15" customHeight="1">
      <c r="A532" t="inlineStr">
        <is>
          <t>A 3386-2021</t>
        </is>
      </c>
      <c r="B532" s="1" t="n">
        <v>44218</v>
      </c>
      <c r="C532" s="1" t="n">
        <v>45992</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31170-2025</t>
        </is>
      </c>
      <c r="B533" s="1" t="n">
        <v>45832.66385416667</v>
      </c>
      <c r="C533" s="1" t="n">
        <v>45992</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37085-2021</t>
        </is>
      </c>
      <c r="B534" s="1" t="n">
        <v>44395</v>
      </c>
      <c r="C534" s="1" t="n">
        <v>45992</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56428-2023</t>
        </is>
      </c>
      <c r="B535" s="1" t="n">
        <v>45243.45289351852</v>
      </c>
      <c r="C535" s="1" t="n">
        <v>45992</v>
      </c>
      <c r="D535" t="inlineStr">
        <is>
          <t>STOCKHOLMS LÄN</t>
        </is>
      </c>
      <c r="E535" t="inlineStr">
        <is>
          <t>NORRTÄLJE</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31880-2025</t>
        </is>
      </c>
      <c r="B536" s="1" t="n">
        <v>45834.65538194445</v>
      </c>
      <c r="C536" s="1" t="n">
        <v>45992</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32122-2025</t>
        </is>
      </c>
      <c r="B537" s="1" t="n">
        <v>45835.4928125</v>
      </c>
      <c r="C537" s="1" t="n">
        <v>45992</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17556-2025</t>
        </is>
      </c>
      <c r="B538" s="1" t="n">
        <v>45757.62482638889</v>
      </c>
      <c r="C538" s="1" t="n">
        <v>45992</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31868-2025</t>
        </is>
      </c>
      <c r="B539" s="1" t="n">
        <v>45834.6447337963</v>
      </c>
      <c r="C539" s="1" t="n">
        <v>45992</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6413-2025</t>
        </is>
      </c>
      <c r="B540" s="1" t="n">
        <v>45699.46283564815</v>
      </c>
      <c r="C540" s="1" t="n">
        <v>45992</v>
      </c>
      <c r="D540" t="inlineStr">
        <is>
          <t>STOCKHOLMS LÄN</t>
        </is>
      </c>
      <c r="E540" t="inlineStr">
        <is>
          <t>NORRTÄLJE</t>
        </is>
      </c>
      <c r="G540" t="n">
        <v>3.6</v>
      </c>
      <c r="H540" t="n">
        <v>0</v>
      </c>
      <c r="I540" t="n">
        <v>0</v>
      </c>
      <c r="J540" t="n">
        <v>0</v>
      </c>
      <c r="K540" t="n">
        <v>0</v>
      </c>
      <c r="L540" t="n">
        <v>0</v>
      </c>
      <c r="M540" t="n">
        <v>0</v>
      </c>
      <c r="N540" t="n">
        <v>0</v>
      </c>
      <c r="O540" t="n">
        <v>0</v>
      </c>
      <c r="P540" t="n">
        <v>0</v>
      </c>
      <c r="Q540" t="n">
        <v>0</v>
      </c>
      <c r="R540" s="2" t="inlineStr"/>
    </row>
    <row r="541" ht="15" customHeight="1">
      <c r="A541" t="inlineStr">
        <is>
          <t>A 52061-2025</t>
        </is>
      </c>
      <c r="B541" s="1" t="n">
        <v>45952.63679398148</v>
      </c>
      <c r="C541" s="1" t="n">
        <v>45992</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52251-2025</t>
        </is>
      </c>
      <c r="B542" s="1" t="n">
        <v>45953.49185185185</v>
      </c>
      <c r="C542" s="1" t="n">
        <v>45992</v>
      </c>
      <c r="D542" t="inlineStr">
        <is>
          <t>STOCKHOLMS LÄN</t>
        </is>
      </c>
      <c r="E542" t="inlineStr">
        <is>
          <t>NORRTÄLJE</t>
        </is>
      </c>
      <c r="G542" t="n">
        <v>6.2</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45992</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52254-2025</t>
        </is>
      </c>
      <c r="B544" s="1" t="n">
        <v>45953.49519675926</v>
      </c>
      <c r="C544" s="1" t="n">
        <v>45992</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32016-2025</t>
        </is>
      </c>
      <c r="B545" s="1" t="n">
        <v>45835</v>
      </c>
      <c r="C545" s="1" t="n">
        <v>45992</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42094-2023</t>
        </is>
      </c>
      <c r="B546" s="1" t="n">
        <v>45177.61498842593</v>
      </c>
      <c r="C546" s="1" t="n">
        <v>45992</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32283-2025</t>
        </is>
      </c>
      <c r="B547" s="1" t="n">
        <v>45835.68076388889</v>
      </c>
      <c r="C547" s="1" t="n">
        <v>45992</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31874-2025</t>
        </is>
      </c>
      <c r="B548" s="1" t="n">
        <v>45834</v>
      </c>
      <c r="C548" s="1" t="n">
        <v>45992</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32094-2025</t>
        </is>
      </c>
      <c r="B549" s="1" t="n">
        <v>45835.46034722222</v>
      </c>
      <c r="C549" s="1" t="n">
        <v>45992</v>
      </c>
      <c r="D549" t="inlineStr">
        <is>
          <t>STOCKHOLMS LÄN</t>
        </is>
      </c>
      <c r="E549" t="inlineStr">
        <is>
          <t>NORRTÄLJE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43169-2025</t>
        </is>
      </c>
      <c r="B550" s="1" t="n">
        <v>45910</v>
      </c>
      <c r="C550" s="1" t="n">
        <v>45992</v>
      </c>
      <c r="D550" t="inlineStr">
        <is>
          <t>STOCKHOLMS LÄN</t>
        </is>
      </c>
      <c r="E550" t="inlineStr">
        <is>
          <t>NORRTÄLJE</t>
        </is>
      </c>
      <c r="G550" t="n">
        <v>6.9</v>
      </c>
      <c r="H550" t="n">
        <v>0</v>
      </c>
      <c r="I550" t="n">
        <v>0</v>
      </c>
      <c r="J550" t="n">
        <v>0</v>
      </c>
      <c r="K550" t="n">
        <v>0</v>
      </c>
      <c r="L550" t="n">
        <v>0</v>
      </c>
      <c r="M550" t="n">
        <v>0</v>
      </c>
      <c r="N550" t="n">
        <v>0</v>
      </c>
      <c r="O550" t="n">
        <v>0</v>
      </c>
      <c r="P550" t="n">
        <v>0</v>
      </c>
      <c r="Q550" t="n">
        <v>0</v>
      </c>
      <c r="R550" s="2" t="inlineStr"/>
    </row>
    <row r="551" ht="15" customHeight="1">
      <c r="A551" t="inlineStr">
        <is>
          <t>A 8370-2025</t>
        </is>
      </c>
      <c r="B551" s="1" t="n">
        <v>45708</v>
      </c>
      <c r="C551" s="1" t="n">
        <v>45992</v>
      </c>
      <c r="D551" t="inlineStr">
        <is>
          <t>STOCKHOLMS LÄN</t>
        </is>
      </c>
      <c r="E551" t="inlineStr">
        <is>
          <t>NORRTÄLJE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3299-2022</t>
        </is>
      </c>
      <c r="B552" s="1" t="n">
        <v>44584.91001157407</v>
      </c>
      <c r="C552" s="1" t="n">
        <v>45992</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51960-2025</t>
        </is>
      </c>
      <c r="B553" s="1" t="n">
        <v>45952.54755787037</v>
      </c>
      <c r="C553" s="1" t="n">
        <v>45992</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32480-2025</t>
        </is>
      </c>
      <c r="B554" s="1" t="n">
        <v>45838.43261574074</v>
      </c>
      <c r="C554" s="1" t="n">
        <v>45992</v>
      </c>
      <c r="D554" t="inlineStr">
        <is>
          <t>STOCKHOLMS LÄN</t>
        </is>
      </c>
      <c r="E554" t="inlineStr">
        <is>
          <t>NORRTÄLJE</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32872-2025</t>
        </is>
      </c>
      <c r="B555" s="1" t="n">
        <v>45839</v>
      </c>
      <c r="C555" s="1" t="n">
        <v>45992</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32903-2025</t>
        </is>
      </c>
      <c r="B556" s="1" t="n">
        <v>45839.62398148148</v>
      </c>
      <c r="C556" s="1" t="n">
        <v>45992</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32395-2025</t>
        </is>
      </c>
      <c r="B557" s="1" t="n">
        <v>45837.93730324074</v>
      </c>
      <c r="C557" s="1" t="n">
        <v>45992</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32396-2025</t>
        </is>
      </c>
      <c r="B558" s="1" t="n">
        <v>45837</v>
      </c>
      <c r="C558" s="1" t="n">
        <v>45992</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32397-2025</t>
        </is>
      </c>
      <c r="B559" s="1" t="n">
        <v>45837.94081018519</v>
      </c>
      <c r="C559" s="1" t="n">
        <v>45992</v>
      </c>
      <c r="D559" t="inlineStr">
        <is>
          <t>STOCKHOLMS LÄN</t>
        </is>
      </c>
      <c r="E559" t="inlineStr">
        <is>
          <t>NORRTÄLJE</t>
        </is>
      </c>
      <c r="G559" t="n">
        <v>5.9</v>
      </c>
      <c r="H559" t="n">
        <v>0</v>
      </c>
      <c r="I559" t="n">
        <v>0</v>
      </c>
      <c r="J559" t="n">
        <v>0</v>
      </c>
      <c r="K559" t="n">
        <v>0</v>
      </c>
      <c r="L559" t="n">
        <v>0</v>
      </c>
      <c r="M559" t="n">
        <v>0</v>
      </c>
      <c r="N559" t="n">
        <v>0</v>
      </c>
      <c r="O559" t="n">
        <v>0</v>
      </c>
      <c r="P559" t="n">
        <v>0</v>
      </c>
      <c r="Q559" t="n">
        <v>0</v>
      </c>
      <c r="R559" s="2" t="inlineStr"/>
    </row>
    <row r="560" ht="15" customHeight="1">
      <c r="A560" t="inlineStr">
        <is>
          <t>A 51941-2025</t>
        </is>
      </c>
      <c r="B560" s="1" t="n">
        <v>45952.52261574074</v>
      </c>
      <c r="C560" s="1" t="n">
        <v>45992</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51945-2025</t>
        </is>
      </c>
      <c r="B561" s="1" t="n">
        <v>45952.52679398148</v>
      </c>
      <c r="C561" s="1" t="n">
        <v>45992</v>
      </c>
      <c r="D561" t="inlineStr">
        <is>
          <t>STOCKHOLMS LÄN</t>
        </is>
      </c>
      <c r="E561" t="inlineStr">
        <is>
          <t>NORRTÄLJE</t>
        </is>
      </c>
      <c r="G561" t="n">
        <v>7</v>
      </c>
      <c r="H561" t="n">
        <v>0</v>
      </c>
      <c r="I561" t="n">
        <v>0</v>
      </c>
      <c r="J561" t="n">
        <v>0</v>
      </c>
      <c r="K561" t="n">
        <v>0</v>
      </c>
      <c r="L561" t="n">
        <v>0</v>
      </c>
      <c r="M561" t="n">
        <v>0</v>
      </c>
      <c r="N561" t="n">
        <v>0</v>
      </c>
      <c r="O561" t="n">
        <v>0</v>
      </c>
      <c r="P561" t="n">
        <v>0</v>
      </c>
      <c r="Q561" t="n">
        <v>0</v>
      </c>
      <c r="R561" s="2" t="inlineStr"/>
    </row>
    <row r="562" ht="15" customHeight="1">
      <c r="A562" t="inlineStr">
        <is>
          <t>A 12348-2025</t>
        </is>
      </c>
      <c r="B562" s="1" t="n">
        <v>45730.35026620371</v>
      </c>
      <c r="C562" s="1" t="n">
        <v>45992</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17545-2025</t>
        </is>
      </c>
      <c r="B563" s="1" t="n">
        <v>45757.60658564815</v>
      </c>
      <c r="C563" s="1" t="n">
        <v>45992</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30719-2025</t>
        </is>
      </c>
      <c r="B564" s="1" t="n">
        <v>45831</v>
      </c>
      <c r="C564" s="1" t="n">
        <v>45992</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25094-2023</t>
        </is>
      </c>
      <c r="B565" s="1" t="n">
        <v>45086.3629050926</v>
      </c>
      <c r="C565" s="1" t="n">
        <v>45992</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36157-2024</t>
        </is>
      </c>
      <c r="B566" s="1" t="n">
        <v>45534.38240740741</v>
      </c>
      <c r="C566" s="1" t="n">
        <v>45992</v>
      </c>
      <c r="D566" t="inlineStr">
        <is>
          <t>STOCKHOLMS LÄN</t>
        </is>
      </c>
      <c r="E566" t="inlineStr">
        <is>
          <t>NORRTÄLJE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43269-2025</t>
        </is>
      </c>
      <c r="B567" s="1" t="n">
        <v>45910.5819212963</v>
      </c>
      <c r="C567" s="1" t="n">
        <v>45992</v>
      </c>
      <c r="D567" t="inlineStr">
        <is>
          <t>STOCKHOLMS LÄN</t>
        </is>
      </c>
      <c r="E567" t="inlineStr">
        <is>
          <t>NORRTÄLJE</t>
        </is>
      </c>
      <c r="G567" t="n">
        <v>3.7</v>
      </c>
      <c r="H567" t="n">
        <v>0</v>
      </c>
      <c r="I567" t="n">
        <v>0</v>
      </c>
      <c r="J567" t="n">
        <v>0</v>
      </c>
      <c r="K567" t="n">
        <v>0</v>
      </c>
      <c r="L567" t="n">
        <v>0</v>
      </c>
      <c r="M567" t="n">
        <v>0</v>
      </c>
      <c r="N567" t="n">
        <v>0</v>
      </c>
      <c r="O567" t="n">
        <v>0</v>
      </c>
      <c r="P567" t="n">
        <v>0</v>
      </c>
      <c r="Q567" t="n">
        <v>0</v>
      </c>
      <c r="R567" s="2" t="inlineStr"/>
    </row>
    <row r="568" ht="15" customHeight="1">
      <c r="A568" t="inlineStr">
        <is>
          <t>A 47694-2023</t>
        </is>
      </c>
      <c r="B568" s="1" t="n">
        <v>45203.63303240741</v>
      </c>
      <c r="C568" s="1" t="n">
        <v>45992</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52703-2025</t>
        </is>
      </c>
      <c r="B569" s="1" t="n">
        <v>45956.88643518519</v>
      </c>
      <c r="C569" s="1" t="n">
        <v>45992</v>
      </c>
      <c r="D569" t="inlineStr">
        <is>
          <t>STOCKHOLMS LÄN</t>
        </is>
      </c>
      <c r="E569" t="inlineStr">
        <is>
          <t>NORRTÄLJE</t>
        </is>
      </c>
      <c r="G569" t="n">
        <v>4.7</v>
      </c>
      <c r="H569" t="n">
        <v>0</v>
      </c>
      <c r="I569" t="n">
        <v>0</v>
      </c>
      <c r="J569" t="n">
        <v>0</v>
      </c>
      <c r="K569" t="n">
        <v>0</v>
      </c>
      <c r="L569" t="n">
        <v>0</v>
      </c>
      <c r="M569" t="n">
        <v>0</v>
      </c>
      <c r="N569" t="n">
        <v>0</v>
      </c>
      <c r="O569" t="n">
        <v>0</v>
      </c>
      <c r="P569" t="n">
        <v>0</v>
      </c>
      <c r="Q569" t="n">
        <v>0</v>
      </c>
      <c r="R569" s="2" t="inlineStr"/>
    </row>
    <row r="570" ht="15" customHeight="1">
      <c r="A570" t="inlineStr">
        <is>
          <t>A 52704-2025</t>
        </is>
      </c>
      <c r="B570" s="1" t="n">
        <v>45956.89097222222</v>
      </c>
      <c r="C570" s="1" t="n">
        <v>45992</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52773-2025</t>
        </is>
      </c>
      <c r="B571" s="1" t="n">
        <v>45957.41457175926</v>
      </c>
      <c r="C571" s="1" t="n">
        <v>45992</v>
      </c>
      <c r="D571" t="inlineStr">
        <is>
          <t>STOCKHOLMS LÄN</t>
        </is>
      </c>
      <c r="E571" t="inlineStr">
        <is>
          <t>NORRTÄLJE</t>
        </is>
      </c>
      <c r="F571" t="inlineStr">
        <is>
          <t>Sveaskog</t>
        </is>
      </c>
      <c r="G571" t="n">
        <v>10.5</v>
      </c>
      <c r="H571" t="n">
        <v>0</v>
      </c>
      <c r="I571" t="n">
        <v>0</v>
      </c>
      <c r="J571" t="n">
        <v>0</v>
      </c>
      <c r="K571" t="n">
        <v>0</v>
      </c>
      <c r="L571" t="n">
        <v>0</v>
      </c>
      <c r="M571" t="n">
        <v>0</v>
      </c>
      <c r="N571" t="n">
        <v>0</v>
      </c>
      <c r="O571" t="n">
        <v>0</v>
      </c>
      <c r="P571" t="n">
        <v>0</v>
      </c>
      <c r="Q571" t="n">
        <v>0</v>
      </c>
      <c r="R571" s="2" t="inlineStr"/>
    </row>
    <row r="572" ht="15" customHeight="1">
      <c r="A572" t="inlineStr">
        <is>
          <t>A 35532-2024</t>
        </is>
      </c>
      <c r="B572" s="1" t="n">
        <v>45531</v>
      </c>
      <c r="C572" s="1" t="n">
        <v>45992</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52553-2025</t>
        </is>
      </c>
      <c r="B573" s="1" t="n">
        <v>45954.5624537037</v>
      </c>
      <c r="C573" s="1" t="n">
        <v>45992</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1654-2025</t>
        </is>
      </c>
      <c r="B574" s="1" t="n">
        <v>45670.65921296296</v>
      </c>
      <c r="C574" s="1" t="n">
        <v>45992</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52526-2025</t>
        </is>
      </c>
      <c r="B575" s="1" t="n">
        <v>45954.53061342592</v>
      </c>
      <c r="C575" s="1" t="n">
        <v>45992</v>
      </c>
      <c r="D575" t="inlineStr">
        <is>
          <t>STOCKHOLMS LÄN</t>
        </is>
      </c>
      <c r="E575" t="inlineStr">
        <is>
          <t>NORRTÄLJE</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62644-2023</t>
        </is>
      </c>
      <c r="B576" s="1" t="n">
        <v>45271</v>
      </c>
      <c r="C576" s="1" t="n">
        <v>45992</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52734-2025</t>
        </is>
      </c>
      <c r="B577" s="1" t="n">
        <v>45957.3710300926</v>
      </c>
      <c r="C577" s="1" t="n">
        <v>45992</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52729-2025</t>
        </is>
      </c>
      <c r="B578" s="1" t="n">
        <v>45957.3636574074</v>
      </c>
      <c r="C578" s="1" t="n">
        <v>45992</v>
      </c>
      <c r="D578" t="inlineStr">
        <is>
          <t>STOCKHOLMS LÄN</t>
        </is>
      </c>
      <c r="E578" t="inlineStr">
        <is>
          <t>NORRTÄLJE</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53000-2025</t>
        </is>
      </c>
      <c r="B579" s="1" t="n">
        <v>45957.74357638889</v>
      </c>
      <c r="C579" s="1" t="n">
        <v>45992</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33702-2025</t>
        </is>
      </c>
      <c r="B580" s="1" t="n">
        <v>45841.74596064815</v>
      </c>
      <c r="C580" s="1" t="n">
        <v>45992</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11229-2022</t>
        </is>
      </c>
      <c r="B581" s="1" t="n">
        <v>44629</v>
      </c>
      <c r="C581" s="1" t="n">
        <v>45992</v>
      </c>
      <c r="D581" t="inlineStr">
        <is>
          <t>STOCKHOLMS LÄN</t>
        </is>
      </c>
      <c r="E581" t="inlineStr">
        <is>
          <t>NORRTÄLJE</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33211-2025</t>
        </is>
      </c>
      <c r="B582" s="1" t="n">
        <v>45840.62755787037</v>
      </c>
      <c r="C582" s="1" t="n">
        <v>45992</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33265-2025</t>
        </is>
      </c>
      <c r="B583" s="1" t="n">
        <v>45840.67829861111</v>
      </c>
      <c r="C583" s="1" t="n">
        <v>45992</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43916-2025</t>
        </is>
      </c>
      <c r="B584" s="1" t="n">
        <v>45914.78884259259</v>
      </c>
      <c r="C584" s="1" t="n">
        <v>45992</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33552-2025</t>
        </is>
      </c>
      <c r="B585" s="1" t="n">
        <v>45841.5737962963</v>
      </c>
      <c r="C585" s="1" t="n">
        <v>45992</v>
      </c>
      <c r="D585" t="inlineStr">
        <is>
          <t>STOCKHOLMS LÄN</t>
        </is>
      </c>
      <c r="E585" t="inlineStr">
        <is>
          <t>NORRTÄLJE</t>
        </is>
      </c>
      <c r="G585" t="n">
        <v>8.9</v>
      </c>
      <c r="H585" t="n">
        <v>0</v>
      </c>
      <c r="I585" t="n">
        <v>0</v>
      </c>
      <c r="J585" t="n">
        <v>0</v>
      </c>
      <c r="K585" t="n">
        <v>0</v>
      </c>
      <c r="L585" t="n">
        <v>0</v>
      </c>
      <c r="M585" t="n">
        <v>0</v>
      </c>
      <c r="N585" t="n">
        <v>0</v>
      </c>
      <c r="O585" t="n">
        <v>0</v>
      </c>
      <c r="P585" t="n">
        <v>0</v>
      </c>
      <c r="Q585" t="n">
        <v>0</v>
      </c>
      <c r="R585" s="2" t="inlineStr"/>
    </row>
    <row r="586" ht="15" customHeight="1">
      <c r="A586" t="inlineStr">
        <is>
          <t>A 57353-2024</t>
        </is>
      </c>
      <c r="B586" s="1" t="n">
        <v>45629.65143518519</v>
      </c>
      <c r="C586" s="1" t="n">
        <v>45992</v>
      </c>
      <c r="D586" t="inlineStr">
        <is>
          <t>STOCKHOLMS LÄN</t>
        </is>
      </c>
      <c r="E586" t="inlineStr">
        <is>
          <t>NORRTÄLJE</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33336-2025</t>
        </is>
      </c>
      <c r="B587" s="1" t="n">
        <v>45841.35611111111</v>
      </c>
      <c r="C587" s="1" t="n">
        <v>45992</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48587-2023</t>
        </is>
      </c>
      <c r="B588" s="1" t="n">
        <v>45208</v>
      </c>
      <c r="C588" s="1" t="n">
        <v>45992</v>
      </c>
      <c r="D588" t="inlineStr">
        <is>
          <t>STOCKHOLMS LÄN</t>
        </is>
      </c>
      <c r="E588" t="inlineStr">
        <is>
          <t>NORRTÄLJE</t>
        </is>
      </c>
      <c r="G588" t="n">
        <v>7</v>
      </c>
      <c r="H588" t="n">
        <v>0</v>
      </c>
      <c r="I588" t="n">
        <v>0</v>
      </c>
      <c r="J588" t="n">
        <v>0</v>
      </c>
      <c r="K588" t="n">
        <v>0</v>
      </c>
      <c r="L588" t="n">
        <v>0</v>
      </c>
      <c r="M588" t="n">
        <v>0</v>
      </c>
      <c r="N588" t="n">
        <v>0</v>
      </c>
      <c r="O588" t="n">
        <v>0</v>
      </c>
      <c r="P588" t="n">
        <v>0</v>
      </c>
      <c r="Q588" t="n">
        <v>0</v>
      </c>
      <c r="R588" s="2" t="inlineStr"/>
    </row>
    <row r="589" ht="15" customHeight="1">
      <c r="A589" t="inlineStr">
        <is>
          <t>A 33824-2025</t>
        </is>
      </c>
      <c r="B589" s="1" t="n">
        <v>45842.46885416667</v>
      </c>
      <c r="C589" s="1" t="n">
        <v>45992</v>
      </c>
      <c r="D589" t="inlineStr">
        <is>
          <t>STOCKHOLMS LÄN</t>
        </is>
      </c>
      <c r="E589" t="inlineStr">
        <is>
          <t>NORRTÄLJE</t>
        </is>
      </c>
      <c r="G589" t="n">
        <v>1.9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45992</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2549-2022</t>
        </is>
      </c>
      <c r="B591" s="1" t="n">
        <v>44580</v>
      </c>
      <c r="C591" s="1" t="n">
        <v>45992</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4438-2023</t>
        </is>
      </c>
      <c r="B592" s="1" t="n">
        <v>44956</v>
      </c>
      <c r="C592" s="1" t="n">
        <v>45992</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45992</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34139-2025</t>
        </is>
      </c>
      <c r="B594" s="1" t="n">
        <v>45845</v>
      </c>
      <c r="C594" s="1" t="n">
        <v>45992</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47758-2023</t>
        </is>
      </c>
      <c r="B595" s="1" t="n">
        <v>45203.83891203703</v>
      </c>
      <c r="C595" s="1" t="n">
        <v>45992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34010-2025</t>
        </is>
      </c>
      <c r="B596" s="1" t="n">
        <v>45844.91234953704</v>
      </c>
      <c r="C596" s="1" t="n">
        <v>45992</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52529-2025</t>
        </is>
      </c>
      <c r="B597" s="1" t="n">
        <v>45954.53229166667</v>
      </c>
      <c r="C597" s="1" t="n">
        <v>45992</v>
      </c>
      <c r="D597" t="inlineStr">
        <is>
          <t>STOCKHOLMS LÄN</t>
        </is>
      </c>
      <c r="E597" t="inlineStr">
        <is>
          <t>NORRTÄLJE</t>
        </is>
      </c>
      <c r="F597" t="inlineStr">
        <is>
          <t>Sveaskog</t>
        </is>
      </c>
      <c r="G597" t="n">
        <v>7.8</v>
      </c>
      <c r="H597" t="n">
        <v>0</v>
      </c>
      <c r="I597" t="n">
        <v>0</v>
      </c>
      <c r="J597" t="n">
        <v>0</v>
      </c>
      <c r="K597" t="n">
        <v>0</v>
      </c>
      <c r="L597" t="n">
        <v>0</v>
      </c>
      <c r="M597" t="n">
        <v>0</v>
      </c>
      <c r="N597" t="n">
        <v>0</v>
      </c>
      <c r="O597" t="n">
        <v>0</v>
      </c>
      <c r="P597" t="n">
        <v>0</v>
      </c>
      <c r="Q597" t="n">
        <v>0</v>
      </c>
      <c r="R597" s="2" t="inlineStr"/>
    </row>
    <row r="598" ht="15" customHeight="1">
      <c r="A598" t="inlineStr">
        <is>
          <t>A 52776-2025</t>
        </is>
      </c>
      <c r="B598" s="1" t="n">
        <v>45957.41724537037</v>
      </c>
      <c r="C598" s="1" t="n">
        <v>45992</v>
      </c>
      <c r="D598" t="inlineStr">
        <is>
          <t>STOCKHOLMS LÄN</t>
        </is>
      </c>
      <c r="E598" t="inlineStr">
        <is>
          <t>NORRTÄLJE</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52777-2025</t>
        </is>
      </c>
      <c r="B599" s="1" t="n">
        <v>45957.41832175926</v>
      </c>
      <c r="C599" s="1" t="n">
        <v>45992</v>
      </c>
      <c r="D599" t="inlineStr">
        <is>
          <t>STOCKHOLMS LÄN</t>
        </is>
      </c>
      <c r="E599" t="inlineStr">
        <is>
          <t>NORRTÄLJE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36689-2023</t>
        </is>
      </c>
      <c r="B600" s="1" t="n">
        <v>45152</v>
      </c>
      <c r="C600" s="1" t="n">
        <v>45992</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46073-2024</t>
        </is>
      </c>
      <c r="B601" s="1" t="n">
        <v>45581</v>
      </c>
      <c r="C601" s="1" t="n">
        <v>45992</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51061-2023</t>
        </is>
      </c>
      <c r="B602" s="1" t="n">
        <v>45218.65849537037</v>
      </c>
      <c r="C602" s="1" t="n">
        <v>45992</v>
      </c>
      <c r="D602" t="inlineStr">
        <is>
          <t>STOCKHOLMS LÄN</t>
        </is>
      </c>
      <c r="E602" t="inlineStr">
        <is>
          <t>NORRTÄLJE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45992</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44354-2025</t>
        </is>
      </c>
      <c r="B604" s="1" t="n">
        <v>45916.44655092592</v>
      </c>
      <c r="C604" s="1" t="n">
        <v>45992</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45549-2022</t>
        </is>
      </c>
      <c r="B605" s="1" t="n">
        <v>44845.48064814815</v>
      </c>
      <c r="C605" s="1" t="n">
        <v>45992</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45992</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24727-2023</t>
        </is>
      </c>
      <c r="B607" s="1" t="n">
        <v>45084.57695601852</v>
      </c>
      <c r="C607" s="1" t="n">
        <v>45992</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48722-2023</t>
        </is>
      </c>
      <c r="B608" s="1" t="n">
        <v>45208.70996527778</v>
      </c>
      <c r="C608" s="1" t="n">
        <v>45992</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35235-2024</t>
        </is>
      </c>
      <c r="B609" s="1" t="n">
        <v>45530</v>
      </c>
      <c r="C609" s="1" t="n">
        <v>45992</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1448-2023</t>
        </is>
      </c>
      <c r="B610" s="1" t="n">
        <v>44937</v>
      </c>
      <c r="C610" s="1" t="n">
        <v>45992</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39610-2025</t>
        </is>
      </c>
      <c r="B611" s="1" t="n">
        <v>45890.56001157407</v>
      </c>
      <c r="C611" s="1" t="n">
        <v>45992</v>
      </c>
      <c r="D611" t="inlineStr">
        <is>
          <t>STOCKHOLMS LÄN</t>
        </is>
      </c>
      <c r="E611" t="inlineStr">
        <is>
          <t>NORRTÄLJE</t>
        </is>
      </c>
      <c r="G611" t="n">
        <v>28.6</v>
      </c>
      <c r="H611" t="n">
        <v>0</v>
      </c>
      <c r="I611" t="n">
        <v>0</v>
      </c>
      <c r="J611" t="n">
        <v>0</v>
      </c>
      <c r="K611" t="n">
        <v>0</v>
      </c>
      <c r="L611" t="n">
        <v>0</v>
      </c>
      <c r="M611" t="n">
        <v>0</v>
      </c>
      <c r="N611" t="n">
        <v>0</v>
      </c>
      <c r="O611" t="n">
        <v>0</v>
      </c>
      <c r="P611" t="n">
        <v>0</v>
      </c>
      <c r="Q611" t="n">
        <v>0</v>
      </c>
      <c r="R611" s="2" t="inlineStr"/>
    </row>
    <row r="612" ht="15" customHeight="1">
      <c r="A612" t="inlineStr">
        <is>
          <t>A 8736-2024</t>
        </is>
      </c>
      <c r="B612" s="1" t="n">
        <v>45356.4722800926</v>
      </c>
      <c r="C612" s="1" t="n">
        <v>45992</v>
      </c>
      <c r="D612" t="inlineStr">
        <is>
          <t>STOCKHOLMS LÄN</t>
        </is>
      </c>
      <c r="E612" t="inlineStr">
        <is>
          <t>NORRTÄLJE</t>
        </is>
      </c>
      <c r="G612" t="n">
        <v>8.9</v>
      </c>
      <c r="H612" t="n">
        <v>0</v>
      </c>
      <c r="I612" t="n">
        <v>0</v>
      </c>
      <c r="J612" t="n">
        <v>0</v>
      </c>
      <c r="K612" t="n">
        <v>0</v>
      </c>
      <c r="L612" t="n">
        <v>0</v>
      </c>
      <c r="M612" t="n">
        <v>0</v>
      </c>
      <c r="N612" t="n">
        <v>0</v>
      </c>
      <c r="O612" t="n">
        <v>0</v>
      </c>
      <c r="P612" t="n">
        <v>0</v>
      </c>
      <c r="Q612" t="n">
        <v>0</v>
      </c>
      <c r="R612" s="2" t="inlineStr"/>
    </row>
    <row r="613" ht="15" customHeight="1">
      <c r="A613" t="inlineStr">
        <is>
          <t>A 44306-2025</t>
        </is>
      </c>
      <c r="B613" s="1" t="n">
        <v>45916.37736111111</v>
      </c>
      <c r="C613" s="1" t="n">
        <v>45992</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44343-2025</t>
        </is>
      </c>
      <c r="B614" s="1" t="n">
        <v>45916.43378472222</v>
      </c>
      <c r="C614" s="1" t="n">
        <v>45992</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44349-2025</t>
        </is>
      </c>
      <c r="B615" s="1" t="n">
        <v>45916.43929398148</v>
      </c>
      <c r="C615" s="1" t="n">
        <v>45992</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33149-2022</t>
        </is>
      </c>
      <c r="B616" s="1" t="n">
        <v>44785</v>
      </c>
      <c r="C616" s="1" t="n">
        <v>45992</v>
      </c>
      <c r="D616" t="inlineStr">
        <is>
          <t>STOCKHOLMS LÄN</t>
        </is>
      </c>
      <c r="E616" t="inlineStr">
        <is>
          <t>NORRTÄLJE</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44311-2025</t>
        </is>
      </c>
      <c r="B617" s="1" t="n">
        <v>45916.38394675926</v>
      </c>
      <c r="C617" s="1" t="n">
        <v>45992</v>
      </c>
      <c r="D617" t="inlineStr">
        <is>
          <t>STOCKHOLMS LÄN</t>
        </is>
      </c>
      <c r="E617" t="inlineStr">
        <is>
          <t>NORRTÄLJE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53299-2025</t>
        </is>
      </c>
      <c r="B618" s="1" t="n">
        <v>45959.31901620371</v>
      </c>
      <c r="C618" s="1" t="n">
        <v>45992</v>
      </c>
      <c r="D618" t="inlineStr">
        <is>
          <t>STOCKHOLMS LÄN</t>
        </is>
      </c>
      <c r="E618" t="inlineStr">
        <is>
          <t>NORRTÄLJE</t>
        </is>
      </c>
      <c r="G618" t="n">
        <v>4.8</v>
      </c>
      <c r="H618" t="n">
        <v>0</v>
      </c>
      <c r="I618" t="n">
        <v>0</v>
      </c>
      <c r="J618" t="n">
        <v>0</v>
      </c>
      <c r="K618" t="n">
        <v>0</v>
      </c>
      <c r="L618" t="n">
        <v>0</v>
      </c>
      <c r="M618" t="n">
        <v>0</v>
      </c>
      <c r="N618" t="n">
        <v>0</v>
      </c>
      <c r="O618" t="n">
        <v>0</v>
      </c>
      <c r="P618" t="n">
        <v>0</v>
      </c>
      <c r="Q618" t="n">
        <v>0</v>
      </c>
      <c r="R618" s="2" t="inlineStr"/>
    </row>
    <row r="619" ht="15" customHeight="1">
      <c r="A619" t="inlineStr">
        <is>
          <t>A 44333-2025</t>
        </is>
      </c>
      <c r="B619" s="1" t="n">
        <v>45916.42293981482</v>
      </c>
      <c r="C619" s="1" t="n">
        <v>45992</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35110-2025</t>
        </is>
      </c>
      <c r="B620" s="1" t="n">
        <v>45852.58030092593</v>
      </c>
      <c r="C620" s="1" t="n">
        <v>45992</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53087-2025</t>
        </is>
      </c>
      <c r="B621" s="1" t="n">
        <v>45958.41065972222</v>
      </c>
      <c r="C621" s="1" t="n">
        <v>45992</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53115-2025</t>
        </is>
      </c>
      <c r="B622" s="1" t="n">
        <v>45958.44614583333</v>
      </c>
      <c r="C622" s="1" t="n">
        <v>45992</v>
      </c>
      <c r="D622" t="inlineStr">
        <is>
          <t>STOCKHOLMS LÄN</t>
        </is>
      </c>
      <c r="E622" t="inlineStr">
        <is>
          <t>NORRTÄLJE</t>
        </is>
      </c>
      <c r="F622" t="inlineStr">
        <is>
          <t>Kyrkan</t>
        </is>
      </c>
      <c r="G622" t="n">
        <v>2.5</v>
      </c>
      <c r="H622" t="n">
        <v>0</v>
      </c>
      <c r="I622" t="n">
        <v>0</v>
      </c>
      <c r="J622" t="n">
        <v>0</v>
      </c>
      <c r="K622" t="n">
        <v>0</v>
      </c>
      <c r="L622" t="n">
        <v>0</v>
      </c>
      <c r="M622" t="n">
        <v>0</v>
      </c>
      <c r="N622" t="n">
        <v>0</v>
      </c>
      <c r="O622" t="n">
        <v>0</v>
      </c>
      <c r="P622" t="n">
        <v>0</v>
      </c>
      <c r="Q622" t="n">
        <v>0</v>
      </c>
      <c r="R622" s="2" t="inlineStr"/>
    </row>
    <row r="623" ht="15" customHeight="1">
      <c r="A623" t="inlineStr">
        <is>
          <t>A 35254-2025</t>
        </is>
      </c>
      <c r="B623" s="1" t="n">
        <v>45853</v>
      </c>
      <c r="C623" s="1" t="n">
        <v>45992</v>
      </c>
      <c r="D623" t="inlineStr">
        <is>
          <t>STOCKHOLMS LÄN</t>
        </is>
      </c>
      <c r="E623" t="inlineStr">
        <is>
          <t>NORRTÄLJE</t>
        </is>
      </c>
      <c r="G623" t="n">
        <v>6.5</v>
      </c>
      <c r="H623" t="n">
        <v>0</v>
      </c>
      <c r="I623" t="n">
        <v>0</v>
      </c>
      <c r="J623" t="n">
        <v>0</v>
      </c>
      <c r="K623" t="n">
        <v>0</v>
      </c>
      <c r="L623" t="n">
        <v>0</v>
      </c>
      <c r="M623" t="n">
        <v>0</v>
      </c>
      <c r="N623" t="n">
        <v>0</v>
      </c>
      <c r="O623" t="n">
        <v>0</v>
      </c>
      <c r="P623" t="n">
        <v>0</v>
      </c>
      <c r="Q623" t="n">
        <v>0</v>
      </c>
      <c r="R623" s="2" t="inlineStr"/>
    </row>
    <row r="624" ht="15" customHeight="1">
      <c r="A624" t="inlineStr">
        <is>
          <t>A 35479-2025</t>
        </is>
      </c>
      <c r="B624" s="1" t="n">
        <v>45855.69387731481</v>
      </c>
      <c r="C624" s="1" t="n">
        <v>45992</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35451-2025</t>
        </is>
      </c>
      <c r="B625" s="1" t="n">
        <v>45855.57033564815</v>
      </c>
      <c r="C625" s="1" t="n">
        <v>45992</v>
      </c>
      <c r="D625" t="inlineStr">
        <is>
          <t>STOCKHOLMS LÄN</t>
        </is>
      </c>
      <c r="E625" t="inlineStr">
        <is>
          <t>NORRTÄLJE</t>
        </is>
      </c>
      <c r="F625" t="inlineStr">
        <is>
          <t>Holmen skog AB</t>
        </is>
      </c>
      <c r="G625" t="n">
        <v>7.4</v>
      </c>
      <c r="H625" t="n">
        <v>0</v>
      </c>
      <c r="I625" t="n">
        <v>0</v>
      </c>
      <c r="J625" t="n">
        <v>0</v>
      </c>
      <c r="K625" t="n">
        <v>0</v>
      </c>
      <c r="L625" t="n">
        <v>0</v>
      </c>
      <c r="M625" t="n">
        <v>0</v>
      </c>
      <c r="N625" t="n">
        <v>0</v>
      </c>
      <c r="O625" t="n">
        <v>0</v>
      </c>
      <c r="P625" t="n">
        <v>0</v>
      </c>
      <c r="Q625" t="n">
        <v>0</v>
      </c>
      <c r="R625" s="2" t="inlineStr"/>
    </row>
    <row r="626" ht="15" customHeight="1">
      <c r="A626" t="inlineStr">
        <is>
          <t>A 35478-2025</t>
        </is>
      </c>
      <c r="B626" s="1" t="n">
        <v>45855.68413194444</v>
      </c>
      <c r="C626" s="1" t="n">
        <v>45992</v>
      </c>
      <c r="D626" t="inlineStr">
        <is>
          <t>STOCKHOLMS LÄN</t>
        </is>
      </c>
      <c r="E626" t="inlineStr">
        <is>
          <t>NORRTÄLJE</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53747-2025</t>
        </is>
      </c>
      <c r="B627" s="1" t="n">
        <v>45960.65415509259</v>
      </c>
      <c r="C627" s="1" t="n">
        <v>45992</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6537-2024</t>
        </is>
      </c>
      <c r="B628" s="1" t="n">
        <v>45341.39853009259</v>
      </c>
      <c r="C628" s="1" t="n">
        <v>45992</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40175-2024</t>
        </is>
      </c>
      <c r="B629" s="1" t="n">
        <v>45554.55707175926</v>
      </c>
      <c r="C629" s="1" t="n">
        <v>45992</v>
      </c>
      <c r="D629" t="inlineStr">
        <is>
          <t>STOCKHOLMS LÄN</t>
        </is>
      </c>
      <c r="E629" t="inlineStr">
        <is>
          <t>NORRTÄLJE</t>
        </is>
      </c>
      <c r="G629" t="n">
        <v>7.7</v>
      </c>
      <c r="H629" t="n">
        <v>0</v>
      </c>
      <c r="I629" t="n">
        <v>0</v>
      </c>
      <c r="J629" t="n">
        <v>0</v>
      </c>
      <c r="K629" t="n">
        <v>0</v>
      </c>
      <c r="L629" t="n">
        <v>0</v>
      </c>
      <c r="M629" t="n">
        <v>0</v>
      </c>
      <c r="N629" t="n">
        <v>0</v>
      </c>
      <c r="O629" t="n">
        <v>0</v>
      </c>
      <c r="P629" t="n">
        <v>0</v>
      </c>
      <c r="Q629" t="n">
        <v>0</v>
      </c>
      <c r="R629" s="2" t="inlineStr"/>
    </row>
    <row r="630" ht="15" customHeight="1">
      <c r="A630" t="inlineStr">
        <is>
          <t>A 54558-2024</t>
        </is>
      </c>
      <c r="B630" s="1" t="n">
        <v>45617.62358796296</v>
      </c>
      <c r="C630" s="1" t="n">
        <v>45992</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53629-2025</t>
        </is>
      </c>
      <c r="B631" s="1" t="n">
        <v>45960.49570601852</v>
      </c>
      <c r="C631" s="1" t="n">
        <v>45992</v>
      </c>
      <c r="D631" t="inlineStr">
        <is>
          <t>STOCKHOLMS LÄN</t>
        </is>
      </c>
      <c r="E631" t="inlineStr">
        <is>
          <t>NORRTÄLJE</t>
        </is>
      </c>
      <c r="F631" t="inlineStr">
        <is>
          <t>Naturvårdsverket</t>
        </is>
      </c>
      <c r="G631" t="n">
        <v>7.9</v>
      </c>
      <c r="H631" t="n">
        <v>0</v>
      </c>
      <c r="I631" t="n">
        <v>0</v>
      </c>
      <c r="J631" t="n">
        <v>0</v>
      </c>
      <c r="K631" t="n">
        <v>0</v>
      </c>
      <c r="L631" t="n">
        <v>0</v>
      </c>
      <c r="M631" t="n">
        <v>0</v>
      </c>
      <c r="N631" t="n">
        <v>0</v>
      </c>
      <c r="O631" t="n">
        <v>0</v>
      </c>
      <c r="P631" t="n">
        <v>0</v>
      </c>
      <c r="Q631" t="n">
        <v>0</v>
      </c>
      <c r="R631" s="2" t="inlineStr"/>
    </row>
    <row r="632" ht="15" customHeight="1">
      <c r="A632" t="inlineStr">
        <is>
          <t>A 23056-2023</t>
        </is>
      </c>
      <c r="B632" s="1" t="n">
        <v>45075</v>
      </c>
      <c r="C632" s="1" t="n">
        <v>45992</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44937-2025</t>
        </is>
      </c>
      <c r="B633" s="1" t="n">
        <v>45918</v>
      </c>
      <c r="C633" s="1" t="n">
        <v>45992</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67393-2020</t>
        </is>
      </c>
      <c r="B634" s="1" t="n">
        <v>44181</v>
      </c>
      <c r="C634" s="1" t="n">
        <v>45992</v>
      </c>
      <c r="D634" t="inlineStr">
        <is>
          <t>STOCKHOLMS LÄN</t>
        </is>
      </c>
      <c r="E634" t="inlineStr">
        <is>
          <t>NORRTÄLJE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47431-2023</t>
        </is>
      </c>
      <c r="B635" s="1" t="n">
        <v>45202</v>
      </c>
      <c r="C635" s="1" t="n">
        <v>45992</v>
      </c>
      <c r="D635" t="inlineStr">
        <is>
          <t>STOCKHOLMS LÄN</t>
        </is>
      </c>
      <c r="E635" t="inlineStr">
        <is>
          <t>NORRTÄLJE</t>
        </is>
      </c>
      <c r="F635" t="inlineStr">
        <is>
          <t>Naturvårdsverket</t>
        </is>
      </c>
      <c r="G635" t="n">
        <v>1.2</v>
      </c>
      <c r="H635" t="n">
        <v>0</v>
      </c>
      <c r="I635" t="n">
        <v>0</v>
      </c>
      <c r="J635" t="n">
        <v>0</v>
      </c>
      <c r="K635" t="n">
        <v>0</v>
      </c>
      <c r="L635" t="n">
        <v>0</v>
      </c>
      <c r="M635" t="n">
        <v>0</v>
      </c>
      <c r="N635" t="n">
        <v>0</v>
      </c>
      <c r="O635" t="n">
        <v>0</v>
      </c>
      <c r="P635" t="n">
        <v>0</v>
      </c>
      <c r="Q635" t="n">
        <v>0</v>
      </c>
      <c r="R635" s="2" t="inlineStr"/>
    </row>
    <row r="636" ht="15" customHeight="1">
      <c r="A636" t="inlineStr">
        <is>
          <t>A 59499-2023</t>
        </is>
      </c>
      <c r="B636" s="1" t="n">
        <v>45254</v>
      </c>
      <c r="C636" s="1" t="n">
        <v>45992</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59468-2023</t>
        </is>
      </c>
      <c r="B637" s="1" t="n">
        <v>45254.41509259259</v>
      </c>
      <c r="C637" s="1" t="n">
        <v>45992</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45992</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45992</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10653-2022</t>
        </is>
      </c>
      <c r="B640" s="1" t="n">
        <v>44624.59434027778</v>
      </c>
      <c r="C640" s="1" t="n">
        <v>45992</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21729-2024</t>
        </is>
      </c>
      <c r="B641" s="1" t="n">
        <v>45442</v>
      </c>
      <c r="C641" s="1" t="n">
        <v>45992</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34444-2024</t>
        </is>
      </c>
      <c r="B642" s="1" t="n">
        <v>45525</v>
      </c>
      <c r="C642" s="1" t="n">
        <v>45992</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11854-2025</t>
        </is>
      </c>
      <c r="B643" s="1" t="n">
        <v>45728.38924768518</v>
      </c>
      <c r="C643" s="1" t="n">
        <v>45992</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14762-2024</t>
        </is>
      </c>
      <c r="B644" s="1" t="n">
        <v>45397</v>
      </c>
      <c r="C644" s="1" t="n">
        <v>45992</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20698-2025</t>
        </is>
      </c>
      <c r="B645" s="1" t="n">
        <v>45776.47122685185</v>
      </c>
      <c r="C645" s="1" t="n">
        <v>45992</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22359-2025</t>
        </is>
      </c>
      <c r="B646" s="1" t="n">
        <v>45786</v>
      </c>
      <c r="C646" s="1" t="n">
        <v>45992</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59712-2024</t>
        </is>
      </c>
      <c r="B647" s="1" t="n">
        <v>45639.45166666667</v>
      </c>
      <c r="C647" s="1" t="n">
        <v>45992</v>
      </c>
      <c r="D647" t="inlineStr">
        <is>
          <t>STOCKHOLMS LÄN</t>
        </is>
      </c>
      <c r="E647" t="inlineStr">
        <is>
          <t>NORRTÄLJE</t>
        </is>
      </c>
      <c r="G647" t="n">
        <v>4.4</v>
      </c>
      <c r="H647" t="n">
        <v>0</v>
      </c>
      <c r="I647" t="n">
        <v>0</v>
      </c>
      <c r="J647" t="n">
        <v>0</v>
      </c>
      <c r="K647" t="n">
        <v>0</v>
      </c>
      <c r="L647" t="n">
        <v>0</v>
      </c>
      <c r="M647" t="n">
        <v>0</v>
      </c>
      <c r="N647" t="n">
        <v>0</v>
      </c>
      <c r="O647" t="n">
        <v>0</v>
      </c>
      <c r="P647" t="n">
        <v>0</v>
      </c>
      <c r="Q647" t="n">
        <v>0</v>
      </c>
      <c r="R647" s="2" t="inlineStr"/>
    </row>
    <row r="648" ht="15" customHeight="1">
      <c r="A648" t="inlineStr">
        <is>
          <t>A 22232-2024</t>
        </is>
      </c>
      <c r="B648" s="1" t="n">
        <v>45446.4287962963</v>
      </c>
      <c r="C648" s="1" t="n">
        <v>45992</v>
      </c>
      <c r="D648" t="inlineStr">
        <is>
          <t>STOCKHOLMS LÄN</t>
        </is>
      </c>
      <c r="E648" t="inlineStr">
        <is>
          <t>NORRTÄLJE</t>
        </is>
      </c>
      <c r="G648" t="n">
        <v>12.8</v>
      </c>
      <c r="H648" t="n">
        <v>0</v>
      </c>
      <c r="I648" t="n">
        <v>0</v>
      </c>
      <c r="J648" t="n">
        <v>0</v>
      </c>
      <c r="K648" t="n">
        <v>0</v>
      </c>
      <c r="L648" t="n">
        <v>0</v>
      </c>
      <c r="M648" t="n">
        <v>0</v>
      </c>
      <c r="N648" t="n">
        <v>0</v>
      </c>
      <c r="O648" t="n">
        <v>0</v>
      </c>
      <c r="P648" t="n">
        <v>0</v>
      </c>
      <c r="Q648" t="n">
        <v>0</v>
      </c>
      <c r="R648" s="2" t="inlineStr"/>
    </row>
    <row r="649" ht="15" customHeight="1">
      <c r="A649" t="inlineStr">
        <is>
          <t>A 35127-2023</t>
        </is>
      </c>
      <c r="B649" s="1" t="n">
        <v>45145.51</v>
      </c>
      <c r="C649" s="1" t="n">
        <v>45992</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36396-2025</t>
        </is>
      </c>
      <c r="B650" s="1" t="n">
        <v>45868.62267361111</v>
      </c>
      <c r="C650" s="1" t="n">
        <v>45992</v>
      </c>
      <c r="D650" t="inlineStr">
        <is>
          <t>STOCKHOLMS LÄN</t>
        </is>
      </c>
      <c r="E650" t="inlineStr">
        <is>
          <t>NORRTÄLJE</t>
        </is>
      </c>
      <c r="G650" t="n">
        <v>4.1</v>
      </c>
      <c r="H650" t="n">
        <v>0</v>
      </c>
      <c r="I650" t="n">
        <v>0</v>
      </c>
      <c r="J650" t="n">
        <v>0</v>
      </c>
      <c r="K650" t="n">
        <v>0</v>
      </c>
      <c r="L650" t="n">
        <v>0</v>
      </c>
      <c r="M650" t="n">
        <v>0</v>
      </c>
      <c r="N650" t="n">
        <v>0</v>
      </c>
      <c r="O650" t="n">
        <v>0</v>
      </c>
      <c r="P650" t="n">
        <v>0</v>
      </c>
      <c r="Q650" t="n">
        <v>0</v>
      </c>
      <c r="R650" s="2" t="inlineStr"/>
    </row>
    <row r="651" ht="15" customHeight="1">
      <c r="A651" t="inlineStr">
        <is>
          <t>A 45255-2022</t>
        </is>
      </c>
      <c r="B651" s="1" t="n">
        <v>44840</v>
      </c>
      <c r="C651" s="1" t="n">
        <v>45992</v>
      </c>
      <c r="D651" t="inlineStr">
        <is>
          <t>STOCKHOLMS LÄN</t>
        </is>
      </c>
      <c r="E651" t="inlineStr">
        <is>
          <t>NORRTÄLJE</t>
        </is>
      </c>
      <c r="G651" t="n">
        <v>4.1</v>
      </c>
      <c r="H651" t="n">
        <v>0</v>
      </c>
      <c r="I651" t="n">
        <v>0</v>
      </c>
      <c r="J651" t="n">
        <v>0</v>
      </c>
      <c r="K651" t="n">
        <v>0</v>
      </c>
      <c r="L651" t="n">
        <v>0</v>
      </c>
      <c r="M651" t="n">
        <v>0</v>
      </c>
      <c r="N651" t="n">
        <v>0</v>
      </c>
      <c r="O651" t="n">
        <v>0</v>
      </c>
      <c r="P651" t="n">
        <v>0</v>
      </c>
      <c r="Q651" t="n">
        <v>0</v>
      </c>
      <c r="R651" s="2" t="inlineStr"/>
    </row>
    <row r="652" ht="15" customHeight="1">
      <c r="A652" t="inlineStr">
        <is>
          <t>A 45697-2025</t>
        </is>
      </c>
      <c r="B652" s="1" t="n">
        <v>45923.39877314815</v>
      </c>
      <c r="C652" s="1" t="n">
        <v>45992</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59893-2022</t>
        </is>
      </c>
      <c r="B653" s="1" t="n">
        <v>44908.77368055555</v>
      </c>
      <c r="C653" s="1" t="n">
        <v>45992</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39905-2023</t>
        </is>
      </c>
      <c r="B654" s="1" t="n">
        <v>45168.44489583333</v>
      </c>
      <c r="C654" s="1" t="n">
        <v>45992</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5645-2023</t>
        </is>
      </c>
      <c r="B655" s="1" t="n">
        <v>44960.60469907407</v>
      </c>
      <c r="C655" s="1" t="n">
        <v>45992</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45992</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45992</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46415-2025</t>
        </is>
      </c>
      <c r="B658" s="1" t="n">
        <v>45925.58636574074</v>
      </c>
      <c r="C658" s="1" t="n">
        <v>45992</v>
      </c>
      <c r="D658" t="inlineStr">
        <is>
          <t>STOCKHOLMS LÄN</t>
        </is>
      </c>
      <c r="E658" t="inlineStr">
        <is>
          <t>NORRTÄLJE</t>
        </is>
      </c>
      <c r="G658" t="n">
        <v>3.8</v>
      </c>
      <c r="H658" t="n">
        <v>0</v>
      </c>
      <c r="I658" t="n">
        <v>0</v>
      </c>
      <c r="J658" t="n">
        <v>0</v>
      </c>
      <c r="K658" t="n">
        <v>0</v>
      </c>
      <c r="L658" t="n">
        <v>0</v>
      </c>
      <c r="M658" t="n">
        <v>0</v>
      </c>
      <c r="N658" t="n">
        <v>0</v>
      </c>
      <c r="O658" t="n">
        <v>0</v>
      </c>
      <c r="P658" t="n">
        <v>0</v>
      </c>
      <c r="Q658" t="n">
        <v>0</v>
      </c>
      <c r="R658" s="2" t="inlineStr"/>
    </row>
    <row r="659" ht="15" customHeight="1">
      <c r="A659" t="inlineStr">
        <is>
          <t>A 19706-2023</t>
        </is>
      </c>
      <c r="B659" s="1" t="n">
        <v>45051.455</v>
      </c>
      <c r="C659" s="1" t="n">
        <v>45992</v>
      </c>
      <c r="D659" t="inlineStr">
        <is>
          <t>STOCKHOLMS LÄN</t>
        </is>
      </c>
      <c r="E659" t="inlineStr">
        <is>
          <t>NORRTÄLJE</t>
        </is>
      </c>
      <c r="G659" t="n">
        <v>0.2</v>
      </c>
      <c r="H659" t="n">
        <v>0</v>
      </c>
      <c r="I659" t="n">
        <v>0</v>
      </c>
      <c r="J659" t="n">
        <v>0</v>
      </c>
      <c r="K659" t="n">
        <v>0</v>
      </c>
      <c r="L659" t="n">
        <v>0</v>
      </c>
      <c r="M659" t="n">
        <v>0</v>
      </c>
      <c r="N659" t="n">
        <v>0</v>
      </c>
      <c r="O659" t="n">
        <v>0</v>
      </c>
      <c r="P659" t="n">
        <v>0</v>
      </c>
      <c r="Q659" t="n">
        <v>0</v>
      </c>
      <c r="R659" s="2" t="inlineStr"/>
    </row>
    <row r="660" ht="15" customHeight="1">
      <c r="A660" t="inlineStr">
        <is>
          <t>A 18539-2021</t>
        </is>
      </c>
      <c r="B660" s="1" t="n">
        <v>44306</v>
      </c>
      <c r="C660" s="1" t="n">
        <v>45992</v>
      </c>
      <c r="D660" t="inlineStr">
        <is>
          <t>STOCKHOLMS LÄN</t>
        </is>
      </c>
      <c r="E660" t="inlineStr">
        <is>
          <t>NORRTÄLJE</t>
        </is>
      </c>
      <c r="F660" t="inlineStr">
        <is>
          <t>Holmen skog AB</t>
        </is>
      </c>
      <c r="G660" t="n">
        <v>5.5</v>
      </c>
      <c r="H660" t="n">
        <v>0</v>
      </c>
      <c r="I660" t="n">
        <v>0</v>
      </c>
      <c r="J660" t="n">
        <v>0</v>
      </c>
      <c r="K660" t="n">
        <v>0</v>
      </c>
      <c r="L660" t="n">
        <v>0</v>
      </c>
      <c r="M660" t="n">
        <v>0</v>
      </c>
      <c r="N660" t="n">
        <v>0</v>
      </c>
      <c r="O660" t="n">
        <v>0</v>
      </c>
      <c r="P660" t="n">
        <v>0</v>
      </c>
      <c r="Q660" t="n">
        <v>0</v>
      </c>
      <c r="R660" s="2" t="inlineStr"/>
    </row>
    <row r="661" ht="15" customHeight="1">
      <c r="A661" t="inlineStr">
        <is>
          <t>A 54907-2025</t>
        </is>
      </c>
      <c r="B661" s="1" t="n">
        <v>45967.37137731481</v>
      </c>
      <c r="C661" s="1" t="n">
        <v>45992</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17612-2022</t>
        </is>
      </c>
      <c r="B662" s="1" t="n">
        <v>44680</v>
      </c>
      <c r="C662" s="1" t="n">
        <v>45992</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16835-2022</t>
        </is>
      </c>
      <c r="B663" s="1" t="n">
        <v>44673</v>
      </c>
      <c r="C663" s="1" t="n">
        <v>45992</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37261-2025</t>
        </is>
      </c>
      <c r="B664" s="1" t="n">
        <v>45876.45253472222</v>
      </c>
      <c r="C664" s="1" t="n">
        <v>45992</v>
      </c>
      <c r="D664" t="inlineStr">
        <is>
          <t>STOCKHOLMS LÄN</t>
        </is>
      </c>
      <c r="E664" t="inlineStr">
        <is>
          <t>NORRTÄLJE</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62765-2022</t>
        </is>
      </c>
      <c r="B665" s="1" t="n">
        <v>44637</v>
      </c>
      <c r="C665" s="1" t="n">
        <v>45992</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58404-2023</t>
        </is>
      </c>
      <c r="B666" s="1" t="n">
        <v>45245</v>
      </c>
      <c r="C666" s="1" t="n">
        <v>45992</v>
      </c>
      <c r="D666" t="inlineStr">
        <is>
          <t>STOCKHOLMS LÄN</t>
        </is>
      </c>
      <c r="E666" t="inlineStr">
        <is>
          <t>NORRTÄLJE</t>
        </is>
      </c>
      <c r="G666" t="n">
        <v>53.5</v>
      </c>
      <c r="H666" t="n">
        <v>0</v>
      </c>
      <c r="I666" t="n">
        <v>0</v>
      </c>
      <c r="J666" t="n">
        <v>0</v>
      </c>
      <c r="K666" t="n">
        <v>0</v>
      </c>
      <c r="L666" t="n">
        <v>0</v>
      </c>
      <c r="M666" t="n">
        <v>0</v>
      </c>
      <c r="N666" t="n">
        <v>0</v>
      </c>
      <c r="O666" t="n">
        <v>0</v>
      </c>
      <c r="P666" t="n">
        <v>0</v>
      </c>
      <c r="Q666" t="n">
        <v>0</v>
      </c>
      <c r="R666" s="2" t="inlineStr"/>
    </row>
    <row r="667" ht="15" customHeight="1">
      <c r="A667" t="inlineStr">
        <is>
          <t>A 8586-2023</t>
        </is>
      </c>
      <c r="B667" s="1" t="n">
        <v>44977</v>
      </c>
      <c r="C667" s="1" t="n">
        <v>45992</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46900-2025</t>
        </is>
      </c>
      <c r="B668" s="1" t="n">
        <v>45929.38712962963</v>
      </c>
      <c r="C668" s="1" t="n">
        <v>45992</v>
      </c>
      <c r="D668" t="inlineStr">
        <is>
          <t>STOCKHOLMS LÄN</t>
        </is>
      </c>
      <c r="E668" t="inlineStr">
        <is>
          <t>NORRTÄLJE</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16202-2022</t>
        </is>
      </c>
      <c r="B669" s="1" t="n">
        <v>44670</v>
      </c>
      <c r="C669" s="1" t="n">
        <v>45992</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55599-2025</t>
        </is>
      </c>
      <c r="B670" s="1" t="n">
        <v>45971.76810185185</v>
      </c>
      <c r="C670" s="1" t="n">
        <v>45992</v>
      </c>
      <c r="D670" t="inlineStr">
        <is>
          <t>STOCKHOLMS LÄN</t>
        </is>
      </c>
      <c r="E670" t="inlineStr">
        <is>
          <t>NORRTÄLJE</t>
        </is>
      </c>
      <c r="F670" t="inlineStr">
        <is>
          <t>Holmen skog AB</t>
        </is>
      </c>
      <c r="G670" t="n">
        <v>6.4</v>
      </c>
      <c r="H670" t="n">
        <v>0</v>
      </c>
      <c r="I670" t="n">
        <v>0</v>
      </c>
      <c r="J670" t="n">
        <v>0</v>
      </c>
      <c r="K670" t="n">
        <v>0</v>
      </c>
      <c r="L670" t="n">
        <v>0</v>
      </c>
      <c r="M670" t="n">
        <v>0</v>
      </c>
      <c r="N670" t="n">
        <v>0</v>
      </c>
      <c r="O670" t="n">
        <v>0</v>
      </c>
      <c r="P670" t="n">
        <v>0</v>
      </c>
      <c r="Q670" t="n">
        <v>0</v>
      </c>
      <c r="R670" s="2" t="inlineStr"/>
    </row>
    <row r="671" ht="15" customHeight="1">
      <c r="A671" t="inlineStr">
        <is>
          <t>A 37628-2025</t>
        </is>
      </c>
      <c r="B671" s="1" t="n">
        <v>45880.46189814815</v>
      </c>
      <c r="C671" s="1" t="n">
        <v>45992</v>
      </c>
      <c r="D671" t="inlineStr">
        <is>
          <t>STOCKHOLMS LÄN</t>
        </is>
      </c>
      <c r="E671" t="inlineStr">
        <is>
          <t>NORRTÄLJE</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29369-2024</t>
        </is>
      </c>
      <c r="B672" s="1" t="n">
        <v>45483.57244212963</v>
      </c>
      <c r="C672" s="1" t="n">
        <v>45992</v>
      </c>
      <c r="D672" t="inlineStr">
        <is>
          <t>STOCKHOLMS LÄN</t>
        </is>
      </c>
      <c r="E672" t="inlineStr">
        <is>
          <t>NORRTÄLJE</t>
        </is>
      </c>
      <c r="G672" t="n">
        <v>15.9</v>
      </c>
      <c r="H672" t="n">
        <v>0</v>
      </c>
      <c r="I672" t="n">
        <v>0</v>
      </c>
      <c r="J672" t="n">
        <v>0</v>
      </c>
      <c r="K672" t="n">
        <v>0</v>
      </c>
      <c r="L672" t="n">
        <v>0</v>
      </c>
      <c r="M672" t="n">
        <v>0</v>
      </c>
      <c r="N672" t="n">
        <v>0</v>
      </c>
      <c r="O672" t="n">
        <v>0</v>
      </c>
      <c r="P672" t="n">
        <v>0</v>
      </c>
      <c r="Q672" t="n">
        <v>0</v>
      </c>
      <c r="R672" s="2" t="inlineStr"/>
    </row>
    <row r="673" ht="15" customHeight="1">
      <c r="A673" t="inlineStr">
        <is>
          <t>A 55018-2024</t>
        </is>
      </c>
      <c r="B673" s="1" t="n">
        <v>45621.35712962963</v>
      </c>
      <c r="C673" s="1" t="n">
        <v>45992</v>
      </c>
      <c r="D673" t="inlineStr">
        <is>
          <t>STOCKHOLMS LÄN</t>
        </is>
      </c>
      <c r="E673" t="inlineStr">
        <is>
          <t>NORRTÄLJE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37632-2025</t>
        </is>
      </c>
      <c r="B674" s="1" t="n">
        <v>45880.46524305556</v>
      </c>
      <c r="C674" s="1" t="n">
        <v>45992</v>
      </c>
      <c r="D674" t="inlineStr">
        <is>
          <t>STOCKHOLMS LÄN</t>
        </is>
      </c>
      <c r="E674" t="inlineStr">
        <is>
          <t>NORRTÄLJE</t>
        </is>
      </c>
      <c r="F674" t="inlineStr">
        <is>
          <t>Sveaskog</t>
        </is>
      </c>
      <c r="G674" t="n">
        <v>6.4</v>
      </c>
      <c r="H674" t="n">
        <v>0</v>
      </c>
      <c r="I674" t="n">
        <v>0</v>
      </c>
      <c r="J674" t="n">
        <v>0</v>
      </c>
      <c r="K674" t="n">
        <v>0</v>
      </c>
      <c r="L674" t="n">
        <v>0</v>
      </c>
      <c r="M674" t="n">
        <v>0</v>
      </c>
      <c r="N674" t="n">
        <v>0</v>
      </c>
      <c r="O674" t="n">
        <v>0</v>
      </c>
      <c r="P674" t="n">
        <v>0</v>
      </c>
      <c r="Q674" t="n">
        <v>0</v>
      </c>
      <c r="R674" s="2" t="inlineStr"/>
    </row>
    <row r="675" ht="15" customHeight="1">
      <c r="A675" t="inlineStr">
        <is>
          <t>A 29841-2024</t>
        </is>
      </c>
      <c r="B675" s="1" t="n">
        <v>45485.60261574074</v>
      </c>
      <c r="C675" s="1" t="n">
        <v>45992</v>
      </c>
      <c r="D675" t="inlineStr">
        <is>
          <t>STOCKHOLMS LÄN</t>
        </is>
      </c>
      <c r="E675" t="inlineStr">
        <is>
          <t>NORRTÄLJE</t>
        </is>
      </c>
      <c r="G675" t="n">
        <v>15.9</v>
      </c>
      <c r="H675" t="n">
        <v>0</v>
      </c>
      <c r="I675" t="n">
        <v>0</v>
      </c>
      <c r="J675" t="n">
        <v>0</v>
      </c>
      <c r="K675" t="n">
        <v>0</v>
      </c>
      <c r="L675" t="n">
        <v>0</v>
      </c>
      <c r="M675" t="n">
        <v>0</v>
      </c>
      <c r="N675" t="n">
        <v>0</v>
      </c>
      <c r="O675" t="n">
        <v>0</v>
      </c>
      <c r="P675" t="n">
        <v>0</v>
      </c>
      <c r="Q675" t="n">
        <v>0</v>
      </c>
      <c r="R675" s="2" t="inlineStr"/>
    </row>
    <row r="676" ht="15" customHeight="1">
      <c r="A676" t="inlineStr">
        <is>
          <t>A 50136-2023</t>
        </is>
      </c>
      <c r="B676" s="1" t="n">
        <v>45215</v>
      </c>
      <c r="C676" s="1" t="n">
        <v>45992</v>
      </c>
      <c r="D676" t="inlineStr">
        <is>
          <t>STOCKHOLMS LÄN</t>
        </is>
      </c>
      <c r="E676" t="inlineStr">
        <is>
          <t>NORRTÄLJE</t>
        </is>
      </c>
      <c r="G676" t="n">
        <v>5.2</v>
      </c>
      <c r="H676" t="n">
        <v>0</v>
      </c>
      <c r="I676" t="n">
        <v>0</v>
      </c>
      <c r="J676" t="n">
        <v>0</v>
      </c>
      <c r="K676" t="n">
        <v>0</v>
      </c>
      <c r="L676" t="n">
        <v>0</v>
      </c>
      <c r="M676" t="n">
        <v>0</v>
      </c>
      <c r="N676" t="n">
        <v>0</v>
      </c>
      <c r="O676" t="n">
        <v>0</v>
      </c>
      <c r="P676" t="n">
        <v>0</v>
      </c>
      <c r="Q676" t="n">
        <v>0</v>
      </c>
      <c r="R676" s="2" t="inlineStr"/>
    </row>
    <row r="677" ht="15" customHeight="1">
      <c r="A677" t="inlineStr">
        <is>
          <t>A 25656-2023</t>
        </is>
      </c>
      <c r="B677" s="1" t="n">
        <v>45089</v>
      </c>
      <c r="C677" s="1" t="n">
        <v>45992</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20692-2025</t>
        </is>
      </c>
      <c r="B678" s="1" t="n">
        <v>45776.46369212963</v>
      </c>
      <c r="C678" s="1" t="n">
        <v>45992</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6003-2025</t>
        </is>
      </c>
      <c r="B679" s="1" t="n">
        <v>45695.57881944445</v>
      </c>
      <c r="C679" s="1" t="n">
        <v>45992</v>
      </c>
      <c r="D679" t="inlineStr">
        <is>
          <t>STOCKHOLMS LÄN</t>
        </is>
      </c>
      <c r="E679" t="inlineStr">
        <is>
          <t>NORRTÄLJE</t>
        </is>
      </c>
      <c r="F679" t="inlineStr">
        <is>
          <t>Holmen skog AB</t>
        </is>
      </c>
      <c r="G679" t="n">
        <v>2.3</v>
      </c>
      <c r="H679" t="n">
        <v>0</v>
      </c>
      <c r="I679" t="n">
        <v>0</v>
      </c>
      <c r="J679" t="n">
        <v>0</v>
      </c>
      <c r="K679" t="n">
        <v>0</v>
      </c>
      <c r="L679" t="n">
        <v>0</v>
      </c>
      <c r="M679" t="n">
        <v>0</v>
      </c>
      <c r="N679" t="n">
        <v>0</v>
      </c>
      <c r="O679" t="n">
        <v>0</v>
      </c>
      <c r="P679" t="n">
        <v>0</v>
      </c>
      <c r="Q679" t="n">
        <v>0</v>
      </c>
      <c r="R679" s="2" t="inlineStr"/>
    </row>
    <row r="680" ht="15" customHeight="1">
      <c r="A680" t="inlineStr">
        <is>
          <t>A 37630-2025</t>
        </is>
      </c>
      <c r="B680" s="1" t="n">
        <v>45880.46372685185</v>
      </c>
      <c r="C680" s="1" t="n">
        <v>45992</v>
      </c>
      <c r="D680" t="inlineStr">
        <is>
          <t>STOCKHOLMS LÄN</t>
        </is>
      </c>
      <c r="E680" t="inlineStr">
        <is>
          <t>NORRTÄLJE</t>
        </is>
      </c>
      <c r="F680" t="inlineStr">
        <is>
          <t>Sveaskog</t>
        </is>
      </c>
      <c r="G680" t="n">
        <v>12.9</v>
      </c>
      <c r="H680" t="n">
        <v>0</v>
      </c>
      <c r="I680" t="n">
        <v>0</v>
      </c>
      <c r="J680" t="n">
        <v>0</v>
      </c>
      <c r="K680" t="n">
        <v>0</v>
      </c>
      <c r="L680" t="n">
        <v>0</v>
      </c>
      <c r="M680" t="n">
        <v>0</v>
      </c>
      <c r="N680" t="n">
        <v>0</v>
      </c>
      <c r="O680" t="n">
        <v>0</v>
      </c>
      <c r="P680" t="n">
        <v>0</v>
      </c>
      <c r="Q680" t="n">
        <v>0</v>
      </c>
      <c r="R680" s="2" t="inlineStr"/>
    </row>
    <row r="681" ht="15" customHeight="1">
      <c r="A681" t="inlineStr">
        <is>
          <t>A 11902-2024</t>
        </is>
      </c>
      <c r="B681" s="1" t="n">
        <v>45376.55704861111</v>
      </c>
      <c r="C681" s="1" t="n">
        <v>45992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38049-2023</t>
        </is>
      </c>
      <c r="B682" s="1" t="n">
        <v>45159</v>
      </c>
      <c r="C682" s="1" t="n">
        <v>45992</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59535-2024</t>
        </is>
      </c>
      <c r="B683" s="1" t="n">
        <v>45638.59979166667</v>
      </c>
      <c r="C683" s="1" t="n">
        <v>45992</v>
      </c>
      <c r="D683" t="inlineStr">
        <is>
          <t>STOCKHOLMS LÄN</t>
        </is>
      </c>
      <c r="E683" t="inlineStr">
        <is>
          <t>NORRTÄLJE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46071-2024</t>
        </is>
      </c>
      <c r="B684" s="1" t="n">
        <v>45581</v>
      </c>
      <c r="C684" s="1" t="n">
        <v>45992</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13137-2024</t>
        </is>
      </c>
      <c r="B685" s="1" t="n">
        <v>45386.34175925926</v>
      </c>
      <c r="C685" s="1" t="n">
        <v>45992</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4183-2025</t>
        </is>
      </c>
      <c r="B686" s="1" t="n">
        <v>45685.44592592592</v>
      </c>
      <c r="C686" s="1" t="n">
        <v>45992</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24350-2025</t>
        </is>
      </c>
      <c r="B687" s="1" t="n">
        <v>45797.58350694444</v>
      </c>
      <c r="C687" s="1" t="n">
        <v>45992</v>
      </c>
      <c r="D687" t="inlineStr">
        <is>
          <t>STOCKHOLMS LÄN</t>
        </is>
      </c>
      <c r="E687" t="inlineStr">
        <is>
          <t>NORRTÄLJE</t>
        </is>
      </c>
      <c r="G687" t="n">
        <v>4.5</v>
      </c>
      <c r="H687" t="n">
        <v>0</v>
      </c>
      <c r="I687" t="n">
        <v>0</v>
      </c>
      <c r="J687" t="n">
        <v>0</v>
      </c>
      <c r="K687" t="n">
        <v>0</v>
      </c>
      <c r="L687" t="n">
        <v>0</v>
      </c>
      <c r="M687" t="n">
        <v>0</v>
      </c>
      <c r="N687" t="n">
        <v>0</v>
      </c>
      <c r="O687" t="n">
        <v>0</v>
      </c>
      <c r="P687" t="n">
        <v>0</v>
      </c>
      <c r="Q687" t="n">
        <v>0</v>
      </c>
      <c r="R687" s="2" t="inlineStr"/>
    </row>
    <row r="688" ht="15" customHeight="1">
      <c r="A688" t="inlineStr">
        <is>
          <t>A 26703-2025</t>
        </is>
      </c>
      <c r="B688" s="1" t="n">
        <v>45810.45263888889</v>
      </c>
      <c r="C688" s="1" t="n">
        <v>45992</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9480-2025</t>
        </is>
      </c>
      <c r="B689" s="1" t="n">
        <v>45715</v>
      </c>
      <c r="C689" s="1" t="n">
        <v>45992</v>
      </c>
      <c r="D689" t="inlineStr">
        <is>
          <t>STOCKHOLMS LÄN</t>
        </is>
      </c>
      <c r="E689" t="inlineStr">
        <is>
          <t>NORRTÄLJE</t>
        </is>
      </c>
      <c r="F689" t="inlineStr">
        <is>
          <t>Övriga Aktiebolag</t>
        </is>
      </c>
      <c r="G689" t="n">
        <v>3.9</v>
      </c>
      <c r="H689" t="n">
        <v>0</v>
      </c>
      <c r="I689" t="n">
        <v>0</v>
      </c>
      <c r="J689" t="n">
        <v>0</v>
      </c>
      <c r="K689" t="n">
        <v>0</v>
      </c>
      <c r="L689" t="n">
        <v>0</v>
      </c>
      <c r="M689" t="n">
        <v>0</v>
      </c>
      <c r="N689" t="n">
        <v>0</v>
      </c>
      <c r="O689" t="n">
        <v>0</v>
      </c>
      <c r="P689" t="n">
        <v>0</v>
      </c>
      <c r="Q689" t="n">
        <v>0</v>
      </c>
      <c r="R689" s="2" t="inlineStr"/>
    </row>
    <row r="690" ht="15" customHeight="1">
      <c r="A690" t="inlineStr">
        <is>
          <t>A 38153-2025</t>
        </is>
      </c>
      <c r="B690" s="1" t="n">
        <v>45882.59722222222</v>
      </c>
      <c r="C690" s="1" t="n">
        <v>45992</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35256-2025</t>
        </is>
      </c>
      <c r="B691" s="1" t="n">
        <v>45853</v>
      </c>
      <c r="C691" s="1" t="n">
        <v>45992</v>
      </c>
      <c r="D691" t="inlineStr">
        <is>
          <t>STOCKHOLMS LÄN</t>
        </is>
      </c>
      <c r="E691" t="inlineStr">
        <is>
          <t>NORRTÄLJE</t>
        </is>
      </c>
      <c r="G691" t="n">
        <v>6.4</v>
      </c>
      <c r="H691" t="n">
        <v>0</v>
      </c>
      <c r="I691" t="n">
        <v>0</v>
      </c>
      <c r="J691" t="n">
        <v>0</v>
      </c>
      <c r="K691" t="n">
        <v>0</v>
      </c>
      <c r="L691" t="n">
        <v>0</v>
      </c>
      <c r="M691" t="n">
        <v>0</v>
      </c>
      <c r="N691" t="n">
        <v>0</v>
      </c>
      <c r="O691" t="n">
        <v>0</v>
      </c>
      <c r="P691" t="n">
        <v>0</v>
      </c>
      <c r="Q691" t="n">
        <v>0</v>
      </c>
      <c r="R691" s="2" t="inlineStr"/>
    </row>
    <row r="692" ht="15" customHeight="1">
      <c r="A692" t="inlineStr">
        <is>
          <t>A 22816-2021</t>
        </is>
      </c>
      <c r="B692" s="1" t="n">
        <v>44325</v>
      </c>
      <c r="C692" s="1" t="n">
        <v>45992</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24522-2023</t>
        </is>
      </c>
      <c r="B693" s="1" t="n">
        <v>45082.69179398148</v>
      </c>
      <c r="C693" s="1" t="n">
        <v>45992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25625-2023</t>
        </is>
      </c>
      <c r="B694" s="1" t="n">
        <v>45089</v>
      </c>
      <c r="C694" s="1" t="n">
        <v>45992</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37147-2023</t>
        </is>
      </c>
      <c r="B695" s="1" t="n">
        <v>45155</v>
      </c>
      <c r="C695" s="1" t="n">
        <v>45992</v>
      </c>
      <c r="D695" t="inlineStr">
        <is>
          <t>STOCKHOLMS LÄN</t>
        </is>
      </c>
      <c r="E695" t="inlineStr">
        <is>
          <t>NORRTÄLJE</t>
        </is>
      </c>
      <c r="G695" t="n">
        <v>8</v>
      </c>
      <c r="H695" t="n">
        <v>0</v>
      </c>
      <c r="I695" t="n">
        <v>0</v>
      </c>
      <c r="J695" t="n">
        <v>0</v>
      </c>
      <c r="K695" t="n">
        <v>0</v>
      </c>
      <c r="L695" t="n">
        <v>0</v>
      </c>
      <c r="M695" t="n">
        <v>0</v>
      </c>
      <c r="N695" t="n">
        <v>0</v>
      </c>
      <c r="O695" t="n">
        <v>0</v>
      </c>
      <c r="P695" t="n">
        <v>0</v>
      </c>
      <c r="Q695" t="n">
        <v>0</v>
      </c>
      <c r="R695" s="2" t="inlineStr"/>
    </row>
    <row r="696" ht="15" customHeight="1">
      <c r="A696" t="inlineStr">
        <is>
          <t>A 7186-2024</t>
        </is>
      </c>
      <c r="B696" s="1" t="n">
        <v>45344</v>
      </c>
      <c r="C696" s="1" t="n">
        <v>45992</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57602-2024</t>
        </is>
      </c>
      <c r="B697" s="1" t="n">
        <v>45630.52866898148</v>
      </c>
      <c r="C697" s="1" t="n">
        <v>45992</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64600-2021</t>
        </is>
      </c>
      <c r="B698" s="1" t="n">
        <v>44511.70518518519</v>
      </c>
      <c r="C698" s="1" t="n">
        <v>45992</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50602-2021</t>
        </is>
      </c>
      <c r="B699" s="1" t="n">
        <v>44459</v>
      </c>
      <c r="C699" s="1" t="n">
        <v>45992</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26365-2024</t>
        </is>
      </c>
      <c r="B700" s="1" t="n">
        <v>45469</v>
      </c>
      <c r="C700" s="1" t="n">
        <v>45992</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26640-2023</t>
        </is>
      </c>
      <c r="B701" s="1" t="n">
        <v>45092</v>
      </c>
      <c r="C701" s="1" t="n">
        <v>45992</v>
      </c>
      <c r="D701" t="inlineStr">
        <is>
          <t>STOCKHOLMS LÄN</t>
        </is>
      </c>
      <c r="E701" t="inlineStr">
        <is>
          <t>NORRTÄLJE</t>
        </is>
      </c>
      <c r="G701" t="n">
        <v>5.7</v>
      </c>
      <c r="H701" t="n">
        <v>0</v>
      </c>
      <c r="I701" t="n">
        <v>0</v>
      </c>
      <c r="J701" t="n">
        <v>0</v>
      </c>
      <c r="K701" t="n">
        <v>0</v>
      </c>
      <c r="L701" t="n">
        <v>0</v>
      </c>
      <c r="M701" t="n">
        <v>0</v>
      </c>
      <c r="N701" t="n">
        <v>0</v>
      </c>
      <c r="O701" t="n">
        <v>0</v>
      </c>
      <c r="P701" t="n">
        <v>0</v>
      </c>
      <c r="Q701" t="n">
        <v>0</v>
      </c>
      <c r="R701" s="2" t="inlineStr"/>
    </row>
    <row r="702" ht="15" customHeight="1">
      <c r="A702" t="inlineStr">
        <is>
          <t>A 31827-2023</t>
        </is>
      </c>
      <c r="B702" s="1" t="n">
        <v>45118</v>
      </c>
      <c r="C702" s="1" t="n">
        <v>45992</v>
      </c>
      <c r="D702" t="inlineStr">
        <is>
          <t>STOCKHOLMS LÄN</t>
        </is>
      </c>
      <c r="E702" t="inlineStr">
        <is>
          <t>NORRTÄLJE</t>
        </is>
      </c>
      <c r="F702" t="inlineStr">
        <is>
          <t>Kyrkan</t>
        </is>
      </c>
      <c r="G702" t="n">
        <v>4.9</v>
      </c>
      <c r="H702" t="n">
        <v>0</v>
      </c>
      <c r="I702" t="n">
        <v>0</v>
      </c>
      <c r="J702" t="n">
        <v>0</v>
      </c>
      <c r="K702" t="n">
        <v>0</v>
      </c>
      <c r="L702" t="n">
        <v>0</v>
      </c>
      <c r="M702" t="n">
        <v>0</v>
      </c>
      <c r="N702" t="n">
        <v>0</v>
      </c>
      <c r="O702" t="n">
        <v>0</v>
      </c>
      <c r="P702" t="n">
        <v>0</v>
      </c>
      <c r="Q702" t="n">
        <v>0</v>
      </c>
      <c r="R702" s="2" t="inlineStr"/>
    </row>
    <row r="703" ht="15" customHeight="1">
      <c r="A703" t="inlineStr">
        <is>
          <t>A 58993-2022</t>
        </is>
      </c>
      <c r="B703" s="1" t="n">
        <v>44903</v>
      </c>
      <c r="C703" s="1" t="n">
        <v>45992</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28900-2022</t>
        </is>
      </c>
      <c r="B704" s="1" t="n">
        <v>44749.55258101852</v>
      </c>
      <c r="C704" s="1" t="n">
        <v>45992</v>
      </c>
      <c r="D704" t="inlineStr">
        <is>
          <t>STOCKHOLMS LÄN</t>
        </is>
      </c>
      <c r="E704" t="inlineStr">
        <is>
          <t>NORRTÄLJE</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17574-2025</t>
        </is>
      </c>
      <c r="B705" s="1" t="n">
        <v>45757.65178240741</v>
      </c>
      <c r="C705" s="1" t="n">
        <v>45992</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67921-2021</t>
        </is>
      </c>
      <c r="B706" s="1" t="n">
        <v>44525</v>
      </c>
      <c r="C706" s="1" t="n">
        <v>45992</v>
      </c>
      <c r="D706" t="inlineStr">
        <is>
          <t>STOCKHOLMS LÄN</t>
        </is>
      </c>
      <c r="E706" t="inlineStr">
        <is>
          <t>NORRTÄLJE</t>
        </is>
      </c>
      <c r="G706" t="n">
        <v>6.3</v>
      </c>
      <c r="H706" t="n">
        <v>0</v>
      </c>
      <c r="I706" t="n">
        <v>0</v>
      </c>
      <c r="J706" t="n">
        <v>0</v>
      </c>
      <c r="K706" t="n">
        <v>0</v>
      </c>
      <c r="L706" t="n">
        <v>0</v>
      </c>
      <c r="M706" t="n">
        <v>0</v>
      </c>
      <c r="N706" t="n">
        <v>0</v>
      </c>
      <c r="O706" t="n">
        <v>0</v>
      </c>
      <c r="P706" t="n">
        <v>0</v>
      </c>
      <c r="Q706" t="n">
        <v>0</v>
      </c>
      <c r="R706" s="2" t="inlineStr"/>
    </row>
    <row r="707" ht="15" customHeight="1">
      <c r="A707" t="inlineStr">
        <is>
          <t>A 47498-2025</t>
        </is>
      </c>
      <c r="B707" s="1" t="n">
        <v>45930.8134375</v>
      </c>
      <c r="C707" s="1" t="n">
        <v>45992</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58297-2023</t>
        </is>
      </c>
      <c r="B708" s="1" t="n">
        <v>45245</v>
      </c>
      <c r="C708" s="1" t="n">
        <v>45992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20304-2023</t>
        </is>
      </c>
      <c r="B709" s="1" t="n">
        <v>45056</v>
      </c>
      <c r="C709" s="1" t="n">
        <v>45992</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56114-2025</t>
        </is>
      </c>
      <c r="B710" s="1" t="n">
        <v>45973.74474537037</v>
      </c>
      <c r="C710" s="1" t="n">
        <v>45992</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47460-2025</t>
        </is>
      </c>
      <c r="B711" s="1" t="n">
        <v>45930.66012731481</v>
      </c>
      <c r="C711" s="1" t="n">
        <v>45992</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47496-2025</t>
        </is>
      </c>
      <c r="B712" s="1" t="n">
        <v>45930.79252314815</v>
      </c>
      <c r="C712" s="1" t="n">
        <v>45992</v>
      </c>
      <c r="D712" t="inlineStr">
        <is>
          <t>STOCKHOLMS LÄN</t>
        </is>
      </c>
      <c r="E712" t="inlineStr">
        <is>
          <t>NORRTÄLJE</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47497-2025</t>
        </is>
      </c>
      <c r="B713" s="1" t="n">
        <v>45930.80217592593</v>
      </c>
      <c r="C713" s="1" t="n">
        <v>45992</v>
      </c>
      <c r="D713" t="inlineStr">
        <is>
          <t>STOCKHOLMS LÄN</t>
        </is>
      </c>
      <c r="E713" t="inlineStr">
        <is>
          <t>NORRTÄLJE</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65499-2021</t>
        </is>
      </c>
      <c r="B714" s="1" t="n">
        <v>44516</v>
      </c>
      <c r="C714" s="1" t="n">
        <v>45992</v>
      </c>
      <c r="D714" t="inlineStr">
        <is>
          <t>STOCKHOLMS LÄN</t>
        </is>
      </c>
      <c r="E714" t="inlineStr">
        <is>
          <t>NORRTÄLJE</t>
        </is>
      </c>
      <c r="F714" t="inlineStr">
        <is>
          <t>Kommuner</t>
        </is>
      </c>
      <c r="G714" t="n">
        <v>5.2</v>
      </c>
      <c r="H714" t="n">
        <v>0</v>
      </c>
      <c r="I714" t="n">
        <v>0</v>
      </c>
      <c r="J714" t="n">
        <v>0</v>
      </c>
      <c r="K714" t="n">
        <v>0</v>
      </c>
      <c r="L714" t="n">
        <v>0</v>
      </c>
      <c r="M714" t="n">
        <v>0</v>
      </c>
      <c r="N714" t="n">
        <v>0</v>
      </c>
      <c r="O714" t="n">
        <v>0</v>
      </c>
      <c r="P714" t="n">
        <v>0</v>
      </c>
      <c r="Q714" t="n">
        <v>0</v>
      </c>
      <c r="R714" s="2" t="inlineStr"/>
    </row>
    <row r="715" ht="15" customHeight="1">
      <c r="A715" t="inlineStr">
        <is>
          <t>A 12299-2025</t>
        </is>
      </c>
      <c r="B715" s="1" t="n">
        <v>45729.71065972222</v>
      </c>
      <c r="C715" s="1" t="n">
        <v>45992</v>
      </c>
      <c r="D715" t="inlineStr">
        <is>
          <t>STOCKHOLMS LÄN</t>
        </is>
      </c>
      <c r="E715" t="inlineStr">
        <is>
          <t>NORRTÄLJE</t>
        </is>
      </c>
      <c r="F715" t="inlineStr">
        <is>
          <t>Holmen skog AB</t>
        </is>
      </c>
      <c r="G715" t="n">
        <v>6.9</v>
      </c>
      <c r="H715" t="n">
        <v>0</v>
      </c>
      <c r="I715" t="n">
        <v>0</v>
      </c>
      <c r="J715" t="n">
        <v>0</v>
      </c>
      <c r="K715" t="n">
        <v>0</v>
      </c>
      <c r="L715" t="n">
        <v>0</v>
      </c>
      <c r="M715" t="n">
        <v>0</v>
      </c>
      <c r="N715" t="n">
        <v>0</v>
      </c>
      <c r="O715" t="n">
        <v>0</v>
      </c>
      <c r="P715" t="n">
        <v>0</v>
      </c>
      <c r="Q715" t="n">
        <v>0</v>
      </c>
      <c r="R715" s="2" t="inlineStr"/>
    </row>
    <row r="716" ht="15" customHeight="1">
      <c r="A716" t="inlineStr">
        <is>
          <t>A 22157-2023</t>
        </is>
      </c>
      <c r="B716" s="1" t="n">
        <v>45069</v>
      </c>
      <c r="C716" s="1" t="n">
        <v>45992</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c r="U716">
        <f>HYPERLINK("https://klasma.github.io/Logging_0188/knärot/A 22157-2023 karta knärot.png", "A 22157-2023")</f>
        <v/>
      </c>
      <c r="V716">
        <f>HYPERLINK("https://klasma.github.io/Logging_0188/klagomål/A 22157-2023 FSC-klagomål.docx", "A 22157-2023")</f>
        <v/>
      </c>
      <c r="W716">
        <f>HYPERLINK("https://klasma.github.io/Logging_0188/klagomålsmail/A 22157-2023 FSC-klagomål mail.docx", "A 22157-2023")</f>
        <v/>
      </c>
      <c r="X716">
        <f>HYPERLINK("https://klasma.github.io/Logging_0188/tillsyn/A 22157-2023 tillsynsbegäran.docx", "A 22157-2023")</f>
        <v/>
      </c>
      <c r="Y716">
        <f>HYPERLINK("https://klasma.github.io/Logging_0188/tillsynsmail/A 22157-2023 tillsynsbegäran mail.docx", "A 22157-2023")</f>
        <v/>
      </c>
    </row>
    <row r="717" ht="15" customHeight="1">
      <c r="A717" t="inlineStr">
        <is>
          <t>A 11929-2024</t>
        </is>
      </c>
      <c r="B717" s="1" t="n">
        <v>45376.64532407407</v>
      </c>
      <c r="C717" s="1" t="n">
        <v>45992</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48360-2025</t>
        </is>
      </c>
      <c r="B718" s="1" t="n">
        <v>45933.66253472222</v>
      </c>
      <c r="C718" s="1" t="n">
        <v>45992</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48370-2025</t>
        </is>
      </c>
      <c r="B719" s="1" t="n">
        <v>45933.67854166667</v>
      </c>
      <c r="C719" s="1" t="n">
        <v>45992</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48364-2025</t>
        </is>
      </c>
      <c r="B720" s="1" t="n">
        <v>45933.66796296297</v>
      </c>
      <c r="C720" s="1" t="n">
        <v>45992</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8296-2023</t>
        </is>
      </c>
      <c r="B721" s="1" t="n">
        <v>44974</v>
      </c>
      <c r="C721" s="1" t="n">
        <v>45992</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24575-2024</t>
        </is>
      </c>
      <c r="B722" s="1" t="n">
        <v>45460.45523148148</v>
      </c>
      <c r="C722" s="1" t="n">
        <v>45992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64899-2023</t>
        </is>
      </c>
      <c r="B723" s="1" t="n">
        <v>45282</v>
      </c>
      <c r="C723" s="1" t="n">
        <v>45992</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45992</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45992</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56207-2025</t>
        </is>
      </c>
      <c r="B726" s="1" t="n">
        <v>45974.47329861111</v>
      </c>
      <c r="C726" s="1" t="n">
        <v>45992</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48174-2025</t>
        </is>
      </c>
      <c r="B727" s="1" t="n">
        <v>45933.44230324074</v>
      </c>
      <c r="C727" s="1" t="n">
        <v>45992</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45992</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45992</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45992</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48127-2025</t>
        </is>
      </c>
      <c r="B731" s="1" t="n">
        <v>45933.36621527778</v>
      </c>
      <c r="C731" s="1" t="n">
        <v>45992</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48179-2025</t>
        </is>
      </c>
      <c r="B732" s="1" t="n">
        <v>45933.44907407407</v>
      </c>
      <c r="C732" s="1" t="n">
        <v>45992</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11062-2024</t>
        </is>
      </c>
      <c r="B733" s="1" t="n">
        <v>45370</v>
      </c>
      <c r="C733" s="1" t="n">
        <v>45992</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33569-2023</t>
        </is>
      </c>
      <c r="B734" s="1" t="n">
        <v>45131.666875</v>
      </c>
      <c r="C734" s="1" t="n">
        <v>45992</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15905-2023</t>
        </is>
      </c>
      <c r="B735" s="1" t="n">
        <v>45022</v>
      </c>
      <c r="C735" s="1" t="n">
        <v>45992</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48718-2025</t>
        </is>
      </c>
      <c r="B736" s="1" t="n">
        <v>45936</v>
      </c>
      <c r="C736" s="1" t="n">
        <v>45992</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15956-2023</t>
        </is>
      </c>
      <c r="B737" s="1" t="n">
        <v>45022.61003472222</v>
      </c>
      <c r="C737" s="1" t="n">
        <v>45992</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47626-2022</t>
        </is>
      </c>
      <c r="B738" s="1" t="n">
        <v>44854</v>
      </c>
      <c r="C738" s="1" t="n">
        <v>45992</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62206-2022</t>
        </is>
      </c>
      <c r="B739" s="1" t="n">
        <v>44922</v>
      </c>
      <c r="C739" s="1" t="n">
        <v>45992</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48593-2025</t>
        </is>
      </c>
      <c r="B740" s="1" t="n">
        <v>45936.4627662037</v>
      </c>
      <c r="C740" s="1" t="n">
        <v>45992</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45992</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45992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40192-2023</t>
        </is>
      </c>
      <c r="B743" s="1" t="n">
        <v>45169</v>
      </c>
      <c r="C743" s="1" t="n">
        <v>45992</v>
      </c>
      <c r="D743" t="inlineStr">
        <is>
          <t>STOCKHOLMS LÄN</t>
        </is>
      </c>
      <c r="E743" t="inlineStr">
        <is>
          <t>NORRTÄLJE</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45992</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10973-2025</t>
        </is>
      </c>
      <c r="B745" s="1" t="n">
        <v>45723</v>
      </c>
      <c r="C745" s="1" t="n">
        <v>45992</v>
      </c>
      <c r="D745" t="inlineStr">
        <is>
          <t>STOCKHOLMS LÄN</t>
        </is>
      </c>
      <c r="E745" t="inlineStr">
        <is>
          <t>NORRTÄLJE</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27885-2022</t>
        </is>
      </c>
      <c r="B746" s="1" t="n">
        <v>44743.67418981482</v>
      </c>
      <c r="C746" s="1" t="n">
        <v>45992</v>
      </c>
      <c r="D746" t="inlineStr">
        <is>
          <t>STOCKHOLMS LÄN</t>
        </is>
      </c>
      <c r="E746" t="inlineStr">
        <is>
          <t>NORRTÄLJE</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48443-2025</t>
        </is>
      </c>
      <c r="B747" s="1" t="n">
        <v>45935.55326388889</v>
      </c>
      <c r="C747" s="1" t="n">
        <v>45992</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48780-2025</t>
        </is>
      </c>
      <c r="B748" s="1" t="n">
        <v>45937.30377314815</v>
      </c>
      <c r="C748" s="1" t="n">
        <v>45992</v>
      </c>
      <c r="D748" t="inlineStr">
        <is>
          <t>STOCKHOLMS LÄN</t>
        </is>
      </c>
      <c r="E748" t="inlineStr">
        <is>
          <t>NORRTÄLJE</t>
        </is>
      </c>
      <c r="G748" t="n">
        <v>7.7</v>
      </c>
      <c r="H748" t="n">
        <v>0</v>
      </c>
      <c r="I748" t="n">
        <v>0</v>
      </c>
      <c r="J748" t="n">
        <v>0</v>
      </c>
      <c r="K748" t="n">
        <v>0</v>
      </c>
      <c r="L748" t="n">
        <v>0</v>
      </c>
      <c r="M748" t="n">
        <v>0</v>
      </c>
      <c r="N748" t="n">
        <v>0</v>
      </c>
      <c r="O748" t="n">
        <v>0</v>
      </c>
      <c r="P748" t="n">
        <v>0</v>
      </c>
      <c r="Q748" t="n">
        <v>0</v>
      </c>
      <c r="R748" s="2" t="inlineStr"/>
    </row>
    <row r="749" ht="15" customHeight="1">
      <c r="A749" t="inlineStr">
        <is>
          <t>A 60224-2023</t>
        </is>
      </c>
      <c r="B749" s="1" t="n">
        <v>45257</v>
      </c>
      <c r="C749" s="1" t="n">
        <v>45992</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5158-2024</t>
        </is>
      </c>
      <c r="B750" s="1" t="n">
        <v>45330.50098379629</v>
      </c>
      <c r="C750" s="1" t="n">
        <v>45992</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9130-2025</t>
        </is>
      </c>
      <c r="B751" s="1" t="n">
        <v>45713.92623842593</v>
      </c>
      <c r="C751" s="1" t="n">
        <v>45992</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49129-2025</t>
        </is>
      </c>
      <c r="B752" s="1" t="n">
        <v>45937.89517361111</v>
      </c>
      <c r="C752" s="1" t="n">
        <v>45992</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17551-2025</t>
        </is>
      </c>
      <c r="B753" s="1" t="n">
        <v>45757.61421296297</v>
      </c>
      <c r="C753" s="1" t="n">
        <v>45992</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55010-2024</t>
        </is>
      </c>
      <c r="B754" s="1" t="n">
        <v>45621.34425925926</v>
      </c>
      <c r="C754" s="1" t="n">
        <v>45992</v>
      </c>
      <c r="D754" t="inlineStr">
        <is>
          <t>STOCKHOLMS LÄN</t>
        </is>
      </c>
      <c r="E754" t="inlineStr">
        <is>
          <t>NORRTÄLJE</t>
        </is>
      </c>
      <c r="F754" t="inlineStr">
        <is>
          <t>Sveaskog</t>
        </is>
      </c>
      <c r="G754" t="n">
        <v>5.7</v>
      </c>
      <c r="H754" t="n">
        <v>0</v>
      </c>
      <c r="I754" t="n">
        <v>0</v>
      </c>
      <c r="J754" t="n">
        <v>0</v>
      </c>
      <c r="K754" t="n">
        <v>0</v>
      </c>
      <c r="L754" t="n">
        <v>0</v>
      </c>
      <c r="M754" t="n">
        <v>0</v>
      </c>
      <c r="N754" t="n">
        <v>0</v>
      </c>
      <c r="O754" t="n">
        <v>0</v>
      </c>
      <c r="P754" t="n">
        <v>0</v>
      </c>
      <c r="Q754" t="n">
        <v>0</v>
      </c>
      <c r="R754" s="2" t="inlineStr"/>
    </row>
    <row r="755" ht="15" customHeight="1">
      <c r="A755" t="inlineStr">
        <is>
          <t>A 31105-2022</t>
        </is>
      </c>
      <c r="B755" s="1" t="n">
        <v>44769.66039351852</v>
      </c>
      <c r="C755" s="1" t="n">
        <v>45992</v>
      </c>
      <c r="D755" t="inlineStr">
        <is>
          <t>STOCKHOLMS LÄN</t>
        </is>
      </c>
      <c r="E755" t="inlineStr">
        <is>
          <t>NORRTÄLJE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57788-2025</t>
        </is>
      </c>
      <c r="B756" s="1" t="n">
        <v>45981.5778125</v>
      </c>
      <c r="C756" s="1" t="n">
        <v>45992</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45992</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45992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45992</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45992</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45992</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45992</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1283-2025</t>
        </is>
      </c>
      <c r="B763" s="1" t="n">
        <v>45667.49878472222</v>
      </c>
      <c r="C763" s="1" t="n">
        <v>45992</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9703-2021</t>
        </is>
      </c>
      <c r="B764" s="1" t="n">
        <v>44252</v>
      </c>
      <c r="C764" s="1" t="n">
        <v>45992</v>
      </c>
      <c r="D764" t="inlineStr">
        <is>
          <t>STOCKHOLMS LÄN</t>
        </is>
      </c>
      <c r="E764" t="inlineStr">
        <is>
          <t>NORRTÄLJE</t>
        </is>
      </c>
      <c r="G764" t="n">
        <v>3.4</v>
      </c>
      <c r="H764" t="n">
        <v>0</v>
      </c>
      <c r="I764" t="n">
        <v>0</v>
      </c>
      <c r="J764" t="n">
        <v>0</v>
      </c>
      <c r="K764" t="n">
        <v>0</v>
      </c>
      <c r="L764" t="n">
        <v>0</v>
      </c>
      <c r="M764" t="n">
        <v>0</v>
      </c>
      <c r="N764" t="n">
        <v>0</v>
      </c>
      <c r="O764" t="n">
        <v>0</v>
      </c>
      <c r="P764" t="n">
        <v>0</v>
      </c>
      <c r="Q764" t="n">
        <v>0</v>
      </c>
      <c r="R764" s="2" t="inlineStr"/>
    </row>
    <row r="765" ht="15" customHeight="1">
      <c r="A765" t="inlineStr">
        <is>
          <t>A 13767-2025</t>
        </is>
      </c>
      <c r="B765" s="1" t="n">
        <v>45737.43347222222</v>
      </c>
      <c r="C765" s="1" t="n">
        <v>45992</v>
      </c>
      <c r="D765" t="inlineStr">
        <is>
          <t>STOCKHOLMS LÄN</t>
        </is>
      </c>
      <c r="E765" t="inlineStr">
        <is>
          <t>NORRTÄLJE</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20013-2025</t>
        </is>
      </c>
      <c r="B766" s="1" t="n">
        <v>45772.30436342592</v>
      </c>
      <c r="C766" s="1" t="n">
        <v>45992</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53362-2023</t>
        </is>
      </c>
      <c r="B767" s="1" t="n">
        <v>45223</v>
      </c>
      <c r="C767" s="1" t="n">
        <v>45992</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15422-2024</t>
        </is>
      </c>
      <c r="B768" s="1" t="n">
        <v>45401.3653125</v>
      </c>
      <c r="C768" s="1" t="n">
        <v>45992</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30508-2023</t>
        </is>
      </c>
      <c r="B769" s="1" t="n">
        <v>45111</v>
      </c>
      <c r="C769" s="1" t="n">
        <v>45992</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16008-2025</t>
        </is>
      </c>
      <c r="B770" s="1" t="n">
        <v>45749</v>
      </c>
      <c r="C770" s="1" t="n">
        <v>45992</v>
      </c>
      <c r="D770" t="inlineStr">
        <is>
          <t>STOCKHOLMS LÄN</t>
        </is>
      </c>
      <c r="E770" t="inlineStr">
        <is>
          <t>NORRTÄLJE</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58142-2025</t>
        </is>
      </c>
      <c r="B771" s="1" t="n">
        <v>45982.63791666667</v>
      </c>
      <c r="C771" s="1" t="n">
        <v>45992</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21158-2022</t>
        </is>
      </c>
      <c r="B772" s="1" t="n">
        <v>44704</v>
      </c>
      <c r="C772" s="1" t="n">
        <v>45992</v>
      </c>
      <c r="D772" t="inlineStr">
        <is>
          <t>STOCKHOLMS LÄN</t>
        </is>
      </c>
      <c r="E772" t="inlineStr">
        <is>
          <t>NORRTÄLJE</t>
        </is>
      </c>
      <c r="G772" t="n">
        <v>17.8</v>
      </c>
      <c r="H772" t="n">
        <v>0</v>
      </c>
      <c r="I772" t="n">
        <v>0</v>
      </c>
      <c r="J772" t="n">
        <v>0</v>
      </c>
      <c r="K772" t="n">
        <v>0</v>
      </c>
      <c r="L772" t="n">
        <v>0</v>
      </c>
      <c r="M772" t="n">
        <v>0</v>
      </c>
      <c r="N772" t="n">
        <v>0</v>
      </c>
      <c r="O772" t="n">
        <v>0</v>
      </c>
      <c r="P772" t="n">
        <v>0</v>
      </c>
      <c r="Q772" t="n">
        <v>0</v>
      </c>
      <c r="R772" s="2" t="inlineStr"/>
    </row>
    <row r="773" ht="15" customHeight="1">
      <c r="A773" t="inlineStr">
        <is>
          <t>A 50097-2025</t>
        </is>
      </c>
      <c r="B773" s="1" t="n">
        <v>45943.50207175926</v>
      </c>
      <c r="C773" s="1" t="n">
        <v>45992</v>
      </c>
      <c r="D773" t="inlineStr">
        <is>
          <t>STOCKHOLMS LÄN</t>
        </is>
      </c>
      <c r="E773" t="inlineStr">
        <is>
          <t>NORRTÄLJE</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49836-2025</t>
        </is>
      </c>
      <c r="B774" s="1" t="n">
        <v>45940.46862268518</v>
      </c>
      <c r="C774" s="1" t="n">
        <v>45992</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32101-2022</t>
        </is>
      </c>
      <c r="B775" s="1" t="n">
        <v>44778.69210648148</v>
      </c>
      <c r="C775" s="1" t="n">
        <v>45992</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23150-2024</t>
        </is>
      </c>
      <c r="B776" s="1" t="n">
        <v>45450.64643518518</v>
      </c>
      <c r="C776" s="1" t="n">
        <v>45992</v>
      </c>
      <c r="D776" t="inlineStr">
        <is>
          <t>STOCKHOLMS LÄN</t>
        </is>
      </c>
      <c r="E776" t="inlineStr">
        <is>
          <t>NORRTÄLJE</t>
        </is>
      </c>
      <c r="F776" t="inlineStr">
        <is>
          <t>Kommuner</t>
        </is>
      </c>
      <c r="G776" t="n">
        <v>2.7</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45992</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24933-2023</t>
        </is>
      </c>
      <c r="B778" s="1" t="n">
        <v>45085.5309375</v>
      </c>
      <c r="C778" s="1" t="n">
        <v>45992</v>
      </c>
      <c r="D778" t="inlineStr">
        <is>
          <t>STOCKHOLMS LÄN</t>
        </is>
      </c>
      <c r="E778" t="inlineStr">
        <is>
          <t>NORRTÄLJE</t>
        </is>
      </c>
      <c r="F778" t="inlineStr">
        <is>
          <t>Holmen skog AB</t>
        </is>
      </c>
      <c r="G778" t="n">
        <v>1.8</v>
      </c>
      <c r="H778" t="n">
        <v>0</v>
      </c>
      <c r="I778" t="n">
        <v>0</v>
      </c>
      <c r="J778" t="n">
        <v>0</v>
      </c>
      <c r="K778" t="n">
        <v>0</v>
      </c>
      <c r="L778" t="n">
        <v>0</v>
      </c>
      <c r="M778" t="n">
        <v>0</v>
      </c>
      <c r="N778" t="n">
        <v>0</v>
      </c>
      <c r="O778" t="n">
        <v>0</v>
      </c>
      <c r="P778" t="n">
        <v>0</v>
      </c>
      <c r="Q778" t="n">
        <v>0</v>
      </c>
      <c r="R778" s="2" t="inlineStr"/>
    </row>
    <row r="779" ht="15" customHeight="1">
      <c r="A779" t="inlineStr">
        <is>
          <t>A 56631-2024</t>
        </is>
      </c>
      <c r="B779" s="1" t="n">
        <v>45625</v>
      </c>
      <c r="C779" s="1" t="n">
        <v>45992</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652-2025</t>
        </is>
      </c>
      <c r="B780" s="1" t="n">
        <v>45664</v>
      </c>
      <c r="C780" s="1" t="n">
        <v>45992</v>
      </c>
      <c r="D780" t="inlineStr">
        <is>
          <t>STOCKHOLMS LÄN</t>
        </is>
      </c>
      <c r="E780" t="inlineStr">
        <is>
          <t>NORRTÄLJE</t>
        </is>
      </c>
      <c r="G780" t="n">
        <v>2.5</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45992</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50327-2025</t>
        </is>
      </c>
      <c r="B782" s="1" t="n">
        <v>45944.46387731482</v>
      </c>
      <c r="C782" s="1" t="n">
        <v>45992</v>
      </c>
      <c r="D782" t="inlineStr">
        <is>
          <t>STOCKHOLMS LÄN</t>
        </is>
      </c>
      <c r="E782" t="inlineStr">
        <is>
          <t>NORRTÄLJE</t>
        </is>
      </c>
      <c r="G782" t="n">
        <v>0.3</v>
      </c>
      <c r="H782" t="n">
        <v>0</v>
      </c>
      <c r="I782" t="n">
        <v>0</v>
      </c>
      <c r="J782" t="n">
        <v>0</v>
      </c>
      <c r="K782" t="n">
        <v>0</v>
      </c>
      <c r="L782" t="n">
        <v>0</v>
      </c>
      <c r="M782" t="n">
        <v>0</v>
      </c>
      <c r="N782" t="n">
        <v>0</v>
      </c>
      <c r="O782" t="n">
        <v>0</v>
      </c>
      <c r="P782" t="n">
        <v>0</v>
      </c>
      <c r="Q782" t="n">
        <v>0</v>
      </c>
      <c r="R782" s="2" t="inlineStr"/>
    </row>
    <row r="783" ht="15" customHeight="1">
      <c r="A783" t="inlineStr">
        <is>
          <t>A 5389-2025</t>
        </is>
      </c>
      <c r="B783" s="1" t="n">
        <v>45692</v>
      </c>
      <c r="C783" s="1" t="n">
        <v>45992</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13051-2021</t>
        </is>
      </c>
      <c r="B784" s="1" t="n">
        <v>44272</v>
      </c>
      <c r="C784" s="1" t="n">
        <v>45992</v>
      </c>
      <c r="D784" t="inlineStr">
        <is>
          <t>STOCKHOLMS LÄN</t>
        </is>
      </c>
      <c r="E784" t="inlineStr">
        <is>
          <t>NORRTÄLJE</t>
        </is>
      </c>
      <c r="G784" t="n">
        <v>9.1</v>
      </c>
      <c r="H784" t="n">
        <v>0</v>
      </c>
      <c r="I784" t="n">
        <v>0</v>
      </c>
      <c r="J784" t="n">
        <v>0</v>
      </c>
      <c r="K784" t="n">
        <v>0</v>
      </c>
      <c r="L784" t="n">
        <v>0</v>
      </c>
      <c r="M784" t="n">
        <v>0</v>
      </c>
      <c r="N784" t="n">
        <v>0</v>
      </c>
      <c r="O784" t="n">
        <v>0</v>
      </c>
      <c r="P784" t="n">
        <v>0</v>
      </c>
      <c r="Q784" t="n">
        <v>0</v>
      </c>
      <c r="R784" s="2" t="inlineStr"/>
    </row>
    <row r="785" ht="15" customHeight="1">
      <c r="A785" t="inlineStr">
        <is>
          <t>A 50563-2025</t>
        </is>
      </c>
      <c r="B785" s="1" t="n">
        <v>45944</v>
      </c>
      <c r="C785" s="1" t="n">
        <v>45992</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50333-2025</t>
        </is>
      </c>
      <c r="B786" s="1" t="n">
        <v>45944.47178240741</v>
      </c>
      <c r="C786" s="1" t="n">
        <v>45992</v>
      </c>
      <c r="D786" t="inlineStr">
        <is>
          <t>STOCKHOLMS LÄN</t>
        </is>
      </c>
      <c r="E786" t="inlineStr">
        <is>
          <t>NORRTÄLJE</t>
        </is>
      </c>
      <c r="G786" t="n">
        <v>4.2</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45992</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576-2023</t>
        </is>
      </c>
      <c r="B788" s="1" t="n">
        <v>44925</v>
      </c>
      <c r="C788" s="1" t="n">
        <v>45992</v>
      </c>
      <c r="D788" t="inlineStr">
        <is>
          <t>STOCKHOLMS LÄN</t>
        </is>
      </c>
      <c r="E788" t="inlineStr">
        <is>
          <t>NORRTÄLJE</t>
        </is>
      </c>
      <c r="G788" t="n">
        <v>7.2</v>
      </c>
      <c r="H788" t="n">
        <v>0</v>
      </c>
      <c r="I788" t="n">
        <v>0</v>
      </c>
      <c r="J788" t="n">
        <v>0</v>
      </c>
      <c r="K788" t="n">
        <v>0</v>
      </c>
      <c r="L788" t="n">
        <v>0</v>
      </c>
      <c r="M788" t="n">
        <v>0</v>
      </c>
      <c r="N788" t="n">
        <v>0</v>
      </c>
      <c r="O788" t="n">
        <v>0</v>
      </c>
      <c r="P788" t="n">
        <v>0</v>
      </c>
      <c r="Q788" t="n">
        <v>0</v>
      </c>
      <c r="R788" s="2" t="inlineStr"/>
    </row>
    <row r="789" ht="15" customHeight="1">
      <c r="A789" t="inlineStr">
        <is>
          <t>A 51122-2025</t>
        </is>
      </c>
      <c r="B789" s="1" t="n">
        <v>45947.53693287037</v>
      </c>
      <c r="C789" s="1" t="n">
        <v>45992</v>
      </c>
      <c r="D789" t="inlineStr">
        <is>
          <t>STOCKHOLMS LÄN</t>
        </is>
      </c>
      <c r="E789" t="inlineStr">
        <is>
          <t>NORRTÄLJE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10678-2025</t>
        </is>
      </c>
      <c r="B790" s="1" t="n">
        <v>45721.89123842592</v>
      </c>
      <c r="C790" s="1" t="n">
        <v>45992</v>
      </c>
      <c r="D790" t="inlineStr">
        <is>
          <t>STOCKHOLMS LÄN</t>
        </is>
      </c>
      <c r="E790" t="inlineStr">
        <is>
          <t>NORRTÄLJE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31936-2022</t>
        </is>
      </c>
      <c r="B791" s="1" t="n">
        <v>44777</v>
      </c>
      <c r="C791" s="1" t="n">
        <v>45992</v>
      </c>
      <c r="D791" t="inlineStr">
        <is>
          <t>STOCKHOLMS LÄN</t>
        </is>
      </c>
      <c r="E791" t="inlineStr">
        <is>
          <t>NORRTÄLJE</t>
        </is>
      </c>
      <c r="G791" t="n">
        <v>5.2</v>
      </c>
      <c r="H791" t="n">
        <v>0</v>
      </c>
      <c r="I791" t="n">
        <v>0</v>
      </c>
      <c r="J791" t="n">
        <v>0</v>
      </c>
      <c r="K791" t="n">
        <v>0</v>
      </c>
      <c r="L791" t="n">
        <v>0</v>
      </c>
      <c r="M791" t="n">
        <v>0</v>
      </c>
      <c r="N791" t="n">
        <v>0</v>
      </c>
      <c r="O791" t="n">
        <v>0</v>
      </c>
      <c r="P791" t="n">
        <v>0</v>
      </c>
      <c r="Q791" t="n">
        <v>0</v>
      </c>
      <c r="R791" s="2" t="inlineStr"/>
    </row>
    <row r="792" ht="15" customHeight="1">
      <c r="A792" t="inlineStr">
        <is>
          <t>A 51233-2025</t>
        </is>
      </c>
      <c r="B792" s="1" t="n">
        <v>45947.68232638889</v>
      </c>
      <c r="C792" s="1" t="n">
        <v>45992</v>
      </c>
      <c r="D792" t="inlineStr">
        <is>
          <t>STOCKHOLMS LÄN</t>
        </is>
      </c>
      <c r="E792" t="inlineStr">
        <is>
          <t>NORRTÄLJE</t>
        </is>
      </c>
      <c r="F792" t="inlineStr">
        <is>
          <t>Naturvårdsverket</t>
        </is>
      </c>
      <c r="G792" t="n">
        <v>8.1</v>
      </c>
      <c r="H792" t="n">
        <v>0</v>
      </c>
      <c r="I792" t="n">
        <v>0</v>
      </c>
      <c r="J792" t="n">
        <v>0</v>
      </c>
      <c r="K792" t="n">
        <v>0</v>
      </c>
      <c r="L792" t="n">
        <v>0</v>
      </c>
      <c r="M792" t="n">
        <v>0</v>
      </c>
      <c r="N792" t="n">
        <v>0</v>
      </c>
      <c r="O792" t="n">
        <v>0</v>
      </c>
      <c r="P792" t="n">
        <v>0</v>
      </c>
      <c r="Q792" t="n">
        <v>0</v>
      </c>
      <c r="R792" s="2" t="inlineStr"/>
    </row>
    <row r="793" ht="15" customHeight="1">
      <c r="A793" t="inlineStr">
        <is>
          <t>A 51236-2025</t>
        </is>
      </c>
      <c r="B793" s="1" t="n">
        <v>45947.69078703703</v>
      </c>
      <c r="C793" s="1" t="n">
        <v>45992</v>
      </c>
      <c r="D793" t="inlineStr">
        <is>
          <t>STOCKHOLMS LÄN</t>
        </is>
      </c>
      <c r="E793" t="inlineStr">
        <is>
          <t>NORRTÄLJE</t>
        </is>
      </c>
      <c r="F793" t="inlineStr">
        <is>
          <t>Naturvårdsverket</t>
        </is>
      </c>
      <c r="G793" t="n">
        <v>6.3</v>
      </c>
      <c r="H793" t="n">
        <v>0</v>
      </c>
      <c r="I793" t="n">
        <v>0</v>
      </c>
      <c r="J793" t="n">
        <v>0</v>
      </c>
      <c r="K793" t="n">
        <v>0</v>
      </c>
      <c r="L793" t="n">
        <v>0</v>
      </c>
      <c r="M793" t="n">
        <v>0</v>
      </c>
      <c r="N793" t="n">
        <v>0</v>
      </c>
      <c r="O793" t="n">
        <v>0</v>
      </c>
      <c r="P793" t="n">
        <v>0</v>
      </c>
      <c r="Q793" t="n">
        <v>0</v>
      </c>
      <c r="R793" s="2" t="inlineStr"/>
    </row>
    <row r="794" ht="15" customHeight="1">
      <c r="A794" t="inlineStr">
        <is>
          <t>A 51241-2025</t>
        </is>
      </c>
      <c r="B794" s="1" t="n">
        <v>45947.71726851852</v>
      </c>
      <c r="C794" s="1" t="n">
        <v>45992</v>
      </c>
      <c r="D794" t="inlineStr">
        <is>
          <t>STOCKHOLMS LÄN</t>
        </is>
      </c>
      <c r="E794" t="inlineStr">
        <is>
          <t>NORRTÄLJE</t>
        </is>
      </c>
      <c r="F794" t="inlineStr">
        <is>
          <t>Naturvårdsverket</t>
        </is>
      </c>
      <c r="G794" t="n">
        <v>6.4</v>
      </c>
      <c r="H794" t="n">
        <v>0</v>
      </c>
      <c r="I794" t="n">
        <v>0</v>
      </c>
      <c r="J794" t="n">
        <v>0</v>
      </c>
      <c r="K794" t="n">
        <v>0</v>
      </c>
      <c r="L794" t="n">
        <v>0</v>
      </c>
      <c r="M794" t="n">
        <v>0</v>
      </c>
      <c r="N794" t="n">
        <v>0</v>
      </c>
      <c r="O794" t="n">
        <v>0</v>
      </c>
      <c r="P794" t="n">
        <v>0</v>
      </c>
      <c r="Q794" t="n">
        <v>0</v>
      </c>
      <c r="R794" s="2" t="inlineStr"/>
    </row>
    <row r="795" ht="15" customHeight="1">
      <c r="A795" t="inlineStr">
        <is>
          <t>A 51240-2025</t>
        </is>
      </c>
      <c r="B795" s="1" t="n">
        <v>45947.70420138889</v>
      </c>
      <c r="C795" s="1" t="n">
        <v>45992</v>
      </c>
      <c r="D795" t="inlineStr">
        <is>
          <t>STOCKHOLMS LÄN</t>
        </is>
      </c>
      <c r="E795" t="inlineStr">
        <is>
          <t>NORRTÄLJE</t>
        </is>
      </c>
      <c r="F795" t="inlineStr">
        <is>
          <t>Naturvårdsverket</t>
        </is>
      </c>
      <c r="G795" t="n">
        <v>3</v>
      </c>
      <c r="H795" t="n">
        <v>0</v>
      </c>
      <c r="I795" t="n">
        <v>0</v>
      </c>
      <c r="J795" t="n">
        <v>0</v>
      </c>
      <c r="K795" t="n">
        <v>0</v>
      </c>
      <c r="L795" t="n">
        <v>0</v>
      </c>
      <c r="M795" t="n">
        <v>0</v>
      </c>
      <c r="N795" t="n">
        <v>0</v>
      </c>
      <c r="O795" t="n">
        <v>0</v>
      </c>
      <c r="P795" t="n">
        <v>0</v>
      </c>
      <c r="Q795" t="n">
        <v>0</v>
      </c>
      <c r="R795" s="2" t="inlineStr"/>
    </row>
    <row r="796" ht="15" customHeight="1">
      <c r="A796" t="inlineStr">
        <is>
          <t>A 59873-2024</t>
        </is>
      </c>
      <c r="B796" s="1" t="n">
        <v>45640.57305555556</v>
      </c>
      <c r="C796" s="1" t="n">
        <v>45992</v>
      </c>
      <c r="D796" t="inlineStr">
        <is>
          <t>STOCKHOLMS LÄN</t>
        </is>
      </c>
      <c r="E796" t="inlineStr">
        <is>
          <t>NORRTÄLJE</t>
        </is>
      </c>
      <c r="G796" t="n">
        <v>3.3</v>
      </c>
      <c r="H796" t="n">
        <v>0</v>
      </c>
      <c r="I796" t="n">
        <v>0</v>
      </c>
      <c r="J796" t="n">
        <v>0</v>
      </c>
      <c r="K796" t="n">
        <v>0</v>
      </c>
      <c r="L796" t="n">
        <v>0</v>
      </c>
      <c r="M796" t="n">
        <v>0</v>
      </c>
      <c r="N796" t="n">
        <v>0</v>
      </c>
      <c r="O796" t="n">
        <v>0</v>
      </c>
      <c r="P796" t="n">
        <v>0</v>
      </c>
      <c r="Q796" t="n">
        <v>0</v>
      </c>
      <c r="R796" s="2" t="inlineStr"/>
    </row>
    <row r="797" ht="15" customHeight="1">
      <c r="A797" t="inlineStr">
        <is>
          <t>A 35916-2024</t>
        </is>
      </c>
      <c r="B797" s="1" t="n">
        <v>45533</v>
      </c>
      <c r="C797" s="1" t="n">
        <v>45992</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10098-2022</t>
        </is>
      </c>
      <c r="B798" s="1" t="n">
        <v>44621</v>
      </c>
      <c r="C798" s="1" t="n">
        <v>45992</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45992</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51121-2025</t>
        </is>
      </c>
      <c r="B800" s="1" t="n">
        <v>45947.53293981482</v>
      </c>
      <c r="C800" s="1" t="n">
        <v>45992</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7796-2025</t>
        </is>
      </c>
      <c r="B801" s="1" t="n">
        <v>45706.60130787037</v>
      </c>
      <c r="C801" s="1" t="n">
        <v>45992</v>
      </c>
      <c r="D801" t="inlineStr">
        <is>
          <t>STOCKHOLMS LÄN</t>
        </is>
      </c>
      <c r="E801" t="inlineStr">
        <is>
          <t>NORRTÄLJE</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15552-2021</t>
        </is>
      </c>
      <c r="B802" s="1" t="n">
        <v>44285</v>
      </c>
      <c r="C802" s="1" t="n">
        <v>45992</v>
      </c>
      <c r="D802" t="inlineStr">
        <is>
          <t>STOCKHOLMS LÄN</t>
        </is>
      </c>
      <c r="E802" t="inlineStr">
        <is>
          <t>NORRTÄLJE</t>
        </is>
      </c>
      <c r="G802" t="n">
        <v>10</v>
      </c>
      <c r="H802" t="n">
        <v>0</v>
      </c>
      <c r="I802" t="n">
        <v>0</v>
      </c>
      <c r="J802" t="n">
        <v>0</v>
      </c>
      <c r="K802" t="n">
        <v>0</v>
      </c>
      <c r="L802" t="n">
        <v>0</v>
      </c>
      <c r="M802" t="n">
        <v>0</v>
      </c>
      <c r="N802" t="n">
        <v>0</v>
      </c>
      <c r="O802" t="n">
        <v>0</v>
      </c>
      <c r="P802" t="n">
        <v>0</v>
      </c>
      <c r="Q802" t="n">
        <v>0</v>
      </c>
      <c r="R802" s="2" t="inlineStr"/>
    </row>
    <row r="803" ht="15" customHeight="1">
      <c r="A803" t="inlineStr">
        <is>
          <t>A 59041-2025</t>
        </is>
      </c>
      <c r="B803" s="1" t="n">
        <v>45988</v>
      </c>
      <c r="C803" s="1" t="n">
        <v>45992</v>
      </c>
      <c r="D803" t="inlineStr">
        <is>
          <t>STOCKHOLMS LÄN</t>
        </is>
      </c>
      <c r="E803" t="inlineStr">
        <is>
          <t>NORRTÄLJE</t>
        </is>
      </c>
      <c r="G803" t="n">
        <v>6.6</v>
      </c>
      <c r="H803" t="n">
        <v>0</v>
      </c>
      <c r="I803" t="n">
        <v>0</v>
      </c>
      <c r="J803" t="n">
        <v>0</v>
      </c>
      <c r="K803" t="n">
        <v>0</v>
      </c>
      <c r="L803" t="n">
        <v>0</v>
      </c>
      <c r="M803" t="n">
        <v>0</v>
      </c>
      <c r="N803" t="n">
        <v>0</v>
      </c>
      <c r="O803" t="n">
        <v>0</v>
      </c>
      <c r="P803" t="n">
        <v>0</v>
      </c>
      <c r="Q803" t="n">
        <v>0</v>
      </c>
      <c r="R803" s="2" t="inlineStr"/>
    </row>
    <row r="804" ht="15" customHeight="1">
      <c r="A804" t="inlineStr">
        <is>
          <t>A 58040-2024</t>
        </is>
      </c>
      <c r="B804" s="1" t="n">
        <v>45631.73952546297</v>
      </c>
      <c r="C804" s="1" t="n">
        <v>45992</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58041-2024</t>
        </is>
      </c>
      <c r="B805" s="1" t="n">
        <v>45631.74673611111</v>
      </c>
      <c r="C805" s="1" t="n">
        <v>45992</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30268-2024</t>
        </is>
      </c>
      <c r="B806" s="1" t="n">
        <v>45490.60572916667</v>
      </c>
      <c r="C806" s="1" t="n">
        <v>45992</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12407-2025</t>
        </is>
      </c>
      <c r="B807" s="1" t="n">
        <v>45730.42851851852</v>
      </c>
      <c r="C807" s="1" t="n">
        <v>45992</v>
      </c>
      <c r="D807" t="inlineStr">
        <is>
          <t>STOCKHOLMS LÄN</t>
        </is>
      </c>
      <c r="E807" t="inlineStr">
        <is>
          <t>NORRTÄLJE</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59477-2025</t>
        </is>
      </c>
      <c r="B808" s="1" t="n">
        <v>45989.58679398148</v>
      </c>
      <c r="C808" s="1" t="n">
        <v>45992</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45992</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54276-2021</t>
        </is>
      </c>
      <c r="B810" s="1" t="n">
        <v>44470</v>
      </c>
      <c r="C810" s="1" t="n">
        <v>45992</v>
      </c>
      <c r="D810" t="inlineStr">
        <is>
          <t>STOCKHOLMS LÄN</t>
        </is>
      </c>
      <c r="E810" t="inlineStr">
        <is>
          <t>NORRTÄLJE</t>
        </is>
      </c>
      <c r="G810" t="n">
        <v>7.3</v>
      </c>
      <c r="H810" t="n">
        <v>0</v>
      </c>
      <c r="I810" t="n">
        <v>0</v>
      </c>
      <c r="J810" t="n">
        <v>0</v>
      </c>
      <c r="K810" t="n">
        <v>0</v>
      </c>
      <c r="L810" t="n">
        <v>0</v>
      </c>
      <c r="M810" t="n">
        <v>0</v>
      </c>
      <c r="N810" t="n">
        <v>0</v>
      </c>
      <c r="O810" t="n">
        <v>0</v>
      </c>
      <c r="P810" t="n">
        <v>0</v>
      </c>
      <c r="Q810" t="n">
        <v>0</v>
      </c>
      <c r="R810" s="2" t="inlineStr"/>
    </row>
    <row r="811" ht="15" customHeight="1">
      <c r="A811" t="inlineStr">
        <is>
          <t>A 4316-2023</t>
        </is>
      </c>
      <c r="B811" s="1" t="n">
        <v>44953.67443287037</v>
      </c>
      <c r="C811" s="1" t="n">
        <v>45992</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41587-2023</t>
        </is>
      </c>
      <c r="B812" s="1" t="n">
        <v>45175</v>
      </c>
      <c r="C812" s="1" t="n">
        <v>45992</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17304-2024</t>
        </is>
      </c>
      <c r="B813" s="1" t="n">
        <v>45414</v>
      </c>
      <c r="C813" s="1" t="n">
        <v>45992</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53499-2025</t>
        </is>
      </c>
      <c r="B814" s="1" t="n">
        <v>45960</v>
      </c>
      <c r="C814" s="1" t="n">
        <v>45992</v>
      </c>
      <c r="D814" t="inlineStr">
        <is>
          <t>STOCKHOLMS LÄN</t>
        </is>
      </c>
      <c r="E814" t="inlineStr">
        <is>
          <t>NORRTÄLJE</t>
        </is>
      </c>
      <c r="G814" t="n">
        <v>23.8</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45992</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45992</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31926-2022</t>
        </is>
      </c>
      <c r="B817" s="1" t="n">
        <v>44777</v>
      </c>
      <c r="C817" s="1" t="n">
        <v>45992</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45992</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11041-2025</t>
        </is>
      </c>
      <c r="B819" s="1" t="n">
        <v>45723</v>
      </c>
      <c r="C819" s="1" t="n">
        <v>45992</v>
      </c>
      <c r="D819" t="inlineStr">
        <is>
          <t>STOCKHOLMS LÄN</t>
        </is>
      </c>
      <c r="E819" t="inlineStr">
        <is>
          <t>NORRTÄLJE</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9469-2021</t>
        </is>
      </c>
      <c r="B820" s="1" t="n">
        <v>44251</v>
      </c>
      <c r="C820" s="1" t="n">
        <v>45992</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24024-2024</t>
        </is>
      </c>
      <c r="B821" s="1" t="n">
        <v>45456</v>
      </c>
      <c r="C821" s="1" t="n">
        <v>45992</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28809-2023</t>
        </is>
      </c>
      <c r="B822" s="1" t="n">
        <v>45104</v>
      </c>
      <c r="C822" s="1" t="n">
        <v>45992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28813-2023</t>
        </is>
      </c>
      <c r="B823" s="1" t="n">
        <v>45104</v>
      </c>
      <c r="C823" s="1" t="n">
        <v>45992</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40656-2022</t>
        </is>
      </c>
      <c r="B824" s="1" t="n">
        <v>44824.36069444445</v>
      </c>
      <c r="C824" s="1" t="n">
        <v>45992</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60694-2024</t>
        </is>
      </c>
      <c r="B825" s="1" t="n">
        <v>45644.47878472223</v>
      </c>
      <c r="C825" s="1" t="n">
        <v>45992</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19450-2025</t>
        </is>
      </c>
      <c r="B826" s="1" t="n">
        <v>45770</v>
      </c>
      <c r="C826" s="1" t="n">
        <v>45992</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33353-2023</t>
        </is>
      </c>
      <c r="B827" s="1" t="n">
        <v>45128</v>
      </c>
      <c r="C827" s="1" t="n">
        <v>45992</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3966-2024</t>
        </is>
      </c>
      <c r="B828" s="1" t="n">
        <v>45322</v>
      </c>
      <c r="C828" s="1" t="n">
        <v>45992</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23262-2023</t>
        </is>
      </c>
      <c r="B829" s="1" t="n">
        <v>45075.90270833333</v>
      </c>
      <c r="C829" s="1" t="n">
        <v>45992</v>
      </c>
      <c r="D829" t="inlineStr">
        <is>
          <t>STOCKHOLMS LÄN</t>
        </is>
      </c>
      <c r="E829" t="inlineStr">
        <is>
          <t>NORRTÄLJE</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23268-2023</t>
        </is>
      </c>
      <c r="B830" s="1" t="n">
        <v>45075.91042824074</v>
      </c>
      <c r="C830" s="1" t="n">
        <v>45992</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23270-2023</t>
        </is>
      </c>
      <c r="B831" s="1" t="n">
        <v>45075.91265046296</v>
      </c>
      <c r="C831" s="1" t="n">
        <v>45992</v>
      </c>
      <c r="D831" t="inlineStr">
        <is>
          <t>STOCKHOLMS LÄN</t>
        </is>
      </c>
      <c r="E831" t="inlineStr">
        <is>
          <t>NORRTÄLJE</t>
        </is>
      </c>
      <c r="G831" t="n">
        <v>12.3</v>
      </c>
      <c r="H831" t="n">
        <v>0</v>
      </c>
      <c r="I831" t="n">
        <v>0</v>
      </c>
      <c r="J831" t="n">
        <v>0</v>
      </c>
      <c r="K831" t="n">
        <v>0</v>
      </c>
      <c r="L831" t="n">
        <v>0</v>
      </c>
      <c r="M831" t="n">
        <v>0</v>
      </c>
      <c r="N831" t="n">
        <v>0</v>
      </c>
      <c r="O831" t="n">
        <v>0</v>
      </c>
      <c r="P831" t="n">
        <v>0</v>
      </c>
      <c r="Q831" t="n">
        <v>0</v>
      </c>
      <c r="R831" s="2" t="inlineStr"/>
    </row>
    <row r="832" ht="15" customHeight="1">
      <c r="A832" t="inlineStr">
        <is>
          <t>A 23274-2023</t>
        </is>
      </c>
      <c r="B832" s="1" t="n">
        <v>45075.92153935185</v>
      </c>
      <c r="C832" s="1" t="n">
        <v>45992</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17843-2024</t>
        </is>
      </c>
      <c r="B833" s="1" t="n">
        <v>45418</v>
      </c>
      <c r="C833" s="1" t="n">
        <v>45992</v>
      </c>
      <c r="D833" t="inlineStr">
        <is>
          <t>STOCKHOLMS LÄN</t>
        </is>
      </c>
      <c r="E833" t="inlineStr">
        <is>
          <t>NORRTÄLJE</t>
        </is>
      </c>
      <c r="G833" t="n">
        <v>5.4</v>
      </c>
      <c r="H833" t="n">
        <v>0</v>
      </c>
      <c r="I833" t="n">
        <v>0</v>
      </c>
      <c r="J833" t="n">
        <v>0</v>
      </c>
      <c r="K833" t="n">
        <v>0</v>
      </c>
      <c r="L833" t="n">
        <v>0</v>
      </c>
      <c r="M833" t="n">
        <v>0</v>
      </c>
      <c r="N833" t="n">
        <v>0</v>
      </c>
      <c r="O833" t="n">
        <v>0</v>
      </c>
      <c r="P833" t="n">
        <v>0</v>
      </c>
      <c r="Q833" t="n">
        <v>0</v>
      </c>
      <c r="R833" s="2" t="inlineStr"/>
    </row>
    <row r="834" ht="15" customHeight="1">
      <c r="A834" t="inlineStr">
        <is>
          <t>A 26636-2023</t>
        </is>
      </c>
      <c r="B834" s="1" t="n">
        <v>45092</v>
      </c>
      <c r="C834" s="1" t="n">
        <v>45992</v>
      </c>
      <c r="D834" t="inlineStr">
        <is>
          <t>STOCKHOLMS LÄN</t>
        </is>
      </c>
      <c r="E834" t="inlineStr">
        <is>
          <t>NORRTÄLJE</t>
        </is>
      </c>
      <c r="G834" t="n">
        <v>1.7</v>
      </c>
      <c r="H834" t="n">
        <v>0</v>
      </c>
      <c r="I834" t="n">
        <v>0</v>
      </c>
      <c r="J834" t="n">
        <v>0</v>
      </c>
      <c r="K834" t="n">
        <v>0</v>
      </c>
      <c r="L834" t="n">
        <v>0</v>
      </c>
      <c r="M834" t="n">
        <v>0</v>
      </c>
      <c r="N834" t="n">
        <v>0</v>
      </c>
      <c r="O834" t="n">
        <v>0</v>
      </c>
      <c r="P834" t="n">
        <v>0</v>
      </c>
      <c r="Q834" t="n">
        <v>0</v>
      </c>
      <c r="R834" s="2" t="inlineStr"/>
    </row>
    <row r="835" ht="15" customHeight="1">
      <c r="A835" t="inlineStr">
        <is>
          <t>A 26637-2023</t>
        </is>
      </c>
      <c r="B835" s="1" t="n">
        <v>45092</v>
      </c>
      <c r="C835" s="1" t="n">
        <v>45992</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72704-2021</t>
        </is>
      </c>
      <c r="B836" s="1" t="n">
        <v>44546</v>
      </c>
      <c r="C836" s="1" t="n">
        <v>45992</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52743-2024</t>
        </is>
      </c>
      <c r="B837" s="1" t="n">
        <v>45610.47414351852</v>
      </c>
      <c r="C837" s="1" t="n">
        <v>45992</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16852-2024</t>
        </is>
      </c>
      <c r="B838" s="1" t="n">
        <v>45411.54768518519</v>
      </c>
      <c r="C838" s="1" t="n">
        <v>45992</v>
      </c>
      <c r="D838" t="inlineStr">
        <is>
          <t>STOCKHOLMS LÄN</t>
        </is>
      </c>
      <c r="E838" t="inlineStr">
        <is>
          <t>NORRTÄLJE</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45992</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17348-2024</t>
        </is>
      </c>
      <c r="B840" s="1" t="n">
        <v>45414.58650462963</v>
      </c>
      <c r="C840" s="1" t="n">
        <v>45992</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45992</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48145-2024</t>
        </is>
      </c>
      <c r="B842" s="1" t="n">
        <v>45589.6756712963</v>
      </c>
      <c r="C842" s="1" t="n">
        <v>45992</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23998-2024</t>
        </is>
      </c>
      <c r="B843" s="1" t="n">
        <v>45456</v>
      </c>
      <c r="C843" s="1" t="n">
        <v>45992</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15447-2023</t>
        </is>
      </c>
      <c r="B844" s="1" t="n">
        <v>45020</v>
      </c>
      <c r="C844" s="1" t="n">
        <v>45992</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54358-2022</t>
        </is>
      </c>
      <c r="B845" s="1" t="n">
        <v>44882</v>
      </c>
      <c r="C845" s="1" t="n">
        <v>45992</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45992</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45992</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45992</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23269-2023</t>
        </is>
      </c>
      <c r="B849" s="1" t="n">
        <v>45075.91148148148</v>
      </c>
      <c r="C849" s="1" t="n">
        <v>45992</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19911-2025</t>
        </is>
      </c>
      <c r="B850" s="1" t="n">
        <v>45771</v>
      </c>
      <c r="C850" s="1" t="n">
        <v>45992</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5831-2022</t>
        </is>
      </c>
      <c r="B851" s="1" t="n">
        <v>44596</v>
      </c>
      <c r="C851" s="1" t="n">
        <v>45992</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5867-2022</t>
        </is>
      </c>
      <c r="B852" s="1" t="n">
        <v>44596.66335648148</v>
      </c>
      <c r="C852" s="1" t="n">
        <v>45992</v>
      </c>
      <c r="D852" t="inlineStr">
        <is>
          <t>STOCKHOLMS LÄN</t>
        </is>
      </c>
      <c r="E852" t="inlineStr">
        <is>
          <t>NORRTÄLJE</t>
        </is>
      </c>
      <c r="F852" t="inlineStr">
        <is>
          <t>Naturvårdsverket</t>
        </is>
      </c>
      <c r="G852" t="n">
        <v>1.6</v>
      </c>
      <c r="H852" t="n">
        <v>0</v>
      </c>
      <c r="I852" t="n">
        <v>0</v>
      </c>
      <c r="J852" t="n">
        <v>0</v>
      </c>
      <c r="K852" t="n">
        <v>0</v>
      </c>
      <c r="L852" t="n">
        <v>0</v>
      </c>
      <c r="M852" t="n">
        <v>0</v>
      </c>
      <c r="N852" t="n">
        <v>0</v>
      </c>
      <c r="O852" t="n">
        <v>0</v>
      </c>
      <c r="P852" t="n">
        <v>0</v>
      </c>
      <c r="Q852" t="n">
        <v>0</v>
      </c>
      <c r="R852" s="2" t="inlineStr"/>
    </row>
    <row r="853" ht="15" customHeight="1">
      <c r="A853" t="inlineStr">
        <is>
          <t>A 20244-2025</t>
        </is>
      </c>
      <c r="B853" s="1" t="n">
        <v>45772.71221064815</v>
      </c>
      <c r="C853" s="1" t="n">
        <v>45992</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48633-2023</t>
        </is>
      </c>
      <c r="B854" s="1" t="n">
        <v>45208.58004629629</v>
      </c>
      <c r="C854" s="1" t="n">
        <v>45992</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39669-2024</t>
        </is>
      </c>
      <c r="B855" s="1" t="n">
        <v>45552.52827546297</v>
      </c>
      <c r="C855" s="1" t="n">
        <v>45992</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43170-2023</t>
        </is>
      </c>
      <c r="B856" s="1" t="n">
        <v>45183</v>
      </c>
      <c r="C856" s="1" t="n">
        <v>45992</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45992</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22832-2021</t>
        </is>
      </c>
      <c r="B858" s="1" t="n">
        <v>44325</v>
      </c>
      <c r="C858" s="1" t="n">
        <v>45992</v>
      </c>
      <c r="D858" t="inlineStr">
        <is>
          <t>STOCKHOLMS LÄN</t>
        </is>
      </c>
      <c r="E858" t="inlineStr">
        <is>
          <t>NORRTÄLJE</t>
        </is>
      </c>
      <c r="G858" t="n">
        <v>6.8</v>
      </c>
      <c r="H858" t="n">
        <v>0</v>
      </c>
      <c r="I858" t="n">
        <v>0</v>
      </c>
      <c r="J858" t="n">
        <v>0</v>
      </c>
      <c r="K858" t="n">
        <v>0</v>
      </c>
      <c r="L858" t="n">
        <v>0</v>
      </c>
      <c r="M858" t="n">
        <v>0</v>
      </c>
      <c r="N858" t="n">
        <v>0</v>
      </c>
      <c r="O858" t="n">
        <v>0</v>
      </c>
      <c r="P858" t="n">
        <v>0</v>
      </c>
      <c r="Q858" t="n">
        <v>0</v>
      </c>
      <c r="R858" s="2" t="inlineStr"/>
    </row>
    <row r="859" ht="15" customHeight="1">
      <c r="A859" t="inlineStr">
        <is>
          <t>A 16913-2025</t>
        </is>
      </c>
      <c r="B859" s="1" t="n">
        <v>45755.36583333334</v>
      </c>
      <c r="C859" s="1" t="n">
        <v>45992</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4035-2023</t>
        </is>
      </c>
      <c r="B860" s="1" t="n">
        <v>44952.57989583333</v>
      </c>
      <c r="C860" s="1" t="n">
        <v>45992</v>
      </c>
      <c r="D860" t="inlineStr">
        <is>
          <t>STOCKHOLMS LÄN</t>
        </is>
      </c>
      <c r="E860" t="inlineStr">
        <is>
          <t>NORRTÄLJE</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33793-2022</t>
        </is>
      </c>
      <c r="B861" s="1" t="n">
        <v>44790</v>
      </c>
      <c r="C861" s="1" t="n">
        <v>45992</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53600-2022</t>
        </is>
      </c>
      <c r="B862" s="1" t="n">
        <v>44879.70518518519</v>
      </c>
      <c r="C862" s="1" t="n">
        <v>45992</v>
      </c>
      <c r="D862" t="inlineStr">
        <is>
          <t>STOCKHOLMS LÄN</t>
        </is>
      </c>
      <c r="E862" t="inlineStr">
        <is>
          <t>NORRTÄLJE</t>
        </is>
      </c>
      <c r="G862" t="n">
        <v>4.3</v>
      </c>
      <c r="H862" t="n">
        <v>0</v>
      </c>
      <c r="I862" t="n">
        <v>0</v>
      </c>
      <c r="J862" t="n">
        <v>0</v>
      </c>
      <c r="K862" t="n">
        <v>0</v>
      </c>
      <c r="L862" t="n">
        <v>0</v>
      </c>
      <c r="M862" t="n">
        <v>0</v>
      </c>
      <c r="N862" t="n">
        <v>0</v>
      </c>
      <c r="O862" t="n">
        <v>0</v>
      </c>
      <c r="P862" t="n">
        <v>0</v>
      </c>
      <c r="Q862" t="n">
        <v>0</v>
      </c>
      <c r="R862" s="2" t="inlineStr"/>
    </row>
    <row r="863" ht="15" customHeight="1">
      <c r="A863" t="inlineStr">
        <is>
          <t>A 7697-2025</t>
        </is>
      </c>
      <c r="B863" s="1" t="n">
        <v>45706.40086805556</v>
      </c>
      <c r="C863" s="1" t="n">
        <v>45992</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45992</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13-2024</t>
        </is>
      </c>
      <c r="B865" s="1" t="n">
        <v>45293.37263888889</v>
      </c>
      <c r="C865" s="1" t="n">
        <v>45992</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19-2024</t>
        </is>
      </c>
      <c r="B866" s="1" t="n">
        <v>45293</v>
      </c>
      <c r="C866" s="1" t="n">
        <v>45992</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31559-2022</t>
        </is>
      </c>
      <c r="B867" s="1" t="n">
        <v>44775</v>
      </c>
      <c r="C867" s="1" t="n">
        <v>45992</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8419-2025</t>
        </is>
      </c>
      <c r="B868" s="1" t="n">
        <v>45709.40231481481</v>
      </c>
      <c r="C868" s="1" t="n">
        <v>45992</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66662-2020</t>
        </is>
      </c>
      <c r="B869" s="1" t="n">
        <v>44179</v>
      </c>
      <c r="C869" s="1" t="n">
        <v>45992</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35161-2022</t>
        </is>
      </c>
      <c r="B870" s="1" t="n">
        <v>44797</v>
      </c>
      <c r="C870" s="1" t="n">
        <v>45992</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58989-2021</t>
        </is>
      </c>
      <c r="B871" s="1" t="n">
        <v>44490.02482638889</v>
      </c>
      <c r="C871" s="1" t="n">
        <v>45992</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46988-2024</t>
        </is>
      </c>
      <c r="B872" s="1" t="n">
        <v>45586</v>
      </c>
      <c r="C872" s="1" t="n">
        <v>45992</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21529-2021</t>
        </is>
      </c>
      <c r="B873" s="1" t="n">
        <v>44321</v>
      </c>
      <c r="C873" s="1" t="n">
        <v>45992</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13701-2022</t>
        </is>
      </c>
      <c r="B874" s="1" t="n">
        <v>44648</v>
      </c>
      <c r="C874" s="1" t="n">
        <v>45992</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14132-2025</t>
        </is>
      </c>
      <c r="B875" s="1" t="n">
        <v>45740.47550925926</v>
      </c>
      <c r="C875" s="1" t="n">
        <v>45992</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14133-2025</t>
        </is>
      </c>
      <c r="B876" s="1" t="n">
        <v>45740.47724537037</v>
      </c>
      <c r="C876" s="1" t="n">
        <v>45992</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8792-2025</t>
        </is>
      </c>
      <c r="B877" s="1" t="n">
        <v>45712</v>
      </c>
      <c r="C877" s="1" t="n">
        <v>45992</v>
      </c>
      <c r="D877" t="inlineStr">
        <is>
          <t>STOCKHOLMS LÄN</t>
        </is>
      </c>
      <c r="E877" t="inlineStr">
        <is>
          <t>NORRTÄLJE</t>
        </is>
      </c>
      <c r="F877" t="inlineStr">
        <is>
          <t>Övriga Aktiebolag</t>
        </is>
      </c>
      <c r="G877" t="n">
        <v>6.6</v>
      </c>
      <c r="H877" t="n">
        <v>0</v>
      </c>
      <c r="I877" t="n">
        <v>0</v>
      </c>
      <c r="J877" t="n">
        <v>0</v>
      </c>
      <c r="K877" t="n">
        <v>0</v>
      </c>
      <c r="L877" t="n">
        <v>0</v>
      </c>
      <c r="M877" t="n">
        <v>0</v>
      </c>
      <c r="N877" t="n">
        <v>0</v>
      </c>
      <c r="O877" t="n">
        <v>0</v>
      </c>
      <c r="P877" t="n">
        <v>0</v>
      </c>
      <c r="Q877" t="n">
        <v>0</v>
      </c>
      <c r="R877" s="2" t="inlineStr"/>
    </row>
    <row r="878" ht="15" customHeight="1">
      <c r="A878" t="inlineStr">
        <is>
          <t>A 24887-2023</t>
        </is>
      </c>
      <c r="B878" s="1" t="n">
        <v>45085</v>
      </c>
      <c r="C878" s="1" t="n">
        <v>45992</v>
      </c>
      <c r="D878" t="inlineStr">
        <is>
          <t>STOCKHOLMS LÄN</t>
        </is>
      </c>
      <c r="E878" t="inlineStr">
        <is>
          <t>NORRTÄLJE</t>
        </is>
      </c>
      <c r="G878" t="n">
        <v>13.9</v>
      </c>
      <c r="H878" t="n">
        <v>0</v>
      </c>
      <c r="I878" t="n">
        <v>0</v>
      </c>
      <c r="J878" t="n">
        <v>0</v>
      </c>
      <c r="K878" t="n">
        <v>0</v>
      </c>
      <c r="L878" t="n">
        <v>0</v>
      </c>
      <c r="M878" t="n">
        <v>0</v>
      </c>
      <c r="N878" t="n">
        <v>0</v>
      </c>
      <c r="O878" t="n">
        <v>0</v>
      </c>
      <c r="P878" t="n">
        <v>0</v>
      </c>
      <c r="Q878" t="n">
        <v>0</v>
      </c>
      <c r="R878" s="2" t="inlineStr"/>
    </row>
    <row r="879" ht="15" customHeight="1">
      <c r="A879" t="inlineStr">
        <is>
          <t>A 38612-2022</t>
        </is>
      </c>
      <c r="B879" s="1" t="n">
        <v>44813</v>
      </c>
      <c r="C879" s="1" t="n">
        <v>45992</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4326-2023</t>
        </is>
      </c>
      <c r="B880" s="1" t="n">
        <v>44953.70481481482</v>
      </c>
      <c r="C880" s="1" t="n">
        <v>45992</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54504-2024</t>
        </is>
      </c>
      <c r="B881" s="1" t="n">
        <v>45617.58453703704</v>
      </c>
      <c r="C881" s="1" t="n">
        <v>45992</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21745-2023</t>
        </is>
      </c>
      <c r="B882" s="1" t="n">
        <v>45065.55917824074</v>
      </c>
      <c r="C882" s="1" t="n">
        <v>45992</v>
      </c>
      <c r="D882" t="inlineStr">
        <is>
          <t>STOCKHOLMS LÄN</t>
        </is>
      </c>
      <c r="E882" t="inlineStr">
        <is>
          <t>NORRTÄLJE</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21894-2023</t>
        </is>
      </c>
      <c r="B883" s="1" t="n">
        <v>45068.51783564815</v>
      </c>
      <c r="C883" s="1" t="n">
        <v>45992</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13276-2022</t>
        </is>
      </c>
      <c r="B884" s="1" t="n">
        <v>44644</v>
      </c>
      <c r="C884" s="1" t="n">
        <v>45992</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45992</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34461-2023</t>
        </is>
      </c>
      <c r="B886" s="1" t="n">
        <v>45139</v>
      </c>
      <c r="C886" s="1" t="n">
        <v>45992</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51046-2023</t>
        </is>
      </c>
      <c r="B887" s="1" t="n">
        <v>45218</v>
      </c>
      <c r="C887" s="1" t="n">
        <v>45992</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17382-2024</t>
        </is>
      </c>
      <c r="B888" s="1" t="n">
        <v>45414.65855324074</v>
      </c>
      <c r="C888" s="1" t="n">
        <v>45992</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6070-2022</t>
        </is>
      </c>
      <c r="B889" s="1" t="n">
        <v>44599.58428240741</v>
      </c>
      <c r="C889" s="1" t="n">
        <v>45992</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17039-2024</t>
        </is>
      </c>
      <c r="B890" s="1" t="n">
        <v>45412.4104050926</v>
      </c>
      <c r="C890" s="1" t="n">
        <v>45992</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48180-2023</t>
        </is>
      </c>
      <c r="B891" s="1" t="n">
        <v>45205</v>
      </c>
      <c r="C891" s="1" t="n">
        <v>45992</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35695-2023</t>
        </is>
      </c>
      <c r="B892" s="1" t="n">
        <v>45147.65407407407</v>
      </c>
      <c r="C892" s="1" t="n">
        <v>45992</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45173-2023</t>
        </is>
      </c>
      <c r="B893" s="1" t="n">
        <v>45191</v>
      </c>
      <c r="C893" s="1" t="n">
        <v>45992</v>
      </c>
      <c r="D893" t="inlineStr">
        <is>
          <t>STOCKHOLMS LÄN</t>
        </is>
      </c>
      <c r="E893" t="inlineStr">
        <is>
          <t>NORRTÄLJE</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24705-2023</t>
        </is>
      </c>
      <c r="B894" s="1" t="n">
        <v>45084.54459490741</v>
      </c>
      <c r="C894" s="1" t="n">
        <v>45992</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21696-2024</t>
        </is>
      </c>
      <c r="B895" s="1" t="n">
        <v>45442.45686342593</v>
      </c>
      <c r="C895" s="1" t="n">
        <v>45992</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67990-2021</t>
        </is>
      </c>
      <c r="B896" s="1" t="n">
        <v>44525</v>
      </c>
      <c r="C896" s="1" t="n">
        <v>45992</v>
      </c>
      <c r="D896" t="inlineStr">
        <is>
          <t>STOCKHOLMS LÄN</t>
        </is>
      </c>
      <c r="E896" t="inlineStr">
        <is>
          <t>NORRTÄLJE</t>
        </is>
      </c>
      <c r="F896" t="inlineStr">
        <is>
          <t>Sveaskog</t>
        </is>
      </c>
      <c r="G896" t="n">
        <v>7.8</v>
      </c>
      <c r="H896" t="n">
        <v>0</v>
      </c>
      <c r="I896" t="n">
        <v>0</v>
      </c>
      <c r="J896" t="n">
        <v>0</v>
      </c>
      <c r="K896" t="n">
        <v>0</v>
      </c>
      <c r="L896" t="n">
        <v>0</v>
      </c>
      <c r="M896" t="n">
        <v>0</v>
      </c>
      <c r="N896" t="n">
        <v>0</v>
      </c>
      <c r="O896" t="n">
        <v>0</v>
      </c>
      <c r="P896" t="n">
        <v>0</v>
      </c>
      <c r="Q896" t="n">
        <v>0</v>
      </c>
      <c r="R896" s="2" t="inlineStr"/>
    </row>
    <row r="897" ht="15" customHeight="1">
      <c r="A897" t="inlineStr">
        <is>
          <t>A 71552-2021</t>
        </is>
      </c>
      <c r="B897" s="1" t="n">
        <v>44540</v>
      </c>
      <c r="C897" s="1" t="n">
        <v>45992</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73992-2021</t>
        </is>
      </c>
      <c r="B898" s="1" t="n">
        <v>44556</v>
      </c>
      <c r="C898" s="1" t="n">
        <v>45992</v>
      </c>
      <c r="D898" t="inlineStr">
        <is>
          <t>STOCKHOLMS LÄN</t>
        </is>
      </c>
      <c r="E898" t="inlineStr">
        <is>
          <t>NORRTÄLJE</t>
        </is>
      </c>
      <c r="G898" t="n">
        <v>12.5</v>
      </c>
      <c r="H898" t="n">
        <v>0</v>
      </c>
      <c r="I898" t="n">
        <v>0</v>
      </c>
      <c r="J898" t="n">
        <v>0</v>
      </c>
      <c r="K898" t="n">
        <v>0</v>
      </c>
      <c r="L898" t="n">
        <v>0</v>
      </c>
      <c r="M898" t="n">
        <v>0</v>
      </c>
      <c r="N898" t="n">
        <v>0</v>
      </c>
      <c r="O898" t="n">
        <v>0</v>
      </c>
      <c r="P898" t="n">
        <v>0</v>
      </c>
      <c r="Q898" t="n">
        <v>0</v>
      </c>
      <c r="R898" s="2" t="inlineStr"/>
    </row>
    <row r="899" ht="15" customHeight="1">
      <c r="A899" t="inlineStr">
        <is>
          <t>A 26113-2024</t>
        </is>
      </c>
      <c r="B899" s="1" t="n">
        <v>45468.45541666666</v>
      </c>
      <c r="C899" s="1" t="n">
        <v>45992</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26116-2024</t>
        </is>
      </c>
      <c r="B900" s="1" t="n">
        <v>45468.45747685185</v>
      </c>
      <c r="C900" s="1" t="n">
        <v>45992</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15978-2024</t>
        </is>
      </c>
      <c r="B901" s="1" t="n">
        <v>45405.57927083333</v>
      </c>
      <c r="C901" s="1" t="n">
        <v>45992</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11333-2025</t>
        </is>
      </c>
      <c r="B902" s="1" t="n">
        <v>45726.48377314815</v>
      </c>
      <c r="C902" s="1" t="n">
        <v>45992</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34391-2023</t>
        </is>
      </c>
      <c r="B903" s="1" t="n">
        <v>45139.51457175926</v>
      </c>
      <c r="C903" s="1" t="n">
        <v>45992</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67921-2021</t>
        </is>
      </c>
      <c r="B904" s="1" t="n">
        <v>44525</v>
      </c>
      <c r="C904" s="1" t="n">
        <v>45992</v>
      </c>
      <c r="D904" t="inlineStr">
        <is>
          <t>STOCKHOLMS LÄN</t>
        </is>
      </c>
      <c r="E904" t="inlineStr">
        <is>
          <t>NORRTÄLJE</t>
        </is>
      </c>
      <c r="G904" t="n">
        <v>6.3</v>
      </c>
      <c r="H904" t="n">
        <v>0</v>
      </c>
      <c r="I904" t="n">
        <v>0</v>
      </c>
      <c r="J904" t="n">
        <v>0</v>
      </c>
      <c r="K904" t="n">
        <v>0</v>
      </c>
      <c r="L904" t="n">
        <v>0</v>
      </c>
      <c r="M904" t="n">
        <v>0</v>
      </c>
      <c r="N904" t="n">
        <v>0</v>
      </c>
      <c r="O904" t="n">
        <v>0</v>
      </c>
      <c r="P904" t="n">
        <v>0</v>
      </c>
      <c r="Q904" t="n">
        <v>0</v>
      </c>
      <c r="R904" s="2" t="inlineStr"/>
    </row>
    <row r="905" ht="15" customHeight="1">
      <c r="A905" t="inlineStr">
        <is>
          <t>A 25681-2024</t>
        </is>
      </c>
      <c r="B905" s="1" t="n">
        <v>45463.80486111111</v>
      </c>
      <c r="C905" s="1" t="n">
        <v>45992</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58853-2024</t>
        </is>
      </c>
      <c r="B906" s="1" t="n">
        <v>45636.38974537037</v>
      </c>
      <c r="C906" s="1" t="n">
        <v>45992</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35438-2023</t>
        </is>
      </c>
      <c r="B907" s="1" t="n">
        <v>45146</v>
      </c>
      <c r="C907" s="1" t="n">
        <v>45992</v>
      </c>
      <c r="D907" t="inlineStr">
        <is>
          <t>STOCKHOLMS LÄN</t>
        </is>
      </c>
      <c r="E907" t="inlineStr">
        <is>
          <t>NORRTÄLJE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20291-2022</t>
        </is>
      </c>
      <c r="B908" s="1" t="n">
        <v>44698</v>
      </c>
      <c r="C908" s="1" t="n">
        <v>45992</v>
      </c>
      <c r="D908" t="inlineStr">
        <is>
          <t>STOCKHOLMS LÄN</t>
        </is>
      </c>
      <c r="E908" t="inlineStr">
        <is>
          <t>NORRTÄLJE</t>
        </is>
      </c>
      <c r="F908" t="inlineStr">
        <is>
          <t>Naturvårdsverket</t>
        </is>
      </c>
      <c r="G908" t="n">
        <v>2</v>
      </c>
      <c r="H908" t="n">
        <v>0</v>
      </c>
      <c r="I908" t="n">
        <v>0</v>
      </c>
      <c r="J908" t="n">
        <v>0</v>
      </c>
      <c r="K908" t="n">
        <v>0</v>
      </c>
      <c r="L908" t="n">
        <v>0</v>
      </c>
      <c r="M908" t="n">
        <v>0</v>
      </c>
      <c r="N908" t="n">
        <v>0</v>
      </c>
      <c r="O908" t="n">
        <v>0</v>
      </c>
      <c r="P908" t="n">
        <v>0</v>
      </c>
      <c r="Q908" t="n">
        <v>0</v>
      </c>
      <c r="R908" s="2" t="inlineStr"/>
    </row>
    <row r="909" ht="15" customHeight="1">
      <c r="A909" t="inlineStr">
        <is>
          <t>A 26115-2024</t>
        </is>
      </c>
      <c r="B909" s="1" t="n">
        <v>45468.45628472222</v>
      </c>
      <c r="C909" s="1" t="n">
        <v>45992</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28816-2023</t>
        </is>
      </c>
      <c r="B910" s="1" t="n">
        <v>45104</v>
      </c>
      <c r="C910" s="1" t="n">
        <v>45992</v>
      </c>
      <c r="D910" t="inlineStr">
        <is>
          <t>STOCKHOLMS LÄN</t>
        </is>
      </c>
      <c r="E910" t="inlineStr">
        <is>
          <t>NORRTÄLJE</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19118-2022</t>
        </is>
      </c>
      <c r="B911" s="1" t="n">
        <v>44691.5652662037</v>
      </c>
      <c r="C911" s="1" t="n">
        <v>45992</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8739-2024</t>
        </is>
      </c>
      <c r="B912" s="1" t="n">
        <v>45356.47784722222</v>
      </c>
      <c r="C912" s="1" t="n">
        <v>45992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45992</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45992</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29714-2023</t>
        </is>
      </c>
      <c r="B915" s="1" t="n">
        <v>45107.42538194444</v>
      </c>
      <c r="C915" s="1" t="n">
        <v>45992</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23271-2023</t>
        </is>
      </c>
      <c r="B916" s="1" t="n">
        <v>45075.91362268518</v>
      </c>
      <c r="C916" s="1" t="n">
        <v>45992</v>
      </c>
      <c r="D916" t="inlineStr">
        <is>
          <t>STOCKHOLMS LÄN</t>
        </is>
      </c>
      <c r="E916" t="inlineStr">
        <is>
          <t>NORRTÄLJE</t>
        </is>
      </c>
      <c r="G916" t="n">
        <v>5.1</v>
      </c>
      <c r="H916" t="n">
        <v>0</v>
      </c>
      <c r="I916" t="n">
        <v>0</v>
      </c>
      <c r="J916" t="n">
        <v>0</v>
      </c>
      <c r="K916" t="n">
        <v>0</v>
      </c>
      <c r="L916" t="n">
        <v>0</v>
      </c>
      <c r="M916" t="n">
        <v>0</v>
      </c>
      <c r="N916" t="n">
        <v>0</v>
      </c>
      <c r="O916" t="n">
        <v>0</v>
      </c>
      <c r="P916" t="n">
        <v>0</v>
      </c>
      <c r="Q916" t="n">
        <v>0</v>
      </c>
      <c r="R916" s="2" t="inlineStr"/>
    </row>
    <row r="917" ht="15" customHeight="1">
      <c r="A917" t="inlineStr">
        <is>
          <t>A 23273-2023</t>
        </is>
      </c>
      <c r="B917" s="1" t="n">
        <v>45075.91971064815</v>
      </c>
      <c r="C917" s="1" t="n">
        <v>45992</v>
      </c>
      <c r="D917" t="inlineStr">
        <is>
          <t>STOCKHOLMS LÄN</t>
        </is>
      </c>
      <c r="E917" t="inlineStr">
        <is>
          <t>NORRTÄLJE</t>
        </is>
      </c>
      <c r="G917" t="n">
        <v>7.5</v>
      </c>
      <c r="H917" t="n">
        <v>0</v>
      </c>
      <c r="I917" t="n">
        <v>0</v>
      </c>
      <c r="J917" t="n">
        <v>0</v>
      </c>
      <c r="K917" t="n">
        <v>0</v>
      </c>
      <c r="L917" t="n">
        <v>0</v>
      </c>
      <c r="M917" t="n">
        <v>0</v>
      </c>
      <c r="N917" t="n">
        <v>0</v>
      </c>
      <c r="O917" t="n">
        <v>0</v>
      </c>
      <c r="P917" t="n">
        <v>0</v>
      </c>
      <c r="Q917" t="n">
        <v>0</v>
      </c>
      <c r="R917" s="2" t="inlineStr"/>
    </row>
    <row r="918" ht="15" customHeight="1">
      <c r="A918" t="inlineStr">
        <is>
          <t>A 7603-2025</t>
        </is>
      </c>
      <c r="B918" s="1" t="n">
        <v>45705.66126157407</v>
      </c>
      <c r="C918" s="1" t="n">
        <v>45992</v>
      </c>
      <c r="D918" t="inlineStr">
        <is>
          <t>STOCKHOLMS LÄN</t>
        </is>
      </c>
      <c r="E918" t="inlineStr">
        <is>
          <t>NORRTÄLJE</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30802-2022</t>
        </is>
      </c>
      <c r="B919" s="1" t="n">
        <v>44764</v>
      </c>
      <c r="C919" s="1" t="n">
        <v>45992</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55369-2023</t>
        </is>
      </c>
      <c r="B920" s="1" t="n">
        <v>45238</v>
      </c>
      <c r="C920" s="1" t="n">
        <v>45992</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61113-2023</t>
        </is>
      </c>
      <c r="B921" s="1" t="n">
        <v>45261</v>
      </c>
      <c r="C921" s="1" t="n">
        <v>45992</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3283-2025</t>
        </is>
      </c>
      <c r="B922" s="1" t="n">
        <v>45679</v>
      </c>
      <c r="C922" s="1" t="n">
        <v>45992</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34295-2024</t>
        </is>
      </c>
      <c r="B923" s="1" t="n">
        <v>45524</v>
      </c>
      <c r="C923" s="1" t="n">
        <v>45992</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58311-2023</t>
        </is>
      </c>
      <c r="B924" s="1" t="n">
        <v>45245</v>
      </c>
      <c r="C924" s="1" t="n">
        <v>45992</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23692-2024</t>
        </is>
      </c>
      <c r="B925" s="1" t="n">
        <v>45454.65774305556</v>
      </c>
      <c r="C925" s="1" t="n">
        <v>45992</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20473-2021</t>
        </is>
      </c>
      <c r="B926" s="1" t="n">
        <v>44315</v>
      </c>
      <c r="C926" s="1" t="n">
        <v>45992</v>
      </c>
      <c r="D926" t="inlineStr">
        <is>
          <t>STOCKHOLMS LÄN</t>
        </is>
      </c>
      <c r="E926" t="inlineStr">
        <is>
          <t>NORRTÄLJE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54273-2021</t>
        </is>
      </c>
      <c r="B927" s="1" t="n">
        <v>44470.72987268519</v>
      </c>
      <c r="C927" s="1" t="n">
        <v>45992</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7806-2025</t>
        </is>
      </c>
      <c r="B928" s="1" t="n">
        <v>45706.61178240741</v>
      </c>
      <c r="C928" s="1" t="n">
        <v>45992</v>
      </c>
      <c r="D928" t="inlineStr">
        <is>
          <t>STOCKHOLMS LÄN</t>
        </is>
      </c>
      <c r="E928" t="inlineStr">
        <is>
          <t>NORRTÄLJE</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53792-2023</t>
        </is>
      </c>
      <c r="B929" s="1" t="n">
        <v>45231.34144675926</v>
      </c>
      <c r="C929" s="1" t="n">
        <v>45992</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21329-2022</t>
        </is>
      </c>
      <c r="B930" s="1" t="n">
        <v>44705.60626157407</v>
      </c>
      <c r="C930" s="1" t="n">
        <v>45992</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50569-2022</t>
        </is>
      </c>
      <c r="B931" s="1" t="n">
        <v>44866.63775462963</v>
      </c>
      <c r="C931" s="1" t="n">
        <v>45992</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45992</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45992</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60654-2023</t>
        </is>
      </c>
      <c r="B934" s="1" t="n">
        <v>45260.43225694444</v>
      </c>
      <c r="C934" s="1" t="n">
        <v>45992</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60656-2023</t>
        </is>
      </c>
      <c r="B935" s="1" t="n">
        <v>45260.4333449074</v>
      </c>
      <c r="C935" s="1" t="n">
        <v>45992</v>
      </c>
      <c r="D935" t="inlineStr">
        <is>
          <t>STOCKHOLMS LÄN</t>
        </is>
      </c>
      <c r="E935" t="inlineStr">
        <is>
          <t>NORRTÄLJE</t>
        </is>
      </c>
      <c r="G935" t="n">
        <v>4.8</v>
      </c>
      <c r="H935" t="n">
        <v>0</v>
      </c>
      <c r="I935" t="n">
        <v>0</v>
      </c>
      <c r="J935" t="n">
        <v>0</v>
      </c>
      <c r="K935" t="n">
        <v>0</v>
      </c>
      <c r="L935" t="n">
        <v>0</v>
      </c>
      <c r="M935" t="n">
        <v>0</v>
      </c>
      <c r="N935" t="n">
        <v>0</v>
      </c>
      <c r="O935" t="n">
        <v>0</v>
      </c>
      <c r="P935" t="n">
        <v>0</v>
      </c>
      <c r="Q935" t="n">
        <v>0</v>
      </c>
      <c r="R935" s="2" t="inlineStr"/>
    </row>
    <row r="936" ht="15" customHeight="1">
      <c r="A936" t="inlineStr">
        <is>
          <t>A 54496-2024</t>
        </is>
      </c>
      <c r="B936" s="1" t="n">
        <v>45617.57439814815</v>
      </c>
      <c r="C936" s="1" t="n">
        <v>45992</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21386-2023</t>
        </is>
      </c>
      <c r="B937" s="1" t="n">
        <v>45063.35880787037</v>
      </c>
      <c r="C937" s="1" t="n">
        <v>45992</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10642-2025</t>
        </is>
      </c>
      <c r="B938" s="1" t="n">
        <v>45721.65858796296</v>
      </c>
      <c r="C938" s="1" t="n">
        <v>45992</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20144-2023</t>
        </is>
      </c>
      <c r="B939" s="1" t="n">
        <v>45055.43509259259</v>
      </c>
      <c r="C939" s="1" t="n">
        <v>45992</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53312-2024</t>
        </is>
      </c>
      <c r="B940" s="1" t="n">
        <v>45614.39627314815</v>
      </c>
      <c r="C940" s="1" t="n">
        <v>45992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39202-2024</t>
        </is>
      </c>
      <c r="B941" s="1" t="n">
        <v>45548.72306712963</v>
      </c>
      <c r="C941" s="1" t="n">
        <v>45992</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22756-2022</t>
        </is>
      </c>
      <c r="B942" s="1" t="n">
        <v>44714.92253472222</v>
      </c>
      <c r="C942" s="1" t="n">
        <v>45992</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4581-2025</t>
        </is>
      </c>
      <c r="B943" s="1" t="n">
        <v>45687</v>
      </c>
      <c r="C943" s="1" t="n">
        <v>45992</v>
      </c>
      <c r="D943" t="inlineStr">
        <is>
          <t>STOCKHOLMS LÄN</t>
        </is>
      </c>
      <c r="E943" t="inlineStr">
        <is>
          <t>NORRTÄLJE</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60765-2023</t>
        </is>
      </c>
      <c r="B944" s="1" t="n">
        <v>45260</v>
      </c>
      <c r="C944" s="1" t="n">
        <v>45992</v>
      </c>
      <c r="D944" t="inlineStr">
        <is>
          <t>STOCKHOLMS LÄN</t>
        </is>
      </c>
      <c r="E944" t="inlineStr">
        <is>
          <t>NORRTÄLJE</t>
        </is>
      </c>
      <c r="G944" t="n">
        <v>3.7</v>
      </c>
      <c r="H944" t="n">
        <v>0</v>
      </c>
      <c r="I944" t="n">
        <v>0</v>
      </c>
      <c r="J944" t="n">
        <v>0</v>
      </c>
      <c r="K944" t="n">
        <v>0</v>
      </c>
      <c r="L944" t="n">
        <v>0</v>
      </c>
      <c r="M944" t="n">
        <v>0</v>
      </c>
      <c r="N944" t="n">
        <v>0</v>
      </c>
      <c r="O944" t="n">
        <v>0</v>
      </c>
      <c r="P944" t="n">
        <v>0</v>
      </c>
      <c r="Q944" t="n">
        <v>0</v>
      </c>
      <c r="R944" s="2" t="inlineStr"/>
    </row>
    <row r="945" ht="15" customHeight="1">
      <c r="A945" t="inlineStr">
        <is>
          <t>A 23801-2022</t>
        </is>
      </c>
      <c r="B945" s="1" t="n">
        <v>44722</v>
      </c>
      <c r="C945" s="1" t="n">
        <v>45992</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59276-2023</t>
        </is>
      </c>
      <c r="B946" s="1" t="n">
        <v>45253.55641203704</v>
      </c>
      <c r="C946" s="1" t="n">
        <v>45992</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46914-2022</t>
        </is>
      </c>
      <c r="B947" s="1" t="n">
        <v>44851</v>
      </c>
      <c r="C947" s="1" t="n">
        <v>45992</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18541-2023</t>
        </is>
      </c>
      <c r="B948" s="1" t="n">
        <v>45042.74291666667</v>
      </c>
      <c r="C948" s="1" t="n">
        <v>45992</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3509-2022</t>
        </is>
      </c>
      <c r="B949" s="1" t="n">
        <v>44585</v>
      </c>
      <c r="C949" s="1" t="n">
        <v>45992</v>
      </c>
      <c r="D949" t="inlineStr">
        <is>
          <t>STOCKHOLMS LÄN</t>
        </is>
      </c>
      <c r="E949" t="inlineStr">
        <is>
          <t>NORRTÄLJE</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45992</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12890-2024</t>
        </is>
      </c>
      <c r="B951" s="1" t="n">
        <v>45385.36243055556</v>
      </c>
      <c r="C951" s="1" t="n">
        <v>45992</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47419-2023</t>
        </is>
      </c>
      <c r="B952" s="1" t="n">
        <v>45202.65660879629</v>
      </c>
      <c r="C952" s="1" t="n">
        <v>45992</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23070-2023</t>
        </is>
      </c>
      <c r="B953" s="1" t="n">
        <v>45075</v>
      </c>
      <c r="C953" s="1" t="n">
        <v>45992</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27824-2022</t>
        </is>
      </c>
      <c r="B954" s="1" t="n">
        <v>44743.59331018518</v>
      </c>
      <c r="C954" s="1" t="n">
        <v>45992</v>
      </c>
      <c r="D954" t="inlineStr">
        <is>
          <t>STOCKHOLMS LÄN</t>
        </is>
      </c>
      <c r="E954" t="inlineStr">
        <is>
          <t>NORRTÄLJE</t>
        </is>
      </c>
      <c r="F954" t="inlineStr">
        <is>
          <t>Kommuner</t>
        </is>
      </c>
      <c r="G954" t="n">
        <v>3.1</v>
      </c>
      <c r="H954" t="n">
        <v>0</v>
      </c>
      <c r="I954" t="n">
        <v>0</v>
      </c>
      <c r="J954" t="n">
        <v>0</v>
      </c>
      <c r="K954" t="n">
        <v>0</v>
      </c>
      <c r="L954" t="n">
        <v>0</v>
      </c>
      <c r="M954" t="n">
        <v>0</v>
      </c>
      <c r="N954" t="n">
        <v>0</v>
      </c>
      <c r="O954" t="n">
        <v>0</v>
      </c>
      <c r="P954" t="n">
        <v>0</v>
      </c>
      <c r="Q954" t="n">
        <v>0</v>
      </c>
      <c r="R954" s="2" t="inlineStr"/>
    </row>
    <row r="955" ht="15" customHeight="1">
      <c r="A955" t="inlineStr">
        <is>
          <t>A 25619-2022</t>
        </is>
      </c>
      <c r="B955" s="1" t="n">
        <v>44732</v>
      </c>
      <c r="C955" s="1" t="n">
        <v>45992</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36246-2021</t>
        </is>
      </c>
      <c r="B956" s="1" t="n">
        <v>44390</v>
      </c>
      <c r="C956" s="1" t="n">
        <v>45992</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19952-2023</t>
        </is>
      </c>
      <c r="B957" s="1" t="n">
        <v>45054.54091435186</v>
      </c>
      <c r="C957" s="1" t="n">
        <v>45992</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19994-2023</t>
        </is>
      </c>
      <c r="B958" s="1" t="n">
        <v>45054</v>
      </c>
      <c r="C958" s="1" t="n">
        <v>45992</v>
      </c>
      <c r="D958" t="inlineStr">
        <is>
          <t>STOCKHOLMS LÄN</t>
        </is>
      </c>
      <c r="E958" t="inlineStr">
        <is>
          <t>NORRTÄLJE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14130-2025</t>
        </is>
      </c>
      <c r="B959" s="1" t="n">
        <v>45740.47288194444</v>
      </c>
      <c r="C959" s="1" t="n">
        <v>45992</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574-2023</t>
        </is>
      </c>
      <c r="B960" s="1" t="n">
        <v>44925</v>
      </c>
      <c r="C960" s="1" t="n">
        <v>45992</v>
      </c>
      <c r="D960" t="inlineStr">
        <is>
          <t>STOCKHOLMS LÄN</t>
        </is>
      </c>
      <c r="E960" t="inlineStr">
        <is>
          <t>NORRTÄLJE</t>
        </is>
      </c>
      <c r="G960" t="n">
        <v>5</v>
      </c>
      <c r="H960" t="n">
        <v>0</v>
      </c>
      <c r="I960" t="n">
        <v>0</v>
      </c>
      <c r="J960" t="n">
        <v>0</v>
      </c>
      <c r="K960" t="n">
        <v>0</v>
      </c>
      <c r="L960" t="n">
        <v>0</v>
      </c>
      <c r="M960" t="n">
        <v>0</v>
      </c>
      <c r="N960" t="n">
        <v>0</v>
      </c>
      <c r="O960" t="n">
        <v>0</v>
      </c>
      <c r="P960" t="n">
        <v>0</v>
      </c>
      <c r="Q960" t="n">
        <v>0</v>
      </c>
      <c r="R960" s="2" t="inlineStr"/>
    </row>
    <row r="961" ht="15" customHeight="1">
      <c r="A961" t="inlineStr">
        <is>
          <t>A 30283-2022</t>
        </is>
      </c>
      <c r="B961" s="1" t="n">
        <v>44760</v>
      </c>
      <c r="C961" s="1" t="n">
        <v>45992</v>
      </c>
      <c r="D961" t="inlineStr">
        <is>
          <t>STOCKHOLMS LÄN</t>
        </is>
      </c>
      <c r="E961" t="inlineStr">
        <is>
          <t>NORRTÄLJE</t>
        </is>
      </c>
      <c r="G961" t="n">
        <v>6.2</v>
      </c>
      <c r="H961" t="n">
        <v>0</v>
      </c>
      <c r="I961" t="n">
        <v>0</v>
      </c>
      <c r="J961" t="n">
        <v>0</v>
      </c>
      <c r="K961" t="n">
        <v>0</v>
      </c>
      <c r="L961" t="n">
        <v>0</v>
      </c>
      <c r="M961" t="n">
        <v>0</v>
      </c>
      <c r="N961" t="n">
        <v>0</v>
      </c>
      <c r="O961" t="n">
        <v>0</v>
      </c>
      <c r="P961" t="n">
        <v>0</v>
      </c>
      <c r="Q961" t="n">
        <v>0</v>
      </c>
      <c r="R961" s="2" t="inlineStr"/>
    </row>
    <row r="962" ht="15" customHeight="1">
      <c r="A962" t="inlineStr">
        <is>
          <t>A 30290-2022</t>
        </is>
      </c>
      <c r="B962" s="1" t="n">
        <v>44760</v>
      </c>
      <c r="C962" s="1" t="n">
        <v>45992</v>
      </c>
      <c r="D962" t="inlineStr">
        <is>
          <t>STOCKHOLMS LÄN</t>
        </is>
      </c>
      <c r="E962" t="inlineStr">
        <is>
          <t>NORRTÄLJE</t>
        </is>
      </c>
      <c r="G962" t="n">
        <v>4.8</v>
      </c>
      <c r="H962" t="n">
        <v>0</v>
      </c>
      <c r="I962" t="n">
        <v>0</v>
      </c>
      <c r="J962" t="n">
        <v>0</v>
      </c>
      <c r="K962" t="n">
        <v>0</v>
      </c>
      <c r="L962" t="n">
        <v>0</v>
      </c>
      <c r="M962" t="n">
        <v>0</v>
      </c>
      <c r="N962" t="n">
        <v>0</v>
      </c>
      <c r="O962" t="n">
        <v>0</v>
      </c>
      <c r="P962" t="n">
        <v>0</v>
      </c>
      <c r="Q962" t="n">
        <v>0</v>
      </c>
      <c r="R962" s="2" t="inlineStr"/>
    </row>
    <row r="963" ht="15" customHeight="1">
      <c r="A963" t="inlineStr">
        <is>
          <t>A 3143-2021</t>
        </is>
      </c>
      <c r="B963" s="1" t="n">
        <v>44217.40149305556</v>
      </c>
      <c r="C963" s="1" t="n">
        <v>45992</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29684-2021</t>
        </is>
      </c>
      <c r="B964" s="1" t="n">
        <v>44362.37172453704</v>
      </c>
      <c r="C964" s="1" t="n">
        <v>45992</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60884-2024</t>
        </is>
      </c>
      <c r="B965" s="1" t="n">
        <v>45644.90815972222</v>
      </c>
      <c r="C965" s="1" t="n">
        <v>45992</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44813.59915509259</v>
      </c>
      <c r="C966" s="1" t="n">
        <v>45992</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10090-2022</t>
        </is>
      </c>
      <c r="B967" s="1" t="n">
        <v>44621</v>
      </c>
      <c r="C967" s="1" t="n">
        <v>45992</v>
      </c>
      <c r="D967" t="inlineStr">
        <is>
          <t>STOCKHOLMS LÄN</t>
        </is>
      </c>
      <c r="E967" t="inlineStr">
        <is>
          <t>NORRTÄLJE</t>
        </is>
      </c>
      <c r="G967" t="n">
        <v>5.2</v>
      </c>
      <c r="H967" t="n">
        <v>0</v>
      </c>
      <c r="I967" t="n">
        <v>0</v>
      </c>
      <c r="J967" t="n">
        <v>0</v>
      </c>
      <c r="K967" t="n">
        <v>0</v>
      </c>
      <c r="L967" t="n">
        <v>0</v>
      </c>
      <c r="M967" t="n">
        <v>0</v>
      </c>
      <c r="N967" t="n">
        <v>0</v>
      </c>
      <c r="O967" t="n">
        <v>0</v>
      </c>
      <c r="P967" t="n">
        <v>0</v>
      </c>
      <c r="Q967" t="n">
        <v>0</v>
      </c>
      <c r="R967" s="2" t="inlineStr"/>
    </row>
    <row r="968" ht="15" customHeight="1">
      <c r="A968" t="inlineStr">
        <is>
          <t>A 14724-2022</t>
        </is>
      </c>
      <c r="B968" s="1" t="n">
        <v>44656</v>
      </c>
      <c r="C968" s="1" t="n">
        <v>45992</v>
      </c>
      <c r="D968" t="inlineStr">
        <is>
          <t>STOCKHOLMS LÄN</t>
        </is>
      </c>
      <c r="E968" t="inlineStr">
        <is>
          <t>NORRTÄLJE</t>
        </is>
      </c>
      <c r="F968" t="inlineStr">
        <is>
          <t>Sveaskog</t>
        </is>
      </c>
      <c r="G968" t="n">
        <v>9</v>
      </c>
      <c r="H968" t="n">
        <v>0</v>
      </c>
      <c r="I968" t="n">
        <v>0</v>
      </c>
      <c r="J968" t="n">
        <v>0</v>
      </c>
      <c r="K968" t="n">
        <v>0</v>
      </c>
      <c r="L968" t="n">
        <v>0</v>
      </c>
      <c r="M968" t="n">
        <v>0</v>
      </c>
      <c r="N968" t="n">
        <v>0</v>
      </c>
      <c r="O968" t="n">
        <v>0</v>
      </c>
      <c r="P968" t="n">
        <v>0</v>
      </c>
      <c r="Q968" t="n">
        <v>0</v>
      </c>
      <c r="R968" s="2" t="inlineStr"/>
    </row>
    <row r="969" ht="15" customHeight="1">
      <c r="A969" t="inlineStr">
        <is>
          <t>A 18846-2022</t>
        </is>
      </c>
      <c r="B969" s="1" t="n">
        <v>44690</v>
      </c>
      <c r="C969" s="1" t="n">
        <v>45992</v>
      </c>
      <c r="D969" t="inlineStr">
        <is>
          <t>STOCKHOLMS LÄN</t>
        </is>
      </c>
      <c r="E969" t="inlineStr">
        <is>
          <t>NORRTÄLJE</t>
        </is>
      </c>
      <c r="G969" t="n">
        <v>7</v>
      </c>
      <c r="H969" t="n">
        <v>0</v>
      </c>
      <c r="I969" t="n">
        <v>0</v>
      </c>
      <c r="J969" t="n">
        <v>0</v>
      </c>
      <c r="K969" t="n">
        <v>0</v>
      </c>
      <c r="L969" t="n">
        <v>0</v>
      </c>
      <c r="M969" t="n">
        <v>0</v>
      </c>
      <c r="N969" t="n">
        <v>0</v>
      </c>
      <c r="O969" t="n">
        <v>0</v>
      </c>
      <c r="P969" t="n">
        <v>0</v>
      </c>
      <c r="Q969" t="n">
        <v>0</v>
      </c>
      <c r="R969" s="2" t="inlineStr"/>
    </row>
    <row r="970" ht="15" customHeight="1">
      <c r="A970" t="inlineStr">
        <is>
          <t>A 43300-2023</t>
        </is>
      </c>
      <c r="B970" s="1" t="n">
        <v>45183</v>
      </c>
      <c r="C970" s="1" t="n">
        <v>45992</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25654-2023</t>
        </is>
      </c>
      <c r="B971" s="1" t="n">
        <v>45089</v>
      </c>
      <c r="C971" s="1" t="n">
        <v>45992</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23125-2022</t>
        </is>
      </c>
      <c r="B972" s="1" t="n">
        <v>44719</v>
      </c>
      <c r="C972" s="1" t="n">
        <v>45992</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20121-2022</t>
        </is>
      </c>
      <c r="B973" s="1" t="n">
        <v>44698</v>
      </c>
      <c r="C973" s="1" t="n">
        <v>45992</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33385-2024</t>
        </is>
      </c>
      <c r="B974" s="1" t="n">
        <v>45519</v>
      </c>
      <c r="C974" s="1" t="n">
        <v>45992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41172-2023</t>
        </is>
      </c>
      <c r="B975" s="1" t="n">
        <v>45170</v>
      </c>
      <c r="C975" s="1" t="n">
        <v>45992</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73307-2021</t>
        </is>
      </c>
      <c r="B976" s="1" t="n">
        <v>44549</v>
      </c>
      <c r="C976" s="1" t="n">
        <v>45992</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50534-2024</t>
        </is>
      </c>
      <c r="B977" s="1" t="n">
        <v>45601.56726851852</v>
      </c>
      <c r="C977" s="1" t="n">
        <v>45992</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11988-2021</t>
        </is>
      </c>
      <c r="B978" s="1" t="n">
        <v>44266</v>
      </c>
      <c r="C978" s="1" t="n">
        <v>45992</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12132-2021</t>
        </is>
      </c>
      <c r="B979" s="1" t="n">
        <v>44266</v>
      </c>
      <c r="C979" s="1" t="n">
        <v>45992</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45992</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44516.40674768519</v>
      </c>
      <c r="C981" s="1" t="n">
        <v>45992</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22833-2024</t>
        </is>
      </c>
      <c r="B982" s="1" t="n">
        <v>45448.56746527777</v>
      </c>
      <c r="C982" s="1" t="n">
        <v>45992</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32514-2022</t>
        </is>
      </c>
      <c r="B983" s="1" t="n">
        <v>44782</v>
      </c>
      <c r="C983" s="1" t="n">
        <v>45992</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29362-2022</t>
        </is>
      </c>
      <c r="B984" s="1" t="n">
        <v>44753</v>
      </c>
      <c r="C984" s="1" t="n">
        <v>45992</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58492-2022</t>
        </is>
      </c>
      <c r="B985" s="1" t="n">
        <v>44902</v>
      </c>
      <c r="C985" s="1" t="n">
        <v>45992</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51315-2021</t>
        </is>
      </c>
      <c r="B986" s="1" t="n">
        <v>44461</v>
      </c>
      <c r="C986" s="1" t="n">
        <v>45992</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14873-2025</t>
        </is>
      </c>
      <c r="B987" s="1" t="n">
        <v>45743.44953703704</v>
      </c>
      <c r="C987" s="1" t="n">
        <v>45992</v>
      </c>
      <c r="D987" t="inlineStr">
        <is>
          <t>STOCKHOLMS LÄN</t>
        </is>
      </c>
      <c r="E987" t="inlineStr">
        <is>
          <t>NORRTÄLJE</t>
        </is>
      </c>
      <c r="G987" t="n">
        <v>10.2</v>
      </c>
      <c r="H987" t="n">
        <v>0</v>
      </c>
      <c r="I987" t="n">
        <v>0</v>
      </c>
      <c r="J987" t="n">
        <v>0</v>
      </c>
      <c r="K987" t="n">
        <v>0</v>
      </c>
      <c r="L987" t="n">
        <v>0</v>
      </c>
      <c r="M987" t="n">
        <v>0</v>
      </c>
      <c r="N987" t="n">
        <v>0</v>
      </c>
      <c r="O987" t="n">
        <v>0</v>
      </c>
      <c r="P987" t="n">
        <v>0</v>
      </c>
      <c r="Q987" t="n">
        <v>0</v>
      </c>
      <c r="R987" s="2" t="inlineStr"/>
    </row>
    <row r="988" ht="15" customHeight="1">
      <c r="A988" t="inlineStr">
        <is>
          <t>A 34773-2022</t>
        </is>
      </c>
      <c r="B988" s="1" t="n">
        <v>44795</v>
      </c>
      <c r="C988" s="1" t="n">
        <v>45992</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33173-2024</t>
        </is>
      </c>
      <c r="B989" s="1" t="n">
        <v>45518</v>
      </c>
      <c r="C989" s="1" t="n">
        <v>45992</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4484-2025</t>
        </is>
      </c>
      <c r="B990" s="1" t="n">
        <v>45686.65545138889</v>
      </c>
      <c r="C990" s="1" t="n">
        <v>45992</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33878-2024</t>
        </is>
      </c>
      <c r="B991" s="1" t="n">
        <v>45522.44414351852</v>
      </c>
      <c r="C991" s="1" t="n">
        <v>45992</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9246-2024</t>
        </is>
      </c>
      <c r="B992" s="1" t="n">
        <v>45357</v>
      </c>
      <c r="C992" s="1" t="n">
        <v>45992</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35698-2023</t>
        </is>
      </c>
      <c r="B993" s="1" t="n">
        <v>45147</v>
      </c>
      <c r="C993" s="1" t="n">
        <v>45992</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62398-2022</t>
        </is>
      </c>
      <c r="B994" s="1" t="n">
        <v>44923.90159722222</v>
      </c>
      <c r="C994" s="1" t="n">
        <v>45992</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49700-2023</t>
        </is>
      </c>
      <c r="B995" s="1" t="n">
        <v>45212</v>
      </c>
      <c r="C995" s="1" t="n">
        <v>45992</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32071-2023</t>
        </is>
      </c>
      <c r="B996" s="1" t="n">
        <v>45119.57728009259</v>
      </c>
      <c r="C996" s="1" t="n">
        <v>45992</v>
      </c>
      <c r="D996" t="inlineStr">
        <is>
          <t>STOCKHOLMS LÄN</t>
        </is>
      </c>
      <c r="E996" t="inlineStr">
        <is>
          <t>NORRTÄLJE</t>
        </is>
      </c>
      <c r="G996" t="n">
        <v>6.5</v>
      </c>
      <c r="H996" t="n">
        <v>0</v>
      </c>
      <c r="I996" t="n">
        <v>0</v>
      </c>
      <c r="J996" t="n">
        <v>0</v>
      </c>
      <c r="K996" t="n">
        <v>0</v>
      </c>
      <c r="L996" t="n">
        <v>0</v>
      </c>
      <c r="M996" t="n">
        <v>0</v>
      </c>
      <c r="N996" t="n">
        <v>0</v>
      </c>
      <c r="O996" t="n">
        <v>0</v>
      </c>
      <c r="P996" t="n">
        <v>0</v>
      </c>
      <c r="Q996" t="n">
        <v>0</v>
      </c>
      <c r="R996" s="2" t="inlineStr"/>
    </row>
    <row r="997" ht="15" customHeight="1">
      <c r="A997" t="inlineStr">
        <is>
          <t>A 1425-2025</t>
        </is>
      </c>
      <c r="B997" s="1" t="n">
        <v>45668.67446759259</v>
      </c>
      <c r="C997" s="1" t="n">
        <v>45992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17775-2022</t>
        </is>
      </c>
      <c r="B998" s="1" t="n">
        <v>44682.78430555556</v>
      </c>
      <c r="C998" s="1" t="n">
        <v>45992</v>
      </c>
      <c r="D998" t="inlineStr">
        <is>
          <t>STOCKHOLMS LÄN</t>
        </is>
      </c>
      <c r="E998" t="inlineStr">
        <is>
          <t>NORRTÄLJE</t>
        </is>
      </c>
      <c r="G998" t="n">
        <v>4.7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45992</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10215-2023</t>
        </is>
      </c>
      <c r="B1000" s="1" t="n">
        <v>44986.5887962963</v>
      </c>
      <c r="C1000" s="1" t="n">
        <v>45992</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25609-2023</t>
        </is>
      </c>
      <c r="B1001" s="1" t="n">
        <v>45089</v>
      </c>
      <c r="C1001" s="1" t="n">
        <v>45992</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20014-2025</t>
        </is>
      </c>
      <c r="B1002" s="1" t="n">
        <v>45772.3078125</v>
      </c>
      <c r="C1002" s="1" t="n">
        <v>45992</v>
      </c>
      <c r="D1002" t="inlineStr">
        <is>
          <t>STOCKHOLMS LÄN</t>
        </is>
      </c>
      <c r="E1002" t="inlineStr">
        <is>
          <t>NORRTÄLJE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20136-2025</t>
        </is>
      </c>
      <c r="B1003" s="1" t="n">
        <v>45772.51127314815</v>
      </c>
      <c r="C1003" s="1" t="n">
        <v>45992</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2287-2024</t>
        </is>
      </c>
      <c r="B1004" s="1" t="n">
        <v>45310</v>
      </c>
      <c r="C1004" s="1" t="n">
        <v>45992</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13785-2024</t>
        </is>
      </c>
      <c r="B1005" s="1" t="n">
        <v>45391.3395949074</v>
      </c>
      <c r="C1005" s="1" t="n">
        <v>45992</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45992</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44868.45741898148</v>
      </c>
      <c r="C1007" s="1" t="n">
        <v>45992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60217-2021</t>
        </is>
      </c>
      <c r="B1008" s="1" t="n">
        <v>44495.5893287037</v>
      </c>
      <c r="C1008" s="1" t="n">
        <v>45992</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5839-2023</t>
        </is>
      </c>
      <c r="B1009" s="1" t="n">
        <v>44963</v>
      </c>
      <c r="C1009" s="1" t="n">
        <v>45992</v>
      </c>
      <c r="D1009" t="inlineStr">
        <is>
          <t>STOCKHOLMS LÄN</t>
        </is>
      </c>
      <c r="E1009" t="inlineStr">
        <is>
          <t>NORRTÄLJE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38985-2022</t>
        </is>
      </c>
      <c r="B1010" s="1" t="n">
        <v>44816</v>
      </c>
      <c r="C1010" s="1" t="n">
        <v>45992</v>
      </c>
      <c r="D1010" t="inlineStr">
        <is>
          <t>STOCKHOLMS LÄN</t>
        </is>
      </c>
      <c r="E1010" t="inlineStr">
        <is>
          <t>NORRTÄLJE</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5665-2025</t>
        </is>
      </c>
      <c r="B1011" s="1" t="n">
        <v>45693</v>
      </c>
      <c r="C1011" s="1" t="n">
        <v>45992</v>
      </c>
      <c r="D1011" t="inlineStr">
        <is>
          <t>STOCKHOLMS LÄN</t>
        </is>
      </c>
      <c r="E1011" t="inlineStr">
        <is>
          <t>NORRTÄLJE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3426-2025</t>
        </is>
      </c>
      <c r="B1012" s="1" t="n">
        <v>45680.42665509259</v>
      </c>
      <c r="C1012" s="1" t="n">
        <v>45992</v>
      </c>
      <c r="D1012" t="inlineStr">
        <is>
          <t>STOCKHOLMS LÄN</t>
        </is>
      </c>
      <c r="E1012" t="inlineStr">
        <is>
          <t>NORRTÄLJE</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58530-2024</t>
        </is>
      </c>
      <c r="B1013" s="1" t="n">
        <v>45635.44788194444</v>
      </c>
      <c r="C1013" s="1" t="n">
        <v>45992</v>
      </c>
      <c r="D1013" t="inlineStr">
        <is>
          <t>STOCKHOLMS LÄN</t>
        </is>
      </c>
      <c r="E1013" t="inlineStr">
        <is>
          <t>NORRTÄLJE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22421-2021</t>
        </is>
      </c>
      <c r="B1014" s="1" t="n">
        <v>44326</v>
      </c>
      <c r="C1014" s="1" t="n">
        <v>45992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40761-2024</t>
        </is>
      </c>
      <c r="B1015" s="1" t="n">
        <v>45558.46283564815</v>
      </c>
      <c r="C1015" s="1" t="n">
        <v>45992</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4553-2023</t>
        </is>
      </c>
      <c r="B1016" s="1" t="n">
        <v>44956.65920138889</v>
      </c>
      <c r="C1016" s="1" t="n">
        <v>45992</v>
      </c>
      <c r="D1016" t="inlineStr">
        <is>
          <t>STOCKHOLMS LÄN</t>
        </is>
      </c>
      <c r="E1016" t="inlineStr">
        <is>
          <t>NORRTÄLJE</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4593-2023</t>
        </is>
      </c>
      <c r="B1017" s="1" t="n">
        <v>44956</v>
      </c>
      <c r="C1017" s="1" t="n">
        <v>45992</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13171-2025</t>
        </is>
      </c>
      <c r="B1018" s="1" t="n">
        <v>45735.36594907408</v>
      </c>
      <c r="C1018" s="1" t="n">
        <v>45992</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51978-2023</t>
        </is>
      </c>
      <c r="B1019" s="1" t="n">
        <v>45223</v>
      </c>
      <c r="C1019" s="1" t="n">
        <v>45992</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18092-2022</t>
        </is>
      </c>
      <c r="B1020" s="1" t="n">
        <v>44684</v>
      </c>
      <c r="C1020" s="1" t="n">
        <v>45992</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59310-2023</t>
        </is>
      </c>
      <c r="B1021" s="1" t="n">
        <v>45253.61146990741</v>
      </c>
      <c r="C1021" s="1" t="n">
        <v>45992</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9329-2023</t>
        </is>
      </c>
      <c r="B1022" s="1" t="n">
        <v>44980</v>
      </c>
      <c r="C1022" s="1" t="n">
        <v>45992</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59878-2024</t>
        </is>
      </c>
      <c r="B1023" s="1" t="n">
        <v>45640.60240740741</v>
      </c>
      <c r="C1023" s="1" t="n">
        <v>45992</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41335-2023</t>
        </is>
      </c>
      <c r="B1024" s="1" t="n">
        <v>45174.68702546296</v>
      </c>
      <c r="C1024" s="1" t="n">
        <v>45992</v>
      </c>
      <c r="D1024" t="inlineStr">
        <is>
          <t>STOCKHOLMS LÄN</t>
        </is>
      </c>
      <c r="E1024" t="inlineStr">
        <is>
          <t>NORRTÄLJE</t>
        </is>
      </c>
      <c r="F1024" t="inlineStr">
        <is>
          <t>Holmen skog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33040-2021</t>
        </is>
      </c>
      <c r="B1025" s="1" t="n">
        <v>44376.50728009259</v>
      </c>
      <c r="C1025" s="1" t="n">
        <v>45992</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33053-2021</t>
        </is>
      </c>
      <c r="B1026" s="1" t="n">
        <v>44376</v>
      </c>
      <c r="C1026" s="1" t="n">
        <v>45992</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43150-2023</t>
        </is>
      </c>
      <c r="B1027" s="1" t="n">
        <v>45183</v>
      </c>
      <c r="C1027" s="1" t="n">
        <v>45992</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5950-2021</t>
        </is>
      </c>
      <c r="B1028" s="1" t="n">
        <v>44231</v>
      </c>
      <c r="C1028" s="1" t="n">
        <v>45992</v>
      </c>
      <c r="D1028" t="inlineStr">
        <is>
          <t>STOCKHOLMS LÄN</t>
        </is>
      </c>
      <c r="E1028" t="inlineStr">
        <is>
          <t>NORRTÄLJE</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54259-2023</t>
        </is>
      </c>
      <c r="B1029" s="1" t="n">
        <v>45232</v>
      </c>
      <c r="C1029" s="1" t="n">
        <v>45992</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60822-2023</t>
        </is>
      </c>
      <c r="B1030" s="1" t="n">
        <v>45259</v>
      </c>
      <c r="C1030" s="1" t="n">
        <v>45992</v>
      </c>
      <c r="D1030" t="inlineStr">
        <is>
          <t>STOCKHOLMS LÄN</t>
        </is>
      </c>
      <c r="E1030" t="inlineStr">
        <is>
          <t>NORRTÄLJE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12031-2021</t>
        </is>
      </c>
      <c r="B1031" s="1" t="n">
        <v>44266</v>
      </c>
      <c r="C1031" s="1" t="n">
        <v>45992</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27381-2024</t>
        </is>
      </c>
      <c r="B1032" s="1" t="n">
        <v>45473.94501157408</v>
      </c>
      <c r="C1032" s="1" t="n">
        <v>45992</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23265-2023</t>
        </is>
      </c>
      <c r="B1033" s="1" t="n">
        <v>45075.90703703704</v>
      </c>
      <c r="C1033" s="1" t="n">
        <v>45992</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45992</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20336-2024</t>
        </is>
      </c>
      <c r="B1035" s="1" t="n">
        <v>45435.43123842592</v>
      </c>
      <c r="C1035" s="1" t="n">
        <v>45992</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1847-2023</t>
        </is>
      </c>
      <c r="B1036" s="1" t="n">
        <v>44938</v>
      </c>
      <c r="C1036" s="1" t="n">
        <v>45992</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59721-2024</t>
        </is>
      </c>
      <c r="B1037" s="1" t="n">
        <v>45639.47385416667</v>
      </c>
      <c r="C1037" s="1" t="n">
        <v>45992</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37010-2022</t>
        </is>
      </c>
      <c r="B1038" s="1" t="n">
        <v>44806.41576388889</v>
      </c>
      <c r="C1038" s="1" t="n">
        <v>45992</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45992</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5423-2023</t>
        </is>
      </c>
      <c r="B1040" s="1" t="n">
        <v>44959.74533564815</v>
      </c>
      <c r="C1040" s="1" t="n">
        <v>45992</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50182-2024</t>
        </is>
      </c>
      <c r="B1041" s="1" t="n">
        <v>45600.47275462963</v>
      </c>
      <c r="C1041" s="1" t="n">
        <v>45992</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12629-2024</t>
        </is>
      </c>
      <c r="B1042" s="1" t="n">
        <v>45383</v>
      </c>
      <c r="C1042" s="1" t="n">
        <v>45992</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35708-2022</t>
        </is>
      </c>
      <c r="B1043" s="1" t="n">
        <v>44799.65013888889</v>
      </c>
      <c r="C1043" s="1" t="n">
        <v>45992</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45220-2024</t>
        </is>
      </c>
      <c r="B1044" s="1" t="n">
        <v>45575</v>
      </c>
      <c r="C1044" s="1" t="n">
        <v>45992</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21731-2023</t>
        </is>
      </c>
      <c r="B1045" s="1" t="n">
        <v>45063</v>
      </c>
      <c r="C1045" s="1" t="n">
        <v>45992</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23266-2023</t>
        </is>
      </c>
      <c r="B1046" s="1" t="n">
        <v>45075.90817129629</v>
      </c>
      <c r="C1046" s="1" t="n">
        <v>45992</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47521-2024</t>
        </is>
      </c>
      <c r="B1047" s="1" t="n">
        <v>45587.62565972222</v>
      </c>
      <c r="C1047" s="1" t="n">
        <v>45992</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58260-2023</t>
        </is>
      </c>
      <c r="B1048" s="1" t="n">
        <v>45245</v>
      </c>
      <c r="C1048" s="1" t="n">
        <v>45992</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58261-2023</t>
        </is>
      </c>
      <c r="B1049" s="1" t="n">
        <v>45245</v>
      </c>
      <c r="C1049" s="1" t="n">
        <v>45992</v>
      </c>
      <c r="D1049" t="inlineStr">
        <is>
          <t>STOCKHOLMS LÄN</t>
        </is>
      </c>
      <c r="E1049" t="inlineStr">
        <is>
          <t>NORRTÄLJE</t>
        </is>
      </c>
      <c r="G1049" t="n">
        <v>53.5</v>
      </c>
      <c r="H1049" t="n">
        <v>0</v>
      </c>
      <c r="I1049" t="n">
        <v>0</v>
      </c>
      <c r="J1049" t="n">
        <v>0</v>
      </c>
      <c r="K1049" t="n">
        <v>0</v>
      </c>
      <c r="L1049" t="n">
        <v>0</v>
      </c>
      <c r="M1049" t="n">
        <v>0</v>
      </c>
      <c r="N1049" t="n">
        <v>0</v>
      </c>
      <c r="O1049" t="n">
        <v>0</v>
      </c>
      <c r="P1049" t="n">
        <v>0</v>
      </c>
      <c r="Q1049" t="n">
        <v>0</v>
      </c>
      <c r="R1049" s="2" t="inlineStr"/>
    </row>
    <row r="1050" ht="15" customHeight="1">
      <c r="A1050" t="inlineStr">
        <is>
          <t>A 29266-2022</t>
        </is>
      </c>
      <c r="B1050" s="1" t="n">
        <v>44750.66068287037</v>
      </c>
      <c r="C1050" s="1" t="n">
        <v>45992</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29278-2022</t>
        </is>
      </c>
      <c r="B1051" s="1" t="n">
        <v>44750</v>
      </c>
      <c r="C1051" s="1" t="n">
        <v>45992</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45992</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12908-2025</t>
        </is>
      </c>
      <c r="B1053" s="1" t="n">
        <v>45733.82105324074</v>
      </c>
      <c r="C1053" s="1" t="n">
        <v>45992</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23060-2023</t>
        </is>
      </c>
      <c r="B1054" s="1" t="n">
        <v>45075</v>
      </c>
      <c r="C1054" s="1" t="n">
        <v>45992</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32103-2022</t>
        </is>
      </c>
      <c r="B1055" s="1" t="n">
        <v>44778</v>
      </c>
      <c r="C1055" s="1" t="n">
        <v>45992</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6401-2024</t>
        </is>
      </c>
      <c r="B1056" s="1" t="n">
        <v>45338</v>
      </c>
      <c r="C1056" s="1" t="n">
        <v>45992</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59504-2023</t>
        </is>
      </c>
      <c r="B1057" s="1" t="n">
        <v>45254</v>
      </c>
      <c r="C1057" s="1" t="n">
        <v>45992</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52321-2024</t>
        </is>
      </c>
      <c r="B1058" s="1" t="n">
        <v>45608</v>
      </c>
      <c r="C1058" s="1" t="n">
        <v>45992</v>
      </c>
      <c r="D1058" t="inlineStr">
        <is>
          <t>STOCKHOLMS LÄN</t>
        </is>
      </c>
      <c r="E1058" t="inlineStr">
        <is>
          <t>NORRTÄLJE</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48151-2024</t>
        </is>
      </c>
      <c r="B1059" s="1" t="n">
        <v>45589.68289351852</v>
      </c>
      <c r="C1059" s="1" t="n">
        <v>45992</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20370-2025</t>
        </is>
      </c>
      <c r="B1060" s="1" t="n">
        <v>45775.41451388889</v>
      </c>
      <c r="C1060" s="1" t="n">
        <v>45992</v>
      </c>
      <c r="D1060" t="inlineStr">
        <is>
          <t>STOCKHOLMS LÄN</t>
        </is>
      </c>
      <c r="E1060" t="inlineStr">
        <is>
          <t>NORRTÄLJE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19580-2022</t>
        </is>
      </c>
      <c r="B1061" s="1" t="n">
        <v>44693</v>
      </c>
      <c r="C1061" s="1" t="n">
        <v>45992</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30731-2023</t>
        </is>
      </c>
      <c r="B1062" s="1" t="n">
        <v>45112</v>
      </c>
      <c r="C1062" s="1" t="n">
        <v>45992</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4580-2025</t>
        </is>
      </c>
      <c r="B1063" s="1" t="n">
        <v>45687.5038425926</v>
      </c>
      <c r="C1063" s="1" t="n">
        <v>45992</v>
      </c>
      <c r="D1063" t="inlineStr">
        <is>
          <t>STOCKHOLMS LÄN</t>
        </is>
      </c>
      <c r="E1063" t="inlineStr">
        <is>
          <t>NORRTÄLJE</t>
        </is>
      </c>
      <c r="F1063" t="inlineStr">
        <is>
          <t>Holmen skog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31057-2022</t>
        </is>
      </c>
      <c r="B1064" s="1" t="n">
        <v>44769</v>
      </c>
      <c r="C1064" s="1" t="n">
        <v>45992</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31140-2023</t>
        </is>
      </c>
      <c r="B1065" s="1" t="n">
        <v>45113</v>
      </c>
      <c r="C1065" s="1" t="n">
        <v>45992</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31149-2023</t>
        </is>
      </c>
      <c r="B1066" s="1" t="n">
        <v>45113</v>
      </c>
      <c r="C1066" s="1" t="n">
        <v>45992</v>
      </c>
      <c r="D1066" t="inlineStr">
        <is>
          <t>STOCKHOLMS LÄN</t>
        </is>
      </c>
      <c r="E1066" t="inlineStr">
        <is>
          <t>NORRTÄLJE</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4658-2024</t>
        </is>
      </c>
      <c r="B1067" s="1" t="n">
        <v>45328.46336805556</v>
      </c>
      <c r="C1067" s="1" t="n">
        <v>45992</v>
      </c>
      <c r="D1067" t="inlineStr">
        <is>
          <t>STOCKHOLMS LÄN</t>
        </is>
      </c>
      <c r="E1067" t="inlineStr">
        <is>
          <t>NORRTÄLJE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19131-2025</t>
        </is>
      </c>
      <c r="B1068" s="1" t="n">
        <v>45769</v>
      </c>
      <c r="C1068" s="1" t="n">
        <v>45992</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7571-2024</t>
        </is>
      </c>
      <c r="B1069" s="1" t="n">
        <v>45348.46300925926</v>
      </c>
      <c r="C1069" s="1" t="n">
        <v>45992</v>
      </c>
      <c r="D1069" t="inlineStr">
        <is>
          <t>STOCKHOLMS LÄN</t>
        </is>
      </c>
      <c r="E1069" t="inlineStr">
        <is>
          <t>NORRTÄLJE</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11849-2025</t>
        </is>
      </c>
      <c r="B1070" s="1" t="n">
        <v>45728.38409722222</v>
      </c>
      <c r="C1070" s="1" t="n">
        <v>45992</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40425-2021</t>
        </is>
      </c>
      <c r="B1071" s="1" t="n">
        <v>44419</v>
      </c>
      <c r="C1071" s="1" t="n">
        <v>45992</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58990-2021</t>
        </is>
      </c>
      <c r="B1072" s="1" t="n">
        <v>44490.03621527777</v>
      </c>
      <c r="C1072" s="1" t="n">
        <v>45992</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20790-2025</t>
        </is>
      </c>
      <c r="B1073" s="1" t="n">
        <v>45776.62563657408</v>
      </c>
      <c r="C1073" s="1" t="n">
        <v>45992</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20699-2025</t>
        </is>
      </c>
      <c r="B1074" s="1" t="n">
        <v>45776.47346064815</v>
      </c>
      <c r="C1074" s="1" t="n">
        <v>45992</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3152-2024</t>
        </is>
      </c>
      <c r="B1075" s="1" t="n">
        <v>45316.60306712963</v>
      </c>
      <c r="C1075" s="1" t="n">
        <v>45992</v>
      </c>
      <c r="D1075" t="inlineStr">
        <is>
          <t>STOCKHOLMS LÄN</t>
        </is>
      </c>
      <c r="E1075" t="inlineStr">
        <is>
          <t>NORRTÄLJE</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59326-2023</t>
        </is>
      </c>
      <c r="B1076" s="1" t="n">
        <v>45253.63089120371</v>
      </c>
      <c r="C1076" s="1" t="n">
        <v>45992</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44836-2023</t>
        </is>
      </c>
      <c r="B1077" s="1" t="n">
        <v>45190.55609953704</v>
      </c>
      <c r="C1077" s="1" t="n">
        <v>45992</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20779-2025</t>
        </is>
      </c>
      <c r="B1078" s="1" t="n">
        <v>45776.59871527777</v>
      </c>
      <c r="C1078" s="1" t="n">
        <v>45992</v>
      </c>
      <c r="D1078" t="inlineStr">
        <is>
          <t>STOCKHOLMS LÄN</t>
        </is>
      </c>
      <c r="E1078" t="inlineStr">
        <is>
          <t>NORRTÄLJE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21771-2025</t>
        </is>
      </c>
      <c r="B1079" s="1" t="n">
        <v>45783</v>
      </c>
      <c r="C1079" s="1" t="n">
        <v>45992</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21778-2025</t>
        </is>
      </c>
      <c r="B1080" s="1" t="n">
        <v>45783.66429398148</v>
      </c>
      <c r="C1080" s="1" t="n">
        <v>45992</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22202-2025</t>
        </is>
      </c>
      <c r="B1081" s="1" t="n">
        <v>45785.65300925926</v>
      </c>
      <c r="C1081" s="1" t="n">
        <v>45992</v>
      </c>
      <c r="D1081" t="inlineStr">
        <is>
          <t>STOCKHOLMS LÄN</t>
        </is>
      </c>
      <c r="E1081" t="inlineStr">
        <is>
          <t>NORRTÄLJE</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45992</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45992</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45992</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2182-2022</t>
        </is>
      </c>
      <c r="B1085" s="1" t="n">
        <v>44578</v>
      </c>
      <c r="C1085" s="1" t="n">
        <v>45992</v>
      </c>
      <c r="D1085" t="inlineStr">
        <is>
          <t>STOCKHOLMS LÄN</t>
        </is>
      </c>
      <c r="E1085" t="inlineStr">
        <is>
          <t>NORRTÄLJE</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13268-2025</t>
        </is>
      </c>
      <c r="B1086" s="1" t="n">
        <v>45735</v>
      </c>
      <c r="C1086" s="1" t="n">
        <v>45992</v>
      </c>
      <c r="D1086" t="inlineStr">
        <is>
          <t>STOCKHOLMS LÄN</t>
        </is>
      </c>
      <c r="E1086" t="inlineStr">
        <is>
          <t>NORRTÄLJE</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8414-2025</t>
        </is>
      </c>
      <c r="B1087" s="1" t="n">
        <v>45709.39361111111</v>
      </c>
      <c r="C1087" s="1" t="n">
        <v>45992</v>
      </c>
      <c r="D1087" t="inlineStr">
        <is>
          <t>STOCKHOLMS LÄN</t>
        </is>
      </c>
      <c r="E1087" t="inlineStr">
        <is>
          <t>NORRTÄLJE</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36625-2024</t>
        </is>
      </c>
      <c r="B1088" s="1" t="n">
        <v>45537</v>
      </c>
      <c r="C1088" s="1" t="n">
        <v>45992</v>
      </c>
      <c r="D1088" t="inlineStr">
        <is>
          <t>STOCKHOLMS LÄN</t>
        </is>
      </c>
      <c r="E1088" t="inlineStr">
        <is>
          <t>NORRTÄLJE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44891-2023</t>
        </is>
      </c>
      <c r="B1089" s="1" t="n">
        <v>45187</v>
      </c>
      <c r="C1089" s="1" t="n">
        <v>45992</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12902-2024</t>
        </is>
      </c>
      <c r="B1090" s="1" t="n">
        <v>45385.38146990741</v>
      </c>
      <c r="C1090" s="1" t="n">
        <v>45992</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44032-2024</t>
        </is>
      </c>
      <c r="B1091" s="1" t="n">
        <v>45572.57828703704</v>
      </c>
      <c r="C1091" s="1" t="n">
        <v>45992</v>
      </c>
      <c r="D1091" t="inlineStr">
        <is>
          <t>STOCKHOLMS LÄN</t>
        </is>
      </c>
      <c r="E1091" t="inlineStr">
        <is>
          <t>NORRTÄLJE</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24563-2024</t>
        </is>
      </c>
      <c r="B1092" s="1" t="n">
        <v>45460.44347222222</v>
      </c>
      <c r="C1092" s="1" t="n">
        <v>45992</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39237-2024</t>
        </is>
      </c>
      <c r="B1093" s="1" t="n">
        <v>45549</v>
      </c>
      <c r="C1093" s="1" t="n">
        <v>45992</v>
      </c>
      <c r="D1093" t="inlineStr">
        <is>
          <t>STOCKHOLMS LÄN</t>
        </is>
      </c>
      <c r="E1093" t="inlineStr">
        <is>
          <t>NORRTÄLJE</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45746-2024</t>
        </is>
      </c>
      <c r="B1094" s="1" t="n">
        <v>45579</v>
      </c>
      <c r="C1094" s="1" t="n">
        <v>45992</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8400-2024</t>
        </is>
      </c>
      <c r="B1095" s="1" t="n">
        <v>45352.74090277778</v>
      </c>
      <c r="C1095" s="1" t="n">
        <v>45992</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62998-2023</t>
        </is>
      </c>
      <c r="B1096" s="1" t="n">
        <v>45272.64479166667</v>
      </c>
      <c r="C1096" s="1" t="n">
        <v>45992</v>
      </c>
      <c r="D1096" t="inlineStr">
        <is>
          <t>STOCKHOLMS LÄN</t>
        </is>
      </c>
      <c r="E1096" t="inlineStr">
        <is>
          <t>NORRTÄLJE</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63015-2023</t>
        </is>
      </c>
      <c r="B1097" s="1" t="n">
        <v>45272</v>
      </c>
      <c r="C1097" s="1" t="n">
        <v>45992</v>
      </c>
      <c r="D1097" t="inlineStr">
        <is>
          <t>STOCKHOLMS LÄN</t>
        </is>
      </c>
      <c r="E1097" t="inlineStr">
        <is>
          <t>NORRTÄLJE</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27831-2024</t>
        </is>
      </c>
      <c r="B1098" s="1" t="n">
        <v>45475.61896990741</v>
      </c>
      <c r="C1098" s="1" t="n">
        <v>45992</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33175-2024</t>
        </is>
      </c>
      <c r="B1099" s="1" t="n">
        <v>45518</v>
      </c>
      <c r="C1099" s="1" t="n">
        <v>45992</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21803-2022</t>
        </is>
      </c>
      <c r="B1100" s="1" t="n">
        <v>44708.67822916667</v>
      </c>
      <c r="C1100" s="1" t="n">
        <v>45992</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c r="A1101" t="inlineStr">
        <is>
          <t>A 20730-2024</t>
        </is>
      </c>
      <c r="B1101" s="1" t="n">
        <v>45436</v>
      </c>
      <c r="C1101" s="1" t="n">
        <v>45992</v>
      </c>
      <c r="D1101" t="inlineStr">
        <is>
          <t>STOCKHOLMS LÄN</t>
        </is>
      </c>
      <c r="E1101" t="inlineStr">
        <is>
          <t>NORRTÄLJE</t>
        </is>
      </c>
      <c r="G1101" t="n">
        <v>7.3</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2025-12-01T10:28:17Z</dcterms:created>
  <dcterms:modified xmlns:dcterms="http://purl.org/dc/terms/" xmlns:xsi="http://www.w3.org/2001/XMLSchema-instance" xsi:type="dcterms:W3CDTF">2025-12-01T10:28:18Z</dcterms:modified>
</cp:coreProperties>
</file>