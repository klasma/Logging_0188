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45908</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45908</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45908</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60019-2022</t>
        </is>
      </c>
      <c r="B6" s="1" t="n">
        <v>44909</v>
      </c>
      <c r="C6" s="1" t="n">
        <v>45908</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45908</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45908</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45908</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45908</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45908</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45908</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45908</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45908</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45908</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52815-2021</t>
        </is>
      </c>
      <c r="B16" s="1" t="n">
        <v>44467</v>
      </c>
      <c r="C16" s="1" t="n">
        <v>45908</v>
      </c>
      <c r="D16" t="inlineStr">
        <is>
          <t>STOCKHOLMS LÄN</t>
        </is>
      </c>
      <c r="E16" t="inlineStr">
        <is>
          <t>NORRTÄLJE</t>
        </is>
      </c>
      <c r="G16" t="n">
        <v>2.8</v>
      </c>
      <c r="H16" t="n">
        <v>0</v>
      </c>
      <c r="I16" t="n">
        <v>2</v>
      </c>
      <c r="J16" t="n">
        <v>2</v>
      </c>
      <c r="K16" t="n">
        <v>4</v>
      </c>
      <c r="L16" t="n">
        <v>1</v>
      </c>
      <c r="M16" t="n">
        <v>0</v>
      </c>
      <c r="N16" t="n">
        <v>0</v>
      </c>
      <c r="O16" t="n">
        <v>7</v>
      </c>
      <c r="P16" t="n">
        <v>5</v>
      </c>
      <c r="Q16" t="n">
        <v>9</v>
      </c>
      <c r="R16" s="2" t="inlineStr">
        <is>
          <t>Raggtaggsvamp
Gul lammticka
Koppartaggsvamp
Spricktaggsvamp
Svartfjällig musseron
Bittermusseron
Flattoppad klubbsvamp
Diskvaxskivling
Fjällig taggsvamp s.str.</t>
        </is>
      </c>
      <c r="S16">
        <f>HYPERLINK("https://klasma.github.io/Logging_0188/artfynd/A 52815-2021 artfynd.xlsx", "A 52815-2021")</f>
        <v/>
      </c>
      <c r="T16">
        <f>HYPERLINK("https://klasma.github.io/Logging_0188/kartor/A 52815-2021 karta.png", "A 52815-2021")</f>
        <v/>
      </c>
      <c r="V16">
        <f>HYPERLINK("https://klasma.github.io/Logging_0188/klagomål/A 52815-2021 FSC-klagomål.docx", "A 52815-2021")</f>
        <v/>
      </c>
      <c r="W16">
        <f>HYPERLINK("https://klasma.github.io/Logging_0188/klagomålsmail/A 52815-2021 FSC-klagomål mail.docx", "A 52815-2021")</f>
        <v/>
      </c>
      <c r="X16">
        <f>HYPERLINK("https://klasma.github.io/Logging_0188/tillsyn/A 52815-2021 tillsynsbegäran.docx", "A 52815-2021")</f>
        <v/>
      </c>
      <c r="Y16">
        <f>HYPERLINK("https://klasma.github.io/Logging_0188/tillsynsmail/A 52815-2021 tillsynsbegäran mail.docx", "A 52815-2021")</f>
        <v/>
      </c>
    </row>
    <row r="17" ht="15" customHeight="1">
      <c r="A17" t="inlineStr">
        <is>
          <t>A 50326-2024</t>
        </is>
      </c>
      <c r="B17" s="1" t="n">
        <v>45600</v>
      </c>
      <c r="C17" s="1" t="n">
        <v>45908</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47274-2024</t>
        </is>
      </c>
      <c r="B18" s="1" t="n">
        <v>45586.88145833334</v>
      </c>
      <c r="C18" s="1" t="n">
        <v>45908</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45908</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4705-2025</t>
        </is>
      </c>
      <c r="B20" s="1" t="n">
        <v>45688.38224537037</v>
      </c>
      <c r="C20" s="1" t="n">
        <v>45908</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45908</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45908</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45908</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45908</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45908</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45908</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45908</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30687-2025</t>
        </is>
      </c>
      <c r="B28" s="1" t="n">
        <v>45831.53390046296</v>
      </c>
      <c r="C28" s="1" t="n">
        <v>45908</v>
      </c>
      <c r="D28" t="inlineStr">
        <is>
          <t>STOCKHOLMS LÄN</t>
        </is>
      </c>
      <c r="E28" t="inlineStr">
        <is>
          <t>NORRTÄLJE</t>
        </is>
      </c>
      <c r="G28" t="n">
        <v>6.7</v>
      </c>
      <c r="H28" t="n">
        <v>1</v>
      </c>
      <c r="I28" t="n">
        <v>2</v>
      </c>
      <c r="J28" t="n">
        <v>2</v>
      </c>
      <c r="K28" t="n">
        <v>0</v>
      </c>
      <c r="L28" t="n">
        <v>0</v>
      </c>
      <c r="M28" t="n">
        <v>0</v>
      </c>
      <c r="N28" t="n">
        <v>0</v>
      </c>
      <c r="O28" t="n">
        <v>2</v>
      </c>
      <c r="P28" t="n">
        <v>0</v>
      </c>
      <c r="Q28" t="n">
        <v>5</v>
      </c>
      <c r="R28" s="2" t="inlineStr">
        <is>
          <t>Ekvaxskivling
Kandelabersvamp
Stinkbrosking
Svart trolldruva
Blåsippa</t>
        </is>
      </c>
      <c r="S28">
        <f>HYPERLINK("https://klasma.github.io/Logging_0188/artfynd/A 30687-2025 artfynd.xlsx", "A 30687-2025")</f>
        <v/>
      </c>
      <c r="T28">
        <f>HYPERLINK("https://klasma.github.io/Logging_0188/kartor/A 30687-2025 karta.png", "A 30687-2025")</f>
        <v/>
      </c>
      <c r="V28">
        <f>HYPERLINK("https://klasma.github.io/Logging_0188/klagomål/A 30687-2025 FSC-klagomål.docx", "A 30687-2025")</f>
        <v/>
      </c>
      <c r="W28">
        <f>HYPERLINK("https://klasma.github.io/Logging_0188/klagomålsmail/A 30687-2025 FSC-klagomål mail.docx", "A 30687-2025")</f>
        <v/>
      </c>
      <c r="X28">
        <f>HYPERLINK("https://klasma.github.io/Logging_0188/tillsyn/A 30687-2025 tillsynsbegäran.docx", "A 30687-2025")</f>
        <v/>
      </c>
      <c r="Y28">
        <f>HYPERLINK("https://klasma.github.io/Logging_0188/tillsynsmail/A 30687-2025 tillsynsbegäran mail.docx", "A 30687-2025")</f>
        <v/>
      </c>
    </row>
    <row r="29" ht="15" customHeight="1">
      <c r="A29" t="inlineStr">
        <is>
          <t>A 21922-2023</t>
        </is>
      </c>
      <c r="B29" s="1" t="n">
        <v>45068</v>
      </c>
      <c r="C29" s="1" t="n">
        <v>45908</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72111-2021</t>
        </is>
      </c>
      <c r="B30" s="1" t="n">
        <v>44544</v>
      </c>
      <c r="C30" s="1" t="n">
        <v>45908</v>
      </c>
      <c r="D30" t="inlineStr">
        <is>
          <t>STOCKHOLMS LÄN</t>
        </is>
      </c>
      <c r="E30" t="inlineStr">
        <is>
          <t>NORRTÄLJE</t>
        </is>
      </c>
      <c r="G30" t="n">
        <v>5.1</v>
      </c>
      <c r="H30" t="n">
        <v>1</v>
      </c>
      <c r="I30" t="n">
        <v>3</v>
      </c>
      <c r="J30" t="n">
        <v>1</v>
      </c>
      <c r="K30" t="n">
        <v>0</v>
      </c>
      <c r="L30" t="n">
        <v>0</v>
      </c>
      <c r="M30" t="n">
        <v>0</v>
      </c>
      <c r="N30" t="n">
        <v>0</v>
      </c>
      <c r="O30" t="n">
        <v>1</v>
      </c>
      <c r="P30" t="n">
        <v>0</v>
      </c>
      <c r="Q30" t="n">
        <v>5</v>
      </c>
      <c r="R30" s="2" t="inlineStr">
        <is>
          <t>Lunglav
Scharlakansvårskål agg.
Sårläka
Vårärt
Blåsippa</t>
        </is>
      </c>
      <c r="S30">
        <f>HYPERLINK("https://klasma.github.io/Logging_0188/artfynd/A 72111-2021 artfynd.xlsx", "A 72111-2021")</f>
        <v/>
      </c>
      <c r="T30">
        <f>HYPERLINK("https://klasma.github.io/Logging_0188/kartor/A 72111-2021 karta.png", "A 72111-2021")</f>
        <v/>
      </c>
      <c r="V30">
        <f>HYPERLINK("https://klasma.github.io/Logging_0188/klagomål/A 72111-2021 FSC-klagomål.docx", "A 72111-2021")</f>
        <v/>
      </c>
      <c r="W30">
        <f>HYPERLINK("https://klasma.github.io/Logging_0188/klagomålsmail/A 72111-2021 FSC-klagomål mail.docx", "A 72111-2021")</f>
        <v/>
      </c>
      <c r="X30">
        <f>HYPERLINK("https://klasma.github.io/Logging_0188/tillsyn/A 72111-2021 tillsynsbegäran.docx", "A 72111-2021")</f>
        <v/>
      </c>
      <c r="Y30">
        <f>HYPERLINK("https://klasma.github.io/Logging_0188/tillsynsmail/A 72111-2021 tillsynsbegäran mail.docx", "A 72111-2021")</f>
        <v/>
      </c>
    </row>
    <row r="31" ht="15" customHeight="1">
      <c r="A31" t="inlineStr">
        <is>
          <t>A 15804-2025</t>
        </is>
      </c>
      <c r="B31" s="1" t="n">
        <v>45748.6521875</v>
      </c>
      <c r="C31" s="1" t="n">
        <v>45908</v>
      </c>
      <c r="D31" t="inlineStr">
        <is>
          <t>STOCKHOLMS LÄN</t>
        </is>
      </c>
      <c r="E31" t="inlineStr">
        <is>
          <t>NORRTÄLJE</t>
        </is>
      </c>
      <c r="F31" t="inlineStr">
        <is>
          <t>Holmen skog AB</t>
        </is>
      </c>
      <c r="G31" t="n">
        <v>1.7</v>
      </c>
      <c r="H31" t="n">
        <v>1</v>
      </c>
      <c r="I31" t="n">
        <v>1</v>
      </c>
      <c r="J31" t="n">
        <v>3</v>
      </c>
      <c r="K31" t="n">
        <v>0</v>
      </c>
      <c r="L31" t="n">
        <v>1</v>
      </c>
      <c r="M31" t="n">
        <v>0</v>
      </c>
      <c r="N31" t="n">
        <v>0</v>
      </c>
      <c r="O31" t="n">
        <v>4</v>
      </c>
      <c r="P31" t="n">
        <v>1</v>
      </c>
      <c r="Q31" t="n">
        <v>5</v>
      </c>
      <c r="R31" s="2" t="inlineStr">
        <is>
          <t>Asknätfjäril
Gullklöver
Skogsklocka
Slåtterfibbla
Spetsvaxing</t>
        </is>
      </c>
      <c r="S31">
        <f>HYPERLINK("https://klasma.github.io/Logging_0188/artfynd/A 15804-2025 artfynd.xlsx", "A 15804-2025")</f>
        <v/>
      </c>
      <c r="T31">
        <f>HYPERLINK("https://klasma.github.io/Logging_0188/kartor/A 15804-2025 karta.png", "A 15804-2025")</f>
        <v/>
      </c>
      <c r="V31">
        <f>HYPERLINK("https://klasma.github.io/Logging_0188/klagomål/A 15804-2025 FSC-klagomål.docx", "A 15804-2025")</f>
        <v/>
      </c>
      <c r="W31">
        <f>HYPERLINK("https://klasma.github.io/Logging_0188/klagomålsmail/A 15804-2025 FSC-klagomål mail.docx", "A 15804-2025")</f>
        <v/>
      </c>
      <c r="X31">
        <f>HYPERLINK("https://klasma.github.io/Logging_0188/tillsyn/A 15804-2025 tillsynsbegäran.docx", "A 15804-2025")</f>
        <v/>
      </c>
      <c r="Y31">
        <f>HYPERLINK("https://klasma.github.io/Logging_0188/tillsynsmail/A 15804-2025 tillsynsbegäran mail.docx", "A 15804-2025")</f>
        <v/>
      </c>
    </row>
    <row r="32" ht="15" customHeight="1">
      <c r="A32" t="inlineStr">
        <is>
          <t>A 22071-2022</t>
        </is>
      </c>
      <c r="B32" s="1" t="n">
        <v>44711</v>
      </c>
      <c r="C32" s="1" t="n">
        <v>45908</v>
      </c>
      <c r="D32" t="inlineStr">
        <is>
          <t>STOCKHOLMS LÄN</t>
        </is>
      </c>
      <c r="E32" t="inlineStr">
        <is>
          <t>NORRTÄLJE</t>
        </is>
      </c>
      <c r="G32" t="n">
        <v>7</v>
      </c>
      <c r="H32" t="n">
        <v>1</v>
      </c>
      <c r="I32" t="n">
        <v>2</v>
      </c>
      <c r="J32" t="n">
        <v>2</v>
      </c>
      <c r="K32" t="n">
        <v>0</v>
      </c>
      <c r="L32" t="n">
        <v>0</v>
      </c>
      <c r="M32" t="n">
        <v>0</v>
      </c>
      <c r="N32" t="n">
        <v>0</v>
      </c>
      <c r="O32" t="n">
        <v>2</v>
      </c>
      <c r="P32" t="n">
        <v>0</v>
      </c>
      <c r="Q32" t="n">
        <v>4</v>
      </c>
      <c r="R32" s="2" t="inlineStr">
        <is>
          <t>Spillkråka
Vedskivlav
Björksplintborre
Kattfotslav</t>
        </is>
      </c>
      <c r="S32">
        <f>HYPERLINK("https://klasma.github.io/Logging_0188/artfynd/A 22071-2022 artfynd.xlsx", "A 22071-2022")</f>
        <v/>
      </c>
      <c r="T32">
        <f>HYPERLINK("https://klasma.github.io/Logging_0188/kartor/A 22071-2022 karta.png", "A 22071-2022")</f>
        <v/>
      </c>
      <c r="V32">
        <f>HYPERLINK("https://klasma.github.io/Logging_0188/klagomål/A 22071-2022 FSC-klagomål.docx", "A 22071-2022")</f>
        <v/>
      </c>
      <c r="W32">
        <f>HYPERLINK("https://klasma.github.io/Logging_0188/klagomålsmail/A 22071-2022 FSC-klagomål mail.docx", "A 22071-2022")</f>
        <v/>
      </c>
      <c r="X32">
        <f>HYPERLINK("https://klasma.github.io/Logging_0188/tillsyn/A 22071-2022 tillsynsbegäran.docx", "A 22071-2022")</f>
        <v/>
      </c>
      <c r="Y32">
        <f>HYPERLINK("https://klasma.github.io/Logging_0188/tillsynsmail/A 22071-2022 tillsynsbegäran mail.docx", "A 22071-2022")</f>
        <v/>
      </c>
      <c r="Z32">
        <f>HYPERLINK("https://klasma.github.io/Logging_0188/fåglar/A 22071-2022 prioriterade fågelarter.docx", "A 22071-2022")</f>
        <v/>
      </c>
    </row>
    <row r="33" ht="15" customHeight="1">
      <c r="A33" t="inlineStr">
        <is>
          <t>A 21730-2025</t>
        </is>
      </c>
      <c r="B33" s="1" t="n">
        <v>45783.58123842593</v>
      </c>
      <c r="C33" s="1" t="n">
        <v>45908</v>
      </c>
      <c r="D33" t="inlineStr">
        <is>
          <t>STOCKHOLMS LÄN</t>
        </is>
      </c>
      <c r="E33" t="inlineStr">
        <is>
          <t>NORRTÄLJE</t>
        </is>
      </c>
      <c r="G33" t="n">
        <v>4.2</v>
      </c>
      <c r="H33" t="n">
        <v>2</v>
      </c>
      <c r="I33" t="n">
        <v>2</v>
      </c>
      <c r="J33" t="n">
        <v>0</v>
      </c>
      <c r="K33" t="n">
        <v>0</v>
      </c>
      <c r="L33" t="n">
        <v>0</v>
      </c>
      <c r="M33" t="n">
        <v>0</v>
      </c>
      <c r="N33" t="n">
        <v>0</v>
      </c>
      <c r="O33" t="n">
        <v>0</v>
      </c>
      <c r="P33" t="n">
        <v>0</v>
      </c>
      <c r="Q33" t="n">
        <v>4</v>
      </c>
      <c r="R33" s="2" t="inlineStr">
        <is>
          <t>Blåmossa
Brandticka
Blåsippa
Revlummer</t>
        </is>
      </c>
      <c r="S33">
        <f>HYPERLINK("https://klasma.github.io/Logging_0188/artfynd/A 21730-2025 artfynd.xlsx", "A 21730-2025")</f>
        <v/>
      </c>
      <c r="T33">
        <f>HYPERLINK("https://klasma.github.io/Logging_0188/kartor/A 21730-2025 karta.png", "A 21730-2025")</f>
        <v/>
      </c>
      <c r="V33">
        <f>HYPERLINK("https://klasma.github.io/Logging_0188/klagomål/A 21730-2025 FSC-klagomål.docx", "A 21730-2025")</f>
        <v/>
      </c>
      <c r="W33">
        <f>HYPERLINK("https://klasma.github.io/Logging_0188/klagomålsmail/A 21730-2025 FSC-klagomål mail.docx", "A 21730-2025")</f>
        <v/>
      </c>
      <c r="X33">
        <f>HYPERLINK("https://klasma.github.io/Logging_0188/tillsyn/A 21730-2025 tillsynsbegäran.docx", "A 21730-2025")</f>
        <v/>
      </c>
      <c r="Y33">
        <f>HYPERLINK("https://klasma.github.io/Logging_0188/tillsynsmail/A 21730-2025 tillsynsbegäran mail.docx", "A 21730-2025")</f>
        <v/>
      </c>
    </row>
    <row r="34" ht="15" customHeight="1">
      <c r="A34" t="inlineStr">
        <is>
          <t>A 21837-2025</t>
        </is>
      </c>
      <c r="B34" s="1" t="n">
        <v>45784.32179398148</v>
      </c>
      <c r="C34" s="1" t="n">
        <v>45908</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24052-2021</t>
        </is>
      </c>
      <c r="B35" s="1" t="n">
        <v>44336</v>
      </c>
      <c r="C35" s="1" t="n">
        <v>45908</v>
      </c>
      <c r="D35" t="inlineStr">
        <is>
          <t>STOCKHOLMS LÄN</t>
        </is>
      </c>
      <c r="E35" t="inlineStr">
        <is>
          <t>NORRTÄLJE</t>
        </is>
      </c>
      <c r="G35" t="n">
        <v>8.6</v>
      </c>
      <c r="H35" t="n">
        <v>4</v>
      </c>
      <c r="I35" t="n">
        <v>0</v>
      </c>
      <c r="J35" t="n">
        <v>2</v>
      </c>
      <c r="K35" t="n">
        <v>0</v>
      </c>
      <c r="L35" t="n">
        <v>0</v>
      </c>
      <c r="M35" t="n">
        <v>0</v>
      </c>
      <c r="N35" t="n">
        <v>0</v>
      </c>
      <c r="O35" t="n">
        <v>2</v>
      </c>
      <c r="P35" t="n">
        <v>0</v>
      </c>
      <c r="Q35" t="n">
        <v>4</v>
      </c>
      <c r="R35" s="2" t="inlineStr">
        <is>
          <t>Brunlångöra
Nordfladdermus
Dvärgpipistrell
Större brunfladdermus</t>
        </is>
      </c>
      <c r="S35">
        <f>HYPERLINK("https://klasma.github.io/Logging_0188/artfynd/A 24052-2021 artfynd.xlsx", "A 24052-2021")</f>
        <v/>
      </c>
      <c r="T35">
        <f>HYPERLINK("https://klasma.github.io/Logging_0188/kartor/A 24052-2021 karta.png", "A 24052-2021")</f>
        <v/>
      </c>
      <c r="V35">
        <f>HYPERLINK("https://klasma.github.io/Logging_0188/klagomål/A 24052-2021 FSC-klagomål.docx", "A 24052-2021")</f>
        <v/>
      </c>
      <c r="W35">
        <f>HYPERLINK("https://klasma.github.io/Logging_0188/klagomålsmail/A 24052-2021 FSC-klagomål mail.docx", "A 24052-2021")</f>
        <v/>
      </c>
      <c r="X35">
        <f>HYPERLINK("https://klasma.github.io/Logging_0188/tillsyn/A 24052-2021 tillsynsbegäran.docx", "A 24052-2021")</f>
        <v/>
      </c>
      <c r="Y35">
        <f>HYPERLINK("https://klasma.github.io/Logging_0188/tillsynsmail/A 24052-2021 tillsynsbegäran mail.docx", "A 24052-2021")</f>
        <v/>
      </c>
    </row>
    <row r="36" ht="15" customHeight="1">
      <c r="A36" t="inlineStr">
        <is>
          <t>A 10876-2025</t>
        </is>
      </c>
      <c r="B36" s="1" t="n">
        <v>45722</v>
      </c>
      <c r="C36" s="1" t="n">
        <v>45908</v>
      </c>
      <c r="D36" t="inlineStr">
        <is>
          <t>STOCKHOLMS LÄN</t>
        </is>
      </c>
      <c r="E36" t="inlineStr">
        <is>
          <t>NORRTÄLJE</t>
        </is>
      </c>
      <c r="F36" t="inlineStr">
        <is>
          <t>Holmen skog AB</t>
        </is>
      </c>
      <c r="G36" t="n">
        <v>9.300000000000001</v>
      </c>
      <c r="H36" t="n">
        <v>4</v>
      </c>
      <c r="I36" t="n">
        <v>0</v>
      </c>
      <c r="J36" t="n">
        <v>1</v>
      </c>
      <c r="K36" t="n">
        <v>1</v>
      </c>
      <c r="L36" t="n">
        <v>1</v>
      </c>
      <c r="M36" t="n">
        <v>0</v>
      </c>
      <c r="N36" t="n">
        <v>0</v>
      </c>
      <c r="O36" t="n">
        <v>3</v>
      </c>
      <c r="P36" t="n">
        <v>2</v>
      </c>
      <c r="Q36" t="n">
        <v>4</v>
      </c>
      <c r="R36" s="2" t="inlineStr">
        <is>
          <t>Asknätfjäril
Hällebräcka
Utter
Gullviva</t>
        </is>
      </c>
      <c r="S36">
        <f>HYPERLINK("https://klasma.github.io/Logging_0188/artfynd/A 10876-2025 artfynd.xlsx", "A 10876-2025")</f>
        <v/>
      </c>
      <c r="T36">
        <f>HYPERLINK("https://klasma.github.io/Logging_0188/kartor/A 10876-2025 karta.png", "A 10876-2025")</f>
        <v/>
      </c>
      <c r="V36">
        <f>HYPERLINK("https://klasma.github.io/Logging_0188/klagomål/A 10876-2025 FSC-klagomål.docx", "A 10876-2025")</f>
        <v/>
      </c>
      <c r="W36">
        <f>HYPERLINK("https://klasma.github.io/Logging_0188/klagomålsmail/A 10876-2025 FSC-klagomål mail.docx", "A 10876-2025")</f>
        <v/>
      </c>
      <c r="X36">
        <f>HYPERLINK("https://klasma.github.io/Logging_0188/tillsyn/A 10876-2025 tillsynsbegäran.docx", "A 10876-2025")</f>
        <v/>
      </c>
      <c r="Y36">
        <f>HYPERLINK("https://klasma.github.io/Logging_0188/tillsynsmail/A 10876-2025 tillsynsbegäran mail.docx", "A 10876-2025")</f>
        <v/>
      </c>
    </row>
    <row r="37" ht="15" customHeight="1">
      <c r="A37" t="inlineStr">
        <is>
          <t>A 72305-2021</t>
        </is>
      </c>
      <c r="B37" s="1" t="n">
        <v>44545</v>
      </c>
      <c r="C37" s="1" t="n">
        <v>45908</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34521-2025</t>
        </is>
      </c>
      <c r="B38" s="1" t="n">
        <v>45847.47052083333</v>
      </c>
      <c r="C38" s="1" t="n">
        <v>45908</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41276-2025</t>
        </is>
      </c>
      <c r="B39" s="1" t="n">
        <v>45898.62723379629</v>
      </c>
      <c r="C39" s="1" t="n">
        <v>45908</v>
      </c>
      <c r="D39" t="inlineStr">
        <is>
          <t>STOCKHOLMS LÄN</t>
        </is>
      </c>
      <c r="E39" t="inlineStr">
        <is>
          <t>NORRTÄLJE</t>
        </is>
      </c>
      <c r="G39" t="n">
        <v>3.2</v>
      </c>
      <c r="H39" t="n">
        <v>1</v>
      </c>
      <c r="I39" t="n">
        <v>2</v>
      </c>
      <c r="J39" t="n">
        <v>0</v>
      </c>
      <c r="K39" t="n">
        <v>0</v>
      </c>
      <c r="L39" t="n">
        <v>1</v>
      </c>
      <c r="M39" t="n">
        <v>0</v>
      </c>
      <c r="N39" t="n">
        <v>0</v>
      </c>
      <c r="O39" t="n">
        <v>1</v>
      </c>
      <c r="P39" t="n">
        <v>1</v>
      </c>
      <c r="Q39" t="n">
        <v>4</v>
      </c>
      <c r="R39" s="2" t="inlineStr">
        <is>
          <t>Ask
Underviol
Vårärt
Blåsippa</t>
        </is>
      </c>
      <c r="S39">
        <f>HYPERLINK("https://klasma.github.io/Logging_0188/artfynd/A 41276-2025 artfynd.xlsx", "A 41276-2025")</f>
        <v/>
      </c>
      <c r="T39">
        <f>HYPERLINK("https://klasma.github.io/Logging_0188/kartor/A 41276-2025 karta.png", "A 41276-2025")</f>
        <v/>
      </c>
      <c r="V39">
        <f>HYPERLINK("https://klasma.github.io/Logging_0188/klagomål/A 41276-2025 FSC-klagomål.docx", "A 41276-2025")</f>
        <v/>
      </c>
      <c r="W39">
        <f>HYPERLINK("https://klasma.github.io/Logging_0188/klagomålsmail/A 41276-2025 FSC-klagomål mail.docx", "A 41276-2025")</f>
        <v/>
      </c>
      <c r="X39">
        <f>HYPERLINK("https://klasma.github.io/Logging_0188/tillsyn/A 41276-2025 tillsynsbegäran.docx", "A 41276-2025")</f>
        <v/>
      </c>
      <c r="Y39">
        <f>HYPERLINK("https://klasma.github.io/Logging_0188/tillsynsmail/A 41276-2025 tillsynsbegäran mail.docx", "A 41276-2025")</f>
        <v/>
      </c>
    </row>
    <row r="40" ht="15" customHeight="1">
      <c r="A40" t="inlineStr">
        <is>
          <t>A 44709-2022</t>
        </is>
      </c>
      <c r="B40" s="1" t="n">
        <v>44839</v>
      </c>
      <c r="C40" s="1" t="n">
        <v>45908</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45908</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45908</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45908</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45908</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45908</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54110-2024</t>
        </is>
      </c>
      <c r="B46" s="1" t="n">
        <v>45616.54866898148</v>
      </c>
      <c r="C46" s="1" t="n">
        <v>45908</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29185-2025</t>
        </is>
      </c>
      <c r="B47" s="1" t="n">
        <v>45821</v>
      </c>
      <c r="C47" s="1" t="n">
        <v>45908</v>
      </c>
      <c r="D47" t="inlineStr">
        <is>
          <t>STOCKHOLMS LÄN</t>
        </is>
      </c>
      <c r="E47" t="inlineStr">
        <is>
          <t>NORRTÄLJE</t>
        </is>
      </c>
      <c r="F47" t="inlineStr">
        <is>
          <t>Övriga Aktiebolag</t>
        </is>
      </c>
      <c r="G47" t="n">
        <v>8.5</v>
      </c>
      <c r="H47" t="n">
        <v>2</v>
      </c>
      <c r="I47" t="n">
        <v>1</v>
      </c>
      <c r="J47" t="n">
        <v>0</v>
      </c>
      <c r="K47" t="n">
        <v>0</v>
      </c>
      <c r="L47" t="n">
        <v>0</v>
      </c>
      <c r="M47" t="n">
        <v>0</v>
      </c>
      <c r="N47" t="n">
        <v>0</v>
      </c>
      <c r="O47" t="n">
        <v>0</v>
      </c>
      <c r="P47" t="n">
        <v>0</v>
      </c>
      <c r="Q47" t="n">
        <v>3</v>
      </c>
      <c r="R47" s="2" t="inlineStr">
        <is>
          <t>Vårärt
Fläcknycklar
Blåsippa</t>
        </is>
      </c>
      <c r="S47">
        <f>HYPERLINK("https://klasma.github.io/Logging_0188/artfynd/A 29185-2025 artfynd.xlsx", "A 29185-2025")</f>
        <v/>
      </c>
      <c r="T47">
        <f>HYPERLINK("https://klasma.github.io/Logging_0188/kartor/A 29185-2025 karta.png", "A 29185-2025")</f>
        <v/>
      </c>
      <c r="V47">
        <f>HYPERLINK("https://klasma.github.io/Logging_0188/klagomål/A 29185-2025 FSC-klagomål.docx", "A 29185-2025")</f>
        <v/>
      </c>
      <c r="W47">
        <f>HYPERLINK("https://klasma.github.io/Logging_0188/klagomålsmail/A 29185-2025 FSC-klagomål mail.docx", "A 29185-2025")</f>
        <v/>
      </c>
      <c r="X47">
        <f>HYPERLINK("https://klasma.github.io/Logging_0188/tillsyn/A 29185-2025 tillsynsbegäran.docx", "A 29185-2025")</f>
        <v/>
      </c>
      <c r="Y47">
        <f>HYPERLINK("https://klasma.github.io/Logging_0188/tillsynsmail/A 29185-2025 tillsynsbegäran mail.docx", "A 29185-2025")</f>
        <v/>
      </c>
    </row>
    <row r="48" ht="15" customHeight="1">
      <c r="A48" t="inlineStr">
        <is>
          <t>A 34528-2025</t>
        </is>
      </c>
      <c r="B48" s="1" t="n">
        <v>45847.48436342592</v>
      </c>
      <c r="C48" s="1" t="n">
        <v>45908</v>
      </c>
      <c r="D48" t="inlineStr">
        <is>
          <t>STOCKHOLMS LÄN</t>
        </is>
      </c>
      <c r="E48" t="inlineStr">
        <is>
          <t>NORRTÄLJE</t>
        </is>
      </c>
      <c r="G48" t="n">
        <v>1</v>
      </c>
      <c r="H48" t="n">
        <v>0</v>
      </c>
      <c r="I48" t="n">
        <v>0</v>
      </c>
      <c r="J48" t="n">
        <v>2</v>
      </c>
      <c r="K48" t="n">
        <v>1</v>
      </c>
      <c r="L48" t="n">
        <v>0</v>
      </c>
      <c r="M48" t="n">
        <v>0</v>
      </c>
      <c r="N48" t="n">
        <v>0</v>
      </c>
      <c r="O48" t="n">
        <v>3</v>
      </c>
      <c r="P48" t="n">
        <v>1</v>
      </c>
      <c r="Q48" t="n">
        <v>3</v>
      </c>
      <c r="R48" s="2" t="inlineStr">
        <is>
          <t>Gyllenfingersvamp
Gammelgransskål
Motaggsvamp</t>
        </is>
      </c>
      <c r="S48">
        <f>HYPERLINK("https://klasma.github.io/Logging_0188/artfynd/A 34528-2025 artfynd.xlsx", "A 34528-2025")</f>
        <v/>
      </c>
      <c r="T48">
        <f>HYPERLINK("https://klasma.github.io/Logging_0188/kartor/A 34528-2025 karta.png", "A 34528-2025")</f>
        <v/>
      </c>
      <c r="V48">
        <f>HYPERLINK("https://klasma.github.io/Logging_0188/klagomål/A 34528-2025 FSC-klagomål.docx", "A 34528-2025")</f>
        <v/>
      </c>
      <c r="W48">
        <f>HYPERLINK("https://klasma.github.io/Logging_0188/klagomålsmail/A 34528-2025 FSC-klagomål mail.docx", "A 34528-2025")</f>
        <v/>
      </c>
      <c r="X48">
        <f>HYPERLINK("https://klasma.github.io/Logging_0188/tillsyn/A 34528-2025 tillsynsbegäran.docx", "A 34528-2025")</f>
        <v/>
      </c>
      <c r="Y48">
        <f>HYPERLINK("https://klasma.github.io/Logging_0188/tillsynsmail/A 34528-2025 tillsynsbegäran mail.docx", "A 34528-2025")</f>
        <v/>
      </c>
    </row>
    <row r="49" ht="15" customHeight="1">
      <c r="A49" t="inlineStr">
        <is>
          <t>A 34524-2025</t>
        </is>
      </c>
      <c r="B49" s="1" t="n">
        <v>45847.47685185185</v>
      </c>
      <c r="C49" s="1" t="n">
        <v>45908</v>
      </c>
      <c r="D49" t="inlineStr">
        <is>
          <t>STOCKHOLMS LÄN</t>
        </is>
      </c>
      <c r="E49" t="inlineStr">
        <is>
          <t>NORRTÄLJE</t>
        </is>
      </c>
      <c r="G49" t="n">
        <v>3.3</v>
      </c>
      <c r="H49" t="n">
        <v>0</v>
      </c>
      <c r="I49" t="n">
        <v>1</v>
      </c>
      <c r="J49" t="n">
        <v>2</v>
      </c>
      <c r="K49" t="n">
        <v>0</v>
      </c>
      <c r="L49" t="n">
        <v>0</v>
      </c>
      <c r="M49" t="n">
        <v>0</v>
      </c>
      <c r="N49" t="n">
        <v>0</v>
      </c>
      <c r="O49" t="n">
        <v>2</v>
      </c>
      <c r="P49" t="n">
        <v>0</v>
      </c>
      <c r="Q49" t="n">
        <v>3</v>
      </c>
      <c r="R49" s="2" t="inlineStr">
        <is>
          <t>Tallticka
Vedtrappmossa
Kornknutmossa</t>
        </is>
      </c>
      <c r="S49">
        <f>HYPERLINK("https://klasma.github.io/Logging_0188/artfynd/A 34524-2025 artfynd.xlsx", "A 34524-2025")</f>
        <v/>
      </c>
      <c r="T49">
        <f>HYPERLINK("https://klasma.github.io/Logging_0188/kartor/A 34524-2025 karta.png", "A 34524-2025")</f>
        <v/>
      </c>
      <c r="V49">
        <f>HYPERLINK("https://klasma.github.io/Logging_0188/klagomål/A 34524-2025 FSC-klagomål.docx", "A 34524-2025")</f>
        <v/>
      </c>
      <c r="W49">
        <f>HYPERLINK("https://klasma.github.io/Logging_0188/klagomålsmail/A 34524-2025 FSC-klagomål mail.docx", "A 34524-2025")</f>
        <v/>
      </c>
      <c r="X49">
        <f>HYPERLINK("https://klasma.github.io/Logging_0188/tillsyn/A 34524-2025 tillsynsbegäran.docx", "A 34524-2025")</f>
        <v/>
      </c>
      <c r="Y49">
        <f>HYPERLINK("https://klasma.github.io/Logging_0188/tillsynsmail/A 34524-2025 tillsynsbegäran mail.docx", "A 34524-2025")</f>
        <v/>
      </c>
    </row>
    <row r="50" ht="15" customHeight="1">
      <c r="A50" t="inlineStr">
        <is>
          <t>A 2851-2023</t>
        </is>
      </c>
      <c r="B50" s="1" t="n">
        <v>44945</v>
      </c>
      <c r="C50" s="1" t="n">
        <v>45908</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45908</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27870-2022</t>
        </is>
      </c>
      <c r="B52" s="1" t="n">
        <v>44743.64592592593</v>
      </c>
      <c r="C52" s="1" t="n">
        <v>45908</v>
      </c>
      <c r="D52" t="inlineStr">
        <is>
          <t>STOCKHOLMS LÄN</t>
        </is>
      </c>
      <c r="E52" t="inlineStr">
        <is>
          <t>NORRTÄLJE</t>
        </is>
      </c>
      <c r="F52" t="inlineStr">
        <is>
          <t>Holmen skog AB</t>
        </is>
      </c>
      <c r="G52" t="n">
        <v>1.8</v>
      </c>
      <c r="H52" t="n">
        <v>3</v>
      </c>
      <c r="I52" t="n">
        <v>0</v>
      </c>
      <c r="J52" t="n">
        <v>1</v>
      </c>
      <c r="K52" t="n">
        <v>0</v>
      </c>
      <c r="L52" t="n">
        <v>0</v>
      </c>
      <c r="M52" t="n">
        <v>0</v>
      </c>
      <c r="N52" t="n">
        <v>0</v>
      </c>
      <c r="O52" t="n">
        <v>1</v>
      </c>
      <c r="P52" t="n">
        <v>0</v>
      </c>
      <c r="Q52" t="n">
        <v>3</v>
      </c>
      <c r="R52" s="2" t="inlineStr">
        <is>
          <t>Nordfladdermus
Dvärgpipistrell
Större brunfladdermus</t>
        </is>
      </c>
      <c r="S52">
        <f>HYPERLINK("https://klasma.github.io/Logging_0188/artfynd/A 27870-2022 artfynd.xlsx", "A 27870-2022")</f>
        <v/>
      </c>
      <c r="T52">
        <f>HYPERLINK("https://klasma.github.io/Logging_0188/kartor/A 27870-2022 karta.png", "A 27870-2022")</f>
        <v/>
      </c>
      <c r="V52">
        <f>HYPERLINK("https://klasma.github.io/Logging_0188/klagomål/A 27870-2022 FSC-klagomål.docx", "A 27870-2022")</f>
        <v/>
      </c>
      <c r="W52">
        <f>HYPERLINK("https://klasma.github.io/Logging_0188/klagomålsmail/A 27870-2022 FSC-klagomål mail.docx", "A 27870-2022")</f>
        <v/>
      </c>
      <c r="X52">
        <f>HYPERLINK("https://klasma.github.io/Logging_0188/tillsyn/A 27870-2022 tillsynsbegäran.docx", "A 27870-2022")</f>
        <v/>
      </c>
      <c r="Y52">
        <f>HYPERLINK("https://klasma.github.io/Logging_0188/tillsynsmail/A 27870-2022 tillsynsbegäran mail.docx", "A 27870-2022")</f>
        <v/>
      </c>
    </row>
    <row r="53" ht="15" customHeight="1">
      <c r="A53" t="inlineStr">
        <is>
          <t>A 50618-2022</t>
        </is>
      </c>
      <c r="B53" s="1" t="n">
        <v>44866</v>
      </c>
      <c r="C53" s="1" t="n">
        <v>45908</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31803-2021</t>
        </is>
      </c>
      <c r="B54" s="1" t="n">
        <v>44370</v>
      </c>
      <c r="C54" s="1" t="n">
        <v>45908</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45908</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51220-2023</t>
        </is>
      </c>
      <c r="B56" s="1" t="n">
        <v>45219</v>
      </c>
      <c r="C56" s="1" t="n">
        <v>45908</v>
      </c>
      <c r="D56" t="inlineStr">
        <is>
          <t>STOCKHOLMS LÄN</t>
        </is>
      </c>
      <c r="E56" t="inlineStr">
        <is>
          <t>NORRTÄLJE</t>
        </is>
      </c>
      <c r="G56" t="n">
        <v>7.7</v>
      </c>
      <c r="H56" t="n">
        <v>1</v>
      </c>
      <c r="I56" t="n">
        <v>0</v>
      </c>
      <c r="J56" t="n">
        <v>1</v>
      </c>
      <c r="K56" t="n">
        <v>0</v>
      </c>
      <c r="L56" t="n">
        <v>0</v>
      </c>
      <c r="M56" t="n">
        <v>0</v>
      </c>
      <c r="N56" t="n">
        <v>0</v>
      </c>
      <c r="O56" t="n">
        <v>1</v>
      </c>
      <c r="P56" t="n">
        <v>0</v>
      </c>
      <c r="Q56" t="n">
        <v>2</v>
      </c>
      <c r="R56" s="2" t="inlineStr">
        <is>
          <t>Ullticka
Blåsippa</t>
        </is>
      </c>
      <c r="S56">
        <f>HYPERLINK("https://klasma.github.io/Logging_0188/artfynd/A 51220-2023 artfynd.xlsx", "A 51220-2023")</f>
        <v/>
      </c>
      <c r="T56">
        <f>HYPERLINK("https://klasma.github.io/Logging_0188/kartor/A 51220-2023 karta.png", "A 51220-2023")</f>
        <v/>
      </c>
      <c r="V56">
        <f>HYPERLINK("https://klasma.github.io/Logging_0188/klagomål/A 51220-2023 FSC-klagomål.docx", "A 51220-2023")</f>
        <v/>
      </c>
      <c r="W56">
        <f>HYPERLINK("https://klasma.github.io/Logging_0188/klagomålsmail/A 51220-2023 FSC-klagomål mail.docx", "A 51220-2023")</f>
        <v/>
      </c>
      <c r="X56">
        <f>HYPERLINK("https://klasma.github.io/Logging_0188/tillsyn/A 51220-2023 tillsynsbegäran.docx", "A 51220-2023")</f>
        <v/>
      </c>
      <c r="Y56">
        <f>HYPERLINK("https://klasma.github.io/Logging_0188/tillsynsmail/A 51220-2023 tillsynsbegäran mail.docx", "A 51220-2023")</f>
        <v/>
      </c>
    </row>
    <row r="57" ht="15" customHeight="1">
      <c r="A57" t="inlineStr">
        <is>
          <t>A 30693-2022</t>
        </is>
      </c>
      <c r="B57" s="1" t="n">
        <v>44763</v>
      </c>
      <c r="C57" s="1" t="n">
        <v>45908</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52124-2022</t>
        </is>
      </c>
      <c r="B58" s="1" t="n">
        <v>44868</v>
      </c>
      <c r="C58" s="1" t="n">
        <v>45908</v>
      </c>
      <c r="D58" t="inlineStr">
        <is>
          <t>STOCKHOLMS LÄN</t>
        </is>
      </c>
      <c r="E58" t="inlineStr">
        <is>
          <t>NORRTÄLJE</t>
        </is>
      </c>
      <c r="G58" t="n">
        <v>4.8</v>
      </c>
      <c r="H58" t="n">
        <v>1</v>
      </c>
      <c r="I58" t="n">
        <v>0</v>
      </c>
      <c r="J58" t="n">
        <v>1</v>
      </c>
      <c r="K58" t="n">
        <v>0</v>
      </c>
      <c r="L58" t="n">
        <v>0</v>
      </c>
      <c r="M58" t="n">
        <v>0</v>
      </c>
      <c r="N58" t="n">
        <v>0</v>
      </c>
      <c r="O58" t="n">
        <v>1</v>
      </c>
      <c r="P58" t="n">
        <v>0</v>
      </c>
      <c r="Q58" t="n">
        <v>2</v>
      </c>
      <c r="R58" s="2" t="inlineStr">
        <is>
          <t>Kandelabersvamp
Blåsippa</t>
        </is>
      </c>
      <c r="S58">
        <f>HYPERLINK("https://klasma.github.io/Logging_0188/artfynd/A 52124-2022 artfynd.xlsx", "A 52124-2022")</f>
        <v/>
      </c>
      <c r="T58">
        <f>HYPERLINK("https://klasma.github.io/Logging_0188/kartor/A 52124-2022 karta.png", "A 52124-2022")</f>
        <v/>
      </c>
      <c r="V58">
        <f>HYPERLINK("https://klasma.github.io/Logging_0188/klagomål/A 52124-2022 FSC-klagomål.docx", "A 52124-2022")</f>
        <v/>
      </c>
      <c r="W58">
        <f>HYPERLINK("https://klasma.github.io/Logging_0188/klagomålsmail/A 52124-2022 FSC-klagomål mail.docx", "A 52124-2022")</f>
        <v/>
      </c>
      <c r="X58">
        <f>HYPERLINK("https://klasma.github.io/Logging_0188/tillsyn/A 52124-2022 tillsynsbegäran.docx", "A 52124-2022")</f>
        <v/>
      </c>
      <c r="Y58">
        <f>HYPERLINK("https://klasma.github.io/Logging_0188/tillsynsmail/A 52124-2022 tillsynsbegäran mail.docx", "A 52124-2022")</f>
        <v/>
      </c>
    </row>
    <row r="59" ht="15" customHeight="1">
      <c r="A59" t="inlineStr">
        <is>
          <t>A 52825-2023</t>
        </is>
      </c>
      <c r="B59" s="1" t="n">
        <v>45226</v>
      </c>
      <c r="C59" s="1" t="n">
        <v>45908</v>
      </c>
      <c r="D59" t="inlineStr">
        <is>
          <t>STOCKHOLMS LÄN</t>
        </is>
      </c>
      <c r="E59" t="inlineStr">
        <is>
          <t>NORRTÄLJE</t>
        </is>
      </c>
      <c r="G59" t="n">
        <v>1</v>
      </c>
      <c r="H59" t="n">
        <v>0</v>
      </c>
      <c r="I59" t="n">
        <v>2</v>
      </c>
      <c r="J59" t="n">
        <v>0</v>
      </c>
      <c r="K59" t="n">
        <v>0</v>
      </c>
      <c r="L59" t="n">
        <v>0</v>
      </c>
      <c r="M59" t="n">
        <v>0</v>
      </c>
      <c r="N59" t="n">
        <v>0</v>
      </c>
      <c r="O59" t="n">
        <v>0</v>
      </c>
      <c r="P59" t="n">
        <v>0</v>
      </c>
      <c r="Q59" t="n">
        <v>2</v>
      </c>
      <c r="R59" s="2" t="inlineStr">
        <is>
          <t>Fjällig taggsvamp s.str.
Strimspindling</t>
        </is>
      </c>
      <c r="S59">
        <f>HYPERLINK("https://klasma.github.io/Logging_0188/artfynd/A 52825-2023 artfynd.xlsx", "A 52825-2023")</f>
        <v/>
      </c>
      <c r="T59">
        <f>HYPERLINK("https://klasma.github.io/Logging_0188/kartor/A 52825-2023 karta.png", "A 52825-2023")</f>
        <v/>
      </c>
      <c r="V59">
        <f>HYPERLINK("https://klasma.github.io/Logging_0188/klagomål/A 52825-2023 FSC-klagomål.docx", "A 52825-2023")</f>
        <v/>
      </c>
      <c r="W59">
        <f>HYPERLINK("https://klasma.github.io/Logging_0188/klagomålsmail/A 52825-2023 FSC-klagomål mail.docx", "A 52825-2023")</f>
        <v/>
      </c>
      <c r="X59">
        <f>HYPERLINK("https://klasma.github.io/Logging_0188/tillsyn/A 52825-2023 tillsynsbegäran.docx", "A 52825-2023")</f>
        <v/>
      </c>
      <c r="Y59">
        <f>HYPERLINK("https://klasma.github.io/Logging_0188/tillsynsmail/A 52825-2023 tillsynsbegäran mail.docx", "A 52825-2023")</f>
        <v/>
      </c>
    </row>
    <row r="60" ht="15" customHeight="1">
      <c r="A60" t="inlineStr">
        <is>
          <t>A 16260-2022</t>
        </is>
      </c>
      <c r="B60" s="1" t="n">
        <v>44670</v>
      </c>
      <c r="C60" s="1" t="n">
        <v>45908</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52360-2024</t>
        </is>
      </c>
      <c r="B61" s="1" t="n">
        <v>45609.37094907407</v>
      </c>
      <c r="C61" s="1" t="n">
        <v>45908</v>
      </c>
      <c r="D61" t="inlineStr">
        <is>
          <t>STOCKHOLMS LÄN</t>
        </is>
      </c>
      <c r="E61" t="inlineStr">
        <is>
          <t>NORRTÄLJE</t>
        </is>
      </c>
      <c r="G61" t="n">
        <v>2.2</v>
      </c>
      <c r="H61" t="n">
        <v>1</v>
      </c>
      <c r="I61" t="n">
        <v>1</v>
      </c>
      <c r="J61" t="n">
        <v>0</v>
      </c>
      <c r="K61" t="n">
        <v>0</v>
      </c>
      <c r="L61" t="n">
        <v>0</v>
      </c>
      <c r="M61" t="n">
        <v>0</v>
      </c>
      <c r="N61" t="n">
        <v>0</v>
      </c>
      <c r="O61" t="n">
        <v>0</v>
      </c>
      <c r="P61" t="n">
        <v>0</v>
      </c>
      <c r="Q61" t="n">
        <v>2</v>
      </c>
      <c r="R61" s="2" t="inlineStr">
        <is>
          <t>Brandticka
Blåsippa</t>
        </is>
      </c>
      <c r="S61">
        <f>HYPERLINK("https://klasma.github.io/Logging_0188/artfynd/A 52360-2024 artfynd.xlsx", "A 52360-2024")</f>
        <v/>
      </c>
      <c r="T61">
        <f>HYPERLINK("https://klasma.github.io/Logging_0188/kartor/A 52360-2024 karta.png", "A 52360-2024")</f>
        <v/>
      </c>
      <c r="V61">
        <f>HYPERLINK("https://klasma.github.io/Logging_0188/klagomål/A 52360-2024 FSC-klagomål.docx", "A 52360-2024")</f>
        <v/>
      </c>
      <c r="W61">
        <f>HYPERLINK("https://klasma.github.io/Logging_0188/klagomålsmail/A 52360-2024 FSC-klagomål mail.docx", "A 52360-2024")</f>
        <v/>
      </c>
      <c r="X61">
        <f>HYPERLINK("https://klasma.github.io/Logging_0188/tillsyn/A 52360-2024 tillsynsbegäran.docx", "A 52360-2024")</f>
        <v/>
      </c>
      <c r="Y61">
        <f>HYPERLINK("https://klasma.github.io/Logging_0188/tillsynsmail/A 52360-2024 tillsynsbegäran mail.docx", "A 52360-2024")</f>
        <v/>
      </c>
    </row>
    <row r="62" ht="15" customHeight="1">
      <c r="A62" t="inlineStr">
        <is>
          <t>A 11031-2025</t>
        </is>
      </c>
      <c r="B62" s="1" t="n">
        <v>45723</v>
      </c>
      <c r="C62" s="1" t="n">
        <v>45908</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25731-2025</t>
        </is>
      </c>
      <c r="B63" s="1" t="n">
        <v>45800</v>
      </c>
      <c r="C63" s="1" t="n">
        <v>45908</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20012-2025</t>
        </is>
      </c>
      <c r="B64" s="1" t="n">
        <v>45772.30234953704</v>
      </c>
      <c r="C64" s="1" t="n">
        <v>45908</v>
      </c>
      <c r="D64" t="inlineStr">
        <is>
          <t>STOCKHOLMS LÄN</t>
        </is>
      </c>
      <c r="E64" t="inlineStr">
        <is>
          <t>NORRTÄLJE</t>
        </is>
      </c>
      <c r="G64" t="n">
        <v>3.8</v>
      </c>
      <c r="H64" t="n">
        <v>0</v>
      </c>
      <c r="I64" t="n">
        <v>2</v>
      </c>
      <c r="J64" t="n">
        <v>0</v>
      </c>
      <c r="K64" t="n">
        <v>0</v>
      </c>
      <c r="L64" t="n">
        <v>0</v>
      </c>
      <c r="M64" t="n">
        <v>0</v>
      </c>
      <c r="N64" t="n">
        <v>0</v>
      </c>
      <c r="O64" t="n">
        <v>0</v>
      </c>
      <c r="P64" t="n">
        <v>0</v>
      </c>
      <c r="Q64" t="n">
        <v>2</v>
      </c>
      <c r="R64" s="2" t="inlineStr">
        <is>
          <t>Barkticka
Stor aspticka</t>
        </is>
      </c>
      <c r="S64">
        <f>HYPERLINK("https://klasma.github.io/Logging_0188/artfynd/A 20012-2025 artfynd.xlsx", "A 20012-2025")</f>
        <v/>
      </c>
      <c r="T64">
        <f>HYPERLINK("https://klasma.github.io/Logging_0188/kartor/A 20012-2025 karta.png", "A 20012-2025")</f>
        <v/>
      </c>
      <c r="V64">
        <f>HYPERLINK("https://klasma.github.io/Logging_0188/klagomål/A 20012-2025 FSC-klagomål.docx", "A 20012-2025")</f>
        <v/>
      </c>
      <c r="W64">
        <f>HYPERLINK("https://klasma.github.io/Logging_0188/klagomålsmail/A 20012-2025 FSC-klagomål mail.docx", "A 20012-2025")</f>
        <v/>
      </c>
      <c r="X64">
        <f>HYPERLINK("https://klasma.github.io/Logging_0188/tillsyn/A 20012-2025 tillsynsbegäran.docx", "A 20012-2025")</f>
        <v/>
      </c>
      <c r="Y64">
        <f>HYPERLINK("https://klasma.github.io/Logging_0188/tillsynsmail/A 20012-2025 tillsynsbegäran mail.docx", "A 20012-2025")</f>
        <v/>
      </c>
    </row>
    <row r="65" ht="15" customHeight="1">
      <c r="A65" t="inlineStr">
        <is>
          <t>A 22190-2024</t>
        </is>
      </c>
      <c r="B65" s="1" t="n">
        <v>45446.35888888889</v>
      </c>
      <c r="C65" s="1" t="n">
        <v>45908</v>
      </c>
      <c r="D65" t="inlineStr">
        <is>
          <t>STOCKHOLMS LÄN</t>
        </is>
      </c>
      <c r="E65" t="inlineStr">
        <is>
          <t>NORRTÄLJE</t>
        </is>
      </c>
      <c r="G65" t="n">
        <v>2.8</v>
      </c>
      <c r="H65" t="n">
        <v>2</v>
      </c>
      <c r="I65" t="n">
        <v>1</v>
      </c>
      <c r="J65" t="n">
        <v>0</v>
      </c>
      <c r="K65" t="n">
        <v>0</v>
      </c>
      <c r="L65" t="n">
        <v>0</v>
      </c>
      <c r="M65" t="n">
        <v>0</v>
      </c>
      <c r="N65" t="n">
        <v>0</v>
      </c>
      <c r="O65" t="n">
        <v>0</v>
      </c>
      <c r="P65" t="n">
        <v>0</v>
      </c>
      <c r="Q65" t="n">
        <v>2</v>
      </c>
      <c r="R65" s="2" t="inlineStr">
        <is>
          <t>Skogsknipprot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51980-2022</t>
        </is>
      </c>
      <c r="B66" s="1" t="n">
        <v>44872</v>
      </c>
      <c r="C66" s="1" t="n">
        <v>45908</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45908</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45908</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45908</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45908</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45908</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45908</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45908</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11429-2023</t>
        </is>
      </c>
      <c r="B74" s="1" t="n">
        <v>44993</v>
      </c>
      <c r="C74" s="1" t="n">
        <v>45908</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58888-2021</t>
        </is>
      </c>
      <c r="B75" s="1" t="n">
        <v>44489</v>
      </c>
      <c r="C75" s="1" t="n">
        <v>45908</v>
      </c>
      <c r="D75" t="inlineStr">
        <is>
          <t>STOCKHOLMS LÄN</t>
        </is>
      </c>
      <c r="E75" t="inlineStr">
        <is>
          <t>NORRTÄLJE</t>
        </is>
      </c>
      <c r="F75" t="inlineStr">
        <is>
          <t>Holmen skog AB</t>
        </is>
      </c>
      <c r="G75" t="n">
        <v>2.5</v>
      </c>
      <c r="H75" t="n">
        <v>1</v>
      </c>
      <c r="I75" t="n">
        <v>0</v>
      </c>
      <c r="J75" t="n">
        <v>0</v>
      </c>
      <c r="K75" t="n">
        <v>0</v>
      </c>
      <c r="L75" t="n">
        <v>1</v>
      </c>
      <c r="M75" t="n">
        <v>0</v>
      </c>
      <c r="N75" t="n">
        <v>0</v>
      </c>
      <c r="O75" t="n">
        <v>1</v>
      </c>
      <c r="P75" t="n">
        <v>1</v>
      </c>
      <c r="Q75" t="n">
        <v>1</v>
      </c>
      <c r="R75" s="2" t="inlineStr">
        <is>
          <t>Asknätfjäril</t>
        </is>
      </c>
      <c r="S75">
        <f>HYPERLINK("https://klasma.github.io/Logging_0188/artfynd/A 58888-2021 artfynd.xlsx", "A 58888-2021")</f>
        <v/>
      </c>
      <c r="T75">
        <f>HYPERLINK("https://klasma.github.io/Logging_0188/kartor/A 58888-2021 karta.png", "A 58888-2021")</f>
        <v/>
      </c>
      <c r="V75">
        <f>HYPERLINK("https://klasma.github.io/Logging_0188/klagomål/A 58888-2021 FSC-klagomål.docx", "A 58888-2021")</f>
        <v/>
      </c>
      <c r="W75">
        <f>HYPERLINK("https://klasma.github.io/Logging_0188/klagomålsmail/A 58888-2021 FSC-klagomål mail.docx", "A 58888-2021")</f>
        <v/>
      </c>
      <c r="X75">
        <f>HYPERLINK("https://klasma.github.io/Logging_0188/tillsyn/A 58888-2021 tillsynsbegäran.docx", "A 58888-2021")</f>
        <v/>
      </c>
      <c r="Y75">
        <f>HYPERLINK("https://klasma.github.io/Logging_0188/tillsynsmail/A 58888-2021 tillsynsbegäran mail.docx", "A 58888-2021")</f>
        <v/>
      </c>
    </row>
    <row r="76" ht="15" customHeight="1">
      <c r="A76" t="inlineStr">
        <is>
          <t>A 47898-2022</t>
        </is>
      </c>
      <c r="B76" s="1" t="n">
        <v>44855</v>
      </c>
      <c r="C76" s="1" t="n">
        <v>45908</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21927-2025</t>
        </is>
      </c>
      <c r="B77" s="1" t="n">
        <v>45784.54878472222</v>
      </c>
      <c r="C77" s="1" t="n">
        <v>45908</v>
      </c>
      <c r="D77" t="inlineStr">
        <is>
          <t>STOCKHOLMS LÄN</t>
        </is>
      </c>
      <c r="E77" t="inlineStr">
        <is>
          <t>NORRTÄLJE</t>
        </is>
      </c>
      <c r="G77" t="n">
        <v>3.4</v>
      </c>
      <c r="H77" t="n">
        <v>1</v>
      </c>
      <c r="I77" t="n">
        <v>1</v>
      </c>
      <c r="J77" t="n">
        <v>0</v>
      </c>
      <c r="K77" t="n">
        <v>0</v>
      </c>
      <c r="L77" t="n">
        <v>0</v>
      </c>
      <c r="M77" t="n">
        <v>0</v>
      </c>
      <c r="N77" t="n">
        <v>0</v>
      </c>
      <c r="O77" t="n">
        <v>0</v>
      </c>
      <c r="P77" t="n">
        <v>0</v>
      </c>
      <c r="Q77" t="n">
        <v>1</v>
      </c>
      <c r="R77" s="2" t="inlineStr">
        <is>
          <t>Nästrot</t>
        </is>
      </c>
      <c r="S77">
        <f>HYPERLINK("https://klasma.github.io/Logging_0188/artfynd/A 21927-2025 artfynd.xlsx", "A 21927-2025")</f>
        <v/>
      </c>
      <c r="T77">
        <f>HYPERLINK("https://klasma.github.io/Logging_0188/kartor/A 21927-2025 karta.png", "A 21927-2025")</f>
        <v/>
      </c>
      <c r="V77">
        <f>HYPERLINK("https://klasma.github.io/Logging_0188/klagomål/A 21927-2025 FSC-klagomål.docx", "A 21927-2025")</f>
        <v/>
      </c>
      <c r="W77">
        <f>HYPERLINK("https://klasma.github.io/Logging_0188/klagomålsmail/A 21927-2025 FSC-klagomål mail.docx", "A 21927-2025")</f>
        <v/>
      </c>
      <c r="X77">
        <f>HYPERLINK("https://klasma.github.io/Logging_0188/tillsyn/A 21927-2025 tillsynsbegäran.docx", "A 21927-2025")</f>
        <v/>
      </c>
      <c r="Y77">
        <f>HYPERLINK("https://klasma.github.io/Logging_0188/tillsynsmail/A 21927-2025 tillsynsbegäran mail.docx", "A 21927-2025")</f>
        <v/>
      </c>
    </row>
    <row r="78" ht="15" customHeight="1">
      <c r="A78" t="inlineStr">
        <is>
          <t>A 9955-2022</t>
        </is>
      </c>
      <c r="B78" s="1" t="n">
        <v>44620</v>
      </c>
      <c r="C78" s="1" t="n">
        <v>45908</v>
      </c>
      <c r="D78" t="inlineStr">
        <is>
          <t>STOCKHOLMS LÄN</t>
        </is>
      </c>
      <c r="E78" t="inlineStr">
        <is>
          <t>NORRTÄLJE</t>
        </is>
      </c>
      <c r="G78" t="n">
        <v>7.8</v>
      </c>
      <c r="H78" t="n">
        <v>1</v>
      </c>
      <c r="I78" t="n">
        <v>0</v>
      </c>
      <c r="J78" t="n">
        <v>0</v>
      </c>
      <c r="K78" t="n">
        <v>0</v>
      </c>
      <c r="L78" t="n">
        <v>0</v>
      </c>
      <c r="M78" t="n">
        <v>0</v>
      </c>
      <c r="N78" t="n">
        <v>0</v>
      </c>
      <c r="O78" t="n">
        <v>0</v>
      </c>
      <c r="P78" t="n">
        <v>0</v>
      </c>
      <c r="Q78" t="n">
        <v>1</v>
      </c>
      <c r="R78" s="2" t="inlineStr">
        <is>
          <t>Åkergroda</t>
        </is>
      </c>
      <c r="S78">
        <f>HYPERLINK("https://klasma.github.io/Logging_0188/artfynd/A 9955-2022 artfynd.xlsx", "A 9955-2022")</f>
        <v/>
      </c>
      <c r="T78">
        <f>HYPERLINK("https://klasma.github.io/Logging_0188/kartor/A 9955-2022 karta.png", "A 9955-2022")</f>
        <v/>
      </c>
      <c r="V78">
        <f>HYPERLINK("https://klasma.github.io/Logging_0188/klagomål/A 9955-2022 FSC-klagomål.docx", "A 9955-2022")</f>
        <v/>
      </c>
      <c r="W78">
        <f>HYPERLINK("https://klasma.github.io/Logging_0188/klagomålsmail/A 9955-2022 FSC-klagomål mail.docx", "A 9955-2022")</f>
        <v/>
      </c>
      <c r="X78">
        <f>HYPERLINK("https://klasma.github.io/Logging_0188/tillsyn/A 9955-2022 tillsynsbegäran.docx", "A 9955-2022")</f>
        <v/>
      </c>
      <c r="Y78">
        <f>HYPERLINK("https://klasma.github.io/Logging_0188/tillsynsmail/A 9955-2022 tillsynsbegäran mail.docx", "A 9955-2022")</f>
        <v/>
      </c>
    </row>
    <row r="79" ht="15" customHeight="1">
      <c r="A79" t="inlineStr">
        <is>
          <t>A 16870-2025</t>
        </is>
      </c>
      <c r="B79" s="1" t="n">
        <v>45754</v>
      </c>
      <c r="C79" s="1" t="n">
        <v>45908</v>
      </c>
      <c r="D79" t="inlineStr">
        <is>
          <t>STOCKHOLMS LÄN</t>
        </is>
      </c>
      <c r="E79" t="inlineStr">
        <is>
          <t>NORRTÄLJE</t>
        </is>
      </c>
      <c r="G79" t="n">
        <v>24.6</v>
      </c>
      <c r="H79" t="n">
        <v>1</v>
      </c>
      <c r="I79" t="n">
        <v>0</v>
      </c>
      <c r="J79" t="n">
        <v>0</v>
      </c>
      <c r="K79" t="n">
        <v>0</v>
      </c>
      <c r="L79" t="n">
        <v>0</v>
      </c>
      <c r="M79" t="n">
        <v>0</v>
      </c>
      <c r="N79" t="n">
        <v>0</v>
      </c>
      <c r="O79" t="n">
        <v>0</v>
      </c>
      <c r="P79" t="n">
        <v>0</v>
      </c>
      <c r="Q79" t="n">
        <v>1</v>
      </c>
      <c r="R79" s="2" t="inlineStr">
        <is>
          <t>Vanlig groda</t>
        </is>
      </c>
      <c r="S79">
        <f>HYPERLINK("https://klasma.github.io/Logging_0188/artfynd/A 16870-2025 artfynd.xlsx", "A 16870-2025")</f>
        <v/>
      </c>
      <c r="T79">
        <f>HYPERLINK("https://klasma.github.io/Logging_0188/kartor/A 16870-2025 karta.png", "A 16870-2025")</f>
        <v/>
      </c>
      <c r="V79">
        <f>HYPERLINK("https://klasma.github.io/Logging_0188/klagomål/A 16870-2025 FSC-klagomål.docx", "A 16870-2025")</f>
        <v/>
      </c>
      <c r="W79">
        <f>HYPERLINK("https://klasma.github.io/Logging_0188/klagomålsmail/A 16870-2025 FSC-klagomål mail.docx", "A 16870-2025")</f>
        <v/>
      </c>
      <c r="X79">
        <f>HYPERLINK("https://klasma.github.io/Logging_0188/tillsyn/A 16870-2025 tillsynsbegäran.docx", "A 16870-2025")</f>
        <v/>
      </c>
      <c r="Y79">
        <f>HYPERLINK("https://klasma.github.io/Logging_0188/tillsynsmail/A 16870-2025 tillsynsbegäran mail.docx", "A 16870-2025")</f>
        <v/>
      </c>
    </row>
    <row r="80" ht="15" customHeight="1">
      <c r="A80" t="inlineStr">
        <is>
          <t>A 4595-2023</t>
        </is>
      </c>
      <c r="B80" s="1" t="n">
        <v>44956</v>
      </c>
      <c r="C80" s="1" t="n">
        <v>45908</v>
      </c>
      <c r="D80" t="inlineStr">
        <is>
          <t>STOCKHOLMS LÄN</t>
        </is>
      </c>
      <c r="E80" t="inlineStr">
        <is>
          <t>NORRTÄLJE</t>
        </is>
      </c>
      <c r="G80" t="n">
        <v>0.6</v>
      </c>
      <c r="H80" t="n">
        <v>1</v>
      </c>
      <c r="I80" t="n">
        <v>0</v>
      </c>
      <c r="J80" t="n">
        <v>0</v>
      </c>
      <c r="K80" t="n">
        <v>0</v>
      </c>
      <c r="L80" t="n">
        <v>0</v>
      </c>
      <c r="M80" t="n">
        <v>0</v>
      </c>
      <c r="N80" t="n">
        <v>0</v>
      </c>
      <c r="O80" t="n">
        <v>0</v>
      </c>
      <c r="P80" t="n">
        <v>0</v>
      </c>
      <c r="Q80" t="n">
        <v>1</v>
      </c>
      <c r="R80" s="2" t="inlineStr">
        <is>
          <t>Blåsippa</t>
        </is>
      </c>
      <c r="S80">
        <f>HYPERLINK("https://klasma.github.io/Logging_0188/artfynd/A 4595-2023 artfynd.xlsx", "A 4595-2023")</f>
        <v/>
      </c>
      <c r="T80">
        <f>HYPERLINK("https://klasma.github.io/Logging_0188/kartor/A 4595-2023 karta.png", "A 4595-2023")</f>
        <v/>
      </c>
      <c r="V80">
        <f>HYPERLINK("https://klasma.github.io/Logging_0188/klagomål/A 4595-2023 FSC-klagomål.docx", "A 4595-2023")</f>
        <v/>
      </c>
      <c r="W80">
        <f>HYPERLINK("https://klasma.github.io/Logging_0188/klagomålsmail/A 4595-2023 FSC-klagomål mail.docx", "A 4595-2023")</f>
        <v/>
      </c>
      <c r="X80">
        <f>HYPERLINK("https://klasma.github.io/Logging_0188/tillsyn/A 4595-2023 tillsynsbegäran.docx", "A 4595-2023")</f>
        <v/>
      </c>
      <c r="Y80">
        <f>HYPERLINK("https://klasma.github.io/Logging_0188/tillsynsmail/A 4595-2023 tillsynsbegäran mail.docx", "A 4595-2023")</f>
        <v/>
      </c>
    </row>
    <row r="81" ht="15" customHeight="1">
      <c r="A81" t="inlineStr">
        <is>
          <t>A 14365-2025</t>
        </is>
      </c>
      <c r="B81" s="1" t="n">
        <v>45741.38688657407</v>
      </c>
      <c r="C81" s="1" t="n">
        <v>45908</v>
      </c>
      <c r="D81" t="inlineStr">
        <is>
          <t>STOCKHOLMS LÄN</t>
        </is>
      </c>
      <c r="E81" t="inlineStr">
        <is>
          <t>NORRTÄLJE</t>
        </is>
      </c>
      <c r="G81" t="n">
        <v>2.4</v>
      </c>
      <c r="H81" t="n">
        <v>0</v>
      </c>
      <c r="I81" t="n">
        <v>0</v>
      </c>
      <c r="J81" t="n">
        <v>1</v>
      </c>
      <c r="K81" t="n">
        <v>0</v>
      </c>
      <c r="L81" t="n">
        <v>0</v>
      </c>
      <c r="M81" t="n">
        <v>0</v>
      </c>
      <c r="N81" t="n">
        <v>0</v>
      </c>
      <c r="O81" t="n">
        <v>1</v>
      </c>
      <c r="P81" t="n">
        <v>0</v>
      </c>
      <c r="Q81" t="n">
        <v>1</v>
      </c>
      <c r="R81" s="2" t="inlineStr">
        <is>
          <t>Granticka</t>
        </is>
      </c>
      <c r="S81">
        <f>HYPERLINK("https://klasma.github.io/Logging_0188/artfynd/A 14365-2025 artfynd.xlsx", "A 14365-2025")</f>
        <v/>
      </c>
      <c r="T81">
        <f>HYPERLINK("https://klasma.github.io/Logging_0188/kartor/A 14365-2025 karta.png", "A 14365-2025")</f>
        <v/>
      </c>
      <c r="V81">
        <f>HYPERLINK("https://klasma.github.io/Logging_0188/klagomål/A 14365-2025 FSC-klagomål.docx", "A 14365-2025")</f>
        <v/>
      </c>
      <c r="W81">
        <f>HYPERLINK("https://klasma.github.io/Logging_0188/klagomålsmail/A 14365-2025 FSC-klagomål mail.docx", "A 14365-2025")</f>
        <v/>
      </c>
      <c r="X81">
        <f>HYPERLINK("https://klasma.github.io/Logging_0188/tillsyn/A 14365-2025 tillsynsbegäran.docx", "A 14365-2025")</f>
        <v/>
      </c>
      <c r="Y81">
        <f>HYPERLINK("https://klasma.github.io/Logging_0188/tillsynsmail/A 14365-2025 tillsynsbegäran mail.docx", "A 14365-2025")</f>
        <v/>
      </c>
    </row>
    <row r="82" ht="15" customHeight="1">
      <c r="A82" t="inlineStr">
        <is>
          <t>A 32111-2022</t>
        </is>
      </c>
      <c r="B82" s="1" t="n">
        <v>44778.92797453704</v>
      </c>
      <c r="C82" s="1" t="n">
        <v>45908</v>
      </c>
      <c r="D82" t="inlineStr">
        <is>
          <t>STOCKHOLMS LÄN</t>
        </is>
      </c>
      <c r="E82" t="inlineStr">
        <is>
          <t>NORRTÄLJE</t>
        </is>
      </c>
      <c r="G82" t="n">
        <v>3.1</v>
      </c>
      <c r="H82" t="n">
        <v>0</v>
      </c>
      <c r="I82" t="n">
        <v>0</v>
      </c>
      <c r="J82" t="n">
        <v>1</v>
      </c>
      <c r="K82" t="n">
        <v>0</v>
      </c>
      <c r="L82" t="n">
        <v>0</v>
      </c>
      <c r="M82" t="n">
        <v>0</v>
      </c>
      <c r="N82" t="n">
        <v>0</v>
      </c>
      <c r="O82" t="n">
        <v>1</v>
      </c>
      <c r="P82" t="n">
        <v>0</v>
      </c>
      <c r="Q82" t="n">
        <v>1</v>
      </c>
      <c r="R82" s="2" t="inlineStr">
        <is>
          <t>Orange taggsvamp</t>
        </is>
      </c>
      <c r="S82">
        <f>HYPERLINK("https://klasma.github.io/Logging_0188/artfynd/A 32111-2022 artfynd.xlsx", "A 32111-2022")</f>
        <v/>
      </c>
      <c r="T82">
        <f>HYPERLINK("https://klasma.github.io/Logging_0188/kartor/A 32111-2022 karta.png", "A 32111-2022")</f>
        <v/>
      </c>
      <c r="V82">
        <f>HYPERLINK("https://klasma.github.io/Logging_0188/klagomål/A 32111-2022 FSC-klagomål.docx", "A 32111-2022")</f>
        <v/>
      </c>
      <c r="W82">
        <f>HYPERLINK("https://klasma.github.io/Logging_0188/klagomålsmail/A 32111-2022 FSC-klagomål mail.docx", "A 32111-2022")</f>
        <v/>
      </c>
      <c r="X82">
        <f>HYPERLINK("https://klasma.github.io/Logging_0188/tillsyn/A 32111-2022 tillsynsbegäran.docx", "A 32111-2022")</f>
        <v/>
      </c>
      <c r="Y82">
        <f>HYPERLINK("https://klasma.github.io/Logging_0188/tillsynsmail/A 32111-2022 tillsynsbegäran mail.docx", "A 32111-2022")</f>
        <v/>
      </c>
    </row>
    <row r="83" ht="15" customHeight="1">
      <c r="A83" t="inlineStr">
        <is>
          <t>A 23905-2025</t>
        </is>
      </c>
      <c r="B83" s="1" t="n">
        <v>45794.63298611111</v>
      </c>
      <c r="C83" s="1" t="n">
        <v>45908</v>
      </c>
      <c r="D83" t="inlineStr">
        <is>
          <t>STOCKHOLMS LÄN</t>
        </is>
      </c>
      <c r="E83" t="inlineStr">
        <is>
          <t>NORRTÄLJE</t>
        </is>
      </c>
      <c r="G83" t="n">
        <v>8.4</v>
      </c>
      <c r="H83" t="n">
        <v>1</v>
      </c>
      <c r="I83" t="n">
        <v>0</v>
      </c>
      <c r="J83" t="n">
        <v>0</v>
      </c>
      <c r="K83" t="n">
        <v>0</v>
      </c>
      <c r="L83" t="n">
        <v>0</v>
      </c>
      <c r="M83" t="n">
        <v>0</v>
      </c>
      <c r="N83" t="n">
        <v>0</v>
      </c>
      <c r="O83" t="n">
        <v>0</v>
      </c>
      <c r="P83" t="n">
        <v>0</v>
      </c>
      <c r="Q83" t="n">
        <v>1</v>
      </c>
      <c r="R83" s="2" t="inlineStr">
        <is>
          <t>Blåsippa</t>
        </is>
      </c>
      <c r="S83">
        <f>HYPERLINK("https://klasma.github.io/Logging_0188/artfynd/A 23905-2025 artfynd.xlsx", "A 23905-2025")</f>
        <v/>
      </c>
      <c r="T83">
        <f>HYPERLINK("https://klasma.github.io/Logging_0188/kartor/A 23905-2025 karta.png", "A 23905-2025")</f>
        <v/>
      </c>
      <c r="V83">
        <f>HYPERLINK("https://klasma.github.io/Logging_0188/klagomål/A 23905-2025 FSC-klagomål.docx", "A 23905-2025")</f>
        <v/>
      </c>
      <c r="W83">
        <f>HYPERLINK("https://klasma.github.io/Logging_0188/klagomålsmail/A 23905-2025 FSC-klagomål mail.docx", "A 23905-2025")</f>
        <v/>
      </c>
      <c r="X83">
        <f>HYPERLINK("https://klasma.github.io/Logging_0188/tillsyn/A 23905-2025 tillsynsbegäran.docx", "A 23905-2025")</f>
        <v/>
      </c>
      <c r="Y83">
        <f>HYPERLINK("https://klasma.github.io/Logging_0188/tillsynsmail/A 23905-2025 tillsynsbegäran mail.docx", "A 23905-2025")</f>
        <v/>
      </c>
    </row>
    <row r="84" ht="15" customHeight="1">
      <c r="A84" t="inlineStr">
        <is>
          <t>A 24535-2023</t>
        </is>
      </c>
      <c r="B84" s="1" t="n">
        <v>45082</v>
      </c>
      <c r="C84" s="1" t="n">
        <v>45908</v>
      </c>
      <c r="D84" t="inlineStr">
        <is>
          <t>STOCKHOLMS LÄN</t>
        </is>
      </c>
      <c r="E84" t="inlineStr">
        <is>
          <t>NORRTÄLJE</t>
        </is>
      </c>
      <c r="F84" t="inlineStr">
        <is>
          <t>Kommuner</t>
        </is>
      </c>
      <c r="G84" t="n">
        <v>2</v>
      </c>
      <c r="H84" t="n">
        <v>1</v>
      </c>
      <c r="I84" t="n">
        <v>0</v>
      </c>
      <c r="J84" t="n">
        <v>0</v>
      </c>
      <c r="K84" t="n">
        <v>0</v>
      </c>
      <c r="L84" t="n">
        <v>0</v>
      </c>
      <c r="M84" t="n">
        <v>0</v>
      </c>
      <c r="N84" t="n">
        <v>0</v>
      </c>
      <c r="O84" t="n">
        <v>0</v>
      </c>
      <c r="P84" t="n">
        <v>0</v>
      </c>
      <c r="Q84" t="n">
        <v>1</v>
      </c>
      <c r="R84" s="2" t="inlineStr">
        <is>
          <t>Blåsippa</t>
        </is>
      </c>
      <c r="S84">
        <f>HYPERLINK("https://klasma.github.io/Logging_0188/artfynd/A 24535-2023 artfynd.xlsx", "A 24535-2023")</f>
        <v/>
      </c>
      <c r="T84">
        <f>HYPERLINK("https://klasma.github.io/Logging_0188/kartor/A 24535-2023 karta.png", "A 24535-2023")</f>
        <v/>
      </c>
      <c r="V84">
        <f>HYPERLINK("https://klasma.github.io/Logging_0188/klagomål/A 24535-2023 FSC-klagomål.docx", "A 24535-2023")</f>
        <v/>
      </c>
      <c r="W84">
        <f>HYPERLINK("https://klasma.github.io/Logging_0188/klagomålsmail/A 24535-2023 FSC-klagomål mail.docx", "A 24535-2023")</f>
        <v/>
      </c>
      <c r="X84">
        <f>HYPERLINK("https://klasma.github.io/Logging_0188/tillsyn/A 24535-2023 tillsynsbegäran.docx", "A 24535-2023")</f>
        <v/>
      </c>
      <c r="Y84">
        <f>HYPERLINK("https://klasma.github.io/Logging_0188/tillsynsmail/A 24535-2023 tillsynsbegäran mail.docx", "A 24535-2023")</f>
        <v/>
      </c>
    </row>
    <row r="85" ht="15" customHeight="1">
      <c r="A85" t="inlineStr">
        <is>
          <t>A 4385-2023</t>
        </is>
      </c>
      <c r="B85" s="1" t="n">
        <v>44955.71322916666</v>
      </c>
      <c r="C85" s="1" t="n">
        <v>45908</v>
      </c>
      <c r="D85" t="inlineStr">
        <is>
          <t>STOCKHOLMS LÄN</t>
        </is>
      </c>
      <c r="E85" t="inlineStr">
        <is>
          <t>NORRTÄLJE</t>
        </is>
      </c>
      <c r="G85" t="n">
        <v>7.8</v>
      </c>
      <c r="H85" t="n">
        <v>1</v>
      </c>
      <c r="I85" t="n">
        <v>1</v>
      </c>
      <c r="J85" t="n">
        <v>0</v>
      </c>
      <c r="K85" t="n">
        <v>0</v>
      </c>
      <c r="L85" t="n">
        <v>0</v>
      </c>
      <c r="M85" t="n">
        <v>0</v>
      </c>
      <c r="N85" t="n">
        <v>0</v>
      </c>
      <c r="O85" t="n">
        <v>0</v>
      </c>
      <c r="P85" t="n">
        <v>0</v>
      </c>
      <c r="Q85" t="n">
        <v>1</v>
      </c>
      <c r="R85" s="2" t="inlineStr">
        <is>
          <t>Skogsknipprot</t>
        </is>
      </c>
      <c r="S85">
        <f>HYPERLINK("https://klasma.github.io/Logging_0188/artfynd/A 4385-2023 artfynd.xlsx", "A 4385-2023")</f>
        <v/>
      </c>
      <c r="T85">
        <f>HYPERLINK("https://klasma.github.io/Logging_0188/kartor/A 4385-2023 karta.png", "A 4385-2023")</f>
        <v/>
      </c>
      <c r="V85">
        <f>HYPERLINK("https://klasma.github.io/Logging_0188/klagomål/A 4385-2023 FSC-klagomål.docx", "A 4385-2023")</f>
        <v/>
      </c>
      <c r="W85">
        <f>HYPERLINK("https://klasma.github.io/Logging_0188/klagomålsmail/A 4385-2023 FSC-klagomål mail.docx", "A 4385-2023")</f>
        <v/>
      </c>
      <c r="X85">
        <f>HYPERLINK("https://klasma.github.io/Logging_0188/tillsyn/A 4385-2023 tillsynsbegäran.docx", "A 4385-2023")</f>
        <v/>
      </c>
      <c r="Y85">
        <f>HYPERLINK("https://klasma.github.io/Logging_0188/tillsynsmail/A 4385-2023 tillsynsbegäran mail.docx", "A 4385-2023")</f>
        <v/>
      </c>
    </row>
    <row r="86" ht="15" customHeight="1">
      <c r="A86" t="inlineStr">
        <is>
          <t>A 25669-2025</t>
        </is>
      </c>
      <c r="B86" s="1" t="n">
        <v>45803.62766203703</v>
      </c>
      <c r="C86" s="1" t="n">
        <v>45908</v>
      </c>
      <c r="D86" t="inlineStr">
        <is>
          <t>STOCKHOLMS LÄN</t>
        </is>
      </c>
      <c r="E86" t="inlineStr">
        <is>
          <t>NORRTÄLJE</t>
        </is>
      </c>
      <c r="F86" t="inlineStr">
        <is>
          <t>Holmen skog AB</t>
        </is>
      </c>
      <c r="G86" t="n">
        <v>3.1</v>
      </c>
      <c r="H86" t="n">
        <v>1</v>
      </c>
      <c r="I86" t="n">
        <v>0</v>
      </c>
      <c r="J86" t="n">
        <v>0</v>
      </c>
      <c r="K86" t="n">
        <v>0</v>
      </c>
      <c r="L86" t="n">
        <v>0</v>
      </c>
      <c r="M86" t="n">
        <v>0</v>
      </c>
      <c r="N86" t="n">
        <v>0</v>
      </c>
      <c r="O86" t="n">
        <v>0</v>
      </c>
      <c r="P86" t="n">
        <v>0</v>
      </c>
      <c r="Q86" t="n">
        <v>1</v>
      </c>
      <c r="R86" s="2" t="inlineStr">
        <is>
          <t>Tjäder</t>
        </is>
      </c>
      <c r="S86">
        <f>HYPERLINK("https://klasma.github.io/Logging_0188/artfynd/A 25669-2025 artfynd.xlsx", "A 25669-2025")</f>
        <v/>
      </c>
      <c r="T86">
        <f>HYPERLINK("https://klasma.github.io/Logging_0188/kartor/A 25669-2025 karta.png", "A 25669-2025")</f>
        <v/>
      </c>
      <c r="V86">
        <f>HYPERLINK("https://klasma.github.io/Logging_0188/klagomål/A 25669-2025 FSC-klagomål.docx", "A 25669-2025")</f>
        <v/>
      </c>
      <c r="W86">
        <f>HYPERLINK("https://klasma.github.io/Logging_0188/klagomålsmail/A 25669-2025 FSC-klagomål mail.docx", "A 25669-2025")</f>
        <v/>
      </c>
      <c r="X86">
        <f>HYPERLINK("https://klasma.github.io/Logging_0188/tillsyn/A 25669-2025 tillsynsbegäran.docx", "A 25669-2025")</f>
        <v/>
      </c>
      <c r="Y86">
        <f>HYPERLINK("https://klasma.github.io/Logging_0188/tillsynsmail/A 25669-2025 tillsynsbegäran mail.docx", "A 25669-2025")</f>
        <v/>
      </c>
      <c r="Z86">
        <f>HYPERLINK("https://klasma.github.io/Logging_0188/fåglar/A 25669-2025 prioriterade fågelarter.docx", "A 25669-2025")</f>
        <v/>
      </c>
    </row>
    <row r="87" ht="15" customHeight="1">
      <c r="A87" t="inlineStr">
        <is>
          <t>A 35764-2024</t>
        </is>
      </c>
      <c r="B87" s="1" t="n">
        <v>45532</v>
      </c>
      <c r="C87" s="1" t="n">
        <v>45908</v>
      </c>
      <c r="D87" t="inlineStr">
        <is>
          <t>STOCKHOLMS LÄN</t>
        </is>
      </c>
      <c r="E87" t="inlineStr">
        <is>
          <t>NORRTÄLJE</t>
        </is>
      </c>
      <c r="G87" t="n">
        <v>14.2</v>
      </c>
      <c r="H87" t="n">
        <v>1</v>
      </c>
      <c r="I87" t="n">
        <v>0</v>
      </c>
      <c r="J87" t="n">
        <v>0</v>
      </c>
      <c r="K87" t="n">
        <v>1</v>
      </c>
      <c r="L87" t="n">
        <v>0</v>
      </c>
      <c r="M87" t="n">
        <v>0</v>
      </c>
      <c r="N87" t="n">
        <v>0</v>
      </c>
      <c r="O87" t="n">
        <v>1</v>
      </c>
      <c r="P87" t="n">
        <v>1</v>
      </c>
      <c r="Q87" t="n">
        <v>1</v>
      </c>
      <c r="R87" s="2" t="inlineStr">
        <is>
          <t>Knärot</t>
        </is>
      </c>
      <c r="S87">
        <f>HYPERLINK("https://klasma.github.io/Logging_0188/artfynd/A 35764-2024 artfynd.xlsx", "A 35764-2024")</f>
        <v/>
      </c>
      <c r="T87">
        <f>HYPERLINK("https://klasma.github.io/Logging_0188/kartor/A 35764-2024 karta.png", "A 35764-2024")</f>
        <v/>
      </c>
      <c r="U87">
        <f>HYPERLINK("https://klasma.github.io/Logging_0188/knärot/A 35764-2024 karta knärot.png", "A 35764-2024")</f>
        <v/>
      </c>
      <c r="V87">
        <f>HYPERLINK("https://klasma.github.io/Logging_0188/klagomål/A 35764-2024 FSC-klagomål.docx", "A 35764-2024")</f>
        <v/>
      </c>
      <c r="W87">
        <f>HYPERLINK("https://klasma.github.io/Logging_0188/klagomålsmail/A 35764-2024 FSC-klagomål mail.docx", "A 35764-2024")</f>
        <v/>
      </c>
      <c r="X87">
        <f>HYPERLINK("https://klasma.github.io/Logging_0188/tillsyn/A 35764-2024 tillsynsbegäran.docx", "A 35764-2024")</f>
        <v/>
      </c>
      <c r="Y87">
        <f>HYPERLINK("https://klasma.github.io/Logging_0188/tillsynsmail/A 35764-2024 tillsynsbegäran mail.docx", "A 35764-2024")</f>
        <v/>
      </c>
    </row>
    <row r="88" ht="15" customHeight="1">
      <c r="A88" t="inlineStr">
        <is>
          <t>A 25687-2025</t>
        </is>
      </c>
      <c r="B88" s="1" t="n">
        <v>45800</v>
      </c>
      <c r="C88" s="1" t="n">
        <v>45908</v>
      </c>
      <c r="D88" t="inlineStr">
        <is>
          <t>STOCKHOLMS LÄN</t>
        </is>
      </c>
      <c r="E88" t="inlineStr">
        <is>
          <t>NORRTÄLJE</t>
        </is>
      </c>
      <c r="G88" t="n">
        <v>15.7</v>
      </c>
      <c r="H88" t="n">
        <v>0</v>
      </c>
      <c r="I88" t="n">
        <v>1</v>
      </c>
      <c r="J88" t="n">
        <v>0</v>
      </c>
      <c r="K88" t="n">
        <v>0</v>
      </c>
      <c r="L88" t="n">
        <v>0</v>
      </c>
      <c r="M88" t="n">
        <v>0</v>
      </c>
      <c r="N88" t="n">
        <v>0</v>
      </c>
      <c r="O88" t="n">
        <v>0</v>
      </c>
      <c r="P88" t="n">
        <v>0</v>
      </c>
      <c r="Q88" t="n">
        <v>1</v>
      </c>
      <c r="R88" s="2" t="inlineStr">
        <is>
          <t>Grönpyrola</t>
        </is>
      </c>
      <c r="S88">
        <f>HYPERLINK("https://klasma.github.io/Logging_0188/artfynd/A 25687-2025 artfynd.xlsx", "A 25687-2025")</f>
        <v/>
      </c>
      <c r="T88">
        <f>HYPERLINK("https://klasma.github.io/Logging_0188/kartor/A 25687-2025 karta.png", "A 25687-2025")</f>
        <v/>
      </c>
      <c r="V88">
        <f>HYPERLINK("https://klasma.github.io/Logging_0188/klagomål/A 25687-2025 FSC-klagomål.docx", "A 25687-2025")</f>
        <v/>
      </c>
      <c r="W88">
        <f>HYPERLINK("https://klasma.github.io/Logging_0188/klagomålsmail/A 25687-2025 FSC-klagomål mail.docx", "A 25687-2025")</f>
        <v/>
      </c>
      <c r="X88">
        <f>HYPERLINK("https://klasma.github.io/Logging_0188/tillsyn/A 25687-2025 tillsynsbegäran.docx", "A 25687-2025")</f>
        <v/>
      </c>
      <c r="Y88">
        <f>HYPERLINK("https://klasma.github.io/Logging_0188/tillsynsmail/A 25687-2025 tillsynsbegäran mail.docx", "A 25687-2025")</f>
        <v/>
      </c>
    </row>
    <row r="89" ht="15" customHeight="1">
      <c r="A89" t="inlineStr">
        <is>
          <t>A 19829-2022</t>
        </is>
      </c>
      <c r="B89" s="1" t="n">
        <v>44695.43527777777</v>
      </c>
      <c r="C89" s="1" t="n">
        <v>45908</v>
      </c>
      <c r="D89" t="inlineStr">
        <is>
          <t>STOCKHOLMS LÄN</t>
        </is>
      </c>
      <c r="E89" t="inlineStr">
        <is>
          <t>NORRTÄLJE</t>
        </is>
      </c>
      <c r="G89" t="n">
        <v>2</v>
      </c>
      <c r="H89" t="n">
        <v>1</v>
      </c>
      <c r="I89" t="n">
        <v>1</v>
      </c>
      <c r="J89" t="n">
        <v>0</v>
      </c>
      <c r="K89" t="n">
        <v>0</v>
      </c>
      <c r="L89" t="n">
        <v>0</v>
      </c>
      <c r="M89" t="n">
        <v>0</v>
      </c>
      <c r="N89" t="n">
        <v>0</v>
      </c>
      <c r="O89" t="n">
        <v>0</v>
      </c>
      <c r="P89" t="n">
        <v>0</v>
      </c>
      <c r="Q89" t="n">
        <v>1</v>
      </c>
      <c r="R89" s="2" t="inlineStr">
        <is>
          <t>Guckusko</t>
        </is>
      </c>
      <c r="S89">
        <f>HYPERLINK("https://klasma.github.io/Logging_0188/artfynd/A 19829-2022 artfynd.xlsx", "A 19829-2022")</f>
        <v/>
      </c>
      <c r="T89">
        <f>HYPERLINK("https://klasma.github.io/Logging_0188/kartor/A 19829-2022 karta.png", "A 19829-2022")</f>
        <v/>
      </c>
      <c r="V89">
        <f>HYPERLINK("https://klasma.github.io/Logging_0188/klagomål/A 19829-2022 FSC-klagomål.docx", "A 19829-2022")</f>
        <v/>
      </c>
      <c r="W89">
        <f>HYPERLINK("https://klasma.github.io/Logging_0188/klagomålsmail/A 19829-2022 FSC-klagomål mail.docx", "A 19829-2022")</f>
        <v/>
      </c>
      <c r="X89">
        <f>HYPERLINK("https://klasma.github.io/Logging_0188/tillsyn/A 19829-2022 tillsynsbegäran.docx", "A 19829-2022")</f>
        <v/>
      </c>
      <c r="Y89">
        <f>HYPERLINK("https://klasma.github.io/Logging_0188/tillsynsmail/A 19829-2022 tillsynsbegäran mail.docx", "A 19829-2022")</f>
        <v/>
      </c>
    </row>
    <row r="90" ht="15" customHeight="1">
      <c r="A90" t="inlineStr">
        <is>
          <t>A 4532-2025</t>
        </is>
      </c>
      <c r="B90" s="1" t="n">
        <v>45687.34177083334</v>
      </c>
      <c r="C90" s="1" t="n">
        <v>45908</v>
      </c>
      <c r="D90" t="inlineStr">
        <is>
          <t>STOCKHOLMS LÄN</t>
        </is>
      </c>
      <c r="E90" t="inlineStr">
        <is>
          <t>NORRTÄLJE</t>
        </is>
      </c>
      <c r="F90" t="inlineStr">
        <is>
          <t>Holmen skog AB</t>
        </is>
      </c>
      <c r="G90" t="n">
        <v>6.4</v>
      </c>
      <c r="H90" t="n">
        <v>1</v>
      </c>
      <c r="I90" t="n">
        <v>0</v>
      </c>
      <c r="J90" t="n">
        <v>0</v>
      </c>
      <c r="K90" t="n">
        <v>0</v>
      </c>
      <c r="L90" t="n">
        <v>1</v>
      </c>
      <c r="M90" t="n">
        <v>0</v>
      </c>
      <c r="N90" t="n">
        <v>0</v>
      </c>
      <c r="O90" t="n">
        <v>1</v>
      </c>
      <c r="P90" t="n">
        <v>1</v>
      </c>
      <c r="Q90" t="n">
        <v>1</v>
      </c>
      <c r="R90" s="2" t="inlineStr">
        <is>
          <t>Asknätfjäril</t>
        </is>
      </c>
      <c r="S90">
        <f>HYPERLINK("https://klasma.github.io/Logging_0188/artfynd/A 4532-2025 artfynd.xlsx", "A 4532-2025")</f>
        <v/>
      </c>
      <c r="T90">
        <f>HYPERLINK("https://klasma.github.io/Logging_0188/kartor/A 4532-2025 karta.png", "A 4532-2025")</f>
        <v/>
      </c>
      <c r="V90">
        <f>HYPERLINK("https://klasma.github.io/Logging_0188/klagomål/A 4532-2025 FSC-klagomål.docx", "A 4532-2025")</f>
        <v/>
      </c>
      <c r="W90">
        <f>HYPERLINK("https://klasma.github.io/Logging_0188/klagomålsmail/A 4532-2025 FSC-klagomål mail.docx", "A 4532-2025")</f>
        <v/>
      </c>
      <c r="X90">
        <f>HYPERLINK("https://klasma.github.io/Logging_0188/tillsyn/A 4532-2025 tillsynsbegäran.docx", "A 4532-2025")</f>
        <v/>
      </c>
      <c r="Y90">
        <f>HYPERLINK("https://klasma.github.io/Logging_0188/tillsynsmail/A 4532-2025 tillsynsbegäran mail.docx", "A 4532-2025")</f>
        <v/>
      </c>
    </row>
    <row r="91" ht="15" customHeight="1">
      <c r="A91" t="inlineStr">
        <is>
          <t>A 35649-2023</t>
        </is>
      </c>
      <c r="B91" s="1" t="n">
        <v>45146</v>
      </c>
      <c r="C91" s="1" t="n">
        <v>45908</v>
      </c>
      <c r="D91" t="inlineStr">
        <is>
          <t>STOCKHOLMS LÄN</t>
        </is>
      </c>
      <c r="E91" t="inlineStr">
        <is>
          <t>NORRTÄLJE</t>
        </is>
      </c>
      <c r="G91" t="n">
        <v>25.1</v>
      </c>
      <c r="H91" t="n">
        <v>0</v>
      </c>
      <c r="I91" t="n">
        <v>0</v>
      </c>
      <c r="J91" t="n">
        <v>1</v>
      </c>
      <c r="K91" t="n">
        <v>0</v>
      </c>
      <c r="L91" t="n">
        <v>0</v>
      </c>
      <c r="M91" t="n">
        <v>0</v>
      </c>
      <c r="N91" t="n">
        <v>0</v>
      </c>
      <c r="O91" t="n">
        <v>1</v>
      </c>
      <c r="P91" t="n">
        <v>0</v>
      </c>
      <c r="Q91" t="n">
        <v>1</v>
      </c>
      <c r="R91" s="2" t="inlineStr">
        <is>
          <t>Månlåsbräken</t>
        </is>
      </c>
      <c r="S91">
        <f>HYPERLINK("https://klasma.github.io/Logging_0188/artfynd/A 35649-2023 artfynd.xlsx", "A 35649-2023")</f>
        <v/>
      </c>
      <c r="T91">
        <f>HYPERLINK("https://klasma.github.io/Logging_0188/kartor/A 35649-2023 karta.png", "A 35649-2023")</f>
        <v/>
      </c>
      <c r="V91">
        <f>HYPERLINK("https://klasma.github.io/Logging_0188/klagomål/A 35649-2023 FSC-klagomål.docx", "A 35649-2023")</f>
        <v/>
      </c>
      <c r="W91">
        <f>HYPERLINK("https://klasma.github.io/Logging_0188/klagomålsmail/A 35649-2023 FSC-klagomål mail.docx", "A 35649-2023")</f>
        <v/>
      </c>
      <c r="X91">
        <f>HYPERLINK("https://klasma.github.io/Logging_0188/tillsyn/A 35649-2023 tillsynsbegäran.docx", "A 35649-2023")</f>
        <v/>
      </c>
      <c r="Y91">
        <f>HYPERLINK("https://klasma.github.io/Logging_0188/tillsynsmail/A 35649-2023 tillsynsbegäran mail.docx", "A 35649-2023")</f>
        <v/>
      </c>
    </row>
    <row r="92" ht="15" customHeight="1">
      <c r="A92" t="inlineStr">
        <is>
          <t>A 6381-2023</t>
        </is>
      </c>
      <c r="B92" s="1" t="n">
        <v>44965</v>
      </c>
      <c r="C92" s="1" t="n">
        <v>45908</v>
      </c>
      <c r="D92" t="inlineStr">
        <is>
          <t>STOCKHOLMS LÄN</t>
        </is>
      </c>
      <c r="E92" t="inlineStr">
        <is>
          <t>NORRTÄLJE</t>
        </is>
      </c>
      <c r="G92" t="n">
        <v>3.5</v>
      </c>
      <c r="H92" t="n">
        <v>1</v>
      </c>
      <c r="I92" t="n">
        <v>1</v>
      </c>
      <c r="J92" t="n">
        <v>0</v>
      </c>
      <c r="K92" t="n">
        <v>0</v>
      </c>
      <c r="L92" t="n">
        <v>0</v>
      </c>
      <c r="M92" t="n">
        <v>0</v>
      </c>
      <c r="N92" t="n">
        <v>0</v>
      </c>
      <c r="O92" t="n">
        <v>0</v>
      </c>
      <c r="P92" t="n">
        <v>0</v>
      </c>
      <c r="Q92" t="n">
        <v>1</v>
      </c>
      <c r="R92" s="2" t="inlineStr">
        <is>
          <t>Guckusko</t>
        </is>
      </c>
      <c r="S92">
        <f>HYPERLINK("https://klasma.github.io/Logging_0188/artfynd/A 6381-2023 artfynd.xlsx", "A 6381-2023")</f>
        <v/>
      </c>
      <c r="T92">
        <f>HYPERLINK("https://klasma.github.io/Logging_0188/kartor/A 6381-2023 karta.png", "A 6381-2023")</f>
        <v/>
      </c>
      <c r="V92">
        <f>HYPERLINK("https://klasma.github.io/Logging_0188/klagomål/A 6381-2023 FSC-klagomål.docx", "A 6381-2023")</f>
        <v/>
      </c>
      <c r="W92">
        <f>HYPERLINK("https://klasma.github.io/Logging_0188/klagomålsmail/A 6381-2023 FSC-klagomål mail.docx", "A 6381-2023")</f>
        <v/>
      </c>
      <c r="X92">
        <f>HYPERLINK("https://klasma.github.io/Logging_0188/tillsyn/A 6381-2023 tillsynsbegäran.docx", "A 6381-2023")</f>
        <v/>
      </c>
      <c r="Y92">
        <f>HYPERLINK("https://klasma.github.io/Logging_0188/tillsynsmail/A 6381-2023 tillsynsbegäran mail.docx", "A 6381-2023")</f>
        <v/>
      </c>
    </row>
    <row r="93" ht="15" customHeight="1">
      <c r="A93" t="inlineStr">
        <is>
          <t>A 50854-2022</t>
        </is>
      </c>
      <c r="B93" s="1" t="n">
        <v>44863</v>
      </c>
      <c r="C93" s="1" t="n">
        <v>45908</v>
      </c>
      <c r="D93" t="inlineStr">
        <is>
          <t>STOCKHOLMS LÄN</t>
        </is>
      </c>
      <c r="E93" t="inlineStr">
        <is>
          <t>NORRTÄLJE</t>
        </is>
      </c>
      <c r="G93" t="n">
        <v>2.9</v>
      </c>
      <c r="H93" t="n">
        <v>0</v>
      </c>
      <c r="I93" t="n">
        <v>1</v>
      </c>
      <c r="J93" t="n">
        <v>0</v>
      </c>
      <c r="K93" t="n">
        <v>0</v>
      </c>
      <c r="L93" t="n">
        <v>0</v>
      </c>
      <c r="M93" t="n">
        <v>0</v>
      </c>
      <c r="N93" t="n">
        <v>0</v>
      </c>
      <c r="O93" t="n">
        <v>0</v>
      </c>
      <c r="P93" t="n">
        <v>0</v>
      </c>
      <c r="Q93" t="n">
        <v>1</v>
      </c>
      <c r="R93" s="2" t="inlineStr">
        <is>
          <t>Tibast</t>
        </is>
      </c>
      <c r="S93">
        <f>HYPERLINK("https://klasma.github.io/Logging_0188/artfynd/A 50854-2022 artfynd.xlsx", "A 50854-2022")</f>
        <v/>
      </c>
      <c r="T93">
        <f>HYPERLINK("https://klasma.github.io/Logging_0188/kartor/A 50854-2022 karta.png", "A 50854-2022")</f>
        <v/>
      </c>
      <c r="V93">
        <f>HYPERLINK("https://klasma.github.io/Logging_0188/klagomål/A 50854-2022 FSC-klagomål.docx", "A 50854-2022")</f>
        <v/>
      </c>
      <c r="W93">
        <f>HYPERLINK("https://klasma.github.io/Logging_0188/klagomålsmail/A 50854-2022 FSC-klagomål mail.docx", "A 50854-2022")</f>
        <v/>
      </c>
      <c r="X93">
        <f>HYPERLINK("https://klasma.github.io/Logging_0188/tillsyn/A 50854-2022 tillsynsbegäran.docx", "A 50854-2022")</f>
        <v/>
      </c>
      <c r="Y93">
        <f>HYPERLINK("https://klasma.github.io/Logging_0188/tillsynsmail/A 50854-2022 tillsynsbegäran mail.docx", "A 50854-2022")</f>
        <v/>
      </c>
    </row>
    <row r="94" ht="15" customHeight="1">
      <c r="A94" t="inlineStr">
        <is>
          <t>A 29946-2025</t>
        </is>
      </c>
      <c r="B94" s="1" t="n">
        <v>45826.46392361111</v>
      </c>
      <c r="C94" s="1" t="n">
        <v>45908</v>
      </c>
      <c r="D94" t="inlineStr">
        <is>
          <t>STOCKHOLMS LÄN</t>
        </is>
      </c>
      <c r="E94" t="inlineStr">
        <is>
          <t>NORRTÄLJE</t>
        </is>
      </c>
      <c r="F94" t="inlineStr">
        <is>
          <t>Holmen skog AB</t>
        </is>
      </c>
      <c r="G94" t="n">
        <v>3.6</v>
      </c>
      <c r="H94" t="n">
        <v>1</v>
      </c>
      <c r="I94" t="n">
        <v>0</v>
      </c>
      <c r="J94" t="n">
        <v>0</v>
      </c>
      <c r="K94" t="n">
        <v>0</v>
      </c>
      <c r="L94" t="n">
        <v>1</v>
      </c>
      <c r="M94" t="n">
        <v>0</v>
      </c>
      <c r="N94" t="n">
        <v>0</v>
      </c>
      <c r="O94" t="n">
        <v>1</v>
      </c>
      <c r="P94" t="n">
        <v>1</v>
      </c>
      <c r="Q94" t="n">
        <v>1</v>
      </c>
      <c r="R94" s="2" t="inlineStr">
        <is>
          <t>Asknätfjäril</t>
        </is>
      </c>
      <c r="S94">
        <f>HYPERLINK("https://klasma.github.io/Logging_0188/artfynd/A 29946-2025 artfynd.xlsx", "A 29946-2025")</f>
        <v/>
      </c>
      <c r="T94">
        <f>HYPERLINK("https://klasma.github.io/Logging_0188/kartor/A 29946-2025 karta.png", "A 29946-2025")</f>
        <v/>
      </c>
      <c r="V94">
        <f>HYPERLINK("https://klasma.github.io/Logging_0188/klagomål/A 29946-2025 FSC-klagomål.docx", "A 29946-2025")</f>
        <v/>
      </c>
      <c r="W94">
        <f>HYPERLINK("https://klasma.github.io/Logging_0188/klagomålsmail/A 29946-2025 FSC-klagomål mail.docx", "A 29946-2025")</f>
        <v/>
      </c>
      <c r="X94">
        <f>HYPERLINK("https://klasma.github.io/Logging_0188/tillsyn/A 29946-2025 tillsynsbegäran.docx", "A 29946-2025")</f>
        <v/>
      </c>
      <c r="Y94">
        <f>HYPERLINK("https://klasma.github.io/Logging_0188/tillsynsmail/A 29946-2025 tillsynsbegäran mail.docx", "A 29946-2025")</f>
        <v/>
      </c>
    </row>
    <row r="95" ht="15" customHeight="1">
      <c r="A95" t="inlineStr">
        <is>
          <t>A 24692-2025</t>
        </is>
      </c>
      <c r="B95" s="1" t="n">
        <v>45798</v>
      </c>
      <c r="C95" s="1" t="n">
        <v>45908</v>
      </c>
      <c r="D95" t="inlineStr">
        <is>
          <t>STOCKHOLMS LÄN</t>
        </is>
      </c>
      <c r="E95" t="inlineStr">
        <is>
          <t>NORRTÄLJE</t>
        </is>
      </c>
      <c r="G95" t="n">
        <v>26.3</v>
      </c>
      <c r="H95" t="n">
        <v>1</v>
      </c>
      <c r="I95" t="n">
        <v>0</v>
      </c>
      <c r="J95" t="n">
        <v>0</v>
      </c>
      <c r="K95" t="n">
        <v>0</v>
      </c>
      <c r="L95" t="n">
        <v>1</v>
      </c>
      <c r="M95" t="n">
        <v>0</v>
      </c>
      <c r="N95" t="n">
        <v>0</v>
      </c>
      <c r="O95" t="n">
        <v>1</v>
      </c>
      <c r="P95" t="n">
        <v>1</v>
      </c>
      <c r="Q95" t="n">
        <v>1</v>
      </c>
      <c r="R95" s="2" t="inlineStr">
        <is>
          <t>Asknätfjäril</t>
        </is>
      </c>
      <c r="S95">
        <f>HYPERLINK("https://klasma.github.io/Logging_0188/artfynd/A 24692-2025 artfynd.xlsx", "A 24692-2025")</f>
        <v/>
      </c>
      <c r="T95">
        <f>HYPERLINK("https://klasma.github.io/Logging_0188/kartor/A 24692-2025 karta.png", "A 24692-2025")</f>
        <v/>
      </c>
      <c r="V95">
        <f>HYPERLINK("https://klasma.github.io/Logging_0188/klagomål/A 24692-2025 FSC-klagomål.docx", "A 24692-2025")</f>
        <v/>
      </c>
      <c r="W95">
        <f>HYPERLINK("https://klasma.github.io/Logging_0188/klagomålsmail/A 24692-2025 FSC-klagomål mail.docx", "A 24692-2025")</f>
        <v/>
      </c>
      <c r="X95">
        <f>HYPERLINK("https://klasma.github.io/Logging_0188/tillsyn/A 24692-2025 tillsynsbegäran.docx", "A 24692-2025")</f>
        <v/>
      </c>
      <c r="Y95">
        <f>HYPERLINK("https://klasma.github.io/Logging_0188/tillsynsmail/A 24692-2025 tillsynsbegäran mail.docx", "A 24692-2025")</f>
        <v/>
      </c>
    </row>
    <row r="96" ht="15" customHeight="1">
      <c r="A96" t="inlineStr">
        <is>
          <t>A 33548-2025</t>
        </is>
      </c>
      <c r="B96" s="1" t="n">
        <v>45841.5721875</v>
      </c>
      <c r="C96" s="1" t="n">
        <v>45908</v>
      </c>
      <c r="D96" t="inlineStr">
        <is>
          <t>STOCKHOLMS LÄN</t>
        </is>
      </c>
      <c r="E96" t="inlineStr">
        <is>
          <t>NORRTÄLJE</t>
        </is>
      </c>
      <c r="G96" t="n">
        <v>12.2</v>
      </c>
      <c r="H96" t="n">
        <v>0</v>
      </c>
      <c r="I96" t="n">
        <v>0</v>
      </c>
      <c r="J96" t="n">
        <v>1</v>
      </c>
      <c r="K96" t="n">
        <v>0</v>
      </c>
      <c r="L96" t="n">
        <v>0</v>
      </c>
      <c r="M96" t="n">
        <v>0</v>
      </c>
      <c r="N96" t="n">
        <v>0</v>
      </c>
      <c r="O96" t="n">
        <v>1</v>
      </c>
      <c r="P96" t="n">
        <v>0</v>
      </c>
      <c r="Q96" t="n">
        <v>1</v>
      </c>
      <c r="R96" s="2" t="inlineStr">
        <is>
          <t>Dofttaggsvamp</t>
        </is>
      </c>
      <c r="S96">
        <f>HYPERLINK("https://klasma.github.io/Logging_0188/artfynd/A 33548-2025 artfynd.xlsx", "A 33548-2025")</f>
        <v/>
      </c>
      <c r="T96">
        <f>HYPERLINK("https://klasma.github.io/Logging_0188/kartor/A 33548-2025 karta.png", "A 33548-2025")</f>
        <v/>
      </c>
      <c r="V96">
        <f>HYPERLINK("https://klasma.github.io/Logging_0188/klagomål/A 33548-2025 FSC-klagomål.docx", "A 33548-2025")</f>
        <v/>
      </c>
      <c r="W96">
        <f>HYPERLINK("https://klasma.github.io/Logging_0188/klagomålsmail/A 33548-2025 FSC-klagomål mail.docx", "A 33548-2025")</f>
        <v/>
      </c>
      <c r="X96">
        <f>HYPERLINK("https://klasma.github.io/Logging_0188/tillsyn/A 33548-2025 tillsynsbegäran.docx", "A 33548-2025")</f>
        <v/>
      </c>
      <c r="Y96">
        <f>HYPERLINK("https://klasma.github.io/Logging_0188/tillsynsmail/A 33548-2025 tillsynsbegäran mail.docx", "A 33548-2025")</f>
        <v/>
      </c>
    </row>
    <row r="97" ht="15" customHeight="1">
      <c r="A97" t="inlineStr">
        <is>
          <t>A 33546-2025</t>
        </is>
      </c>
      <c r="B97" s="1" t="n">
        <v>45841.56996527778</v>
      </c>
      <c r="C97" s="1" t="n">
        <v>45908</v>
      </c>
      <c r="D97" t="inlineStr">
        <is>
          <t>STOCKHOLMS LÄN</t>
        </is>
      </c>
      <c r="E97" t="inlineStr">
        <is>
          <t>NORRTÄLJE</t>
        </is>
      </c>
      <c r="G97" t="n">
        <v>7.2</v>
      </c>
      <c r="H97" t="n">
        <v>1</v>
      </c>
      <c r="I97" t="n">
        <v>1</v>
      </c>
      <c r="J97" t="n">
        <v>0</v>
      </c>
      <c r="K97" t="n">
        <v>0</v>
      </c>
      <c r="L97" t="n">
        <v>0</v>
      </c>
      <c r="M97" t="n">
        <v>0</v>
      </c>
      <c r="N97" t="n">
        <v>0</v>
      </c>
      <c r="O97" t="n">
        <v>0</v>
      </c>
      <c r="P97" t="n">
        <v>0</v>
      </c>
      <c r="Q97" t="n">
        <v>1</v>
      </c>
      <c r="R97" s="2" t="inlineStr">
        <is>
          <t>Nästrot</t>
        </is>
      </c>
      <c r="S97">
        <f>HYPERLINK("https://klasma.github.io/Logging_0188/artfynd/A 33546-2025 artfynd.xlsx", "A 33546-2025")</f>
        <v/>
      </c>
      <c r="T97">
        <f>HYPERLINK("https://klasma.github.io/Logging_0188/kartor/A 33546-2025 karta.png", "A 33546-2025")</f>
        <v/>
      </c>
      <c r="V97">
        <f>HYPERLINK("https://klasma.github.io/Logging_0188/klagomål/A 33546-2025 FSC-klagomål.docx", "A 33546-2025")</f>
        <v/>
      </c>
      <c r="W97">
        <f>HYPERLINK("https://klasma.github.io/Logging_0188/klagomålsmail/A 33546-2025 FSC-klagomål mail.docx", "A 33546-2025")</f>
        <v/>
      </c>
      <c r="X97">
        <f>HYPERLINK("https://klasma.github.io/Logging_0188/tillsyn/A 33546-2025 tillsynsbegäran.docx", "A 33546-2025")</f>
        <v/>
      </c>
      <c r="Y97">
        <f>HYPERLINK("https://klasma.github.io/Logging_0188/tillsynsmail/A 33546-2025 tillsynsbegäran mail.docx", "A 33546-2025")</f>
        <v/>
      </c>
    </row>
    <row r="98" ht="15" customHeight="1">
      <c r="A98" t="inlineStr">
        <is>
          <t>A 39158-2025</t>
        </is>
      </c>
      <c r="B98" s="1" t="n">
        <v>45888.62712962963</v>
      </c>
      <c r="C98" s="1" t="n">
        <v>45908</v>
      </c>
      <c r="D98" t="inlineStr">
        <is>
          <t>STOCKHOLMS LÄN</t>
        </is>
      </c>
      <c r="E98" t="inlineStr">
        <is>
          <t>NORRTÄLJE</t>
        </is>
      </c>
      <c r="G98" t="n">
        <v>1.5</v>
      </c>
      <c r="H98" t="n">
        <v>1</v>
      </c>
      <c r="I98" t="n">
        <v>0</v>
      </c>
      <c r="J98" t="n">
        <v>0</v>
      </c>
      <c r="K98" t="n">
        <v>0</v>
      </c>
      <c r="L98" t="n">
        <v>0</v>
      </c>
      <c r="M98" t="n">
        <v>0</v>
      </c>
      <c r="N98" t="n">
        <v>0</v>
      </c>
      <c r="O98" t="n">
        <v>0</v>
      </c>
      <c r="P98" t="n">
        <v>0</v>
      </c>
      <c r="Q98" t="n">
        <v>1</v>
      </c>
      <c r="R98" s="2" t="inlineStr">
        <is>
          <t>Blåsippa</t>
        </is>
      </c>
      <c r="S98">
        <f>HYPERLINK("https://klasma.github.io/Logging_0188/artfynd/A 39158-2025 artfynd.xlsx", "A 39158-2025")</f>
        <v/>
      </c>
      <c r="T98">
        <f>HYPERLINK("https://klasma.github.io/Logging_0188/kartor/A 39158-2025 karta.png", "A 39158-2025")</f>
        <v/>
      </c>
      <c r="V98">
        <f>HYPERLINK("https://klasma.github.io/Logging_0188/klagomål/A 39158-2025 FSC-klagomål.docx", "A 39158-2025")</f>
        <v/>
      </c>
      <c r="W98">
        <f>HYPERLINK("https://klasma.github.io/Logging_0188/klagomålsmail/A 39158-2025 FSC-klagomål mail.docx", "A 39158-2025")</f>
        <v/>
      </c>
      <c r="X98">
        <f>HYPERLINK("https://klasma.github.io/Logging_0188/tillsyn/A 39158-2025 tillsynsbegäran.docx", "A 39158-2025")</f>
        <v/>
      </c>
      <c r="Y98">
        <f>HYPERLINK("https://klasma.github.io/Logging_0188/tillsynsmail/A 39158-2025 tillsynsbegäran mail.docx", "A 39158-2025")</f>
        <v/>
      </c>
    </row>
    <row r="99" ht="15" customHeight="1">
      <c r="A99" t="inlineStr">
        <is>
          <t>A 40861-2025</t>
        </is>
      </c>
      <c r="B99" s="1" t="n">
        <v>45897.56356481482</v>
      </c>
      <c r="C99" s="1" t="n">
        <v>45908</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8371-2025</t>
        </is>
      </c>
      <c r="B100" s="1" t="n">
        <v>45708</v>
      </c>
      <c r="C100" s="1" t="n">
        <v>45908</v>
      </c>
      <c r="D100" t="inlineStr">
        <is>
          <t>STOCKHOLMS LÄN</t>
        </is>
      </c>
      <c r="E100" t="inlineStr">
        <is>
          <t>NORRTÄLJE</t>
        </is>
      </c>
      <c r="F100" t="inlineStr">
        <is>
          <t>Övriga Aktiebolag</t>
        </is>
      </c>
      <c r="G100" t="n">
        <v>2.9</v>
      </c>
      <c r="H100" t="n">
        <v>1</v>
      </c>
      <c r="I100" t="n">
        <v>0</v>
      </c>
      <c r="J100" t="n">
        <v>1</v>
      </c>
      <c r="K100" t="n">
        <v>0</v>
      </c>
      <c r="L100" t="n">
        <v>0</v>
      </c>
      <c r="M100" t="n">
        <v>0</v>
      </c>
      <c r="N100" t="n">
        <v>0</v>
      </c>
      <c r="O100" t="n">
        <v>1</v>
      </c>
      <c r="P100" t="n">
        <v>0</v>
      </c>
      <c r="Q100" t="n">
        <v>1</v>
      </c>
      <c r="R100" s="2" t="inlineStr">
        <is>
          <t>Spillkråka</t>
        </is>
      </c>
      <c r="S100">
        <f>HYPERLINK("https://klasma.github.io/Logging_0188/artfynd/A 8371-2025 artfynd.xlsx", "A 8371-2025")</f>
        <v/>
      </c>
      <c r="T100">
        <f>HYPERLINK("https://klasma.github.io/Logging_0188/kartor/A 8371-2025 karta.png", "A 8371-2025")</f>
        <v/>
      </c>
      <c r="V100">
        <f>HYPERLINK("https://klasma.github.io/Logging_0188/klagomål/A 8371-2025 FSC-klagomål.docx", "A 8371-2025")</f>
        <v/>
      </c>
      <c r="W100">
        <f>HYPERLINK("https://klasma.github.io/Logging_0188/klagomålsmail/A 8371-2025 FSC-klagomål mail.docx", "A 8371-2025")</f>
        <v/>
      </c>
      <c r="X100">
        <f>HYPERLINK("https://klasma.github.io/Logging_0188/tillsyn/A 8371-2025 tillsynsbegäran.docx", "A 8371-2025")</f>
        <v/>
      </c>
      <c r="Y100">
        <f>HYPERLINK("https://klasma.github.io/Logging_0188/tillsynsmail/A 8371-2025 tillsynsbegäran mail.docx", "A 8371-2025")</f>
        <v/>
      </c>
      <c r="Z100">
        <f>HYPERLINK("https://klasma.github.io/Logging_0188/fåglar/A 8371-2025 prioriterade fågelarter.docx", "A 8371-2025")</f>
        <v/>
      </c>
    </row>
    <row r="101" ht="15" customHeight="1">
      <c r="A101" t="inlineStr">
        <is>
          <t>A 26120-2024</t>
        </is>
      </c>
      <c r="B101" s="1" t="n">
        <v>45468.45995370371</v>
      </c>
      <c r="C101" s="1" t="n">
        <v>45908</v>
      </c>
      <c r="D101" t="inlineStr">
        <is>
          <t>STOCKHOLMS LÄN</t>
        </is>
      </c>
      <c r="E101" t="inlineStr">
        <is>
          <t>NORRTÄLJE</t>
        </is>
      </c>
      <c r="G101" t="n">
        <v>1.8</v>
      </c>
      <c r="H101" t="n">
        <v>0</v>
      </c>
      <c r="I101" t="n">
        <v>0</v>
      </c>
      <c r="J101" t="n">
        <v>1</v>
      </c>
      <c r="K101" t="n">
        <v>0</v>
      </c>
      <c r="L101" t="n">
        <v>0</v>
      </c>
      <c r="M101" t="n">
        <v>0</v>
      </c>
      <c r="N101" t="n">
        <v>0</v>
      </c>
      <c r="O101" t="n">
        <v>1</v>
      </c>
      <c r="P101" t="n">
        <v>0</v>
      </c>
      <c r="Q101" t="n">
        <v>1</v>
      </c>
      <c r="R101" s="2" t="inlineStr">
        <is>
          <t>Majviva</t>
        </is>
      </c>
      <c r="S101">
        <f>HYPERLINK("https://klasma.github.io/Logging_0188/artfynd/A 26120-2024 artfynd.xlsx", "A 26120-2024")</f>
        <v/>
      </c>
      <c r="T101">
        <f>HYPERLINK("https://klasma.github.io/Logging_0188/kartor/A 26120-2024 karta.png", "A 26120-2024")</f>
        <v/>
      </c>
      <c r="V101">
        <f>HYPERLINK("https://klasma.github.io/Logging_0188/klagomål/A 26120-2024 FSC-klagomål.docx", "A 26120-2024")</f>
        <v/>
      </c>
      <c r="W101">
        <f>HYPERLINK("https://klasma.github.io/Logging_0188/klagomålsmail/A 26120-2024 FSC-klagomål mail.docx", "A 26120-2024")</f>
        <v/>
      </c>
      <c r="X101">
        <f>HYPERLINK("https://klasma.github.io/Logging_0188/tillsyn/A 26120-2024 tillsynsbegäran.docx", "A 26120-2024")</f>
        <v/>
      </c>
      <c r="Y101">
        <f>HYPERLINK("https://klasma.github.io/Logging_0188/tillsynsmail/A 26120-2024 tillsynsbegäran mail.docx", "A 26120-2024")</f>
        <v/>
      </c>
    </row>
    <row r="102" ht="15" customHeight="1">
      <c r="A102" t="inlineStr">
        <is>
          <t>A 52508-2023</t>
        </is>
      </c>
      <c r="B102" s="1" t="n">
        <v>45225</v>
      </c>
      <c r="C102" s="1" t="n">
        <v>45908</v>
      </c>
      <c r="D102" t="inlineStr">
        <is>
          <t>STOCKHOLMS LÄN</t>
        </is>
      </c>
      <c r="E102" t="inlineStr">
        <is>
          <t>NORRTÄLJE</t>
        </is>
      </c>
      <c r="G102" t="n">
        <v>19.7</v>
      </c>
      <c r="H102" t="n">
        <v>1</v>
      </c>
      <c r="I102" t="n">
        <v>0</v>
      </c>
      <c r="J102" t="n">
        <v>0</v>
      </c>
      <c r="K102" t="n">
        <v>1</v>
      </c>
      <c r="L102" t="n">
        <v>0</v>
      </c>
      <c r="M102" t="n">
        <v>0</v>
      </c>
      <c r="N102" t="n">
        <v>0</v>
      </c>
      <c r="O102" t="n">
        <v>1</v>
      </c>
      <c r="P102" t="n">
        <v>1</v>
      </c>
      <c r="Q102" t="n">
        <v>1</v>
      </c>
      <c r="R102" s="2" t="inlineStr">
        <is>
          <t>Svärta</t>
        </is>
      </c>
      <c r="S102">
        <f>HYPERLINK("https://klasma.github.io/Logging_0188/artfynd/A 52508-2023 artfynd.xlsx", "A 52508-2023")</f>
        <v/>
      </c>
      <c r="T102">
        <f>HYPERLINK("https://klasma.github.io/Logging_0188/kartor/A 52508-2023 karta.png", "A 52508-2023")</f>
        <v/>
      </c>
      <c r="V102">
        <f>HYPERLINK("https://klasma.github.io/Logging_0188/klagomål/A 52508-2023 FSC-klagomål.docx", "A 52508-2023")</f>
        <v/>
      </c>
      <c r="W102">
        <f>HYPERLINK("https://klasma.github.io/Logging_0188/klagomålsmail/A 52508-2023 FSC-klagomål mail.docx", "A 52508-2023")</f>
        <v/>
      </c>
      <c r="X102">
        <f>HYPERLINK("https://klasma.github.io/Logging_0188/tillsyn/A 52508-2023 tillsynsbegäran.docx", "A 52508-2023")</f>
        <v/>
      </c>
      <c r="Y102">
        <f>HYPERLINK("https://klasma.github.io/Logging_0188/tillsynsmail/A 52508-2023 tillsynsbegäran mail.docx", "A 52508-2023")</f>
        <v/>
      </c>
    </row>
    <row r="103" ht="15" customHeight="1">
      <c r="A103" t="inlineStr">
        <is>
          <t>A 42313-2025</t>
        </is>
      </c>
      <c r="B103" s="1" t="n">
        <v>45904.6575</v>
      </c>
      <c r="C103" s="1" t="n">
        <v>45908</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64456-2023</t>
        </is>
      </c>
      <c r="B104" s="1" t="n">
        <v>45280</v>
      </c>
      <c r="C104" s="1" t="n">
        <v>45908</v>
      </c>
      <c r="D104" t="inlineStr">
        <is>
          <t>STOCKHOLMS LÄN</t>
        </is>
      </c>
      <c r="E104" t="inlineStr">
        <is>
          <t>NORRTÄLJE</t>
        </is>
      </c>
      <c r="G104" t="n">
        <v>2.5</v>
      </c>
      <c r="H104" t="n">
        <v>0</v>
      </c>
      <c r="I104" t="n">
        <v>1</v>
      </c>
      <c r="J104" t="n">
        <v>0</v>
      </c>
      <c r="K104" t="n">
        <v>0</v>
      </c>
      <c r="L104" t="n">
        <v>0</v>
      </c>
      <c r="M104" t="n">
        <v>0</v>
      </c>
      <c r="N104" t="n">
        <v>0</v>
      </c>
      <c r="O104" t="n">
        <v>0</v>
      </c>
      <c r="P104" t="n">
        <v>0</v>
      </c>
      <c r="Q104" t="n">
        <v>1</v>
      </c>
      <c r="R104" s="2" t="inlineStr">
        <is>
          <t>Rödgul trumpetsvamp</t>
        </is>
      </c>
      <c r="S104">
        <f>HYPERLINK("https://klasma.github.io/Logging_0188/artfynd/A 64456-2023 artfynd.xlsx", "A 64456-2023")</f>
        <v/>
      </c>
      <c r="T104">
        <f>HYPERLINK("https://klasma.github.io/Logging_0188/kartor/A 64456-2023 karta.png", "A 64456-2023")</f>
        <v/>
      </c>
      <c r="V104">
        <f>HYPERLINK("https://klasma.github.io/Logging_0188/klagomål/A 64456-2023 FSC-klagomål.docx", "A 64456-2023")</f>
        <v/>
      </c>
      <c r="W104">
        <f>HYPERLINK("https://klasma.github.io/Logging_0188/klagomålsmail/A 64456-2023 FSC-klagomål mail.docx", "A 64456-2023")</f>
        <v/>
      </c>
      <c r="X104">
        <f>HYPERLINK("https://klasma.github.io/Logging_0188/tillsyn/A 64456-2023 tillsynsbegäran.docx", "A 64456-2023")</f>
        <v/>
      </c>
      <c r="Y104">
        <f>HYPERLINK("https://klasma.github.io/Logging_0188/tillsynsmail/A 64456-2023 tillsynsbegäran mail.docx", "A 64456-2023")</f>
        <v/>
      </c>
    </row>
    <row r="105" ht="15" customHeight="1">
      <c r="A105" t="inlineStr">
        <is>
          <t>A 24330-2023</t>
        </is>
      </c>
      <c r="B105" s="1" t="n">
        <v>45081</v>
      </c>
      <c r="C105" s="1" t="n">
        <v>45908</v>
      </c>
      <c r="D105" t="inlineStr">
        <is>
          <t>STOCKHOLMS LÄN</t>
        </is>
      </c>
      <c r="E105" t="inlineStr">
        <is>
          <t>NORRTÄLJE</t>
        </is>
      </c>
      <c r="G105" t="n">
        <v>5</v>
      </c>
      <c r="H105" t="n">
        <v>1</v>
      </c>
      <c r="I105" t="n">
        <v>0</v>
      </c>
      <c r="J105" t="n">
        <v>1</v>
      </c>
      <c r="K105" t="n">
        <v>0</v>
      </c>
      <c r="L105" t="n">
        <v>0</v>
      </c>
      <c r="M105" t="n">
        <v>0</v>
      </c>
      <c r="N105" t="n">
        <v>0</v>
      </c>
      <c r="O105" t="n">
        <v>1</v>
      </c>
      <c r="P105" t="n">
        <v>0</v>
      </c>
      <c r="Q105" t="n">
        <v>1</v>
      </c>
      <c r="R105" s="2" t="inlineStr">
        <is>
          <t>Mindre hackspett</t>
        </is>
      </c>
      <c r="S105">
        <f>HYPERLINK("https://klasma.github.io/Logging_0188/artfynd/A 24330-2023 artfynd.xlsx", "A 24330-2023")</f>
        <v/>
      </c>
      <c r="T105">
        <f>HYPERLINK("https://klasma.github.io/Logging_0188/kartor/A 24330-2023 karta.png", "A 24330-2023")</f>
        <v/>
      </c>
      <c r="V105">
        <f>HYPERLINK("https://klasma.github.io/Logging_0188/klagomål/A 24330-2023 FSC-klagomål.docx", "A 24330-2023")</f>
        <v/>
      </c>
      <c r="W105">
        <f>HYPERLINK("https://klasma.github.io/Logging_0188/klagomålsmail/A 24330-2023 FSC-klagomål mail.docx", "A 24330-2023")</f>
        <v/>
      </c>
      <c r="X105">
        <f>HYPERLINK("https://klasma.github.io/Logging_0188/tillsyn/A 24330-2023 tillsynsbegäran.docx", "A 24330-2023")</f>
        <v/>
      </c>
      <c r="Y105">
        <f>HYPERLINK("https://klasma.github.io/Logging_0188/tillsynsmail/A 24330-2023 tillsynsbegäran mail.docx", "A 24330-2023")</f>
        <v/>
      </c>
      <c r="Z105">
        <f>HYPERLINK("https://klasma.github.io/Logging_0188/fåglar/A 24330-2023 prioriterade fågelarter.docx", "A 24330-2023")</f>
        <v/>
      </c>
    </row>
    <row r="106" ht="15" customHeight="1">
      <c r="A106" t="inlineStr">
        <is>
          <t>A 21744-2023</t>
        </is>
      </c>
      <c r="B106" s="1" t="n">
        <v>45065</v>
      </c>
      <c r="C106" s="1" t="n">
        <v>45908</v>
      </c>
      <c r="D106" t="inlineStr">
        <is>
          <t>STOCKHOLMS LÄN</t>
        </is>
      </c>
      <c r="E106" t="inlineStr">
        <is>
          <t>NORRTÄLJE</t>
        </is>
      </c>
      <c r="F106" t="inlineStr">
        <is>
          <t>Holmen skog AB</t>
        </is>
      </c>
      <c r="G106" t="n">
        <v>4.2</v>
      </c>
      <c r="H106" t="n">
        <v>0</v>
      </c>
      <c r="I106" t="n">
        <v>1</v>
      </c>
      <c r="J106" t="n">
        <v>0</v>
      </c>
      <c r="K106" t="n">
        <v>0</v>
      </c>
      <c r="L106" t="n">
        <v>0</v>
      </c>
      <c r="M106" t="n">
        <v>0</v>
      </c>
      <c r="N106" t="n">
        <v>0</v>
      </c>
      <c r="O106" t="n">
        <v>0</v>
      </c>
      <c r="P106" t="n">
        <v>0</v>
      </c>
      <c r="Q106" t="n">
        <v>1</v>
      </c>
      <c r="R106" s="2" t="inlineStr">
        <is>
          <t>Korallblylav</t>
        </is>
      </c>
      <c r="S106">
        <f>HYPERLINK("https://klasma.github.io/Logging_0188/artfynd/A 21744-2023 artfynd.xlsx", "A 21744-2023")</f>
        <v/>
      </c>
      <c r="T106">
        <f>HYPERLINK("https://klasma.github.io/Logging_0188/kartor/A 21744-2023 karta.png", "A 21744-2023")</f>
        <v/>
      </c>
      <c r="V106">
        <f>HYPERLINK("https://klasma.github.io/Logging_0188/klagomål/A 21744-2023 FSC-klagomål.docx", "A 21744-2023")</f>
        <v/>
      </c>
      <c r="W106">
        <f>HYPERLINK("https://klasma.github.io/Logging_0188/klagomålsmail/A 21744-2023 FSC-klagomål mail.docx", "A 21744-2023")</f>
        <v/>
      </c>
      <c r="X106">
        <f>HYPERLINK("https://klasma.github.io/Logging_0188/tillsyn/A 21744-2023 tillsynsbegäran.docx", "A 21744-2023")</f>
        <v/>
      </c>
      <c r="Y106">
        <f>HYPERLINK("https://klasma.github.io/Logging_0188/tillsynsmail/A 21744-2023 tillsynsbegäran mail.docx", "A 21744-2023")</f>
        <v/>
      </c>
    </row>
    <row r="107" ht="15" customHeight="1">
      <c r="A107" t="inlineStr">
        <is>
          <t>A 27827-2022</t>
        </is>
      </c>
      <c r="B107" s="1" t="n">
        <v>44743.59504629629</v>
      </c>
      <c r="C107" s="1" t="n">
        <v>45908</v>
      </c>
      <c r="D107" t="inlineStr">
        <is>
          <t>STOCKHOLMS LÄN</t>
        </is>
      </c>
      <c r="E107" t="inlineStr">
        <is>
          <t>NORRTÄLJE</t>
        </is>
      </c>
      <c r="F107" t="inlineStr">
        <is>
          <t>Holmen skog AB</t>
        </is>
      </c>
      <c r="G107" t="n">
        <v>4.7</v>
      </c>
      <c r="H107" t="n">
        <v>1</v>
      </c>
      <c r="I107" t="n">
        <v>0</v>
      </c>
      <c r="J107" t="n">
        <v>1</v>
      </c>
      <c r="K107" t="n">
        <v>0</v>
      </c>
      <c r="L107" t="n">
        <v>0</v>
      </c>
      <c r="M107" t="n">
        <v>0</v>
      </c>
      <c r="N107" t="n">
        <v>0</v>
      </c>
      <c r="O107" t="n">
        <v>1</v>
      </c>
      <c r="P107" t="n">
        <v>0</v>
      </c>
      <c r="Q107" t="n">
        <v>1</v>
      </c>
      <c r="R107" s="2" t="inlineStr">
        <is>
          <t>Nordfladdermus</t>
        </is>
      </c>
      <c r="S107">
        <f>HYPERLINK("https://klasma.github.io/Logging_0188/artfynd/A 27827-2022 artfynd.xlsx", "A 27827-2022")</f>
        <v/>
      </c>
      <c r="T107">
        <f>HYPERLINK("https://klasma.github.io/Logging_0188/kartor/A 27827-2022 karta.png", "A 27827-2022")</f>
        <v/>
      </c>
      <c r="V107">
        <f>HYPERLINK("https://klasma.github.io/Logging_0188/klagomål/A 27827-2022 FSC-klagomål.docx", "A 27827-2022")</f>
        <v/>
      </c>
      <c r="W107">
        <f>HYPERLINK("https://klasma.github.io/Logging_0188/klagomålsmail/A 27827-2022 FSC-klagomål mail.docx", "A 27827-2022")</f>
        <v/>
      </c>
      <c r="X107">
        <f>HYPERLINK("https://klasma.github.io/Logging_0188/tillsyn/A 27827-2022 tillsynsbegäran.docx", "A 27827-2022")</f>
        <v/>
      </c>
      <c r="Y107">
        <f>HYPERLINK("https://klasma.github.io/Logging_0188/tillsynsmail/A 27827-2022 tillsynsbegäran mail.docx", "A 27827-2022")</f>
        <v/>
      </c>
    </row>
    <row r="108" ht="15" customHeight="1">
      <c r="A108" t="inlineStr">
        <is>
          <t>A 1162-2021</t>
        </is>
      </c>
      <c r="B108" s="1" t="n">
        <v>44207</v>
      </c>
      <c r="C108" s="1" t="n">
        <v>45908</v>
      </c>
      <c r="D108" t="inlineStr">
        <is>
          <t>STOCKHOLMS LÄN</t>
        </is>
      </c>
      <c r="E108" t="inlineStr">
        <is>
          <t>NORRTÄLJE</t>
        </is>
      </c>
      <c r="G108" t="n">
        <v>2.2</v>
      </c>
      <c r="H108" t="n">
        <v>1</v>
      </c>
      <c r="I108" t="n">
        <v>0</v>
      </c>
      <c r="J108" t="n">
        <v>0</v>
      </c>
      <c r="K108" t="n">
        <v>1</v>
      </c>
      <c r="L108" t="n">
        <v>0</v>
      </c>
      <c r="M108" t="n">
        <v>0</v>
      </c>
      <c r="N108" t="n">
        <v>0</v>
      </c>
      <c r="O108" t="n">
        <v>1</v>
      </c>
      <c r="P108" t="n">
        <v>1</v>
      </c>
      <c r="Q108" t="n">
        <v>1</v>
      </c>
      <c r="R108" s="2" t="inlineStr">
        <is>
          <t>Hällebräcka</t>
        </is>
      </c>
      <c r="S108">
        <f>HYPERLINK("https://klasma.github.io/Logging_0188/artfynd/A 1162-2021 artfynd.xlsx", "A 1162-2021")</f>
        <v/>
      </c>
      <c r="T108">
        <f>HYPERLINK("https://klasma.github.io/Logging_0188/kartor/A 1162-2021 karta.png", "A 1162-2021")</f>
        <v/>
      </c>
      <c r="V108">
        <f>HYPERLINK("https://klasma.github.io/Logging_0188/klagomål/A 1162-2021 FSC-klagomål.docx", "A 1162-2021")</f>
        <v/>
      </c>
      <c r="W108">
        <f>HYPERLINK("https://klasma.github.io/Logging_0188/klagomålsmail/A 1162-2021 FSC-klagomål mail.docx", "A 1162-2021")</f>
        <v/>
      </c>
      <c r="X108">
        <f>HYPERLINK("https://klasma.github.io/Logging_0188/tillsyn/A 1162-2021 tillsynsbegäran.docx", "A 1162-2021")</f>
        <v/>
      </c>
      <c r="Y108">
        <f>HYPERLINK("https://klasma.github.io/Logging_0188/tillsynsmail/A 1162-2021 tillsynsbegäran mail.docx", "A 1162-2021")</f>
        <v/>
      </c>
    </row>
    <row r="109" ht="15" customHeight="1">
      <c r="A109" t="inlineStr">
        <is>
          <t>A 23146-2024</t>
        </is>
      </c>
      <c r="B109" s="1" t="n">
        <v>45450.63958333333</v>
      </c>
      <c r="C109" s="1" t="n">
        <v>45908</v>
      </c>
      <c r="D109" t="inlineStr">
        <is>
          <t>STOCKHOLMS LÄN</t>
        </is>
      </c>
      <c r="E109" t="inlineStr">
        <is>
          <t>NORRTÄLJE</t>
        </is>
      </c>
      <c r="F109" t="inlineStr">
        <is>
          <t>Kommuner</t>
        </is>
      </c>
      <c r="G109" t="n">
        <v>6</v>
      </c>
      <c r="H109" t="n">
        <v>0</v>
      </c>
      <c r="I109" t="n">
        <v>0</v>
      </c>
      <c r="J109" t="n">
        <v>1</v>
      </c>
      <c r="K109" t="n">
        <v>0</v>
      </c>
      <c r="L109" t="n">
        <v>0</v>
      </c>
      <c r="M109" t="n">
        <v>0</v>
      </c>
      <c r="N109" t="n">
        <v>0</v>
      </c>
      <c r="O109" t="n">
        <v>1</v>
      </c>
      <c r="P109" t="n">
        <v>0</v>
      </c>
      <c r="Q109" t="n">
        <v>1</v>
      </c>
      <c r="R109" s="2" t="inlineStr">
        <is>
          <t>Motaggsvamp</t>
        </is>
      </c>
      <c r="S109">
        <f>HYPERLINK("https://klasma.github.io/Logging_0188/artfynd/A 23146-2024 artfynd.xlsx", "A 23146-2024")</f>
        <v/>
      </c>
      <c r="T109">
        <f>HYPERLINK("https://klasma.github.io/Logging_0188/kartor/A 23146-2024 karta.png", "A 23146-2024")</f>
        <v/>
      </c>
      <c r="V109">
        <f>HYPERLINK("https://klasma.github.io/Logging_0188/klagomål/A 23146-2024 FSC-klagomål.docx", "A 23146-2024")</f>
        <v/>
      </c>
      <c r="W109">
        <f>HYPERLINK("https://klasma.github.io/Logging_0188/klagomålsmail/A 23146-2024 FSC-klagomål mail.docx", "A 23146-2024")</f>
        <v/>
      </c>
      <c r="X109">
        <f>HYPERLINK("https://klasma.github.io/Logging_0188/tillsyn/A 23146-2024 tillsynsbegäran.docx", "A 23146-2024")</f>
        <v/>
      </c>
      <c r="Y109">
        <f>HYPERLINK("https://klasma.github.io/Logging_0188/tillsynsmail/A 23146-2024 tillsynsbegäran mail.docx", "A 23146-2024")</f>
        <v/>
      </c>
    </row>
    <row r="110" ht="15" customHeight="1">
      <c r="A110" t="inlineStr">
        <is>
          <t>A 52611-2024</t>
        </is>
      </c>
      <c r="B110" s="1" t="n">
        <v>45609.83747685186</v>
      </c>
      <c r="C110" s="1" t="n">
        <v>45908</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17952-2022</t>
        </is>
      </c>
      <c r="B111" s="1" t="n">
        <v>44683</v>
      </c>
      <c r="C111" s="1" t="n">
        <v>45908</v>
      </c>
      <c r="D111" t="inlineStr">
        <is>
          <t>STOCKHOLMS LÄN</t>
        </is>
      </c>
      <c r="E111" t="inlineStr">
        <is>
          <t>NORRTÄLJE</t>
        </is>
      </c>
      <c r="G111" t="n">
        <v>51.1</v>
      </c>
      <c r="H111" t="n">
        <v>0</v>
      </c>
      <c r="I111" t="n">
        <v>0</v>
      </c>
      <c r="J111" t="n">
        <v>0</v>
      </c>
      <c r="K111" t="n">
        <v>1</v>
      </c>
      <c r="L111" t="n">
        <v>0</v>
      </c>
      <c r="M111" t="n">
        <v>0</v>
      </c>
      <c r="N111" t="n">
        <v>0</v>
      </c>
      <c r="O111" t="n">
        <v>1</v>
      </c>
      <c r="P111" t="n">
        <v>1</v>
      </c>
      <c r="Q111" t="n">
        <v>1</v>
      </c>
      <c r="R111" s="2" t="inlineStr">
        <is>
          <t>Kattunvisslare</t>
        </is>
      </c>
      <c r="S111">
        <f>HYPERLINK("https://klasma.github.io/Logging_0188/artfynd/A 17952-2022 artfynd.xlsx", "A 17952-2022")</f>
        <v/>
      </c>
      <c r="T111">
        <f>HYPERLINK("https://klasma.github.io/Logging_0188/kartor/A 17952-2022 karta.png", "A 17952-2022")</f>
        <v/>
      </c>
      <c r="V111">
        <f>HYPERLINK("https://klasma.github.io/Logging_0188/klagomål/A 17952-2022 FSC-klagomål.docx", "A 17952-2022")</f>
        <v/>
      </c>
      <c r="W111">
        <f>HYPERLINK("https://klasma.github.io/Logging_0188/klagomålsmail/A 17952-2022 FSC-klagomål mail.docx", "A 17952-2022")</f>
        <v/>
      </c>
      <c r="X111">
        <f>HYPERLINK("https://klasma.github.io/Logging_0188/tillsyn/A 17952-2022 tillsynsbegäran.docx", "A 17952-2022")</f>
        <v/>
      </c>
      <c r="Y111">
        <f>HYPERLINK("https://klasma.github.io/Logging_0188/tillsynsmail/A 17952-2022 tillsynsbegäran mail.docx", "A 17952-2022")</f>
        <v/>
      </c>
    </row>
    <row r="112" ht="15" customHeight="1">
      <c r="A112" t="inlineStr">
        <is>
          <t>A 27538-2024</t>
        </is>
      </c>
      <c r="B112" s="1" t="n">
        <v>45474</v>
      </c>
      <c r="C112" s="1" t="n">
        <v>45908</v>
      </c>
      <c r="D112" t="inlineStr">
        <is>
          <t>STOCKHOLMS LÄN</t>
        </is>
      </c>
      <c r="E112" t="inlineStr">
        <is>
          <t>NORRTÄLJE</t>
        </is>
      </c>
      <c r="G112" t="n">
        <v>1.5</v>
      </c>
      <c r="H112" t="n">
        <v>1</v>
      </c>
      <c r="I112" t="n">
        <v>1</v>
      </c>
      <c r="J112" t="n">
        <v>0</v>
      </c>
      <c r="K112" t="n">
        <v>0</v>
      </c>
      <c r="L112" t="n">
        <v>0</v>
      </c>
      <c r="M112" t="n">
        <v>0</v>
      </c>
      <c r="N112" t="n">
        <v>0</v>
      </c>
      <c r="O112" t="n">
        <v>0</v>
      </c>
      <c r="P112" t="n">
        <v>0</v>
      </c>
      <c r="Q112" t="n">
        <v>1</v>
      </c>
      <c r="R112" s="2" t="inlineStr">
        <is>
          <t>Skogsknipprot</t>
        </is>
      </c>
      <c r="S112">
        <f>HYPERLINK("https://klasma.github.io/Logging_0188/artfynd/A 27538-2024 artfynd.xlsx", "A 27538-2024")</f>
        <v/>
      </c>
      <c r="T112">
        <f>HYPERLINK("https://klasma.github.io/Logging_0188/kartor/A 27538-2024 karta.png", "A 27538-2024")</f>
        <v/>
      </c>
      <c r="V112">
        <f>HYPERLINK("https://klasma.github.io/Logging_0188/klagomål/A 27538-2024 FSC-klagomål.docx", "A 27538-2024")</f>
        <v/>
      </c>
      <c r="W112">
        <f>HYPERLINK("https://klasma.github.io/Logging_0188/klagomålsmail/A 27538-2024 FSC-klagomål mail.docx", "A 27538-2024")</f>
        <v/>
      </c>
      <c r="X112">
        <f>HYPERLINK("https://klasma.github.io/Logging_0188/tillsyn/A 27538-2024 tillsynsbegäran.docx", "A 27538-2024")</f>
        <v/>
      </c>
      <c r="Y112">
        <f>HYPERLINK("https://klasma.github.io/Logging_0188/tillsynsmail/A 27538-2024 tillsynsbegäran mail.docx", "A 27538-2024")</f>
        <v/>
      </c>
    </row>
    <row r="113" ht="15" customHeight="1">
      <c r="A113" t="inlineStr">
        <is>
          <t>A 48131-2023</t>
        </is>
      </c>
      <c r="B113" s="1" t="n">
        <v>45205</v>
      </c>
      <c r="C113" s="1" t="n">
        <v>45908</v>
      </c>
      <c r="D113" t="inlineStr">
        <is>
          <t>STOCKHOLMS LÄN</t>
        </is>
      </c>
      <c r="E113" t="inlineStr">
        <is>
          <t>NORRTÄLJE</t>
        </is>
      </c>
      <c r="G113" t="n">
        <v>2.3</v>
      </c>
      <c r="H113" t="n">
        <v>0</v>
      </c>
      <c r="I113" t="n">
        <v>0</v>
      </c>
      <c r="J113" t="n">
        <v>1</v>
      </c>
      <c r="K113" t="n">
        <v>0</v>
      </c>
      <c r="L113" t="n">
        <v>0</v>
      </c>
      <c r="M113" t="n">
        <v>0</v>
      </c>
      <c r="N113" t="n">
        <v>0</v>
      </c>
      <c r="O113" t="n">
        <v>1</v>
      </c>
      <c r="P113" t="n">
        <v>0</v>
      </c>
      <c r="Q113" t="n">
        <v>1</v>
      </c>
      <c r="R113" s="2" t="inlineStr">
        <is>
          <t>Slåtterfibbla</t>
        </is>
      </c>
      <c r="S113">
        <f>HYPERLINK("https://klasma.github.io/Logging_0188/artfynd/A 48131-2023 artfynd.xlsx", "A 48131-2023")</f>
        <v/>
      </c>
      <c r="T113">
        <f>HYPERLINK("https://klasma.github.io/Logging_0188/kartor/A 48131-2023 karta.png", "A 48131-2023")</f>
        <v/>
      </c>
      <c r="V113">
        <f>HYPERLINK("https://klasma.github.io/Logging_0188/klagomål/A 48131-2023 FSC-klagomål.docx", "A 48131-2023")</f>
        <v/>
      </c>
      <c r="W113">
        <f>HYPERLINK("https://klasma.github.io/Logging_0188/klagomålsmail/A 48131-2023 FSC-klagomål mail.docx", "A 48131-2023")</f>
        <v/>
      </c>
      <c r="X113">
        <f>HYPERLINK("https://klasma.github.io/Logging_0188/tillsyn/A 48131-2023 tillsynsbegäran.docx", "A 48131-2023")</f>
        <v/>
      </c>
      <c r="Y113">
        <f>HYPERLINK("https://klasma.github.io/Logging_0188/tillsynsmail/A 48131-2023 tillsynsbegäran mail.docx", "A 48131-2023")</f>
        <v/>
      </c>
    </row>
    <row r="114" ht="15" customHeight="1">
      <c r="A114" t="inlineStr">
        <is>
          <t>A 13271-2025</t>
        </is>
      </c>
      <c r="B114" s="1" t="n">
        <v>45735.54510416667</v>
      </c>
      <c r="C114" s="1" t="n">
        <v>45908</v>
      </c>
      <c r="D114" t="inlineStr">
        <is>
          <t>STOCKHOLMS LÄN</t>
        </is>
      </c>
      <c r="E114" t="inlineStr">
        <is>
          <t>NORRTÄLJE</t>
        </is>
      </c>
      <c r="G114" t="n">
        <v>7.2</v>
      </c>
      <c r="H114" t="n">
        <v>1</v>
      </c>
      <c r="I114" t="n">
        <v>0</v>
      </c>
      <c r="J114" t="n">
        <v>0</v>
      </c>
      <c r="K114" t="n">
        <v>0</v>
      </c>
      <c r="L114" t="n">
        <v>1</v>
      </c>
      <c r="M114" t="n">
        <v>0</v>
      </c>
      <c r="N114" t="n">
        <v>0</v>
      </c>
      <c r="O114" t="n">
        <v>1</v>
      </c>
      <c r="P114" t="n">
        <v>1</v>
      </c>
      <c r="Q114" t="n">
        <v>1</v>
      </c>
      <c r="R114" s="2" t="inlineStr">
        <is>
          <t>Asknätfjäril</t>
        </is>
      </c>
      <c r="S114">
        <f>HYPERLINK("https://klasma.github.io/Logging_0188/artfynd/A 13271-2025 artfynd.xlsx", "A 13271-2025")</f>
        <v/>
      </c>
      <c r="T114">
        <f>HYPERLINK("https://klasma.github.io/Logging_0188/kartor/A 13271-2025 karta.png", "A 13271-2025")</f>
        <v/>
      </c>
      <c r="V114">
        <f>HYPERLINK("https://klasma.github.io/Logging_0188/klagomål/A 13271-2025 FSC-klagomål.docx", "A 13271-2025")</f>
        <v/>
      </c>
      <c r="W114">
        <f>HYPERLINK("https://klasma.github.io/Logging_0188/klagomålsmail/A 13271-2025 FSC-klagomål mail.docx", "A 13271-2025")</f>
        <v/>
      </c>
      <c r="X114">
        <f>HYPERLINK("https://klasma.github.io/Logging_0188/tillsyn/A 13271-2025 tillsynsbegäran.docx", "A 13271-2025")</f>
        <v/>
      </c>
      <c r="Y114">
        <f>HYPERLINK("https://klasma.github.io/Logging_0188/tillsynsmail/A 13271-2025 tillsynsbegäran mail.docx", "A 13271-2025")</f>
        <v/>
      </c>
    </row>
    <row r="115" ht="15" customHeight="1">
      <c r="A115" t="inlineStr">
        <is>
          <t>A 21150-2022</t>
        </is>
      </c>
      <c r="B115" s="1" t="n">
        <v>44704</v>
      </c>
      <c r="C115" s="1" t="n">
        <v>45908</v>
      </c>
      <c r="D115" t="inlineStr">
        <is>
          <t>STOCKHOLMS LÄN</t>
        </is>
      </c>
      <c r="E115" t="inlineStr">
        <is>
          <t>NORRTÄLJE</t>
        </is>
      </c>
      <c r="G115" t="n">
        <v>12.5</v>
      </c>
      <c r="H115" t="n">
        <v>1</v>
      </c>
      <c r="I115" t="n">
        <v>0</v>
      </c>
      <c r="J115" t="n">
        <v>0</v>
      </c>
      <c r="K115" t="n">
        <v>0</v>
      </c>
      <c r="L115" t="n">
        <v>1</v>
      </c>
      <c r="M115" t="n">
        <v>0</v>
      </c>
      <c r="N115" t="n">
        <v>0</v>
      </c>
      <c r="O115" t="n">
        <v>1</v>
      </c>
      <c r="P115" t="n">
        <v>1</v>
      </c>
      <c r="Q115" t="n">
        <v>1</v>
      </c>
      <c r="R115" s="2" t="inlineStr">
        <is>
          <t>Asknätfjäril</t>
        </is>
      </c>
      <c r="S115">
        <f>HYPERLINK("https://klasma.github.io/Logging_0188/artfynd/A 21150-2022 artfynd.xlsx", "A 21150-2022")</f>
        <v/>
      </c>
      <c r="T115">
        <f>HYPERLINK("https://klasma.github.io/Logging_0188/kartor/A 21150-2022 karta.png", "A 21150-2022")</f>
        <v/>
      </c>
      <c r="V115">
        <f>HYPERLINK("https://klasma.github.io/Logging_0188/klagomål/A 21150-2022 FSC-klagomål.docx", "A 21150-2022")</f>
        <v/>
      </c>
      <c r="W115">
        <f>HYPERLINK("https://klasma.github.io/Logging_0188/klagomålsmail/A 21150-2022 FSC-klagomål mail.docx", "A 21150-2022")</f>
        <v/>
      </c>
      <c r="X115">
        <f>HYPERLINK("https://klasma.github.io/Logging_0188/tillsyn/A 21150-2022 tillsynsbegäran.docx", "A 21150-2022")</f>
        <v/>
      </c>
      <c r="Y115">
        <f>HYPERLINK("https://klasma.github.io/Logging_0188/tillsynsmail/A 21150-2022 tillsynsbegäran mail.docx", "A 21150-2022")</f>
        <v/>
      </c>
    </row>
    <row r="116" ht="15" customHeight="1">
      <c r="A116" t="inlineStr">
        <is>
          <t>A 26635-2023</t>
        </is>
      </c>
      <c r="B116" s="1" t="n">
        <v>45092</v>
      </c>
      <c r="C116" s="1" t="n">
        <v>45908</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1970-2021</t>
        </is>
      </c>
      <c r="B117" s="1" t="n">
        <v>44210</v>
      </c>
      <c r="C117" s="1" t="n">
        <v>45908</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45908</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45908</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71543-2021</t>
        </is>
      </c>
      <c r="B120" s="1" t="n">
        <v>44540</v>
      </c>
      <c r="C120" s="1" t="n">
        <v>45908</v>
      </c>
      <c r="D120" t="inlineStr">
        <is>
          <t>STOCKHOLMS LÄN</t>
        </is>
      </c>
      <c r="E120" t="inlineStr">
        <is>
          <t>NORRTÄLJE</t>
        </is>
      </c>
      <c r="G120" t="n">
        <v>1.8</v>
      </c>
      <c r="H120" t="n">
        <v>0</v>
      </c>
      <c r="I120" t="n">
        <v>0</v>
      </c>
      <c r="J120" t="n">
        <v>0</v>
      </c>
      <c r="K120" t="n">
        <v>0</v>
      </c>
      <c r="L120" t="n">
        <v>0</v>
      </c>
      <c r="M120" t="n">
        <v>0</v>
      </c>
      <c r="N120" t="n">
        <v>0</v>
      </c>
      <c r="O120" t="n">
        <v>0</v>
      </c>
      <c r="P120" t="n">
        <v>0</v>
      </c>
      <c r="Q120" t="n">
        <v>0</v>
      </c>
      <c r="R120" s="2" t="inlineStr"/>
    </row>
    <row r="121" ht="15" customHeight="1">
      <c r="A121" t="inlineStr">
        <is>
          <t>A 12877-2022</t>
        </is>
      </c>
      <c r="B121" s="1" t="n">
        <v>44642</v>
      </c>
      <c r="C121" s="1" t="n">
        <v>45908</v>
      </c>
      <c r="D121" t="inlineStr">
        <is>
          <t>STOCKHOLMS LÄN</t>
        </is>
      </c>
      <c r="E121" t="inlineStr">
        <is>
          <t>NORRTÄLJE</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45908</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45908</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45908</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45908</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45908</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45908</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45908</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45908</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24977-2022</t>
        </is>
      </c>
      <c r="B130" s="1" t="n">
        <v>44728.73465277778</v>
      </c>
      <c r="C130" s="1" t="n">
        <v>45908</v>
      </c>
      <c r="D130" t="inlineStr">
        <is>
          <t>STOCKHOLMS LÄN</t>
        </is>
      </c>
      <c r="E130" t="inlineStr">
        <is>
          <t>NORRTÄLJE</t>
        </is>
      </c>
      <c r="F130" t="inlineStr">
        <is>
          <t>Kyrkan</t>
        </is>
      </c>
      <c r="G130" t="n">
        <v>1</v>
      </c>
      <c r="H130" t="n">
        <v>0</v>
      </c>
      <c r="I130" t="n">
        <v>0</v>
      </c>
      <c r="J130" t="n">
        <v>0</v>
      </c>
      <c r="K130" t="n">
        <v>0</v>
      </c>
      <c r="L130" t="n">
        <v>0</v>
      </c>
      <c r="M130" t="n">
        <v>0</v>
      </c>
      <c r="N130" t="n">
        <v>0</v>
      </c>
      <c r="O130" t="n">
        <v>0</v>
      </c>
      <c r="P130" t="n">
        <v>0</v>
      </c>
      <c r="Q130" t="n">
        <v>0</v>
      </c>
      <c r="R130" s="2" t="inlineStr"/>
    </row>
    <row r="131" ht="15" customHeight="1">
      <c r="A131" t="inlineStr">
        <is>
          <t>A 31934-2022</t>
        </is>
      </c>
      <c r="B131" s="1" t="n">
        <v>44777</v>
      </c>
      <c r="C131" s="1" t="n">
        <v>45908</v>
      </c>
      <c r="D131" t="inlineStr">
        <is>
          <t>STOCKHOLMS LÄN</t>
        </is>
      </c>
      <c r="E131" t="inlineStr">
        <is>
          <t>NORRTÄLJE</t>
        </is>
      </c>
      <c r="G131" t="n">
        <v>1.2</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45908</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45908</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45908</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45908</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45908</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45908</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45908</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45908</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45908</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45908</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45908</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65737-2021</t>
        </is>
      </c>
      <c r="B143" s="1" t="n">
        <v>44516.72827546296</v>
      </c>
      <c r="C143" s="1" t="n">
        <v>45908</v>
      </c>
      <c r="D143" t="inlineStr">
        <is>
          <t>STOCKHOLMS LÄN</t>
        </is>
      </c>
      <c r="E143" t="inlineStr">
        <is>
          <t>NORRTÄLJE</t>
        </is>
      </c>
      <c r="G143" t="n">
        <v>3</v>
      </c>
      <c r="H143" t="n">
        <v>0</v>
      </c>
      <c r="I143" t="n">
        <v>0</v>
      </c>
      <c r="J143" t="n">
        <v>0</v>
      </c>
      <c r="K143" t="n">
        <v>0</v>
      </c>
      <c r="L143" t="n">
        <v>0</v>
      </c>
      <c r="M143" t="n">
        <v>0</v>
      </c>
      <c r="N143" t="n">
        <v>0</v>
      </c>
      <c r="O143" t="n">
        <v>0</v>
      </c>
      <c r="P143" t="n">
        <v>0</v>
      </c>
      <c r="Q143" t="n">
        <v>0</v>
      </c>
      <c r="R143" s="2" t="inlineStr"/>
    </row>
    <row r="144" ht="15" customHeight="1">
      <c r="A144" t="inlineStr">
        <is>
          <t>A 1704-2022</t>
        </is>
      </c>
      <c r="B144" s="1" t="n">
        <v>44574.42978009259</v>
      </c>
      <c r="C144" s="1" t="n">
        <v>45908</v>
      </c>
      <c r="D144" t="inlineStr">
        <is>
          <t>STOCKHOLMS LÄN</t>
        </is>
      </c>
      <c r="E144" t="inlineStr">
        <is>
          <t>NORRTÄLJE</t>
        </is>
      </c>
      <c r="G144" t="n">
        <v>6.2</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45908</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45908</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45908</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45908</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45908</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45908</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45908</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45908</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45908</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45908</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45908</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45908</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45908</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45908</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45908</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45908</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45908</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45908</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45908</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45908</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45908</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45908</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45908</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45908</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45908</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45539-2022</t>
        </is>
      </c>
      <c r="B170" s="1" t="n">
        <v>44845.47585648148</v>
      </c>
      <c r="C170" s="1" t="n">
        <v>45908</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19729-2022</t>
        </is>
      </c>
      <c r="B171" s="1" t="n">
        <v>44694.57549768518</v>
      </c>
      <c r="C171" s="1" t="n">
        <v>45908</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60186-2021</t>
        </is>
      </c>
      <c r="B172" s="1" t="n">
        <v>44495</v>
      </c>
      <c r="C172" s="1" t="n">
        <v>45908</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28959-2022</t>
        </is>
      </c>
      <c r="B173" s="1" t="n">
        <v>44749.61980324074</v>
      </c>
      <c r="C173" s="1" t="n">
        <v>45908</v>
      </c>
      <c r="D173" t="inlineStr">
        <is>
          <t>STOCKHOLMS LÄN</t>
        </is>
      </c>
      <c r="E173" t="inlineStr">
        <is>
          <t>NORRTÄLJE</t>
        </is>
      </c>
      <c r="G173" t="n">
        <v>5.2</v>
      </c>
      <c r="H173" t="n">
        <v>0</v>
      </c>
      <c r="I173" t="n">
        <v>0</v>
      </c>
      <c r="J173" t="n">
        <v>0</v>
      </c>
      <c r="K173" t="n">
        <v>0</v>
      </c>
      <c r="L173" t="n">
        <v>0</v>
      </c>
      <c r="M173" t="n">
        <v>0</v>
      </c>
      <c r="N173" t="n">
        <v>0</v>
      </c>
      <c r="O173" t="n">
        <v>0</v>
      </c>
      <c r="P173" t="n">
        <v>0</v>
      </c>
      <c r="Q173" t="n">
        <v>0</v>
      </c>
      <c r="R173" s="2" t="inlineStr"/>
    </row>
    <row r="174" ht="15" customHeight="1">
      <c r="A174" t="inlineStr">
        <is>
          <t>A 54340-2022</t>
        </is>
      </c>
      <c r="B174" s="1" t="n">
        <v>44882.44732638889</v>
      </c>
      <c r="C174" s="1" t="n">
        <v>45908</v>
      </c>
      <c r="D174" t="inlineStr">
        <is>
          <t>STOCKHOLMS LÄN</t>
        </is>
      </c>
      <c r="E174" t="inlineStr">
        <is>
          <t>NORRTÄLJE</t>
        </is>
      </c>
      <c r="G174" t="n">
        <v>6.7</v>
      </c>
      <c r="H174" t="n">
        <v>0</v>
      </c>
      <c r="I174" t="n">
        <v>0</v>
      </c>
      <c r="J174" t="n">
        <v>0</v>
      </c>
      <c r="K174" t="n">
        <v>0</v>
      </c>
      <c r="L174" t="n">
        <v>0</v>
      </c>
      <c r="M174" t="n">
        <v>0</v>
      </c>
      <c r="N174" t="n">
        <v>0</v>
      </c>
      <c r="O174" t="n">
        <v>0</v>
      </c>
      <c r="P174" t="n">
        <v>0</v>
      </c>
      <c r="Q174" t="n">
        <v>0</v>
      </c>
      <c r="R174" s="2" t="inlineStr"/>
    </row>
    <row r="175" ht="15" customHeight="1">
      <c r="A175" t="inlineStr">
        <is>
          <t>A 54355-2022</t>
        </is>
      </c>
      <c r="B175" s="1" t="n">
        <v>44882</v>
      </c>
      <c r="C175" s="1" t="n">
        <v>45908</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4634-2021</t>
        </is>
      </c>
      <c r="B176" s="1" t="n">
        <v>44224</v>
      </c>
      <c r="C176" s="1" t="n">
        <v>45908</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72308-2021</t>
        </is>
      </c>
      <c r="B177" s="1" t="n">
        <v>44545.4189699074</v>
      </c>
      <c r="C177" s="1" t="n">
        <v>45908</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20073-2021</t>
        </is>
      </c>
      <c r="B178" s="1" t="n">
        <v>44314</v>
      </c>
      <c r="C178" s="1" t="n">
        <v>45908</v>
      </c>
      <c r="D178" t="inlineStr">
        <is>
          <t>STOCKHOLMS LÄN</t>
        </is>
      </c>
      <c r="E178" t="inlineStr">
        <is>
          <t>NORRTÄLJE</t>
        </is>
      </c>
      <c r="G178" t="n">
        <v>4.6</v>
      </c>
      <c r="H178" t="n">
        <v>0</v>
      </c>
      <c r="I178" t="n">
        <v>0</v>
      </c>
      <c r="J178" t="n">
        <v>0</v>
      </c>
      <c r="K178" t="n">
        <v>0</v>
      </c>
      <c r="L178" t="n">
        <v>0</v>
      </c>
      <c r="M178" t="n">
        <v>0</v>
      </c>
      <c r="N178" t="n">
        <v>0</v>
      </c>
      <c r="O178" t="n">
        <v>0</v>
      </c>
      <c r="P178" t="n">
        <v>0</v>
      </c>
      <c r="Q178" t="n">
        <v>0</v>
      </c>
      <c r="R178" s="2" t="inlineStr"/>
    </row>
    <row r="179" ht="15" customHeight="1">
      <c r="A179" t="inlineStr">
        <is>
          <t>A 14381-2021</t>
        </is>
      </c>
      <c r="B179" s="1" t="n">
        <v>44279</v>
      </c>
      <c r="C179" s="1" t="n">
        <v>45908</v>
      </c>
      <c r="D179" t="inlineStr">
        <is>
          <t>STOCKHOLMS LÄN</t>
        </is>
      </c>
      <c r="E179" t="inlineStr">
        <is>
          <t>NORRTÄLJE</t>
        </is>
      </c>
      <c r="G179" t="n">
        <v>0.9</v>
      </c>
      <c r="H179" t="n">
        <v>0</v>
      </c>
      <c r="I179" t="n">
        <v>0</v>
      </c>
      <c r="J179" t="n">
        <v>0</v>
      </c>
      <c r="K179" t="n">
        <v>0</v>
      </c>
      <c r="L179" t="n">
        <v>0</v>
      </c>
      <c r="M179" t="n">
        <v>0</v>
      </c>
      <c r="N179" t="n">
        <v>0</v>
      </c>
      <c r="O179" t="n">
        <v>0</v>
      </c>
      <c r="P179" t="n">
        <v>0</v>
      </c>
      <c r="Q179" t="n">
        <v>0</v>
      </c>
      <c r="R179" s="2" t="inlineStr"/>
    </row>
    <row r="180" ht="15" customHeight="1">
      <c r="A180" t="inlineStr">
        <is>
          <t>A 17703-2021</t>
        </is>
      </c>
      <c r="B180" s="1" t="n">
        <v>44300</v>
      </c>
      <c r="C180" s="1" t="n">
        <v>45908</v>
      </c>
      <c r="D180" t="inlineStr">
        <is>
          <t>STOCKHOLMS LÄN</t>
        </is>
      </c>
      <c r="E180" t="inlineStr">
        <is>
          <t>NORRTÄLJE</t>
        </is>
      </c>
      <c r="F180" t="inlineStr">
        <is>
          <t>Holmen skog AB</t>
        </is>
      </c>
      <c r="G180" t="n">
        <v>1.1</v>
      </c>
      <c r="H180" t="n">
        <v>0</v>
      </c>
      <c r="I180" t="n">
        <v>0</v>
      </c>
      <c r="J180" t="n">
        <v>0</v>
      </c>
      <c r="K180" t="n">
        <v>0</v>
      </c>
      <c r="L180" t="n">
        <v>0</v>
      </c>
      <c r="M180" t="n">
        <v>0</v>
      </c>
      <c r="N180" t="n">
        <v>0</v>
      </c>
      <c r="O180" t="n">
        <v>0</v>
      </c>
      <c r="P180" t="n">
        <v>0</v>
      </c>
      <c r="Q180" t="n">
        <v>0</v>
      </c>
      <c r="R180" s="2" t="inlineStr"/>
    </row>
    <row r="181" ht="15" customHeight="1">
      <c r="A181" t="inlineStr">
        <is>
          <t>A 23770-2022</t>
        </is>
      </c>
      <c r="B181" s="1" t="n">
        <v>44722</v>
      </c>
      <c r="C181" s="1" t="n">
        <v>45908</v>
      </c>
      <c r="D181" t="inlineStr">
        <is>
          <t>STOCKHOLMS LÄN</t>
        </is>
      </c>
      <c r="E181" t="inlineStr">
        <is>
          <t>NORRTÄLJE</t>
        </is>
      </c>
      <c r="G181" t="n">
        <v>1.6</v>
      </c>
      <c r="H181" t="n">
        <v>0</v>
      </c>
      <c r="I181" t="n">
        <v>0</v>
      </c>
      <c r="J181" t="n">
        <v>0</v>
      </c>
      <c r="K181" t="n">
        <v>0</v>
      </c>
      <c r="L181" t="n">
        <v>0</v>
      </c>
      <c r="M181" t="n">
        <v>0</v>
      </c>
      <c r="N181" t="n">
        <v>0</v>
      </c>
      <c r="O181" t="n">
        <v>0</v>
      </c>
      <c r="P181" t="n">
        <v>0</v>
      </c>
      <c r="Q181" t="n">
        <v>0</v>
      </c>
      <c r="R181" s="2" t="inlineStr"/>
    </row>
    <row r="182" ht="15" customHeight="1">
      <c r="A182" t="inlineStr">
        <is>
          <t>A 27538-2022</t>
        </is>
      </c>
      <c r="B182" s="1" t="n">
        <v>44742</v>
      </c>
      <c r="C182" s="1" t="n">
        <v>45908</v>
      </c>
      <c r="D182" t="inlineStr">
        <is>
          <t>STOCKHOLMS LÄN</t>
        </is>
      </c>
      <c r="E182" t="inlineStr">
        <is>
          <t>NORRTÄLJE</t>
        </is>
      </c>
      <c r="G182" t="n">
        <v>2.2</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45908</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36975-2022</t>
        </is>
      </c>
      <c r="B184" s="1" t="n">
        <v>44806.34577546296</v>
      </c>
      <c r="C184" s="1" t="n">
        <v>45908</v>
      </c>
      <c r="D184" t="inlineStr">
        <is>
          <t>STOCKHOLMS LÄN</t>
        </is>
      </c>
      <c r="E184" t="inlineStr">
        <is>
          <t>NORRTÄLJE</t>
        </is>
      </c>
      <c r="G184" t="n">
        <v>4.7</v>
      </c>
      <c r="H184" t="n">
        <v>0</v>
      </c>
      <c r="I184" t="n">
        <v>0</v>
      </c>
      <c r="J184" t="n">
        <v>0</v>
      </c>
      <c r="K184" t="n">
        <v>0</v>
      </c>
      <c r="L184" t="n">
        <v>0</v>
      </c>
      <c r="M184" t="n">
        <v>0</v>
      </c>
      <c r="N184" t="n">
        <v>0</v>
      </c>
      <c r="O184" t="n">
        <v>0</v>
      </c>
      <c r="P184" t="n">
        <v>0</v>
      </c>
      <c r="Q184" t="n">
        <v>0</v>
      </c>
      <c r="R184" s="2" t="inlineStr"/>
    </row>
    <row r="185" ht="15" customHeight="1">
      <c r="A185" t="inlineStr">
        <is>
          <t>A 29868-2022</t>
        </is>
      </c>
      <c r="B185" s="1" t="n">
        <v>44756.40881944444</v>
      </c>
      <c r="C185" s="1" t="n">
        <v>45908</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53690-2020</t>
        </is>
      </c>
      <c r="B186" s="1" t="n">
        <v>44124</v>
      </c>
      <c r="C186" s="1" t="n">
        <v>45908</v>
      </c>
      <c r="D186" t="inlineStr">
        <is>
          <t>STOCKHOLMS LÄN</t>
        </is>
      </c>
      <c r="E186" t="inlineStr">
        <is>
          <t>NORRTÄLJE</t>
        </is>
      </c>
      <c r="G186" t="n">
        <v>0.5</v>
      </c>
      <c r="H186" t="n">
        <v>0</v>
      </c>
      <c r="I186" t="n">
        <v>0</v>
      </c>
      <c r="J186" t="n">
        <v>0</v>
      </c>
      <c r="K186" t="n">
        <v>0</v>
      </c>
      <c r="L186" t="n">
        <v>0</v>
      </c>
      <c r="M186" t="n">
        <v>0</v>
      </c>
      <c r="N186" t="n">
        <v>0</v>
      </c>
      <c r="O186" t="n">
        <v>0</v>
      </c>
      <c r="P186" t="n">
        <v>0</v>
      </c>
      <c r="Q186" t="n">
        <v>0</v>
      </c>
      <c r="R186" s="2" t="inlineStr"/>
    </row>
    <row r="187" ht="15" customHeight="1">
      <c r="A187" t="inlineStr">
        <is>
          <t>A 23122-2021</t>
        </is>
      </c>
      <c r="B187" s="1" t="n">
        <v>44330</v>
      </c>
      <c r="C187" s="1" t="n">
        <v>45908</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45908</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64599-2021</t>
        </is>
      </c>
      <c r="B189" s="1" t="n">
        <v>44511.69885416667</v>
      </c>
      <c r="C189" s="1" t="n">
        <v>45908</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64212-2021</t>
        </is>
      </c>
      <c r="B190" s="1" t="n">
        <v>44510</v>
      </c>
      <c r="C190" s="1" t="n">
        <v>45908</v>
      </c>
      <c r="D190" t="inlineStr">
        <is>
          <t>STOCKHOLMS LÄN</t>
        </is>
      </c>
      <c r="E190" t="inlineStr">
        <is>
          <t>NORRTÄLJE</t>
        </is>
      </c>
      <c r="G190" t="n">
        <v>28.7</v>
      </c>
      <c r="H190" t="n">
        <v>0</v>
      </c>
      <c r="I190" t="n">
        <v>0</v>
      </c>
      <c r="J190" t="n">
        <v>0</v>
      </c>
      <c r="K190" t="n">
        <v>0</v>
      </c>
      <c r="L190" t="n">
        <v>0</v>
      </c>
      <c r="M190" t="n">
        <v>0</v>
      </c>
      <c r="N190" t="n">
        <v>0</v>
      </c>
      <c r="O190" t="n">
        <v>0</v>
      </c>
      <c r="P190" t="n">
        <v>0</v>
      </c>
      <c r="Q190" t="n">
        <v>0</v>
      </c>
      <c r="R190" s="2" t="inlineStr"/>
    </row>
    <row r="191" ht="15" customHeight="1">
      <c r="A191" t="inlineStr">
        <is>
          <t>A 47349-2021</t>
        </is>
      </c>
      <c r="B191" s="1" t="n">
        <v>44447</v>
      </c>
      <c r="C191" s="1" t="n">
        <v>45908</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36565-2021</t>
        </is>
      </c>
      <c r="B192" s="1" t="n">
        <v>44391.5580787037</v>
      </c>
      <c r="C192" s="1" t="n">
        <v>45908</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44274-2021</t>
        </is>
      </c>
      <c r="B193" s="1" t="n">
        <v>44435</v>
      </c>
      <c r="C193" s="1" t="n">
        <v>45908</v>
      </c>
      <c r="D193" t="inlineStr">
        <is>
          <t>STOCKHOLMS LÄN</t>
        </is>
      </c>
      <c r="E193" t="inlineStr">
        <is>
          <t>NORRTÄLJE</t>
        </is>
      </c>
      <c r="G193" t="n">
        <v>1</v>
      </c>
      <c r="H193" t="n">
        <v>0</v>
      </c>
      <c r="I193" t="n">
        <v>0</v>
      </c>
      <c r="J193" t="n">
        <v>0</v>
      </c>
      <c r="K193" t="n">
        <v>0</v>
      </c>
      <c r="L193" t="n">
        <v>0</v>
      </c>
      <c r="M193" t="n">
        <v>0</v>
      </c>
      <c r="N193" t="n">
        <v>0</v>
      </c>
      <c r="O193" t="n">
        <v>0</v>
      </c>
      <c r="P193" t="n">
        <v>0</v>
      </c>
      <c r="Q193" t="n">
        <v>0</v>
      </c>
      <c r="R193" s="2" t="inlineStr"/>
    </row>
    <row r="194" ht="15" customHeight="1">
      <c r="A194" t="inlineStr">
        <is>
          <t>A 50970-2022</t>
        </is>
      </c>
      <c r="B194" s="1" t="n">
        <v>44867</v>
      </c>
      <c r="C194" s="1" t="n">
        <v>45908</v>
      </c>
      <c r="D194" t="inlineStr">
        <is>
          <t>STOCKHOLMS LÄN</t>
        </is>
      </c>
      <c r="E194" t="inlineStr">
        <is>
          <t>NORRTÄLJE</t>
        </is>
      </c>
      <c r="G194" t="n">
        <v>9</v>
      </c>
      <c r="H194" t="n">
        <v>0</v>
      </c>
      <c r="I194" t="n">
        <v>0</v>
      </c>
      <c r="J194" t="n">
        <v>0</v>
      </c>
      <c r="K194" t="n">
        <v>0</v>
      </c>
      <c r="L194" t="n">
        <v>0</v>
      </c>
      <c r="M194" t="n">
        <v>0</v>
      </c>
      <c r="N194" t="n">
        <v>0</v>
      </c>
      <c r="O194" t="n">
        <v>0</v>
      </c>
      <c r="P194" t="n">
        <v>0</v>
      </c>
      <c r="Q194" t="n">
        <v>0</v>
      </c>
      <c r="R194" s="2" t="inlineStr"/>
    </row>
    <row r="195" ht="15" customHeight="1">
      <c r="A195" t="inlineStr">
        <is>
          <t>A 1054-2022</t>
        </is>
      </c>
      <c r="B195" s="1" t="n">
        <v>44571</v>
      </c>
      <c r="C195" s="1" t="n">
        <v>45908</v>
      </c>
      <c r="D195" t="inlineStr">
        <is>
          <t>STOCKHOLMS LÄN</t>
        </is>
      </c>
      <c r="E195" t="inlineStr">
        <is>
          <t>NORRTÄLJE</t>
        </is>
      </c>
      <c r="G195" t="n">
        <v>5</v>
      </c>
      <c r="H195" t="n">
        <v>0</v>
      </c>
      <c r="I195" t="n">
        <v>0</v>
      </c>
      <c r="J195" t="n">
        <v>0</v>
      </c>
      <c r="K195" t="n">
        <v>0</v>
      </c>
      <c r="L195" t="n">
        <v>0</v>
      </c>
      <c r="M195" t="n">
        <v>0</v>
      </c>
      <c r="N195" t="n">
        <v>0</v>
      </c>
      <c r="O195" t="n">
        <v>0</v>
      </c>
      <c r="P195" t="n">
        <v>0</v>
      </c>
      <c r="Q195" t="n">
        <v>0</v>
      </c>
      <c r="R195" s="2" t="inlineStr"/>
    </row>
    <row r="196" ht="15" customHeight="1">
      <c r="A196" t="inlineStr">
        <is>
          <t>A 49113-2021</t>
        </is>
      </c>
      <c r="B196" s="1" t="n">
        <v>44453</v>
      </c>
      <c r="C196" s="1" t="n">
        <v>45908</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64628-2021</t>
        </is>
      </c>
      <c r="B197" s="1" t="n">
        <v>44511</v>
      </c>
      <c r="C197" s="1" t="n">
        <v>45908</v>
      </c>
      <c r="D197" t="inlineStr">
        <is>
          <t>STOCKHOLMS LÄN</t>
        </is>
      </c>
      <c r="E197" t="inlineStr">
        <is>
          <t>NORRTÄLJE</t>
        </is>
      </c>
      <c r="G197" t="n">
        <v>0.7</v>
      </c>
      <c r="H197" t="n">
        <v>0</v>
      </c>
      <c r="I197" t="n">
        <v>0</v>
      </c>
      <c r="J197" t="n">
        <v>0</v>
      </c>
      <c r="K197" t="n">
        <v>0</v>
      </c>
      <c r="L197" t="n">
        <v>0</v>
      </c>
      <c r="M197" t="n">
        <v>0</v>
      </c>
      <c r="N197" t="n">
        <v>0</v>
      </c>
      <c r="O197" t="n">
        <v>0</v>
      </c>
      <c r="P197" t="n">
        <v>0</v>
      </c>
      <c r="Q197" t="n">
        <v>0</v>
      </c>
      <c r="R197" s="2" t="inlineStr"/>
    </row>
    <row r="198" ht="15" customHeight="1">
      <c r="A198" t="inlineStr">
        <is>
          <t>A 60209-2021</t>
        </is>
      </c>
      <c r="B198" s="1" t="n">
        <v>44495</v>
      </c>
      <c r="C198" s="1" t="n">
        <v>45908</v>
      </c>
      <c r="D198" t="inlineStr">
        <is>
          <t>STOCKHOLMS LÄN</t>
        </is>
      </c>
      <c r="E198" t="inlineStr">
        <is>
          <t>NORRTÄLJE</t>
        </is>
      </c>
      <c r="G198" t="n">
        <v>4.3</v>
      </c>
      <c r="H198" t="n">
        <v>0</v>
      </c>
      <c r="I198" t="n">
        <v>0</v>
      </c>
      <c r="J198" t="n">
        <v>0</v>
      </c>
      <c r="K198" t="n">
        <v>0</v>
      </c>
      <c r="L198" t="n">
        <v>0</v>
      </c>
      <c r="M198" t="n">
        <v>0</v>
      </c>
      <c r="N198" t="n">
        <v>0</v>
      </c>
      <c r="O198" t="n">
        <v>0</v>
      </c>
      <c r="P198" t="n">
        <v>0</v>
      </c>
      <c r="Q198" t="n">
        <v>0</v>
      </c>
      <c r="R198" s="2" t="inlineStr"/>
    </row>
    <row r="199" ht="15" customHeight="1">
      <c r="A199" t="inlineStr">
        <is>
          <t>A 17803-2022</t>
        </is>
      </c>
      <c r="B199" s="1" t="n">
        <v>44683</v>
      </c>
      <c r="C199" s="1" t="n">
        <v>45908</v>
      </c>
      <c r="D199" t="inlineStr">
        <is>
          <t>STOCKHOLMS LÄN</t>
        </is>
      </c>
      <c r="E199" t="inlineStr">
        <is>
          <t>NORRTÄLJE</t>
        </is>
      </c>
      <c r="G199" t="n">
        <v>1.4</v>
      </c>
      <c r="H199" t="n">
        <v>0</v>
      </c>
      <c r="I199" t="n">
        <v>0</v>
      </c>
      <c r="J199" t="n">
        <v>0</v>
      </c>
      <c r="K199" t="n">
        <v>0</v>
      </c>
      <c r="L199" t="n">
        <v>0</v>
      </c>
      <c r="M199" t="n">
        <v>0</v>
      </c>
      <c r="N199" t="n">
        <v>0</v>
      </c>
      <c r="O199" t="n">
        <v>0</v>
      </c>
      <c r="P199" t="n">
        <v>0</v>
      </c>
      <c r="Q199" t="n">
        <v>0</v>
      </c>
      <c r="R199" s="2" t="inlineStr"/>
    </row>
    <row r="200" ht="15" customHeight="1">
      <c r="A200" t="inlineStr">
        <is>
          <t>A 348-2021</t>
        </is>
      </c>
      <c r="B200" s="1" t="n">
        <v>44201</v>
      </c>
      <c r="C200" s="1" t="n">
        <v>45908</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367-2021</t>
        </is>
      </c>
      <c r="B201" s="1" t="n">
        <v>44201</v>
      </c>
      <c r="C201" s="1" t="n">
        <v>45908</v>
      </c>
      <c r="D201" t="inlineStr">
        <is>
          <t>STOCKHOLMS LÄN</t>
        </is>
      </c>
      <c r="E201" t="inlineStr">
        <is>
          <t>NORRTÄLJE</t>
        </is>
      </c>
      <c r="G201" t="n">
        <v>0.1</v>
      </c>
      <c r="H201" t="n">
        <v>0</v>
      </c>
      <c r="I201" t="n">
        <v>0</v>
      </c>
      <c r="J201" t="n">
        <v>0</v>
      </c>
      <c r="K201" t="n">
        <v>0</v>
      </c>
      <c r="L201" t="n">
        <v>0</v>
      </c>
      <c r="M201" t="n">
        <v>0</v>
      </c>
      <c r="N201" t="n">
        <v>0</v>
      </c>
      <c r="O201" t="n">
        <v>0</v>
      </c>
      <c r="P201" t="n">
        <v>0</v>
      </c>
      <c r="Q201" t="n">
        <v>0</v>
      </c>
      <c r="R201" s="2" t="inlineStr"/>
    </row>
    <row r="202" ht="15" customHeight="1">
      <c r="A202" t="inlineStr">
        <is>
          <t>A 32561-2021</t>
        </is>
      </c>
      <c r="B202" s="1" t="n">
        <v>44375</v>
      </c>
      <c r="C202" s="1" t="n">
        <v>45908</v>
      </c>
      <c r="D202" t="inlineStr">
        <is>
          <t>STOCKHOLMS LÄN</t>
        </is>
      </c>
      <c r="E202" t="inlineStr">
        <is>
          <t>NORRTÄLJE</t>
        </is>
      </c>
      <c r="G202" t="n">
        <v>3.4</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45908</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71325-2021</t>
        </is>
      </c>
      <c r="B204" s="1" t="n">
        <v>44539</v>
      </c>
      <c r="C204" s="1" t="n">
        <v>45908</v>
      </c>
      <c r="D204" t="inlineStr">
        <is>
          <t>STOCKHOLMS LÄN</t>
        </is>
      </c>
      <c r="E204" t="inlineStr">
        <is>
          <t>NORRTÄLJE</t>
        </is>
      </c>
      <c r="G204" t="n">
        <v>2.1</v>
      </c>
      <c r="H204" t="n">
        <v>0</v>
      </c>
      <c r="I204" t="n">
        <v>0</v>
      </c>
      <c r="J204" t="n">
        <v>0</v>
      </c>
      <c r="K204" t="n">
        <v>0</v>
      </c>
      <c r="L204" t="n">
        <v>0</v>
      </c>
      <c r="M204" t="n">
        <v>0</v>
      </c>
      <c r="N204" t="n">
        <v>0</v>
      </c>
      <c r="O204" t="n">
        <v>0</v>
      </c>
      <c r="P204" t="n">
        <v>0</v>
      </c>
      <c r="Q204" t="n">
        <v>0</v>
      </c>
      <c r="R204" s="2" t="inlineStr"/>
    </row>
    <row r="205" ht="15" customHeight="1">
      <c r="A205" t="inlineStr">
        <is>
          <t>A 60813-2021</t>
        </is>
      </c>
      <c r="B205" s="1" t="n">
        <v>44496</v>
      </c>
      <c r="C205" s="1" t="n">
        <v>45908</v>
      </c>
      <c r="D205" t="inlineStr">
        <is>
          <t>STOCKHOLMS LÄN</t>
        </is>
      </c>
      <c r="E205" t="inlineStr">
        <is>
          <t>NORRTÄLJE</t>
        </is>
      </c>
      <c r="G205" t="n">
        <v>1.6</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45908</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17460-2021</t>
        </is>
      </c>
      <c r="B207" s="1" t="n">
        <v>44299</v>
      </c>
      <c r="C207" s="1" t="n">
        <v>45908</v>
      </c>
      <c r="D207" t="inlineStr">
        <is>
          <t>STOCKHOLMS LÄN</t>
        </is>
      </c>
      <c r="E207" t="inlineStr">
        <is>
          <t>NORRTÄLJE</t>
        </is>
      </c>
      <c r="G207" t="n">
        <v>3.2</v>
      </c>
      <c r="H207" t="n">
        <v>0</v>
      </c>
      <c r="I207" t="n">
        <v>0</v>
      </c>
      <c r="J207" t="n">
        <v>0</v>
      </c>
      <c r="K207" t="n">
        <v>0</v>
      </c>
      <c r="L207" t="n">
        <v>0</v>
      </c>
      <c r="M207" t="n">
        <v>0</v>
      </c>
      <c r="N207" t="n">
        <v>0</v>
      </c>
      <c r="O207" t="n">
        <v>0</v>
      </c>
      <c r="P207" t="n">
        <v>0</v>
      </c>
      <c r="Q207" t="n">
        <v>0</v>
      </c>
      <c r="R207" s="2" t="inlineStr"/>
    </row>
    <row r="208" ht="15" customHeight="1">
      <c r="A208" t="inlineStr">
        <is>
          <t>A 34431-2021</t>
        </is>
      </c>
      <c r="B208" s="1" t="n">
        <v>44380</v>
      </c>
      <c r="C208" s="1" t="n">
        <v>45908</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5351-2022</t>
        </is>
      </c>
      <c r="B209" s="1" t="n">
        <v>44594.75950231482</v>
      </c>
      <c r="C209" s="1" t="n">
        <v>45908</v>
      </c>
      <c r="D209" t="inlineStr">
        <is>
          <t>STOCKHOLMS LÄN</t>
        </is>
      </c>
      <c r="E209" t="inlineStr">
        <is>
          <t>NORRTÄLJE</t>
        </is>
      </c>
      <c r="G209" t="n">
        <v>4</v>
      </c>
      <c r="H209" t="n">
        <v>0</v>
      </c>
      <c r="I209" t="n">
        <v>0</v>
      </c>
      <c r="J209" t="n">
        <v>0</v>
      </c>
      <c r="K209" t="n">
        <v>0</v>
      </c>
      <c r="L209" t="n">
        <v>0</v>
      </c>
      <c r="M209" t="n">
        <v>0</v>
      </c>
      <c r="N209" t="n">
        <v>0</v>
      </c>
      <c r="O209" t="n">
        <v>0</v>
      </c>
      <c r="P209" t="n">
        <v>0</v>
      </c>
      <c r="Q209" t="n">
        <v>0</v>
      </c>
      <c r="R209" s="2" t="inlineStr"/>
    </row>
    <row r="210" ht="15" customHeight="1">
      <c r="A210" t="inlineStr">
        <is>
          <t>A 30129-2021</t>
        </is>
      </c>
      <c r="B210" s="1" t="n">
        <v>44363.5784375</v>
      </c>
      <c r="C210" s="1" t="n">
        <v>45908</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22316-2022</t>
        </is>
      </c>
      <c r="B211" s="1" t="n">
        <v>44712.83118055556</v>
      </c>
      <c r="C211" s="1" t="n">
        <v>45908</v>
      </c>
      <c r="D211" t="inlineStr">
        <is>
          <t>STOCKHOLMS LÄN</t>
        </is>
      </c>
      <c r="E211" t="inlineStr">
        <is>
          <t>NORRTÄLJE</t>
        </is>
      </c>
      <c r="G211" t="n">
        <v>6.3</v>
      </c>
      <c r="H211" t="n">
        <v>0</v>
      </c>
      <c r="I211" t="n">
        <v>0</v>
      </c>
      <c r="J211" t="n">
        <v>0</v>
      </c>
      <c r="K211" t="n">
        <v>0</v>
      </c>
      <c r="L211" t="n">
        <v>0</v>
      </c>
      <c r="M211" t="n">
        <v>0</v>
      </c>
      <c r="N211" t="n">
        <v>0</v>
      </c>
      <c r="O211" t="n">
        <v>0</v>
      </c>
      <c r="P211" t="n">
        <v>0</v>
      </c>
      <c r="Q211" t="n">
        <v>0</v>
      </c>
      <c r="R211" s="2" t="inlineStr"/>
    </row>
    <row r="212" ht="15" customHeight="1">
      <c r="A212" t="inlineStr">
        <is>
          <t>A 31092-2022</t>
        </is>
      </c>
      <c r="B212" s="1" t="n">
        <v>44769.62320601852</v>
      </c>
      <c r="C212" s="1" t="n">
        <v>45908</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9467-2021</t>
        </is>
      </c>
      <c r="B213" s="1" t="n">
        <v>44251.43971064815</v>
      </c>
      <c r="C213" s="1" t="n">
        <v>45908</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20295-2022</t>
        </is>
      </c>
      <c r="B214" s="1" t="n">
        <v>44698</v>
      </c>
      <c r="C214" s="1" t="n">
        <v>45908</v>
      </c>
      <c r="D214" t="inlineStr">
        <is>
          <t>STOCKHOLMS LÄN</t>
        </is>
      </c>
      <c r="E214" t="inlineStr">
        <is>
          <t>NORRTÄLJE</t>
        </is>
      </c>
      <c r="G214" t="n">
        <v>1.3</v>
      </c>
      <c r="H214" t="n">
        <v>0</v>
      </c>
      <c r="I214" t="n">
        <v>0</v>
      </c>
      <c r="J214" t="n">
        <v>0</v>
      </c>
      <c r="K214" t="n">
        <v>0</v>
      </c>
      <c r="L214" t="n">
        <v>0</v>
      </c>
      <c r="M214" t="n">
        <v>0</v>
      </c>
      <c r="N214" t="n">
        <v>0</v>
      </c>
      <c r="O214" t="n">
        <v>0</v>
      </c>
      <c r="P214" t="n">
        <v>0</v>
      </c>
      <c r="Q214" t="n">
        <v>0</v>
      </c>
      <c r="R214" s="2" t="inlineStr"/>
    </row>
    <row r="215" ht="15" customHeight="1">
      <c r="A215" t="inlineStr">
        <is>
          <t>A 37415-2021</t>
        </is>
      </c>
      <c r="B215" s="1" t="n">
        <v>44397</v>
      </c>
      <c r="C215" s="1" t="n">
        <v>45908</v>
      </c>
      <c r="D215" t="inlineStr">
        <is>
          <t>STOCKHOLMS LÄN</t>
        </is>
      </c>
      <c r="E215" t="inlineStr">
        <is>
          <t>NORRTÄLJE</t>
        </is>
      </c>
      <c r="F215" t="inlineStr">
        <is>
          <t>Övriga Aktiebolag</t>
        </is>
      </c>
      <c r="G215" t="n">
        <v>3</v>
      </c>
      <c r="H215" t="n">
        <v>0</v>
      </c>
      <c r="I215" t="n">
        <v>0</v>
      </c>
      <c r="J215" t="n">
        <v>0</v>
      </c>
      <c r="K215" t="n">
        <v>0</v>
      </c>
      <c r="L215" t="n">
        <v>0</v>
      </c>
      <c r="M215" t="n">
        <v>0</v>
      </c>
      <c r="N215" t="n">
        <v>0</v>
      </c>
      <c r="O215" t="n">
        <v>0</v>
      </c>
      <c r="P215" t="n">
        <v>0</v>
      </c>
      <c r="Q215" t="n">
        <v>0</v>
      </c>
      <c r="R215" s="2" t="inlineStr"/>
    </row>
    <row r="216" ht="15" customHeight="1">
      <c r="A216" t="inlineStr">
        <is>
          <t>A 45541-2022</t>
        </is>
      </c>
      <c r="B216" s="1" t="n">
        <v>44845.47672453704</v>
      </c>
      <c r="C216" s="1" t="n">
        <v>45908</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1229-2022</t>
        </is>
      </c>
      <c r="B217" s="1" t="n">
        <v>44572</v>
      </c>
      <c r="C217" s="1" t="n">
        <v>45908</v>
      </c>
      <c r="D217" t="inlineStr">
        <is>
          <t>STOCKHOLMS LÄN</t>
        </is>
      </c>
      <c r="E217" t="inlineStr">
        <is>
          <t>NORRTÄLJE</t>
        </is>
      </c>
      <c r="G217" t="n">
        <v>11.5</v>
      </c>
      <c r="H217" t="n">
        <v>0</v>
      </c>
      <c r="I217" t="n">
        <v>0</v>
      </c>
      <c r="J217" t="n">
        <v>0</v>
      </c>
      <c r="K217" t="n">
        <v>0</v>
      </c>
      <c r="L217" t="n">
        <v>0</v>
      </c>
      <c r="M217" t="n">
        <v>0</v>
      </c>
      <c r="N217" t="n">
        <v>0</v>
      </c>
      <c r="O217" t="n">
        <v>0</v>
      </c>
      <c r="P217" t="n">
        <v>0</v>
      </c>
      <c r="Q217" t="n">
        <v>0</v>
      </c>
      <c r="R217" s="2" t="inlineStr"/>
    </row>
    <row r="218" ht="15" customHeight="1">
      <c r="A218" t="inlineStr">
        <is>
          <t>A 12779-2021</t>
        </is>
      </c>
      <c r="B218" s="1" t="n">
        <v>44270</v>
      </c>
      <c r="C218" s="1" t="n">
        <v>45908</v>
      </c>
      <c r="D218" t="inlineStr">
        <is>
          <t>STOCKHOLMS LÄN</t>
        </is>
      </c>
      <c r="E218" t="inlineStr">
        <is>
          <t>NORRTÄLJE</t>
        </is>
      </c>
      <c r="G218" t="n">
        <v>10.8</v>
      </c>
      <c r="H218" t="n">
        <v>0</v>
      </c>
      <c r="I218" t="n">
        <v>0</v>
      </c>
      <c r="J218" t="n">
        <v>0</v>
      </c>
      <c r="K218" t="n">
        <v>0</v>
      </c>
      <c r="L218" t="n">
        <v>0</v>
      </c>
      <c r="M218" t="n">
        <v>0</v>
      </c>
      <c r="N218" t="n">
        <v>0</v>
      </c>
      <c r="O218" t="n">
        <v>0</v>
      </c>
      <c r="P218" t="n">
        <v>0</v>
      </c>
      <c r="Q218" t="n">
        <v>0</v>
      </c>
      <c r="R218" s="2" t="inlineStr"/>
    </row>
    <row r="219" ht="15" customHeight="1">
      <c r="A219" t="inlineStr">
        <is>
          <t>A 12782-2021</t>
        </is>
      </c>
      <c r="B219" s="1" t="n">
        <v>44270</v>
      </c>
      <c r="C219" s="1" t="n">
        <v>45908</v>
      </c>
      <c r="D219" t="inlineStr">
        <is>
          <t>STOCKHOLMS LÄN</t>
        </is>
      </c>
      <c r="E219" t="inlineStr">
        <is>
          <t>NORRTÄLJE</t>
        </is>
      </c>
      <c r="G219" t="n">
        <v>3.8</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45908</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45908</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14051-2022</t>
        </is>
      </c>
      <c r="B222" s="1" t="n">
        <v>44650.92714120371</v>
      </c>
      <c r="C222" s="1" t="n">
        <v>45908</v>
      </c>
      <c r="D222" t="inlineStr">
        <is>
          <t>STOCKHOLMS LÄN</t>
        </is>
      </c>
      <c r="E222" t="inlineStr">
        <is>
          <t>NORRTÄLJE</t>
        </is>
      </c>
      <c r="G222" t="n">
        <v>2.3</v>
      </c>
      <c r="H222" t="n">
        <v>0</v>
      </c>
      <c r="I222" t="n">
        <v>0</v>
      </c>
      <c r="J222" t="n">
        <v>0</v>
      </c>
      <c r="K222" t="n">
        <v>0</v>
      </c>
      <c r="L222" t="n">
        <v>0</v>
      </c>
      <c r="M222" t="n">
        <v>0</v>
      </c>
      <c r="N222" t="n">
        <v>0</v>
      </c>
      <c r="O222" t="n">
        <v>0</v>
      </c>
      <c r="P222" t="n">
        <v>0</v>
      </c>
      <c r="Q222" t="n">
        <v>0</v>
      </c>
      <c r="R222" s="2" t="inlineStr"/>
    </row>
    <row r="223" ht="15" customHeight="1">
      <c r="A223" t="inlineStr">
        <is>
          <t>A 68273-2021</t>
        </is>
      </c>
      <c r="B223" s="1" t="n">
        <v>44526</v>
      </c>
      <c r="C223" s="1" t="n">
        <v>45908</v>
      </c>
      <c r="D223" t="inlineStr">
        <is>
          <t>STOCKHOLMS LÄN</t>
        </is>
      </c>
      <c r="E223" t="inlineStr">
        <is>
          <t>NORRTÄLJE</t>
        </is>
      </c>
      <c r="G223" t="n">
        <v>5.3</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45908</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45908</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30286-2022</t>
        </is>
      </c>
      <c r="B226" s="1" t="n">
        <v>44760</v>
      </c>
      <c r="C226" s="1" t="n">
        <v>45908</v>
      </c>
      <c r="D226" t="inlineStr">
        <is>
          <t>STOCKHOLMS LÄN</t>
        </is>
      </c>
      <c r="E226" t="inlineStr">
        <is>
          <t>NORRTÄLJE</t>
        </is>
      </c>
      <c r="G226" t="n">
        <v>0.3</v>
      </c>
      <c r="H226" t="n">
        <v>0</v>
      </c>
      <c r="I226" t="n">
        <v>0</v>
      </c>
      <c r="J226" t="n">
        <v>0</v>
      </c>
      <c r="K226" t="n">
        <v>0</v>
      </c>
      <c r="L226" t="n">
        <v>0</v>
      </c>
      <c r="M226" t="n">
        <v>0</v>
      </c>
      <c r="N226" t="n">
        <v>0</v>
      </c>
      <c r="O226" t="n">
        <v>0</v>
      </c>
      <c r="P226" t="n">
        <v>0</v>
      </c>
      <c r="Q226" t="n">
        <v>0</v>
      </c>
      <c r="R226" s="2" t="inlineStr"/>
    </row>
    <row r="227" ht="15" customHeight="1">
      <c r="A227" t="inlineStr">
        <is>
          <t>A 24167-2022</t>
        </is>
      </c>
      <c r="B227" s="1" t="n">
        <v>44725.49491898148</v>
      </c>
      <c r="C227" s="1" t="n">
        <v>45908</v>
      </c>
      <c r="D227" t="inlineStr">
        <is>
          <t>STOCKHOLMS LÄN</t>
        </is>
      </c>
      <c r="E227" t="inlineStr">
        <is>
          <t>NORRTÄLJE</t>
        </is>
      </c>
      <c r="G227" t="n">
        <v>3.4</v>
      </c>
      <c r="H227" t="n">
        <v>0</v>
      </c>
      <c r="I227" t="n">
        <v>0</v>
      </c>
      <c r="J227" t="n">
        <v>0</v>
      </c>
      <c r="K227" t="n">
        <v>0</v>
      </c>
      <c r="L227" t="n">
        <v>0</v>
      </c>
      <c r="M227" t="n">
        <v>0</v>
      </c>
      <c r="N227" t="n">
        <v>0</v>
      </c>
      <c r="O227" t="n">
        <v>0</v>
      </c>
      <c r="P227" t="n">
        <v>0</v>
      </c>
      <c r="Q227" t="n">
        <v>0</v>
      </c>
      <c r="R227" s="2" t="inlineStr"/>
    </row>
    <row r="228" ht="15" customHeight="1">
      <c r="A228" t="inlineStr">
        <is>
          <t>A 42396-2021</t>
        </is>
      </c>
      <c r="B228" s="1" t="n">
        <v>44427</v>
      </c>
      <c r="C228" s="1" t="n">
        <v>45908</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8160-2022</t>
        </is>
      </c>
      <c r="B229" s="1" t="n">
        <v>44609</v>
      </c>
      <c r="C229" s="1" t="n">
        <v>45908</v>
      </c>
      <c r="D229" t="inlineStr">
        <is>
          <t>STOCKHOLMS LÄN</t>
        </is>
      </c>
      <c r="E229" t="inlineStr">
        <is>
          <t>NORRTÄLJE</t>
        </is>
      </c>
      <c r="G229" t="n">
        <v>3.9</v>
      </c>
      <c r="H229" t="n">
        <v>0</v>
      </c>
      <c r="I229" t="n">
        <v>0</v>
      </c>
      <c r="J229" t="n">
        <v>0</v>
      </c>
      <c r="K229" t="n">
        <v>0</v>
      </c>
      <c r="L229" t="n">
        <v>0</v>
      </c>
      <c r="M229" t="n">
        <v>0</v>
      </c>
      <c r="N229" t="n">
        <v>0</v>
      </c>
      <c r="O229" t="n">
        <v>0</v>
      </c>
      <c r="P229" t="n">
        <v>0</v>
      </c>
      <c r="Q229" t="n">
        <v>0</v>
      </c>
      <c r="R229" s="2" t="inlineStr"/>
    </row>
    <row r="230" ht="15" customHeight="1">
      <c r="A230" t="inlineStr">
        <is>
          <t>A 39319-2022</t>
        </is>
      </c>
      <c r="B230" s="1" t="n">
        <v>44817.70516203704</v>
      </c>
      <c r="C230" s="1" t="n">
        <v>45908</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45908</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56219-2021</t>
        </is>
      </c>
      <c r="B232" s="1" t="n">
        <v>44477</v>
      </c>
      <c r="C232" s="1" t="n">
        <v>45908</v>
      </c>
      <c r="D232" t="inlineStr">
        <is>
          <t>STOCKHOLMS LÄN</t>
        </is>
      </c>
      <c r="E232" t="inlineStr">
        <is>
          <t>NORRTÄLJE</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60733-2021</t>
        </is>
      </c>
      <c r="B233" s="1" t="n">
        <v>44496.77542824074</v>
      </c>
      <c r="C233" s="1" t="n">
        <v>45908</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5562-2021</t>
        </is>
      </c>
      <c r="B234" s="1" t="n">
        <v>44230</v>
      </c>
      <c r="C234" s="1" t="n">
        <v>45908</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5566-2021</t>
        </is>
      </c>
      <c r="B235" s="1" t="n">
        <v>44230</v>
      </c>
      <c r="C235" s="1" t="n">
        <v>45908</v>
      </c>
      <c r="D235" t="inlineStr">
        <is>
          <t>STOCKHOLMS LÄN</t>
        </is>
      </c>
      <c r="E235" t="inlineStr">
        <is>
          <t>NORRTÄLJE</t>
        </is>
      </c>
      <c r="G235" t="n">
        <v>3.1</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45908</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53884-2022</t>
        </is>
      </c>
      <c r="B237" s="1" t="n">
        <v>44880.68423611111</v>
      </c>
      <c r="C237" s="1" t="n">
        <v>45908</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12357-2022</t>
        </is>
      </c>
      <c r="B238" s="1" t="n">
        <v>44637</v>
      </c>
      <c r="C238" s="1" t="n">
        <v>45908</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26335-2022</t>
        </is>
      </c>
      <c r="B239" s="1" t="n">
        <v>44735</v>
      </c>
      <c r="C239" s="1" t="n">
        <v>45908</v>
      </c>
      <c r="D239" t="inlineStr">
        <is>
          <t>STOCKHOLMS LÄN</t>
        </is>
      </c>
      <c r="E239" t="inlineStr">
        <is>
          <t>NORRTÄLJE</t>
        </is>
      </c>
      <c r="G239" t="n">
        <v>3.3</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45908</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31924-2022</t>
        </is>
      </c>
      <c r="B241" s="1" t="n">
        <v>44777</v>
      </c>
      <c r="C241" s="1" t="n">
        <v>45908</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52139-2022</t>
        </is>
      </c>
      <c r="B242" s="1" t="n">
        <v>44868</v>
      </c>
      <c r="C242" s="1" t="n">
        <v>45908</v>
      </c>
      <c r="D242" t="inlineStr">
        <is>
          <t>STOCKHOLMS LÄN</t>
        </is>
      </c>
      <c r="E242" t="inlineStr">
        <is>
          <t>NORRTÄLJE</t>
        </is>
      </c>
      <c r="G242" t="n">
        <v>3.2</v>
      </c>
      <c r="H242" t="n">
        <v>0</v>
      </c>
      <c r="I242" t="n">
        <v>0</v>
      </c>
      <c r="J242" t="n">
        <v>0</v>
      </c>
      <c r="K242" t="n">
        <v>0</v>
      </c>
      <c r="L242" t="n">
        <v>0</v>
      </c>
      <c r="M242" t="n">
        <v>0</v>
      </c>
      <c r="N242" t="n">
        <v>0</v>
      </c>
      <c r="O242" t="n">
        <v>0</v>
      </c>
      <c r="P242" t="n">
        <v>0</v>
      </c>
      <c r="Q242" t="n">
        <v>0</v>
      </c>
      <c r="R242" s="2" t="inlineStr"/>
    </row>
    <row r="243" ht="15" customHeight="1">
      <c r="A243" t="inlineStr">
        <is>
          <t>A 30624-2022</t>
        </is>
      </c>
      <c r="B243" s="1" t="n">
        <v>44763.4182175926</v>
      </c>
      <c r="C243" s="1" t="n">
        <v>45908</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45908</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9446-2021</t>
        </is>
      </c>
      <c r="B245" s="1" t="n">
        <v>44251</v>
      </c>
      <c r="C245" s="1" t="n">
        <v>45908</v>
      </c>
      <c r="D245" t="inlineStr">
        <is>
          <t>STOCKHOLMS LÄN</t>
        </is>
      </c>
      <c r="E245" t="inlineStr">
        <is>
          <t>NORRTÄLJE</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45908</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15226-2022</t>
        </is>
      </c>
      <c r="B247" s="1" t="n">
        <v>44658</v>
      </c>
      <c r="C247" s="1" t="n">
        <v>45908</v>
      </c>
      <c r="D247" t="inlineStr">
        <is>
          <t>STOCKHOLMS LÄN</t>
        </is>
      </c>
      <c r="E247" t="inlineStr">
        <is>
          <t>NORRTÄLJE</t>
        </is>
      </c>
      <c r="G247" t="n">
        <v>1.1</v>
      </c>
      <c r="H247" t="n">
        <v>0</v>
      </c>
      <c r="I247" t="n">
        <v>0</v>
      </c>
      <c r="J247" t="n">
        <v>0</v>
      </c>
      <c r="K247" t="n">
        <v>0</v>
      </c>
      <c r="L247" t="n">
        <v>0</v>
      </c>
      <c r="M247" t="n">
        <v>0</v>
      </c>
      <c r="N247" t="n">
        <v>0</v>
      </c>
      <c r="O247" t="n">
        <v>0</v>
      </c>
      <c r="P247" t="n">
        <v>0</v>
      </c>
      <c r="Q247" t="n">
        <v>0</v>
      </c>
      <c r="R247" s="2" t="inlineStr"/>
    </row>
    <row r="248" ht="15" customHeight="1">
      <c r="A248" t="inlineStr">
        <is>
          <t>A 48071-2020</t>
        </is>
      </c>
      <c r="B248" s="1" t="n">
        <v>44100</v>
      </c>
      <c r="C248" s="1" t="n">
        <v>45908</v>
      </c>
      <c r="D248" t="inlineStr">
        <is>
          <t>STOCKHOLMS LÄN</t>
        </is>
      </c>
      <c r="E248" t="inlineStr">
        <is>
          <t>NORRTÄLJE</t>
        </is>
      </c>
      <c r="G248" t="n">
        <v>6.8</v>
      </c>
      <c r="H248" t="n">
        <v>0</v>
      </c>
      <c r="I248" t="n">
        <v>0</v>
      </c>
      <c r="J248" t="n">
        <v>0</v>
      </c>
      <c r="K248" t="n">
        <v>0</v>
      </c>
      <c r="L248" t="n">
        <v>0</v>
      </c>
      <c r="M248" t="n">
        <v>0</v>
      </c>
      <c r="N248" t="n">
        <v>0</v>
      </c>
      <c r="O248" t="n">
        <v>0</v>
      </c>
      <c r="P248" t="n">
        <v>0</v>
      </c>
      <c r="Q248" t="n">
        <v>0</v>
      </c>
      <c r="R248" s="2" t="inlineStr"/>
    </row>
    <row r="249" ht="15" customHeight="1">
      <c r="A249" t="inlineStr">
        <is>
          <t>A 3300-2022</t>
        </is>
      </c>
      <c r="B249" s="1" t="n">
        <v>44584.91538194445</v>
      </c>
      <c r="C249" s="1" t="n">
        <v>45908</v>
      </c>
      <c r="D249" t="inlineStr">
        <is>
          <t>STOCKHOLMS LÄN</t>
        </is>
      </c>
      <c r="E249" t="inlineStr">
        <is>
          <t>NORRTÄLJE</t>
        </is>
      </c>
      <c r="G249" t="n">
        <v>0.4</v>
      </c>
      <c r="H249" t="n">
        <v>0</v>
      </c>
      <c r="I249" t="n">
        <v>0</v>
      </c>
      <c r="J249" t="n">
        <v>0</v>
      </c>
      <c r="K249" t="n">
        <v>0</v>
      </c>
      <c r="L249" t="n">
        <v>0</v>
      </c>
      <c r="M249" t="n">
        <v>0</v>
      </c>
      <c r="N249" t="n">
        <v>0</v>
      </c>
      <c r="O249" t="n">
        <v>0</v>
      </c>
      <c r="P249" t="n">
        <v>0</v>
      </c>
      <c r="Q249" t="n">
        <v>0</v>
      </c>
      <c r="R249" s="2" t="inlineStr"/>
    </row>
    <row r="250" ht="15" customHeight="1">
      <c r="A250" t="inlineStr">
        <is>
          <t>A 17388-2022</t>
        </is>
      </c>
      <c r="B250" s="1" t="n">
        <v>44678</v>
      </c>
      <c r="C250" s="1" t="n">
        <v>45908</v>
      </c>
      <c r="D250" t="inlineStr">
        <is>
          <t>STOCKHOLMS LÄN</t>
        </is>
      </c>
      <c r="E250" t="inlineStr">
        <is>
          <t>NORRTÄLJE</t>
        </is>
      </c>
      <c r="G250" t="n">
        <v>2.4</v>
      </c>
      <c r="H250" t="n">
        <v>0</v>
      </c>
      <c r="I250" t="n">
        <v>0</v>
      </c>
      <c r="J250" t="n">
        <v>0</v>
      </c>
      <c r="K250" t="n">
        <v>0</v>
      </c>
      <c r="L250" t="n">
        <v>0</v>
      </c>
      <c r="M250" t="n">
        <v>0</v>
      </c>
      <c r="N250" t="n">
        <v>0</v>
      </c>
      <c r="O250" t="n">
        <v>0</v>
      </c>
      <c r="P250" t="n">
        <v>0</v>
      </c>
      <c r="Q250" t="n">
        <v>0</v>
      </c>
      <c r="R250" s="2" t="inlineStr"/>
    </row>
    <row r="251" ht="15" customHeight="1">
      <c r="A251" t="inlineStr">
        <is>
          <t>A 38991-2022</t>
        </is>
      </c>
      <c r="B251" s="1" t="n">
        <v>44816.89569444444</v>
      </c>
      <c r="C251" s="1" t="n">
        <v>45908</v>
      </c>
      <c r="D251" t="inlineStr">
        <is>
          <t>STOCKHOLMS LÄN</t>
        </is>
      </c>
      <c r="E251" t="inlineStr">
        <is>
          <t>NORRTÄLJE</t>
        </is>
      </c>
      <c r="G251" t="n">
        <v>1.9</v>
      </c>
      <c r="H251" t="n">
        <v>0</v>
      </c>
      <c r="I251" t="n">
        <v>0</v>
      </c>
      <c r="J251" t="n">
        <v>0</v>
      </c>
      <c r="K251" t="n">
        <v>0</v>
      </c>
      <c r="L251" t="n">
        <v>0</v>
      </c>
      <c r="M251" t="n">
        <v>0</v>
      </c>
      <c r="N251" t="n">
        <v>0</v>
      </c>
      <c r="O251" t="n">
        <v>0</v>
      </c>
      <c r="P251" t="n">
        <v>0</v>
      </c>
      <c r="Q251" t="n">
        <v>0</v>
      </c>
      <c r="R251" s="2" t="inlineStr"/>
    </row>
    <row r="252" ht="15" customHeight="1">
      <c r="A252" t="inlineStr">
        <is>
          <t>A 17771-2022</t>
        </is>
      </c>
      <c r="B252" s="1" t="n">
        <v>44682.75924768519</v>
      </c>
      <c r="C252" s="1" t="n">
        <v>45908</v>
      </c>
      <c r="D252" t="inlineStr">
        <is>
          <t>STOCKHOLMS LÄN</t>
        </is>
      </c>
      <c r="E252" t="inlineStr">
        <is>
          <t>NORRTÄLJE</t>
        </is>
      </c>
      <c r="G252" t="n">
        <v>13.3</v>
      </c>
      <c r="H252" t="n">
        <v>0</v>
      </c>
      <c r="I252" t="n">
        <v>0</v>
      </c>
      <c r="J252" t="n">
        <v>0</v>
      </c>
      <c r="K252" t="n">
        <v>0</v>
      </c>
      <c r="L252" t="n">
        <v>0</v>
      </c>
      <c r="M252" t="n">
        <v>0</v>
      </c>
      <c r="N252" t="n">
        <v>0</v>
      </c>
      <c r="O252" t="n">
        <v>0</v>
      </c>
      <c r="P252" t="n">
        <v>0</v>
      </c>
      <c r="Q252" t="n">
        <v>0</v>
      </c>
      <c r="R252" s="2" t="inlineStr"/>
    </row>
    <row r="253" ht="15" customHeight="1">
      <c r="A253" t="inlineStr">
        <is>
          <t>A 17773-2022</t>
        </is>
      </c>
      <c r="B253" s="1" t="n">
        <v>44682.77616898148</v>
      </c>
      <c r="C253" s="1" t="n">
        <v>45908</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10521-2022</t>
        </is>
      </c>
      <c r="B254" s="1" t="n">
        <v>44623</v>
      </c>
      <c r="C254" s="1" t="n">
        <v>45908</v>
      </c>
      <c r="D254" t="inlineStr">
        <is>
          <t>STOCKHOLMS LÄN</t>
        </is>
      </c>
      <c r="E254" t="inlineStr">
        <is>
          <t>NORRTÄLJE</t>
        </is>
      </c>
      <c r="G254" t="n">
        <v>2.9</v>
      </c>
      <c r="H254" t="n">
        <v>0</v>
      </c>
      <c r="I254" t="n">
        <v>0</v>
      </c>
      <c r="J254" t="n">
        <v>0</v>
      </c>
      <c r="K254" t="n">
        <v>0</v>
      </c>
      <c r="L254" t="n">
        <v>0</v>
      </c>
      <c r="M254" t="n">
        <v>0</v>
      </c>
      <c r="N254" t="n">
        <v>0</v>
      </c>
      <c r="O254" t="n">
        <v>0</v>
      </c>
      <c r="P254" t="n">
        <v>0</v>
      </c>
      <c r="Q254" t="n">
        <v>0</v>
      </c>
      <c r="R254" s="2" t="inlineStr"/>
    </row>
    <row r="255" ht="15" customHeight="1">
      <c r="A255" t="inlineStr">
        <is>
          <t>A 17673-2021</t>
        </is>
      </c>
      <c r="B255" s="1" t="n">
        <v>44300</v>
      </c>
      <c r="C255" s="1" t="n">
        <v>45908</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c r="T255">
        <f>HYPERLINK("https://klasma.github.io/Logging_0188/kartor/A 17673-2021 karta.png", "A 17673-2021")</f>
        <v/>
      </c>
      <c r="V255">
        <f>HYPERLINK("https://klasma.github.io/Logging_0188/klagomål/A 17673-2021 FSC-klagomål.docx", "A 17673-2021")</f>
        <v/>
      </c>
      <c r="W255">
        <f>HYPERLINK("https://klasma.github.io/Logging_0188/klagomålsmail/A 17673-2021 FSC-klagomål mail.docx", "A 17673-2021")</f>
        <v/>
      </c>
      <c r="X255">
        <f>HYPERLINK("https://klasma.github.io/Logging_0188/tillsyn/A 17673-2021 tillsynsbegäran.docx", "A 17673-2021")</f>
        <v/>
      </c>
      <c r="Y255">
        <f>HYPERLINK("https://klasma.github.io/Logging_0188/tillsynsmail/A 17673-2021 tillsynsbegäran mail.docx", "A 17673-2021")</f>
        <v/>
      </c>
      <c r="Z255">
        <f>HYPERLINK("https://klasma.github.io/Logging_0188/fåglar/A 17673-2021 prioriterade fågelarter.docx", "A 17673-2021")</f>
        <v/>
      </c>
    </row>
    <row r="256" ht="15" customHeight="1">
      <c r="A256" t="inlineStr">
        <is>
          <t>A 5513-2022</t>
        </is>
      </c>
      <c r="B256" s="1" t="n">
        <v>44595</v>
      </c>
      <c r="C256" s="1" t="n">
        <v>45908</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27217-2021</t>
        </is>
      </c>
      <c r="B257" s="1" t="n">
        <v>44350</v>
      </c>
      <c r="C257" s="1" t="n">
        <v>45908</v>
      </c>
      <c r="D257" t="inlineStr">
        <is>
          <t>STOCKHOLMS LÄN</t>
        </is>
      </c>
      <c r="E257" t="inlineStr">
        <is>
          <t>NORRTÄLJE</t>
        </is>
      </c>
      <c r="G257" t="n">
        <v>5.5</v>
      </c>
      <c r="H257" t="n">
        <v>0</v>
      </c>
      <c r="I257" t="n">
        <v>0</v>
      </c>
      <c r="J257" t="n">
        <v>0</v>
      </c>
      <c r="K257" t="n">
        <v>0</v>
      </c>
      <c r="L257" t="n">
        <v>0</v>
      </c>
      <c r="M257" t="n">
        <v>0</v>
      </c>
      <c r="N257" t="n">
        <v>0</v>
      </c>
      <c r="O257" t="n">
        <v>0</v>
      </c>
      <c r="P257" t="n">
        <v>0</v>
      </c>
      <c r="Q257" t="n">
        <v>0</v>
      </c>
      <c r="R257" s="2" t="inlineStr"/>
    </row>
    <row r="258" ht="15" customHeight="1">
      <c r="A258" t="inlineStr">
        <is>
          <t>A 57957-2020</t>
        </is>
      </c>
      <c r="B258" s="1" t="n">
        <v>44143</v>
      </c>
      <c r="C258" s="1" t="n">
        <v>45908</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49334-2020</t>
        </is>
      </c>
      <c r="B259" s="1" t="n">
        <v>44105</v>
      </c>
      <c r="C259" s="1" t="n">
        <v>45908</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62030-2021</t>
        </is>
      </c>
      <c r="B260" s="1" t="n">
        <v>44502</v>
      </c>
      <c r="C260" s="1" t="n">
        <v>45908</v>
      </c>
      <c r="D260" t="inlineStr">
        <is>
          <t>STOCKHOLMS LÄN</t>
        </is>
      </c>
      <c r="E260" t="inlineStr">
        <is>
          <t>NORRTÄLJE</t>
        </is>
      </c>
      <c r="G260" t="n">
        <v>4.7</v>
      </c>
      <c r="H260" t="n">
        <v>0</v>
      </c>
      <c r="I260" t="n">
        <v>0</v>
      </c>
      <c r="J260" t="n">
        <v>0</v>
      </c>
      <c r="K260" t="n">
        <v>0</v>
      </c>
      <c r="L260" t="n">
        <v>0</v>
      </c>
      <c r="M260" t="n">
        <v>0</v>
      </c>
      <c r="N260" t="n">
        <v>0</v>
      </c>
      <c r="O260" t="n">
        <v>0</v>
      </c>
      <c r="P260" t="n">
        <v>0</v>
      </c>
      <c r="Q260" t="n">
        <v>0</v>
      </c>
      <c r="R260" s="2" t="inlineStr"/>
    </row>
    <row r="261" ht="15" customHeight="1">
      <c r="A261" t="inlineStr">
        <is>
          <t>A 16117-2022</t>
        </is>
      </c>
      <c r="B261" s="1" t="n">
        <v>44665.65474537037</v>
      </c>
      <c r="C261" s="1" t="n">
        <v>45908</v>
      </c>
      <c r="D261" t="inlineStr">
        <is>
          <t>STOCKHOLMS LÄN</t>
        </is>
      </c>
      <c r="E261" t="inlineStr">
        <is>
          <t>NORRTÄLJE</t>
        </is>
      </c>
      <c r="G261" t="n">
        <v>8.1</v>
      </c>
      <c r="H261" t="n">
        <v>0</v>
      </c>
      <c r="I261" t="n">
        <v>0</v>
      </c>
      <c r="J261" t="n">
        <v>0</v>
      </c>
      <c r="K261" t="n">
        <v>0</v>
      </c>
      <c r="L261" t="n">
        <v>0</v>
      </c>
      <c r="M261" t="n">
        <v>0</v>
      </c>
      <c r="N261" t="n">
        <v>0</v>
      </c>
      <c r="O261" t="n">
        <v>0</v>
      </c>
      <c r="P261" t="n">
        <v>0</v>
      </c>
      <c r="Q261" t="n">
        <v>0</v>
      </c>
      <c r="R261" s="2" t="inlineStr"/>
    </row>
    <row r="262" ht="15" customHeight="1">
      <c r="A262" t="inlineStr">
        <is>
          <t>A 16132-2022</t>
        </is>
      </c>
      <c r="B262" s="1" t="n">
        <v>44665.78351851852</v>
      </c>
      <c r="C262" s="1" t="n">
        <v>45908</v>
      </c>
      <c r="D262" t="inlineStr">
        <is>
          <t>STOCKHOLMS LÄN</t>
        </is>
      </c>
      <c r="E262" t="inlineStr">
        <is>
          <t>NORRTÄLJE</t>
        </is>
      </c>
      <c r="G262" t="n">
        <v>4.4</v>
      </c>
      <c r="H262" t="n">
        <v>0</v>
      </c>
      <c r="I262" t="n">
        <v>0</v>
      </c>
      <c r="J262" t="n">
        <v>0</v>
      </c>
      <c r="K262" t="n">
        <v>0</v>
      </c>
      <c r="L262" t="n">
        <v>0</v>
      </c>
      <c r="M262" t="n">
        <v>0</v>
      </c>
      <c r="N262" t="n">
        <v>0</v>
      </c>
      <c r="O262" t="n">
        <v>0</v>
      </c>
      <c r="P262" t="n">
        <v>0</v>
      </c>
      <c r="Q262" t="n">
        <v>0</v>
      </c>
      <c r="R262" s="2" t="inlineStr"/>
    </row>
    <row r="263" ht="15" customHeight="1">
      <c r="A263" t="inlineStr">
        <is>
          <t>A 70170-2021</t>
        </is>
      </c>
      <c r="B263" s="1" t="n">
        <v>44533</v>
      </c>
      <c r="C263" s="1" t="n">
        <v>45908</v>
      </c>
      <c r="D263" t="inlineStr">
        <is>
          <t>STOCKHOLMS LÄN</t>
        </is>
      </c>
      <c r="E263" t="inlineStr">
        <is>
          <t>NORRTÄLJE</t>
        </is>
      </c>
      <c r="G263" t="n">
        <v>2.7</v>
      </c>
      <c r="H263" t="n">
        <v>0</v>
      </c>
      <c r="I263" t="n">
        <v>0</v>
      </c>
      <c r="J263" t="n">
        <v>0</v>
      </c>
      <c r="K263" t="n">
        <v>0</v>
      </c>
      <c r="L263" t="n">
        <v>0</v>
      </c>
      <c r="M263" t="n">
        <v>0</v>
      </c>
      <c r="N263" t="n">
        <v>0</v>
      </c>
      <c r="O263" t="n">
        <v>0</v>
      </c>
      <c r="P263" t="n">
        <v>0</v>
      </c>
      <c r="Q263" t="n">
        <v>0</v>
      </c>
      <c r="R263" s="2" t="inlineStr"/>
    </row>
    <row r="264" ht="15" customHeight="1">
      <c r="A264" t="inlineStr">
        <is>
          <t>A 28042-2022</t>
        </is>
      </c>
      <c r="B264" s="1" t="n">
        <v>44744</v>
      </c>
      <c r="C264" s="1" t="n">
        <v>45908</v>
      </c>
      <c r="D264" t="inlineStr">
        <is>
          <t>STOCKHOLMS LÄN</t>
        </is>
      </c>
      <c r="E264" t="inlineStr">
        <is>
          <t>NORRTÄLJE</t>
        </is>
      </c>
      <c r="G264" t="n">
        <v>0.2</v>
      </c>
      <c r="H264" t="n">
        <v>0</v>
      </c>
      <c r="I264" t="n">
        <v>0</v>
      </c>
      <c r="J264" t="n">
        <v>0</v>
      </c>
      <c r="K264" t="n">
        <v>0</v>
      </c>
      <c r="L264" t="n">
        <v>0</v>
      </c>
      <c r="M264" t="n">
        <v>0</v>
      </c>
      <c r="N264" t="n">
        <v>0</v>
      </c>
      <c r="O264" t="n">
        <v>0</v>
      </c>
      <c r="P264" t="n">
        <v>0</v>
      </c>
      <c r="Q264" t="n">
        <v>0</v>
      </c>
      <c r="R264" s="2" t="inlineStr"/>
    </row>
    <row r="265" ht="15" customHeight="1">
      <c r="A265" t="inlineStr">
        <is>
          <t>A 12875-2022</t>
        </is>
      </c>
      <c r="B265" s="1" t="n">
        <v>44642.55565972222</v>
      </c>
      <c r="C265" s="1" t="n">
        <v>45908</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25463-2021</t>
        </is>
      </c>
      <c r="B266" s="1" t="n">
        <v>44342</v>
      </c>
      <c r="C266" s="1" t="n">
        <v>45908</v>
      </c>
      <c r="D266" t="inlineStr">
        <is>
          <t>STOCKHOLMS LÄN</t>
        </is>
      </c>
      <c r="E266" t="inlineStr">
        <is>
          <t>NORRTÄLJE</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60542-2020</t>
        </is>
      </c>
      <c r="B267" s="1" t="n">
        <v>44153</v>
      </c>
      <c r="C267" s="1" t="n">
        <v>45908</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21102-2022</t>
        </is>
      </c>
      <c r="B268" s="1" t="n">
        <v>44704</v>
      </c>
      <c r="C268" s="1" t="n">
        <v>45908</v>
      </c>
      <c r="D268" t="inlineStr">
        <is>
          <t>STOCKHOLMS LÄN</t>
        </is>
      </c>
      <c r="E268" t="inlineStr">
        <is>
          <t>NORRTÄLJE</t>
        </is>
      </c>
      <c r="G268" t="n">
        <v>0.2</v>
      </c>
      <c r="H268" t="n">
        <v>0</v>
      </c>
      <c r="I268" t="n">
        <v>0</v>
      </c>
      <c r="J268" t="n">
        <v>0</v>
      </c>
      <c r="K268" t="n">
        <v>0</v>
      </c>
      <c r="L268" t="n">
        <v>0</v>
      </c>
      <c r="M268" t="n">
        <v>0</v>
      </c>
      <c r="N268" t="n">
        <v>0</v>
      </c>
      <c r="O268" t="n">
        <v>0</v>
      </c>
      <c r="P268" t="n">
        <v>0</v>
      </c>
      <c r="Q268" t="n">
        <v>0</v>
      </c>
      <c r="R268" s="2" t="inlineStr"/>
    </row>
    <row r="269" ht="15" customHeight="1">
      <c r="A269" t="inlineStr">
        <is>
          <t>A 71880-2021</t>
        </is>
      </c>
      <c r="B269" s="1" t="n">
        <v>44543</v>
      </c>
      <c r="C269" s="1" t="n">
        <v>45908</v>
      </c>
      <c r="D269" t="inlineStr">
        <is>
          <t>STOCKHOLMS LÄN</t>
        </is>
      </c>
      <c r="E269" t="inlineStr">
        <is>
          <t>NORRTÄLJE</t>
        </is>
      </c>
      <c r="G269" t="n">
        <v>2</v>
      </c>
      <c r="H269" t="n">
        <v>0</v>
      </c>
      <c r="I269" t="n">
        <v>0</v>
      </c>
      <c r="J269" t="n">
        <v>0</v>
      </c>
      <c r="K269" t="n">
        <v>0</v>
      </c>
      <c r="L269" t="n">
        <v>0</v>
      </c>
      <c r="M269" t="n">
        <v>0</v>
      </c>
      <c r="N269" t="n">
        <v>0</v>
      </c>
      <c r="O269" t="n">
        <v>0</v>
      </c>
      <c r="P269" t="n">
        <v>0</v>
      </c>
      <c r="Q269" t="n">
        <v>0</v>
      </c>
      <c r="R269" s="2" t="inlineStr"/>
    </row>
    <row r="270" ht="15" customHeight="1">
      <c r="A270" t="inlineStr">
        <is>
          <t>A 17772-2022</t>
        </is>
      </c>
      <c r="B270" s="1" t="n">
        <v>44682.76528935185</v>
      </c>
      <c r="C270" s="1" t="n">
        <v>45908</v>
      </c>
      <c r="D270" t="inlineStr">
        <is>
          <t>STOCKHOLMS LÄN</t>
        </is>
      </c>
      <c r="E270" t="inlineStr">
        <is>
          <t>NORRTÄLJE</t>
        </is>
      </c>
      <c r="G270" t="n">
        <v>4</v>
      </c>
      <c r="H270" t="n">
        <v>0</v>
      </c>
      <c r="I270" t="n">
        <v>0</v>
      </c>
      <c r="J270" t="n">
        <v>0</v>
      </c>
      <c r="K270" t="n">
        <v>0</v>
      </c>
      <c r="L270" t="n">
        <v>0</v>
      </c>
      <c r="M270" t="n">
        <v>0</v>
      </c>
      <c r="N270" t="n">
        <v>0</v>
      </c>
      <c r="O270" t="n">
        <v>0</v>
      </c>
      <c r="P270" t="n">
        <v>0</v>
      </c>
      <c r="Q270" t="n">
        <v>0</v>
      </c>
      <c r="R270" s="2" t="inlineStr"/>
    </row>
    <row r="271" ht="15" customHeight="1">
      <c r="A271" t="inlineStr">
        <is>
          <t>A 55982-2020</t>
        </is>
      </c>
      <c r="B271" s="1" t="n">
        <v>44132</v>
      </c>
      <c r="C271" s="1" t="n">
        <v>45908</v>
      </c>
      <c r="D271" t="inlineStr">
        <is>
          <t>STOCKHOLMS LÄN</t>
        </is>
      </c>
      <c r="E271" t="inlineStr">
        <is>
          <t>NORRTÄLJE</t>
        </is>
      </c>
      <c r="G271" t="n">
        <v>11.3</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45908</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52449-2021</t>
        </is>
      </c>
      <c r="B273" s="1" t="n">
        <v>44466.37496527778</v>
      </c>
      <c r="C273" s="1" t="n">
        <v>45908</v>
      </c>
      <c r="D273" t="inlineStr">
        <is>
          <t>STOCKHOLMS LÄN</t>
        </is>
      </c>
      <c r="E273" t="inlineStr">
        <is>
          <t>NORRTÄLJE</t>
        </is>
      </c>
      <c r="F273" t="inlineStr">
        <is>
          <t>Holmen skog AB</t>
        </is>
      </c>
      <c r="G273" t="n">
        <v>1.8</v>
      </c>
      <c r="H273" t="n">
        <v>0</v>
      </c>
      <c r="I273" t="n">
        <v>0</v>
      </c>
      <c r="J273" t="n">
        <v>0</v>
      </c>
      <c r="K273" t="n">
        <v>0</v>
      </c>
      <c r="L273" t="n">
        <v>0</v>
      </c>
      <c r="M273" t="n">
        <v>0</v>
      </c>
      <c r="N273" t="n">
        <v>0</v>
      </c>
      <c r="O273" t="n">
        <v>0</v>
      </c>
      <c r="P273" t="n">
        <v>0</v>
      </c>
      <c r="Q273" t="n">
        <v>0</v>
      </c>
      <c r="R273" s="2" t="inlineStr"/>
    </row>
    <row r="274" ht="15" customHeight="1">
      <c r="A274" t="inlineStr">
        <is>
          <t>A 41398-2022</t>
        </is>
      </c>
      <c r="B274" s="1" t="n">
        <v>44826</v>
      </c>
      <c r="C274" s="1" t="n">
        <v>45908</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22369-2021</t>
        </is>
      </c>
      <c r="B275" s="1" t="n">
        <v>44326</v>
      </c>
      <c r="C275" s="1" t="n">
        <v>45908</v>
      </c>
      <c r="D275" t="inlineStr">
        <is>
          <t>STOCKHOLMS LÄN</t>
        </is>
      </c>
      <c r="E275" t="inlineStr">
        <is>
          <t>NORRTÄLJE</t>
        </is>
      </c>
      <c r="F275" t="inlineStr">
        <is>
          <t>Holmen skog AB</t>
        </is>
      </c>
      <c r="G275" t="n">
        <v>3.4</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45908</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33046-2021</t>
        </is>
      </c>
      <c r="B277" s="1" t="n">
        <v>44376</v>
      </c>
      <c r="C277" s="1" t="n">
        <v>45908</v>
      </c>
      <c r="D277" t="inlineStr">
        <is>
          <t>STOCKHOLMS LÄN</t>
        </is>
      </c>
      <c r="E277" t="inlineStr">
        <is>
          <t>NORRTÄLJE</t>
        </is>
      </c>
      <c r="G277" t="n">
        <v>2.1</v>
      </c>
      <c r="H277" t="n">
        <v>0</v>
      </c>
      <c r="I277" t="n">
        <v>0</v>
      </c>
      <c r="J277" t="n">
        <v>0</v>
      </c>
      <c r="K277" t="n">
        <v>0</v>
      </c>
      <c r="L277" t="n">
        <v>0</v>
      </c>
      <c r="M277" t="n">
        <v>0</v>
      </c>
      <c r="N277" t="n">
        <v>0</v>
      </c>
      <c r="O277" t="n">
        <v>0</v>
      </c>
      <c r="P277" t="n">
        <v>0</v>
      </c>
      <c r="Q277" t="n">
        <v>0</v>
      </c>
      <c r="R277" s="2" t="inlineStr"/>
    </row>
    <row r="278" ht="15" customHeight="1">
      <c r="A278" t="inlineStr">
        <is>
          <t>A 5611-2022</t>
        </is>
      </c>
      <c r="B278" s="1" t="n">
        <v>44595</v>
      </c>
      <c r="C278" s="1" t="n">
        <v>45908</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32055-2021</t>
        </is>
      </c>
      <c r="B279" s="1" t="n">
        <v>44370.72197916666</v>
      </c>
      <c r="C279" s="1" t="n">
        <v>45908</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24101-2022</t>
        </is>
      </c>
      <c r="B280" s="1" t="n">
        <v>44725</v>
      </c>
      <c r="C280" s="1" t="n">
        <v>45908</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26328-2022</t>
        </is>
      </c>
      <c r="B281" s="1" t="n">
        <v>44735</v>
      </c>
      <c r="C281" s="1" t="n">
        <v>45908</v>
      </c>
      <c r="D281" t="inlineStr">
        <is>
          <t>STOCKHOLMS LÄN</t>
        </is>
      </c>
      <c r="E281" t="inlineStr">
        <is>
          <t>NORRTÄLJE</t>
        </is>
      </c>
      <c r="G281" t="n">
        <v>2.8</v>
      </c>
      <c r="H281" t="n">
        <v>0</v>
      </c>
      <c r="I281" t="n">
        <v>0</v>
      </c>
      <c r="J281" t="n">
        <v>0</v>
      </c>
      <c r="K281" t="n">
        <v>0</v>
      </c>
      <c r="L281" t="n">
        <v>0</v>
      </c>
      <c r="M281" t="n">
        <v>0</v>
      </c>
      <c r="N281" t="n">
        <v>0</v>
      </c>
      <c r="O281" t="n">
        <v>0</v>
      </c>
      <c r="P281" t="n">
        <v>0</v>
      </c>
      <c r="Q281" t="n">
        <v>0</v>
      </c>
      <c r="R281" s="2" t="inlineStr"/>
    </row>
    <row r="282" ht="15" customHeight="1">
      <c r="A282" t="inlineStr">
        <is>
          <t>A 66372-2020</t>
        </is>
      </c>
      <c r="B282" s="1" t="n">
        <v>44176</v>
      </c>
      <c r="C282" s="1" t="n">
        <v>45908</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27214-2021</t>
        </is>
      </c>
      <c r="B283" s="1" t="n">
        <v>44350</v>
      </c>
      <c r="C283" s="1" t="n">
        <v>45908</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12355-2022</t>
        </is>
      </c>
      <c r="B284" s="1" t="n">
        <v>44637</v>
      </c>
      <c r="C284" s="1" t="n">
        <v>45908</v>
      </c>
      <c r="D284" t="inlineStr">
        <is>
          <t>STOCKHOLMS LÄN</t>
        </is>
      </c>
      <c r="E284" t="inlineStr">
        <is>
          <t>NORRTÄLJE</t>
        </is>
      </c>
      <c r="G284" t="n">
        <v>10.4</v>
      </c>
      <c r="H284" t="n">
        <v>0</v>
      </c>
      <c r="I284" t="n">
        <v>0</v>
      </c>
      <c r="J284" t="n">
        <v>0</v>
      </c>
      <c r="K284" t="n">
        <v>0</v>
      </c>
      <c r="L284" t="n">
        <v>0</v>
      </c>
      <c r="M284" t="n">
        <v>0</v>
      </c>
      <c r="N284" t="n">
        <v>0</v>
      </c>
      <c r="O284" t="n">
        <v>0</v>
      </c>
      <c r="P284" t="n">
        <v>0</v>
      </c>
      <c r="Q284" t="n">
        <v>0</v>
      </c>
      <c r="R284" s="2" t="inlineStr"/>
    </row>
    <row r="285" ht="15" customHeight="1">
      <c r="A285" t="inlineStr">
        <is>
          <t>A 38721-2022</t>
        </is>
      </c>
      <c r="B285" s="1" t="n">
        <v>44815</v>
      </c>
      <c r="C285" s="1" t="n">
        <v>45908</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19398-2021</t>
        </is>
      </c>
      <c r="B286" s="1" t="n">
        <v>44309</v>
      </c>
      <c r="C286" s="1" t="n">
        <v>45908</v>
      </c>
      <c r="D286" t="inlineStr">
        <is>
          <t>STOCKHOLMS LÄN</t>
        </is>
      </c>
      <c r="E286" t="inlineStr">
        <is>
          <t>NORRTÄLJE</t>
        </is>
      </c>
      <c r="F286" t="inlineStr">
        <is>
          <t>Kommuner</t>
        </is>
      </c>
      <c r="G286" t="n">
        <v>2.1</v>
      </c>
      <c r="H286" t="n">
        <v>0</v>
      </c>
      <c r="I286" t="n">
        <v>0</v>
      </c>
      <c r="J286" t="n">
        <v>0</v>
      </c>
      <c r="K286" t="n">
        <v>0</v>
      </c>
      <c r="L286" t="n">
        <v>0</v>
      </c>
      <c r="M286" t="n">
        <v>0</v>
      </c>
      <c r="N286" t="n">
        <v>0</v>
      </c>
      <c r="O286" t="n">
        <v>0</v>
      </c>
      <c r="P286" t="n">
        <v>0</v>
      </c>
      <c r="Q286" t="n">
        <v>0</v>
      </c>
      <c r="R286" s="2" t="inlineStr"/>
    </row>
    <row r="287" ht="15" customHeight="1">
      <c r="A287" t="inlineStr">
        <is>
          <t>A 60184-2021</t>
        </is>
      </c>
      <c r="B287" s="1" t="n">
        <v>44495</v>
      </c>
      <c r="C287" s="1" t="n">
        <v>45908</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7565-2022</t>
        </is>
      </c>
      <c r="B288" s="1" t="n">
        <v>44607</v>
      </c>
      <c r="C288" s="1" t="n">
        <v>45908</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41822-2021</t>
        </is>
      </c>
      <c r="B289" s="1" t="n">
        <v>44425</v>
      </c>
      <c r="C289" s="1" t="n">
        <v>45908</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41823-2021</t>
        </is>
      </c>
      <c r="B290" s="1" t="n">
        <v>44425</v>
      </c>
      <c r="C290" s="1" t="n">
        <v>45908</v>
      </c>
      <c r="D290" t="inlineStr">
        <is>
          <t>STOCKHOLMS LÄN</t>
        </is>
      </c>
      <c r="E290" t="inlineStr">
        <is>
          <t>NORRTÄLJE</t>
        </is>
      </c>
      <c r="G290" t="n">
        <v>2.4</v>
      </c>
      <c r="H290" t="n">
        <v>0</v>
      </c>
      <c r="I290" t="n">
        <v>0</v>
      </c>
      <c r="J290" t="n">
        <v>0</v>
      </c>
      <c r="K290" t="n">
        <v>0</v>
      </c>
      <c r="L290" t="n">
        <v>0</v>
      </c>
      <c r="M290" t="n">
        <v>0</v>
      </c>
      <c r="N290" t="n">
        <v>0</v>
      </c>
      <c r="O290" t="n">
        <v>0</v>
      </c>
      <c r="P290" t="n">
        <v>0</v>
      </c>
      <c r="Q290" t="n">
        <v>0</v>
      </c>
      <c r="R290" s="2" t="inlineStr"/>
    </row>
    <row r="291" ht="15" customHeight="1">
      <c r="A291" t="inlineStr">
        <is>
          <t>A 15441-2021</t>
        </is>
      </c>
      <c r="B291" s="1" t="n">
        <v>44284</v>
      </c>
      <c r="C291" s="1" t="n">
        <v>45908</v>
      </c>
      <c r="D291" t="inlineStr">
        <is>
          <t>STOCKHOLMS LÄN</t>
        </is>
      </c>
      <c r="E291" t="inlineStr">
        <is>
          <t>NORRTÄLJE</t>
        </is>
      </c>
      <c r="G291" t="n">
        <v>27</v>
      </c>
      <c r="H291" t="n">
        <v>0</v>
      </c>
      <c r="I291" t="n">
        <v>0</v>
      </c>
      <c r="J291" t="n">
        <v>0</v>
      </c>
      <c r="K291" t="n">
        <v>0</v>
      </c>
      <c r="L291" t="n">
        <v>0</v>
      </c>
      <c r="M291" t="n">
        <v>0</v>
      </c>
      <c r="N291" t="n">
        <v>0</v>
      </c>
      <c r="O291" t="n">
        <v>0</v>
      </c>
      <c r="P291" t="n">
        <v>0</v>
      </c>
      <c r="Q291" t="n">
        <v>0</v>
      </c>
      <c r="R291" s="2" t="inlineStr"/>
    </row>
    <row r="292" ht="15" customHeight="1">
      <c r="A292" t="inlineStr">
        <is>
          <t>A 67598-2021</t>
        </is>
      </c>
      <c r="B292" s="1" t="n">
        <v>44524</v>
      </c>
      <c r="C292" s="1" t="n">
        <v>45908</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12268-2022</t>
        </is>
      </c>
      <c r="B293" s="1" t="n">
        <v>44637</v>
      </c>
      <c r="C293" s="1" t="n">
        <v>45908</v>
      </c>
      <c r="D293" t="inlineStr">
        <is>
          <t>STOCKHOLMS LÄN</t>
        </is>
      </c>
      <c r="E293" t="inlineStr">
        <is>
          <t>NORRTÄLJE</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34520-2021</t>
        </is>
      </c>
      <c r="B294" s="1" t="n">
        <v>44379</v>
      </c>
      <c r="C294" s="1" t="n">
        <v>45908</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20015-2023</t>
        </is>
      </c>
      <c r="B295" s="1" t="n">
        <v>45054</v>
      </c>
      <c r="C295" s="1" t="n">
        <v>45908</v>
      </c>
      <c r="D295" t="inlineStr">
        <is>
          <t>STOCKHOLMS LÄN</t>
        </is>
      </c>
      <c r="E295" t="inlineStr">
        <is>
          <t>NORRTÄLJE</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3273-2025</t>
        </is>
      </c>
      <c r="B296" s="1" t="n">
        <v>45679</v>
      </c>
      <c r="C296" s="1" t="n">
        <v>45908</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24245-2024</t>
        </is>
      </c>
      <c r="B297" s="1" t="n">
        <v>45457</v>
      </c>
      <c r="C297" s="1" t="n">
        <v>45908</v>
      </c>
      <c r="D297" t="inlineStr">
        <is>
          <t>STOCKHOLMS LÄN</t>
        </is>
      </c>
      <c r="E297" t="inlineStr">
        <is>
          <t>NORRTÄLJE</t>
        </is>
      </c>
      <c r="F297" t="inlineStr">
        <is>
          <t>Holmen skog AB</t>
        </is>
      </c>
      <c r="G297" t="n">
        <v>3.4</v>
      </c>
      <c r="H297" t="n">
        <v>0</v>
      </c>
      <c r="I297" t="n">
        <v>0</v>
      </c>
      <c r="J297" t="n">
        <v>0</v>
      </c>
      <c r="K297" t="n">
        <v>0</v>
      </c>
      <c r="L297" t="n">
        <v>0</v>
      </c>
      <c r="M297" t="n">
        <v>0</v>
      </c>
      <c r="N297" t="n">
        <v>0</v>
      </c>
      <c r="O297" t="n">
        <v>0</v>
      </c>
      <c r="P297" t="n">
        <v>0</v>
      </c>
      <c r="Q297" t="n">
        <v>0</v>
      </c>
      <c r="R297" s="2" t="inlineStr"/>
    </row>
    <row r="298" ht="15" customHeight="1">
      <c r="A298" t="inlineStr">
        <is>
          <t>A 21291-2021</t>
        </is>
      </c>
      <c r="B298" s="1" t="n">
        <v>44319</v>
      </c>
      <c r="C298" s="1" t="n">
        <v>45908</v>
      </c>
      <c r="D298" t="inlineStr">
        <is>
          <t>STOCKHOLMS LÄN</t>
        </is>
      </c>
      <c r="E298" t="inlineStr">
        <is>
          <t>NORRTÄLJE</t>
        </is>
      </c>
      <c r="G298" t="n">
        <v>12.7</v>
      </c>
      <c r="H298" t="n">
        <v>0</v>
      </c>
      <c r="I298" t="n">
        <v>0</v>
      </c>
      <c r="J298" t="n">
        <v>0</v>
      </c>
      <c r="K298" t="n">
        <v>0</v>
      </c>
      <c r="L298" t="n">
        <v>0</v>
      </c>
      <c r="M298" t="n">
        <v>0</v>
      </c>
      <c r="N298" t="n">
        <v>0</v>
      </c>
      <c r="O298" t="n">
        <v>0</v>
      </c>
      <c r="P298" t="n">
        <v>0</v>
      </c>
      <c r="Q298" t="n">
        <v>0</v>
      </c>
      <c r="R298" s="2" t="inlineStr"/>
    </row>
    <row r="299" ht="15" customHeight="1">
      <c r="A299" t="inlineStr">
        <is>
          <t>A 15256-2023</t>
        </is>
      </c>
      <c r="B299" s="1" t="n">
        <v>45019.3959837963</v>
      </c>
      <c r="C299" s="1" t="n">
        <v>45908</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20428-2024</t>
        </is>
      </c>
      <c r="B300" s="1" t="n">
        <v>45435</v>
      </c>
      <c r="C300" s="1" t="n">
        <v>45908</v>
      </c>
      <c r="D300" t="inlineStr">
        <is>
          <t>STOCKHOLMS LÄN</t>
        </is>
      </c>
      <c r="E300" t="inlineStr">
        <is>
          <t>NORRTÄLJE</t>
        </is>
      </c>
      <c r="G300" t="n">
        <v>3.7</v>
      </c>
      <c r="H300" t="n">
        <v>0</v>
      </c>
      <c r="I300" t="n">
        <v>0</v>
      </c>
      <c r="J300" t="n">
        <v>0</v>
      </c>
      <c r="K300" t="n">
        <v>0</v>
      </c>
      <c r="L300" t="n">
        <v>0</v>
      </c>
      <c r="M300" t="n">
        <v>0</v>
      </c>
      <c r="N300" t="n">
        <v>0</v>
      </c>
      <c r="O300" t="n">
        <v>0</v>
      </c>
      <c r="P300" t="n">
        <v>0</v>
      </c>
      <c r="Q300" t="n">
        <v>0</v>
      </c>
      <c r="R300" s="2" t="inlineStr"/>
    </row>
    <row r="301" ht="15" customHeight="1">
      <c r="A301" t="inlineStr">
        <is>
          <t>A 27828-2022</t>
        </is>
      </c>
      <c r="B301" s="1" t="n">
        <v>44743.59765046297</v>
      </c>
      <c r="C301" s="1" t="n">
        <v>45908</v>
      </c>
      <c r="D301" t="inlineStr">
        <is>
          <t>STOCKHOLMS LÄN</t>
        </is>
      </c>
      <c r="E301" t="inlineStr">
        <is>
          <t>NORRTÄLJE</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16229-2022</t>
        </is>
      </c>
      <c r="B302" s="1" t="n">
        <v>44670.4190162037</v>
      </c>
      <c r="C302" s="1" t="n">
        <v>45908</v>
      </c>
      <c r="D302" t="inlineStr">
        <is>
          <t>STOCKHOLMS LÄN</t>
        </is>
      </c>
      <c r="E302" t="inlineStr">
        <is>
          <t>NORRTÄLJE</t>
        </is>
      </c>
      <c r="G302" t="n">
        <v>7.4</v>
      </c>
      <c r="H302" t="n">
        <v>0</v>
      </c>
      <c r="I302" t="n">
        <v>0</v>
      </c>
      <c r="J302" t="n">
        <v>0</v>
      </c>
      <c r="K302" t="n">
        <v>0</v>
      </c>
      <c r="L302" t="n">
        <v>0</v>
      </c>
      <c r="M302" t="n">
        <v>0</v>
      </c>
      <c r="N302" t="n">
        <v>0</v>
      </c>
      <c r="O302" t="n">
        <v>0</v>
      </c>
      <c r="P302" t="n">
        <v>0</v>
      </c>
      <c r="Q302" t="n">
        <v>0</v>
      </c>
      <c r="R302" s="2" t="inlineStr"/>
    </row>
    <row r="303" ht="15" customHeight="1">
      <c r="A303" t="inlineStr">
        <is>
          <t>A 13172-2025</t>
        </is>
      </c>
      <c r="B303" s="1" t="n">
        <v>45735.36873842592</v>
      </c>
      <c r="C303" s="1" t="n">
        <v>45908</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33226-2024</t>
        </is>
      </c>
      <c r="B304" s="1" t="n">
        <v>45518</v>
      </c>
      <c r="C304" s="1" t="n">
        <v>45908</v>
      </c>
      <c r="D304" t="inlineStr">
        <is>
          <t>STOCKHOLMS LÄN</t>
        </is>
      </c>
      <c r="E304" t="inlineStr">
        <is>
          <t>NORRTÄLJE</t>
        </is>
      </c>
      <c r="G304" t="n">
        <v>13.8</v>
      </c>
      <c r="H304" t="n">
        <v>0</v>
      </c>
      <c r="I304" t="n">
        <v>0</v>
      </c>
      <c r="J304" t="n">
        <v>0</v>
      </c>
      <c r="K304" t="n">
        <v>0</v>
      </c>
      <c r="L304" t="n">
        <v>0</v>
      </c>
      <c r="M304" t="n">
        <v>0</v>
      </c>
      <c r="N304" t="n">
        <v>0</v>
      </c>
      <c r="O304" t="n">
        <v>0</v>
      </c>
      <c r="P304" t="n">
        <v>0</v>
      </c>
      <c r="Q304" t="n">
        <v>0</v>
      </c>
      <c r="R304" s="2" t="inlineStr"/>
    </row>
    <row r="305" ht="15" customHeight="1">
      <c r="A305" t="inlineStr">
        <is>
          <t>A 31926-2022</t>
        </is>
      </c>
      <c r="B305" s="1" t="n">
        <v>44777</v>
      </c>
      <c r="C305" s="1" t="n">
        <v>45908</v>
      </c>
      <c r="D305" t="inlineStr">
        <is>
          <t>STOCKHOLMS LÄN</t>
        </is>
      </c>
      <c r="E305" t="inlineStr">
        <is>
          <t>NORRTÄLJE</t>
        </is>
      </c>
      <c r="G305" t="n">
        <v>5.2</v>
      </c>
      <c r="H305" t="n">
        <v>0</v>
      </c>
      <c r="I305" t="n">
        <v>0</v>
      </c>
      <c r="J305" t="n">
        <v>0</v>
      </c>
      <c r="K305" t="n">
        <v>0</v>
      </c>
      <c r="L305" t="n">
        <v>0</v>
      </c>
      <c r="M305" t="n">
        <v>0</v>
      </c>
      <c r="N305" t="n">
        <v>0</v>
      </c>
      <c r="O305" t="n">
        <v>0</v>
      </c>
      <c r="P305" t="n">
        <v>0</v>
      </c>
      <c r="Q305" t="n">
        <v>0</v>
      </c>
      <c r="R305" s="2" t="inlineStr"/>
    </row>
    <row r="306" ht="15" customHeight="1">
      <c r="A306" t="inlineStr">
        <is>
          <t>A 22008-2024</t>
        </is>
      </c>
      <c r="B306" s="1" t="n">
        <v>45443</v>
      </c>
      <c r="C306" s="1" t="n">
        <v>45908</v>
      </c>
      <c r="D306" t="inlineStr">
        <is>
          <t>STOCKHOLMS LÄN</t>
        </is>
      </c>
      <c r="E306" t="inlineStr">
        <is>
          <t>NORRTÄLJE</t>
        </is>
      </c>
      <c r="G306" t="n">
        <v>2</v>
      </c>
      <c r="H306" t="n">
        <v>0</v>
      </c>
      <c r="I306" t="n">
        <v>0</v>
      </c>
      <c r="J306" t="n">
        <v>0</v>
      </c>
      <c r="K306" t="n">
        <v>0</v>
      </c>
      <c r="L306" t="n">
        <v>0</v>
      </c>
      <c r="M306" t="n">
        <v>0</v>
      </c>
      <c r="N306" t="n">
        <v>0</v>
      </c>
      <c r="O306" t="n">
        <v>0</v>
      </c>
      <c r="P306" t="n">
        <v>0</v>
      </c>
      <c r="Q306" t="n">
        <v>0</v>
      </c>
      <c r="R306" s="2" t="inlineStr"/>
    </row>
    <row r="307" ht="15" customHeight="1">
      <c r="A307" t="inlineStr">
        <is>
          <t>A 1968-2022</t>
        </is>
      </c>
      <c r="B307" s="1" t="n">
        <v>44575.52831018518</v>
      </c>
      <c r="C307" s="1" t="n">
        <v>45908</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21480-2022</t>
        </is>
      </c>
      <c r="B308" s="1" t="n">
        <v>44704</v>
      </c>
      <c r="C308" s="1" t="n">
        <v>45908</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11041-2025</t>
        </is>
      </c>
      <c r="B309" s="1" t="n">
        <v>45723</v>
      </c>
      <c r="C309" s="1" t="n">
        <v>45908</v>
      </c>
      <c r="D309" t="inlineStr">
        <is>
          <t>STOCKHOLMS LÄN</t>
        </is>
      </c>
      <c r="E309" t="inlineStr">
        <is>
          <t>NORRTÄLJE</t>
        </is>
      </c>
      <c r="F309" t="inlineStr">
        <is>
          <t>Övriga Aktiebolag</t>
        </is>
      </c>
      <c r="G309" t="n">
        <v>1.8</v>
      </c>
      <c r="H309" t="n">
        <v>0</v>
      </c>
      <c r="I309" t="n">
        <v>0</v>
      </c>
      <c r="J309" t="n">
        <v>0</v>
      </c>
      <c r="K309" t="n">
        <v>0</v>
      </c>
      <c r="L309" t="n">
        <v>0</v>
      </c>
      <c r="M309" t="n">
        <v>0</v>
      </c>
      <c r="N309" t="n">
        <v>0</v>
      </c>
      <c r="O309" t="n">
        <v>0</v>
      </c>
      <c r="P309" t="n">
        <v>0</v>
      </c>
      <c r="Q309" t="n">
        <v>0</v>
      </c>
      <c r="R309" s="2" t="inlineStr"/>
    </row>
    <row r="310" ht="15" customHeight="1">
      <c r="A310" t="inlineStr">
        <is>
          <t>A 9469-2021</t>
        </is>
      </c>
      <c r="B310" s="1" t="n">
        <v>44251</v>
      </c>
      <c r="C310" s="1" t="n">
        <v>45908</v>
      </c>
      <c r="D310" t="inlineStr">
        <is>
          <t>STOCKHOLMS LÄN</t>
        </is>
      </c>
      <c r="E310" t="inlineStr">
        <is>
          <t>NORRTÄLJE</t>
        </is>
      </c>
      <c r="G310" t="n">
        <v>2.5</v>
      </c>
      <c r="H310" t="n">
        <v>0</v>
      </c>
      <c r="I310" t="n">
        <v>0</v>
      </c>
      <c r="J310" t="n">
        <v>0</v>
      </c>
      <c r="K310" t="n">
        <v>0</v>
      </c>
      <c r="L310" t="n">
        <v>0</v>
      </c>
      <c r="M310" t="n">
        <v>0</v>
      </c>
      <c r="N310" t="n">
        <v>0</v>
      </c>
      <c r="O310" t="n">
        <v>0</v>
      </c>
      <c r="P310" t="n">
        <v>0</v>
      </c>
      <c r="Q310" t="n">
        <v>0</v>
      </c>
      <c r="R310" s="2" t="inlineStr"/>
    </row>
    <row r="311" ht="15" customHeight="1">
      <c r="A311" t="inlineStr">
        <is>
          <t>A 24024-2024</t>
        </is>
      </c>
      <c r="B311" s="1" t="n">
        <v>45456</v>
      </c>
      <c r="C311" s="1" t="n">
        <v>45908</v>
      </c>
      <c r="D311" t="inlineStr">
        <is>
          <t>STOCKHOLMS LÄN</t>
        </is>
      </c>
      <c r="E311" t="inlineStr">
        <is>
          <t>NORRTÄLJE</t>
        </is>
      </c>
      <c r="G311" t="n">
        <v>1.9</v>
      </c>
      <c r="H311" t="n">
        <v>0</v>
      </c>
      <c r="I311" t="n">
        <v>0</v>
      </c>
      <c r="J311" t="n">
        <v>0</v>
      </c>
      <c r="K311" t="n">
        <v>0</v>
      </c>
      <c r="L311" t="n">
        <v>0</v>
      </c>
      <c r="M311" t="n">
        <v>0</v>
      </c>
      <c r="N311" t="n">
        <v>0</v>
      </c>
      <c r="O311" t="n">
        <v>0</v>
      </c>
      <c r="P311" t="n">
        <v>0</v>
      </c>
      <c r="Q311" t="n">
        <v>0</v>
      </c>
      <c r="R311" s="2" t="inlineStr"/>
    </row>
    <row r="312" ht="15" customHeight="1">
      <c r="A312" t="inlineStr">
        <is>
          <t>A 58661-2020</t>
        </is>
      </c>
      <c r="B312" s="1" t="n">
        <v>44145</v>
      </c>
      <c r="C312" s="1" t="n">
        <v>45908</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28809-2023</t>
        </is>
      </c>
      <c r="B313" s="1" t="n">
        <v>45104</v>
      </c>
      <c r="C313" s="1" t="n">
        <v>45908</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28813-2023</t>
        </is>
      </c>
      <c r="B314" s="1" t="n">
        <v>45104</v>
      </c>
      <c r="C314" s="1" t="n">
        <v>45908</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45908</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64145-2021</t>
        </is>
      </c>
      <c r="B316" s="1" t="n">
        <v>44510</v>
      </c>
      <c r="C316" s="1" t="n">
        <v>45908</v>
      </c>
      <c r="D316" t="inlineStr">
        <is>
          <t>STOCKHOLMS LÄN</t>
        </is>
      </c>
      <c r="E316" t="inlineStr">
        <is>
          <t>NORRTÄLJE</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1740-2023</t>
        </is>
      </c>
      <c r="B317" s="1" t="n">
        <v>44938</v>
      </c>
      <c r="C317" s="1" t="n">
        <v>45908</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4596-2023</t>
        </is>
      </c>
      <c r="B318" s="1" t="n">
        <v>44956</v>
      </c>
      <c r="C318" s="1" t="n">
        <v>45908</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60694-2024</t>
        </is>
      </c>
      <c r="B319" s="1" t="n">
        <v>45644.47878472223</v>
      </c>
      <c r="C319" s="1" t="n">
        <v>45908</v>
      </c>
      <c r="D319" t="inlineStr">
        <is>
          <t>STOCKHOLMS LÄN</t>
        </is>
      </c>
      <c r="E319" t="inlineStr">
        <is>
          <t>NORRTÄLJE</t>
        </is>
      </c>
      <c r="G319" t="n">
        <v>1.1</v>
      </c>
      <c r="H319" t="n">
        <v>0</v>
      </c>
      <c r="I319" t="n">
        <v>0</v>
      </c>
      <c r="J319" t="n">
        <v>0</v>
      </c>
      <c r="K319" t="n">
        <v>0</v>
      </c>
      <c r="L319" t="n">
        <v>0</v>
      </c>
      <c r="M319" t="n">
        <v>0</v>
      </c>
      <c r="N319" t="n">
        <v>0</v>
      </c>
      <c r="O319" t="n">
        <v>0</v>
      </c>
      <c r="P319" t="n">
        <v>0</v>
      </c>
      <c r="Q319" t="n">
        <v>0</v>
      </c>
      <c r="R319" s="2" t="inlineStr"/>
    </row>
    <row r="320" ht="15" customHeight="1">
      <c r="A320" t="inlineStr">
        <is>
          <t>A 7571-2024</t>
        </is>
      </c>
      <c r="B320" s="1" t="n">
        <v>45348.46300925926</v>
      </c>
      <c r="C320" s="1" t="n">
        <v>45908</v>
      </c>
      <c r="D320" t="inlineStr">
        <is>
          <t>STOCKHOLMS LÄN</t>
        </is>
      </c>
      <c r="E320" t="inlineStr">
        <is>
          <t>NORRTÄLJE</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10511-2025</t>
        </is>
      </c>
      <c r="B321" s="1" t="n">
        <v>45721.40780092592</v>
      </c>
      <c r="C321" s="1" t="n">
        <v>45908</v>
      </c>
      <c r="D321" t="inlineStr">
        <is>
          <t>STOCKHOLMS LÄN</t>
        </is>
      </c>
      <c r="E321" t="inlineStr">
        <is>
          <t>NORRTÄLJE</t>
        </is>
      </c>
      <c r="G321" t="n">
        <v>2.6</v>
      </c>
      <c r="H321" t="n">
        <v>0</v>
      </c>
      <c r="I321" t="n">
        <v>0</v>
      </c>
      <c r="J321" t="n">
        <v>0</v>
      </c>
      <c r="K321" t="n">
        <v>0</v>
      </c>
      <c r="L321" t="n">
        <v>0</v>
      </c>
      <c r="M321" t="n">
        <v>0</v>
      </c>
      <c r="N321" t="n">
        <v>0</v>
      </c>
      <c r="O321" t="n">
        <v>0</v>
      </c>
      <c r="P321" t="n">
        <v>0</v>
      </c>
      <c r="Q321" t="n">
        <v>0</v>
      </c>
      <c r="R321" s="2" t="inlineStr"/>
    </row>
    <row r="322" ht="15" customHeight="1">
      <c r="A322" t="inlineStr">
        <is>
          <t>A 10676-2025</t>
        </is>
      </c>
      <c r="B322" s="1" t="n">
        <v>45721.88684027778</v>
      </c>
      <c r="C322" s="1" t="n">
        <v>45908</v>
      </c>
      <c r="D322" t="inlineStr">
        <is>
          <t>STOCKHOLMS LÄN</t>
        </is>
      </c>
      <c r="E322" t="inlineStr">
        <is>
          <t>NORRTÄLJE</t>
        </is>
      </c>
      <c r="G322" t="n">
        <v>1.3</v>
      </c>
      <c r="H322" t="n">
        <v>0</v>
      </c>
      <c r="I322" t="n">
        <v>0</v>
      </c>
      <c r="J322" t="n">
        <v>0</v>
      </c>
      <c r="K322" t="n">
        <v>0</v>
      </c>
      <c r="L322" t="n">
        <v>0</v>
      </c>
      <c r="M322" t="n">
        <v>0</v>
      </c>
      <c r="N322" t="n">
        <v>0</v>
      </c>
      <c r="O322" t="n">
        <v>0</v>
      </c>
      <c r="P322" t="n">
        <v>0</v>
      </c>
      <c r="Q322" t="n">
        <v>0</v>
      </c>
      <c r="R322" s="2" t="inlineStr"/>
    </row>
    <row r="323" ht="15" customHeight="1">
      <c r="A323" t="inlineStr">
        <is>
          <t>A 11849-2025</t>
        </is>
      </c>
      <c r="B323" s="1" t="n">
        <v>45728.38409722222</v>
      </c>
      <c r="C323" s="1" t="n">
        <v>45908</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40425-2021</t>
        </is>
      </c>
      <c r="B324" s="1" t="n">
        <v>44419</v>
      </c>
      <c r="C324" s="1" t="n">
        <v>45908</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58990-2021</t>
        </is>
      </c>
      <c r="B325" s="1" t="n">
        <v>44490.03621527777</v>
      </c>
      <c r="C325" s="1" t="n">
        <v>45908</v>
      </c>
      <c r="D325" t="inlineStr">
        <is>
          <t>STOCKHOLMS LÄN</t>
        </is>
      </c>
      <c r="E325" t="inlineStr">
        <is>
          <t>NORRTÄLJE</t>
        </is>
      </c>
      <c r="G325" t="n">
        <v>4.2</v>
      </c>
      <c r="H325" t="n">
        <v>0</v>
      </c>
      <c r="I325" t="n">
        <v>0</v>
      </c>
      <c r="J325" t="n">
        <v>0</v>
      </c>
      <c r="K325" t="n">
        <v>0</v>
      </c>
      <c r="L325" t="n">
        <v>0</v>
      </c>
      <c r="M325" t="n">
        <v>0</v>
      </c>
      <c r="N325" t="n">
        <v>0</v>
      </c>
      <c r="O325" t="n">
        <v>0</v>
      </c>
      <c r="P325" t="n">
        <v>0</v>
      </c>
      <c r="Q325" t="n">
        <v>0</v>
      </c>
      <c r="R325" s="2" t="inlineStr"/>
    </row>
    <row r="326" ht="15" customHeight="1">
      <c r="A326" t="inlineStr">
        <is>
          <t>A 55243-2023</t>
        </is>
      </c>
      <c r="B326" s="1" t="n">
        <v>45237</v>
      </c>
      <c r="C326" s="1" t="n">
        <v>45908</v>
      </c>
      <c r="D326" t="inlineStr">
        <is>
          <t>STOCKHOLMS LÄN</t>
        </is>
      </c>
      <c r="E326" t="inlineStr">
        <is>
          <t>NORRTÄLJE</t>
        </is>
      </c>
      <c r="G326" t="n">
        <v>6.5</v>
      </c>
      <c r="H326" t="n">
        <v>0</v>
      </c>
      <c r="I326" t="n">
        <v>0</v>
      </c>
      <c r="J326" t="n">
        <v>0</v>
      </c>
      <c r="K326" t="n">
        <v>0</v>
      </c>
      <c r="L326" t="n">
        <v>0</v>
      </c>
      <c r="M326" t="n">
        <v>0</v>
      </c>
      <c r="N326" t="n">
        <v>0</v>
      </c>
      <c r="O326" t="n">
        <v>0</v>
      </c>
      <c r="P326" t="n">
        <v>0</v>
      </c>
      <c r="Q326" t="n">
        <v>0</v>
      </c>
      <c r="R326" s="2" t="inlineStr"/>
    </row>
    <row r="327" ht="15" customHeight="1">
      <c r="A327" t="inlineStr">
        <is>
          <t>A 20698-2025</t>
        </is>
      </c>
      <c r="B327" s="1" t="n">
        <v>45776.47122685185</v>
      </c>
      <c r="C327" s="1" t="n">
        <v>45908</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20692-2025</t>
        </is>
      </c>
      <c r="B328" s="1" t="n">
        <v>45776.46369212963</v>
      </c>
      <c r="C328" s="1" t="n">
        <v>45908</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20790-2025</t>
        </is>
      </c>
      <c r="B329" s="1" t="n">
        <v>45776.62563657408</v>
      </c>
      <c r="C329" s="1" t="n">
        <v>45908</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52260-2022</t>
        </is>
      </c>
      <c r="B330" s="1" t="n">
        <v>44869</v>
      </c>
      <c r="C330" s="1" t="n">
        <v>45908</v>
      </c>
      <c r="D330" t="inlineStr">
        <is>
          <t>STOCKHOLMS LÄN</t>
        </is>
      </c>
      <c r="E330" t="inlineStr">
        <is>
          <t>NORRTÄLJE</t>
        </is>
      </c>
      <c r="G330" t="n">
        <v>3.1</v>
      </c>
      <c r="H330" t="n">
        <v>0</v>
      </c>
      <c r="I330" t="n">
        <v>0</v>
      </c>
      <c r="J330" t="n">
        <v>0</v>
      </c>
      <c r="K330" t="n">
        <v>0</v>
      </c>
      <c r="L330" t="n">
        <v>0</v>
      </c>
      <c r="M330" t="n">
        <v>0</v>
      </c>
      <c r="N330" t="n">
        <v>0</v>
      </c>
      <c r="O330" t="n">
        <v>0</v>
      </c>
      <c r="P330" t="n">
        <v>0</v>
      </c>
      <c r="Q330" t="n">
        <v>0</v>
      </c>
      <c r="R330" s="2" t="inlineStr"/>
    </row>
    <row r="331" ht="15" customHeight="1">
      <c r="A331" t="inlineStr">
        <is>
          <t>A 20699-2025</t>
        </is>
      </c>
      <c r="B331" s="1" t="n">
        <v>45776.47346064815</v>
      </c>
      <c r="C331" s="1" t="n">
        <v>45908</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3152-2024</t>
        </is>
      </c>
      <c r="B332" s="1" t="n">
        <v>45316.60306712963</v>
      </c>
      <c r="C332" s="1" t="n">
        <v>45908</v>
      </c>
      <c r="D332" t="inlineStr">
        <is>
          <t>STOCKHOLMS LÄN</t>
        </is>
      </c>
      <c r="E332" t="inlineStr">
        <is>
          <t>NORRTÄLJE</t>
        </is>
      </c>
      <c r="G332" t="n">
        <v>7.9</v>
      </c>
      <c r="H332" t="n">
        <v>0</v>
      </c>
      <c r="I332" t="n">
        <v>0</v>
      </c>
      <c r="J332" t="n">
        <v>0</v>
      </c>
      <c r="K332" t="n">
        <v>0</v>
      </c>
      <c r="L332" t="n">
        <v>0</v>
      </c>
      <c r="M332" t="n">
        <v>0</v>
      </c>
      <c r="N332" t="n">
        <v>0</v>
      </c>
      <c r="O332" t="n">
        <v>0</v>
      </c>
      <c r="P332" t="n">
        <v>0</v>
      </c>
      <c r="Q332" t="n">
        <v>0</v>
      </c>
      <c r="R332" s="2" t="inlineStr"/>
    </row>
    <row r="333" ht="15" customHeight="1">
      <c r="A333" t="inlineStr">
        <is>
          <t>A 20852-2023</t>
        </is>
      </c>
      <c r="B333" s="1" t="n">
        <v>45058.78607638889</v>
      </c>
      <c r="C333" s="1" t="n">
        <v>45908</v>
      </c>
      <c r="D333" t="inlineStr">
        <is>
          <t>STOCKHOLMS LÄN</t>
        </is>
      </c>
      <c r="E333" t="inlineStr">
        <is>
          <t>NORRTÄLJE</t>
        </is>
      </c>
      <c r="G333" t="n">
        <v>3.5</v>
      </c>
      <c r="H333" t="n">
        <v>0</v>
      </c>
      <c r="I333" t="n">
        <v>0</v>
      </c>
      <c r="J333" t="n">
        <v>0</v>
      </c>
      <c r="K333" t="n">
        <v>0</v>
      </c>
      <c r="L333" t="n">
        <v>0</v>
      </c>
      <c r="M333" t="n">
        <v>0</v>
      </c>
      <c r="N333" t="n">
        <v>0</v>
      </c>
      <c r="O333" t="n">
        <v>0</v>
      </c>
      <c r="P333" t="n">
        <v>0</v>
      </c>
      <c r="Q333" t="n">
        <v>0</v>
      </c>
      <c r="R333" s="2" t="inlineStr"/>
    </row>
    <row r="334" ht="15" customHeight="1">
      <c r="A334" t="inlineStr">
        <is>
          <t>A 59326-2023</t>
        </is>
      </c>
      <c r="B334" s="1" t="n">
        <v>45253.63089120371</v>
      </c>
      <c r="C334" s="1" t="n">
        <v>45908</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44836-2023</t>
        </is>
      </c>
      <c r="B335" s="1" t="n">
        <v>45190.55609953704</v>
      </c>
      <c r="C335" s="1" t="n">
        <v>45908</v>
      </c>
      <c r="D335" t="inlineStr">
        <is>
          <t>STOCKHOLMS LÄN</t>
        </is>
      </c>
      <c r="E335" t="inlineStr">
        <is>
          <t>NORRTÄLJE</t>
        </is>
      </c>
      <c r="G335" t="n">
        <v>2.3</v>
      </c>
      <c r="H335" t="n">
        <v>0</v>
      </c>
      <c r="I335" t="n">
        <v>0</v>
      </c>
      <c r="J335" t="n">
        <v>0</v>
      </c>
      <c r="K335" t="n">
        <v>0</v>
      </c>
      <c r="L335" t="n">
        <v>0</v>
      </c>
      <c r="M335" t="n">
        <v>0</v>
      </c>
      <c r="N335" t="n">
        <v>0</v>
      </c>
      <c r="O335" t="n">
        <v>0</v>
      </c>
      <c r="P335" t="n">
        <v>0</v>
      </c>
      <c r="Q335" t="n">
        <v>0</v>
      </c>
      <c r="R335" s="2" t="inlineStr"/>
    </row>
    <row r="336" ht="15" customHeight="1">
      <c r="A336" t="inlineStr">
        <is>
          <t>A 19450-2025</t>
        </is>
      </c>
      <c r="B336" s="1" t="n">
        <v>45770</v>
      </c>
      <c r="C336" s="1" t="n">
        <v>45908</v>
      </c>
      <c r="D336" t="inlineStr">
        <is>
          <t>STOCKHOLMS LÄN</t>
        </is>
      </c>
      <c r="E336" t="inlineStr">
        <is>
          <t>NORRTÄLJE</t>
        </is>
      </c>
      <c r="G336" t="n">
        <v>5.3</v>
      </c>
      <c r="H336" t="n">
        <v>0</v>
      </c>
      <c r="I336" t="n">
        <v>0</v>
      </c>
      <c r="J336" t="n">
        <v>0</v>
      </c>
      <c r="K336" t="n">
        <v>0</v>
      </c>
      <c r="L336" t="n">
        <v>0</v>
      </c>
      <c r="M336" t="n">
        <v>0</v>
      </c>
      <c r="N336" t="n">
        <v>0</v>
      </c>
      <c r="O336" t="n">
        <v>0</v>
      </c>
      <c r="P336" t="n">
        <v>0</v>
      </c>
      <c r="Q336" t="n">
        <v>0</v>
      </c>
      <c r="R336" s="2" t="inlineStr"/>
    </row>
    <row r="337" ht="15" customHeight="1">
      <c r="A337" t="inlineStr">
        <is>
          <t>A 20779-2025</t>
        </is>
      </c>
      <c r="B337" s="1" t="n">
        <v>45776.59871527777</v>
      </c>
      <c r="C337" s="1" t="n">
        <v>45908</v>
      </c>
      <c r="D337" t="inlineStr">
        <is>
          <t>STOCKHOLMS LÄN</t>
        </is>
      </c>
      <c r="E337" t="inlineStr">
        <is>
          <t>NORRTÄLJE</t>
        </is>
      </c>
      <c r="G337" t="n">
        <v>6.9</v>
      </c>
      <c r="H337" t="n">
        <v>0</v>
      </c>
      <c r="I337" t="n">
        <v>0</v>
      </c>
      <c r="J337" t="n">
        <v>0</v>
      </c>
      <c r="K337" t="n">
        <v>0</v>
      </c>
      <c r="L337" t="n">
        <v>0</v>
      </c>
      <c r="M337" t="n">
        <v>0</v>
      </c>
      <c r="N337" t="n">
        <v>0</v>
      </c>
      <c r="O337" t="n">
        <v>0</v>
      </c>
      <c r="P337" t="n">
        <v>0</v>
      </c>
      <c r="Q337" t="n">
        <v>0</v>
      </c>
      <c r="R337" s="2" t="inlineStr"/>
    </row>
    <row r="338" ht="15" customHeight="1">
      <c r="A338" t="inlineStr">
        <is>
          <t>A 22456-2023</t>
        </is>
      </c>
      <c r="B338" s="1" t="n">
        <v>45070</v>
      </c>
      <c r="C338" s="1" t="n">
        <v>45908</v>
      </c>
      <c r="D338" t="inlineStr">
        <is>
          <t>STOCKHOLMS LÄN</t>
        </is>
      </c>
      <c r="E338" t="inlineStr">
        <is>
          <t>NORRTÄLJE</t>
        </is>
      </c>
      <c r="G338" t="n">
        <v>3.1</v>
      </c>
      <c r="H338" t="n">
        <v>0</v>
      </c>
      <c r="I338" t="n">
        <v>0</v>
      </c>
      <c r="J338" t="n">
        <v>0</v>
      </c>
      <c r="K338" t="n">
        <v>0</v>
      </c>
      <c r="L338" t="n">
        <v>0</v>
      </c>
      <c r="M338" t="n">
        <v>0</v>
      </c>
      <c r="N338" t="n">
        <v>0</v>
      </c>
      <c r="O338" t="n">
        <v>0</v>
      </c>
      <c r="P338" t="n">
        <v>0</v>
      </c>
      <c r="Q338" t="n">
        <v>0</v>
      </c>
      <c r="R338" s="2" t="inlineStr"/>
    </row>
    <row r="339" ht="15" customHeight="1">
      <c r="A339" t="inlineStr">
        <is>
          <t>A 17785-2024</t>
        </is>
      </c>
      <c r="B339" s="1" t="n">
        <v>45418.6968287037</v>
      </c>
      <c r="C339" s="1" t="n">
        <v>45908</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21771-2025</t>
        </is>
      </c>
      <c r="B340" s="1" t="n">
        <v>45783</v>
      </c>
      <c r="C340" s="1" t="n">
        <v>45908</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6678-2025</t>
        </is>
      </c>
      <c r="B341" s="1" t="n">
        <v>45700</v>
      </c>
      <c r="C341" s="1" t="n">
        <v>45908</v>
      </c>
      <c r="D341" t="inlineStr">
        <is>
          <t>STOCKHOLMS LÄN</t>
        </is>
      </c>
      <c r="E341" t="inlineStr">
        <is>
          <t>NORRTÄLJE</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21778-2025</t>
        </is>
      </c>
      <c r="B342" s="1" t="n">
        <v>45783.66429398148</v>
      </c>
      <c r="C342" s="1" t="n">
        <v>45908</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21679-2025</t>
        </is>
      </c>
      <c r="B343" s="1" t="n">
        <v>45783.48878472222</v>
      </c>
      <c r="C343" s="1" t="n">
        <v>45908</v>
      </c>
      <c r="D343" t="inlineStr">
        <is>
          <t>STOCKHOLMS LÄN</t>
        </is>
      </c>
      <c r="E343" t="inlineStr">
        <is>
          <t>NORRTÄLJE</t>
        </is>
      </c>
      <c r="G343" t="n">
        <v>17.5</v>
      </c>
      <c r="H343" t="n">
        <v>0</v>
      </c>
      <c r="I343" t="n">
        <v>0</v>
      </c>
      <c r="J343" t="n">
        <v>0</v>
      </c>
      <c r="K343" t="n">
        <v>0</v>
      </c>
      <c r="L343" t="n">
        <v>0</v>
      </c>
      <c r="M343" t="n">
        <v>0</v>
      </c>
      <c r="N343" t="n">
        <v>0</v>
      </c>
      <c r="O343" t="n">
        <v>0</v>
      </c>
      <c r="P343" t="n">
        <v>0</v>
      </c>
      <c r="Q343" t="n">
        <v>0</v>
      </c>
      <c r="R343" s="2" t="inlineStr"/>
    </row>
    <row r="344" ht="15" customHeight="1">
      <c r="A344" t="inlineStr">
        <is>
          <t>A 19982-2022</t>
        </is>
      </c>
      <c r="B344" s="1" t="n">
        <v>44697</v>
      </c>
      <c r="C344" s="1" t="n">
        <v>45908</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33353-2023</t>
        </is>
      </c>
      <c r="B345" s="1" t="n">
        <v>45128</v>
      </c>
      <c r="C345" s="1" t="n">
        <v>45908</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42075-2023</t>
        </is>
      </c>
      <c r="B346" s="1" t="n">
        <v>45177</v>
      </c>
      <c r="C346" s="1" t="n">
        <v>45908</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25557-2023</t>
        </is>
      </c>
      <c r="B347" s="1" t="n">
        <v>45089</v>
      </c>
      <c r="C347" s="1" t="n">
        <v>45908</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27715-2022</t>
        </is>
      </c>
      <c r="B348" s="1" t="n">
        <v>44743.47407407407</v>
      </c>
      <c r="C348" s="1" t="n">
        <v>45908</v>
      </c>
      <c r="D348" t="inlineStr">
        <is>
          <t>STOCKHOLMS LÄN</t>
        </is>
      </c>
      <c r="E348" t="inlineStr">
        <is>
          <t>NORRTÄLJE</t>
        </is>
      </c>
      <c r="G348" t="n">
        <v>2.2</v>
      </c>
      <c r="H348" t="n">
        <v>0</v>
      </c>
      <c r="I348" t="n">
        <v>0</v>
      </c>
      <c r="J348" t="n">
        <v>0</v>
      </c>
      <c r="K348" t="n">
        <v>0</v>
      </c>
      <c r="L348" t="n">
        <v>0</v>
      </c>
      <c r="M348" t="n">
        <v>0</v>
      </c>
      <c r="N348" t="n">
        <v>0</v>
      </c>
      <c r="O348" t="n">
        <v>0</v>
      </c>
      <c r="P348" t="n">
        <v>0</v>
      </c>
      <c r="Q348" t="n">
        <v>0</v>
      </c>
      <c r="R348" s="2" t="inlineStr"/>
    </row>
    <row r="349" ht="15" customHeight="1">
      <c r="A349" t="inlineStr">
        <is>
          <t>A 50108-2021</t>
        </is>
      </c>
      <c r="B349" s="1" t="n">
        <v>44456</v>
      </c>
      <c r="C349" s="1" t="n">
        <v>45908</v>
      </c>
      <c r="D349" t="inlineStr">
        <is>
          <t>STOCKHOLMS LÄN</t>
        </is>
      </c>
      <c r="E349" t="inlineStr">
        <is>
          <t>NORRTÄLJE</t>
        </is>
      </c>
      <c r="G349" t="n">
        <v>0.7</v>
      </c>
      <c r="H349" t="n">
        <v>0</v>
      </c>
      <c r="I349" t="n">
        <v>0</v>
      </c>
      <c r="J349" t="n">
        <v>0</v>
      </c>
      <c r="K349" t="n">
        <v>0</v>
      </c>
      <c r="L349" t="n">
        <v>0</v>
      </c>
      <c r="M349" t="n">
        <v>0</v>
      </c>
      <c r="N349" t="n">
        <v>0</v>
      </c>
      <c r="O349" t="n">
        <v>0</v>
      </c>
      <c r="P349" t="n">
        <v>0</v>
      </c>
      <c r="Q349" t="n">
        <v>0</v>
      </c>
      <c r="R349" s="2" t="inlineStr"/>
    </row>
    <row r="350" ht="15" customHeight="1">
      <c r="A350" t="inlineStr">
        <is>
          <t>A 3966-2024</t>
        </is>
      </c>
      <c r="B350" s="1" t="n">
        <v>45322</v>
      </c>
      <c r="C350" s="1" t="n">
        <v>45908</v>
      </c>
      <c r="D350" t="inlineStr">
        <is>
          <t>STOCKHOLMS LÄN</t>
        </is>
      </c>
      <c r="E350" t="inlineStr">
        <is>
          <t>NORRTÄLJE</t>
        </is>
      </c>
      <c r="G350" t="n">
        <v>5.3</v>
      </c>
      <c r="H350" t="n">
        <v>0</v>
      </c>
      <c r="I350" t="n">
        <v>0</v>
      </c>
      <c r="J350" t="n">
        <v>0</v>
      </c>
      <c r="K350" t="n">
        <v>0</v>
      </c>
      <c r="L350" t="n">
        <v>0</v>
      </c>
      <c r="M350" t="n">
        <v>0</v>
      </c>
      <c r="N350" t="n">
        <v>0</v>
      </c>
      <c r="O350" t="n">
        <v>0</v>
      </c>
      <c r="P350" t="n">
        <v>0</v>
      </c>
      <c r="Q350" t="n">
        <v>0</v>
      </c>
      <c r="R350" s="2" t="inlineStr"/>
    </row>
    <row r="351" ht="15" customHeight="1">
      <c r="A351" t="inlineStr">
        <is>
          <t>A 22202-2025</t>
        </is>
      </c>
      <c r="B351" s="1" t="n">
        <v>45785.65300925926</v>
      </c>
      <c r="C351" s="1" t="n">
        <v>45908</v>
      </c>
      <c r="D351" t="inlineStr">
        <is>
          <t>STOCKHOLMS LÄN</t>
        </is>
      </c>
      <c r="E351" t="inlineStr">
        <is>
          <t>NORRTÄLJE</t>
        </is>
      </c>
      <c r="G351" t="n">
        <v>10.2</v>
      </c>
      <c r="H351" t="n">
        <v>0</v>
      </c>
      <c r="I351" t="n">
        <v>0</v>
      </c>
      <c r="J351" t="n">
        <v>0</v>
      </c>
      <c r="K351" t="n">
        <v>0</v>
      </c>
      <c r="L351" t="n">
        <v>0</v>
      </c>
      <c r="M351" t="n">
        <v>0</v>
      </c>
      <c r="N351" t="n">
        <v>0</v>
      </c>
      <c r="O351" t="n">
        <v>0</v>
      </c>
      <c r="P351" t="n">
        <v>0</v>
      </c>
      <c r="Q351" t="n">
        <v>0</v>
      </c>
      <c r="R351" s="2" t="inlineStr"/>
    </row>
    <row r="352" ht="15" customHeight="1">
      <c r="A352" t="inlineStr">
        <is>
          <t>A 55696-2022</t>
        </is>
      </c>
      <c r="B352" s="1" t="n">
        <v>44888</v>
      </c>
      <c r="C352" s="1" t="n">
        <v>45908</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22412-2021</t>
        </is>
      </c>
      <c r="B353" s="1" t="n">
        <v>44326.61967592593</v>
      </c>
      <c r="C353" s="1" t="n">
        <v>45908</v>
      </c>
      <c r="D353" t="inlineStr">
        <is>
          <t>STOCKHOLMS LÄN</t>
        </is>
      </c>
      <c r="E353" t="inlineStr">
        <is>
          <t>NORRTÄLJE</t>
        </is>
      </c>
      <c r="G353" t="n">
        <v>1.7</v>
      </c>
      <c r="H353" t="n">
        <v>0</v>
      </c>
      <c r="I353" t="n">
        <v>0</v>
      </c>
      <c r="J353" t="n">
        <v>0</v>
      </c>
      <c r="K353" t="n">
        <v>0</v>
      </c>
      <c r="L353" t="n">
        <v>0</v>
      </c>
      <c r="M353" t="n">
        <v>0</v>
      </c>
      <c r="N353" t="n">
        <v>0</v>
      </c>
      <c r="O353" t="n">
        <v>0</v>
      </c>
      <c r="P353" t="n">
        <v>0</v>
      </c>
      <c r="Q353" t="n">
        <v>0</v>
      </c>
      <c r="R353" s="2" t="inlineStr"/>
    </row>
    <row r="354" ht="15" customHeight="1">
      <c r="A354" t="inlineStr">
        <is>
          <t>A 50355-2024</t>
        </is>
      </c>
      <c r="B354" s="1" t="n">
        <v>45600.86128472222</v>
      </c>
      <c r="C354" s="1" t="n">
        <v>45908</v>
      </c>
      <c r="D354" t="inlineStr">
        <is>
          <t>STOCKHOLMS LÄN</t>
        </is>
      </c>
      <c r="E354" t="inlineStr">
        <is>
          <t>NORRTÄLJE</t>
        </is>
      </c>
      <c r="F354" t="inlineStr">
        <is>
          <t>Kommuner</t>
        </is>
      </c>
      <c r="G354" t="n">
        <v>1</v>
      </c>
      <c r="H354" t="n">
        <v>0</v>
      </c>
      <c r="I354" t="n">
        <v>0</v>
      </c>
      <c r="J354" t="n">
        <v>0</v>
      </c>
      <c r="K354" t="n">
        <v>0</v>
      </c>
      <c r="L354" t="n">
        <v>0</v>
      </c>
      <c r="M354" t="n">
        <v>0</v>
      </c>
      <c r="N354" t="n">
        <v>0</v>
      </c>
      <c r="O354" t="n">
        <v>0</v>
      </c>
      <c r="P354" t="n">
        <v>0</v>
      </c>
      <c r="Q354" t="n">
        <v>0</v>
      </c>
      <c r="R354" s="2" t="inlineStr"/>
    </row>
    <row r="355" ht="15" customHeight="1">
      <c r="A355" t="inlineStr">
        <is>
          <t>A 68081-2020</t>
        </is>
      </c>
      <c r="B355" s="1" t="n">
        <v>44183</v>
      </c>
      <c r="C355" s="1" t="n">
        <v>45908</v>
      </c>
      <c r="D355" t="inlineStr">
        <is>
          <t>STOCKHOLMS LÄN</t>
        </is>
      </c>
      <c r="E355" t="inlineStr">
        <is>
          <t>NORRTÄLJE</t>
        </is>
      </c>
      <c r="G355" t="n">
        <v>2.1</v>
      </c>
      <c r="H355" t="n">
        <v>0</v>
      </c>
      <c r="I355" t="n">
        <v>0</v>
      </c>
      <c r="J355" t="n">
        <v>0</v>
      </c>
      <c r="K355" t="n">
        <v>0</v>
      </c>
      <c r="L355" t="n">
        <v>0</v>
      </c>
      <c r="M355" t="n">
        <v>0</v>
      </c>
      <c r="N355" t="n">
        <v>0</v>
      </c>
      <c r="O355" t="n">
        <v>0</v>
      </c>
      <c r="P355" t="n">
        <v>0</v>
      </c>
      <c r="Q355" t="n">
        <v>0</v>
      </c>
      <c r="R355" s="2" t="inlineStr"/>
    </row>
    <row r="356" ht="15" customHeight="1">
      <c r="A356" t="inlineStr">
        <is>
          <t>A 44917-2022</t>
        </is>
      </c>
      <c r="B356" s="1" t="n">
        <v>44841.52804398148</v>
      </c>
      <c r="C356" s="1" t="n">
        <v>45908</v>
      </c>
      <c r="D356" t="inlineStr">
        <is>
          <t>STOCKHOLMS LÄN</t>
        </is>
      </c>
      <c r="E356" t="inlineStr">
        <is>
          <t>NORRTÄLJE</t>
        </is>
      </c>
      <c r="F356" t="inlineStr">
        <is>
          <t>Holmen skog AB</t>
        </is>
      </c>
      <c r="G356" t="n">
        <v>3.3</v>
      </c>
      <c r="H356" t="n">
        <v>0</v>
      </c>
      <c r="I356" t="n">
        <v>0</v>
      </c>
      <c r="J356" t="n">
        <v>0</v>
      </c>
      <c r="K356" t="n">
        <v>0</v>
      </c>
      <c r="L356" t="n">
        <v>0</v>
      </c>
      <c r="M356" t="n">
        <v>0</v>
      </c>
      <c r="N356" t="n">
        <v>0</v>
      </c>
      <c r="O356" t="n">
        <v>0</v>
      </c>
      <c r="P356" t="n">
        <v>0</v>
      </c>
      <c r="Q356" t="n">
        <v>0</v>
      </c>
      <c r="R356" s="2" t="inlineStr"/>
    </row>
    <row r="357" ht="15" customHeight="1">
      <c r="A357" t="inlineStr">
        <is>
          <t>A 13053-2022</t>
        </is>
      </c>
      <c r="B357" s="1" t="n">
        <v>44643</v>
      </c>
      <c r="C357" s="1" t="n">
        <v>45908</v>
      </c>
      <c r="D357" t="inlineStr">
        <is>
          <t>STOCKHOLMS LÄN</t>
        </is>
      </c>
      <c r="E357" t="inlineStr">
        <is>
          <t>NORRTÄLJE</t>
        </is>
      </c>
      <c r="G357" t="n">
        <v>2.8</v>
      </c>
      <c r="H357" t="n">
        <v>0</v>
      </c>
      <c r="I357" t="n">
        <v>0</v>
      </c>
      <c r="J357" t="n">
        <v>0</v>
      </c>
      <c r="K357" t="n">
        <v>0</v>
      </c>
      <c r="L357" t="n">
        <v>0</v>
      </c>
      <c r="M357" t="n">
        <v>0</v>
      </c>
      <c r="N357" t="n">
        <v>0</v>
      </c>
      <c r="O357" t="n">
        <v>0</v>
      </c>
      <c r="P357" t="n">
        <v>0</v>
      </c>
      <c r="Q357" t="n">
        <v>0</v>
      </c>
      <c r="R357" s="2" t="inlineStr"/>
    </row>
    <row r="358" ht="15" customHeight="1">
      <c r="A358" t="inlineStr">
        <is>
          <t>A 15915-2023</t>
        </is>
      </c>
      <c r="B358" s="1" t="n">
        <v>45022</v>
      </c>
      <c r="C358" s="1" t="n">
        <v>45908</v>
      </c>
      <c r="D358" t="inlineStr">
        <is>
          <t>STOCKHOLMS LÄN</t>
        </is>
      </c>
      <c r="E358" t="inlineStr">
        <is>
          <t>NORRTÄLJE</t>
        </is>
      </c>
      <c r="G358" t="n">
        <v>2.9</v>
      </c>
      <c r="H358" t="n">
        <v>0</v>
      </c>
      <c r="I358" t="n">
        <v>0</v>
      </c>
      <c r="J358" t="n">
        <v>0</v>
      </c>
      <c r="K358" t="n">
        <v>0</v>
      </c>
      <c r="L358" t="n">
        <v>0</v>
      </c>
      <c r="M358" t="n">
        <v>0</v>
      </c>
      <c r="N358" t="n">
        <v>0</v>
      </c>
      <c r="O358" t="n">
        <v>0</v>
      </c>
      <c r="P358" t="n">
        <v>0</v>
      </c>
      <c r="Q358" t="n">
        <v>0</v>
      </c>
      <c r="R358" s="2" t="inlineStr"/>
    </row>
    <row r="359" ht="15" customHeight="1">
      <c r="A359" t="inlineStr">
        <is>
          <t>A 55058-2021</t>
        </is>
      </c>
      <c r="B359" s="1" t="n">
        <v>44474.62141203704</v>
      </c>
      <c r="C359" s="1" t="n">
        <v>45908</v>
      </c>
      <c r="D359" t="inlineStr">
        <is>
          <t>STOCKHOLMS LÄN</t>
        </is>
      </c>
      <c r="E359" t="inlineStr">
        <is>
          <t>NORRTÄLJE</t>
        </is>
      </c>
      <c r="G359" t="n">
        <v>1.9</v>
      </c>
      <c r="H359" t="n">
        <v>0</v>
      </c>
      <c r="I359" t="n">
        <v>0</v>
      </c>
      <c r="J359" t="n">
        <v>0</v>
      </c>
      <c r="K359" t="n">
        <v>0</v>
      </c>
      <c r="L359" t="n">
        <v>0</v>
      </c>
      <c r="M359" t="n">
        <v>0</v>
      </c>
      <c r="N359" t="n">
        <v>0</v>
      </c>
      <c r="O359" t="n">
        <v>0</v>
      </c>
      <c r="P359" t="n">
        <v>0</v>
      </c>
      <c r="Q359" t="n">
        <v>0</v>
      </c>
      <c r="R359" s="2" t="inlineStr"/>
    </row>
    <row r="360" ht="15" customHeight="1">
      <c r="A360" t="inlineStr">
        <is>
          <t>A 16620-2024</t>
        </is>
      </c>
      <c r="B360" s="1" t="n">
        <v>45408.57707175926</v>
      </c>
      <c r="C360" s="1" t="n">
        <v>45908</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55012-2024</t>
        </is>
      </c>
      <c r="B361" s="1" t="n">
        <v>45621.34813657407</v>
      </c>
      <c r="C361" s="1" t="n">
        <v>45908</v>
      </c>
      <c r="D361" t="inlineStr">
        <is>
          <t>STOCKHOLMS LÄN</t>
        </is>
      </c>
      <c r="E361" t="inlineStr">
        <is>
          <t>NORRTÄLJE</t>
        </is>
      </c>
      <c r="F361" t="inlineStr">
        <is>
          <t>Sveaskog</t>
        </is>
      </c>
      <c r="G361" t="n">
        <v>5.2</v>
      </c>
      <c r="H361" t="n">
        <v>0</v>
      </c>
      <c r="I361" t="n">
        <v>0</v>
      </c>
      <c r="J361" t="n">
        <v>0</v>
      </c>
      <c r="K361" t="n">
        <v>0</v>
      </c>
      <c r="L361" t="n">
        <v>0</v>
      </c>
      <c r="M361" t="n">
        <v>0</v>
      </c>
      <c r="N361" t="n">
        <v>0</v>
      </c>
      <c r="O361" t="n">
        <v>0</v>
      </c>
      <c r="P361" t="n">
        <v>0</v>
      </c>
      <c r="Q361" t="n">
        <v>0</v>
      </c>
      <c r="R361" s="2" t="inlineStr"/>
    </row>
    <row r="362" ht="15" customHeight="1">
      <c r="A362" t="inlineStr">
        <is>
          <t>A 29972-2024</t>
        </is>
      </c>
      <c r="B362" s="1" t="n">
        <v>45485</v>
      </c>
      <c r="C362" s="1" t="n">
        <v>45908</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48716-2023</t>
        </is>
      </c>
      <c r="B363" s="1" t="n">
        <v>45208.69671296296</v>
      </c>
      <c r="C363" s="1" t="n">
        <v>45908</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5027-2025</t>
        </is>
      </c>
      <c r="B364" s="1" t="n">
        <v>45691.41101851852</v>
      </c>
      <c r="C364" s="1" t="n">
        <v>45908</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23262-2023</t>
        </is>
      </c>
      <c r="B365" s="1" t="n">
        <v>45075.90270833333</v>
      </c>
      <c r="C365" s="1" t="n">
        <v>45908</v>
      </c>
      <c r="D365" t="inlineStr">
        <is>
          <t>STOCKHOLMS LÄN</t>
        </is>
      </c>
      <c r="E365" t="inlineStr">
        <is>
          <t>NORRTÄLJE</t>
        </is>
      </c>
      <c r="F365" t="inlineStr">
        <is>
          <t>Kommuner</t>
        </is>
      </c>
      <c r="G365" t="n">
        <v>1.9</v>
      </c>
      <c r="H365" t="n">
        <v>0</v>
      </c>
      <c r="I365" t="n">
        <v>0</v>
      </c>
      <c r="J365" t="n">
        <v>0</v>
      </c>
      <c r="K365" t="n">
        <v>0</v>
      </c>
      <c r="L365" t="n">
        <v>0</v>
      </c>
      <c r="M365" t="n">
        <v>0</v>
      </c>
      <c r="N365" t="n">
        <v>0</v>
      </c>
      <c r="O365" t="n">
        <v>0</v>
      </c>
      <c r="P365" t="n">
        <v>0</v>
      </c>
      <c r="Q365" t="n">
        <v>0</v>
      </c>
      <c r="R365" s="2" t="inlineStr"/>
    </row>
    <row r="366" ht="15" customHeight="1">
      <c r="A366" t="inlineStr">
        <is>
          <t>A 23268-2023</t>
        </is>
      </c>
      <c r="B366" s="1" t="n">
        <v>45075.91042824074</v>
      </c>
      <c r="C366" s="1" t="n">
        <v>45908</v>
      </c>
      <c r="D366" t="inlineStr">
        <is>
          <t>STOCKHOLMS LÄN</t>
        </is>
      </c>
      <c r="E366" t="inlineStr">
        <is>
          <t>NORRTÄLJE</t>
        </is>
      </c>
      <c r="G366" t="n">
        <v>3.3</v>
      </c>
      <c r="H366" t="n">
        <v>0</v>
      </c>
      <c r="I366" t="n">
        <v>0</v>
      </c>
      <c r="J366" t="n">
        <v>0</v>
      </c>
      <c r="K366" t="n">
        <v>0</v>
      </c>
      <c r="L366" t="n">
        <v>0</v>
      </c>
      <c r="M366" t="n">
        <v>0</v>
      </c>
      <c r="N366" t="n">
        <v>0</v>
      </c>
      <c r="O366" t="n">
        <v>0</v>
      </c>
      <c r="P366" t="n">
        <v>0</v>
      </c>
      <c r="Q366" t="n">
        <v>0</v>
      </c>
      <c r="R366" s="2" t="inlineStr"/>
    </row>
    <row r="367" ht="15" customHeight="1">
      <c r="A367" t="inlineStr">
        <is>
          <t>A 23270-2023</t>
        </is>
      </c>
      <c r="B367" s="1" t="n">
        <v>45075.91265046296</v>
      </c>
      <c r="C367" s="1" t="n">
        <v>45908</v>
      </c>
      <c r="D367" t="inlineStr">
        <is>
          <t>STOCKHOLMS LÄN</t>
        </is>
      </c>
      <c r="E367" t="inlineStr">
        <is>
          <t>NORRTÄLJE</t>
        </is>
      </c>
      <c r="G367" t="n">
        <v>12.3</v>
      </c>
      <c r="H367" t="n">
        <v>0</v>
      </c>
      <c r="I367" t="n">
        <v>0</v>
      </c>
      <c r="J367" t="n">
        <v>0</v>
      </c>
      <c r="K367" t="n">
        <v>0</v>
      </c>
      <c r="L367" t="n">
        <v>0</v>
      </c>
      <c r="M367" t="n">
        <v>0</v>
      </c>
      <c r="N367" t="n">
        <v>0</v>
      </c>
      <c r="O367" t="n">
        <v>0</v>
      </c>
      <c r="P367" t="n">
        <v>0</v>
      </c>
      <c r="Q367" t="n">
        <v>0</v>
      </c>
      <c r="R367" s="2" t="inlineStr"/>
    </row>
    <row r="368" ht="15" customHeight="1">
      <c r="A368" t="inlineStr">
        <is>
          <t>A 23274-2023</t>
        </is>
      </c>
      <c r="B368" s="1" t="n">
        <v>45075.92153935185</v>
      </c>
      <c r="C368" s="1" t="n">
        <v>45908</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17843-2024</t>
        </is>
      </c>
      <c r="B369" s="1" t="n">
        <v>45418</v>
      </c>
      <c r="C369" s="1" t="n">
        <v>45908</v>
      </c>
      <c r="D369" t="inlineStr">
        <is>
          <t>STOCKHOLMS LÄN</t>
        </is>
      </c>
      <c r="E369" t="inlineStr">
        <is>
          <t>NORRTÄLJE</t>
        </is>
      </c>
      <c r="G369" t="n">
        <v>5.4</v>
      </c>
      <c r="H369" t="n">
        <v>0</v>
      </c>
      <c r="I369" t="n">
        <v>0</v>
      </c>
      <c r="J369" t="n">
        <v>0</v>
      </c>
      <c r="K369" t="n">
        <v>0</v>
      </c>
      <c r="L369" t="n">
        <v>0</v>
      </c>
      <c r="M369" t="n">
        <v>0</v>
      </c>
      <c r="N369" t="n">
        <v>0</v>
      </c>
      <c r="O369" t="n">
        <v>0</v>
      </c>
      <c r="P369" t="n">
        <v>0</v>
      </c>
      <c r="Q369" t="n">
        <v>0</v>
      </c>
      <c r="R369" s="2" t="inlineStr"/>
    </row>
    <row r="370" ht="15" customHeight="1">
      <c r="A370" t="inlineStr">
        <is>
          <t>A 50497-2020</t>
        </is>
      </c>
      <c r="B370" s="1" t="n">
        <v>44110</v>
      </c>
      <c r="C370" s="1" t="n">
        <v>45908</v>
      </c>
      <c r="D370" t="inlineStr">
        <is>
          <t>STOCKHOLMS LÄN</t>
        </is>
      </c>
      <c r="E370" t="inlineStr">
        <is>
          <t>NORRTÄLJE</t>
        </is>
      </c>
      <c r="F370" t="inlineStr">
        <is>
          <t>Holmen skog AB</t>
        </is>
      </c>
      <c r="G370" t="n">
        <v>4.3</v>
      </c>
      <c r="H370" t="n">
        <v>0</v>
      </c>
      <c r="I370" t="n">
        <v>0</v>
      </c>
      <c r="J370" t="n">
        <v>0</v>
      </c>
      <c r="K370" t="n">
        <v>0</v>
      </c>
      <c r="L370" t="n">
        <v>0</v>
      </c>
      <c r="M370" t="n">
        <v>0</v>
      </c>
      <c r="N370" t="n">
        <v>0</v>
      </c>
      <c r="O370" t="n">
        <v>0</v>
      </c>
      <c r="P370" t="n">
        <v>0</v>
      </c>
      <c r="Q370" t="n">
        <v>0</v>
      </c>
      <c r="R370" s="2" t="inlineStr"/>
    </row>
    <row r="371" ht="15" customHeight="1">
      <c r="A371" t="inlineStr">
        <is>
          <t>A 30719-2025</t>
        </is>
      </c>
      <c r="B371" s="1" t="n">
        <v>45831.56521990741</v>
      </c>
      <c r="C371" s="1" t="n">
        <v>45908</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19058-2024</t>
        </is>
      </c>
      <c r="B372" s="1" t="n">
        <v>45427.89121527778</v>
      </c>
      <c r="C372" s="1" t="n">
        <v>45908</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26636-2023</t>
        </is>
      </c>
      <c r="B373" s="1" t="n">
        <v>45092</v>
      </c>
      <c r="C373" s="1" t="n">
        <v>45908</v>
      </c>
      <c r="D373" t="inlineStr">
        <is>
          <t>STOCKHOLMS LÄN</t>
        </is>
      </c>
      <c r="E373" t="inlineStr">
        <is>
          <t>NORRTÄLJE</t>
        </is>
      </c>
      <c r="G373" t="n">
        <v>1.7</v>
      </c>
      <c r="H373" t="n">
        <v>0</v>
      </c>
      <c r="I373" t="n">
        <v>0</v>
      </c>
      <c r="J373" t="n">
        <v>0</v>
      </c>
      <c r="K373" t="n">
        <v>0</v>
      </c>
      <c r="L373" t="n">
        <v>0</v>
      </c>
      <c r="M373" t="n">
        <v>0</v>
      </c>
      <c r="N373" t="n">
        <v>0</v>
      </c>
      <c r="O373" t="n">
        <v>0</v>
      </c>
      <c r="P373" t="n">
        <v>0</v>
      </c>
      <c r="Q373" t="n">
        <v>0</v>
      </c>
      <c r="R373" s="2" t="inlineStr"/>
    </row>
    <row r="374" ht="15" customHeight="1">
      <c r="A374" t="inlineStr">
        <is>
          <t>A 26637-2023</t>
        </is>
      </c>
      <c r="B374" s="1" t="n">
        <v>45092</v>
      </c>
      <c r="C374" s="1" t="n">
        <v>45908</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64137-2021</t>
        </is>
      </c>
      <c r="B375" s="1" t="n">
        <v>44510.51422453704</v>
      </c>
      <c r="C375" s="1" t="n">
        <v>45908</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72704-2021</t>
        </is>
      </c>
      <c r="B376" s="1" t="n">
        <v>44546</v>
      </c>
      <c r="C376" s="1" t="n">
        <v>45908</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22416-2025</t>
        </is>
      </c>
      <c r="B377" s="1" t="n">
        <v>45786.55645833333</v>
      </c>
      <c r="C377" s="1" t="n">
        <v>45908</v>
      </c>
      <c r="D377" t="inlineStr">
        <is>
          <t>STOCKHOLMS LÄN</t>
        </is>
      </c>
      <c r="E377" t="inlineStr">
        <is>
          <t>NORRTÄLJE</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52743-2024</t>
        </is>
      </c>
      <c r="B378" s="1" t="n">
        <v>45610.47414351852</v>
      </c>
      <c r="C378" s="1" t="n">
        <v>45908</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16852-2024</t>
        </is>
      </c>
      <c r="B379" s="1" t="n">
        <v>45411.54768518519</v>
      </c>
      <c r="C379" s="1" t="n">
        <v>45908</v>
      </c>
      <c r="D379" t="inlineStr">
        <is>
          <t>STOCKHOLMS LÄN</t>
        </is>
      </c>
      <c r="E379" t="inlineStr">
        <is>
          <t>NORRTÄLJE</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58785-2024</t>
        </is>
      </c>
      <c r="B380" s="1" t="n">
        <v>45635.88849537037</v>
      </c>
      <c r="C380" s="1" t="n">
        <v>45908</v>
      </c>
      <c r="D380" t="inlineStr">
        <is>
          <t>STOCKHOLMS LÄN</t>
        </is>
      </c>
      <c r="E380" t="inlineStr">
        <is>
          <t>NORRTÄLJE</t>
        </is>
      </c>
      <c r="G380" t="n">
        <v>3.3</v>
      </c>
      <c r="H380" t="n">
        <v>0</v>
      </c>
      <c r="I380" t="n">
        <v>0</v>
      </c>
      <c r="J380" t="n">
        <v>0</v>
      </c>
      <c r="K380" t="n">
        <v>0</v>
      </c>
      <c r="L380" t="n">
        <v>0</v>
      </c>
      <c r="M380" t="n">
        <v>0</v>
      </c>
      <c r="N380" t="n">
        <v>0</v>
      </c>
      <c r="O380" t="n">
        <v>0</v>
      </c>
      <c r="P380" t="n">
        <v>0</v>
      </c>
      <c r="Q380" t="n">
        <v>0</v>
      </c>
      <c r="R380" s="2" t="inlineStr"/>
    </row>
    <row r="381" ht="15" customHeight="1">
      <c r="A381" t="inlineStr">
        <is>
          <t>A 2182-2022</t>
        </is>
      </c>
      <c r="B381" s="1" t="n">
        <v>44578</v>
      </c>
      <c r="C381" s="1" t="n">
        <v>45908</v>
      </c>
      <c r="D381" t="inlineStr">
        <is>
          <t>STOCKHOLMS LÄN</t>
        </is>
      </c>
      <c r="E381" t="inlineStr">
        <is>
          <t>NORRTÄLJE</t>
        </is>
      </c>
      <c r="G381" t="n">
        <v>7.2</v>
      </c>
      <c r="H381" t="n">
        <v>0</v>
      </c>
      <c r="I381" t="n">
        <v>0</v>
      </c>
      <c r="J381" t="n">
        <v>0</v>
      </c>
      <c r="K381" t="n">
        <v>0</v>
      </c>
      <c r="L381" t="n">
        <v>0</v>
      </c>
      <c r="M381" t="n">
        <v>0</v>
      </c>
      <c r="N381" t="n">
        <v>0</v>
      </c>
      <c r="O381" t="n">
        <v>0</v>
      </c>
      <c r="P381" t="n">
        <v>0</v>
      </c>
      <c r="Q381" t="n">
        <v>0</v>
      </c>
      <c r="R381" s="2" t="inlineStr"/>
    </row>
    <row r="382" ht="15" customHeight="1">
      <c r="A382" t="inlineStr">
        <is>
          <t>A 13268-2025</t>
        </is>
      </c>
      <c r="B382" s="1" t="n">
        <v>45735</v>
      </c>
      <c r="C382" s="1" t="n">
        <v>45908</v>
      </c>
      <c r="D382" t="inlineStr">
        <is>
          <t>STOCKHOLMS LÄN</t>
        </is>
      </c>
      <c r="E382" t="inlineStr">
        <is>
          <t>NORRTÄLJE</t>
        </is>
      </c>
      <c r="G382" t="n">
        <v>11.4</v>
      </c>
      <c r="H382" t="n">
        <v>0</v>
      </c>
      <c r="I382" t="n">
        <v>0</v>
      </c>
      <c r="J382" t="n">
        <v>0</v>
      </c>
      <c r="K382" t="n">
        <v>0</v>
      </c>
      <c r="L382" t="n">
        <v>0</v>
      </c>
      <c r="M382" t="n">
        <v>0</v>
      </c>
      <c r="N382" t="n">
        <v>0</v>
      </c>
      <c r="O382" t="n">
        <v>0</v>
      </c>
      <c r="P382" t="n">
        <v>0</v>
      </c>
      <c r="Q382" t="n">
        <v>0</v>
      </c>
      <c r="R382" s="2" t="inlineStr"/>
    </row>
    <row r="383" ht="15" customHeight="1">
      <c r="A383" t="inlineStr">
        <is>
          <t>A 8414-2025</t>
        </is>
      </c>
      <c r="B383" s="1" t="n">
        <v>45709.39361111111</v>
      </c>
      <c r="C383" s="1" t="n">
        <v>45908</v>
      </c>
      <c r="D383" t="inlineStr">
        <is>
          <t>STOCKHOLMS LÄN</t>
        </is>
      </c>
      <c r="E383" t="inlineStr">
        <is>
          <t>NORRTÄLJE</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58493-2020</t>
        </is>
      </c>
      <c r="B384" s="1" t="n">
        <v>44145</v>
      </c>
      <c r="C384" s="1" t="n">
        <v>45908</v>
      </c>
      <c r="D384" t="inlineStr">
        <is>
          <t>STOCKHOLMS LÄN</t>
        </is>
      </c>
      <c r="E384" t="inlineStr">
        <is>
          <t>NORRTÄLJE</t>
        </is>
      </c>
      <c r="G384" t="n">
        <v>2.8</v>
      </c>
      <c r="H384" t="n">
        <v>0</v>
      </c>
      <c r="I384" t="n">
        <v>0</v>
      </c>
      <c r="J384" t="n">
        <v>0</v>
      </c>
      <c r="K384" t="n">
        <v>0</v>
      </c>
      <c r="L384" t="n">
        <v>0</v>
      </c>
      <c r="M384" t="n">
        <v>0</v>
      </c>
      <c r="N384" t="n">
        <v>0</v>
      </c>
      <c r="O384" t="n">
        <v>0</v>
      </c>
      <c r="P384" t="n">
        <v>0</v>
      </c>
      <c r="Q384" t="n">
        <v>0</v>
      </c>
      <c r="R384" s="2" t="inlineStr"/>
    </row>
    <row r="385" ht="15" customHeight="1">
      <c r="A385" t="inlineStr">
        <is>
          <t>A 36625-2024</t>
        </is>
      </c>
      <c r="B385" s="1" t="n">
        <v>45537</v>
      </c>
      <c r="C385" s="1" t="n">
        <v>45908</v>
      </c>
      <c r="D385" t="inlineStr">
        <is>
          <t>STOCKHOLMS LÄN</t>
        </is>
      </c>
      <c r="E385" t="inlineStr">
        <is>
          <t>NORRTÄLJE</t>
        </is>
      </c>
      <c r="G385" t="n">
        <v>3.8</v>
      </c>
      <c r="H385" t="n">
        <v>0</v>
      </c>
      <c r="I385" t="n">
        <v>0</v>
      </c>
      <c r="J385" t="n">
        <v>0</v>
      </c>
      <c r="K385" t="n">
        <v>0</v>
      </c>
      <c r="L385" t="n">
        <v>0</v>
      </c>
      <c r="M385" t="n">
        <v>0</v>
      </c>
      <c r="N385" t="n">
        <v>0</v>
      </c>
      <c r="O385" t="n">
        <v>0</v>
      </c>
      <c r="P385" t="n">
        <v>0</v>
      </c>
      <c r="Q385" t="n">
        <v>0</v>
      </c>
      <c r="R385" s="2" t="inlineStr"/>
    </row>
    <row r="386" ht="15" customHeight="1">
      <c r="A386" t="inlineStr">
        <is>
          <t>A 44891-2023</t>
        </is>
      </c>
      <c r="B386" s="1" t="n">
        <v>45187</v>
      </c>
      <c r="C386" s="1" t="n">
        <v>45908</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12902-2024</t>
        </is>
      </c>
      <c r="B387" s="1" t="n">
        <v>45385.38146990741</v>
      </c>
      <c r="C387" s="1" t="n">
        <v>45908</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44032-2024</t>
        </is>
      </c>
      <c r="B388" s="1" t="n">
        <v>45572.57828703704</v>
      </c>
      <c r="C388" s="1" t="n">
        <v>45908</v>
      </c>
      <c r="D388" t="inlineStr">
        <is>
          <t>STOCKHOLMS LÄN</t>
        </is>
      </c>
      <c r="E388" t="inlineStr">
        <is>
          <t>NORRTÄLJE</t>
        </is>
      </c>
      <c r="G388" t="n">
        <v>8.6</v>
      </c>
      <c r="H388" t="n">
        <v>0</v>
      </c>
      <c r="I388" t="n">
        <v>0</v>
      </c>
      <c r="J388" t="n">
        <v>0</v>
      </c>
      <c r="K388" t="n">
        <v>0</v>
      </c>
      <c r="L388" t="n">
        <v>0</v>
      </c>
      <c r="M388" t="n">
        <v>0</v>
      </c>
      <c r="N388" t="n">
        <v>0</v>
      </c>
      <c r="O388" t="n">
        <v>0</v>
      </c>
      <c r="P388" t="n">
        <v>0</v>
      </c>
      <c r="Q388" t="n">
        <v>0</v>
      </c>
      <c r="R388" s="2" t="inlineStr"/>
    </row>
    <row r="389" ht="15" customHeight="1">
      <c r="A389" t="inlineStr">
        <is>
          <t>A 24563-2024</t>
        </is>
      </c>
      <c r="B389" s="1" t="n">
        <v>45460.44347222222</v>
      </c>
      <c r="C389" s="1" t="n">
        <v>45908</v>
      </c>
      <c r="D389" t="inlineStr">
        <is>
          <t>STOCKHOLMS LÄN</t>
        </is>
      </c>
      <c r="E389" t="inlineStr">
        <is>
          <t>NORRTÄLJE</t>
        </is>
      </c>
      <c r="G389" t="n">
        <v>1.9</v>
      </c>
      <c r="H389" t="n">
        <v>0</v>
      </c>
      <c r="I389" t="n">
        <v>0</v>
      </c>
      <c r="J389" t="n">
        <v>0</v>
      </c>
      <c r="K389" t="n">
        <v>0</v>
      </c>
      <c r="L389" t="n">
        <v>0</v>
      </c>
      <c r="M389" t="n">
        <v>0</v>
      </c>
      <c r="N389" t="n">
        <v>0</v>
      </c>
      <c r="O389" t="n">
        <v>0</v>
      </c>
      <c r="P389" t="n">
        <v>0</v>
      </c>
      <c r="Q389" t="n">
        <v>0</v>
      </c>
      <c r="R389" s="2" t="inlineStr"/>
    </row>
    <row r="390" ht="15" customHeight="1">
      <c r="A390" t="inlineStr">
        <is>
          <t>A 39237-2024</t>
        </is>
      </c>
      <c r="B390" s="1" t="n">
        <v>45549</v>
      </c>
      <c r="C390" s="1" t="n">
        <v>45908</v>
      </c>
      <c r="D390" t="inlineStr">
        <is>
          <t>STOCKHOLMS LÄN</t>
        </is>
      </c>
      <c r="E390" t="inlineStr">
        <is>
          <t>NORRTÄLJE</t>
        </is>
      </c>
      <c r="G390" t="n">
        <v>13.3</v>
      </c>
      <c r="H390" t="n">
        <v>0</v>
      </c>
      <c r="I390" t="n">
        <v>0</v>
      </c>
      <c r="J390" t="n">
        <v>0</v>
      </c>
      <c r="K390" t="n">
        <v>0</v>
      </c>
      <c r="L390" t="n">
        <v>0</v>
      </c>
      <c r="M390" t="n">
        <v>0</v>
      </c>
      <c r="N390" t="n">
        <v>0</v>
      </c>
      <c r="O390" t="n">
        <v>0</v>
      </c>
      <c r="P390" t="n">
        <v>0</v>
      </c>
      <c r="Q390" t="n">
        <v>0</v>
      </c>
      <c r="R390" s="2" t="inlineStr"/>
    </row>
    <row r="391" ht="15" customHeight="1">
      <c r="A391" t="inlineStr">
        <is>
          <t>A 45746-2024</t>
        </is>
      </c>
      <c r="B391" s="1" t="n">
        <v>45579</v>
      </c>
      <c r="C391" s="1" t="n">
        <v>45908</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8400-2024</t>
        </is>
      </c>
      <c r="B392" s="1" t="n">
        <v>45352.74090277778</v>
      </c>
      <c r="C392" s="1" t="n">
        <v>45908</v>
      </c>
      <c r="D392" t="inlineStr">
        <is>
          <t>STOCKHOLMS LÄN</t>
        </is>
      </c>
      <c r="E392" t="inlineStr">
        <is>
          <t>NORRTÄLJE</t>
        </is>
      </c>
      <c r="G392" t="n">
        <v>4.7</v>
      </c>
      <c r="H392" t="n">
        <v>0</v>
      </c>
      <c r="I392" t="n">
        <v>0</v>
      </c>
      <c r="J392" t="n">
        <v>0</v>
      </c>
      <c r="K392" t="n">
        <v>0</v>
      </c>
      <c r="L392" t="n">
        <v>0</v>
      </c>
      <c r="M392" t="n">
        <v>0</v>
      </c>
      <c r="N392" t="n">
        <v>0</v>
      </c>
      <c r="O392" t="n">
        <v>0</v>
      </c>
      <c r="P392" t="n">
        <v>0</v>
      </c>
      <c r="Q392" t="n">
        <v>0</v>
      </c>
      <c r="R392" s="2" t="inlineStr"/>
    </row>
    <row r="393" ht="15" customHeight="1">
      <c r="A393" t="inlineStr">
        <is>
          <t>A 55755-2023</t>
        </is>
      </c>
      <c r="B393" s="1" t="n">
        <v>45239</v>
      </c>
      <c r="C393" s="1" t="n">
        <v>45908</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11893-2024</t>
        </is>
      </c>
      <c r="B394" s="1" t="n">
        <v>45376.54115740741</v>
      </c>
      <c r="C394" s="1" t="n">
        <v>45908</v>
      </c>
      <c r="D394" t="inlineStr">
        <is>
          <t>STOCKHOLMS LÄN</t>
        </is>
      </c>
      <c r="E394" t="inlineStr">
        <is>
          <t>NORRTÄLJE</t>
        </is>
      </c>
      <c r="G394" t="n">
        <v>9.9</v>
      </c>
      <c r="H394" t="n">
        <v>0</v>
      </c>
      <c r="I394" t="n">
        <v>0</v>
      </c>
      <c r="J394" t="n">
        <v>0</v>
      </c>
      <c r="K394" t="n">
        <v>0</v>
      </c>
      <c r="L394" t="n">
        <v>0</v>
      </c>
      <c r="M394" t="n">
        <v>0</v>
      </c>
      <c r="N394" t="n">
        <v>0</v>
      </c>
      <c r="O394" t="n">
        <v>0</v>
      </c>
      <c r="P394" t="n">
        <v>0</v>
      </c>
      <c r="Q394" t="n">
        <v>0</v>
      </c>
      <c r="R394" s="2" t="inlineStr"/>
    </row>
    <row r="395" ht="15" customHeight="1">
      <c r="A395" t="inlineStr">
        <is>
          <t>A 7413-2024</t>
        </is>
      </c>
      <c r="B395" s="1" t="n">
        <v>45345.6059837963</v>
      </c>
      <c r="C395" s="1" t="n">
        <v>45908</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12251-2025</t>
        </is>
      </c>
      <c r="B396" s="1" t="n">
        <v>45729.60859953704</v>
      </c>
      <c r="C396" s="1" t="n">
        <v>45908</v>
      </c>
      <c r="D396" t="inlineStr">
        <is>
          <t>STOCKHOLMS LÄN</t>
        </is>
      </c>
      <c r="E396" t="inlineStr">
        <is>
          <t>NORRTÄLJE</t>
        </is>
      </c>
      <c r="F396" t="inlineStr">
        <is>
          <t>Holmen skog AB</t>
        </is>
      </c>
      <c r="G396" t="n">
        <v>5.9</v>
      </c>
      <c r="H396" t="n">
        <v>0</v>
      </c>
      <c r="I396" t="n">
        <v>0</v>
      </c>
      <c r="J396" t="n">
        <v>0</v>
      </c>
      <c r="K396" t="n">
        <v>0</v>
      </c>
      <c r="L396" t="n">
        <v>0</v>
      </c>
      <c r="M396" t="n">
        <v>0</v>
      </c>
      <c r="N396" t="n">
        <v>0</v>
      </c>
      <c r="O396" t="n">
        <v>0</v>
      </c>
      <c r="P396" t="n">
        <v>0</v>
      </c>
      <c r="Q396" t="n">
        <v>0</v>
      </c>
      <c r="R396" s="2" t="inlineStr"/>
    </row>
    <row r="397" ht="15" customHeight="1">
      <c r="A397" t="inlineStr">
        <is>
          <t>A 58863-2024</t>
        </is>
      </c>
      <c r="B397" s="1" t="n">
        <v>45636.41572916666</v>
      </c>
      <c r="C397" s="1" t="n">
        <v>45908</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50154-2024</t>
        </is>
      </c>
      <c r="B398" s="1" t="n">
        <v>45600.4558912037</v>
      </c>
      <c r="C398" s="1" t="n">
        <v>45908</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11122-2021</t>
        </is>
      </c>
      <c r="B399" s="1" t="n">
        <v>44260</v>
      </c>
      <c r="C399" s="1" t="n">
        <v>45908</v>
      </c>
      <c r="D399" t="inlineStr">
        <is>
          <t>STOCKHOLMS LÄN</t>
        </is>
      </c>
      <c r="E399" t="inlineStr">
        <is>
          <t>NORRTÄLJE</t>
        </is>
      </c>
      <c r="F399" t="inlineStr">
        <is>
          <t>Holmen skog AB</t>
        </is>
      </c>
      <c r="G399" t="n">
        <v>2.1</v>
      </c>
      <c r="H399" t="n">
        <v>0</v>
      </c>
      <c r="I399" t="n">
        <v>0</v>
      </c>
      <c r="J399" t="n">
        <v>0</v>
      </c>
      <c r="K399" t="n">
        <v>0</v>
      </c>
      <c r="L399" t="n">
        <v>0</v>
      </c>
      <c r="M399" t="n">
        <v>0</v>
      </c>
      <c r="N399" t="n">
        <v>0</v>
      </c>
      <c r="O399" t="n">
        <v>0</v>
      </c>
      <c r="P399" t="n">
        <v>0</v>
      </c>
      <c r="Q399" t="n">
        <v>0</v>
      </c>
      <c r="R399" s="2" t="inlineStr"/>
    </row>
    <row r="400" ht="15" customHeight="1">
      <c r="A400" t="inlineStr">
        <is>
          <t>A 11900-2024</t>
        </is>
      </c>
      <c r="B400" s="1" t="n">
        <v>45376.55484953704</v>
      </c>
      <c r="C400" s="1" t="n">
        <v>45908</v>
      </c>
      <c r="D400" t="inlineStr">
        <is>
          <t>STOCKHOLMS LÄN</t>
        </is>
      </c>
      <c r="E400" t="inlineStr">
        <is>
          <t>NORRTÄLJE</t>
        </is>
      </c>
      <c r="G400" t="n">
        <v>4.2</v>
      </c>
      <c r="H400" t="n">
        <v>0</v>
      </c>
      <c r="I400" t="n">
        <v>0</v>
      </c>
      <c r="J400" t="n">
        <v>0</v>
      </c>
      <c r="K400" t="n">
        <v>0</v>
      </c>
      <c r="L400" t="n">
        <v>0</v>
      </c>
      <c r="M400" t="n">
        <v>0</v>
      </c>
      <c r="N400" t="n">
        <v>0</v>
      </c>
      <c r="O400" t="n">
        <v>0</v>
      </c>
      <c r="P400" t="n">
        <v>0</v>
      </c>
      <c r="Q400" t="n">
        <v>0</v>
      </c>
      <c r="R400" s="2" t="inlineStr"/>
    </row>
    <row r="401" ht="15" customHeight="1">
      <c r="A401" t="inlineStr">
        <is>
          <t>A 17348-2024</t>
        </is>
      </c>
      <c r="B401" s="1" t="n">
        <v>45414.58650462963</v>
      </c>
      <c r="C401" s="1" t="n">
        <v>45908</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42867-2022</t>
        </is>
      </c>
      <c r="B402" s="1" t="n">
        <v>44832</v>
      </c>
      <c r="C402" s="1" t="n">
        <v>45908</v>
      </c>
      <c r="D402" t="inlineStr">
        <is>
          <t>STOCKHOLMS LÄN</t>
        </is>
      </c>
      <c r="E402" t="inlineStr">
        <is>
          <t>NORRTÄLJE</t>
        </is>
      </c>
      <c r="G402" t="n">
        <v>6.4</v>
      </c>
      <c r="H402" t="n">
        <v>0</v>
      </c>
      <c r="I402" t="n">
        <v>0</v>
      </c>
      <c r="J402" t="n">
        <v>0</v>
      </c>
      <c r="K402" t="n">
        <v>0</v>
      </c>
      <c r="L402" t="n">
        <v>0</v>
      </c>
      <c r="M402" t="n">
        <v>0</v>
      </c>
      <c r="N402" t="n">
        <v>0</v>
      </c>
      <c r="O402" t="n">
        <v>0</v>
      </c>
      <c r="P402" t="n">
        <v>0</v>
      </c>
      <c r="Q402" t="n">
        <v>0</v>
      </c>
      <c r="R402" s="2" t="inlineStr"/>
    </row>
    <row r="403" ht="15" customHeight="1">
      <c r="A403" t="inlineStr">
        <is>
          <t>A 13089-2022</t>
        </is>
      </c>
      <c r="B403" s="1" t="n">
        <v>44643</v>
      </c>
      <c r="C403" s="1" t="n">
        <v>45908</v>
      </c>
      <c r="D403" t="inlineStr">
        <is>
          <t>STOCKHOLMS LÄN</t>
        </is>
      </c>
      <c r="E403" t="inlineStr">
        <is>
          <t>NORRTÄLJE</t>
        </is>
      </c>
      <c r="G403" t="n">
        <v>4.5</v>
      </c>
      <c r="H403" t="n">
        <v>0</v>
      </c>
      <c r="I403" t="n">
        <v>0</v>
      </c>
      <c r="J403" t="n">
        <v>0</v>
      </c>
      <c r="K403" t="n">
        <v>0</v>
      </c>
      <c r="L403" t="n">
        <v>0</v>
      </c>
      <c r="M403" t="n">
        <v>0</v>
      </c>
      <c r="N403" t="n">
        <v>0</v>
      </c>
      <c r="O403" t="n">
        <v>0</v>
      </c>
      <c r="P403" t="n">
        <v>0</v>
      </c>
      <c r="Q403" t="n">
        <v>0</v>
      </c>
      <c r="R403" s="2" t="inlineStr"/>
    </row>
    <row r="404" ht="15" customHeight="1">
      <c r="A404" t="inlineStr">
        <is>
          <t>A 23749-2024</t>
        </is>
      </c>
      <c r="B404" s="1" t="n">
        <v>45455.33037037037</v>
      </c>
      <c r="C404" s="1" t="n">
        <v>45908</v>
      </c>
      <c r="D404" t="inlineStr">
        <is>
          <t>STOCKHOLMS LÄN</t>
        </is>
      </c>
      <c r="E404" t="inlineStr">
        <is>
          <t>NORRTÄLJE</t>
        </is>
      </c>
      <c r="G404" t="n">
        <v>0.6</v>
      </c>
      <c r="H404" t="n">
        <v>0</v>
      </c>
      <c r="I404" t="n">
        <v>0</v>
      </c>
      <c r="J404" t="n">
        <v>0</v>
      </c>
      <c r="K404" t="n">
        <v>0</v>
      </c>
      <c r="L404" t="n">
        <v>0</v>
      </c>
      <c r="M404" t="n">
        <v>0</v>
      </c>
      <c r="N404" t="n">
        <v>0</v>
      </c>
      <c r="O404" t="n">
        <v>0</v>
      </c>
      <c r="P404" t="n">
        <v>0</v>
      </c>
      <c r="Q404" t="n">
        <v>0</v>
      </c>
      <c r="R404" s="2" t="inlineStr"/>
    </row>
    <row r="405" ht="15" customHeight="1">
      <c r="A405" t="inlineStr">
        <is>
          <t>A 58277-2023</t>
        </is>
      </c>
      <c r="B405" s="1" t="n">
        <v>45245</v>
      </c>
      <c r="C405" s="1" t="n">
        <v>45908</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48145-2024</t>
        </is>
      </c>
      <c r="B406" s="1" t="n">
        <v>45589.6756712963</v>
      </c>
      <c r="C406" s="1" t="n">
        <v>45908</v>
      </c>
      <c r="D406" t="inlineStr">
        <is>
          <t>STOCKHOLMS LÄN</t>
        </is>
      </c>
      <c r="E406" t="inlineStr">
        <is>
          <t>NORRTÄLJE</t>
        </is>
      </c>
      <c r="G406" t="n">
        <v>3.4</v>
      </c>
      <c r="H406" t="n">
        <v>0</v>
      </c>
      <c r="I406" t="n">
        <v>0</v>
      </c>
      <c r="J406" t="n">
        <v>0</v>
      </c>
      <c r="K406" t="n">
        <v>0</v>
      </c>
      <c r="L406" t="n">
        <v>0</v>
      </c>
      <c r="M406" t="n">
        <v>0</v>
      </c>
      <c r="N406" t="n">
        <v>0</v>
      </c>
      <c r="O406" t="n">
        <v>0</v>
      </c>
      <c r="P406" t="n">
        <v>0</v>
      </c>
      <c r="Q406" t="n">
        <v>0</v>
      </c>
      <c r="R406" s="2" t="inlineStr"/>
    </row>
    <row r="407" ht="15" customHeight="1">
      <c r="A407" t="inlineStr">
        <is>
          <t>A 23998-2024</t>
        </is>
      </c>
      <c r="B407" s="1" t="n">
        <v>45456</v>
      </c>
      <c r="C407" s="1" t="n">
        <v>45908</v>
      </c>
      <c r="D407" t="inlineStr">
        <is>
          <t>STOCKHOLMS LÄN</t>
        </is>
      </c>
      <c r="E407" t="inlineStr">
        <is>
          <t>NORRTÄLJE</t>
        </is>
      </c>
      <c r="G407" t="n">
        <v>2.3</v>
      </c>
      <c r="H407" t="n">
        <v>0</v>
      </c>
      <c r="I407" t="n">
        <v>0</v>
      </c>
      <c r="J407" t="n">
        <v>0</v>
      </c>
      <c r="K407" t="n">
        <v>0</v>
      </c>
      <c r="L407" t="n">
        <v>0</v>
      </c>
      <c r="M407" t="n">
        <v>0</v>
      </c>
      <c r="N407" t="n">
        <v>0</v>
      </c>
      <c r="O407" t="n">
        <v>0</v>
      </c>
      <c r="P407" t="n">
        <v>0</v>
      </c>
      <c r="Q407" t="n">
        <v>0</v>
      </c>
      <c r="R407" s="2" t="inlineStr"/>
    </row>
    <row r="408" ht="15" customHeight="1">
      <c r="A408" t="inlineStr">
        <is>
          <t>A 32705-2022</t>
        </is>
      </c>
      <c r="B408" s="1" t="n">
        <v>44783</v>
      </c>
      <c r="C408" s="1" t="n">
        <v>45908</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47481-2024</t>
        </is>
      </c>
      <c r="B409" s="1" t="n">
        <v>45587</v>
      </c>
      <c r="C409" s="1" t="n">
        <v>45908</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15447-2023</t>
        </is>
      </c>
      <c r="B410" s="1" t="n">
        <v>45020</v>
      </c>
      <c r="C410" s="1" t="n">
        <v>45908</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57037-2022</t>
        </is>
      </c>
      <c r="B411" s="1" t="n">
        <v>44895</v>
      </c>
      <c r="C411" s="1" t="n">
        <v>45908</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11940-2023</t>
        </is>
      </c>
      <c r="B412" s="1" t="n">
        <v>44995</v>
      </c>
      <c r="C412" s="1" t="n">
        <v>45908</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2281-2024</t>
        </is>
      </c>
      <c r="B413" s="1" t="n">
        <v>45310.40628472222</v>
      </c>
      <c r="C413" s="1" t="n">
        <v>45908</v>
      </c>
      <c r="D413" t="inlineStr">
        <is>
          <t>STOCKHOLMS LÄN</t>
        </is>
      </c>
      <c r="E413" t="inlineStr">
        <is>
          <t>NORRTÄLJE</t>
        </is>
      </c>
      <c r="G413" t="n">
        <v>2.7</v>
      </c>
      <c r="H413" t="n">
        <v>0</v>
      </c>
      <c r="I413" t="n">
        <v>0</v>
      </c>
      <c r="J413" t="n">
        <v>0</v>
      </c>
      <c r="K413" t="n">
        <v>0</v>
      </c>
      <c r="L413" t="n">
        <v>0</v>
      </c>
      <c r="M413" t="n">
        <v>0</v>
      </c>
      <c r="N413" t="n">
        <v>0</v>
      </c>
      <c r="O413" t="n">
        <v>0</v>
      </c>
      <c r="P413" t="n">
        <v>0</v>
      </c>
      <c r="Q413" t="n">
        <v>0</v>
      </c>
      <c r="R413" s="2" t="inlineStr"/>
    </row>
    <row r="414" ht="15" customHeight="1">
      <c r="A414" t="inlineStr">
        <is>
          <t>A 60525-2022</t>
        </is>
      </c>
      <c r="B414" s="1" t="n">
        <v>44904</v>
      </c>
      <c r="C414" s="1" t="n">
        <v>45908</v>
      </c>
      <c r="D414" t="inlineStr">
        <is>
          <t>STOCKHOLMS LÄN</t>
        </is>
      </c>
      <c r="E414" t="inlineStr">
        <is>
          <t>NORRTÄLJE</t>
        </is>
      </c>
      <c r="G414" t="n">
        <v>13.4</v>
      </c>
      <c r="H414" t="n">
        <v>0</v>
      </c>
      <c r="I414" t="n">
        <v>0</v>
      </c>
      <c r="J414" t="n">
        <v>0</v>
      </c>
      <c r="K414" t="n">
        <v>0</v>
      </c>
      <c r="L414" t="n">
        <v>0</v>
      </c>
      <c r="M414" t="n">
        <v>0</v>
      </c>
      <c r="N414" t="n">
        <v>0</v>
      </c>
      <c r="O414" t="n">
        <v>0</v>
      </c>
      <c r="P414" t="n">
        <v>0</v>
      </c>
      <c r="Q414" t="n">
        <v>0</v>
      </c>
      <c r="R414" s="2" t="inlineStr"/>
    </row>
    <row r="415" ht="15" customHeight="1">
      <c r="A415" t="inlineStr">
        <is>
          <t>A 54358-2022</t>
        </is>
      </c>
      <c r="B415" s="1" t="n">
        <v>44882</v>
      </c>
      <c r="C415" s="1" t="n">
        <v>45908</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7903-2021</t>
        </is>
      </c>
      <c r="B416" s="1" t="n">
        <v>44243.33587962963</v>
      </c>
      <c r="C416" s="1" t="n">
        <v>45908</v>
      </c>
      <c r="D416" t="inlineStr">
        <is>
          <t>STOCKHOLMS LÄN</t>
        </is>
      </c>
      <c r="E416" t="inlineStr">
        <is>
          <t>NORRTÄLJE</t>
        </is>
      </c>
      <c r="G416" t="n">
        <v>3.5</v>
      </c>
      <c r="H416" t="n">
        <v>0</v>
      </c>
      <c r="I416" t="n">
        <v>0</v>
      </c>
      <c r="J416" t="n">
        <v>0</v>
      </c>
      <c r="K416" t="n">
        <v>0</v>
      </c>
      <c r="L416" t="n">
        <v>0</v>
      </c>
      <c r="M416" t="n">
        <v>0</v>
      </c>
      <c r="N416" t="n">
        <v>0</v>
      </c>
      <c r="O416" t="n">
        <v>0</v>
      </c>
      <c r="P416" t="n">
        <v>0</v>
      </c>
      <c r="Q416" t="n">
        <v>0</v>
      </c>
      <c r="R416" s="2" t="inlineStr"/>
    </row>
    <row r="417" ht="15" customHeight="1">
      <c r="A417" t="inlineStr">
        <is>
          <t>A 23263-2023</t>
        </is>
      </c>
      <c r="B417" s="1" t="n">
        <v>45075</v>
      </c>
      <c r="C417" s="1" t="n">
        <v>45908</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23264-2023</t>
        </is>
      </c>
      <c r="B418" s="1" t="n">
        <v>45075</v>
      </c>
      <c r="C418" s="1" t="n">
        <v>45908</v>
      </c>
      <c r="D418" t="inlineStr">
        <is>
          <t>STOCKHOLMS LÄN</t>
        </is>
      </c>
      <c r="E418" t="inlineStr">
        <is>
          <t>NORRTÄLJE</t>
        </is>
      </c>
      <c r="G418" t="n">
        <v>2.9</v>
      </c>
      <c r="H418" t="n">
        <v>0</v>
      </c>
      <c r="I418" t="n">
        <v>0</v>
      </c>
      <c r="J418" t="n">
        <v>0</v>
      </c>
      <c r="K418" t="n">
        <v>0</v>
      </c>
      <c r="L418" t="n">
        <v>0</v>
      </c>
      <c r="M418" t="n">
        <v>0</v>
      </c>
      <c r="N418" t="n">
        <v>0</v>
      </c>
      <c r="O418" t="n">
        <v>0</v>
      </c>
      <c r="P418" t="n">
        <v>0</v>
      </c>
      <c r="Q418" t="n">
        <v>0</v>
      </c>
      <c r="R418" s="2" t="inlineStr"/>
    </row>
    <row r="419" ht="15" customHeight="1">
      <c r="A419" t="inlineStr">
        <is>
          <t>A 23267-2023</t>
        </is>
      </c>
      <c r="B419" s="1" t="n">
        <v>45075.90934027778</v>
      </c>
      <c r="C419" s="1" t="n">
        <v>45908</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23269-2023</t>
        </is>
      </c>
      <c r="B420" s="1" t="n">
        <v>45075.91148148148</v>
      </c>
      <c r="C420" s="1" t="n">
        <v>45908</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39213-2022</t>
        </is>
      </c>
      <c r="B421" s="1" t="n">
        <v>44817.56120370371</v>
      </c>
      <c r="C421" s="1" t="n">
        <v>45908</v>
      </c>
      <c r="D421" t="inlineStr">
        <is>
          <t>STOCKHOLMS LÄN</t>
        </is>
      </c>
      <c r="E421" t="inlineStr">
        <is>
          <t>NORRTÄLJE</t>
        </is>
      </c>
      <c r="G421" t="n">
        <v>3.4</v>
      </c>
      <c r="H421" t="n">
        <v>0</v>
      </c>
      <c r="I421" t="n">
        <v>0</v>
      </c>
      <c r="J421" t="n">
        <v>0</v>
      </c>
      <c r="K421" t="n">
        <v>0</v>
      </c>
      <c r="L421" t="n">
        <v>0</v>
      </c>
      <c r="M421" t="n">
        <v>0</v>
      </c>
      <c r="N421" t="n">
        <v>0</v>
      </c>
      <c r="O421" t="n">
        <v>0</v>
      </c>
      <c r="P421" t="n">
        <v>0</v>
      </c>
      <c r="Q421" t="n">
        <v>0</v>
      </c>
      <c r="R421" s="2" t="inlineStr"/>
    </row>
    <row r="422" ht="15" customHeight="1">
      <c r="A422" t="inlineStr">
        <is>
          <t>A 19911-2025</t>
        </is>
      </c>
      <c r="B422" s="1" t="n">
        <v>45771</v>
      </c>
      <c r="C422" s="1" t="n">
        <v>45908</v>
      </c>
      <c r="D422" t="inlineStr">
        <is>
          <t>STOCKHOLMS LÄN</t>
        </is>
      </c>
      <c r="E422" t="inlineStr">
        <is>
          <t>NORRTÄLJE</t>
        </is>
      </c>
      <c r="G422" t="n">
        <v>1.4</v>
      </c>
      <c r="H422" t="n">
        <v>0</v>
      </c>
      <c r="I422" t="n">
        <v>0</v>
      </c>
      <c r="J422" t="n">
        <v>0</v>
      </c>
      <c r="K422" t="n">
        <v>0</v>
      </c>
      <c r="L422" t="n">
        <v>0</v>
      </c>
      <c r="M422" t="n">
        <v>0</v>
      </c>
      <c r="N422" t="n">
        <v>0</v>
      </c>
      <c r="O422" t="n">
        <v>0</v>
      </c>
      <c r="P422" t="n">
        <v>0</v>
      </c>
      <c r="Q422" t="n">
        <v>0</v>
      </c>
      <c r="R422" s="2" t="inlineStr"/>
    </row>
    <row r="423" ht="15" customHeight="1">
      <c r="A423" t="inlineStr">
        <is>
          <t>A 5831-2022</t>
        </is>
      </c>
      <c r="B423" s="1" t="n">
        <v>44596</v>
      </c>
      <c r="C423" s="1" t="n">
        <v>45908</v>
      </c>
      <c r="D423" t="inlineStr">
        <is>
          <t>STOCKHOLMS LÄN</t>
        </is>
      </c>
      <c r="E423" t="inlineStr">
        <is>
          <t>NORRTÄLJE</t>
        </is>
      </c>
      <c r="G423" t="n">
        <v>4.8</v>
      </c>
      <c r="H423" t="n">
        <v>0</v>
      </c>
      <c r="I423" t="n">
        <v>0</v>
      </c>
      <c r="J423" t="n">
        <v>0</v>
      </c>
      <c r="K423" t="n">
        <v>0</v>
      </c>
      <c r="L423" t="n">
        <v>0</v>
      </c>
      <c r="M423" t="n">
        <v>0</v>
      </c>
      <c r="N423" t="n">
        <v>0</v>
      </c>
      <c r="O423" t="n">
        <v>0</v>
      </c>
      <c r="P423" t="n">
        <v>0</v>
      </c>
      <c r="Q423" t="n">
        <v>0</v>
      </c>
      <c r="R423" s="2" t="inlineStr"/>
    </row>
    <row r="424" ht="15" customHeight="1">
      <c r="A424" t="inlineStr">
        <is>
          <t>A 5867-2022</t>
        </is>
      </c>
      <c r="B424" s="1" t="n">
        <v>44596.66335648148</v>
      </c>
      <c r="C424" s="1" t="n">
        <v>45908</v>
      </c>
      <c r="D424" t="inlineStr">
        <is>
          <t>STOCKHOLMS LÄN</t>
        </is>
      </c>
      <c r="E424" t="inlineStr">
        <is>
          <t>NORRTÄLJE</t>
        </is>
      </c>
      <c r="F424" t="inlineStr">
        <is>
          <t>Naturvårdsverket</t>
        </is>
      </c>
      <c r="G424" t="n">
        <v>1.6</v>
      </c>
      <c r="H424" t="n">
        <v>0</v>
      </c>
      <c r="I424" t="n">
        <v>0</v>
      </c>
      <c r="J424" t="n">
        <v>0</v>
      </c>
      <c r="K424" t="n">
        <v>0</v>
      </c>
      <c r="L424" t="n">
        <v>0</v>
      </c>
      <c r="M424" t="n">
        <v>0</v>
      </c>
      <c r="N424" t="n">
        <v>0</v>
      </c>
      <c r="O424" t="n">
        <v>0</v>
      </c>
      <c r="P424" t="n">
        <v>0</v>
      </c>
      <c r="Q424" t="n">
        <v>0</v>
      </c>
      <c r="R424" s="2" t="inlineStr"/>
    </row>
    <row r="425" ht="15" customHeight="1">
      <c r="A425" t="inlineStr">
        <is>
          <t>A 41976-2024</t>
        </is>
      </c>
      <c r="B425" s="1" t="n">
        <v>45561.62141203704</v>
      </c>
      <c r="C425" s="1" t="n">
        <v>45908</v>
      </c>
      <c r="D425" t="inlineStr">
        <is>
          <t>STOCKHOLMS LÄN</t>
        </is>
      </c>
      <c r="E425" t="inlineStr">
        <is>
          <t>NORRTÄLJE</t>
        </is>
      </c>
      <c r="G425" t="n">
        <v>2.5</v>
      </c>
      <c r="H425" t="n">
        <v>0</v>
      </c>
      <c r="I425" t="n">
        <v>0</v>
      </c>
      <c r="J425" t="n">
        <v>0</v>
      </c>
      <c r="K425" t="n">
        <v>0</v>
      </c>
      <c r="L425" t="n">
        <v>0</v>
      </c>
      <c r="M425" t="n">
        <v>0</v>
      </c>
      <c r="N425" t="n">
        <v>0</v>
      </c>
      <c r="O425" t="n">
        <v>0</v>
      </c>
      <c r="P425" t="n">
        <v>0</v>
      </c>
      <c r="Q425" t="n">
        <v>0</v>
      </c>
      <c r="R425" s="2" t="inlineStr"/>
    </row>
    <row r="426" ht="15" customHeight="1">
      <c r="A426" t="inlineStr">
        <is>
          <t>A 51325-2023</t>
        </is>
      </c>
      <c r="B426" s="1" t="n">
        <v>45219</v>
      </c>
      <c r="C426" s="1" t="n">
        <v>45908</v>
      </c>
      <c r="D426" t="inlineStr">
        <is>
          <t>STOCKHOLMS LÄN</t>
        </is>
      </c>
      <c r="E426" t="inlineStr">
        <is>
          <t>NORRTÄLJE</t>
        </is>
      </c>
      <c r="G426" t="n">
        <v>2.2</v>
      </c>
      <c r="H426" t="n">
        <v>0</v>
      </c>
      <c r="I426" t="n">
        <v>0</v>
      </c>
      <c r="J426" t="n">
        <v>0</v>
      </c>
      <c r="K426" t="n">
        <v>0</v>
      </c>
      <c r="L426" t="n">
        <v>0</v>
      </c>
      <c r="M426" t="n">
        <v>0</v>
      </c>
      <c r="N426" t="n">
        <v>0</v>
      </c>
      <c r="O426" t="n">
        <v>0</v>
      </c>
      <c r="P426" t="n">
        <v>0</v>
      </c>
      <c r="Q426" t="n">
        <v>0</v>
      </c>
      <c r="R426" s="2" t="inlineStr"/>
    </row>
    <row r="427" ht="15" customHeight="1">
      <c r="A427" t="inlineStr">
        <is>
          <t>A 20244-2025</t>
        </is>
      </c>
      <c r="B427" s="1" t="n">
        <v>45772.71221064815</v>
      </c>
      <c r="C427" s="1" t="n">
        <v>45908</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48633-2023</t>
        </is>
      </c>
      <c r="B428" s="1" t="n">
        <v>45208.58004629629</v>
      </c>
      <c r="C428" s="1" t="n">
        <v>45908</v>
      </c>
      <c r="D428" t="inlineStr">
        <is>
          <t>STOCKHOLMS LÄN</t>
        </is>
      </c>
      <c r="E428" t="inlineStr">
        <is>
          <t>NORRTÄLJE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59534-2024</t>
        </is>
      </c>
      <c r="B429" s="1" t="n">
        <v>45638.5987037037</v>
      </c>
      <c r="C429" s="1" t="n">
        <v>45908</v>
      </c>
      <c r="D429" t="inlineStr">
        <is>
          <t>STOCKHOLMS LÄN</t>
        </is>
      </c>
      <c r="E429" t="inlineStr">
        <is>
          <t>NORRTÄLJE</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31107-2022</t>
        </is>
      </c>
      <c r="B430" s="1" t="n">
        <v>44769.66864583334</v>
      </c>
      <c r="C430" s="1" t="n">
        <v>45908</v>
      </c>
      <c r="D430" t="inlineStr">
        <is>
          <t>STOCKHOLMS LÄN</t>
        </is>
      </c>
      <c r="E430" t="inlineStr">
        <is>
          <t>NORRTÄLJE</t>
        </is>
      </c>
      <c r="G430" t="n">
        <v>3.8</v>
      </c>
      <c r="H430" t="n">
        <v>0</v>
      </c>
      <c r="I430" t="n">
        <v>0</v>
      </c>
      <c r="J430" t="n">
        <v>0</v>
      </c>
      <c r="K430" t="n">
        <v>0</v>
      </c>
      <c r="L430" t="n">
        <v>0</v>
      </c>
      <c r="M430" t="n">
        <v>0</v>
      </c>
      <c r="N430" t="n">
        <v>0</v>
      </c>
      <c r="O430" t="n">
        <v>0</v>
      </c>
      <c r="P430" t="n">
        <v>0</v>
      </c>
      <c r="Q430" t="n">
        <v>0</v>
      </c>
      <c r="R430" s="2" t="inlineStr"/>
    </row>
    <row r="431" ht="15" customHeight="1">
      <c r="A431" t="inlineStr">
        <is>
          <t>A 13860-2023</t>
        </is>
      </c>
      <c r="B431" s="1" t="n">
        <v>45007</v>
      </c>
      <c r="C431" s="1" t="n">
        <v>45908</v>
      </c>
      <c r="D431" t="inlineStr">
        <is>
          <t>STOCKHOLMS LÄN</t>
        </is>
      </c>
      <c r="E431" t="inlineStr">
        <is>
          <t>NORRTÄLJE</t>
        </is>
      </c>
      <c r="G431" t="n">
        <v>1.6</v>
      </c>
      <c r="H431" t="n">
        <v>0</v>
      </c>
      <c r="I431" t="n">
        <v>0</v>
      </c>
      <c r="J431" t="n">
        <v>0</v>
      </c>
      <c r="K431" t="n">
        <v>0</v>
      </c>
      <c r="L431" t="n">
        <v>0</v>
      </c>
      <c r="M431" t="n">
        <v>0</v>
      </c>
      <c r="N431" t="n">
        <v>0</v>
      </c>
      <c r="O431" t="n">
        <v>0</v>
      </c>
      <c r="P431" t="n">
        <v>0</v>
      </c>
      <c r="Q431" t="n">
        <v>0</v>
      </c>
      <c r="R431" s="2" t="inlineStr"/>
    </row>
    <row r="432" ht="15" customHeight="1">
      <c r="A432" t="inlineStr">
        <is>
          <t>A 6855-2025</t>
        </is>
      </c>
      <c r="B432" s="1" t="n">
        <v>45700</v>
      </c>
      <c r="C432" s="1" t="n">
        <v>45908</v>
      </c>
      <c r="D432" t="inlineStr">
        <is>
          <t>STOCKHOLMS LÄN</t>
        </is>
      </c>
      <c r="E432" t="inlineStr">
        <is>
          <t>NORRTÄLJE</t>
        </is>
      </c>
      <c r="G432" t="n">
        <v>1.2</v>
      </c>
      <c r="H432" t="n">
        <v>0</v>
      </c>
      <c r="I432" t="n">
        <v>0</v>
      </c>
      <c r="J432" t="n">
        <v>0</v>
      </c>
      <c r="K432" t="n">
        <v>0</v>
      </c>
      <c r="L432" t="n">
        <v>0</v>
      </c>
      <c r="M432" t="n">
        <v>0</v>
      </c>
      <c r="N432" t="n">
        <v>0</v>
      </c>
      <c r="O432" t="n">
        <v>0</v>
      </c>
      <c r="P432" t="n">
        <v>0</v>
      </c>
      <c r="Q432" t="n">
        <v>0</v>
      </c>
      <c r="R432" s="2" t="inlineStr"/>
    </row>
    <row r="433" ht="15" customHeight="1">
      <c r="A433" t="inlineStr">
        <is>
          <t>A 39669-2024</t>
        </is>
      </c>
      <c r="B433" s="1" t="n">
        <v>45552.52827546297</v>
      </c>
      <c r="C433" s="1" t="n">
        <v>45908</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62998-2023</t>
        </is>
      </c>
      <c r="B434" s="1" t="n">
        <v>45272.64479166667</v>
      </c>
      <c r="C434" s="1" t="n">
        <v>45908</v>
      </c>
      <c r="D434" t="inlineStr">
        <is>
          <t>STOCKHOLMS LÄN</t>
        </is>
      </c>
      <c r="E434" t="inlineStr">
        <is>
          <t>NORRTÄLJE</t>
        </is>
      </c>
      <c r="G434" t="n">
        <v>16.3</v>
      </c>
      <c r="H434" t="n">
        <v>0</v>
      </c>
      <c r="I434" t="n">
        <v>0</v>
      </c>
      <c r="J434" t="n">
        <v>0</v>
      </c>
      <c r="K434" t="n">
        <v>0</v>
      </c>
      <c r="L434" t="n">
        <v>0</v>
      </c>
      <c r="M434" t="n">
        <v>0</v>
      </c>
      <c r="N434" t="n">
        <v>0</v>
      </c>
      <c r="O434" t="n">
        <v>0</v>
      </c>
      <c r="P434" t="n">
        <v>0</v>
      </c>
      <c r="Q434" t="n">
        <v>0</v>
      </c>
      <c r="R434" s="2" t="inlineStr"/>
    </row>
    <row r="435" ht="15" customHeight="1">
      <c r="A435" t="inlineStr">
        <is>
          <t>A 63015-2023</t>
        </is>
      </c>
      <c r="B435" s="1" t="n">
        <v>45272</v>
      </c>
      <c r="C435" s="1" t="n">
        <v>45908</v>
      </c>
      <c r="D435" t="inlineStr">
        <is>
          <t>STOCKHOLMS LÄN</t>
        </is>
      </c>
      <c r="E435" t="inlineStr">
        <is>
          <t>NORRTÄLJE</t>
        </is>
      </c>
      <c r="G435" t="n">
        <v>13.1</v>
      </c>
      <c r="H435" t="n">
        <v>0</v>
      </c>
      <c r="I435" t="n">
        <v>0</v>
      </c>
      <c r="J435" t="n">
        <v>0</v>
      </c>
      <c r="K435" t="n">
        <v>0</v>
      </c>
      <c r="L435" t="n">
        <v>0</v>
      </c>
      <c r="M435" t="n">
        <v>0</v>
      </c>
      <c r="N435" t="n">
        <v>0</v>
      </c>
      <c r="O435" t="n">
        <v>0</v>
      </c>
      <c r="P435" t="n">
        <v>0</v>
      </c>
      <c r="Q435" t="n">
        <v>0</v>
      </c>
      <c r="R435" s="2" t="inlineStr"/>
    </row>
    <row r="436" ht="15" customHeight="1">
      <c r="A436" t="inlineStr">
        <is>
          <t>A 13314-2025</t>
        </is>
      </c>
      <c r="B436" s="1" t="n">
        <v>45735.59287037037</v>
      </c>
      <c r="C436" s="1" t="n">
        <v>45908</v>
      </c>
      <c r="D436" t="inlineStr">
        <is>
          <t>STOCKHOLMS LÄN</t>
        </is>
      </c>
      <c r="E436" t="inlineStr">
        <is>
          <t>NORRTÄLJE</t>
        </is>
      </c>
      <c r="G436" t="n">
        <v>2.4</v>
      </c>
      <c r="H436" t="n">
        <v>0</v>
      </c>
      <c r="I436" t="n">
        <v>0</v>
      </c>
      <c r="J436" t="n">
        <v>0</v>
      </c>
      <c r="K436" t="n">
        <v>0</v>
      </c>
      <c r="L436" t="n">
        <v>0</v>
      </c>
      <c r="M436" t="n">
        <v>0</v>
      </c>
      <c r="N436" t="n">
        <v>0</v>
      </c>
      <c r="O436" t="n">
        <v>0</v>
      </c>
      <c r="P436" t="n">
        <v>0</v>
      </c>
      <c r="Q436" t="n">
        <v>0</v>
      </c>
      <c r="R436" s="2" t="inlineStr"/>
    </row>
    <row r="437" ht="15" customHeight="1">
      <c r="A437" t="inlineStr">
        <is>
          <t>A 27831-2024</t>
        </is>
      </c>
      <c r="B437" s="1" t="n">
        <v>45475.61896990741</v>
      </c>
      <c r="C437" s="1" t="n">
        <v>45908</v>
      </c>
      <c r="D437" t="inlineStr">
        <is>
          <t>STOCKHOLMS LÄN</t>
        </is>
      </c>
      <c r="E437" t="inlineStr">
        <is>
          <t>NORRTÄLJE</t>
        </is>
      </c>
      <c r="G437" t="n">
        <v>3.8</v>
      </c>
      <c r="H437" t="n">
        <v>0</v>
      </c>
      <c r="I437" t="n">
        <v>0</v>
      </c>
      <c r="J437" t="n">
        <v>0</v>
      </c>
      <c r="K437" t="n">
        <v>0</v>
      </c>
      <c r="L437" t="n">
        <v>0</v>
      </c>
      <c r="M437" t="n">
        <v>0</v>
      </c>
      <c r="N437" t="n">
        <v>0</v>
      </c>
      <c r="O437" t="n">
        <v>0</v>
      </c>
      <c r="P437" t="n">
        <v>0</v>
      </c>
      <c r="Q437" t="n">
        <v>0</v>
      </c>
      <c r="R437" s="2" t="inlineStr"/>
    </row>
    <row r="438" ht="15" customHeight="1">
      <c r="A438" t="inlineStr">
        <is>
          <t>A 34432-2021</t>
        </is>
      </c>
      <c r="B438" s="1" t="n">
        <v>44380.77346064815</v>
      </c>
      <c r="C438" s="1" t="n">
        <v>45908</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33175-2024</t>
        </is>
      </c>
      <c r="B439" s="1" t="n">
        <v>45518</v>
      </c>
      <c r="C439" s="1" t="n">
        <v>45908</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21803-2022</t>
        </is>
      </c>
      <c r="B440" s="1" t="n">
        <v>44708.67822916667</v>
      </c>
      <c r="C440" s="1" t="n">
        <v>45908</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20730-2024</t>
        </is>
      </c>
      <c r="B441" s="1" t="n">
        <v>45436</v>
      </c>
      <c r="C441" s="1" t="n">
        <v>45908</v>
      </c>
      <c r="D441" t="inlineStr">
        <is>
          <t>STOCKHOLMS LÄN</t>
        </is>
      </c>
      <c r="E441" t="inlineStr">
        <is>
          <t>NORRTÄLJE</t>
        </is>
      </c>
      <c r="G441" t="n">
        <v>7.3</v>
      </c>
      <c r="H441" t="n">
        <v>0</v>
      </c>
      <c r="I441" t="n">
        <v>0</v>
      </c>
      <c r="J441" t="n">
        <v>0</v>
      </c>
      <c r="K441" t="n">
        <v>0</v>
      </c>
      <c r="L441" t="n">
        <v>0</v>
      </c>
      <c r="M441" t="n">
        <v>0</v>
      </c>
      <c r="N441" t="n">
        <v>0</v>
      </c>
      <c r="O441" t="n">
        <v>0</v>
      </c>
      <c r="P441" t="n">
        <v>0</v>
      </c>
      <c r="Q441" t="n">
        <v>0</v>
      </c>
      <c r="R441" s="2" t="inlineStr"/>
    </row>
    <row r="442" ht="15" customHeight="1">
      <c r="A442" t="inlineStr">
        <is>
          <t>A 22359-2025</t>
        </is>
      </c>
      <c r="B442" s="1" t="n">
        <v>45786</v>
      </c>
      <c r="C442" s="1" t="n">
        <v>45908</v>
      </c>
      <c r="D442" t="inlineStr">
        <is>
          <t>STOCKHOLMS LÄN</t>
        </is>
      </c>
      <c r="E442" t="inlineStr">
        <is>
          <t>NORRTÄLJE</t>
        </is>
      </c>
      <c r="G442" t="n">
        <v>5</v>
      </c>
      <c r="H442" t="n">
        <v>0</v>
      </c>
      <c r="I442" t="n">
        <v>0</v>
      </c>
      <c r="J442" t="n">
        <v>0</v>
      </c>
      <c r="K442" t="n">
        <v>0</v>
      </c>
      <c r="L442" t="n">
        <v>0</v>
      </c>
      <c r="M442" t="n">
        <v>0</v>
      </c>
      <c r="N442" t="n">
        <v>0</v>
      </c>
      <c r="O442" t="n">
        <v>0</v>
      </c>
      <c r="P442" t="n">
        <v>0</v>
      </c>
      <c r="Q442" t="n">
        <v>0</v>
      </c>
      <c r="R442" s="2" t="inlineStr"/>
    </row>
    <row r="443" ht="15" customHeight="1">
      <c r="A443" t="inlineStr">
        <is>
          <t>A 43170-2023</t>
        </is>
      </c>
      <c r="B443" s="1" t="n">
        <v>45183</v>
      </c>
      <c r="C443" s="1" t="n">
        <v>45908</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9-2024</t>
        </is>
      </c>
      <c r="B444" s="1" t="n">
        <v>45293</v>
      </c>
      <c r="C444" s="1" t="n">
        <v>45908</v>
      </c>
      <c r="D444" t="inlineStr">
        <is>
          <t>STOCKHOLMS LÄN</t>
        </is>
      </c>
      <c r="E444" t="inlineStr">
        <is>
          <t>NORRTÄLJE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22832-2021</t>
        </is>
      </c>
      <c r="B445" s="1" t="n">
        <v>44325</v>
      </c>
      <c r="C445" s="1" t="n">
        <v>45908</v>
      </c>
      <c r="D445" t="inlineStr">
        <is>
          <t>STOCKHOLMS LÄN</t>
        </is>
      </c>
      <c r="E445" t="inlineStr">
        <is>
          <t>NORRTÄLJE</t>
        </is>
      </c>
      <c r="G445" t="n">
        <v>6.8</v>
      </c>
      <c r="H445" t="n">
        <v>0</v>
      </c>
      <c r="I445" t="n">
        <v>0</v>
      </c>
      <c r="J445" t="n">
        <v>0</v>
      </c>
      <c r="K445" t="n">
        <v>0</v>
      </c>
      <c r="L445" t="n">
        <v>0</v>
      </c>
      <c r="M445" t="n">
        <v>0</v>
      </c>
      <c r="N445" t="n">
        <v>0</v>
      </c>
      <c r="O445" t="n">
        <v>0</v>
      </c>
      <c r="P445" t="n">
        <v>0</v>
      </c>
      <c r="Q445" t="n">
        <v>0</v>
      </c>
      <c r="R445" s="2" t="inlineStr"/>
    </row>
    <row r="446" ht="15" customHeight="1">
      <c r="A446" t="inlineStr">
        <is>
          <t>A 12901-2024</t>
        </is>
      </c>
      <c r="B446" s="1" t="n">
        <v>45385.37922453704</v>
      </c>
      <c r="C446" s="1" t="n">
        <v>45908</v>
      </c>
      <c r="D446" t="inlineStr">
        <is>
          <t>STOCKHOLMS LÄN</t>
        </is>
      </c>
      <c r="E446" t="inlineStr">
        <is>
          <t>NORRTÄLJE</t>
        </is>
      </c>
      <c r="G446" t="n">
        <v>2.7</v>
      </c>
      <c r="H446" t="n">
        <v>0</v>
      </c>
      <c r="I446" t="n">
        <v>0</v>
      </c>
      <c r="J446" t="n">
        <v>0</v>
      </c>
      <c r="K446" t="n">
        <v>0</v>
      </c>
      <c r="L446" t="n">
        <v>0</v>
      </c>
      <c r="M446" t="n">
        <v>0</v>
      </c>
      <c r="N446" t="n">
        <v>0</v>
      </c>
      <c r="O446" t="n">
        <v>0</v>
      </c>
      <c r="P446" t="n">
        <v>0</v>
      </c>
      <c r="Q446" t="n">
        <v>0</v>
      </c>
      <c r="R446" s="2" t="inlineStr"/>
    </row>
    <row r="447" ht="15" customHeight="1">
      <c r="A447" t="inlineStr">
        <is>
          <t>A 8950-2025</t>
        </is>
      </c>
      <c r="B447" s="1" t="n">
        <v>45713</v>
      </c>
      <c r="C447" s="1" t="n">
        <v>45908</v>
      </c>
      <c r="D447" t="inlineStr">
        <is>
          <t>STOCKHOLMS LÄN</t>
        </is>
      </c>
      <c r="E447" t="inlineStr">
        <is>
          <t>NORRTÄLJE</t>
        </is>
      </c>
      <c r="F447" t="inlineStr">
        <is>
          <t>Övriga Aktiebolag</t>
        </is>
      </c>
      <c r="G447" t="n">
        <v>3.6</v>
      </c>
      <c r="H447" t="n">
        <v>0</v>
      </c>
      <c r="I447" t="n">
        <v>0</v>
      </c>
      <c r="J447" t="n">
        <v>0</v>
      </c>
      <c r="K447" t="n">
        <v>0</v>
      </c>
      <c r="L447" t="n">
        <v>0</v>
      </c>
      <c r="M447" t="n">
        <v>0</v>
      </c>
      <c r="N447" t="n">
        <v>0</v>
      </c>
      <c r="O447" t="n">
        <v>0</v>
      </c>
      <c r="P447" t="n">
        <v>0</v>
      </c>
      <c r="Q447" t="n">
        <v>0</v>
      </c>
      <c r="R447" s="2" t="inlineStr"/>
    </row>
    <row r="448" ht="15" customHeight="1">
      <c r="A448" t="inlineStr">
        <is>
          <t>A 16913-2025</t>
        </is>
      </c>
      <c r="B448" s="1" t="n">
        <v>45755.36583333334</v>
      </c>
      <c r="C448" s="1" t="n">
        <v>45908</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12301-2025</t>
        </is>
      </c>
      <c r="B449" s="1" t="n">
        <v>45729.7271875</v>
      </c>
      <c r="C449" s="1" t="n">
        <v>45908</v>
      </c>
      <c r="D449" t="inlineStr">
        <is>
          <t>STOCKHOLMS LÄN</t>
        </is>
      </c>
      <c r="E449" t="inlineStr">
        <is>
          <t>NORRTÄLJE</t>
        </is>
      </c>
      <c r="G449" t="n">
        <v>3.2</v>
      </c>
      <c r="H449" t="n">
        <v>0</v>
      </c>
      <c r="I449" t="n">
        <v>0</v>
      </c>
      <c r="J449" t="n">
        <v>0</v>
      </c>
      <c r="K449" t="n">
        <v>0</v>
      </c>
      <c r="L449" t="n">
        <v>0</v>
      </c>
      <c r="M449" t="n">
        <v>0</v>
      </c>
      <c r="N449" t="n">
        <v>0</v>
      </c>
      <c r="O449" t="n">
        <v>0</v>
      </c>
      <c r="P449" t="n">
        <v>0</v>
      </c>
      <c r="Q449" t="n">
        <v>0</v>
      </c>
      <c r="R449" s="2" t="inlineStr"/>
    </row>
    <row r="450" ht="15" customHeight="1">
      <c r="A450" t="inlineStr">
        <is>
          <t>A 4035-2023</t>
        </is>
      </c>
      <c r="B450" s="1" t="n">
        <v>44952.57989583333</v>
      </c>
      <c r="C450" s="1" t="n">
        <v>45908</v>
      </c>
      <c r="D450" t="inlineStr">
        <is>
          <t>STOCKHOLMS LÄN</t>
        </is>
      </c>
      <c r="E450" t="inlineStr">
        <is>
          <t>NORRTÄLJE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24350-2025</t>
        </is>
      </c>
      <c r="B451" s="1" t="n">
        <v>45797.58350694444</v>
      </c>
      <c r="C451" s="1" t="n">
        <v>45908</v>
      </c>
      <c r="D451" t="inlineStr">
        <is>
          <t>STOCKHOLMS LÄN</t>
        </is>
      </c>
      <c r="E451" t="inlineStr">
        <is>
          <t>NORRTÄLJE</t>
        </is>
      </c>
      <c r="G451" t="n">
        <v>4.5</v>
      </c>
      <c r="H451" t="n">
        <v>0</v>
      </c>
      <c r="I451" t="n">
        <v>0</v>
      </c>
      <c r="J451" t="n">
        <v>0</v>
      </c>
      <c r="K451" t="n">
        <v>0</v>
      </c>
      <c r="L451" t="n">
        <v>0</v>
      </c>
      <c r="M451" t="n">
        <v>0</v>
      </c>
      <c r="N451" t="n">
        <v>0</v>
      </c>
      <c r="O451" t="n">
        <v>0</v>
      </c>
      <c r="P451" t="n">
        <v>0</v>
      </c>
      <c r="Q451" t="n">
        <v>0</v>
      </c>
      <c r="R451" s="2" t="inlineStr"/>
    </row>
    <row r="452" ht="15" customHeight="1">
      <c r="A452" t="inlineStr">
        <is>
          <t>A 24351-2025</t>
        </is>
      </c>
      <c r="B452" s="1" t="n">
        <v>45797.58399305555</v>
      </c>
      <c r="C452" s="1" t="n">
        <v>45908</v>
      </c>
      <c r="D452" t="inlineStr">
        <is>
          <t>STOCKHOLMS LÄN</t>
        </is>
      </c>
      <c r="E452" t="inlineStr">
        <is>
          <t>NORRTÄLJE</t>
        </is>
      </c>
      <c r="G452" t="n">
        <v>1.5</v>
      </c>
      <c r="H452" t="n">
        <v>0</v>
      </c>
      <c r="I452" t="n">
        <v>0</v>
      </c>
      <c r="J452" t="n">
        <v>0</v>
      </c>
      <c r="K452" t="n">
        <v>0</v>
      </c>
      <c r="L452" t="n">
        <v>0</v>
      </c>
      <c r="M452" t="n">
        <v>0</v>
      </c>
      <c r="N452" t="n">
        <v>0</v>
      </c>
      <c r="O452" t="n">
        <v>0</v>
      </c>
      <c r="P452" t="n">
        <v>0</v>
      </c>
      <c r="Q452" t="n">
        <v>0</v>
      </c>
      <c r="R452" s="2" t="inlineStr"/>
    </row>
    <row r="453" ht="15" customHeight="1">
      <c r="A453" t="inlineStr">
        <is>
          <t>A 13283-2025</t>
        </is>
      </c>
      <c r="B453" s="1" t="n">
        <v>45735</v>
      </c>
      <c r="C453" s="1" t="n">
        <v>45908</v>
      </c>
      <c r="D453" t="inlineStr">
        <is>
          <t>STOCKHOLMS LÄN</t>
        </is>
      </c>
      <c r="E453" t="inlineStr">
        <is>
          <t>NORRTÄLJE</t>
        </is>
      </c>
      <c r="G453" t="n">
        <v>4.9</v>
      </c>
      <c r="H453" t="n">
        <v>0</v>
      </c>
      <c r="I453" t="n">
        <v>0</v>
      </c>
      <c r="J453" t="n">
        <v>0</v>
      </c>
      <c r="K453" t="n">
        <v>0</v>
      </c>
      <c r="L453" t="n">
        <v>0</v>
      </c>
      <c r="M453" t="n">
        <v>0</v>
      </c>
      <c r="N453" t="n">
        <v>0</v>
      </c>
      <c r="O453" t="n">
        <v>0</v>
      </c>
      <c r="P453" t="n">
        <v>0</v>
      </c>
      <c r="Q453" t="n">
        <v>0</v>
      </c>
      <c r="R453" s="2" t="inlineStr"/>
    </row>
    <row r="454" ht="15" customHeight="1">
      <c r="A454" t="inlineStr">
        <is>
          <t>A 23149-2024</t>
        </is>
      </c>
      <c r="B454" s="1" t="n">
        <v>45450.64208333333</v>
      </c>
      <c r="C454" s="1" t="n">
        <v>45908</v>
      </c>
      <c r="D454" t="inlineStr">
        <is>
          <t>STOCKHOLMS LÄN</t>
        </is>
      </c>
      <c r="E454" t="inlineStr">
        <is>
          <t>NORRTÄLJE</t>
        </is>
      </c>
      <c r="F454" t="inlineStr">
        <is>
          <t>Kommuner</t>
        </is>
      </c>
      <c r="G454" t="n">
        <v>1.3</v>
      </c>
      <c r="H454" t="n">
        <v>0</v>
      </c>
      <c r="I454" t="n">
        <v>0</v>
      </c>
      <c r="J454" t="n">
        <v>0</v>
      </c>
      <c r="K454" t="n">
        <v>0</v>
      </c>
      <c r="L454" t="n">
        <v>0</v>
      </c>
      <c r="M454" t="n">
        <v>0</v>
      </c>
      <c r="N454" t="n">
        <v>0</v>
      </c>
      <c r="O454" t="n">
        <v>0</v>
      </c>
      <c r="P454" t="n">
        <v>0</v>
      </c>
      <c r="Q454" t="n">
        <v>0</v>
      </c>
      <c r="R454" s="2" t="inlineStr"/>
    </row>
    <row r="455" ht="15" customHeight="1">
      <c r="A455" t="inlineStr">
        <is>
          <t>A 23151-2024</t>
        </is>
      </c>
      <c r="B455" s="1" t="n">
        <v>45450</v>
      </c>
      <c r="C455" s="1" t="n">
        <v>45908</v>
      </c>
      <c r="D455" t="inlineStr">
        <is>
          <t>STOCKHOLMS LÄN</t>
        </is>
      </c>
      <c r="E455" t="inlineStr">
        <is>
          <t>NORRTÄLJE</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33793-2022</t>
        </is>
      </c>
      <c r="B456" s="1" t="n">
        <v>44790</v>
      </c>
      <c r="C456" s="1" t="n">
        <v>45908</v>
      </c>
      <c r="D456" t="inlineStr">
        <is>
          <t>STOCKHOLMS LÄN</t>
        </is>
      </c>
      <c r="E456" t="inlineStr">
        <is>
          <t>NORRTÄLJE</t>
        </is>
      </c>
      <c r="G456" t="n">
        <v>1.5</v>
      </c>
      <c r="H456" t="n">
        <v>0</v>
      </c>
      <c r="I456" t="n">
        <v>0</v>
      </c>
      <c r="J456" t="n">
        <v>0</v>
      </c>
      <c r="K456" t="n">
        <v>0</v>
      </c>
      <c r="L456" t="n">
        <v>0</v>
      </c>
      <c r="M456" t="n">
        <v>0</v>
      </c>
      <c r="N456" t="n">
        <v>0</v>
      </c>
      <c r="O456" t="n">
        <v>0</v>
      </c>
      <c r="P456" t="n">
        <v>0</v>
      </c>
      <c r="Q456" t="n">
        <v>0</v>
      </c>
      <c r="R456" s="2" t="inlineStr"/>
    </row>
    <row r="457" ht="15" customHeight="1">
      <c r="A457" t="inlineStr">
        <is>
          <t>A 53600-2022</t>
        </is>
      </c>
      <c r="B457" s="1" t="n">
        <v>44879.70518518519</v>
      </c>
      <c r="C457" s="1" t="n">
        <v>45908</v>
      </c>
      <c r="D457" t="inlineStr">
        <is>
          <t>STOCKHOLMS LÄN</t>
        </is>
      </c>
      <c r="E457" t="inlineStr">
        <is>
          <t>NORRTÄLJE</t>
        </is>
      </c>
      <c r="G457" t="n">
        <v>4.3</v>
      </c>
      <c r="H457" t="n">
        <v>0</v>
      </c>
      <c r="I457" t="n">
        <v>0</v>
      </c>
      <c r="J457" t="n">
        <v>0</v>
      </c>
      <c r="K457" t="n">
        <v>0</v>
      </c>
      <c r="L457" t="n">
        <v>0</v>
      </c>
      <c r="M457" t="n">
        <v>0</v>
      </c>
      <c r="N457" t="n">
        <v>0</v>
      </c>
      <c r="O457" t="n">
        <v>0</v>
      </c>
      <c r="P457" t="n">
        <v>0</v>
      </c>
      <c r="Q457" t="n">
        <v>0</v>
      </c>
      <c r="R457" s="2" t="inlineStr"/>
    </row>
    <row r="458" ht="15" customHeight="1">
      <c r="A458" t="inlineStr">
        <is>
          <t>A 7697-2025</t>
        </is>
      </c>
      <c r="B458" s="1" t="n">
        <v>45706.40086805556</v>
      </c>
      <c r="C458" s="1" t="n">
        <v>45908</v>
      </c>
      <c r="D458" t="inlineStr">
        <is>
          <t>STOCKHOLMS LÄN</t>
        </is>
      </c>
      <c r="E458" t="inlineStr">
        <is>
          <t>NORRTÄLJE</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52001-2023</t>
        </is>
      </c>
      <c r="B459" s="1" t="n">
        <v>45223</v>
      </c>
      <c r="C459" s="1" t="n">
        <v>45908</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30221-2024</t>
        </is>
      </c>
      <c r="B460" s="1" t="n">
        <v>45490.45342592592</v>
      </c>
      <c r="C460" s="1" t="n">
        <v>45908</v>
      </c>
      <c r="D460" t="inlineStr">
        <is>
          <t>STOCKHOLMS LÄN</t>
        </is>
      </c>
      <c r="E460" t="inlineStr">
        <is>
          <t>NORRTÄLJE</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60185-2024</t>
        </is>
      </c>
      <c r="B461" s="1" t="n">
        <v>45642.64634259259</v>
      </c>
      <c r="C461" s="1" t="n">
        <v>45908</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48686-2023</t>
        </is>
      </c>
      <c r="B462" s="1" t="n">
        <v>45208</v>
      </c>
      <c r="C462" s="1" t="n">
        <v>45908</v>
      </c>
      <c r="D462" t="inlineStr">
        <is>
          <t>STOCKHOLMS LÄN</t>
        </is>
      </c>
      <c r="E462" t="inlineStr">
        <is>
          <t>NORRTÄLJE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48691-2023</t>
        </is>
      </c>
      <c r="B463" s="1" t="n">
        <v>45208</v>
      </c>
      <c r="C463" s="1" t="n">
        <v>45908</v>
      </c>
      <c r="D463" t="inlineStr">
        <is>
          <t>STOCKHOLMS LÄN</t>
        </is>
      </c>
      <c r="E463" t="inlineStr">
        <is>
          <t>NORRTÄLJE</t>
        </is>
      </c>
      <c r="G463" t="n">
        <v>5.8</v>
      </c>
      <c r="H463" t="n">
        <v>0</v>
      </c>
      <c r="I463" t="n">
        <v>0</v>
      </c>
      <c r="J463" t="n">
        <v>0</v>
      </c>
      <c r="K463" t="n">
        <v>0</v>
      </c>
      <c r="L463" t="n">
        <v>0</v>
      </c>
      <c r="M463" t="n">
        <v>0</v>
      </c>
      <c r="N463" t="n">
        <v>0</v>
      </c>
      <c r="O463" t="n">
        <v>0</v>
      </c>
      <c r="P463" t="n">
        <v>0</v>
      </c>
      <c r="Q463" t="n">
        <v>0</v>
      </c>
      <c r="R463" s="2" t="inlineStr"/>
    </row>
    <row r="464" ht="15" customHeight="1">
      <c r="A464" t="inlineStr">
        <is>
          <t>A 13-2024</t>
        </is>
      </c>
      <c r="B464" s="1" t="n">
        <v>45293.37263888889</v>
      </c>
      <c r="C464" s="1" t="n">
        <v>45908</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19-2024</t>
        </is>
      </c>
      <c r="B465" s="1" t="n">
        <v>45293</v>
      </c>
      <c r="C465" s="1" t="n">
        <v>45908</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24687-2025</t>
        </is>
      </c>
      <c r="B466" s="1" t="n">
        <v>45798.66767361111</v>
      </c>
      <c r="C466" s="1" t="n">
        <v>45908</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31559-2022</t>
        </is>
      </c>
      <c r="B467" s="1" t="n">
        <v>44775</v>
      </c>
      <c r="C467" s="1" t="n">
        <v>45908</v>
      </c>
      <c r="D467" t="inlineStr">
        <is>
          <t>STOCKHOLMS LÄN</t>
        </is>
      </c>
      <c r="E467" t="inlineStr">
        <is>
          <t>NORRTÄLJE</t>
        </is>
      </c>
      <c r="G467" t="n">
        <v>5.6</v>
      </c>
      <c r="H467" t="n">
        <v>0</v>
      </c>
      <c r="I467" t="n">
        <v>0</v>
      </c>
      <c r="J467" t="n">
        <v>0</v>
      </c>
      <c r="K467" t="n">
        <v>0</v>
      </c>
      <c r="L467" t="n">
        <v>0</v>
      </c>
      <c r="M467" t="n">
        <v>0</v>
      </c>
      <c r="N467" t="n">
        <v>0</v>
      </c>
      <c r="O467" t="n">
        <v>0</v>
      </c>
      <c r="P467" t="n">
        <v>0</v>
      </c>
      <c r="Q467" t="n">
        <v>0</v>
      </c>
      <c r="R467" s="2" t="inlineStr"/>
    </row>
    <row r="468" ht="15" customHeight="1">
      <c r="A468" t="inlineStr">
        <is>
          <t>A 24683-2025</t>
        </is>
      </c>
      <c r="B468" s="1" t="n">
        <v>45798.66104166667</v>
      </c>
      <c r="C468" s="1" t="n">
        <v>45908</v>
      </c>
      <c r="D468" t="inlineStr">
        <is>
          <t>STOCKHOLMS LÄN</t>
        </is>
      </c>
      <c r="E468" t="inlineStr">
        <is>
          <t>NORRTÄLJE</t>
        </is>
      </c>
      <c r="G468" t="n">
        <v>7.9</v>
      </c>
      <c r="H468" t="n">
        <v>0</v>
      </c>
      <c r="I468" t="n">
        <v>0</v>
      </c>
      <c r="J468" t="n">
        <v>0</v>
      </c>
      <c r="K468" t="n">
        <v>0</v>
      </c>
      <c r="L468" t="n">
        <v>0</v>
      </c>
      <c r="M468" t="n">
        <v>0</v>
      </c>
      <c r="N468" t="n">
        <v>0</v>
      </c>
      <c r="O468" t="n">
        <v>0</v>
      </c>
      <c r="P468" t="n">
        <v>0</v>
      </c>
      <c r="Q468" t="n">
        <v>0</v>
      </c>
      <c r="R468" s="2" t="inlineStr"/>
    </row>
    <row r="469" ht="15" customHeight="1">
      <c r="A469" t="inlineStr">
        <is>
          <t>A 8419-2025</t>
        </is>
      </c>
      <c r="B469" s="1" t="n">
        <v>45709.40231481481</v>
      </c>
      <c r="C469" s="1" t="n">
        <v>45908</v>
      </c>
      <c r="D469" t="inlineStr">
        <is>
          <t>STOCKHOLMS LÄN</t>
        </is>
      </c>
      <c r="E469" t="inlineStr">
        <is>
          <t>NORRTÄLJE</t>
        </is>
      </c>
      <c r="F469" t="inlineStr">
        <is>
          <t>Holmen skog AB</t>
        </is>
      </c>
      <c r="G469" t="n">
        <v>1.2</v>
      </c>
      <c r="H469" t="n">
        <v>0</v>
      </c>
      <c r="I469" t="n">
        <v>0</v>
      </c>
      <c r="J469" t="n">
        <v>0</v>
      </c>
      <c r="K469" t="n">
        <v>0</v>
      </c>
      <c r="L469" t="n">
        <v>0</v>
      </c>
      <c r="M469" t="n">
        <v>0</v>
      </c>
      <c r="N469" t="n">
        <v>0</v>
      </c>
      <c r="O469" t="n">
        <v>0</v>
      </c>
      <c r="P469" t="n">
        <v>0</v>
      </c>
      <c r="Q469" t="n">
        <v>0</v>
      </c>
      <c r="R469" s="2" t="inlineStr"/>
    </row>
    <row r="470" ht="15" customHeight="1">
      <c r="A470" t="inlineStr">
        <is>
          <t>A 21726-2022</t>
        </is>
      </c>
      <c r="B470" s="1" t="n">
        <v>44708</v>
      </c>
      <c r="C470" s="1" t="n">
        <v>45908</v>
      </c>
      <c r="D470" t="inlineStr">
        <is>
          <t>STOCKHOLMS LÄN</t>
        </is>
      </c>
      <c r="E470" t="inlineStr">
        <is>
          <t>NORRTÄLJE</t>
        </is>
      </c>
      <c r="G470" t="n">
        <v>0.2</v>
      </c>
      <c r="H470" t="n">
        <v>0</v>
      </c>
      <c r="I470" t="n">
        <v>0</v>
      </c>
      <c r="J470" t="n">
        <v>0</v>
      </c>
      <c r="K470" t="n">
        <v>0</v>
      </c>
      <c r="L470" t="n">
        <v>0</v>
      </c>
      <c r="M470" t="n">
        <v>0</v>
      </c>
      <c r="N470" t="n">
        <v>0</v>
      </c>
      <c r="O470" t="n">
        <v>0</v>
      </c>
      <c r="P470" t="n">
        <v>0</v>
      </c>
      <c r="Q470" t="n">
        <v>0</v>
      </c>
      <c r="R470" s="2" t="inlineStr"/>
    </row>
    <row r="471" ht="15" customHeight="1">
      <c r="A471" t="inlineStr">
        <is>
          <t>A 21739-2022</t>
        </is>
      </c>
      <c r="B471" s="1" t="n">
        <v>44708.36708333333</v>
      </c>
      <c r="C471" s="1" t="n">
        <v>45908</v>
      </c>
      <c r="D471" t="inlineStr">
        <is>
          <t>STOCKHOLMS LÄN</t>
        </is>
      </c>
      <c r="E471" t="inlineStr">
        <is>
          <t>NORRTÄLJE</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35210-2023</t>
        </is>
      </c>
      <c r="B472" s="1" t="n">
        <v>45145.63584490741</v>
      </c>
      <c r="C472" s="1" t="n">
        <v>45908</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66662-2020</t>
        </is>
      </c>
      <c r="B473" s="1" t="n">
        <v>44179</v>
      </c>
      <c r="C473" s="1" t="n">
        <v>45908</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35161-2022</t>
        </is>
      </c>
      <c r="B474" s="1" t="n">
        <v>44797</v>
      </c>
      <c r="C474" s="1" t="n">
        <v>45908</v>
      </c>
      <c r="D474" t="inlineStr">
        <is>
          <t>STOCKHOLMS LÄN</t>
        </is>
      </c>
      <c r="E474" t="inlineStr">
        <is>
          <t>NORRTÄLJE</t>
        </is>
      </c>
      <c r="G474" t="n">
        <v>6</v>
      </c>
      <c r="H474" t="n">
        <v>0</v>
      </c>
      <c r="I474" t="n">
        <v>0</v>
      </c>
      <c r="J474" t="n">
        <v>0</v>
      </c>
      <c r="K474" t="n">
        <v>0</v>
      </c>
      <c r="L474" t="n">
        <v>0</v>
      </c>
      <c r="M474" t="n">
        <v>0</v>
      </c>
      <c r="N474" t="n">
        <v>0</v>
      </c>
      <c r="O474" t="n">
        <v>0</v>
      </c>
      <c r="P474" t="n">
        <v>0</v>
      </c>
      <c r="Q474" t="n">
        <v>0</v>
      </c>
      <c r="R474" s="2" t="inlineStr"/>
    </row>
    <row r="475" ht="15" customHeight="1">
      <c r="A475" t="inlineStr">
        <is>
          <t>A 24638-2025</t>
        </is>
      </c>
      <c r="B475" s="1" t="n">
        <v>45798</v>
      </c>
      <c r="C475" s="1" t="n">
        <v>45908</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59767-2022</t>
        </is>
      </c>
      <c r="B476" s="1" t="n">
        <v>44900</v>
      </c>
      <c r="C476" s="1" t="n">
        <v>45908</v>
      </c>
      <c r="D476" t="inlineStr">
        <is>
          <t>STOCKHOLMS LÄN</t>
        </is>
      </c>
      <c r="E476" t="inlineStr">
        <is>
          <t>NORRTÄLJE</t>
        </is>
      </c>
      <c r="G476" t="n">
        <v>2.2</v>
      </c>
      <c r="H476" t="n">
        <v>0</v>
      </c>
      <c r="I476" t="n">
        <v>0</v>
      </c>
      <c r="J476" t="n">
        <v>0</v>
      </c>
      <c r="K476" t="n">
        <v>0</v>
      </c>
      <c r="L476" t="n">
        <v>0</v>
      </c>
      <c r="M476" t="n">
        <v>0</v>
      </c>
      <c r="N476" t="n">
        <v>0</v>
      </c>
      <c r="O476" t="n">
        <v>0</v>
      </c>
      <c r="P476" t="n">
        <v>0</v>
      </c>
      <c r="Q476" t="n">
        <v>0</v>
      </c>
      <c r="R476" s="2" t="inlineStr"/>
    </row>
    <row r="477" ht="15" customHeight="1">
      <c r="A477" t="inlineStr">
        <is>
          <t>A 5823-2023</t>
        </is>
      </c>
      <c r="B477" s="1" t="n">
        <v>44963</v>
      </c>
      <c r="C477" s="1" t="n">
        <v>45908</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19915-2024</t>
        </is>
      </c>
      <c r="B478" s="1" t="n">
        <v>45433.58431712963</v>
      </c>
      <c r="C478" s="1" t="n">
        <v>45908</v>
      </c>
      <c r="D478" t="inlineStr">
        <is>
          <t>STOCKHOLMS LÄN</t>
        </is>
      </c>
      <c r="E478" t="inlineStr">
        <is>
          <t>NORRTÄLJE</t>
        </is>
      </c>
      <c r="G478" t="n">
        <v>2</v>
      </c>
      <c r="H478" t="n">
        <v>0</v>
      </c>
      <c r="I478" t="n">
        <v>0</v>
      </c>
      <c r="J478" t="n">
        <v>0</v>
      </c>
      <c r="K478" t="n">
        <v>0</v>
      </c>
      <c r="L478" t="n">
        <v>0</v>
      </c>
      <c r="M478" t="n">
        <v>0</v>
      </c>
      <c r="N478" t="n">
        <v>0</v>
      </c>
      <c r="O478" t="n">
        <v>0</v>
      </c>
      <c r="P478" t="n">
        <v>0</v>
      </c>
      <c r="Q478" t="n">
        <v>0</v>
      </c>
      <c r="R478" s="2" t="inlineStr"/>
    </row>
    <row r="479" ht="15" customHeight="1">
      <c r="A479" t="inlineStr">
        <is>
          <t>A 58989-2021</t>
        </is>
      </c>
      <c r="B479" s="1" t="n">
        <v>44490.02482638889</v>
      </c>
      <c r="C479" s="1" t="n">
        <v>45908</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15217-2023</t>
        </is>
      </c>
      <c r="B480" s="1" t="n">
        <v>45019.28847222222</v>
      </c>
      <c r="C480" s="1" t="n">
        <v>45908</v>
      </c>
      <c r="D480" t="inlineStr">
        <is>
          <t>STOCKHOLMS LÄN</t>
        </is>
      </c>
      <c r="E480" t="inlineStr">
        <is>
          <t>NORRTÄLJE</t>
        </is>
      </c>
      <c r="G480" t="n">
        <v>3.6</v>
      </c>
      <c r="H480" t="n">
        <v>0</v>
      </c>
      <c r="I480" t="n">
        <v>0</v>
      </c>
      <c r="J480" t="n">
        <v>0</v>
      </c>
      <c r="K480" t="n">
        <v>0</v>
      </c>
      <c r="L480" t="n">
        <v>0</v>
      </c>
      <c r="M480" t="n">
        <v>0</v>
      </c>
      <c r="N480" t="n">
        <v>0</v>
      </c>
      <c r="O480" t="n">
        <v>0</v>
      </c>
      <c r="P480" t="n">
        <v>0</v>
      </c>
      <c r="Q480" t="n">
        <v>0</v>
      </c>
      <c r="R480" s="2" t="inlineStr"/>
    </row>
    <row r="481" ht="15" customHeight="1">
      <c r="A481" t="inlineStr">
        <is>
          <t>A 46988-2024</t>
        </is>
      </c>
      <c r="B481" s="1" t="n">
        <v>45586</v>
      </c>
      <c r="C481" s="1" t="n">
        <v>45908</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21529-2021</t>
        </is>
      </c>
      <c r="B482" s="1" t="n">
        <v>44321</v>
      </c>
      <c r="C482" s="1" t="n">
        <v>45908</v>
      </c>
      <c r="D482" t="inlineStr">
        <is>
          <t>STOCKHOLMS LÄN</t>
        </is>
      </c>
      <c r="E482" t="inlineStr">
        <is>
          <t>NORRTÄLJE</t>
        </is>
      </c>
      <c r="G482" t="n">
        <v>2.7</v>
      </c>
      <c r="H482" t="n">
        <v>0</v>
      </c>
      <c r="I482" t="n">
        <v>0</v>
      </c>
      <c r="J482" t="n">
        <v>0</v>
      </c>
      <c r="K482" t="n">
        <v>0</v>
      </c>
      <c r="L482" t="n">
        <v>0</v>
      </c>
      <c r="M482" t="n">
        <v>0</v>
      </c>
      <c r="N482" t="n">
        <v>0</v>
      </c>
      <c r="O482" t="n">
        <v>0</v>
      </c>
      <c r="P482" t="n">
        <v>0</v>
      </c>
      <c r="Q482" t="n">
        <v>0</v>
      </c>
      <c r="R482" s="2" t="inlineStr"/>
    </row>
    <row r="483" ht="15" customHeight="1">
      <c r="A483" t="inlineStr">
        <is>
          <t>A 13701-2022</t>
        </is>
      </c>
      <c r="B483" s="1" t="n">
        <v>44648</v>
      </c>
      <c r="C483" s="1" t="n">
        <v>45908</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50143-2023</t>
        </is>
      </c>
      <c r="B484" s="1" t="n">
        <v>45215</v>
      </c>
      <c r="C484" s="1" t="n">
        <v>45908</v>
      </c>
      <c r="D484" t="inlineStr">
        <is>
          <t>STOCKHOLMS LÄN</t>
        </is>
      </c>
      <c r="E484" t="inlineStr">
        <is>
          <t>NORRTÄLJE</t>
        </is>
      </c>
      <c r="G484" t="n">
        <v>10.3</v>
      </c>
      <c r="H484" t="n">
        <v>0</v>
      </c>
      <c r="I484" t="n">
        <v>0</v>
      </c>
      <c r="J484" t="n">
        <v>0</v>
      </c>
      <c r="K484" t="n">
        <v>0</v>
      </c>
      <c r="L484" t="n">
        <v>0</v>
      </c>
      <c r="M484" t="n">
        <v>0</v>
      </c>
      <c r="N484" t="n">
        <v>0</v>
      </c>
      <c r="O484" t="n">
        <v>0</v>
      </c>
      <c r="P484" t="n">
        <v>0</v>
      </c>
      <c r="Q484" t="n">
        <v>0</v>
      </c>
      <c r="R484" s="2" t="inlineStr"/>
    </row>
    <row r="485" ht="15" customHeight="1">
      <c r="A485" t="inlineStr">
        <is>
          <t>A 29176-2024</t>
        </is>
      </c>
      <c r="B485" s="1" t="n">
        <v>45482.53388888889</v>
      </c>
      <c r="C485" s="1" t="n">
        <v>45908</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36430-2024</t>
        </is>
      </c>
      <c r="B486" s="1" t="n">
        <v>45536</v>
      </c>
      <c r="C486" s="1" t="n">
        <v>45908</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14498-2024</t>
        </is>
      </c>
      <c r="B487" s="1" t="n">
        <v>45394.58778935186</v>
      </c>
      <c r="C487" s="1" t="n">
        <v>45908</v>
      </c>
      <c r="D487" t="inlineStr">
        <is>
          <t>STOCKHOLMS LÄN</t>
        </is>
      </c>
      <c r="E487" t="inlineStr">
        <is>
          <t>NORRTÄLJE</t>
        </is>
      </c>
      <c r="F487" t="inlineStr">
        <is>
          <t>Kyrkan</t>
        </is>
      </c>
      <c r="G487" t="n">
        <v>4</v>
      </c>
      <c r="H487" t="n">
        <v>0</v>
      </c>
      <c r="I487" t="n">
        <v>0</v>
      </c>
      <c r="J487" t="n">
        <v>0</v>
      </c>
      <c r="K487" t="n">
        <v>0</v>
      </c>
      <c r="L487" t="n">
        <v>0</v>
      </c>
      <c r="M487" t="n">
        <v>0</v>
      </c>
      <c r="N487" t="n">
        <v>0</v>
      </c>
      <c r="O487" t="n">
        <v>0</v>
      </c>
      <c r="P487" t="n">
        <v>0</v>
      </c>
      <c r="Q487" t="n">
        <v>0</v>
      </c>
      <c r="R487" s="2" t="inlineStr"/>
    </row>
    <row r="488" ht="15" customHeight="1">
      <c r="A488" t="inlineStr">
        <is>
          <t>A 48066-2020</t>
        </is>
      </c>
      <c r="B488" s="1" t="n">
        <v>44100</v>
      </c>
      <c r="C488" s="1" t="n">
        <v>45908</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51312-2023</t>
        </is>
      </c>
      <c r="B489" s="1" t="n">
        <v>45219.56697916667</v>
      </c>
      <c r="C489" s="1" t="n">
        <v>45908</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28603-2024</t>
        </is>
      </c>
      <c r="B490" s="1" t="n">
        <v>45478.42887731481</v>
      </c>
      <c r="C490" s="1" t="n">
        <v>45908</v>
      </c>
      <c r="D490" t="inlineStr">
        <is>
          <t>STOCKHOLMS LÄN</t>
        </is>
      </c>
      <c r="E490" t="inlineStr">
        <is>
          <t>NORRTÄLJE</t>
        </is>
      </c>
      <c r="G490" t="n">
        <v>5.6</v>
      </c>
      <c r="H490" t="n">
        <v>0</v>
      </c>
      <c r="I490" t="n">
        <v>0</v>
      </c>
      <c r="J490" t="n">
        <v>0</v>
      </c>
      <c r="K490" t="n">
        <v>0</v>
      </c>
      <c r="L490" t="n">
        <v>0</v>
      </c>
      <c r="M490" t="n">
        <v>0</v>
      </c>
      <c r="N490" t="n">
        <v>0</v>
      </c>
      <c r="O490" t="n">
        <v>0</v>
      </c>
      <c r="P490" t="n">
        <v>0</v>
      </c>
      <c r="Q490" t="n">
        <v>0</v>
      </c>
      <c r="R490" s="2" t="inlineStr"/>
    </row>
    <row r="491" ht="15" customHeight="1">
      <c r="A491" t="inlineStr">
        <is>
          <t>A 35640-2024</t>
        </is>
      </c>
      <c r="B491" s="1" t="n">
        <v>45531</v>
      </c>
      <c r="C491" s="1" t="n">
        <v>45908</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35647-2024</t>
        </is>
      </c>
      <c r="B492" s="1" t="n">
        <v>45532</v>
      </c>
      <c r="C492" s="1" t="n">
        <v>45908</v>
      </c>
      <c r="D492" t="inlineStr">
        <is>
          <t>STOCKHOLMS LÄN</t>
        </is>
      </c>
      <c r="E492" t="inlineStr">
        <is>
          <t>NORRTÄLJE</t>
        </is>
      </c>
      <c r="G492" t="n">
        <v>5.3</v>
      </c>
      <c r="H492" t="n">
        <v>0</v>
      </c>
      <c r="I492" t="n">
        <v>0</v>
      </c>
      <c r="J492" t="n">
        <v>0</v>
      </c>
      <c r="K492" t="n">
        <v>0</v>
      </c>
      <c r="L492" t="n">
        <v>0</v>
      </c>
      <c r="M492" t="n">
        <v>0</v>
      </c>
      <c r="N492" t="n">
        <v>0</v>
      </c>
      <c r="O492" t="n">
        <v>0</v>
      </c>
      <c r="P492" t="n">
        <v>0</v>
      </c>
      <c r="Q492" t="n">
        <v>0</v>
      </c>
      <c r="R492" s="2" t="inlineStr"/>
    </row>
    <row r="493" ht="15" customHeight="1">
      <c r="A493" t="inlineStr">
        <is>
          <t>A 24835-2025</t>
        </is>
      </c>
      <c r="B493" s="1" t="n">
        <v>45799</v>
      </c>
      <c r="C493" s="1" t="n">
        <v>45908</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14132-2025</t>
        </is>
      </c>
      <c r="B494" s="1" t="n">
        <v>45740.47550925926</v>
      </c>
      <c r="C494" s="1" t="n">
        <v>45908</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14133-2025</t>
        </is>
      </c>
      <c r="B495" s="1" t="n">
        <v>45740.47724537037</v>
      </c>
      <c r="C495" s="1" t="n">
        <v>45908</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8792-2025</t>
        </is>
      </c>
      <c r="B496" s="1" t="n">
        <v>45712</v>
      </c>
      <c r="C496" s="1" t="n">
        <v>45908</v>
      </c>
      <c r="D496" t="inlineStr">
        <is>
          <t>STOCKHOLMS LÄN</t>
        </is>
      </c>
      <c r="E496" t="inlineStr">
        <is>
          <t>NORRTÄLJE</t>
        </is>
      </c>
      <c r="F496" t="inlineStr">
        <is>
          <t>Övriga Aktiebolag</t>
        </is>
      </c>
      <c r="G496" t="n">
        <v>6.6</v>
      </c>
      <c r="H496" t="n">
        <v>0</v>
      </c>
      <c r="I496" t="n">
        <v>0</v>
      </c>
      <c r="J496" t="n">
        <v>0</v>
      </c>
      <c r="K496" t="n">
        <v>0</v>
      </c>
      <c r="L496" t="n">
        <v>0</v>
      </c>
      <c r="M496" t="n">
        <v>0</v>
      </c>
      <c r="N496" t="n">
        <v>0</v>
      </c>
      <c r="O496" t="n">
        <v>0</v>
      </c>
      <c r="P496" t="n">
        <v>0</v>
      </c>
      <c r="Q496" t="n">
        <v>0</v>
      </c>
      <c r="R496" s="2" t="inlineStr"/>
    </row>
    <row r="497" ht="15" customHeight="1">
      <c r="A497" t="inlineStr">
        <is>
          <t>A 43212-2022</t>
        </is>
      </c>
      <c r="B497" s="1" t="n">
        <v>44834.38636574074</v>
      </c>
      <c r="C497" s="1" t="n">
        <v>45908</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51653-2022</t>
        </is>
      </c>
      <c r="B498" s="1" t="n">
        <v>44867</v>
      </c>
      <c r="C498" s="1" t="n">
        <v>45908</v>
      </c>
      <c r="D498" t="inlineStr">
        <is>
          <t>STOCKHOLMS LÄN</t>
        </is>
      </c>
      <c r="E498" t="inlineStr">
        <is>
          <t>NORRTÄLJE</t>
        </is>
      </c>
      <c r="G498" t="n">
        <v>6.6</v>
      </c>
      <c r="H498" t="n">
        <v>0</v>
      </c>
      <c r="I498" t="n">
        <v>0</v>
      </c>
      <c r="J498" t="n">
        <v>0</v>
      </c>
      <c r="K498" t="n">
        <v>0</v>
      </c>
      <c r="L498" t="n">
        <v>0</v>
      </c>
      <c r="M498" t="n">
        <v>0</v>
      </c>
      <c r="N498" t="n">
        <v>0</v>
      </c>
      <c r="O498" t="n">
        <v>0</v>
      </c>
      <c r="P498" t="n">
        <v>0</v>
      </c>
      <c r="Q498" t="n">
        <v>0</v>
      </c>
      <c r="R498" s="2" t="inlineStr"/>
    </row>
    <row r="499" ht="15" customHeight="1">
      <c r="A499" t="inlineStr">
        <is>
          <t>A 24887-2023</t>
        </is>
      </c>
      <c r="B499" s="1" t="n">
        <v>45085</v>
      </c>
      <c r="C499" s="1" t="n">
        <v>45908</v>
      </c>
      <c r="D499" t="inlineStr">
        <is>
          <t>STOCKHOLMS LÄN</t>
        </is>
      </c>
      <c r="E499" t="inlineStr">
        <is>
          <t>NORRTÄLJE</t>
        </is>
      </c>
      <c r="G499" t="n">
        <v>13.9</v>
      </c>
      <c r="H499" t="n">
        <v>0</v>
      </c>
      <c r="I499" t="n">
        <v>0</v>
      </c>
      <c r="J499" t="n">
        <v>0</v>
      </c>
      <c r="K499" t="n">
        <v>0</v>
      </c>
      <c r="L499" t="n">
        <v>0</v>
      </c>
      <c r="M499" t="n">
        <v>0</v>
      </c>
      <c r="N499" t="n">
        <v>0</v>
      </c>
      <c r="O499" t="n">
        <v>0</v>
      </c>
      <c r="P499" t="n">
        <v>0</v>
      </c>
      <c r="Q499" t="n">
        <v>0</v>
      </c>
      <c r="R499" s="2" t="inlineStr"/>
    </row>
    <row r="500" ht="15" customHeight="1">
      <c r="A500" t="inlineStr">
        <is>
          <t>A 4860-2022</t>
        </is>
      </c>
      <c r="B500" s="1" t="n">
        <v>44592</v>
      </c>
      <c r="C500" s="1" t="n">
        <v>45908</v>
      </c>
      <c r="D500" t="inlineStr">
        <is>
          <t>STOCKHOLMS LÄN</t>
        </is>
      </c>
      <c r="E500" t="inlineStr">
        <is>
          <t>NORRTÄLJE</t>
        </is>
      </c>
      <c r="G500" t="n">
        <v>22.3</v>
      </c>
      <c r="H500" t="n">
        <v>0</v>
      </c>
      <c r="I500" t="n">
        <v>0</v>
      </c>
      <c r="J500" t="n">
        <v>0</v>
      </c>
      <c r="K500" t="n">
        <v>0</v>
      </c>
      <c r="L500" t="n">
        <v>0</v>
      </c>
      <c r="M500" t="n">
        <v>0</v>
      </c>
      <c r="N500" t="n">
        <v>0</v>
      </c>
      <c r="O500" t="n">
        <v>0</v>
      </c>
      <c r="P500" t="n">
        <v>0</v>
      </c>
      <c r="Q500" t="n">
        <v>0</v>
      </c>
      <c r="R500" s="2" t="inlineStr"/>
    </row>
    <row r="501" ht="15" customHeight="1">
      <c r="A501" t="inlineStr">
        <is>
          <t>A 24690-2025</t>
        </is>
      </c>
      <c r="B501" s="1" t="n">
        <v>45798.67082175926</v>
      </c>
      <c r="C501" s="1" t="n">
        <v>45908</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33279-2025</t>
        </is>
      </c>
      <c r="B502" s="1" t="n">
        <v>45840.70885416667</v>
      </c>
      <c r="C502" s="1" t="n">
        <v>45908</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4322-2023</t>
        </is>
      </c>
      <c r="B503" s="1" t="n">
        <v>44953.69298611111</v>
      </c>
      <c r="C503" s="1" t="n">
        <v>45908</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38612-2022</t>
        </is>
      </c>
      <c r="B504" s="1" t="n">
        <v>44813</v>
      </c>
      <c r="C504" s="1" t="n">
        <v>45908</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47259-2024</t>
        </is>
      </c>
      <c r="B505" s="1" t="n">
        <v>45586</v>
      </c>
      <c r="C505" s="1" t="n">
        <v>45908</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4326-2023</t>
        </is>
      </c>
      <c r="B506" s="1" t="n">
        <v>44953.70481481482</v>
      </c>
      <c r="C506" s="1" t="n">
        <v>45908</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54504-2024</t>
        </is>
      </c>
      <c r="B507" s="1" t="n">
        <v>45617.58453703704</v>
      </c>
      <c r="C507" s="1" t="n">
        <v>45908</v>
      </c>
      <c r="D507" t="inlineStr">
        <is>
          <t>STOCKHOLMS LÄN</t>
        </is>
      </c>
      <c r="E507" t="inlineStr">
        <is>
          <t>NORRTÄLJE</t>
        </is>
      </c>
      <c r="G507" t="n">
        <v>3.4</v>
      </c>
      <c r="H507" t="n">
        <v>0</v>
      </c>
      <c r="I507" t="n">
        <v>0</v>
      </c>
      <c r="J507" t="n">
        <v>0</v>
      </c>
      <c r="K507" t="n">
        <v>0</v>
      </c>
      <c r="L507" t="n">
        <v>0</v>
      </c>
      <c r="M507" t="n">
        <v>0</v>
      </c>
      <c r="N507" t="n">
        <v>0</v>
      </c>
      <c r="O507" t="n">
        <v>0</v>
      </c>
      <c r="P507" t="n">
        <v>0</v>
      </c>
      <c r="Q507" t="n">
        <v>0</v>
      </c>
      <c r="R507" s="2" t="inlineStr"/>
    </row>
    <row r="508" ht="15" customHeight="1">
      <c r="A508" t="inlineStr">
        <is>
          <t>A 25702-2025</t>
        </is>
      </c>
      <c r="B508" s="1" t="n">
        <v>45800</v>
      </c>
      <c r="C508" s="1" t="n">
        <v>45908</v>
      </c>
      <c r="D508" t="inlineStr">
        <is>
          <t>STOCKHOLMS LÄN</t>
        </is>
      </c>
      <c r="E508" t="inlineStr">
        <is>
          <t>NORRTÄLJE</t>
        </is>
      </c>
      <c r="G508" t="n">
        <v>5.3</v>
      </c>
      <c r="H508" t="n">
        <v>0</v>
      </c>
      <c r="I508" t="n">
        <v>0</v>
      </c>
      <c r="J508" t="n">
        <v>0</v>
      </c>
      <c r="K508" t="n">
        <v>0</v>
      </c>
      <c r="L508" t="n">
        <v>0</v>
      </c>
      <c r="M508" t="n">
        <v>0</v>
      </c>
      <c r="N508" t="n">
        <v>0</v>
      </c>
      <c r="O508" t="n">
        <v>0</v>
      </c>
      <c r="P508" t="n">
        <v>0</v>
      </c>
      <c r="Q508" t="n">
        <v>0</v>
      </c>
      <c r="R508" s="2" t="inlineStr"/>
    </row>
    <row r="509" ht="15" customHeight="1">
      <c r="A509" t="inlineStr">
        <is>
          <t>A 25712-2025</t>
        </is>
      </c>
      <c r="B509" s="1" t="n">
        <v>45803.69228009259</v>
      </c>
      <c r="C509" s="1" t="n">
        <v>45908</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25725-2025</t>
        </is>
      </c>
      <c r="B510" s="1" t="n">
        <v>45800</v>
      </c>
      <c r="C510" s="1" t="n">
        <v>45908</v>
      </c>
      <c r="D510" t="inlineStr">
        <is>
          <t>STOCKHOLMS LÄN</t>
        </is>
      </c>
      <c r="E510" t="inlineStr">
        <is>
          <t>NORRTÄLJE</t>
        </is>
      </c>
      <c r="G510" t="n">
        <v>5.2</v>
      </c>
      <c r="H510" t="n">
        <v>0</v>
      </c>
      <c r="I510" t="n">
        <v>0</v>
      </c>
      <c r="J510" t="n">
        <v>0</v>
      </c>
      <c r="K510" t="n">
        <v>0</v>
      </c>
      <c r="L510" t="n">
        <v>0</v>
      </c>
      <c r="M510" t="n">
        <v>0</v>
      </c>
      <c r="N510" t="n">
        <v>0</v>
      </c>
      <c r="O510" t="n">
        <v>0</v>
      </c>
      <c r="P510" t="n">
        <v>0</v>
      </c>
      <c r="Q510" t="n">
        <v>0</v>
      </c>
      <c r="R510" s="2" t="inlineStr"/>
    </row>
    <row r="511" ht="15" customHeight="1">
      <c r="A511" t="inlineStr">
        <is>
          <t>A 21745-2023</t>
        </is>
      </c>
      <c r="B511" s="1" t="n">
        <v>45065.55917824074</v>
      </c>
      <c r="C511" s="1" t="n">
        <v>45908</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21894-2023</t>
        </is>
      </c>
      <c r="B512" s="1" t="n">
        <v>45068.51783564815</v>
      </c>
      <c r="C512" s="1" t="n">
        <v>45908</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25733-2025</t>
        </is>
      </c>
      <c r="B513" s="1" t="n">
        <v>45800</v>
      </c>
      <c r="C513" s="1" t="n">
        <v>45908</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39238-2024</t>
        </is>
      </c>
      <c r="B514" s="1" t="n">
        <v>45549</v>
      </c>
      <c r="C514" s="1" t="n">
        <v>45908</v>
      </c>
      <c r="D514" t="inlineStr">
        <is>
          <t>STOCKHOLMS LÄN</t>
        </is>
      </c>
      <c r="E514" t="inlineStr">
        <is>
          <t>NORRTÄLJE</t>
        </is>
      </c>
      <c r="G514" t="n">
        <v>3.6</v>
      </c>
      <c r="H514" t="n">
        <v>0</v>
      </c>
      <c r="I514" t="n">
        <v>0</v>
      </c>
      <c r="J514" t="n">
        <v>0</v>
      </c>
      <c r="K514" t="n">
        <v>0</v>
      </c>
      <c r="L514" t="n">
        <v>0</v>
      </c>
      <c r="M514" t="n">
        <v>0</v>
      </c>
      <c r="N514" t="n">
        <v>0</v>
      </c>
      <c r="O514" t="n">
        <v>0</v>
      </c>
      <c r="P514" t="n">
        <v>0</v>
      </c>
      <c r="Q514" t="n">
        <v>0</v>
      </c>
      <c r="R514" s="2" t="inlineStr"/>
    </row>
    <row r="515" ht="15" customHeight="1">
      <c r="A515" t="inlineStr">
        <is>
          <t>A 13276-2022</t>
        </is>
      </c>
      <c r="B515" s="1" t="n">
        <v>44644</v>
      </c>
      <c r="C515" s="1" t="n">
        <v>45908</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38990-2022</t>
        </is>
      </c>
      <c r="B516" s="1" t="n">
        <v>44816</v>
      </c>
      <c r="C516" s="1" t="n">
        <v>45908</v>
      </c>
      <c r="D516" t="inlineStr">
        <is>
          <t>STOCKHOLMS LÄN</t>
        </is>
      </c>
      <c r="E516" t="inlineStr">
        <is>
          <t>NORRTÄLJE</t>
        </is>
      </c>
      <c r="G516" t="n">
        <v>5.7</v>
      </c>
      <c r="H516" t="n">
        <v>0</v>
      </c>
      <c r="I516" t="n">
        <v>0</v>
      </c>
      <c r="J516" t="n">
        <v>0</v>
      </c>
      <c r="K516" t="n">
        <v>0</v>
      </c>
      <c r="L516" t="n">
        <v>0</v>
      </c>
      <c r="M516" t="n">
        <v>0</v>
      </c>
      <c r="N516" t="n">
        <v>0</v>
      </c>
      <c r="O516" t="n">
        <v>0</v>
      </c>
      <c r="P516" t="n">
        <v>0</v>
      </c>
      <c r="Q516" t="n">
        <v>0</v>
      </c>
      <c r="R516" s="2" t="inlineStr"/>
    </row>
    <row r="517" ht="15" customHeight="1">
      <c r="A517" t="inlineStr">
        <is>
          <t>A 25571-2025</t>
        </is>
      </c>
      <c r="B517" s="1" t="n">
        <v>45803.4675</v>
      </c>
      <c r="C517" s="1" t="n">
        <v>45908</v>
      </c>
      <c r="D517" t="inlineStr">
        <is>
          <t>STOCKHOLMS LÄN</t>
        </is>
      </c>
      <c r="E517" t="inlineStr">
        <is>
          <t>NORRTÄLJE</t>
        </is>
      </c>
      <c r="G517" t="n">
        <v>5.4</v>
      </c>
      <c r="H517" t="n">
        <v>0</v>
      </c>
      <c r="I517" t="n">
        <v>0</v>
      </c>
      <c r="J517" t="n">
        <v>0</v>
      </c>
      <c r="K517" t="n">
        <v>0</v>
      </c>
      <c r="L517" t="n">
        <v>0</v>
      </c>
      <c r="M517" t="n">
        <v>0</v>
      </c>
      <c r="N517" t="n">
        <v>0</v>
      </c>
      <c r="O517" t="n">
        <v>0</v>
      </c>
      <c r="P517" t="n">
        <v>0</v>
      </c>
      <c r="Q517" t="n">
        <v>0</v>
      </c>
      <c r="R517" s="2" t="inlineStr"/>
    </row>
    <row r="518" ht="15" customHeight="1">
      <c r="A518" t="inlineStr">
        <is>
          <t>A 25721-2025</t>
        </is>
      </c>
      <c r="B518" s="1" t="n">
        <v>45800</v>
      </c>
      <c r="C518" s="1" t="n">
        <v>45908</v>
      </c>
      <c r="D518" t="inlineStr">
        <is>
          <t>STOCKHOLMS LÄN</t>
        </is>
      </c>
      <c r="E518" t="inlineStr">
        <is>
          <t>NORRTÄLJE</t>
        </is>
      </c>
      <c r="G518" t="n">
        <v>6</v>
      </c>
      <c r="H518" t="n">
        <v>0</v>
      </c>
      <c r="I518" t="n">
        <v>0</v>
      </c>
      <c r="J518" t="n">
        <v>0</v>
      </c>
      <c r="K518" t="n">
        <v>0</v>
      </c>
      <c r="L518" t="n">
        <v>0</v>
      </c>
      <c r="M518" t="n">
        <v>0</v>
      </c>
      <c r="N518" t="n">
        <v>0</v>
      </c>
      <c r="O518" t="n">
        <v>0</v>
      </c>
      <c r="P518" t="n">
        <v>0</v>
      </c>
      <c r="Q518" t="n">
        <v>0</v>
      </c>
      <c r="R518" s="2" t="inlineStr"/>
    </row>
    <row r="519" ht="15" customHeight="1">
      <c r="A519" t="inlineStr">
        <is>
          <t>A 17956-2025</t>
        </is>
      </c>
      <c r="B519" s="1" t="n">
        <v>45760.91174768518</v>
      </c>
      <c r="C519" s="1" t="n">
        <v>45908</v>
      </c>
      <c r="D519" t="inlineStr">
        <is>
          <t>STOCKHOLMS LÄN</t>
        </is>
      </c>
      <c r="E519" t="inlineStr">
        <is>
          <t>NORRTÄLJE</t>
        </is>
      </c>
      <c r="G519" t="n">
        <v>4.3</v>
      </c>
      <c r="H519" t="n">
        <v>0</v>
      </c>
      <c r="I519" t="n">
        <v>0</v>
      </c>
      <c r="J519" t="n">
        <v>0</v>
      </c>
      <c r="K519" t="n">
        <v>0</v>
      </c>
      <c r="L519" t="n">
        <v>0</v>
      </c>
      <c r="M519" t="n">
        <v>0</v>
      </c>
      <c r="N519" t="n">
        <v>0</v>
      </c>
      <c r="O519" t="n">
        <v>0</v>
      </c>
      <c r="P519" t="n">
        <v>0</v>
      </c>
      <c r="Q519" t="n">
        <v>0</v>
      </c>
      <c r="R519" s="2" t="inlineStr"/>
    </row>
    <row r="520" ht="15" customHeight="1">
      <c r="A520" t="inlineStr">
        <is>
          <t>A 875-2023</t>
        </is>
      </c>
      <c r="B520" s="1" t="n">
        <v>44931.65626157408</v>
      </c>
      <c r="C520" s="1" t="n">
        <v>45908</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31236-2022</t>
        </is>
      </c>
      <c r="B521" s="1" t="n">
        <v>44771</v>
      </c>
      <c r="C521" s="1" t="n">
        <v>45908</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8315-2025</t>
        </is>
      </c>
      <c r="B522" s="1" t="n">
        <v>45708.61761574074</v>
      </c>
      <c r="C522" s="1" t="n">
        <v>45908</v>
      </c>
      <c r="D522" t="inlineStr">
        <is>
          <t>STOCKHOLMS LÄN</t>
        </is>
      </c>
      <c r="E522" t="inlineStr">
        <is>
          <t>NORRTÄLJE</t>
        </is>
      </c>
      <c r="G522" t="n">
        <v>3.9</v>
      </c>
      <c r="H522" t="n">
        <v>0</v>
      </c>
      <c r="I522" t="n">
        <v>0</v>
      </c>
      <c r="J522" t="n">
        <v>0</v>
      </c>
      <c r="K522" t="n">
        <v>0</v>
      </c>
      <c r="L522" t="n">
        <v>0</v>
      </c>
      <c r="M522" t="n">
        <v>0</v>
      </c>
      <c r="N522" t="n">
        <v>0</v>
      </c>
      <c r="O522" t="n">
        <v>0</v>
      </c>
      <c r="P522" t="n">
        <v>0</v>
      </c>
      <c r="Q522" t="n">
        <v>0</v>
      </c>
      <c r="R522" s="2" t="inlineStr"/>
    </row>
    <row r="523" ht="15" customHeight="1">
      <c r="A523" t="inlineStr">
        <is>
          <t>A 31281-2022</t>
        </is>
      </c>
      <c r="B523" s="1" t="n">
        <v>44771</v>
      </c>
      <c r="C523" s="1" t="n">
        <v>45908</v>
      </c>
      <c r="D523" t="inlineStr">
        <is>
          <t>STOCKHOLMS LÄN</t>
        </is>
      </c>
      <c r="E523" t="inlineStr">
        <is>
          <t>NORRTÄLJE</t>
        </is>
      </c>
      <c r="F523" t="inlineStr">
        <is>
          <t>Holmen skog AB</t>
        </is>
      </c>
      <c r="G523" t="n">
        <v>5.2</v>
      </c>
      <c r="H523" t="n">
        <v>0</v>
      </c>
      <c r="I523" t="n">
        <v>0</v>
      </c>
      <c r="J523" t="n">
        <v>0</v>
      </c>
      <c r="K523" t="n">
        <v>0</v>
      </c>
      <c r="L523" t="n">
        <v>0</v>
      </c>
      <c r="M523" t="n">
        <v>0</v>
      </c>
      <c r="N523" t="n">
        <v>0</v>
      </c>
      <c r="O523" t="n">
        <v>0</v>
      </c>
      <c r="P523" t="n">
        <v>0</v>
      </c>
      <c r="Q523" t="n">
        <v>0</v>
      </c>
      <c r="R523" s="2" t="inlineStr"/>
    </row>
    <row r="524" ht="15" customHeight="1">
      <c r="A524" t="inlineStr">
        <is>
          <t>A 29841-2024</t>
        </is>
      </c>
      <c r="B524" s="1" t="n">
        <v>45485.60261574074</v>
      </c>
      <c r="C524" s="1" t="n">
        <v>45908</v>
      </c>
      <c r="D524" t="inlineStr">
        <is>
          <t>STOCKHOLMS LÄN</t>
        </is>
      </c>
      <c r="E524" t="inlineStr">
        <is>
          <t>NORRTÄLJE</t>
        </is>
      </c>
      <c r="G524" t="n">
        <v>15.9</v>
      </c>
      <c r="H524" t="n">
        <v>0</v>
      </c>
      <c r="I524" t="n">
        <v>0</v>
      </c>
      <c r="J524" t="n">
        <v>0</v>
      </c>
      <c r="K524" t="n">
        <v>0</v>
      </c>
      <c r="L524" t="n">
        <v>0</v>
      </c>
      <c r="M524" t="n">
        <v>0</v>
      </c>
      <c r="N524" t="n">
        <v>0</v>
      </c>
      <c r="O524" t="n">
        <v>0</v>
      </c>
      <c r="P524" t="n">
        <v>0</v>
      </c>
      <c r="Q524" t="n">
        <v>0</v>
      </c>
      <c r="R524" s="2" t="inlineStr"/>
    </row>
    <row r="525" ht="15" customHeight="1">
      <c r="A525" t="inlineStr">
        <is>
          <t>A 25697-2025</t>
        </is>
      </c>
      <c r="B525" s="1" t="n">
        <v>45803.66587962963</v>
      </c>
      <c r="C525" s="1" t="n">
        <v>45908</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41218-2024</t>
        </is>
      </c>
      <c r="B526" s="1" t="n">
        <v>45559.54706018518</v>
      </c>
      <c r="C526" s="1" t="n">
        <v>45908</v>
      </c>
      <c r="D526" t="inlineStr">
        <is>
          <t>STOCKHOLMS LÄN</t>
        </is>
      </c>
      <c r="E526" t="inlineStr">
        <is>
          <t>NORRTÄLJE</t>
        </is>
      </c>
      <c r="G526" t="n">
        <v>6</v>
      </c>
      <c r="H526" t="n">
        <v>0</v>
      </c>
      <c r="I526" t="n">
        <v>0</v>
      </c>
      <c r="J526" t="n">
        <v>0</v>
      </c>
      <c r="K526" t="n">
        <v>0</v>
      </c>
      <c r="L526" t="n">
        <v>0</v>
      </c>
      <c r="M526" t="n">
        <v>0</v>
      </c>
      <c r="N526" t="n">
        <v>0</v>
      </c>
      <c r="O526" t="n">
        <v>0</v>
      </c>
      <c r="P526" t="n">
        <v>0</v>
      </c>
      <c r="Q526" t="n">
        <v>0</v>
      </c>
      <c r="R526" s="2" t="inlineStr"/>
    </row>
    <row r="527" ht="15" customHeight="1">
      <c r="A527" t="inlineStr">
        <is>
          <t>A 28182-2022</t>
        </is>
      </c>
      <c r="B527" s="1" t="n">
        <v>44746.58530092592</v>
      </c>
      <c r="C527" s="1" t="n">
        <v>45908</v>
      </c>
      <c r="D527" t="inlineStr">
        <is>
          <t>STOCKHOLMS LÄN</t>
        </is>
      </c>
      <c r="E527" t="inlineStr">
        <is>
          <t>NORRTÄLJE</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34461-2023</t>
        </is>
      </c>
      <c r="B528" s="1" t="n">
        <v>45139</v>
      </c>
      <c r="C528" s="1" t="n">
        <v>45908</v>
      </c>
      <c r="D528" t="inlineStr">
        <is>
          <t>STOCKHOLMS LÄN</t>
        </is>
      </c>
      <c r="E528" t="inlineStr">
        <is>
          <t>NORRTÄLJE</t>
        </is>
      </c>
      <c r="G528" t="n">
        <v>1.4</v>
      </c>
      <c r="H528" t="n">
        <v>0</v>
      </c>
      <c r="I528" t="n">
        <v>0</v>
      </c>
      <c r="J528" t="n">
        <v>0</v>
      </c>
      <c r="K528" t="n">
        <v>0</v>
      </c>
      <c r="L528" t="n">
        <v>0</v>
      </c>
      <c r="M528" t="n">
        <v>0</v>
      </c>
      <c r="N528" t="n">
        <v>0</v>
      </c>
      <c r="O528" t="n">
        <v>0</v>
      </c>
      <c r="P528" t="n">
        <v>0</v>
      </c>
      <c r="Q528" t="n">
        <v>0</v>
      </c>
      <c r="R528" s="2" t="inlineStr"/>
    </row>
    <row r="529" ht="15" customHeight="1">
      <c r="A529" t="inlineStr">
        <is>
          <t>A 51046-2023</t>
        </is>
      </c>
      <c r="B529" s="1" t="n">
        <v>45218</v>
      </c>
      <c r="C529" s="1" t="n">
        <v>45908</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25709-2025</t>
        </is>
      </c>
      <c r="B530" s="1" t="n">
        <v>45800</v>
      </c>
      <c r="C530" s="1" t="n">
        <v>45908</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25270-2025</t>
        </is>
      </c>
      <c r="B531" s="1" t="n">
        <v>45800</v>
      </c>
      <c r="C531" s="1" t="n">
        <v>45908</v>
      </c>
      <c r="D531" t="inlineStr">
        <is>
          <t>STOCKHOLMS LÄN</t>
        </is>
      </c>
      <c r="E531" t="inlineStr">
        <is>
          <t>NORRTÄLJE</t>
        </is>
      </c>
      <c r="F531" t="inlineStr">
        <is>
          <t>Övriga Aktiebolag</t>
        </is>
      </c>
      <c r="G531" t="n">
        <v>30</v>
      </c>
      <c r="H531" t="n">
        <v>0</v>
      </c>
      <c r="I531" t="n">
        <v>0</v>
      </c>
      <c r="J531" t="n">
        <v>0</v>
      </c>
      <c r="K531" t="n">
        <v>0</v>
      </c>
      <c r="L531" t="n">
        <v>0</v>
      </c>
      <c r="M531" t="n">
        <v>0</v>
      </c>
      <c r="N531" t="n">
        <v>0</v>
      </c>
      <c r="O531" t="n">
        <v>0</v>
      </c>
      <c r="P531" t="n">
        <v>0</v>
      </c>
      <c r="Q531" t="n">
        <v>0</v>
      </c>
      <c r="R531" s="2" t="inlineStr"/>
    </row>
    <row r="532" ht="15" customHeight="1">
      <c r="A532" t="inlineStr">
        <is>
          <t>A 38449-2022</t>
        </is>
      </c>
      <c r="B532" s="1" t="n">
        <v>44813</v>
      </c>
      <c r="C532" s="1" t="n">
        <v>45908</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18665-2022</t>
        </is>
      </c>
      <c r="B533" s="1" t="n">
        <v>44687</v>
      </c>
      <c r="C533" s="1" t="n">
        <v>45908</v>
      </c>
      <c r="D533" t="inlineStr">
        <is>
          <t>STOCKHOLMS LÄN</t>
        </is>
      </c>
      <c r="E533" t="inlineStr">
        <is>
          <t>NORRTÄLJE</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34478-2025</t>
        </is>
      </c>
      <c r="B534" s="1" t="n">
        <v>45847.37414351852</v>
      </c>
      <c r="C534" s="1" t="n">
        <v>45908</v>
      </c>
      <c r="D534" t="inlineStr">
        <is>
          <t>STOCKHOLMS LÄN</t>
        </is>
      </c>
      <c r="E534" t="inlineStr">
        <is>
          <t>NORRTÄLJE</t>
        </is>
      </c>
      <c r="F534" t="inlineStr">
        <is>
          <t>Övriga Aktiebolag</t>
        </is>
      </c>
      <c r="G534" t="n">
        <v>10.8</v>
      </c>
      <c r="H534" t="n">
        <v>0</v>
      </c>
      <c r="I534" t="n">
        <v>0</v>
      </c>
      <c r="J534" t="n">
        <v>0</v>
      </c>
      <c r="K534" t="n">
        <v>0</v>
      </c>
      <c r="L534" t="n">
        <v>0</v>
      </c>
      <c r="M534" t="n">
        <v>0</v>
      </c>
      <c r="N534" t="n">
        <v>0</v>
      </c>
      <c r="O534" t="n">
        <v>0</v>
      </c>
      <c r="P534" t="n">
        <v>0</v>
      </c>
      <c r="Q534" t="n">
        <v>0</v>
      </c>
      <c r="R534" s="2" t="inlineStr"/>
    </row>
    <row r="535" ht="15" customHeight="1">
      <c r="A535" t="inlineStr">
        <is>
          <t>A 58302-2022</t>
        </is>
      </c>
      <c r="B535" s="1" t="n">
        <v>44901</v>
      </c>
      <c r="C535" s="1" t="n">
        <v>45908</v>
      </c>
      <c r="D535" t="inlineStr">
        <is>
          <t>STOCKHOLMS LÄN</t>
        </is>
      </c>
      <c r="E535" t="inlineStr">
        <is>
          <t>NORRTÄLJE</t>
        </is>
      </c>
      <c r="G535" t="n">
        <v>3.9</v>
      </c>
      <c r="H535" t="n">
        <v>0</v>
      </c>
      <c r="I535" t="n">
        <v>0</v>
      </c>
      <c r="J535" t="n">
        <v>0</v>
      </c>
      <c r="K535" t="n">
        <v>0</v>
      </c>
      <c r="L535" t="n">
        <v>0</v>
      </c>
      <c r="M535" t="n">
        <v>0</v>
      </c>
      <c r="N535" t="n">
        <v>0</v>
      </c>
      <c r="O535" t="n">
        <v>0</v>
      </c>
      <c r="P535" t="n">
        <v>0</v>
      </c>
      <c r="Q535" t="n">
        <v>0</v>
      </c>
      <c r="R535" s="2" t="inlineStr"/>
    </row>
    <row r="536" ht="15" customHeight="1">
      <c r="A536" t="inlineStr">
        <is>
          <t>A 63824-2020</t>
        </is>
      </c>
      <c r="B536" s="1" t="n">
        <v>44162</v>
      </c>
      <c r="C536" s="1" t="n">
        <v>45908</v>
      </c>
      <c r="D536" t="inlineStr">
        <is>
          <t>STOCKHOLMS LÄN</t>
        </is>
      </c>
      <c r="E536" t="inlineStr">
        <is>
          <t>NORRTÄLJE</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29369-2024</t>
        </is>
      </c>
      <c r="B537" s="1" t="n">
        <v>45483.57244212963</v>
      </c>
      <c r="C537" s="1" t="n">
        <v>45908</v>
      </c>
      <c r="D537" t="inlineStr">
        <is>
          <t>STOCKHOLMS LÄN</t>
        </is>
      </c>
      <c r="E537" t="inlineStr">
        <is>
          <t>NORRTÄLJE</t>
        </is>
      </c>
      <c r="G537" t="n">
        <v>15.9</v>
      </c>
      <c r="H537" t="n">
        <v>0</v>
      </c>
      <c r="I537" t="n">
        <v>0</v>
      </c>
      <c r="J537" t="n">
        <v>0</v>
      </c>
      <c r="K537" t="n">
        <v>0</v>
      </c>
      <c r="L537" t="n">
        <v>0</v>
      </c>
      <c r="M537" t="n">
        <v>0</v>
      </c>
      <c r="N537" t="n">
        <v>0</v>
      </c>
      <c r="O537" t="n">
        <v>0</v>
      </c>
      <c r="P537" t="n">
        <v>0</v>
      </c>
      <c r="Q537" t="n">
        <v>0</v>
      </c>
      <c r="R537" s="2" t="inlineStr"/>
    </row>
    <row r="538" ht="15" customHeight="1">
      <c r="A538" t="inlineStr">
        <is>
          <t>A 17382-2024</t>
        </is>
      </c>
      <c r="B538" s="1" t="n">
        <v>45414.65855324074</v>
      </c>
      <c r="C538" s="1" t="n">
        <v>45908</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53561-2023</t>
        </is>
      </c>
      <c r="B539" s="1" t="n">
        <v>45224</v>
      </c>
      <c r="C539" s="1" t="n">
        <v>45908</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6070-2022</t>
        </is>
      </c>
      <c r="B540" s="1" t="n">
        <v>44599.58428240741</v>
      </c>
      <c r="C540" s="1" t="n">
        <v>45908</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17039-2024</t>
        </is>
      </c>
      <c r="B541" s="1" t="n">
        <v>45412.4104050926</v>
      </c>
      <c r="C541" s="1" t="n">
        <v>45908</v>
      </c>
      <c r="D541" t="inlineStr">
        <is>
          <t>STOCKHOLMS LÄN</t>
        </is>
      </c>
      <c r="E541" t="inlineStr">
        <is>
          <t>NORRTÄLJE</t>
        </is>
      </c>
      <c r="G541" t="n">
        <v>5.9</v>
      </c>
      <c r="H541" t="n">
        <v>0</v>
      </c>
      <c r="I541" t="n">
        <v>0</v>
      </c>
      <c r="J541" t="n">
        <v>0</v>
      </c>
      <c r="K541" t="n">
        <v>0</v>
      </c>
      <c r="L541" t="n">
        <v>0</v>
      </c>
      <c r="M541" t="n">
        <v>0</v>
      </c>
      <c r="N541" t="n">
        <v>0</v>
      </c>
      <c r="O541" t="n">
        <v>0</v>
      </c>
      <c r="P541" t="n">
        <v>0</v>
      </c>
      <c r="Q541" t="n">
        <v>0</v>
      </c>
      <c r="R541" s="2" t="inlineStr"/>
    </row>
    <row r="542" ht="15" customHeight="1">
      <c r="A542" t="inlineStr">
        <is>
          <t>A 38591-2023</t>
        </is>
      </c>
      <c r="B542" s="1" t="n">
        <v>45162</v>
      </c>
      <c r="C542" s="1" t="n">
        <v>45908</v>
      </c>
      <c r="D542" t="inlineStr">
        <is>
          <t>STOCKHOLMS LÄN</t>
        </is>
      </c>
      <c r="E542" t="inlineStr">
        <is>
          <t>NORRTÄLJE</t>
        </is>
      </c>
      <c r="F542" t="inlineStr">
        <is>
          <t>Övriga Aktiebolag</t>
        </is>
      </c>
      <c r="G542" t="n">
        <v>3.1</v>
      </c>
      <c r="H542" t="n">
        <v>0</v>
      </c>
      <c r="I542" t="n">
        <v>0</v>
      </c>
      <c r="J542" t="n">
        <v>0</v>
      </c>
      <c r="K542" t="n">
        <v>0</v>
      </c>
      <c r="L542" t="n">
        <v>0</v>
      </c>
      <c r="M542" t="n">
        <v>0</v>
      </c>
      <c r="N542" t="n">
        <v>0</v>
      </c>
      <c r="O542" t="n">
        <v>0</v>
      </c>
      <c r="P542" t="n">
        <v>0</v>
      </c>
      <c r="Q542" t="n">
        <v>0</v>
      </c>
      <c r="R542" s="2" t="inlineStr"/>
    </row>
    <row r="543" ht="15" customHeight="1">
      <c r="A543" t="inlineStr">
        <is>
          <t>A 30338-2022</t>
        </is>
      </c>
      <c r="B543" s="1" t="n">
        <v>44760</v>
      </c>
      <c r="C543" s="1" t="n">
        <v>45908</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55890-2020</t>
        </is>
      </c>
      <c r="B544" s="1" t="n">
        <v>44132</v>
      </c>
      <c r="C544" s="1" t="n">
        <v>45908</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2888-2022</t>
        </is>
      </c>
      <c r="B545" s="1" t="n">
        <v>44581</v>
      </c>
      <c r="C545" s="1" t="n">
        <v>45908</v>
      </c>
      <c r="D545" t="inlineStr">
        <is>
          <t>STOCKHOLMS LÄN</t>
        </is>
      </c>
      <c r="E545" t="inlineStr">
        <is>
          <t>NORRTÄLJE</t>
        </is>
      </c>
      <c r="G545" t="n">
        <v>2.4</v>
      </c>
      <c r="H545" t="n">
        <v>0</v>
      </c>
      <c r="I545" t="n">
        <v>0</v>
      </c>
      <c r="J545" t="n">
        <v>0</v>
      </c>
      <c r="K545" t="n">
        <v>0</v>
      </c>
      <c r="L545" t="n">
        <v>0</v>
      </c>
      <c r="M545" t="n">
        <v>0</v>
      </c>
      <c r="N545" t="n">
        <v>0</v>
      </c>
      <c r="O545" t="n">
        <v>0</v>
      </c>
      <c r="P545" t="n">
        <v>0</v>
      </c>
      <c r="Q545" t="n">
        <v>0</v>
      </c>
      <c r="R545" s="2" t="inlineStr"/>
    </row>
    <row r="546" ht="15" customHeight="1">
      <c r="A546" t="inlineStr">
        <is>
          <t>A 48180-2023</t>
        </is>
      </c>
      <c r="B546" s="1" t="n">
        <v>45205</v>
      </c>
      <c r="C546" s="1" t="n">
        <v>45908</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35695-2023</t>
        </is>
      </c>
      <c r="B547" s="1" t="n">
        <v>45147.65407407407</v>
      </c>
      <c r="C547" s="1" t="n">
        <v>45908</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45173-2023</t>
        </is>
      </c>
      <c r="B548" s="1" t="n">
        <v>45191</v>
      </c>
      <c r="C548" s="1" t="n">
        <v>45908</v>
      </c>
      <c r="D548" t="inlineStr">
        <is>
          <t>STOCKHOLMS LÄN</t>
        </is>
      </c>
      <c r="E548" t="inlineStr">
        <is>
          <t>NORRTÄLJE</t>
        </is>
      </c>
      <c r="F548" t="inlineStr">
        <is>
          <t>Sveaskog</t>
        </is>
      </c>
      <c r="G548" t="n">
        <v>3.6</v>
      </c>
      <c r="H548" t="n">
        <v>0</v>
      </c>
      <c r="I548" t="n">
        <v>0</v>
      </c>
      <c r="J548" t="n">
        <v>0</v>
      </c>
      <c r="K548" t="n">
        <v>0</v>
      </c>
      <c r="L548" t="n">
        <v>0</v>
      </c>
      <c r="M548" t="n">
        <v>0</v>
      </c>
      <c r="N548" t="n">
        <v>0</v>
      </c>
      <c r="O548" t="n">
        <v>0</v>
      </c>
      <c r="P548" t="n">
        <v>0</v>
      </c>
      <c r="Q548" t="n">
        <v>0</v>
      </c>
      <c r="R548" s="2" t="inlineStr"/>
    </row>
    <row r="549" ht="15" customHeight="1">
      <c r="A549" t="inlineStr">
        <is>
          <t>A 52686-2024</t>
        </is>
      </c>
      <c r="B549" s="1" t="n">
        <v>45610.39271990741</v>
      </c>
      <c r="C549" s="1" t="n">
        <v>45908</v>
      </c>
      <c r="D549" t="inlineStr">
        <is>
          <t>STOCKHOLMS LÄN</t>
        </is>
      </c>
      <c r="E549" t="inlineStr">
        <is>
          <t>NORRTÄLJE</t>
        </is>
      </c>
      <c r="G549" t="n">
        <v>5.7</v>
      </c>
      <c r="H549" t="n">
        <v>0</v>
      </c>
      <c r="I549" t="n">
        <v>0</v>
      </c>
      <c r="J549" t="n">
        <v>0</v>
      </c>
      <c r="K549" t="n">
        <v>0</v>
      </c>
      <c r="L549" t="n">
        <v>0</v>
      </c>
      <c r="M549" t="n">
        <v>0</v>
      </c>
      <c r="N549" t="n">
        <v>0</v>
      </c>
      <c r="O549" t="n">
        <v>0</v>
      </c>
      <c r="P549" t="n">
        <v>0</v>
      </c>
      <c r="Q549" t="n">
        <v>0</v>
      </c>
      <c r="R549" s="2" t="inlineStr"/>
    </row>
    <row r="550" ht="15" customHeight="1">
      <c r="A550" t="inlineStr">
        <is>
          <t>A 20343-2024</t>
        </is>
      </c>
      <c r="B550" s="1" t="n">
        <v>45435.43466435185</v>
      </c>
      <c r="C550" s="1" t="n">
        <v>45908</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20345-2024</t>
        </is>
      </c>
      <c r="B551" s="1" t="n">
        <v>45435.43820601852</v>
      </c>
      <c r="C551" s="1" t="n">
        <v>45908</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9765-2024</t>
        </is>
      </c>
      <c r="B552" s="1" t="n">
        <v>45362.62811342593</v>
      </c>
      <c r="C552" s="1" t="n">
        <v>45908</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35691-2023</t>
        </is>
      </c>
      <c r="B553" s="1" t="n">
        <v>45147.65222222222</v>
      </c>
      <c r="C553" s="1" t="n">
        <v>45908</v>
      </c>
      <c r="D553" t="inlineStr">
        <is>
          <t>STOCKHOLMS LÄN</t>
        </is>
      </c>
      <c r="E553" t="inlineStr">
        <is>
          <t>NORRTÄLJE</t>
        </is>
      </c>
      <c r="G553" t="n">
        <v>2.3</v>
      </c>
      <c r="H553" t="n">
        <v>0</v>
      </c>
      <c r="I553" t="n">
        <v>0</v>
      </c>
      <c r="J553" t="n">
        <v>0</v>
      </c>
      <c r="K553" t="n">
        <v>0</v>
      </c>
      <c r="L553" t="n">
        <v>0</v>
      </c>
      <c r="M553" t="n">
        <v>0</v>
      </c>
      <c r="N553" t="n">
        <v>0</v>
      </c>
      <c r="O553" t="n">
        <v>0</v>
      </c>
      <c r="P553" t="n">
        <v>0</v>
      </c>
      <c r="Q553" t="n">
        <v>0</v>
      </c>
      <c r="R553" s="2" t="inlineStr"/>
    </row>
    <row r="554" ht="15" customHeight="1">
      <c r="A554" t="inlineStr">
        <is>
          <t>A 35693-2023</t>
        </is>
      </c>
      <c r="B554" s="1" t="n">
        <v>45147.65311342593</v>
      </c>
      <c r="C554" s="1" t="n">
        <v>45908</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59875-2024</t>
        </is>
      </c>
      <c r="B555" s="1" t="n">
        <v>45640.58716435185</v>
      </c>
      <c r="C555" s="1" t="n">
        <v>45908</v>
      </c>
      <c r="D555" t="inlineStr">
        <is>
          <t>STOCKHOLMS LÄN</t>
        </is>
      </c>
      <c r="E555" t="inlineStr">
        <is>
          <t>NORRTÄLJE</t>
        </is>
      </c>
      <c r="G555" t="n">
        <v>0.3</v>
      </c>
      <c r="H555" t="n">
        <v>0</v>
      </c>
      <c r="I555" t="n">
        <v>0</v>
      </c>
      <c r="J555" t="n">
        <v>0</v>
      </c>
      <c r="K555" t="n">
        <v>0</v>
      </c>
      <c r="L555" t="n">
        <v>0</v>
      </c>
      <c r="M555" t="n">
        <v>0</v>
      </c>
      <c r="N555" t="n">
        <v>0</v>
      </c>
      <c r="O555" t="n">
        <v>0</v>
      </c>
      <c r="P555" t="n">
        <v>0</v>
      </c>
      <c r="Q555" t="n">
        <v>0</v>
      </c>
      <c r="R555" s="2" t="inlineStr"/>
    </row>
    <row r="556" ht="15" customHeight="1">
      <c r="A556" t="inlineStr">
        <is>
          <t>A 57216-2020</t>
        </is>
      </c>
      <c r="B556" s="1" t="n">
        <v>44139.54078703704</v>
      </c>
      <c r="C556" s="1" t="n">
        <v>45908</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11-2024</t>
        </is>
      </c>
      <c r="B557" s="1" t="n">
        <v>45293</v>
      </c>
      <c r="C557" s="1" t="n">
        <v>45908</v>
      </c>
      <c r="D557" t="inlineStr">
        <is>
          <t>STOCKHOLMS LÄN</t>
        </is>
      </c>
      <c r="E557" t="inlineStr">
        <is>
          <t>NORRTÄLJE</t>
        </is>
      </c>
      <c r="F557" t="inlineStr">
        <is>
          <t>Sveaskog</t>
        </is>
      </c>
      <c r="G557" t="n">
        <v>3.2</v>
      </c>
      <c r="H557" t="n">
        <v>0</v>
      </c>
      <c r="I557" t="n">
        <v>0</v>
      </c>
      <c r="J557" t="n">
        <v>0</v>
      </c>
      <c r="K557" t="n">
        <v>0</v>
      </c>
      <c r="L557" t="n">
        <v>0</v>
      </c>
      <c r="M557" t="n">
        <v>0</v>
      </c>
      <c r="N557" t="n">
        <v>0</v>
      </c>
      <c r="O557" t="n">
        <v>0</v>
      </c>
      <c r="P557" t="n">
        <v>0</v>
      </c>
      <c r="Q557" t="n">
        <v>0</v>
      </c>
      <c r="R557" s="2" t="inlineStr"/>
    </row>
    <row r="558" ht="15" customHeight="1">
      <c r="A558" t="inlineStr">
        <is>
          <t>A 14559-2024</t>
        </is>
      </c>
      <c r="B558" s="1" t="n">
        <v>45394.72869212963</v>
      </c>
      <c r="C558" s="1" t="n">
        <v>45908</v>
      </c>
      <c r="D558" t="inlineStr">
        <is>
          <t>STOCKHOLMS LÄN</t>
        </is>
      </c>
      <c r="E558" t="inlineStr">
        <is>
          <t>NORRTÄLJE</t>
        </is>
      </c>
      <c r="G558" t="n">
        <v>4.2</v>
      </c>
      <c r="H558" t="n">
        <v>0</v>
      </c>
      <c r="I558" t="n">
        <v>0</v>
      </c>
      <c r="J558" t="n">
        <v>0</v>
      </c>
      <c r="K558" t="n">
        <v>0</v>
      </c>
      <c r="L558" t="n">
        <v>0</v>
      </c>
      <c r="M558" t="n">
        <v>0</v>
      </c>
      <c r="N558" t="n">
        <v>0</v>
      </c>
      <c r="O558" t="n">
        <v>0</v>
      </c>
      <c r="P558" t="n">
        <v>0</v>
      </c>
      <c r="Q558" t="n">
        <v>0</v>
      </c>
      <c r="R558" s="2" t="inlineStr"/>
    </row>
    <row r="559" ht="15" customHeight="1">
      <c r="A559" t="inlineStr">
        <is>
          <t>A 26051-2025</t>
        </is>
      </c>
      <c r="B559" s="1" t="n">
        <v>45804.74479166666</v>
      </c>
      <c r="C559" s="1" t="n">
        <v>45908</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24705-2023</t>
        </is>
      </c>
      <c r="B560" s="1" t="n">
        <v>45084.54459490741</v>
      </c>
      <c r="C560" s="1" t="n">
        <v>45908</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8433-2022</t>
        </is>
      </c>
      <c r="B561" s="1" t="n">
        <v>44611</v>
      </c>
      <c r="C561" s="1" t="n">
        <v>45908</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25525-2022</t>
        </is>
      </c>
      <c r="B562" s="1" t="n">
        <v>44732</v>
      </c>
      <c r="C562" s="1" t="n">
        <v>45908</v>
      </c>
      <c r="D562" t="inlineStr">
        <is>
          <t>STOCKHOLMS LÄN</t>
        </is>
      </c>
      <c r="E562" t="inlineStr">
        <is>
          <t>NORRTÄLJE</t>
        </is>
      </c>
      <c r="G562" t="n">
        <v>2.2</v>
      </c>
      <c r="H562" t="n">
        <v>0</v>
      </c>
      <c r="I562" t="n">
        <v>0</v>
      </c>
      <c r="J562" t="n">
        <v>0</v>
      </c>
      <c r="K562" t="n">
        <v>0</v>
      </c>
      <c r="L562" t="n">
        <v>0</v>
      </c>
      <c r="M562" t="n">
        <v>0</v>
      </c>
      <c r="N562" t="n">
        <v>0</v>
      </c>
      <c r="O562" t="n">
        <v>0</v>
      </c>
      <c r="P562" t="n">
        <v>0</v>
      </c>
      <c r="Q562" t="n">
        <v>0</v>
      </c>
      <c r="R562" s="2" t="inlineStr"/>
    </row>
    <row r="563" ht="15" customHeight="1">
      <c r="A563" t="inlineStr">
        <is>
          <t>A 12302-2025</t>
        </is>
      </c>
      <c r="B563" s="1" t="n">
        <v>45729.72851851852</v>
      </c>
      <c r="C563" s="1" t="n">
        <v>45908</v>
      </c>
      <c r="D563" t="inlineStr">
        <is>
          <t>STOCKHOLMS LÄN</t>
        </is>
      </c>
      <c r="E563" t="inlineStr">
        <is>
          <t>NORRTÄLJE</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21696-2024</t>
        </is>
      </c>
      <c r="B564" s="1" t="n">
        <v>45442.45686342593</v>
      </c>
      <c r="C564" s="1" t="n">
        <v>45908</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56166-2020</t>
        </is>
      </c>
      <c r="B565" s="1" t="n">
        <v>44133</v>
      </c>
      <c r="C565" s="1" t="n">
        <v>45908</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67990-2021</t>
        </is>
      </c>
      <c r="B566" s="1" t="n">
        <v>44525</v>
      </c>
      <c r="C566" s="1" t="n">
        <v>45908</v>
      </c>
      <c r="D566" t="inlineStr">
        <is>
          <t>STOCKHOLMS LÄN</t>
        </is>
      </c>
      <c r="E566" t="inlineStr">
        <is>
          <t>NORRTÄLJE</t>
        </is>
      </c>
      <c r="F566" t="inlineStr">
        <is>
          <t>Sveaskog</t>
        </is>
      </c>
      <c r="G566" t="n">
        <v>7.8</v>
      </c>
      <c r="H566" t="n">
        <v>0</v>
      </c>
      <c r="I566" t="n">
        <v>0</v>
      </c>
      <c r="J566" t="n">
        <v>0</v>
      </c>
      <c r="K566" t="n">
        <v>0</v>
      </c>
      <c r="L566" t="n">
        <v>0</v>
      </c>
      <c r="M566" t="n">
        <v>0</v>
      </c>
      <c r="N566" t="n">
        <v>0</v>
      </c>
      <c r="O566" t="n">
        <v>0</v>
      </c>
      <c r="P566" t="n">
        <v>0</v>
      </c>
      <c r="Q566" t="n">
        <v>0</v>
      </c>
      <c r="R566" s="2" t="inlineStr"/>
    </row>
    <row r="567" ht="15" customHeight="1">
      <c r="A567" t="inlineStr">
        <is>
          <t>A 38889-2024</t>
        </is>
      </c>
      <c r="B567" s="1" t="n">
        <v>45547</v>
      </c>
      <c r="C567" s="1" t="n">
        <v>45908</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45451-2024</t>
        </is>
      </c>
      <c r="B568" s="1" t="n">
        <v>45576</v>
      </c>
      <c r="C568" s="1" t="n">
        <v>45908</v>
      </c>
      <c r="D568" t="inlineStr">
        <is>
          <t>STOCKHOLMS LÄN</t>
        </is>
      </c>
      <c r="E568" t="inlineStr">
        <is>
          <t>NORRTÄLJE</t>
        </is>
      </c>
      <c r="G568" t="n">
        <v>1.3</v>
      </c>
      <c r="H568" t="n">
        <v>0</v>
      </c>
      <c r="I568" t="n">
        <v>0</v>
      </c>
      <c r="J568" t="n">
        <v>0</v>
      </c>
      <c r="K568" t="n">
        <v>0</v>
      </c>
      <c r="L568" t="n">
        <v>0</v>
      </c>
      <c r="M568" t="n">
        <v>0</v>
      </c>
      <c r="N568" t="n">
        <v>0</v>
      </c>
      <c r="O568" t="n">
        <v>0</v>
      </c>
      <c r="P568" t="n">
        <v>0</v>
      </c>
      <c r="Q568" t="n">
        <v>0</v>
      </c>
      <c r="R568" s="2" t="inlineStr"/>
    </row>
    <row r="569" ht="15" customHeight="1">
      <c r="A569" t="inlineStr">
        <is>
          <t>A 71552-2021</t>
        </is>
      </c>
      <c r="B569" s="1" t="n">
        <v>44540</v>
      </c>
      <c r="C569" s="1" t="n">
        <v>45908</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73992-2021</t>
        </is>
      </c>
      <c r="B570" s="1" t="n">
        <v>44556</v>
      </c>
      <c r="C570" s="1" t="n">
        <v>45908</v>
      </c>
      <c r="D570" t="inlineStr">
        <is>
          <t>STOCKHOLMS LÄN</t>
        </is>
      </c>
      <c r="E570" t="inlineStr">
        <is>
          <t>NORRTÄLJE</t>
        </is>
      </c>
      <c r="G570" t="n">
        <v>12.5</v>
      </c>
      <c r="H570" t="n">
        <v>0</v>
      </c>
      <c r="I570" t="n">
        <v>0</v>
      </c>
      <c r="J570" t="n">
        <v>0</v>
      </c>
      <c r="K570" t="n">
        <v>0</v>
      </c>
      <c r="L570" t="n">
        <v>0</v>
      </c>
      <c r="M570" t="n">
        <v>0</v>
      </c>
      <c r="N570" t="n">
        <v>0</v>
      </c>
      <c r="O570" t="n">
        <v>0</v>
      </c>
      <c r="P570" t="n">
        <v>0</v>
      </c>
      <c r="Q570" t="n">
        <v>0</v>
      </c>
      <c r="R570" s="2" t="inlineStr"/>
    </row>
    <row r="571" ht="15" customHeight="1">
      <c r="A571" t="inlineStr">
        <is>
          <t>A 26708-2025</t>
        </is>
      </c>
      <c r="B571" s="1" t="n">
        <v>45810.45633101852</v>
      </c>
      <c r="C571" s="1" t="n">
        <v>45908</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26113-2024</t>
        </is>
      </c>
      <c r="B572" s="1" t="n">
        <v>45468.45541666666</v>
      </c>
      <c r="C572" s="1" t="n">
        <v>45908</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26116-2024</t>
        </is>
      </c>
      <c r="B573" s="1" t="n">
        <v>45468.45747685185</v>
      </c>
      <c r="C573" s="1" t="n">
        <v>45908</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15978-2024</t>
        </is>
      </c>
      <c r="B574" s="1" t="n">
        <v>45405.57927083333</v>
      </c>
      <c r="C574" s="1" t="n">
        <v>45908</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11333-2025</t>
        </is>
      </c>
      <c r="B575" s="1" t="n">
        <v>45726.48377314815</v>
      </c>
      <c r="C575" s="1" t="n">
        <v>45908</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50738-2020</t>
        </is>
      </c>
      <c r="B576" s="1" t="n">
        <v>44111.44373842593</v>
      </c>
      <c r="C576" s="1" t="n">
        <v>45908</v>
      </c>
      <c r="D576" t="inlineStr">
        <is>
          <t>STOCKHOLMS LÄN</t>
        </is>
      </c>
      <c r="E576" t="inlineStr">
        <is>
          <t>NORRTÄLJE</t>
        </is>
      </c>
      <c r="G576" t="n">
        <v>0.5</v>
      </c>
      <c r="H576" t="n">
        <v>0</v>
      </c>
      <c r="I576" t="n">
        <v>0</v>
      </c>
      <c r="J576" t="n">
        <v>0</v>
      </c>
      <c r="K576" t="n">
        <v>0</v>
      </c>
      <c r="L576" t="n">
        <v>0</v>
      </c>
      <c r="M576" t="n">
        <v>0</v>
      </c>
      <c r="N576" t="n">
        <v>0</v>
      </c>
      <c r="O576" t="n">
        <v>0</v>
      </c>
      <c r="P576" t="n">
        <v>0</v>
      </c>
      <c r="Q576" t="n">
        <v>0</v>
      </c>
      <c r="R576" s="2" t="inlineStr"/>
    </row>
    <row r="577" ht="15" customHeight="1">
      <c r="A577" t="inlineStr">
        <is>
          <t>A 26702-2025</t>
        </is>
      </c>
      <c r="B577" s="1" t="n">
        <v>45810.45236111111</v>
      </c>
      <c r="C577" s="1" t="n">
        <v>45908</v>
      </c>
      <c r="D577" t="inlineStr">
        <is>
          <t>STOCKHOLMS LÄN</t>
        </is>
      </c>
      <c r="E577" t="inlineStr">
        <is>
          <t>NORRTÄLJE</t>
        </is>
      </c>
      <c r="G577" t="n">
        <v>7.3</v>
      </c>
      <c r="H577" t="n">
        <v>0</v>
      </c>
      <c r="I577" t="n">
        <v>0</v>
      </c>
      <c r="J577" t="n">
        <v>0</v>
      </c>
      <c r="K577" t="n">
        <v>0</v>
      </c>
      <c r="L577" t="n">
        <v>0</v>
      </c>
      <c r="M577" t="n">
        <v>0</v>
      </c>
      <c r="N577" t="n">
        <v>0</v>
      </c>
      <c r="O577" t="n">
        <v>0</v>
      </c>
      <c r="P577" t="n">
        <v>0</v>
      </c>
      <c r="Q577" t="n">
        <v>0</v>
      </c>
      <c r="R577" s="2" t="inlineStr"/>
    </row>
    <row r="578" ht="15" customHeight="1">
      <c r="A578" t="inlineStr">
        <is>
          <t>A 26703-2025</t>
        </is>
      </c>
      <c r="B578" s="1" t="n">
        <v>45810.45263888889</v>
      </c>
      <c r="C578" s="1" t="n">
        <v>45908</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23061-2025</t>
        </is>
      </c>
      <c r="B579" s="1" t="n">
        <v>45790.81410879629</v>
      </c>
      <c r="C579" s="1" t="n">
        <v>45908</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34391-2023</t>
        </is>
      </c>
      <c r="B580" s="1" t="n">
        <v>45139.51457175926</v>
      </c>
      <c r="C580" s="1" t="n">
        <v>45908</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27040-2025</t>
        </is>
      </c>
      <c r="B581" s="1" t="n">
        <v>45811.60451388889</v>
      </c>
      <c r="C581" s="1" t="n">
        <v>45908</v>
      </c>
      <c r="D581" t="inlineStr">
        <is>
          <t>STOCKHOLMS LÄN</t>
        </is>
      </c>
      <c r="E581" t="inlineStr">
        <is>
          <t>NORRTÄLJE</t>
        </is>
      </c>
      <c r="G581" t="n">
        <v>4.3</v>
      </c>
      <c r="H581" t="n">
        <v>0</v>
      </c>
      <c r="I581" t="n">
        <v>0</v>
      </c>
      <c r="J581" t="n">
        <v>0</v>
      </c>
      <c r="K581" t="n">
        <v>0</v>
      </c>
      <c r="L581" t="n">
        <v>0</v>
      </c>
      <c r="M581" t="n">
        <v>0</v>
      </c>
      <c r="N581" t="n">
        <v>0</v>
      </c>
      <c r="O581" t="n">
        <v>0</v>
      </c>
      <c r="P581" t="n">
        <v>0</v>
      </c>
      <c r="Q581" t="n">
        <v>0</v>
      </c>
      <c r="R581" s="2" t="inlineStr"/>
    </row>
    <row r="582" ht="15" customHeight="1">
      <c r="A582" t="inlineStr">
        <is>
          <t>A 26747-2025</t>
        </is>
      </c>
      <c r="B582" s="1" t="n">
        <v>45810.5333912037</v>
      </c>
      <c r="C582" s="1" t="n">
        <v>45908</v>
      </c>
      <c r="D582" t="inlineStr">
        <is>
          <t>STOCKHOLMS LÄN</t>
        </is>
      </c>
      <c r="E582" t="inlineStr">
        <is>
          <t>NORRTÄLJE</t>
        </is>
      </c>
      <c r="G582" t="n">
        <v>1.9</v>
      </c>
      <c r="H582" t="n">
        <v>0</v>
      </c>
      <c r="I582" t="n">
        <v>0</v>
      </c>
      <c r="J582" t="n">
        <v>0</v>
      </c>
      <c r="K582" t="n">
        <v>0</v>
      </c>
      <c r="L582" t="n">
        <v>0</v>
      </c>
      <c r="M582" t="n">
        <v>0</v>
      </c>
      <c r="N582" t="n">
        <v>0</v>
      </c>
      <c r="O582" t="n">
        <v>0</v>
      </c>
      <c r="P582" t="n">
        <v>0</v>
      </c>
      <c r="Q582" t="n">
        <v>0</v>
      </c>
      <c r="R582" s="2" t="inlineStr"/>
    </row>
    <row r="583" ht="15" customHeight="1">
      <c r="A583" t="inlineStr">
        <is>
          <t>A 26644-2024</t>
        </is>
      </c>
      <c r="B583" s="1" t="n">
        <v>45469</v>
      </c>
      <c r="C583" s="1" t="n">
        <v>45908</v>
      </c>
      <c r="D583" t="inlineStr">
        <is>
          <t>STOCKHOLMS LÄN</t>
        </is>
      </c>
      <c r="E583" t="inlineStr">
        <is>
          <t>NORRTÄLJE</t>
        </is>
      </c>
      <c r="G583" t="n">
        <v>4.3</v>
      </c>
      <c r="H583" t="n">
        <v>0</v>
      </c>
      <c r="I583" t="n">
        <v>0</v>
      </c>
      <c r="J583" t="n">
        <v>0</v>
      </c>
      <c r="K583" t="n">
        <v>0</v>
      </c>
      <c r="L583" t="n">
        <v>0</v>
      </c>
      <c r="M583" t="n">
        <v>0</v>
      </c>
      <c r="N583" t="n">
        <v>0</v>
      </c>
      <c r="O583" t="n">
        <v>0</v>
      </c>
      <c r="P583" t="n">
        <v>0</v>
      </c>
      <c r="Q583" t="n">
        <v>0</v>
      </c>
      <c r="R583" s="2" t="inlineStr"/>
    </row>
    <row r="584" ht="15" customHeight="1">
      <c r="A584" t="inlineStr">
        <is>
          <t>A 67921-2021</t>
        </is>
      </c>
      <c r="B584" s="1" t="n">
        <v>44525</v>
      </c>
      <c r="C584" s="1" t="n">
        <v>45908</v>
      </c>
      <c r="D584" t="inlineStr">
        <is>
          <t>STOCKHOLMS LÄN</t>
        </is>
      </c>
      <c r="E584" t="inlineStr">
        <is>
          <t>NORRTÄLJE</t>
        </is>
      </c>
      <c r="G584" t="n">
        <v>6.3</v>
      </c>
      <c r="H584" t="n">
        <v>0</v>
      </c>
      <c r="I584" t="n">
        <v>0</v>
      </c>
      <c r="J584" t="n">
        <v>0</v>
      </c>
      <c r="K584" t="n">
        <v>0</v>
      </c>
      <c r="L584" t="n">
        <v>0</v>
      </c>
      <c r="M584" t="n">
        <v>0</v>
      </c>
      <c r="N584" t="n">
        <v>0</v>
      </c>
      <c r="O584" t="n">
        <v>0</v>
      </c>
      <c r="P584" t="n">
        <v>0</v>
      </c>
      <c r="Q584" t="n">
        <v>0</v>
      </c>
      <c r="R584" s="2" t="inlineStr"/>
    </row>
    <row r="585" ht="15" customHeight="1">
      <c r="A585" t="inlineStr">
        <is>
          <t>A 2982-2023</t>
        </is>
      </c>
      <c r="B585" s="1" t="n">
        <v>44945.67409722223</v>
      </c>
      <c r="C585" s="1" t="n">
        <v>45908</v>
      </c>
      <c r="D585" t="inlineStr">
        <is>
          <t>STOCKHOLMS LÄN</t>
        </is>
      </c>
      <c r="E585" t="inlineStr">
        <is>
          <t>NORRTÄLJE</t>
        </is>
      </c>
      <c r="G585" t="n">
        <v>3.3</v>
      </c>
      <c r="H585" t="n">
        <v>0</v>
      </c>
      <c r="I585" t="n">
        <v>0</v>
      </c>
      <c r="J585" t="n">
        <v>0</v>
      </c>
      <c r="K585" t="n">
        <v>0</v>
      </c>
      <c r="L585" t="n">
        <v>0</v>
      </c>
      <c r="M585" t="n">
        <v>0</v>
      </c>
      <c r="N585" t="n">
        <v>0</v>
      </c>
      <c r="O585" t="n">
        <v>0</v>
      </c>
      <c r="P585" t="n">
        <v>0</v>
      </c>
      <c r="Q585" t="n">
        <v>0</v>
      </c>
      <c r="R585" s="2" t="inlineStr"/>
    </row>
    <row r="586" ht="15" customHeight="1">
      <c r="A586" t="inlineStr">
        <is>
          <t>A 25681-2024</t>
        </is>
      </c>
      <c r="B586" s="1" t="n">
        <v>45463.80486111111</v>
      </c>
      <c r="C586" s="1" t="n">
        <v>45908</v>
      </c>
      <c r="D586" t="inlineStr">
        <is>
          <t>STOCKHOLMS LÄN</t>
        </is>
      </c>
      <c r="E586" t="inlineStr">
        <is>
          <t>NORRTÄLJE</t>
        </is>
      </c>
      <c r="G586" t="n">
        <v>2.7</v>
      </c>
      <c r="H586" t="n">
        <v>0</v>
      </c>
      <c r="I586" t="n">
        <v>0</v>
      </c>
      <c r="J586" t="n">
        <v>0</v>
      </c>
      <c r="K586" t="n">
        <v>0</v>
      </c>
      <c r="L586" t="n">
        <v>0</v>
      </c>
      <c r="M586" t="n">
        <v>0</v>
      </c>
      <c r="N586" t="n">
        <v>0</v>
      </c>
      <c r="O586" t="n">
        <v>0</v>
      </c>
      <c r="P586" t="n">
        <v>0</v>
      </c>
      <c r="Q586" t="n">
        <v>0</v>
      </c>
      <c r="R586" s="2" t="inlineStr"/>
    </row>
    <row r="587" ht="15" customHeight="1">
      <c r="A587" t="inlineStr">
        <is>
          <t>A 12535-2025</t>
        </is>
      </c>
      <c r="B587" s="1" t="n">
        <v>45730.69502314815</v>
      </c>
      <c r="C587" s="1" t="n">
        <v>45908</v>
      </c>
      <c r="D587" t="inlineStr">
        <is>
          <t>STOCKHOLMS LÄN</t>
        </is>
      </c>
      <c r="E587" t="inlineStr">
        <is>
          <t>NORRTÄLJE</t>
        </is>
      </c>
      <c r="G587" t="n">
        <v>7.1</v>
      </c>
      <c r="H587" t="n">
        <v>0</v>
      </c>
      <c r="I587" t="n">
        <v>0</v>
      </c>
      <c r="J587" t="n">
        <v>0</v>
      </c>
      <c r="K587" t="n">
        <v>0</v>
      </c>
      <c r="L587" t="n">
        <v>0</v>
      </c>
      <c r="M587" t="n">
        <v>0</v>
      </c>
      <c r="N587" t="n">
        <v>0</v>
      </c>
      <c r="O587" t="n">
        <v>0</v>
      </c>
      <c r="P587" t="n">
        <v>0</v>
      </c>
      <c r="Q587" t="n">
        <v>0</v>
      </c>
      <c r="R587" s="2" t="inlineStr"/>
    </row>
    <row r="588" ht="15" customHeight="1">
      <c r="A588" t="inlineStr">
        <is>
          <t>A 57987-2020</t>
        </is>
      </c>
      <c r="B588" s="1" t="n">
        <v>44143</v>
      </c>
      <c r="C588" s="1" t="n">
        <v>45908</v>
      </c>
      <c r="D588" t="inlineStr">
        <is>
          <t>STOCKHOLMS LÄN</t>
        </is>
      </c>
      <c r="E588" t="inlineStr">
        <is>
          <t>NORRTÄLJE</t>
        </is>
      </c>
      <c r="G588" t="n">
        <v>1.3</v>
      </c>
      <c r="H588" t="n">
        <v>0</v>
      </c>
      <c r="I588" t="n">
        <v>0</v>
      </c>
      <c r="J588" t="n">
        <v>0</v>
      </c>
      <c r="K588" t="n">
        <v>0</v>
      </c>
      <c r="L588" t="n">
        <v>0</v>
      </c>
      <c r="M588" t="n">
        <v>0</v>
      </c>
      <c r="N588" t="n">
        <v>0</v>
      </c>
      <c r="O588" t="n">
        <v>0</v>
      </c>
      <c r="P588" t="n">
        <v>0</v>
      </c>
      <c r="Q588" t="n">
        <v>0</v>
      </c>
      <c r="R588" s="2" t="inlineStr"/>
    </row>
    <row r="589" ht="15" customHeight="1">
      <c r="A589" t="inlineStr">
        <is>
          <t>A 37136-2023</t>
        </is>
      </c>
      <c r="B589" s="1" t="n">
        <v>45155</v>
      </c>
      <c r="C589" s="1" t="n">
        <v>45908</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26675-2025</t>
        </is>
      </c>
      <c r="B590" s="1" t="n">
        <v>45810.42393518519</v>
      </c>
      <c r="C590" s="1" t="n">
        <v>45908</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58853-2024</t>
        </is>
      </c>
      <c r="B591" s="1" t="n">
        <v>45636.38974537037</v>
      </c>
      <c r="C591" s="1" t="n">
        <v>45908</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18787-2022</t>
        </is>
      </c>
      <c r="B592" s="1" t="n">
        <v>44687</v>
      </c>
      <c r="C592" s="1" t="n">
        <v>45908</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13718-2022</t>
        </is>
      </c>
      <c r="B593" s="1" t="n">
        <v>44649</v>
      </c>
      <c r="C593" s="1" t="n">
        <v>45908</v>
      </c>
      <c r="D593" t="inlineStr">
        <is>
          <t>STOCKHOLMS LÄN</t>
        </is>
      </c>
      <c r="E593" t="inlineStr">
        <is>
          <t>NORRTÄLJE</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25621-2022</t>
        </is>
      </c>
      <c r="B594" s="1" t="n">
        <v>44732</v>
      </c>
      <c r="C594" s="1" t="n">
        <v>45908</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35438-2023</t>
        </is>
      </c>
      <c r="B595" s="1" t="n">
        <v>45146</v>
      </c>
      <c r="C595" s="1" t="n">
        <v>45908</v>
      </c>
      <c r="D595" t="inlineStr">
        <is>
          <t>STOCKHOLMS LÄN</t>
        </is>
      </c>
      <c r="E595" t="inlineStr">
        <is>
          <t>NORRTÄLJE</t>
        </is>
      </c>
      <c r="F595" t="inlineStr">
        <is>
          <t>Kommuner</t>
        </is>
      </c>
      <c r="G595" t="n">
        <v>1.9</v>
      </c>
      <c r="H595" t="n">
        <v>0</v>
      </c>
      <c r="I595" t="n">
        <v>0</v>
      </c>
      <c r="J595" t="n">
        <v>0</v>
      </c>
      <c r="K595" t="n">
        <v>0</v>
      </c>
      <c r="L595" t="n">
        <v>0</v>
      </c>
      <c r="M595" t="n">
        <v>0</v>
      </c>
      <c r="N595" t="n">
        <v>0</v>
      </c>
      <c r="O595" t="n">
        <v>0</v>
      </c>
      <c r="P595" t="n">
        <v>0</v>
      </c>
      <c r="Q595" t="n">
        <v>0</v>
      </c>
      <c r="R595" s="2" t="inlineStr"/>
    </row>
    <row r="596" ht="15" customHeight="1">
      <c r="A596" t="inlineStr">
        <is>
          <t>A 27554-2025</t>
        </is>
      </c>
      <c r="B596" s="1" t="n">
        <v>45813.4709375</v>
      </c>
      <c r="C596" s="1" t="n">
        <v>45908</v>
      </c>
      <c r="D596" t="inlineStr">
        <is>
          <t>STOCKHOLMS LÄN</t>
        </is>
      </c>
      <c r="E596" t="inlineStr">
        <is>
          <t>NORRTÄLJE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36269-2022</t>
        </is>
      </c>
      <c r="B597" s="1" t="n">
        <v>44803</v>
      </c>
      <c r="C597" s="1" t="n">
        <v>45908</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36308-2022</t>
        </is>
      </c>
      <c r="B598" s="1" t="n">
        <v>44803</v>
      </c>
      <c r="C598" s="1" t="n">
        <v>45908</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27677-2025</t>
        </is>
      </c>
      <c r="B599" s="1" t="n">
        <v>45813.63650462963</v>
      </c>
      <c r="C599" s="1" t="n">
        <v>45908</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20291-2022</t>
        </is>
      </c>
      <c r="B600" s="1" t="n">
        <v>44698</v>
      </c>
      <c r="C600" s="1" t="n">
        <v>45908</v>
      </c>
      <c r="D600" t="inlineStr">
        <is>
          <t>STOCKHOLMS LÄN</t>
        </is>
      </c>
      <c r="E600" t="inlineStr">
        <is>
          <t>NORRTÄLJE</t>
        </is>
      </c>
      <c r="F600" t="inlineStr">
        <is>
          <t>Naturvårdsverket</t>
        </is>
      </c>
      <c r="G600" t="n">
        <v>2</v>
      </c>
      <c r="H600" t="n">
        <v>0</v>
      </c>
      <c r="I600" t="n">
        <v>0</v>
      </c>
      <c r="J600" t="n">
        <v>0</v>
      </c>
      <c r="K600" t="n">
        <v>0</v>
      </c>
      <c r="L600" t="n">
        <v>0</v>
      </c>
      <c r="M600" t="n">
        <v>0</v>
      </c>
      <c r="N600" t="n">
        <v>0</v>
      </c>
      <c r="O600" t="n">
        <v>0</v>
      </c>
      <c r="P600" t="n">
        <v>0</v>
      </c>
      <c r="Q600" t="n">
        <v>0</v>
      </c>
      <c r="R600" s="2" t="inlineStr"/>
    </row>
    <row r="601" ht="15" customHeight="1">
      <c r="A601" t="inlineStr">
        <is>
          <t>A 26115-2024</t>
        </is>
      </c>
      <c r="B601" s="1" t="n">
        <v>45468.45628472222</v>
      </c>
      <c r="C601" s="1" t="n">
        <v>45908</v>
      </c>
      <c r="D601" t="inlineStr">
        <is>
          <t>STOCKHOLMS LÄN</t>
        </is>
      </c>
      <c r="E601" t="inlineStr">
        <is>
          <t>NORRTÄLJE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27700-2025</t>
        </is>
      </c>
      <c r="B602" s="1" t="n">
        <v>45813.6799537037</v>
      </c>
      <c r="C602" s="1" t="n">
        <v>45908</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28816-2023</t>
        </is>
      </c>
      <c r="B603" s="1" t="n">
        <v>45104</v>
      </c>
      <c r="C603" s="1" t="n">
        <v>45908</v>
      </c>
      <c r="D603" t="inlineStr">
        <is>
          <t>STOCKHOLMS LÄN</t>
        </is>
      </c>
      <c r="E603" t="inlineStr">
        <is>
          <t>NORRTÄLJE</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27697-2025</t>
        </is>
      </c>
      <c r="B604" s="1" t="n">
        <v>45813.66961805556</v>
      </c>
      <c r="C604" s="1" t="n">
        <v>45908</v>
      </c>
      <c r="D604" t="inlineStr">
        <is>
          <t>STOCKHOLMS LÄN</t>
        </is>
      </c>
      <c r="E604" t="inlineStr">
        <is>
          <t>NORRTÄLJE</t>
        </is>
      </c>
      <c r="G604" t="n">
        <v>6.2</v>
      </c>
      <c r="H604" t="n">
        <v>0</v>
      </c>
      <c r="I604" t="n">
        <v>0</v>
      </c>
      <c r="J604" t="n">
        <v>0</v>
      </c>
      <c r="K604" t="n">
        <v>0</v>
      </c>
      <c r="L604" t="n">
        <v>0</v>
      </c>
      <c r="M604" t="n">
        <v>0</v>
      </c>
      <c r="N604" t="n">
        <v>0</v>
      </c>
      <c r="O604" t="n">
        <v>0</v>
      </c>
      <c r="P604" t="n">
        <v>0</v>
      </c>
      <c r="Q604" t="n">
        <v>0</v>
      </c>
      <c r="R604" s="2" t="inlineStr"/>
    </row>
    <row r="605" ht="15" customHeight="1">
      <c r="A605" t="inlineStr">
        <is>
          <t>A 27802-2025</t>
        </is>
      </c>
      <c r="B605" s="1" t="n">
        <v>45817.2565625</v>
      </c>
      <c r="C605" s="1" t="n">
        <v>45908</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27806-2025</t>
        </is>
      </c>
      <c r="B606" s="1" t="n">
        <v>45817.30329861111</v>
      </c>
      <c r="C606" s="1" t="n">
        <v>45908</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27808-2025</t>
        </is>
      </c>
      <c r="B607" s="1" t="n">
        <v>45817.31085648148</v>
      </c>
      <c r="C607" s="1" t="n">
        <v>45908</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27810-2025</t>
        </is>
      </c>
      <c r="B608" s="1" t="n">
        <v>45817.31708333334</v>
      </c>
      <c r="C608" s="1" t="n">
        <v>45908</v>
      </c>
      <c r="D608" t="inlineStr">
        <is>
          <t>STOCKHOLMS LÄN</t>
        </is>
      </c>
      <c r="E608" t="inlineStr">
        <is>
          <t>NORRTÄLJE</t>
        </is>
      </c>
      <c r="G608" t="n">
        <v>3.9</v>
      </c>
      <c r="H608" t="n">
        <v>0</v>
      </c>
      <c r="I608" t="n">
        <v>0</v>
      </c>
      <c r="J608" t="n">
        <v>0</v>
      </c>
      <c r="K608" t="n">
        <v>0</v>
      </c>
      <c r="L608" t="n">
        <v>0</v>
      </c>
      <c r="M608" t="n">
        <v>0</v>
      </c>
      <c r="N608" t="n">
        <v>0</v>
      </c>
      <c r="O608" t="n">
        <v>0</v>
      </c>
      <c r="P608" t="n">
        <v>0</v>
      </c>
      <c r="Q608" t="n">
        <v>0</v>
      </c>
      <c r="R608" s="2" t="inlineStr"/>
    </row>
    <row r="609" ht="15" customHeight="1">
      <c r="A609" t="inlineStr">
        <is>
          <t>A 27811-2025</t>
        </is>
      </c>
      <c r="B609" s="1" t="n">
        <v>45817.31986111111</v>
      </c>
      <c r="C609" s="1" t="n">
        <v>45908</v>
      </c>
      <c r="D609" t="inlineStr">
        <is>
          <t>STOCKHOLMS LÄN</t>
        </is>
      </c>
      <c r="E609" t="inlineStr">
        <is>
          <t>NORRTÄLJE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27818-2025</t>
        </is>
      </c>
      <c r="B610" s="1" t="n">
        <v>45817.33503472222</v>
      </c>
      <c r="C610" s="1" t="n">
        <v>45908</v>
      </c>
      <c r="D610" t="inlineStr">
        <is>
          <t>STOCKHOLMS LÄN</t>
        </is>
      </c>
      <c r="E610" t="inlineStr">
        <is>
          <t>NORRTÄLJE</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34444-2024</t>
        </is>
      </c>
      <c r="B611" s="1" t="n">
        <v>45525</v>
      </c>
      <c r="C611" s="1" t="n">
        <v>45908</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19118-2022</t>
        </is>
      </c>
      <c r="B612" s="1" t="n">
        <v>44691.5652662037</v>
      </c>
      <c r="C612" s="1" t="n">
        <v>45908</v>
      </c>
      <c r="D612" t="inlineStr">
        <is>
          <t>STOCKHOLMS LÄN</t>
        </is>
      </c>
      <c r="E612" t="inlineStr">
        <is>
          <t>NORRTÄLJE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6919-2025</t>
        </is>
      </c>
      <c r="B613" s="1" t="n">
        <v>45701.44372685185</v>
      </c>
      <c r="C613" s="1" t="n">
        <v>45908</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32100-2022</t>
        </is>
      </c>
      <c r="B614" s="1" t="n">
        <v>44778</v>
      </c>
      <c r="C614" s="1" t="n">
        <v>45908</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11332-2025</t>
        </is>
      </c>
      <c r="B615" s="1" t="n">
        <v>45726.48152777777</v>
      </c>
      <c r="C615" s="1" t="n">
        <v>45908</v>
      </c>
      <c r="D615" t="inlineStr">
        <is>
          <t>STOCKHOLMS LÄN</t>
        </is>
      </c>
      <c r="E615" t="inlineStr">
        <is>
          <t>NORRTÄLJE</t>
        </is>
      </c>
      <c r="G615" t="n">
        <v>4.6</v>
      </c>
      <c r="H615" t="n">
        <v>0</v>
      </c>
      <c r="I615" t="n">
        <v>0</v>
      </c>
      <c r="J615" t="n">
        <v>0</v>
      </c>
      <c r="K615" t="n">
        <v>0</v>
      </c>
      <c r="L615" t="n">
        <v>0</v>
      </c>
      <c r="M615" t="n">
        <v>0</v>
      </c>
      <c r="N615" t="n">
        <v>0</v>
      </c>
      <c r="O615" t="n">
        <v>0</v>
      </c>
      <c r="P615" t="n">
        <v>0</v>
      </c>
      <c r="Q615" t="n">
        <v>0</v>
      </c>
      <c r="R615" s="2" t="inlineStr"/>
    </row>
    <row r="616" ht="15" customHeight="1">
      <c r="A616" t="inlineStr">
        <is>
          <t>A 27801-2025</t>
        </is>
      </c>
      <c r="B616" s="1" t="n">
        <v>45817.25471064815</v>
      </c>
      <c r="C616" s="1" t="n">
        <v>45908</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37444-2021</t>
        </is>
      </c>
      <c r="B617" s="1" t="n">
        <v>44398</v>
      </c>
      <c r="C617" s="1" t="n">
        <v>45908</v>
      </c>
      <c r="D617" t="inlineStr">
        <is>
          <t>STOCKHOLMS LÄN</t>
        </is>
      </c>
      <c r="E617" t="inlineStr">
        <is>
          <t>NORRTÄLJE</t>
        </is>
      </c>
      <c r="F617" t="inlineStr">
        <is>
          <t>Holmen skog AB</t>
        </is>
      </c>
      <c r="G617" t="n">
        <v>3.2</v>
      </c>
      <c r="H617" t="n">
        <v>0</v>
      </c>
      <c r="I617" t="n">
        <v>0</v>
      </c>
      <c r="J617" t="n">
        <v>0</v>
      </c>
      <c r="K617" t="n">
        <v>0</v>
      </c>
      <c r="L617" t="n">
        <v>0</v>
      </c>
      <c r="M617" t="n">
        <v>0</v>
      </c>
      <c r="N617" t="n">
        <v>0</v>
      </c>
      <c r="O617" t="n">
        <v>0</v>
      </c>
      <c r="P617" t="n">
        <v>0</v>
      </c>
      <c r="Q617" t="n">
        <v>0</v>
      </c>
      <c r="R617" s="2" t="inlineStr"/>
    </row>
    <row r="618" ht="15" customHeight="1">
      <c r="A618" t="inlineStr">
        <is>
          <t>A 58888-2020</t>
        </is>
      </c>
      <c r="B618" s="1" t="n">
        <v>44146</v>
      </c>
      <c r="C618" s="1" t="n">
        <v>45908</v>
      </c>
      <c r="D618" t="inlineStr">
        <is>
          <t>STOCKHOLMS LÄN</t>
        </is>
      </c>
      <c r="E618" t="inlineStr">
        <is>
          <t>NORRTÄLJE</t>
        </is>
      </c>
      <c r="G618" t="n">
        <v>1.9</v>
      </c>
      <c r="H618" t="n">
        <v>0</v>
      </c>
      <c r="I618" t="n">
        <v>0</v>
      </c>
      <c r="J618" t="n">
        <v>0</v>
      </c>
      <c r="K618" t="n">
        <v>0</v>
      </c>
      <c r="L618" t="n">
        <v>0</v>
      </c>
      <c r="M618" t="n">
        <v>0</v>
      </c>
      <c r="N618" t="n">
        <v>0</v>
      </c>
      <c r="O618" t="n">
        <v>0</v>
      </c>
      <c r="P618" t="n">
        <v>0</v>
      </c>
      <c r="Q618" t="n">
        <v>0</v>
      </c>
      <c r="R618" s="2" t="inlineStr"/>
    </row>
    <row r="619" ht="15" customHeight="1">
      <c r="A619" t="inlineStr">
        <is>
          <t>A 30886-2022</t>
        </is>
      </c>
      <c r="B619" s="1" t="n">
        <v>44767.60601851852</v>
      </c>
      <c r="C619" s="1" t="n">
        <v>45908</v>
      </c>
      <c r="D619" t="inlineStr">
        <is>
          <t>STOCKHOLMS LÄN</t>
        </is>
      </c>
      <c r="E619" t="inlineStr">
        <is>
          <t>NORRTÄLJE</t>
        </is>
      </c>
      <c r="G619" t="n">
        <v>2.6</v>
      </c>
      <c r="H619" t="n">
        <v>0</v>
      </c>
      <c r="I619" t="n">
        <v>0</v>
      </c>
      <c r="J619" t="n">
        <v>0</v>
      </c>
      <c r="K619" t="n">
        <v>0</v>
      </c>
      <c r="L619" t="n">
        <v>0</v>
      </c>
      <c r="M619" t="n">
        <v>0</v>
      </c>
      <c r="N619" t="n">
        <v>0</v>
      </c>
      <c r="O619" t="n">
        <v>0</v>
      </c>
      <c r="P619" t="n">
        <v>0</v>
      </c>
      <c r="Q619" t="n">
        <v>0</v>
      </c>
      <c r="R619" s="2" t="inlineStr"/>
    </row>
    <row r="620" ht="15" customHeight="1">
      <c r="A620" t="inlineStr">
        <is>
          <t>A 27803-2025</t>
        </is>
      </c>
      <c r="B620" s="1" t="n">
        <v>45817.291875</v>
      </c>
      <c r="C620" s="1" t="n">
        <v>45908</v>
      </c>
      <c r="D620" t="inlineStr">
        <is>
          <t>STOCKHOLMS LÄN</t>
        </is>
      </c>
      <c r="E620" t="inlineStr">
        <is>
          <t>NORRTÄLJE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27813-2025</t>
        </is>
      </c>
      <c r="B621" s="1" t="n">
        <v>45817.32538194444</v>
      </c>
      <c r="C621" s="1" t="n">
        <v>45908</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8739-2024</t>
        </is>
      </c>
      <c r="B622" s="1" t="n">
        <v>45356.47784722222</v>
      </c>
      <c r="C622" s="1" t="n">
        <v>45908</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27821-2025</t>
        </is>
      </c>
      <c r="B623" s="1" t="n">
        <v>45817.34083333334</v>
      </c>
      <c r="C623" s="1" t="n">
        <v>45908</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9654-2022</t>
        </is>
      </c>
      <c r="B624" s="1" t="n">
        <v>44617</v>
      </c>
      <c r="C624" s="1" t="n">
        <v>45908</v>
      </c>
      <c r="D624" t="inlineStr">
        <is>
          <t>STOCKHOLMS LÄN</t>
        </is>
      </c>
      <c r="E624" t="inlineStr">
        <is>
          <t>NORRTÄLJE</t>
        </is>
      </c>
      <c r="G624" t="n">
        <v>6.4</v>
      </c>
      <c r="H624" t="n">
        <v>0</v>
      </c>
      <c r="I624" t="n">
        <v>0</v>
      </c>
      <c r="J624" t="n">
        <v>0</v>
      </c>
      <c r="K624" t="n">
        <v>0</v>
      </c>
      <c r="L624" t="n">
        <v>0</v>
      </c>
      <c r="M624" t="n">
        <v>0</v>
      </c>
      <c r="N624" t="n">
        <v>0</v>
      </c>
      <c r="O624" t="n">
        <v>0</v>
      </c>
      <c r="P624" t="n">
        <v>0</v>
      </c>
      <c r="Q624" t="n">
        <v>0</v>
      </c>
      <c r="R624" s="2" t="inlineStr"/>
    </row>
    <row r="625" ht="15" customHeight="1">
      <c r="A625" t="inlineStr">
        <is>
          <t>A 38759-2022</t>
        </is>
      </c>
      <c r="B625" s="1" t="n">
        <v>44816</v>
      </c>
      <c r="C625" s="1" t="n">
        <v>45908</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32857-2021</t>
        </is>
      </c>
      <c r="B626" s="1" t="n">
        <v>44375</v>
      </c>
      <c r="C626" s="1" t="n">
        <v>45908</v>
      </c>
      <c r="D626" t="inlineStr">
        <is>
          <t>STOCKHOLMS LÄN</t>
        </is>
      </c>
      <c r="E626" t="inlineStr">
        <is>
          <t>NORRTÄLJE</t>
        </is>
      </c>
      <c r="G626" t="n">
        <v>2.9</v>
      </c>
      <c r="H626" t="n">
        <v>0</v>
      </c>
      <c r="I626" t="n">
        <v>0</v>
      </c>
      <c r="J626" t="n">
        <v>0</v>
      </c>
      <c r="K626" t="n">
        <v>0</v>
      </c>
      <c r="L626" t="n">
        <v>0</v>
      </c>
      <c r="M626" t="n">
        <v>0</v>
      </c>
      <c r="N626" t="n">
        <v>0</v>
      </c>
      <c r="O626" t="n">
        <v>0</v>
      </c>
      <c r="P626" t="n">
        <v>0</v>
      </c>
      <c r="Q626" t="n">
        <v>0</v>
      </c>
      <c r="R626" s="2" t="inlineStr"/>
    </row>
    <row r="627" ht="15" customHeight="1">
      <c r="A627" t="inlineStr">
        <is>
          <t>A 29714-2023</t>
        </is>
      </c>
      <c r="B627" s="1" t="n">
        <v>45107.42538194444</v>
      </c>
      <c r="C627" s="1" t="n">
        <v>45908</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23271-2023</t>
        </is>
      </c>
      <c r="B628" s="1" t="n">
        <v>45075.91362268518</v>
      </c>
      <c r="C628" s="1" t="n">
        <v>45908</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23273-2023</t>
        </is>
      </c>
      <c r="B629" s="1" t="n">
        <v>45075.91971064815</v>
      </c>
      <c r="C629" s="1" t="n">
        <v>45908</v>
      </c>
      <c r="D629" t="inlineStr">
        <is>
          <t>STOCKHOLMS LÄN</t>
        </is>
      </c>
      <c r="E629" t="inlineStr">
        <is>
          <t>NORRTÄLJE</t>
        </is>
      </c>
      <c r="G629" t="n">
        <v>7.5</v>
      </c>
      <c r="H629" t="n">
        <v>0</v>
      </c>
      <c r="I629" t="n">
        <v>0</v>
      </c>
      <c r="J629" t="n">
        <v>0</v>
      </c>
      <c r="K629" t="n">
        <v>0</v>
      </c>
      <c r="L629" t="n">
        <v>0</v>
      </c>
      <c r="M629" t="n">
        <v>0</v>
      </c>
      <c r="N629" t="n">
        <v>0</v>
      </c>
      <c r="O629" t="n">
        <v>0</v>
      </c>
      <c r="P629" t="n">
        <v>0</v>
      </c>
      <c r="Q629" t="n">
        <v>0</v>
      </c>
      <c r="R629" s="2" t="inlineStr"/>
    </row>
    <row r="630" ht="15" customHeight="1">
      <c r="A630" t="inlineStr">
        <is>
          <t>A 1453-2025</t>
        </is>
      </c>
      <c r="B630" s="1" t="n">
        <v>45670.3079050926</v>
      </c>
      <c r="C630" s="1" t="n">
        <v>45908</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15528-2025</t>
        </is>
      </c>
      <c r="B631" s="1" t="n">
        <v>45747.63471064815</v>
      </c>
      <c r="C631" s="1" t="n">
        <v>45908</v>
      </c>
      <c r="D631" t="inlineStr">
        <is>
          <t>STOCKHOLMS LÄN</t>
        </is>
      </c>
      <c r="E631" t="inlineStr">
        <is>
          <t>NORRTÄLJE</t>
        </is>
      </c>
      <c r="G631" t="n">
        <v>10</v>
      </c>
      <c r="H631" t="n">
        <v>0</v>
      </c>
      <c r="I631" t="n">
        <v>0</v>
      </c>
      <c r="J631" t="n">
        <v>0</v>
      </c>
      <c r="K631" t="n">
        <v>0</v>
      </c>
      <c r="L631" t="n">
        <v>0</v>
      </c>
      <c r="M631" t="n">
        <v>0</v>
      </c>
      <c r="N631" t="n">
        <v>0</v>
      </c>
      <c r="O631" t="n">
        <v>0</v>
      </c>
      <c r="P631" t="n">
        <v>0</v>
      </c>
      <c r="Q631" t="n">
        <v>0</v>
      </c>
      <c r="R631" s="2" t="inlineStr"/>
    </row>
    <row r="632" ht="15" customHeight="1">
      <c r="A632" t="inlineStr">
        <is>
          <t>A 11901-2024</t>
        </is>
      </c>
      <c r="B632" s="1" t="n">
        <v>45376.55638888889</v>
      </c>
      <c r="C632" s="1" t="n">
        <v>45908</v>
      </c>
      <c r="D632" t="inlineStr">
        <is>
          <t>STOCKHOLMS LÄN</t>
        </is>
      </c>
      <c r="E632" t="inlineStr">
        <is>
          <t>NORRTÄLJE</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5804-2025</t>
        </is>
      </c>
      <c r="B633" s="1" t="n">
        <v>45694.68207175926</v>
      </c>
      <c r="C633" s="1" t="n">
        <v>45908</v>
      </c>
      <c r="D633" t="inlineStr">
        <is>
          <t>STOCKHOLMS LÄN</t>
        </is>
      </c>
      <c r="E633" t="inlineStr">
        <is>
          <t>NORRTÄLJE</t>
        </is>
      </c>
      <c r="F633" t="inlineStr">
        <is>
          <t>Holmen skog AB</t>
        </is>
      </c>
      <c r="G633" t="n">
        <v>2.6</v>
      </c>
      <c r="H633" t="n">
        <v>0</v>
      </c>
      <c r="I633" t="n">
        <v>0</v>
      </c>
      <c r="J633" t="n">
        <v>0</v>
      </c>
      <c r="K633" t="n">
        <v>0</v>
      </c>
      <c r="L633" t="n">
        <v>0</v>
      </c>
      <c r="M633" t="n">
        <v>0</v>
      </c>
      <c r="N633" t="n">
        <v>0</v>
      </c>
      <c r="O633" t="n">
        <v>0</v>
      </c>
      <c r="P633" t="n">
        <v>0</v>
      </c>
      <c r="Q633" t="n">
        <v>0</v>
      </c>
      <c r="R633" s="2" t="inlineStr"/>
    </row>
    <row r="634" ht="15" customHeight="1">
      <c r="A634" t="inlineStr">
        <is>
          <t>A 50907-2022</t>
        </is>
      </c>
      <c r="B634" s="1" t="n">
        <v>44867.62090277778</v>
      </c>
      <c r="C634" s="1" t="n">
        <v>45908</v>
      </c>
      <c r="D634" t="inlineStr">
        <is>
          <t>STOCKHOLMS LÄN</t>
        </is>
      </c>
      <c r="E634" t="inlineStr">
        <is>
          <t>NORRTÄLJE</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29003-2023</t>
        </is>
      </c>
      <c r="B635" s="1" t="n">
        <v>45104</v>
      </c>
      <c r="C635" s="1" t="n">
        <v>45908</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33295-2023</t>
        </is>
      </c>
      <c r="B636" s="1" t="n">
        <v>45127.69371527778</v>
      </c>
      <c r="C636" s="1" t="n">
        <v>45908</v>
      </c>
      <c r="D636" t="inlineStr">
        <is>
          <t>STOCKHOLMS LÄN</t>
        </is>
      </c>
      <c r="E636" t="inlineStr">
        <is>
          <t>NORRTÄLJE</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14127-2025</t>
        </is>
      </c>
      <c r="B637" s="1" t="n">
        <v>45740.47055555556</v>
      </c>
      <c r="C637" s="1" t="n">
        <v>45908</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16980-2023</t>
        </is>
      </c>
      <c r="B638" s="1" t="n">
        <v>45033</v>
      </c>
      <c r="C638" s="1" t="n">
        <v>45908</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44075-2023</t>
        </is>
      </c>
      <c r="B639" s="1" t="n">
        <v>45188.41637731482</v>
      </c>
      <c r="C639" s="1" t="n">
        <v>45908</v>
      </c>
      <c r="D639" t="inlineStr">
        <is>
          <t>STOCKHOLMS LÄN</t>
        </is>
      </c>
      <c r="E639" t="inlineStr">
        <is>
          <t>NORRTÄLJE</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32595-2023</t>
        </is>
      </c>
      <c r="B640" s="1" t="n">
        <v>45121</v>
      </c>
      <c r="C640" s="1" t="n">
        <v>45908</v>
      </c>
      <c r="D640" t="inlineStr">
        <is>
          <t>STOCKHOLMS LÄN</t>
        </is>
      </c>
      <c r="E640" t="inlineStr">
        <is>
          <t>NORRTÄLJE</t>
        </is>
      </c>
      <c r="G640" t="n">
        <v>2.4</v>
      </c>
      <c r="H640" t="n">
        <v>0</v>
      </c>
      <c r="I640" t="n">
        <v>0</v>
      </c>
      <c r="J640" t="n">
        <v>0</v>
      </c>
      <c r="K640" t="n">
        <v>0</v>
      </c>
      <c r="L640" t="n">
        <v>0</v>
      </c>
      <c r="M640" t="n">
        <v>0</v>
      </c>
      <c r="N640" t="n">
        <v>0</v>
      </c>
      <c r="O640" t="n">
        <v>0</v>
      </c>
      <c r="P640" t="n">
        <v>0</v>
      </c>
      <c r="Q640" t="n">
        <v>0</v>
      </c>
      <c r="R640" s="2" t="inlineStr"/>
    </row>
    <row r="641" ht="15" customHeight="1">
      <c r="A641" t="inlineStr">
        <is>
          <t>A 37550-2022</t>
        </is>
      </c>
      <c r="B641" s="1" t="n">
        <v>44809</v>
      </c>
      <c r="C641" s="1" t="n">
        <v>45908</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7603-2025</t>
        </is>
      </c>
      <c r="B642" s="1" t="n">
        <v>45705.66126157407</v>
      </c>
      <c r="C642" s="1" t="n">
        <v>45908</v>
      </c>
      <c r="D642" t="inlineStr">
        <is>
          <t>STOCKHOLMS LÄN</t>
        </is>
      </c>
      <c r="E642" t="inlineStr">
        <is>
          <t>NORRTÄLJE</t>
        </is>
      </c>
      <c r="F642" t="inlineStr">
        <is>
          <t>Holmen skog AB</t>
        </is>
      </c>
      <c r="G642" t="n">
        <v>2.4</v>
      </c>
      <c r="H642" t="n">
        <v>0</v>
      </c>
      <c r="I642" t="n">
        <v>0</v>
      </c>
      <c r="J642" t="n">
        <v>0</v>
      </c>
      <c r="K642" t="n">
        <v>0</v>
      </c>
      <c r="L642" t="n">
        <v>0</v>
      </c>
      <c r="M642" t="n">
        <v>0</v>
      </c>
      <c r="N642" t="n">
        <v>0</v>
      </c>
      <c r="O642" t="n">
        <v>0</v>
      </c>
      <c r="P642" t="n">
        <v>0</v>
      </c>
      <c r="Q642" t="n">
        <v>0</v>
      </c>
      <c r="R642" s="2" t="inlineStr"/>
    </row>
    <row r="643" ht="15" customHeight="1">
      <c r="A643" t="inlineStr">
        <is>
          <t>A 30802-2022</t>
        </is>
      </c>
      <c r="B643" s="1" t="n">
        <v>44764</v>
      </c>
      <c r="C643" s="1" t="n">
        <v>45908</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29250-2025</t>
        </is>
      </c>
      <c r="B644" s="1" t="n">
        <v>45824.37275462963</v>
      </c>
      <c r="C644" s="1" t="n">
        <v>45908</v>
      </c>
      <c r="D644" t="inlineStr">
        <is>
          <t>STOCKHOLMS LÄN</t>
        </is>
      </c>
      <c r="E644" t="inlineStr">
        <is>
          <t>NORRTÄLJE</t>
        </is>
      </c>
      <c r="F644" t="inlineStr">
        <is>
          <t>Sveaskog</t>
        </is>
      </c>
      <c r="G644" t="n">
        <v>6.4</v>
      </c>
      <c r="H644" t="n">
        <v>0</v>
      </c>
      <c r="I644" t="n">
        <v>0</v>
      </c>
      <c r="J644" t="n">
        <v>0</v>
      </c>
      <c r="K644" t="n">
        <v>0</v>
      </c>
      <c r="L644" t="n">
        <v>0</v>
      </c>
      <c r="M644" t="n">
        <v>0</v>
      </c>
      <c r="N644" t="n">
        <v>0</v>
      </c>
      <c r="O644" t="n">
        <v>0</v>
      </c>
      <c r="P644" t="n">
        <v>0</v>
      </c>
      <c r="Q644" t="n">
        <v>0</v>
      </c>
      <c r="R644" s="2" t="inlineStr"/>
    </row>
    <row r="645" ht="15" customHeight="1">
      <c r="A645" t="inlineStr">
        <is>
          <t>A 36396-2025</t>
        </is>
      </c>
      <c r="B645" s="1" t="n">
        <v>45868.62267361111</v>
      </c>
      <c r="C645" s="1" t="n">
        <v>45908</v>
      </c>
      <c r="D645" t="inlineStr">
        <is>
          <t>STOCKHOLMS LÄN</t>
        </is>
      </c>
      <c r="E645" t="inlineStr">
        <is>
          <t>NORRTÄLJE</t>
        </is>
      </c>
      <c r="G645" t="n">
        <v>4.1</v>
      </c>
      <c r="H645" t="n">
        <v>0</v>
      </c>
      <c r="I645" t="n">
        <v>0</v>
      </c>
      <c r="J645" t="n">
        <v>0</v>
      </c>
      <c r="K645" t="n">
        <v>0</v>
      </c>
      <c r="L645" t="n">
        <v>0</v>
      </c>
      <c r="M645" t="n">
        <v>0</v>
      </c>
      <c r="N645" t="n">
        <v>0</v>
      </c>
      <c r="O645" t="n">
        <v>0</v>
      </c>
      <c r="P645" t="n">
        <v>0</v>
      </c>
      <c r="Q645" t="n">
        <v>0</v>
      </c>
      <c r="R645" s="2" t="inlineStr"/>
    </row>
    <row r="646" ht="15" customHeight="1">
      <c r="A646" t="inlineStr">
        <is>
          <t>A 30799-2025</t>
        </is>
      </c>
      <c r="B646" s="1" t="n">
        <v>45831.65079861111</v>
      </c>
      <c r="C646" s="1" t="n">
        <v>45908</v>
      </c>
      <c r="D646" t="inlineStr">
        <is>
          <t>STOCKHOLMS LÄN</t>
        </is>
      </c>
      <c r="E646" t="inlineStr">
        <is>
          <t>NORRTÄLJE</t>
        </is>
      </c>
      <c r="F646" t="inlineStr">
        <is>
          <t>Holmen skog AB</t>
        </is>
      </c>
      <c r="G646" t="n">
        <v>7.9</v>
      </c>
      <c r="H646" t="n">
        <v>0</v>
      </c>
      <c r="I646" t="n">
        <v>0</v>
      </c>
      <c r="J646" t="n">
        <v>0</v>
      </c>
      <c r="K646" t="n">
        <v>0</v>
      </c>
      <c r="L646" t="n">
        <v>0</v>
      </c>
      <c r="M646" t="n">
        <v>0</v>
      </c>
      <c r="N646" t="n">
        <v>0</v>
      </c>
      <c r="O646" t="n">
        <v>0</v>
      </c>
      <c r="P646" t="n">
        <v>0</v>
      </c>
      <c r="Q646" t="n">
        <v>0</v>
      </c>
      <c r="R646" s="2" t="inlineStr"/>
    </row>
    <row r="647" ht="15" customHeight="1">
      <c r="A647" t="inlineStr">
        <is>
          <t>A 30699-2025</t>
        </is>
      </c>
      <c r="B647" s="1" t="n">
        <v>45831.54618055555</v>
      </c>
      <c r="C647" s="1" t="n">
        <v>45908</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55369-2023</t>
        </is>
      </c>
      <c r="B648" s="1" t="n">
        <v>45238</v>
      </c>
      <c r="C648" s="1" t="n">
        <v>45908</v>
      </c>
      <c r="D648" t="inlineStr">
        <is>
          <t>STOCKHOLMS LÄN</t>
        </is>
      </c>
      <c r="E648" t="inlineStr">
        <is>
          <t>NORRTÄLJE</t>
        </is>
      </c>
      <c r="G648" t="n">
        <v>0.4</v>
      </c>
      <c r="H648" t="n">
        <v>0</v>
      </c>
      <c r="I648" t="n">
        <v>0</v>
      </c>
      <c r="J648" t="n">
        <v>0</v>
      </c>
      <c r="K648" t="n">
        <v>0</v>
      </c>
      <c r="L648" t="n">
        <v>0</v>
      </c>
      <c r="M648" t="n">
        <v>0</v>
      </c>
      <c r="N648" t="n">
        <v>0</v>
      </c>
      <c r="O648" t="n">
        <v>0</v>
      </c>
      <c r="P648" t="n">
        <v>0</v>
      </c>
      <c r="Q648" t="n">
        <v>0</v>
      </c>
      <c r="R648" s="2" t="inlineStr"/>
    </row>
    <row r="649" ht="15" customHeight="1">
      <c r="A649" t="inlineStr">
        <is>
          <t>A 30639-2025</t>
        </is>
      </c>
      <c r="B649" s="1" t="n">
        <v>45831.4844212963</v>
      </c>
      <c r="C649" s="1" t="n">
        <v>45908</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30668-2025</t>
        </is>
      </c>
      <c r="B650" s="1" t="n">
        <v>45831.51659722222</v>
      </c>
      <c r="C650" s="1" t="n">
        <v>45908</v>
      </c>
      <c r="D650" t="inlineStr">
        <is>
          <t>STOCKHOLMS LÄN</t>
        </is>
      </c>
      <c r="E650" t="inlineStr">
        <is>
          <t>NORRTÄLJE</t>
        </is>
      </c>
      <c r="G650" t="n">
        <v>4.9</v>
      </c>
      <c r="H650" t="n">
        <v>0</v>
      </c>
      <c r="I650" t="n">
        <v>0</v>
      </c>
      <c r="J650" t="n">
        <v>0</v>
      </c>
      <c r="K650" t="n">
        <v>0</v>
      </c>
      <c r="L650" t="n">
        <v>0</v>
      </c>
      <c r="M650" t="n">
        <v>0</v>
      </c>
      <c r="N650" t="n">
        <v>0</v>
      </c>
      <c r="O650" t="n">
        <v>0</v>
      </c>
      <c r="P650" t="n">
        <v>0</v>
      </c>
      <c r="Q650" t="n">
        <v>0</v>
      </c>
      <c r="R650" s="2" t="inlineStr"/>
    </row>
    <row r="651" ht="15" customHeight="1">
      <c r="A651" t="inlineStr">
        <is>
          <t>A 48161-2022</t>
        </is>
      </c>
      <c r="B651" s="1" t="n">
        <v>44858</v>
      </c>
      <c r="C651" s="1" t="n">
        <v>45908</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48798-2021</t>
        </is>
      </c>
      <c r="B652" s="1" t="n">
        <v>44452</v>
      </c>
      <c r="C652" s="1" t="n">
        <v>45908</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12111-2021</t>
        </is>
      </c>
      <c r="B653" s="1" t="n">
        <v>44266</v>
      </c>
      <c r="C653" s="1" t="n">
        <v>45908</v>
      </c>
      <c r="D653" t="inlineStr">
        <is>
          <t>STOCKHOLMS LÄN</t>
        </is>
      </c>
      <c r="E653" t="inlineStr">
        <is>
          <t>NORRTÄLJE</t>
        </is>
      </c>
      <c r="G653" t="n">
        <v>5.5</v>
      </c>
      <c r="H653" t="n">
        <v>0</v>
      </c>
      <c r="I653" t="n">
        <v>0</v>
      </c>
      <c r="J653" t="n">
        <v>0</v>
      </c>
      <c r="K653" t="n">
        <v>0</v>
      </c>
      <c r="L653" t="n">
        <v>0</v>
      </c>
      <c r="M653" t="n">
        <v>0</v>
      </c>
      <c r="N653" t="n">
        <v>0</v>
      </c>
      <c r="O653" t="n">
        <v>0</v>
      </c>
      <c r="P653" t="n">
        <v>0</v>
      </c>
      <c r="Q653" t="n">
        <v>0</v>
      </c>
      <c r="R653" s="2" t="inlineStr"/>
    </row>
    <row r="654" ht="15" customHeight="1">
      <c r="A654" t="inlineStr">
        <is>
          <t>A 54776-2023</t>
        </is>
      </c>
      <c r="B654" s="1" t="n">
        <v>45236.46369212963</v>
      </c>
      <c r="C654" s="1" t="n">
        <v>45908</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26639-2023</t>
        </is>
      </c>
      <c r="B655" s="1" t="n">
        <v>45092</v>
      </c>
      <c r="C655" s="1" t="n">
        <v>45908</v>
      </c>
      <c r="D655" t="inlineStr">
        <is>
          <t>STOCKHOLMS LÄN</t>
        </is>
      </c>
      <c r="E655" t="inlineStr">
        <is>
          <t>NORRTÄLJE</t>
        </is>
      </c>
      <c r="G655" t="n">
        <v>3.4</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45908</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31170-2025</t>
        </is>
      </c>
      <c r="B657" s="1" t="n">
        <v>45832.66385416667</v>
      </c>
      <c r="C657" s="1" t="n">
        <v>45908</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61113-2023</t>
        </is>
      </c>
      <c r="B658" s="1" t="n">
        <v>45261</v>
      </c>
      <c r="C658" s="1" t="n">
        <v>45908</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3283-2025</t>
        </is>
      </c>
      <c r="B659" s="1" t="n">
        <v>45679</v>
      </c>
      <c r="C659" s="1" t="n">
        <v>45908</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31880-2025</t>
        </is>
      </c>
      <c r="B660" s="1" t="n">
        <v>45834.65538194445</v>
      </c>
      <c r="C660" s="1" t="n">
        <v>45908</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32122-2025</t>
        </is>
      </c>
      <c r="B661" s="1" t="n">
        <v>45835.4928125</v>
      </c>
      <c r="C661" s="1" t="n">
        <v>45908</v>
      </c>
      <c r="D661" t="inlineStr">
        <is>
          <t>STOCKHOLMS LÄN</t>
        </is>
      </c>
      <c r="E661" t="inlineStr">
        <is>
          <t>NORRTÄLJE</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31868-2025</t>
        </is>
      </c>
      <c r="B662" s="1" t="n">
        <v>45834.6447337963</v>
      </c>
      <c r="C662" s="1" t="n">
        <v>45908</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6413-2025</t>
        </is>
      </c>
      <c r="B663" s="1" t="n">
        <v>45699.46283564815</v>
      </c>
      <c r="C663" s="1" t="n">
        <v>45908</v>
      </c>
      <c r="D663" t="inlineStr">
        <is>
          <t>STOCKHOLMS LÄN</t>
        </is>
      </c>
      <c r="E663" t="inlineStr">
        <is>
          <t>NORRTÄLJE</t>
        </is>
      </c>
      <c r="G663" t="n">
        <v>3.6</v>
      </c>
      <c r="H663" t="n">
        <v>0</v>
      </c>
      <c r="I663" t="n">
        <v>0</v>
      </c>
      <c r="J663" t="n">
        <v>0</v>
      </c>
      <c r="K663" t="n">
        <v>0</v>
      </c>
      <c r="L663" t="n">
        <v>0</v>
      </c>
      <c r="M663" t="n">
        <v>0</v>
      </c>
      <c r="N663" t="n">
        <v>0</v>
      </c>
      <c r="O663" t="n">
        <v>0</v>
      </c>
      <c r="P663" t="n">
        <v>0</v>
      </c>
      <c r="Q663" t="n">
        <v>0</v>
      </c>
      <c r="R663" s="2" t="inlineStr"/>
    </row>
    <row r="664" ht="15" customHeight="1">
      <c r="A664" t="inlineStr">
        <is>
          <t>A 34295-2024</t>
        </is>
      </c>
      <c r="B664" s="1" t="n">
        <v>45524</v>
      </c>
      <c r="C664" s="1" t="n">
        <v>45908</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32016-2025</t>
        </is>
      </c>
      <c r="B665" s="1" t="n">
        <v>45835</v>
      </c>
      <c r="C665" s="1" t="n">
        <v>45908</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55952-2024</t>
        </is>
      </c>
      <c r="B666" s="1" t="n">
        <v>45623.62563657408</v>
      </c>
      <c r="C666" s="1" t="n">
        <v>45908</v>
      </c>
      <c r="D666" t="inlineStr">
        <is>
          <t>STOCKHOLMS LÄN</t>
        </is>
      </c>
      <c r="E666" t="inlineStr">
        <is>
          <t>NORRTÄLJE</t>
        </is>
      </c>
      <c r="F666" t="inlineStr">
        <is>
          <t>Holmen skog AB</t>
        </is>
      </c>
      <c r="G666" t="n">
        <v>2.8</v>
      </c>
      <c r="H666" t="n">
        <v>0</v>
      </c>
      <c r="I666" t="n">
        <v>0</v>
      </c>
      <c r="J666" t="n">
        <v>0</v>
      </c>
      <c r="K666" t="n">
        <v>0</v>
      </c>
      <c r="L666" t="n">
        <v>0</v>
      </c>
      <c r="M666" t="n">
        <v>0</v>
      </c>
      <c r="N666" t="n">
        <v>0</v>
      </c>
      <c r="O666" t="n">
        <v>0</v>
      </c>
      <c r="P666" t="n">
        <v>0</v>
      </c>
      <c r="Q666" t="n">
        <v>0</v>
      </c>
      <c r="R666" s="2" t="inlineStr"/>
    </row>
    <row r="667" ht="15" customHeight="1">
      <c r="A667" t="inlineStr">
        <is>
          <t>A 8135-2025</t>
        </is>
      </c>
      <c r="B667" s="1" t="n">
        <v>45707.84997685185</v>
      </c>
      <c r="C667" s="1" t="n">
        <v>45908</v>
      </c>
      <c r="D667" t="inlineStr">
        <is>
          <t>STOCKHOLMS LÄN</t>
        </is>
      </c>
      <c r="E667" t="inlineStr">
        <is>
          <t>NORRTÄLJE</t>
        </is>
      </c>
      <c r="G667" t="n">
        <v>2.6</v>
      </c>
      <c r="H667" t="n">
        <v>0</v>
      </c>
      <c r="I667" t="n">
        <v>0</v>
      </c>
      <c r="J667" t="n">
        <v>0</v>
      </c>
      <c r="K667" t="n">
        <v>0</v>
      </c>
      <c r="L667" t="n">
        <v>0</v>
      </c>
      <c r="M667" t="n">
        <v>0</v>
      </c>
      <c r="N667" t="n">
        <v>0</v>
      </c>
      <c r="O667" t="n">
        <v>0</v>
      </c>
      <c r="P667" t="n">
        <v>0</v>
      </c>
      <c r="Q667" t="n">
        <v>0</v>
      </c>
      <c r="R667" s="2" t="inlineStr"/>
    </row>
    <row r="668" ht="15" customHeight="1">
      <c r="A668" t="inlineStr">
        <is>
          <t>A 32283-2025</t>
        </is>
      </c>
      <c r="B668" s="1" t="n">
        <v>45835.68076388889</v>
      </c>
      <c r="C668" s="1" t="n">
        <v>45908</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3383-2023</t>
        </is>
      </c>
      <c r="B669" s="1" t="n">
        <v>44949</v>
      </c>
      <c r="C669" s="1" t="n">
        <v>45908</v>
      </c>
      <c r="D669" t="inlineStr">
        <is>
          <t>STOCKHOLMS LÄN</t>
        </is>
      </c>
      <c r="E669" t="inlineStr">
        <is>
          <t>NORRTÄLJE</t>
        </is>
      </c>
      <c r="G669" t="n">
        <v>14.6</v>
      </c>
      <c r="H669" t="n">
        <v>0</v>
      </c>
      <c r="I669" t="n">
        <v>0</v>
      </c>
      <c r="J669" t="n">
        <v>0</v>
      </c>
      <c r="K669" t="n">
        <v>0</v>
      </c>
      <c r="L669" t="n">
        <v>0</v>
      </c>
      <c r="M669" t="n">
        <v>0</v>
      </c>
      <c r="N669" t="n">
        <v>0</v>
      </c>
      <c r="O669" t="n">
        <v>0</v>
      </c>
      <c r="P669" t="n">
        <v>0</v>
      </c>
      <c r="Q669" t="n">
        <v>0</v>
      </c>
      <c r="R669" s="2" t="inlineStr"/>
    </row>
    <row r="670" ht="15" customHeight="1">
      <c r="A670" t="inlineStr">
        <is>
          <t>A 3444-2023</t>
        </is>
      </c>
      <c r="B670" s="1" t="n">
        <v>44949</v>
      </c>
      <c r="C670" s="1" t="n">
        <v>45908</v>
      </c>
      <c r="D670" t="inlineStr">
        <is>
          <t>STOCKHOLMS LÄN</t>
        </is>
      </c>
      <c r="E670" t="inlineStr">
        <is>
          <t>NORRTÄLJE</t>
        </is>
      </c>
      <c r="G670" t="n">
        <v>5.1</v>
      </c>
      <c r="H670" t="n">
        <v>0</v>
      </c>
      <c r="I670" t="n">
        <v>0</v>
      </c>
      <c r="J670" t="n">
        <v>0</v>
      </c>
      <c r="K670" t="n">
        <v>0</v>
      </c>
      <c r="L670" t="n">
        <v>0</v>
      </c>
      <c r="M670" t="n">
        <v>0</v>
      </c>
      <c r="N670" t="n">
        <v>0</v>
      </c>
      <c r="O670" t="n">
        <v>0</v>
      </c>
      <c r="P670" t="n">
        <v>0</v>
      </c>
      <c r="Q670" t="n">
        <v>0</v>
      </c>
      <c r="R670" s="2" t="inlineStr"/>
    </row>
    <row r="671" ht="15" customHeight="1">
      <c r="A671" t="inlineStr">
        <is>
          <t>A 31874-2025</t>
        </is>
      </c>
      <c r="B671" s="1" t="n">
        <v>45834</v>
      </c>
      <c r="C671" s="1" t="n">
        <v>45908</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37261-2025</t>
        </is>
      </c>
      <c r="B672" s="1" t="n">
        <v>45876.45253472222</v>
      </c>
      <c r="C672" s="1" t="n">
        <v>45908</v>
      </c>
      <c r="D672" t="inlineStr">
        <is>
          <t>STOCKHOLMS LÄN</t>
        </is>
      </c>
      <c r="E672" t="inlineStr">
        <is>
          <t>NORRTÄLJE</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32094-2025</t>
        </is>
      </c>
      <c r="B673" s="1" t="n">
        <v>45835.46034722222</v>
      </c>
      <c r="C673" s="1" t="n">
        <v>45908</v>
      </c>
      <c r="D673" t="inlineStr">
        <is>
          <t>STOCKHOLMS LÄN</t>
        </is>
      </c>
      <c r="E673" t="inlineStr">
        <is>
          <t>NORRTÄLJE</t>
        </is>
      </c>
      <c r="F673" t="inlineStr">
        <is>
          <t>Holmen skog AB</t>
        </is>
      </c>
      <c r="G673" t="n">
        <v>2.9</v>
      </c>
      <c r="H673" t="n">
        <v>0</v>
      </c>
      <c r="I673" t="n">
        <v>0</v>
      </c>
      <c r="J673" t="n">
        <v>0</v>
      </c>
      <c r="K673" t="n">
        <v>0</v>
      </c>
      <c r="L673" t="n">
        <v>0</v>
      </c>
      <c r="M673" t="n">
        <v>0</v>
      </c>
      <c r="N673" t="n">
        <v>0</v>
      </c>
      <c r="O673" t="n">
        <v>0</v>
      </c>
      <c r="P673" t="n">
        <v>0</v>
      </c>
      <c r="Q673" t="n">
        <v>0</v>
      </c>
      <c r="R673" s="2" t="inlineStr"/>
    </row>
    <row r="674" ht="15" customHeight="1">
      <c r="A674" t="inlineStr">
        <is>
          <t>A 58311-2023</t>
        </is>
      </c>
      <c r="B674" s="1" t="n">
        <v>45245</v>
      </c>
      <c r="C674" s="1" t="n">
        <v>45908</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23692-2024</t>
        </is>
      </c>
      <c r="B675" s="1" t="n">
        <v>45454.65774305556</v>
      </c>
      <c r="C675" s="1" t="n">
        <v>45908</v>
      </c>
      <c r="D675" t="inlineStr">
        <is>
          <t>STOCKHOLMS LÄN</t>
        </is>
      </c>
      <c r="E675" t="inlineStr">
        <is>
          <t>NORRTÄLJE</t>
        </is>
      </c>
      <c r="G675" t="n">
        <v>3.7</v>
      </c>
      <c r="H675" t="n">
        <v>0</v>
      </c>
      <c r="I675" t="n">
        <v>0</v>
      </c>
      <c r="J675" t="n">
        <v>0</v>
      </c>
      <c r="K675" t="n">
        <v>0</v>
      </c>
      <c r="L675" t="n">
        <v>0</v>
      </c>
      <c r="M675" t="n">
        <v>0</v>
      </c>
      <c r="N675" t="n">
        <v>0</v>
      </c>
      <c r="O675" t="n">
        <v>0</v>
      </c>
      <c r="P675" t="n">
        <v>0</v>
      </c>
      <c r="Q675" t="n">
        <v>0</v>
      </c>
      <c r="R675" s="2" t="inlineStr"/>
    </row>
    <row r="676" ht="15" customHeight="1">
      <c r="A676" t="inlineStr">
        <is>
          <t>A 32480-2025</t>
        </is>
      </c>
      <c r="B676" s="1" t="n">
        <v>45838.43261574074</v>
      </c>
      <c r="C676" s="1" t="n">
        <v>45908</v>
      </c>
      <c r="D676" t="inlineStr">
        <is>
          <t>STOCKHOLMS LÄN</t>
        </is>
      </c>
      <c r="E676" t="inlineStr">
        <is>
          <t>NORRTÄLJE</t>
        </is>
      </c>
      <c r="F676" t="inlineStr">
        <is>
          <t>Holmen skog AB</t>
        </is>
      </c>
      <c r="G676" t="n">
        <v>0.7</v>
      </c>
      <c r="H676" t="n">
        <v>0</v>
      </c>
      <c r="I676" t="n">
        <v>0</v>
      </c>
      <c r="J676" t="n">
        <v>0</v>
      </c>
      <c r="K676" t="n">
        <v>0</v>
      </c>
      <c r="L676" t="n">
        <v>0</v>
      </c>
      <c r="M676" t="n">
        <v>0</v>
      </c>
      <c r="N676" t="n">
        <v>0</v>
      </c>
      <c r="O676" t="n">
        <v>0</v>
      </c>
      <c r="P676" t="n">
        <v>0</v>
      </c>
      <c r="Q676" t="n">
        <v>0</v>
      </c>
      <c r="R676" s="2" t="inlineStr"/>
    </row>
    <row r="677" ht="15" customHeight="1">
      <c r="A677" t="inlineStr">
        <is>
          <t>A 37632-2025</t>
        </is>
      </c>
      <c r="B677" s="1" t="n">
        <v>45880.46524305556</v>
      </c>
      <c r="C677" s="1" t="n">
        <v>45908</v>
      </c>
      <c r="D677" t="inlineStr">
        <is>
          <t>STOCKHOLMS LÄN</t>
        </is>
      </c>
      <c r="E677" t="inlineStr">
        <is>
          <t>NORRTÄLJE</t>
        </is>
      </c>
      <c r="F677" t="inlineStr">
        <is>
          <t>Sveaskog</t>
        </is>
      </c>
      <c r="G677" t="n">
        <v>6.4</v>
      </c>
      <c r="H677" t="n">
        <v>0</v>
      </c>
      <c r="I677" t="n">
        <v>0</v>
      </c>
      <c r="J677" t="n">
        <v>0</v>
      </c>
      <c r="K677" t="n">
        <v>0</v>
      </c>
      <c r="L677" t="n">
        <v>0</v>
      </c>
      <c r="M677" t="n">
        <v>0</v>
      </c>
      <c r="N677" t="n">
        <v>0</v>
      </c>
      <c r="O677" t="n">
        <v>0</v>
      </c>
      <c r="P677" t="n">
        <v>0</v>
      </c>
      <c r="Q677" t="n">
        <v>0</v>
      </c>
      <c r="R677" s="2" t="inlineStr"/>
    </row>
    <row r="678" ht="15" customHeight="1">
      <c r="A678" t="inlineStr">
        <is>
          <t>A 32872-2025</t>
        </is>
      </c>
      <c r="B678" s="1" t="n">
        <v>45839</v>
      </c>
      <c r="C678" s="1" t="n">
        <v>45908</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32903-2025</t>
        </is>
      </c>
      <c r="B679" s="1" t="n">
        <v>45839.62398148148</v>
      </c>
      <c r="C679" s="1" t="n">
        <v>45908</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32395-2025</t>
        </is>
      </c>
      <c r="B680" s="1" t="n">
        <v>45837.93730324074</v>
      </c>
      <c r="C680" s="1" t="n">
        <v>45908</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32396-2025</t>
        </is>
      </c>
      <c r="B681" s="1" t="n">
        <v>45837</v>
      </c>
      <c r="C681" s="1" t="n">
        <v>45908</v>
      </c>
      <c r="D681" t="inlineStr">
        <is>
          <t>STOCKHOLMS LÄN</t>
        </is>
      </c>
      <c r="E681" t="inlineStr">
        <is>
          <t>NORRTÄLJE</t>
        </is>
      </c>
      <c r="G681" t="n">
        <v>2</v>
      </c>
      <c r="H681" t="n">
        <v>0</v>
      </c>
      <c r="I681" t="n">
        <v>0</v>
      </c>
      <c r="J681" t="n">
        <v>0</v>
      </c>
      <c r="K681" t="n">
        <v>0</v>
      </c>
      <c r="L681" t="n">
        <v>0</v>
      </c>
      <c r="M681" t="n">
        <v>0</v>
      </c>
      <c r="N681" t="n">
        <v>0</v>
      </c>
      <c r="O681" t="n">
        <v>0</v>
      </c>
      <c r="P681" t="n">
        <v>0</v>
      </c>
      <c r="Q681" t="n">
        <v>0</v>
      </c>
      <c r="R681" s="2" t="inlineStr"/>
    </row>
    <row r="682" ht="15" customHeight="1">
      <c r="A682" t="inlineStr">
        <is>
          <t>A 32397-2025</t>
        </is>
      </c>
      <c r="B682" s="1" t="n">
        <v>45837.94081018519</v>
      </c>
      <c r="C682" s="1" t="n">
        <v>45908</v>
      </c>
      <c r="D682" t="inlineStr">
        <is>
          <t>STOCKHOLMS LÄN</t>
        </is>
      </c>
      <c r="E682" t="inlineStr">
        <is>
          <t>NORRTÄLJE</t>
        </is>
      </c>
      <c r="G682" t="n">
        <v>5.9</v>
      </c>
      <c r="H682" t="n">
        <v>0</v>
      </c>
      <c r="I682" t="n">
        <v>0</v>
      </c>
      <c r="J682" t="n">
        <v>0</v>
      </c>
      <c r="K682" t="n">
        <v>0</v>
      </c>
      <c r="L682" t="n">
        <v>0</v>
      </c>
      <c r="M682" t="n">
        <v>0</v>
      </c>
      <c r="N682" t="n">
        <v>0</v>
      </c>
      <c r="O682" t="n">
        <v>0</v>
      </c>
      <c r="P682" t="n">
        <v>0</v>
      </c>
      <c r="Q682" t="n">
        <v>0</v>
      </c>
      <c r="R682" s="2" t="inlineStr"/>
    </row>
    <row r="683" ht="15" customHeight="1">
      <c r="A683" t="inlineStr">
        <is>
          <t>A 37628-2025</t>
        </is>
      </c>
      <c r="B683" s="1" t="n">
        <v>45880.46189814815</v>
      </c>
      <c r="C683" s="1" t="n">
        <v>45908</v>
      </c>
      <c r="D683" t="inlineStr">
        <is>
          <t>STOCKHOLMS LÄN</t>
        </is>
      </c>
      <c r="E683" t="inlineStr">
        <is>
          <t>NORRTÄLJE</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20473-2021</t>
        </is>
      </c>
      <c r="B684" s="1" t="n">
        <v>44315</v>
      </c>
      <c r="C684" s="1" t="n">
        <v>45908</v>
      </c>
      <c r="D684" t="inlineStr">
        <is>
          <t>STOCKHOLMS LÄN</t>
        </is>
      </c>
      <c r="E684" t="inlineStr">
        <is>
          <t>NORRTÄLJE</t>
        </is>
      </c>
      <c r="F684" t="inlineStr">
        <is>
          <t>Övriga Aktiebolag</t>
        </is>
      </c>
      <c r="G684" t="n">
        <v>3.6</v>
      </c>
      <c r="H684" t="n">
        <v>0</v>
      </c>
      <c r="I684" t="n">
        <v>0</v>
      </c>
      <c r="J684" t="n">
        <v>0</v>
      </c>
      <c r="K684" t="n">
        <v>0</v>
      </c>
      <c r="L684" t="n">
        <v>0</v>
      </c>
      <c r="M684" t="n">
        <v>0</v>
      </c>
      <c r="N684" t="n">
        <v>0</v>
      </c>
      <c r="O684" t="n">
        <v>0</v>
      </c>
      <c r="P684" t="n">
        <v>0</v>
      </c>
      <c r="Q684" t="n">
        <v>0</v>
      </c>
      <c r="R684" s="2" t="inlineStr"/>
    </row>
    <row r="685" ht="15" customHeight="1">
      <c r="A685" t="inlineStr">
        <is>
          <t>A 37630-2025</t>
        </is>
      </c>
      <c r="B685" s="1" t="n">
        <v>45880.46372685185</v>
      </c>
      <c r="C685" s="1" t="n">
        <v>45908</v>
      </c>
      <c r="D685" t="inlineStr">
        <is>
          <t>STOCKHOLMS LÄN</t>
        </is>
      </c>
      <c r="E685" t="inlineStr">
        <is>
          <t>NORRTÄLJE</t>
        </is>
      </c>
      <c r="F685" t="inlineStr">
        <is>
          <t>Sveaskog</t>
        </is>
      </c>
      <c r="G685" t="n">
        <v>12.9</v>
      </c>
      <c r="H685" t="n">
        <v>0</v>
      </c>
      <c r="I685" t="n">
        <v>0</v>
      </c>
      <c r="J685" t="n">
        <v>0</v>
      </c>
      <c r="K685" t="n">
        <v>0</v>
      </c>
      <c r="L685" t="n">
        <v>0</v>
      </c>
      <c r="M685" t="n">
        <v>0</v>
      </c>
      <c r="N685" t="n">
        <v>0</v>
      </c>
      <c r="O685" t="n">
        <v>0</v>
      </c>
      <c r="P685" t="n">
        <v>0</v>
      </c>
      <c r="Q685" t="n">
        <v>0</v>
      </c>
      <c r="R685" s="2" t="inlineStr"/>
    </row>
    <row r="686" ht="15" customHeight="1">
      <c r="A686" t="inlineStr">
        <is>
          <t>A 13148-2021</t>
        </is>
      </c>
      <c r="B686" s="1" t="n">
        <v>44272</v>
      </c>
      <c r="C686" s="1" t="n">
        <v>45908</v>
      </c>
      <c r="D686" t="inlineStr">
        <is>
          <t>STOCKHOLMS LÄN</t>
        </is>
      </c>
      <c r="E686" t="inlineStr">
        <is>
          <t>NORRTÄLJE</t>
        </is>
      </c>
      <c r="G686" t="n">
        <v>12.4</v>
      </c>
      <c r="H686" t="n">
        <v>0</v>
      </c>
      <c r="I686" t="n">
        <v>0</v>
      </c>
      <c r="J686" t="n">
        <v>0</v>
      </c>
      <c r="K686" t="n">
        <v>0</v>
      </c>
      <c r="L686" t="n">
        <v>0</v>
      </c>
      <c r="M686" t="n">
        <v>0</v>
      </c>
      <c r="N686" t="n">
        <v>0</v>
      </c>
      <c r="O686" t="n">
        <v>0</v>
      </c>
      <c r="P686" t="n">
        <v>0</v>
      </c>
      <c r="Q686" t="n">
        <v>0</v>
      </c>
      <c r="R686" s="2" t="inlineStr"/>
    </row>
    <row r="687" ht="15" customHeight="1">
      <c r="A687" t="inlineStr">
        <is>
          <t>A 33702-2025</t>
        </is>
      </c>
      <c r="B687" s="1" t="n">
        <v>45841.74596064815</v>
      </c>
      <c r="C687" s="1" t="n">
        <v>45908</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21732-2023</t>
        </is>
      </c>
      <c r="B688" s="1" t="n">
        <v>45063</v>
      </c>
      <c r="C688" s="1" t="n">
        <v>45908</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23307-2024</t>
        </is>
      </c>
      <c r="B689" s="1" t="n">
        <v>45453</v>
      </c>
      <c r="C689" s="1" t="n">
        <v>45908</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33211-2025</t>
        </is>
      </c>
      <c r="B690" s="1" t="n">
        <v>45840.62755787037</v>
      </c>
      <c r="C690" s="1" t="n">
        <v>45908</v>
      </c>
      <c r="D690" t="inlineStr">
        <is>
          <t>STOCKHOLMS LÄN</t>
        </is>
      </c>
      <c r="E690" t="inlineStr">
        <is>
          <t>NORRTÄLJE</t>
        </is>
      </c>
      <c r="G690" t="n">
        <v>5.1</v>
      </c>
      <c r="H690" t="n">
        <v>0</v>
      </c>
      <c r="I690" t="n">
        <v>0</v>
      </c>
      <c r="J690" t="n">
        <v>0</v>
      </c>
      <c r="K690" t="n">
        <v>0</v>
      </c>
      <c r="L690" t="n">
        <v>0</v>
      </c>
      <c r="M690" t="n">
        <v>0</v>
      </c>
      <c r="N690" t="n">
        <v>0</v>
      </c>
      <c r="O690" t="n">
        <v>0</v>
      </c>
      <c r="P690" t="n">
        <v>0</v>
      </c>
      <c r="Q690" t="n">
        <v>0</v>
      </c>
      <c r="R690" s="2" t="inlineStr"/>
    </row>
    <row r="691" ht="15" customHeight="1">
      <c r="A691" t="inlineStr">
        <is>
          <t>A 38153-2025</t>
        </is>
      </c>
      <c r="B691" s="1" t="n">
        <v>45882.59722222222</v>
      </c>
      <c r="C691" s="1" t="n">
        <v>45908</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33265-2025</t>
        </is>
      </c>
      <c r="B692" s="1" t="n">
        <v>45840.67829861111</v>
      </c>
      <c r="C692" s="1" t="n">
        <v>45908</v>
      </c>
      <c r="D692" t="inlineStr">
        <is>
          <t>STOCKHOLMS LÄN</t>
        </is>
      </c>
      <c r="E692" t="inlineStr">
        <is>
          <t>NORRTÄLJE</t>
        </is>
      </c>
      <c r="G692" t="n">
        <v>5.5</v>
      </c>
      <c r="H692" t="n">
        <v>0</v>
      </c>
      <c r="I692" t="n">
        <v>0</v>
      </c>
      <c r="J692" t="n">
        <v>0</v>
      </c>
      <c r="K692" t="n">
        <v>0</v>
      </c>
      <c r="L692" t="n">
        <v>0</v>
      </c>
      <c r="M692" t="n">
        <v>0</v>
      </c>
      <c r="N692" t="n">
        <v>0</v>
      </c>
      <c r="O692" t="n">
        <v>0</v>
      </c>
      <c r="P692" t="n">
        <v>0</v>
      </c>
      <c r="Q692" t="n">
        <v>0</v>
      </c>
      <c r="R692" s="2" t="inlineStr"/>
    </row>
    <row r="693" ht="15" customHeight="1">
      <c r="A693" t="inlineStr">
        <is>
          <t>A 33552-2025</t>
        </is>
      </c>
      <c r="B693" s="1" t="n">
        <v>45841.5737962963</v>
      </c>
      <c r="C693" s="1" t="n">
        <v>45908</v>
      </c>
      <c r="D693" t="inlineStr">
        <is>
          <t>STOCKHOLMS LÄN</t>
        </is>
      </c>
      <c r="E693" t="inlineStr">
        <is>
          <t>NORRTÄLJE</t>
        </is>
      </c>
      <c r="G693" t="n">
        <v>8.9</v>
      </c>
      <c r="H693" t="n">
        <v>0</v>
      </c>
      <c r="I693" t="n">
        <v>0</v>
      </c>
      <c r="J693" t="n">
        <v>0</v>
      </c>
      <c r="K693" t="n">
        <v>0</v>
      </c>
      <c r="L693" t="n">
        <v>0</v>
      </c>
      <c r="M693" t="n">
        <v>0</v>
      </c>
      <c r="N693" t="n">
        <v>0</v>
      </c>
      <c r="O693" t="n">
        <v>0</v>
      </c>
      <c r="P693" t="n">
        <v>0</v>
      </c>
      <c r="Q693" t="n">
        <v>0</v>
      </c>
      <c r="R693" s="2" t="inlineStr"/>
    </row>
    <row r="694" ht="15" customHeight="1">
      <c r="A694" t="inlineStr">
        <is>
          <t>A 33336-2025</t>
        </is>
      </c>
      <c r="B694" s="1" t="n">
        <v>45841.35611111111</v>
      </c>
      <c r="C694" s="1" t="n">
        <v>45908</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33824-2025</t>
        </is>
      </c>
      <c r="B695" s="1" t="n">
        <v>45842.46885416667</v>
      </c>
      <c r="C695" s="1" t="n">
        <v>45908</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34006-2025</t>
        </is>
      </c>
      <c r="B696" s="1" t="n">
        <v>45844.62609953704</v>
      </c>
      <c r="C696" s="1" t="n">
        <v>45908</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34139-2025</t>
        </is>
      </c>
      <c r="B697" s="1" t="n">
        <v>45845</v>
      </c>
      <c r="C697" s="1" t="n">
        <v>45908</v>
      </c>
      <c r="D697" t="inlineStr">
        <is>
          <t>STOCKHOLMS LÄN</t>
        </is>
      </c>
      <c r="E697" t="inlineStr">
        <is>
          <t>NORRTÄLJE</t>
        </is>
      </c>
      <c r="G697" t="n">
        <v>5.5</v>
      </c>
      <c r="H697" t="n">
        <v>0</v>
      </c>
      <c r="I697" t="n">
        <v>0</v>
      </c>
      <c r="J697" t="n">
        <v>0</v>
      </c>
      <c r="K697" t="n">
        <v>0</v>
      </c>
      <c r="L697" t="n">
        <v>0</v>
      </c>
      <c r="M697" t="n">
        <v>0</v>
      </c>
      <c r="N697" t="n">
        <v>0</v>
      </c>
      <c r="O697" t="n">
        <v>0</v>
      </c>
      <c r="P697" t="n">
        <v>0</v>
      </c>
      <c r="Q697" t="n">
        <v>0</v>
      </c>
      <c r="R697" s="2" t="inlineStr"/>
    </row>
    <row r="698" ht="15" customHeight="1">
      <c r="A698" t="inlineStr">
        <is>
          <t>A 19728-2022</t>
        </is>
      </c>
      <c r="B698" s="1" t="n">
        <v>44694.57413194444</v>
      </c>
      <c r="C698" s="1" t="n">
        <v>45908</v>
      </c>
      <c r="D698" t="inlineStr">
        <is>
          <t>STOCKHOLMS LÄN</t>
        </is>
      </c>
      <c r="E698" t="inlineStr">
        <is>
          <t>NORRTÄLJE</t>
        </is>
      </c>
      <c r="G698" t="n">
        <v>3.3</v>
      </c>
      <c r="H698" t="n">
        <v>0</v>
      </c>
      <c r="I698" t="n">
        <v>0</v>
      </c>
      <c r="J698" t="n">
        <v>0</v>
      </c>
      <c r="K698" t="n">
        <v>0</v>
      </c>
      <c r="L698" t="n">
        <v>0</v>
      </c>
      <c r="M698" t="n">
        <v>0</v>
      </c>
      <c r="N698" t="n">
        <v>0</v>
      </c>
      <c r="O698" t="n">
        <v>0</v>
      </c>
      <c r="P698" t="n">
        <v>0</v>
      </c>
      <c r="Q698" t="n">
        <v>0</v>
      </c>
      <c r="R698" s="2" t="inlineStr"/>
    </row>
    <row r="699" ht="15" customHeight="1">
      <c r="A699" t="inlineStr">
        <is>
          <t>A 34010-2025</t>
        </is>
      </c>
      <c r="B699" s="1" t="n">
        <v>45844.91234953704</v>
      </c>
      <c r="C699" s="1" t="n">
        <v>45908</v>
      </c>
      <c r="D699" t="inlineStr">
        <is>
          <t>STOCKHOLMS LÄN</t>
        </is>
      </c>
      <c r="E699" t="inlineStr">
        <is>
          <t>NORRTÄLJE</t>
        </is>
      </c>
      <c r="F699" t="inlineStr">
        <is>
          <t>Övriga Aktiebolag</t>
        </is>
      </c>
      <c r="G699" t="n">
        <v>1.1</v>
      </c>
      <c r="H699" t="n">
        <v>0</v>
      </c>
      <c r="I699" t="n">
        <v>0</v>
      </c>
      <c r="J699" t="n">
        <v>0</v>
      </c>
      <c r="K699" t="n">
        <v>0</v>
      </c>
      <c r="L699" t="n">
        <v>0</v>
      </c>
      <c r="M699" t="n">
        <v>0</v>
      </c>
      <c r="N699" t="n">
        <v>0</v>
      </c>
      <c r="O699" t="n">
        <v>0</v>
      </c>
      <c r="P699" t="n">
        <v>0</v>
      </c>
      <c r="Q699" t="n">
        <v>0</v>
      </c>
      <c r="R699" s="2" t="inlineStr"/>
    </row>
    <row r="700" ht="15" customHeight="1">
      <c r="A700" t="inlineStr">
        <is>
          <t>A 53652-2020</t>
        </is>
      </c>
      <c r="B700" s="1" t="n">
        <v>44124</v>
      </c>
      <c r="C700" s="1" t="n">
        <v>45908</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38593-2025</t>
        </is>
      </c>
      <c r="B701" s="1" t="n">
        <v>45884.48696759259</v>
      </c>
      <c r="C701" s="1" t="n">
        <v>45908</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54273-2021</t>
        </is>
      </c>
      <c r="B702" s="1" t="n">
        <v>44470.72987268519</v>
      </c>
      <c r="C702" s="1" t="n">
        <v>45908</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36689-2023</t>
        </is>
      </c>
      <c r="B703" s="1" t="n">
        <v>45152</v>
      </c>
      <c r="C703" s="1" t="n">
        <v>45908</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46073-2024</t>
        </is>
      </c>
      <c r="B704" s="1" t="n">
        <v>45581</v>
      </c>
      <c r="C704" s="1" t="n">
        <v>45908</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3386-2021</t>
        </is>
      </c>
      <c r="B705" s="1" t="n">
        <v>44218</v>
      </c>
      <c r="C705" s="1" t="n">
        <v>45908</v>
      </c>
      <c r="D705" t="inlineStr">
        <is>
          <t>STOCKHOLMS LÄN</t>
        </is>
      </c>
      <c r="E705" t="inlineStr">
        <is>
          <t>NORRTÄLJE</t>
        </is>
      </c>
      <c r="G705" t="n">
        <v>8</v>
      </c>
      <c r="H705" t="n">
        <v>0</v>
      </c>
      <c r="I705" t="n">
        <v>0</v>
      </c>
      <c r="J705" t="n">
        <v>0</v>
      </c>
      <c r="K705" t="n">
        <v>0</v>
      </c>
      <c r="L705" t="n">
        <v>0</v>
      </c>
      <c r="M705" t="n">
        <v>0</v>
      </c>
      <c r="N705" t="n">
        <v>0</v>
      </c>
      <c r="O705" t="n">
        <v>0</v>
      </c>
      <c r="P705" t="n">
        <v>0</v>
      </c>
      <c r="Q705" t="n">
        <v>0</v>
      </c>
      <c r="R705" s="2" t="inlineStr"/>
    </row>
    <row r="706" ht="15" customHeight="1">
      <c r="A706" t="inlineStr">
        <is>
          <t>A 39152-2025</t>
        </is>
      </c>
      <c r="B706" s="1" t="n">
        <v>45888.61357638889</v>
      </c>
      <c r="C706" s="1" t="n">
        <v>45908</v>
      </c>
      <c r="D706" t="inlineStr">
        <is>
          <t>STOCKHOLMS LÄN</t>
        </is>
      </c>
      <c r="E706" t="inlineStr">
        <is>
          <t>NORRTÄLJE</t>
        </is>
      </c>
      <c r="G706" t="n">
        <v>4.6</v>
      </c>
      <c r="H706" t="n">
        <v>0</v>
      </c>
      <c r="I706" t="n">
        <v>0</v>
      </c>
      <c r="J706" t="n">
        <v>0</v>
      </c>
      <c r="K706" t="n">
        <v>0</v>
      </c>
      <c r="L706" t="n">
        <v>0</v>
      </c>
      <c r="M706" t="n">
        <v>0</v>
      </c>
      <c r="N706" t="n">
        <v>0</v>
      </c>
      <c r="O706" t="n">
        <v>0</v>
      </c>
      <c r="P706" t="n">
        <v>0</v>
      </c>
      <c r="Q706" t="n">
        <v>0</v>
      </c>
      <c r="R706" s="2" t="inlineStr"/>
    </row>
    <row r="707" ht="15" customHeight="1">
      <c r="A707" t="inlineStr">
        <is>
          <t>A 39149-2025</t>
        </is>
      </c>
      <c r="B707" s="1" t="n">
        <v>45888.60714120371</v>
      </c>
      <c r="C707" s="1" t="n">
        <v>45908</v>
      </c>
      <c r="D707" t="inlineStr">
        <is>
          <t>STOCKHOLMS LÄN</t>
        </is>
      </c>
      <c r="E707" t="inlineStr">
        <is>
          <t>NORRTÄLJE</t>
        </is>
      </c>
      <c r="G707" t="n">
        <v>3.5</v>
      </c>
      <c r="H707" t="n">
        <v>0</v>
      </c>
      <c r="I707" t="n">
        <v>0</v>
      </c>
      <c r="J707" t="n">
        <v>0</v>
      </c>
      <c r="K707" t="n">
        <v>0</v>
      </c>
      <c r="L707" t="n">
        <v>0</v>
      </c>
      <c r="M707" t="n">
        <v>0</v>
      </c>
      <c r="N707" t="n">
        <v>0</v>
      </c>
      <c r="O707" t="n">
        <v>0</v>
      </c>
      <c r="P707" t="n">
        <v>0</v>
      </c>
      <c r="Q707" t="n">
        <v>0</v>
      </c>
      <c r="R707" s="2" t="inlineStr"/>
    </row>
    <row r="708" ht="15" customHeight="1">
      <c r="A708" t="inlineStr">
        <is>
          <t>A 37085-2021</t>
        </is>
      </c>
      <c r="B708" s="1" t="n">
        <v>44395</v>
      </c>
      <c r="C708" s="1" t="n">
        <v>45908</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56428-2023</t>
        </is>
      </c>
      <c r="B709" s="1" t="n">
        <v>45243.45289351852</v>
      </c>
      <c r="C709" s="1" t="n">
        <v>45908</v>
      </c>
      <c r="D709" t="inlineStr">
        <is>
          <t>STOCKHOLMS LÄN</t>
        </is>
      </c>
      <c r="E709" t="inlineStr">
        <is>
          <t>NORRTÄLJE</t>
        </is>
      </c>
      <c r="F709" t="inlineStr">
        <is>
          <t>Kyrkan</t>
        </is>
      </c>
      <c r="G709" t="n">
        <v>1.3</v>
      </c>
      <c r="H709" t="n">
        <v>0</v>
      </c>
      <c r="I709" t="n">
        <v>0</v>
      </c>
      <c r="J709" t="n">
        <v>0</v>
      </c>
      <c r="K709" t="n">
        <v>0</v>
      </c>
      <c r="L709" t="n">
        <v>0</v>
      </c>
      <c r="M709" t="n">
        <v>0</v>
      </c>
      <c r="N709" t="n">
        <v>0</v>
      </c>
      <c r="O709" t="n">
        <v>0</v>
      </c>
      <c r="P709" t="n">
        <v>0</v>
      </c>
      <c r="Q709" t="n">
        <v>0</v>
      </c>
      <c r="R709" s="2" t="inlineStr"/>
    </row>
    <row r="710" ht="15" customHeight="1">
      <c r="A710" t="inlineStr">
        <is>
          <t>A 7806-2025</t>
        </is>
      </c>
      <c r="B710" s="1" t="n">
        <v>45706.61178240741</v>
      </c>
      <c r="C710" s="1" t="n">
        <v>45908</v>
      </c>
      <c r="D710" t="inlineStr">
        <is>
          <t>STOCKHOLMS LÄN</t>
        </is>
      </c>
      <c r="E710" t="inlineStr">
        <is>
          <t>NORRTÄLJE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39610-2025</t>
        </is>
      </c>
      <c r="B711" s="1" t="n">
        <v>45890.56001157407</v>
      </c>
      <c r="C711" s="1" t="n">
        <v>45908</v>
      </c>
      <c r="D711" t="inlineStr">
        <is>
          <t>STOCKHOLMS LÄN</t>
        </is>
      </c>
      <c r="E711" t="inlineStr">
        <is>
          <t>NORRTÄLJE</t>
        </is>
      </c>
      <c r="G711" t="n">
        <v>28.6</v>
      </c>
      <c r="H711" t="n">
        <v>0</v>
      </c>
      <c r="I711" t="n">
        <v>0</v>
      </c>
      <c r="J711" t="n">
        <v>0</v>
      </c>
      <c r="K711" t="n">
        <v>0</v>
      </c>
      <c r="L711" t="n">
        <v>0</v>
      </c>
      <c r="M711" t="n">
        <v>0</v>
      </c>
      <c r="N711" t="n">
        <v>0</v>
      </c>
      <c r="O711" t="n">
        <v>0</v>
      </c>
      <c r="P711" t="n">
        <v>0</v>
      </c>
      <c r="Q711" t="n">
        <v>0</v>
      </c>
      <c r="R711" s="2" t="inlineStr"/>
    </row>
    <row r="712" ht="15" customHeight="1">
      <c r="A712" t="inlineStr">
        <is>
          <t>A 15733-2025</t>
        </is>
      </c>
      <c r="B712" s="1" t="n">
        <v>45748</v>
      </c>
      <c r="C712" s="1" t="n">
        <v>45908</v>
      </c>
      <c r="D712" t="inlineStr">
        <is>
          <t>STOCKHOLMS LÄN</t>
        </is>
      </c>
      <c r="E712" t="inlineStr">
        <is>
          <t>NORRTÄLJE</t>
        </is>
      </c>
      <c r="G712" t="n">
        <v>13.3</v>
      </c>
      <c r="H712" t="n">
        <v>0</v>
      </c>
      <c r="I712" t="n">
        <v>0</v>
      </c>
      <c r="J712" t="n">
        <v>0</v>
      </c>
      <c r="K712" t="n">
        <v>0</v>
      </c>
      <c r="L712" t="n">
        <v>0</v>
      </c>
      <c r="M712" t="n">
        <v>0</v>
      </c>
      <c r="N712" t="n">
        <v>0</v>
      </c>
      <c r="O712" t="n">
        <v>0</v>
      </c>
      <c r="P712" t="n">
        <v>0</v>
      </c>
      <c r="Q712" t="n">
        <v>0</v>
      </c>
      <c r="R712" s="2" t="inlineStr"/>
    </row>
    <row r="713" ht="15" customHeight="1">
      <c r="A713" t="inlineStr">
        <is>
          <t>A 17556-2025</t>
        </is>
      </c>
      <c r="B713" s="1" t="n">
        <v>45757.62482638889</v>
      </c>
      <c r="C713" s="1" t="n">
        <v>45908</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39692-2025</t>
        </is>
      </c>
      <c r="B714" s="1" t="n">
        <v>45890.68083333333</v>
      </c>
      <c r="C714" s="1" t="n">
        <v>45908</v>
      </c>
      <c r="D714" t="inlineStr">
        <is>
          <t>STOCKHOLMS LÄN</t>
        </is>
      </c>
      <c r="E714" t="inlineStr">
        <is>
          <t>NORRTÄLJE</t>
        </is>
      </c>
      <c r="G714" t="n">
        <v>10.5</v>
      </c>
      <c r="H714" t="n">
        <v>0</v>
      </c>
      <c r="I714" t="n">
        <v>0</v>
      </c>
      <c r="J714" t="n">
        <v>0</v>
      </c>
      <c r="K714" t="n">
        <v>0</v>
      </c>
      <c r="L714" t="n">
        <v>0</v>
      </c>
      <c r="M714" t="n">
        <v>0</v>
      </c>
      <c r="N714" t="n">
        <v>0</v>
      </c>
      <c r="O714" t="n">
        <v>0</v>
      </c>
      <c r="P714" t="n">
        <v>0</v>
      </c>
      <c r="Q714" t="n">
        <v>0</v>
      </c>
      <c r="R714" s="2" t="inlineStr"/>
    </row>
    <row r="715" ht="15" customHeight="1">
      <c r="A715" t="inlineStr">
        <is>
          <t>A 35256-2025</t>
        </is>
      </c>
      <c r="B715" s="1" t="n">
        <v>45853</v>
      </c>
      <c r="C715" s="1" t="n">
        <v>45908</v>
      </c>
      <c r="D715" t="inlineStr">
        <is>
          <t>STOCKHOLMS LÄN</t>
        </is>
      </c>
      <c r="E715" t="inlineStr">
        <is>
          <t>NORRTÄLJE</t>
        </is>
      </c>
      <c r="G715" t="n">
        <v>6.4</v>
      </c>
      <c r="H715" t="n">
        <v>0</v>
      </c>
      <c r="I715" t="n">
        <v>0</v>
      </c>
      <c r="J715" t="n">
        <v>0</v>
      </c>
      <c r="K715" t="n">
        <v>0</v>
      </c>
      <c r="L715" t="n">
        <v>0</v>
      </c>
      <c r="M715" t="n">
        <v>0</v>
      </c>
      <c r="N715" t="n">
        <v>0</v>
      </c>
      <c r="O715" t="n">
        <v>0</v>
      </c>
      <c r="P715" t="n">
        <v>0</v>
      </c>
      <c r="Q715" t="n">
        <v>0</v>
      </c>
      <c r="R715" s="2" t="inlineStr"/>
    </row>
    <row r="716" ht="15" customHeight="1">
      <c r="A716" t="inlineStr">
        <is>
          <t>A 40032-2025</t>
        </is>
      </c>
      <c r="B716" s="1" t="n">
        <v>45893</v>
      </c>
      <c r="C716" s="1" t="n">
        <v>45908</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40228-2025</t>
        </is>
      </c>
      <c r="B717" s="1" t="n">
        <v>45894.70854166667</v>
      </c>
      <c r="C717" s="1" t="n">
        <v>45908</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40172-2025</t>
        </is>
      </c>
      <c r="B718" s="1" t="n">
        <v>45894.6353125</v>
      </c>
      <c r="C718" s="1" t="n">
        <v>45908</v>
      </c>
      <c r="D718" t="inlineStr">
        <is>
          <t>STOCKHOLMS LÄN</t>
        </is>
      </c>
      <c r="E718" t="inlineStr">
        <is>
          <t>NORRTÄLJE</t>
        </is>
      </c>
      <c r="G718" t="n">
        <v>6</v>
      </c>
      <c r="H718" t="n">
        <v>0</v>
      </c>
      <c r="I718" t="n">
        <v>0</v>
      </c>
      <c r="J718" t="n">
        <v>0</v>
      </c>
      <c r="K718" t="n">
        <v>0</v>
      </c>
      <c r="L718" t="n">
        <v>0</v>
      </c>
      <c r="M718" t="n">
        <v>0</v>
      </c>
      <c r="N718" t="n">
        <v>0</v>
      </c>
      <c r="O718" t="n">
        <v>0</v>
      </c>
      <c r="P718" t="n">
        <v>0</v>
      </c>
      <c r="Q718" t="n">
        <v>0</v>
      </c>
      <c r="R718" s="2" t="inlineStr"/>
    </row>
    <row r="719" ht="15" customHeight="1">
      <c r="A719" t="inlineStr">
        <is>
          <t>A 40217-2025</t>
        </is>
      </c>
      <c r="B719" s="1" t="n">
        <v>45894.68864583333</v>
      </c>
      <c r="C719" s="1" t="n">
        <v>45908</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40097-2025</t>
        </is>
      </c>
      <c r="B720" s="1" t="n">
        <v>45894.48322916667</v>
      </c>
      <c r="C720" s="1" t="n">
        <v>45908</v>
      </c>
      <c r="D720" t="inlineStr">
        <is>
          <t>STOCKHOLMS LÄN</t>
        </is>
      </c>
      <c r="E720" t="inlineStr">
        <is>
          <t>NORRTÄLJE</t>
        </is>
      </c>
      <c r="G720" t="n">
        <v>3</v>
      </c>
      <c r="H720" t="n">
        <v>0</v>
      </c>
      <c r="I720" t="n">
        <v>0</v>
      </c>
      <c r="J720" t="n">
        <v>0</v>
      </c>
      <c r="K720" t="n">
        <v>0</v>
      </c>
      <c r="L720" t="n">
        <v>0</v>
      </c>
      <c r="M720" t="n">
        <v>0</v>
      </c>
      <c r="N720" t="n">
        <v>0</v>
      </c>
      <c r="O720" t="n">
        <v>0</v>
      </c>
      <c r="P720" t="n">
        <v>0</v>
      </c>
      <c r="Q720" t="n">
        <v>0</v>
      </c>
      <c r="R720" s="2" t="inlineStr"/>
    </row>
    <row r="721" ht="15" customHeight="1">
      <c r="A721" t="inlineStr">
        <is>
          <t>A 40292-2025</t>
        </is>
      </c>
      <c r="B721" s="1" t="n">
        <v>45895.3867824074</v>
      </c>
      <c r="C721" s="1" t="n">
        <v>45908</v>
      </c>
      <c r="D721" t="inlineStr">
        <is>
          <t>STOCKHOLMS LÄN</t>
        </is>
      </c>
      <c r="E721" t="inlineStr">
        <is>
          <t>NORRTÄLJE</t>
        </is>
      </c>
      <c r="G721" t="n">
        <v>3.5</v>
      </c>
      <c r="H721" t="n">
        <v>0</v>
      </c>
      <c r="I721" t="n">
        <v>0</v>
      </c>
      <c r="J721" t="n">
        <v>0</v>
      </c>
      <c r="K721" t="n">
        <v>0</v>
      </c>
      <c r="L721" t="n">
        <v>0</v>
      </c>
      <c r="M721" t="n">
        <v>0</v>
      </c>
      <c r="N721" t="n">
        <v>0</v>
      </c>
      <c r="O721" t="n">
        <v>0</v>
      </c>
      <c r="P721" t="n">
        <v>0</v>
      </c>
      <c r="Q721" t="n">
        <v>0</v>
      </c>
      <c r="R721" s="2" t="inlineStr"/>
    </row>
    <row r="722" ht="15" customHeight="1">
      <c r="A722" t="inlineStr">
        <is>
          <t>A 35110-2025</t>
        </is>
      </c>
      <c r="B722" s="1" t="n">
        <v>45852.58030092593</v>
      </c>
      <c r="C722" s="1" t="n">
        <v>45908</v>
      </c>
      <c r="D722" t="inlineStr">
        <is>
          <t>STOCKHOLMS LÄN</t>
        </is>
      </c>
      <c r="E722" t="inlineStr">
        <is>
          <t>NORRTÄLJE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42094-2023</t>
        </is>
      </c>
      <c r="B723" s="1" t="n">
        <v>45177.61498842593</v>
      </c>
      <c r="C723" s="1" t="n">
        <v>45908</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35254-2025</t>
        </is>
      </c>
      <c r="B724" s="1" t="n">
        <v>45853</v>
      </c>
      <c r="C724" s="1" t="n">
        <v>45908</v>
      </c>
      <c r="D724" t="inlineStr">
        <is>
          <t>STOCKHOLMS LÄN</t>
        </is>
      </c>
      <c r="E724" t="inlineStr">
        <is>
          <t>NORRTÄLJE</t>
        </is>
      </c>
      <c r="G724" t="n">
        <v>6.5</v>
      </c>
      <c r="H724" t="n">
        <v>0</v>
      </c>
      <c r="I724" t="n">
        <v>0</v>
      </c>
      <c r="J724" t="n">
        <v>0</v>
      </c>
      <c r="K724" t="n">
        <v>0</v>
      </c>
      <c r="L724" t="n">
        <v>0</v>
      </c>
      <c r="M724" t="n">
        <v>0</v>
      </c>
      <c r="N724" t="n">
        <v>0</v>
      </c>
      <c r="O724" t="n">
        <v>0</v>
      </c>
      <c r="P724" t="n">
        <v>0</v>
      </c>
      <c r="Q724" t="n">
        <v>0</v>
      </c>
      <c r="R724" s="2" t="inlineStr"/>
    </row>
    <row r="725" ht="15" customHeight="1">
      <c r="A725" t="inlineStr">
        <is>
          <t>A 49327-2020</t>
        </is>
      </c>
      <c r="B725" s="1" t="n">
        <v>44105</v>
      </c>
      <c r="C725" s="1" t="n">
        <v>45908</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40230-2025</t>
        </is>
      </c>
      <c r="B726" s="1" t="n">
        <v>45894.71101851852</v>
      </c>
      <c r="C726" s="1" t="n">
        <v>45908</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53792-2023</t>
        </is>
      </c>
      <c r="B727" s="1" t="n">
        <v>45231.34144675926</v>
      </c>
      <c r="C727" s="1" t="n">
        <v>45908</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40294-2025</t>
        </is>
      </c>
      <c r="B728" s="1" t="n">
        <v>45895.38778935185</v>
      </c>
      <c r="C728" s="1" t="n">
        <v>45908</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40033-2025</t>
        </is>
      </c>
      <c r="B729" s="1" t="n">
        <v>45893</v>
      </c>
      <c r="C729" s="1" t="n">
        <v>45908</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40529-2025</t>
        </is>
      </c>
      <c r="B730" s="1" t="n">
        <v>45896.38466435186</v>
      </c>
      <c r="C730" s="1" t="n">
        <v>45908</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40831-2025</t>
        </is>
      </c>
      <c r="B731" s="1" t="n">
        <v>45897.51077546296</v>
      </c>
      <c r="C731" s="1" t="n">
        <v>45908</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40837-2025</t>
        </is>
      </c>
      <c r="B732" s="1" t="n">
        <v>45897.51328703704</v>
      </c>
      <c r="C732" s="1" t="n">
        <v>45908</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35479-2025</t>
        </is>
      </c>
      <c r="B733" s="1" t="n">
        <v>45855.69387731481</v>
      </c>
      <c r="C733" s="1" t="n">
        <v>45908</v>
      </c>
      <c r="D733" t="inlineStr">
        <is>
          <t>STOCKHOLMS LÄN</t>
        </is>
      </c>
      <c r="E733" t="inlineStr">
        <is>
          <t>NORRTÄLJE</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40829-2025</t>
        </is>
      </c>
      <c r="B734" s="1" t="n">
        <v>45897.50802083333</v>
      </c>
      <c r="C734" s="1" t="n">
        <v>45908</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35451-2025</t>
        </is>
      </c>
      <c r="B735" s="1" t="n">
        <v>45855.57033564815</v>
      </c>
      <c r="C735" s="1" t="n">
        <v>45908</v>
      </c>
      <c r="D735" t="inlineStr">
        <is>
          <t>STOCKHOLMS LÄN</t>
        </is>
      </c>
      <c r="E735" t="inlineStr">
        <is>
          <t>NORRTÄLJE</t>
        </is>
      </c>
      <c r="F735" t="inlineStr">
        <is>
          <t>Holmen skog AB</t>
        </is>
      </c>
      <c r="G735" t="n">
        <v>7.4</v>
      </c>
      <c r="H735" t="n">
        <v>0</v>
      </c>
      <c r="I735" t="n">
        <v>0</v>
      </c>
      <c r="J735" t="n">
        <v>0</v>
      </c>
      <c r="K735" t="n">
        <v>0</v>
      </c>
      <c r="L735" t="n">
        <v>0</v>
      </c>
      <c r="M735" t="n">
        <v>0</v>
      </c>
      <c r="N735" t="n">
        <v>0</v>
      </c>
      <c r="O735" t="n">
        <v>0</v>
      </c>
      <c r="P735" t="n">
        <v>0</v>
      </c>
      <c r="Q735" t="n">
        <v>0</v>
      </c>
      <c r="R735" s="2" t="inlineStr"/>
    </row>
    <row r="736" ht="15" customHeight="1">
      <c r="A736" t="inlineStr">
        <is>
          <t>A 35478-2025</t>
        </is>
      </c>
      <c r="B736" s="1" t="n">
        <v>45855.68413194444</v>
      </c>
      <c r="C736" s="1" t="n">
        <v>45908</v>
      </c>
      <c r="D736" t="inlineStr">
        <is>
          <t>STOCKHOLMS LÄN</t>
        </is>
      </c>
      <c r="E736" t="inlineStr">
        <is>
          <t>NORRTÄLJE</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41174-2025</t>
        </is>
      </c>
      <c r="B737" s="1" t="n">
        <v>45898.54921296296</v>
      </c>
      <c r="C737" s="1" t="n">
        <v>45908</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41158-2025</t>
        </is>
      </c>
      <c r="B738" s="1" t="n">
        <v>45898.5315625</v>
      </c>
      <c r="C738" s="1" t="n">
        <v>45908</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41053-2025</t>
        </is>
      </c>
      <c r="B739" s="1" t="n">
        <v>45898.40480324074</v>
      </c>
      <c r="C739" s="1" t="n">
        <v>45908</v>
      </c>
      <c r="D739" t="inlineStr">
        <is>
          <t>STOCKHOLMS LÄN</t>
        </is>
      </c>
      <c r="E739" t="inlineStr">
        <is>
          <t>NORRTÄLJE</t>
        </is>
      </c>
      <c r="F739" t="inlineStr">
        <is>
          <t>Holmen skog AB</t>
        </is>
      </c>
      <c r="G739" t="n">
        <v>2.5</v>
      </c>
      <c r="H739" t="n">
        <v>0</v>
      </c>
      <c r="I739" t="n">
        <v>0</v>
      </c>
      <c r="J739" t="n">
        <v>0</v>
      </c>
      <c r="K739" t="n">
        <v>0</v>
      </c>
      <c r="L739" t="n">
        <v>0</v>
      </c>
      <c r="M739" t="n">
        <v>0</v>
      </c>
      <c r="N739" t="n">
        <v>0</v>
      </c>
      <c r="O739" t="n">
        <v>0</v>
      </c>
      <c r="P739" t="n">
        <v>0</v>
      </c>
      <c r="Q739" t="n">
        <v>0</v>
      </c>
      <c r="R739" s="2" t="inlineStr"/>
    </row>
    <row r="740" ht="15" customHeight="1">
      <c r="A740" t="inlineStr">
        <is>
          <t>A 21329-2022</t>
        </is>
      </c>
      <c r="B740" s="1" t="n">
        <v>44705.60626157407</v>
      </c>
      <c r="C740" s="1" t="n">
        <v>45908</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38720-2025</t>
        </is>
      </c>
      <c r="B741" s="1" t="n">
        <v>45886</v>
      </c>
      <c r="C741" s="1" t="n">
        <v>45908</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41301-2025</t>
        </is>
      </c>
      <c r="B742" s="1" t="n">
        <v>45898.68826388889</v>
      </c>
      <c r="C742" s="1" t="n">
        <v>45908</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41030-2025</t>
        </is>
      </c>
      <c r="B743" s="1" t="n">
        <v>45898.37636574074</v>
      </c>
      <c r="C743" s="1" t="n">
        <v>45908</v>
      </c>
      <c r="D743" t="inlineStr">
        <is>
          <t>STOCKHOLMS LÄN</t>
        </is>
      </c>
      <c r="E743" t="inlineStr">
        <is>
          <t>NORRTÄLJE</t>
        </is>
      </c>
      <c r="F743" t="inlineStr">
        <is>
          <t>Holmen skog AB</t>
        </is>
      </c>
      <c r="G743" t="n">
        <v>2.6</v>
      </c>
      <c r="H743" t="n">
        <v>0</v>
      </c>
      <c r="I743" t="n">
        <v>0</v>
      </c>
      <c r="J743" t="n">
        <v>0</v>
      </c>
      <c r="K743" t="n">
        <v>0</v>
      </c>
      <c r="L743" t="n">
        <v>0</v>
      </c>
      <c r="M743" t="n">
        <v>0</v>
      </c>
      <c r="N743" t="n">
        <v>0</v>
      </c>
      <c r="O743" t="n">
        <v>0</v>
      </c>
      <c r="P743" t="n">
        <v>0</v>
      </c>
      <c r="Q743" t="n">
        <v>0</v>
      </c>
      <c r="R743" s="2" t="inlineStr"/>
    </row>
    <row r="744" ht="15" customHeight="1">
      <c r="A744" t="inlineStr">
        <is>
          <t>A 41275-2025</t>
        </is>
      </c>
      <c r="B744" s="1" t="n">
        <v>45898.62625</v>
      </c>
      <c r="C744" s="1" t="n">
        <v>45908</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41106-2025</t>
        </is>
      </c>
      <c r="B745" s="1" t="n">
        <v>45898.45636574074</v>
      </c>
      <c r="C745" s="1" t="n">
        <v>45908</v>
      </c>
      <c r="D745" t="inlineStr">
        <is>
          <t>STOCKHOLMS LÄN</t>
        </is>
      </c>
      <c r="E745" t="inlineStr">
        <is>
          <t>NORRTÄLJE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41036-2025</t>
        </is>
      </c>
      <c r="B746" s="1" t="n">
        <v>45898.38552083333</v>
      </c>
      <c r="C746" s="1" t="n">
        <v>45908</v>
      </c>
      <c r="D746" t="inlineStr">
        <is>
          <t>STOCKHOLMS LÄN</t>
        </is>
      </c>
      <c r="E746" t="inlineStr">
        <is>
          <t>NORRTÄLJE</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41110-2025</t>
        </is>
      </c>
      <c r="B747" s="1" t="n">
        <v>45898.45976851852</v>
      </c>
      <c r="C747" s="1" t="n">
        <v>45908</v>
      </c>
      <c r="D747" t="inlineStr">
        <is>
          <t>STOCKHOLMS LÄN</t>
        </is>
      </c>
      <c r="E747" t="inlineStr">
        <is>
          <t>NORRTÄLJE</t>
        </is>
      </c>
      <c r="F747" t="inlineStr">
        <is>
          <t>Holmen skog AB</t>
        </is>
      </c>
      <c r="G747" t="n">
        <v>6.7</v>
      </c>
      <c r="H747" t="n">
        <v>0</v>
      </c>
      <c r="I747" t="n">
        <v>0</v>
      </c>
      <c r="J747" t="n">
        <v>0</v>
      </c>
      <c r="K747" t="n">
        <v>0</v>
      </c>
      <c r="L747" t="n">
        <v>0</v>
      </c>
      <c r="M747" t="n">
        <v>0</v>
      </c>
      <c r="N747" t="n">
        <v>0</v>
      </c>
      <c r="O747" t="n">
        <v>0</v>
      </c>
      <c r="P747" t="n">
        <v>0</v>
      </c>
      <c r="Q747" t="n">
        <v>0</v>
      </c>
      <c r="R747" s="2" t="inlineStr"/>
    </row>
    <row r="748" ht="15" customHeight="1">
      <c r="A748" t="inlineStr">
        <is>
          <t>A 41259-2025</t>
        </is>
      </c>
      <c r="B748" s="1" t="n">
        <v>45898.61054398148</v>
      </c>
      <c r="C748" s="1" t="n">
        <v>45908</v>
      </c>
      <c r="D748" t="inlineStr">
        <is>
          <t>STOCKHOLMS LÄN</t>
        </is>
      </c>
      <c r="E748" t="inlineStr">
        <is>
          <t>NORRTÄLJE</t>
        </is>
      </c>
      <c r="G748" t="n">
        <v>1.2</v>
      </c>
      <c r="H748" t="n">
        <v>0</v>
      </c>
      <c r="I748" t="n">
        <v>0</v>
      </c>
      <c r="J748" t="n">
        <v>0</v>
      </c>
      <c r="K748" t="n">
        <v>0</v>
      </c>
      <c r="L748" t="n">
        <v>0</v>
      </c>
      <c r="M748" t="n">
        <v>0</v>
      </c>
      <c r="N748" t="n">
        <v>0</v>
      </c>
      <c r="O748" t="n">
        <v>0</v>
      </c>
      <c r="P748" t="n">
        <v>0</v>
      </c>
      <c r="Q748" t="n">
        <v>0</v>
      </c>
      <c r="R748" s="2" t="inlineStr"/>
    </row>
    <row r="749" ht="15" customHeight="1">
      <c r="A749" t="inlineStr">
        <is>
          <t>A 50569-2022</t>
        </is>
      </c>
      <c r="B749" s="1" t="n">
        <v>44866.63775462963</v>
      </c>
      <c r="C749" s="1" t="n">
        <v>45908</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24501-2023</t>
        </is>
      </c>
      <c r="B750" s="1" t="n">
        <v>45082</v>
      </c>
      <c r="C750" s="1" t="n">
        <v>45908</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24520-2023</t>
        </is>
      </c>
      <c r="B751" s="1" t="n">
        <v>45082.68922453704</v>
      </c>
      <c r="C751" s="1" t="n">
        <v>45908</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41272-2025</t>
        </is>
      </c>
      <c r="B752" s="1" t="n">
        <v>45898.62373842593</v>
      </c>
      <c r="C752" s="1" t="n">
        <v>45908</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60654-2023</t>
        </is>
      </c>
      <c r="B753" s="1" t="n">
        <v>45260.43225694444</v>
      </c>
      <c r="C753" s="1" t="n">
        <v>45908</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60656-2023</t>
        </is>
      </c>
      <c r="B754" s="1" t="n">
        <v>45260.4333449074</v>
      </c>
      <c r="C754" s="1" t="n">
        <v>45908</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41966-2025</t>
        </is>
      </c>
      <c r="B755" s="1" t="n">
        <v>45903.47456018518</v>
      </c>
      <c r="C755" s="1" t="n">
        <v>45908</v>
      </c>
      <c r="D755" t="inlineStr">
        <is>
          <t>STOCKHOLMS LÄN</t>
        </is>
      </c>
      <c r="E755" t="inlineStr">
        <is>
          <t>NORRTÄLJE</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54496-2024</t>
        </is>
      </c>
      <c r="B756" s="1" t="n">
        <v>45617.57439814815</v>
      </c>
      <c r="C756" s="1" t="n">
        <v>45908</v>
      </c>
      <c r="D756" t="inlineStr">
        <is>
          <t>STOCKHOLMS LÄN</t>
        </is>
      </c>
      <c r="E756" t="inlineStr">
        <is>
          <t>NORRTÄLJE</t>
        </is>
      </c>
      <c r="G756" t="n">
        <v>2.2</v>
      </c>
      <c r="H756" t="n">
        <v>0</v>
      </c>
      <c r="I756" t="n">
        <v>0</v>
      </c>
      <c r="J756" t="n">
        <v>0</v>
      </c>
      <c r="K756" t="n">
        <v>0</v>
      </c>
      <c r="L756" t="n">
        <v>0</v>
      </c>
      <c r="M756" t="n">
        <v>0</v>
      </c>
      <c r="N756" t="n">
        <v>0</v>
      </c>
      <c r="O756" t="n">
        <v>0</v>
      </c>
      <c r="P756" t="n">
        <v>0</v>
      </c>
      <c r="Q756" t="n">
        <v>0</v>
      </c>
      <c r="R756" s="2" t="inlineStr"/>
    </row>
    <row r="757" ht="15" customHeight="1">
      <c r="A757" t="inlineStr">
        <is>
          <t>A 8370-2025</t>
        </is>
      </c>
      <c r="B757" s="1" t="n">
        <v>45708</v>
      </c>
      <c r="C757" s="1" t="n">
        <v>45908</v>
      </c>
      <c r="D757" t="inlineStr">
        <is>
          <t>STOCKHOLMS LÄN</t>
        </is>
      </c>
      <c r="E757" t="inlineStr">
        <is>
          <t>NORRTÄLJE</t>
        </is>
      </c>
      <c r="F757" t="inlineStr">
        <is>
          <t>Övriga Aktiebolag</t>
        </is>
      </c>
      <c r="G757" t="n">
        <v>5.6</v>
      </c>
      <c r="H757" t="n">
        <v>0</v>
      </c>
      <c r="I757" t="n">
        <v>0</v>
      </c>
      <c r="J757" t="n">
        <v>0</v>
      </c>
      <c r="K757" t="n">
        <v>0</v>
      </c>
      <c r="L757" t="n">
        <v>0</v>
      </c>
      <c r="M757" t="n">
        <v>0</v>
      </c>
      <c r="N757" t="n">
        <v>0</v>
      </c>
      <c r="O757" t="n">
        <v>0</v>
      </c>
      <c r="P757" t="n">
        <v>0</v>
      </c>
      <c r="Q757" t="n">
        <v>0</v>
      </c>
      <c r="R757" s="2" t="inlineStr"/>
    </row>
    <row r="758" ht="15" customHeight="1">
      <c r="A758" t="inlineStr">
        <is>
          <t>A 3299-2022</t>
        </is>
      </c>
      <c r="B758" s="1" t="n">
        <v>44584.91001157407</v>
      </c>
      <c r="C758" s="1" t="n">
        <v>45908</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12348-2025</t>
        </is>
      </c>
      <c r="B759" s="1" t="n">
        <v>45730.35026620371</v>
      </c>
      <c r="C759" s="1" t="n">
        <v>45908</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21386-2023</t>
        </is>
      </c>
      <c r="B760" s="1" t="n">
        <v>45063.35880787037</v>
      </c>
      <c r="C760" s="1" t="n">
        <v>45908</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10642-2025</t>
        </is>
      </c>
      <c r="B761" s="1" t="n">
        <v>45721.65858796296</v>
      </c>
      <c r="C761" s="1" t="n">
        <v>45908</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41964-2025</t>
        </is>
      </c>
      <c r="B762" s="1" t="n">
        <v>45903.47270833333</v>
      </c>
      <c r="C762" s="1" t="n">
        <v>45908</v>
      </c>
      <c r="D762" t="inlineStr">
        <is>
          <t>STOCKHOLMS LÄN</t>
        </is>
      </c>
      <c r="E762" t="inlineStr">
        <is>
          <t>NORRTÄLJE</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42038-2025</t>
        </is>
      </c>
      <c r="B763" s="1" t="n">
        <v>45903.61431712963</v>
      </c>
      <c r="C763" s="1" t="n">
        <v>45908</v>
      </c>
      <c r="D763" t="inlineStr">
        <is>
          <t>STOCKHOLMS LÄN</t>
        </is>
      </c>
      <c r="E763" t="inlineStr">
        <is>
          <t>NORRTÄLJE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17545-2025</t>
        </is>
      </c>
      <c r="B764" s="1" t="n">
        <v>45757.60658564815</v>
      </c>
      <c r="C764" s="1" t="n">
        <v>45908</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25094-2023</t>
        </is>
      </c>
      <c r="B765" s="1" t="n">
        <v>45086.3629050926</v>
      </c>
      <c r="C765" s="1" t="n">
        <v>45908</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36157-2024</t>
        </is>
      </c>
      <c r="B766" s="1" t="n">
        <v>45534.38240740741</v>
      </c>
      <c r="C766" s="1" t="n">
        <v>45908</v>
      </c>
      <c r="D766" t="inlineStr">
        <is>
          <t>STOCKHOLMS LÄN</t>
        </is>
      </c>
      <c r="E766" t="inlineStr">
        <is>
          <t>NORRTÄLJE</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20144-2023</t>
        </is>
      </c>
      <c r="B767" s="1" t="n">
        <v>45055.43509259259</v>
      </c>
      <c r="C767" s="1" t="n">
        <v>45908</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35636-2025</t>
        </is>
      </c>
      <c r="B768" s="1" t="n">
        <v>45859</v>
      </c>
      <c r="C768" s="1" t="n">
        <v>45908</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35639-2025</t>
        </is>
      </c>
      <c r="B769" s="1" t="n">
        <v>45859</v>
      </c>
      <c r="C769" s="1" t="n">
        <v>45908</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53312-2024</t>
        </is>
      </c>
      <c r="B770" s="1" t="n">
        <v>45614.39627314815</v>
      </c>
      <c r="C770" s="1" t="n">
        <v>45908</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39202-2024</t>
        </is>
      </c>
      <c r="B771" s="1" t="n">
        <v>45548.72306712963</v>
      </c>
      <c r="C771" s="1" t="n">
        <v>45908</v>
      </c>
      <c r="D771" t="inlineStr">
        <is>
          <t>STOCKHOLMS LÄN</t>
        </is>
      </c>
      <c r="E771" t="inlineStr">
        <is>
          <t>NORRTÄLJE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47694-2023</t>
        </is>
      </c>
      <c r="B772" s="1" t="n">
        <v>45203.63303240741</v>
      </c>
      <c r="C772" s="1" t="n">
        <v>45908</v>
      </c>
      <c r="D772" t="inlineStr">
        <is>
          <t>STOCKHOLMS LÄN</t>
        </is>
      </c>
      <c r="E772" t="inlineStr">
        <is>
          <t>NORRTÄLJE</t>
        </is>
      </c>
      <c r="G772" t="n">
        <v>5.2</v>
      </c>
      <c r="H772" t="n">
        <v>0</v>
      </c>
      <c r="I772" t="n">
        <v>0</v>
      </c>
      <c r="J772" t="n">
        <v>0</v>
      </c>
      <c r="K772" t="n">
        <v>0</v>
      </c>
      <c r="L772" t="n">
        <v>0</v>
      </c>
      <c r="M772" t="n">
        <v>0</v>
      </c>
      <c r="N772" t="n">
        <v>0</v>
      </c>
      <c r="O772" t="n">
        <v>0</v>
      </c>
      <c r="P772" t="n">
        <v>0</v>
      </c>
      <c r="Q772" t="n">
        <v>0</v>
      </c>
      <c r="R772" s="2" t="inlineStr"/>
    </row>
    <row r="773" ht="15" customHeight="1">
      <c r="A773" t="inlineStr">
        <is>
          <t>A 33219-2025</t>
        </is>
      </c>
      <c r="B773" s="1" t="n">
        <v>45840</v>
      </c>
      <c r="C773" s="1" t="n">
        <v>45908</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35532-2024</t>
        </is>
      </c>
      <c r="B774" s="1" t="n">
        <v>45531</v>
      </c>
      <c r="C774" s="1" t="n">
        <v>45908</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22756-2022</t>
        </is>
      </c>
      <c r="B775" s="1" t="n">
        <v>44714.92253472222</v>
      </c>
      <c r="C775" s="1" t="n">
        <v>45908</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1654-2025</t>
        </is>
      </c>
      <c r="B776" s="1" t="n">
        <v>45670.65921296296</v>
      </c>
      <c r="C776" s="1" t="n">
        <v>45908</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4581-2025</t>
        </is>
      </c>
      <c r="B777" s="1" t="n">
        <v>45687</v>
      </c>
      <c r="C777" s="1" t="n">
        <v>45908</v>
      </c>
      <c r="D777" t="inlineStr">
        <is>
          <t>STOCKHOLMS LÄN</t>
        </is>
      </c>
      <c r="E777" t="inlineStr">
        <is>
          <t>NORRTÄLJE</t>
        </is>
      </c>
      <c r="F777" t="inlineStr">
        <is>
          <t>Holmen skog AB</t>
        </is>
      </c>
      <c r="G777" t="n">
        <v>2.8</v>
      </c>
      <c r="H777" t="n">
        <v>0</v>
      </c>
      <c r="I777" t="n">
        <v>0</v>
      </c>
      <c r="J777" t="n">
        <v>0</v>
      </c>
      <c r="K777" t="n">
        <v>0</v>
      </c>
      <c r="L777" t="n">
        <v>0</v>
      </c>
      <c r="M777" t="n">
        <v>0</v>
      </c>
      <c r="N777" t="n">
        <v>0</v>
      </c>
      <c r="O777" t="n">
        <v>0</v>
      </c>
      <c r="P777" t="n">
        <v>0</v>
      </c>
      <c r="Q777" t="n">
        <v>0</v>
      </c>
      <c r="R777" s="2" t="inlineStr"/>
    </row>
    <row r="778" ht="15" customHeight="1">
      <c r="A778" t="inlineStr">
        <is>
          <t>A 62644-2023</t>
        </is>
      </c>
      <c r="B778" s="1" t="n">
        <v>45271</v>
      </c>
      <c r="C778" s="1" t="n">
        <v>45908</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11229-2022</t>
        </is>
      </c>
      <c r="B779" s="1" t="n">
        <v>44629</v>
      </c>
      <c r="C779" s="1" t="n">
        <v>45908</v>
      </c>
      <c r="D779" t="inlineStr">
        <is>
          <t>STOCKHOLMS LÄN</t>
        </is>
      </c>
      <c r="E779" t="inlineStr">
        <is>
          <t>NORRTÄLJE</t>
        </is>
      </c>
      <c r="F779" t="inlineStr">
        <is>
          <t>Övriga Aktiebolag</t>
        </is>
      </c>
      <c r="G779" t="n">
        <v>4.1</v>
      </c>
      <c r="H779" t="n">
        <v>0</v>
      </c>
      <c r="I779" t="n">
        <v>0</v>
      </c>
      <c r="J779" t="n">
        <v>0</v>
      </c>
      <c r="K779" t="n">
        <v>0</v>
      </c>
      <c r="L779" t="n">
        <v>0</v>
      </c>
      <c r="M779" t="n">
        <v>0</v>
      </c>
      <c r="N779" t="n">
        <v>0</v>
      </c>
      <c r="O779" t="n">
        <v>0</v>
      </c>
      <c r="P779" t="n">
        <v>0</v>
      </c>
      <c r="Q779" t="n">
        <v>0</v>
      </c>
      <c r="R779" s="2" t="inlineStr"/>
    </row>
    <row r="780" ht="15" customHeight="1">
      <c r="A780" t="inlineStr">
        <is>
          <t>A 60765-2023</t>
        </is>
      </c>
      <c r="B780" s="1" t="n">
        <v>45260</v>
      </c>
      <c r="C780" s="1" t="n">
        <v>45908</v>
      </c>
      <c r="D780" t="inlineStr">
        <is>
          <t>STOCKHOLMS LÄN</t>
        </is>
      </c>
      <c r="E780" t="inlineStr">
        <is>
          <t>NORRTÄLJE</t>
        </is>
      </c>
      <c r="G780" t="n">
        <v>3.7</v>
      </c>
      <c r="H780" t="n">
        <v>0</v>
      </c>
      <c r="I780" t="n">
        <v>0</v>
      </c>
      <c r="J780" t="n">
        <v>0</v>
      </c>
      <c r="K780" t="n">
        <v>0</v>
      </c>
      <c r="L780" t="n">
        <v>0</v>
      </c>
      <c r="M780" t="n">
        <v>0</v>
      </c>
      <c r="N780" t="n">
        <v>0</v>
      </c>
      <c r="O780" t="n">
        <v>0</v>
      </c>
      <c r="P780" t="n">
        <v>0</v>
      </c>
      <c r="Q780" t="n">
        <v>0</v>
      </c>
      <c r="R780" s="2" t="inlineStr"/>
    </row>
    <row r="781" ht="15" customHeight="1">
      <c r="A781" t="inlineStr">
        <is>
          <t>A 23801-2022</t>
        </is>
      </c>
      <c r="B781" s="1" t="n">
        <v>44722</v>
      </c>
      <c r="C781" s="1" t="n">
        <v>45908</v>
      </c>
      <c r="D781" t="inlineStr">
        <is>
          <t>STOCKHOLMS LÄN</t>
        </is>
      </c>
      <c r="E781" t="inlineStr">
        <is>
          <t>NORRTÄLJE</t>
        </is>
      </c>
      <c r="G781" t="n">
        <v>6.8</v>
      </c>
      <c r="H781" t="n">
        <v>0</v>
      </c>
      <c r="I781" t="n">
        <v>0</v>
      </c>
      <c r="J781" t="n">
        <v>0</v>
      </c>
      <c r="K781" t="n">
        <v>0</v>
      </c>
      <c r="L781" t="n">
        <v>0</v>
      </c>
      <c r="M781" t="n">
        <v>0</v>
      </c>
      <c r="N781" t="n">
        <v>0</v>
      </c>
      <c r="O781" t="n">
        <v>0</v>
      </c>
      <c r="P781" t="n">
        <v>0</v>
      </c>
      <c r="Q781" t="n">
        <v>0</v>
      </c>
      <c r="R781" s="2" t="inlineStr"/>
    </row>
    <row r="782" ht="15" customHeight="1">
      <c r="A782" t="inlineStr">
        <is>
          <t>A 59276-2023</t>
        </is>
      </c>
      <c r="B782" s="1" t="n">
        <v>45253.55641203704</v>
      </c>
      <c r="C782" s="1" t="n">
        <v>45908</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46914-2022</t>
        </is>
      </c>
      <c r="B783" s="1" t="n">
        <v>44851</v>
      </c>
      <c r="C783" s="1" t="n">
        <v>45908</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53607-2020</t>
        </is>
      </c>
      <c r="B784" s="1" t="n">
        <v>44124</v>
      </c>
      <c r="C784" s="1" t="n">
        <v>45908</v>
      </c>
      <c r="D784" t="inlineStr">
        <is>
          <t>STOCKHOLMS LÄN</t>
        </is>
      </c>
      <c r="E784" t="inlineStr">
        <is>
          <t>NORRTÄLJE</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18541-2023</t>
        </is>
      </c>
      <c r="B785" s="1" t="n">
        <v>45042.74291666667</v>
      </c>
      <c r="C785" s="1" t="n">
        <v>45908</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57353-2024</t>
        </is>
      </c>
      <c r="B786" s="1" t="n">
        <v>45629.65143518519</v>
      </c>
      <c r="C786" s="1" t="n">
        <v>45908</v>
      </c>
      <c r="D786" t="inlineStr">
        <is>
          <t>STOCKHOLMS LÄN</t>
        </is>
      </c>
      <c r="E786" t="inlineStr">
        <is>
          <t>NORRTÄLJE</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48587-2023</t>
        </is>
      </c>
      <c r="B787" s="1" t="n">
        <v>45208</v>
      </c>
      <c r="C787" s="1" t="n">
        <v>45908</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13291-2025</t>
        </is>
      </c>
      <c r="B788" s="1" t="n">
        <v>45735</v>
      </c>
      <c r="C788" s="1" t="n">
        <v>45908</v>
      </c>
      <c r="D788" t="inlineStr">
        <is>
          <t>STOCKHOLMS LÄN</t>
        </is>
      </c>
      <c r="E788" t="inlineStr">
        <is>
          <t>NORRTÄLJE</t>
        </is>
      </c>
      <c r="G788" t="n">
        <v>3.8</v>
      </c>
      <c r="H788" t="n">
        <v>0</v>
      </c>
      <c r="I788" t="n">
        <v>0</v>
      </c>
      <c r="J788" t="n">
        <v>0</v>
      </c>
      <c r="K788" t="n">
        <v>0</v>
      </c>
      <c r="L788" t="n">
        <v>0</v>
      </c>
      <c r="M788" t="n">
        <v>0</v>
      </c>
      <c r="N788" t="n">
        <v>0</v>
      </c>
      <c r="O788" t="n">
        <v>0</v>
      </c>
      <c r="P788" t="n">
        <v>0</v>
      </c>
      <c r="Q788" t="n">
        <v>0</v>
      </c>
      <c r="R788" s="2" t="inlineStr"/>
    </row>
    <row r="789" ht="15" customHeight="1">
      <c r="A789" t="inlineStr">
        <is>
          <t>A 3509-2022</t>
        </is>
      </c>
      <c r="B789" s="1" t="n">
        <v>44585</v>
      </c>
      <c r="C789" s="1" t="n">
        <v>45908</v>
      </c>
      <c r="D789" t="inlineStr">
        <is>
          <t>STOCKHOLMS LÄN</t>
        </is>
      </c>
      <c r="E789" t="inlineStr">
        <is>
          <t>NORRTÄLJE</t>
        </is>
      </c>
      <c r="F789" t="inlineStr">
        <is>
          <t>Kommuner</t>
        </is>
      </c>
      <c r="G789" t="n">
        <v>0.8</v>
      </c>
      <c r="H789" t="n">
        <v>0</v>
      </c>
      <c r="I789" t="n">
        <v>0</v>
      </c>
      <c r="J789" t="n">
        <v>0</v>
      </c>
      <c r="K789" t="n">
        <v>0</v>
      </c>
      <c r="L789" t="n">
        <v>0</v>
      </c>
      <c r="M789" t="n">
        <v>0</v>
      </c>
      <c r="N789" t="n">
        <v>0</v>
      </c>
      <c r="O789" t="n">
        <v>0</v>
      </c>
      <c r="P789" t="n">
        <v>0</v>
      </c>
      <c r="Q789" t="n">
        <v>0</v>
      </c>
      <c r="R789" s="2" t="inlineStr"/>
    </row>
    <row r="790" ht="15" customHeight="1">
      <c r="A790" t="inlineStr">
        <is>
          <t>A 26407-2024</t>
        </is>
      </c>
      <c r="B790" s="1" t="n">
        <v>45469</v>
      </c>
      <c r="C790" s="1" t="n">
        <v>45908</v>
      </c>
      <c r="D790" t="inlineStr">
        <is>
          <t>STOCKHOLMS LÄN</t>
        </is>
      </c>
      <c r="E790" t="inlineStr">
        <is>
          <t>NORRTÄLJE</t>
        </is>
      </c>
      <c r="G790" t="n">
        <v>3.5</v>
      </c>
      <c r="H790" t="n">
        <v>0</v>
      </c>
      <c r="I790" t="n">
        <v>0</v>
      </c>
      <c r="J790" t="n">
        <v>0</v>
      </c>
      <c r="K790" t="n">
        <v>0</v>
      </c>
      <c r="L790" t="n">
        <v>0</v>
      </c>
      <c r="M790" t="n">
        <v>0</v>
      </c>
      <c r="N790" t="n">
        <v>0</v>
      </c>
      <c r="O790" t="n">
        <v>0</v>
      </c>
      <c r="P790" t="n">
        <v>0</v>
      </c>
      <c r="Q790" t="n">
        <v>0</v>
      </c>
      <c r="R790" s="2" t="inlineStr"/>
    </row>
    <row r="791" ht="15" customHeight="1">
      <c r="A791" t="inlineStr">
        <is>
          <t>A 12890-2024</t>
        </is>
      </c>
      <c r="B791" s="1" t="n">
        <v>45385.36243055556</v>
      </c>
      <c r="C791" s="1" t="n">
        <v>45908</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2549-2022</t>
        </is>
      </c>
      <c r="B792" s="1" t="n">
        <v>44580</v>
      </c>
      <c r="C792" s="1" t="n">
        <v>45908</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4438-2023</t>
        </is>
      </c>
      <c r="B793" s="1" t="n">
        <v>44956</v>
      </c>
      <c r="C793" s="1" t="n">
        <v>45908</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47419-2023</t>
        </is>
      </c>
      <c r="B794" s="1" t="n">
        <v>45202.65660879629</v>
      </c>
      <c r="C794" s="1" t="n">
        <v>45908</v>
      </c>
      <c r="D794" t="inlineStr">
        <is>
          <t>STOCKHOLMS LÄN</t>
        </is>
      </c>
      <c r="E794" t="inlineStr">
        <is>
          <t>NORRTÄLJE</t>
        </is>
      </c>
      <c r="G794" t="n">
        <v>11.4</v>
      </c>
      <c r="H794" t="n">
        <v>0</v>
      </c>
      <c r="I794" t="n">
        <v>0</v>
      </c>
      <c r="J794" t="n">
        <v>0</v>
      </c>
      <c r="K794" t="n">
        <v>0</v>
      </c>
      <c r="L794" t="n">
        <v>0</v>
      </c>
      <c r="M794" t="n">
        <v>0</v>
      </c>
      <c r="N794" t="n">
        <v>0</v>
      </c>
      <c r="O794" t="n">
        <v>0</v>
      </c>
      <c r="P794" t="n">
        <v>0</v>
      </c>
      <c r="Q794" t="n">
        <v>0</v>
      </c>
      <c r="R794" s="2" t="inlineStr"/>
    </row>
    <row r="795" ht="15" customHeight="1">
      <c r="A795" t="inlineStr">
        <is>
          <t>A 23070-2023</t>
        </is>
      </c>
      <c r="B795" s="1" t="n">
        <v>45075</v>
      </c>
      <c r="C795" s="1" t="n">
        <v>45908</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47758-2023</t>
        </is>
      </c>
      <c r="B796" s="1" t="n">
        <v>45203.83891203703</v>
      </c>
      <c r="C796" s="1" t="n">
        <v>45908</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27824-2022</t>
        </is>
      </c>
      <c r="B797" s="1" t="n">
        <v>44743.59331018518</v>
      </c>
      <c r="C797" s="1" t="n">
        <v>45908</v>
      </c>
      <c r="D797" t="inlineStr">
        <is>
          <t>STOCKHOLMS LÄN</t>
        </is>
      </c>
      <c r="E797" t="inlineStr">
        <is>
          <t>NORRTÄLJE</t>
        </is>
      </c>
      <c r="F797" t="inlineStr">
        <is>
          <t>Kommuner</t>
        </is>
      </c>
      <c r="G797" t="n">
        <v>3.1</v>
      </c>
      <c r="H797" t="n">
        <v>0</v>
      </c>
      <c r="I797" t="n">
        <v>0</v>
      </c>
      <c r="J797" t="n">
        <v>0</v>
      </c>
      <c r="K797" t="n">
        <v>0</v>
      </c>
      <c r="L797" t="n">
        <v>0</v>
      </c>
      <c r="M797" t="n">
        <v>0</v>
      </c>
      <c r="N797" t="n">
        <v>0</v>
      </c>
      <c r="O797" t="n">
        <v>0</v>
      </c>
      <c r="P797" t="n">
        <v>0</v>
      </c>
      <c r="Q797" t="n">
        <v>0</v>
      </c>
      <c r="R797" s="2" t="inlineStr"/>
    </row>
    <row r="798" ht="15" customHeight="1">
      <c r="A798" t="inlineStr">
        <is>
          <t>A 25619-2022</t>
        </is>
      </c>
      <c r="B798" s="1" t="n">
        <v>44732</v>
      </c>
      <c r="C798" s="1" t="n">
        <v>45908</v>
      </c>
      <c r="D798" t="inlineStr">
        <is>
          <t>STOCKHOLMS LÄN</t>
        </is>
      </c>
      <c r="E798" t="inlineStr">
        <is>
          <t>NORRTÄLJE</t>
        </is>
      </c>
      <c r="G798" t="n">
        <v>3.9</v>
      </c>
      <c r="H798" t="n">
        <v>0</v>
      </c>
      <c r="I798" t="n">
        <v>0</v>
      </c>
      <c r="J798" t="n">
        <v>0</v>
      </c>
      <c r="K798" t="n">
        <v>0</v>
      </c>
      <c r="L798" t="n">
        <v>0</v>
      </c>
      <c r="M798" t="n">
        <v>0</v>
      </c>
      <c r="N798" t="n">
        <v>0</v>
      </c>
      <c r="O798" t="n">
        <v>0</v>
      </c>
      <c r="P798" t="n">
        <v>0</v>
      </c>
      <c r="Q798" t="n">
        <v>0</v>
      </c>
      <c r="R798" s="2" t="inlineStr"/>
    </row>
    <row r="799" ht="15" customHeight="1">
      <c r="A799" t="inlineStr">
        <is>
          <t>A 51061-2023</t>
        </is>
      </c>
      <c r="B799" s="1" t="n">
        <v>45218.65849537037</v>
      </c>
      <c r="C799" s="1" t="n">
        <v>45908</v>
      </c>
      <c r="D799" t="inlineStr">
        <is>
          <t>STOCKHOLMS LÄN</t>
        </is>
      </c>
      <c r="E799" t="inlineStr">
        <is>
          <t>NORRTÄLJE</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36246-2021</t>
        </is>
      </c>
      <c r="B800" s="1" t="n">
        <v>44390</v>
      </c>
      <c r="C800" s="1" t="n">
        <v>45908</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22697-2022</t>
        </is>
      </c>
      <c r="B801" s="1" t="n">
        <v>44714.56040509259</v>
      </c>
      <c r="C801" s="1" t="n">
        <v>45908</v>
      </c>
      <c r="D801" t="inlineStr">
        <is>
          <t>STOCKHOLMS LÄN</t>
        </is>
      </c>
      <c r="E801" t="inlineStr">
        <is>
          <t>NORRTÄLJE</t>
        </is>
      </c>
      <c r="G801" t="n">
        <v>5.6</v>
      </c>
      <c r="H801" t="n">
        <v>0</v>
      </c>
      <c r="I801" t="n">
        <v>0</v>
      </c>
      <c r="J801" t="n">
        <v>0</v>
      </c>
      <c r="K801" t="n">
        <v>0</v>
      </c>
      <c r="L801" t="n">
        <v>0</v>
      </c>
      <c r="M801" t="n">
        <v>0</v>
      </c>
      <c r="N801" t="n">
        <v>0</v>
      </c>
      <c r="O801" t="n">
        <v>0</v>
      </c>
      <c r="P801" t="n">
        <v>0</v>
      </c>
      <c r="Q801" t="n">
        <v>0</v>
      </c>
      <c r="R801" s="2" t="inlineStr"/>
    </row>
    <row r="802" ht="15" customHeight="1">
      <c r="A802" t="inlineStr">
        <is>
          <t>A 45549-2022</t>
        </is>
      </c>
      <c r="B802" s="1" t="n">
        <v>44845.48064814815</v>
      </c>
      <c r="C802" s="1" t="n">
        <v>45908</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19952-2023</t>
        </is>
      </c>
      <c r="B803" s="1" t="n">
        <v>45054.54091435186</v>
      </c>
      <c r="C803" s="1" t="n">
        <v>45908</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19994-2023</t>
        </is>
      </c>
      <c r="B804" s="1" t="n">
        <v>45054</v>
      </c>
      <c r="C804" s="1" t="n">
        <v>45908</v>
      </c>
      <c r="D804" t="inlineStr">
        <is>
          <t>STOCKHOLMS LÄN</t>
        </is>
      </c>
      <c r="E804" t="inlineStr">
        <is>
          <t>NORRTÄLJE</t>
        </is>
      </c>
      <c r="G804" t="n">
        <v>4.3</v>
      </c>
      <c r="H804" t="n">
        <v>0</v>
      </c>
      <c r="I804" t="n">
        <v>0</v>
      </c>
      <c r="J804" t="n">
        <v>0</v>
      </c>
      <c r="K804" t="n">
        <v>0</v>
      </c>
      <c r="L804" t="n">
        <v>0</v>
      </c>
      <c r="M804" t="n">
        <v>0</v>
      </c>
      <c r="N804" t="n">
        <v>0</v>
      </c>
      <c r="O804" t="n">
        <v>0</v>
      </c>
      <c r="P804" t="n">
        <v>0</v>
      </c>
      <c r="Q804" t="n">
        <v>0</v>
      </c>
      <c r="R804" s="2" t="inlineStr"/>
    </row>
    <row r="805" ht="15" customHeight="1">
      <c r="A805" t="inlineStr">
        <is>
          <t>A 54396-2021</t>
        </is>
      </c>
      <c r="B805" s="1" t="n">
        <v>44472</v>
      </c>
      <c r="C805" s="1" t="n">
        <v>45908</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14130-2025</t>
        </is>
      </c>
      <c r="B806" s="1" t="n">
        <v>45740.47288194444</v>
      </c>
      <c r="C806" s="1" t="n">
        <v>45908</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24727-2023</t>
        </is>
      </c>
      <c r="B807" s="1" t="n">
        <v>45084.57695601852</v>
      </c>
      <c r="C807" s="1" t="n">
        <v>45908</v>
      </c>
      <c r="D807" t="inlineStr">
        <is>
          <t>STOCKHOLMS LÄN</t>
        </is>
      </c>
      <c r="E807" t="inlineStr">
        <is>
          <t>NORRTÄLJE</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48722-2023</t>
        </is>
      </c>
      <c r="B808" s="1" t="n">
        <v>45208.70996527778</v>
      </c>
      <c r="C808" s="1" t="n">
        <v>45908</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574-2023</t>
        </is>
      </c>
      <c r="B809" s="1" t="n">
        <v>44925</v>
      </c>
      <c r="C809" s="1" t="n">
        <v>45908</v>
      </c>
      <c r="D809" t="inlineStr">
        <is>
          <t>STOCKHOLMS LÄN</t>
        </is>
      </c>
      <c r="E809" t="inlineStr">
        <is>
          <t>NORRTÄLJE</t>
        </is>
      </c>
      <c r="G809" t="n">
        <v>5</v>
      </c>
      <c r="H809" t="n">
        <v>0</v>
      </c>
      <c r="I809" t="n">
        <v>0</v>
      </c>
      <c r="J809" t="n">
        <v>0</v>
      </c>
      <c r="K809" t="n">
        <v>0</v>
      </c>
      <c r="L809" t="n">
        <v>0</v>
      </c>
      <c r="M809" t="n">
        <v>0</v>
      </c>
      <c r="N809" t="n">
        <v>0</v>
      </c>
      <c r="O809" t="n">
        <v>0</v>
      </c>
      <c r="P809" t="n">
        <v>0</v>
      </c>
      <c r="Q809" t="n">
        <v>0</v>
      </c>
      <c r="R809" s="2" t="inlineStr"/>
    </row>
    <row r="810" ht="15" customHeight="1">
      <c r="A810" t="inlineStr">
        <is>
          <t>A 30283-2022</t>
        </is>
      </c>
      <c r="B810" s="1" t="n">
        <v>44760</v>
      </c>
      <c r="C810" s="1" t="n">
        <v>45908</v>
      </c>
      <c r="D810" t="inlineStr">
        <is>
          <t>STOCKHOLMS LÄN</t>
        </is>
      </c>
      <c r="E810" t="inlineStr">
        <is>
          <t>NORRTÄLJE</t>
        </is>
      </c>
      <c r="G810" t="n">
        <v>6.2</v>
      </c>
      <c r="H810" t="n">
        <v>0</v>
      </c>
      <c r="I810" t="n">
        <v>0</v>
      </c>
      <c r="J810" t="n">
        <v>0</v>
      </c>
      <c r="K810" t="n">
        <v>0</v>
      </c>
      <c r="L810" t="n">
        <v>0</v>
      </c>
      <c r="M810" t="n">
        <v>0</v>
      </c>
      <c r="N810" t="n">
        <v>0</v>
      </c>
      <c r="O810" t="n">
        <v>0</v>
      </c>
      <c r="P810" t="n">
        <v>0</v>
      </c>
      <c r="Q810" t="n">
        <v>0</v>
      </c>
      <c r="R810" s="2" t="inlineStr"/>
    </row>
    <row r="811" ht="15" customHeight="1">
      <c r="A811" t="inlineStr">
        <is>
          <t>A 30290-2022</t>
        </is>
      </c>
      <c r="B811" s="1" t="n">
        <v>44760</v>
      </c>
      <c r="C811" s="1" t="n">
        <v>45908</v>
      </c>
      <c r="D811" t="inlineStr">
        <is>
          <t>STOCKHOLMS LÄN</t>
        </is>
      </c>
      <c r="E811" t="inlineStr">
        <is>
          <t>NORRTÄLJE</t>
        </is>
      </c>
      <c r="G811" t="n">
        <v>4.8</v>
      </c>
      <c r="H811" t="n">
        <v>0</v>
      </c>
      <c r="I811" t="n">
        <v>0</v>
      </c>
      <c r="J811" t="n">
        <v>0</v>
      </c>
      <c r="K811" t="n">
        <v>0</v>
      </c>
      <c r="L811" t="n">
        <v>0</v>
      </c>
      <c r="M811" t="n">
        <v>0</v>
      </c>
      <c r="N811" t="n">
        <v>0</v>
      </c>
      <c r="O811" t="n">
        <v>0</v>
      </c>
      <c r="P811" t="n">
        <v>0</v>
      </c>
      <c r="Q811" t="n">
        <v>0</v>
      </c>
      <c r="R811" s="2" t="inlineStr"/>
    </row>
    <row r="812" ht="15" customHeight="1">
      <c r="A812" t="inlineStr">
        <is>
          <t>A 35235-2024</t>
        </is>
      </c>
      <c r="B812" s="1" t="n">
        <v>45530</v>
      </c>
      <c r="C812" s="1" t="n">
        <v>45908</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3143-2021</t>
        </is>
      </c>
      <c r="B813" s="1" t="n">
        <v>44217.40149305556</v>
      </c>
      <c r="C813" s="1" t="n">
        <v>45908</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29684-2021</t>
        </is>
      </c>
      <c r="B814" s="1" t="n">
        <v>44362.37172453704</v>
      </c>
      <c r="C814" s="1" t="n">
        <v>45908</v>
      </c>
      <c r="D814" t="inlineStr">
        <is>
          <t>STOCKHOLMS LÄN</t>
        </is>
      </c>
      <c r="E814" t="inlineStr">
        <is>
          <t>NORRTÄLJE</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1448-2023</t>
        </is>
      </c>
      <c r="B815" s="1" t="n">
        <v>44937</v>
      </c>
      <c r="C815" s="1" t="n">
        <v>45908</v>
      </c>
      <c r="D815" t="inlineStr">
        <is>
          <t>STOCKHOLMS LÄN</t>
        </is>
      </c>
      <c r="E815" t="inlineStr">
        <is>
          <t>NORRTÄLJE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60884-2024</t>
        </is>
      </c>
      <c r="B816" s="1" t="n">
        <v>45644.90815972222</v>
      </c>
      <c r="C816" s="1" t="n">
        <v>45908</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38610-2022</t>
        </is>
      </c>
      <c r="B817" s="1" t="n">
        <v>44813.59915509259</v>
      </c>
      <c r="C817" s="1" t="n">
        <v>45908</v>
      </c>
      <c r="D817" t="inlineStr">
        <is>
          <t>STOCKHOLMS LÄN</t>
        </is>
      </c>
      <c r="E817" t="inlineStr">
        <is>
          <t>NORRTÄLJE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8736-2024</t>
        </is>
      </c>
      <c r="B818" s="1" t="n">
        <v>45356.4722800926</v>
      </c>
      <c r="C818" s="1" t="n">
        <v>45908</v>
      </c>
      <c r="D818" t="inlineStr">
        <is>
          <t>STOCKHOLMS LÄN</t>
        </is>
      </c>
      <c r="E818" t="inlineStr">
        <is>
          <t>NORRTÄLJE</t>
        </is>
      </c>
      <c r="G818" t="n">
        <v>8.9</v>
      </c>
      <c r="H818" t="n">
        <v>0</v>
      </c>
      <c r="I818" t="n">
        <v>0</v>
      </c>
      <c r="J818" t="n">
        <v>0</v>
      </c>
      <c r="K818" t="n">
        <v>0</v>
      </c>
      <c r="L818" t="n">
        <v>0</v>
      </c>
      <c r="M818" t="n">
        <v>0</v>
      </c>
      <c r="N818" t="n">
        <v>0</v>
      </c>
      <c r="O818" t="n">
        <v>0</v>
      </c>
      <c r="P818" t="n">
        <v>0</v>
      </c>
      <c r="Q818" t="n">
        <v>0</v>
      </c>
      <c r="R818" s="2" t="inlineStr"/>
    </row>
    <row r="819" ht="15" customHeight="1">
      <c r="A819" t="inlineStr">
        <is>
          <t>A 10090-2022</t>
        </is>
      </c>
      <c r="B819" s="1" t="n">
        <v>44621</v>
      </c>
      <c r="C819" s="1" t="n">
        <v>45908</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14724-2022</t>
        </is>
      </c>
      <c r="B820" s="1" t="n">
        <v>44656</v>
      </c>
      <c r="C820" s="1" t="n">
        <v>45908</v>
      </c>
      <c r="D820" t="inlineStr">
        <is>
          <t>STOCKHOLMS LÄN</t>
        </is>
      </c>
      <c r="E820" t="inlineStr">
        <is>
          <t>NORRTÄLJE</t>
        </is>
      </c>
      <c r="F820" t="inlineStr">
        <is>
          <t>Sveaskog</t>
        </is>
      </c>
      <c r="G820" t="n">
        <v>9</v>
      </c>
      <c r="H820" t="n">
        <v>0</v>
      </c>
      <c r="I820" t="n">
        <v>0</v>
      </c>
      <c r="J820" t="n">
        <v>0</v>
      </c>
      <c r="K820" t="n">
        <v>0</v>
      </c>
      <c r="L820" t="n">
        <v>0</v>
      </c>
      <c r="M820" t="n">
        <v>0</v>
      </c>
      <c r="N820" t="n">
        <v>0</v>
      </c>
      <c r="O820" t="n">
        <v>0</v>
      </c>
      <c r="P820" t="n">
        <v>0</v>
      </c>
      <c r="Q820" t="n">
        <v>0</v>
      </c>
      <c r="R820" s="2" t="inlineStr"/>
    </row>
    <row r="821" ht="15" customHeight="1">
      <c r="A821" t="inlineStr">
        <is>
          <t>A 18846-2022</t>
        </is>
      </c>
      <c r="B821" s="1" t="n">
        <v>44690</v>
      </c>
      <c r="C821" s="1" t="n">
        <v>45908</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43300-2023</t>
        </is>
      </c>
      <c r="B822" s="1" t="n">
        <v>45183</v>
      </c>
      <c r="C822" s="1" t="n">
        <v>45908</v>
      </c>
      <c r="D822" t="inlineStr">
        <is>
          <t>STOCKHOLMS LÄN</t>
        </is>
      </c>
      <c r="E822" t="inlineStr">
        <is>
          <t>NORRTÄLJE</t>
        </is>
      </c>
      <c r="G822" t="n">
        <v>2.3</v>
      </c>
      <c r="H822" t="n">
        <v>0</v>
      </c>
      <c r="I822" t="n">
        <v>0</v>
      </c>
      <c r="J822" t="n">
        <v>0</v>
      </c>
      <c r="K822" t="n">
        <v>0</v>
      </c>
      <c r="L822" t="n">
        <v>0</v>
      </c>
      <c r="M822" t="n">
        <v>0</v>
      </c>
      <c r="N822" t="n">
        <v>0</v>
      </c>
      <c r="O822" t="n">
        <v>0</v>
      </c>
      <c r="P822" t="n">
        <v>0</v>
      </c>
      <c r="Q822" t="n">
        <v>0</v>
      </c>
      <c r="R822" s="2" t="inlineStr"/>
    </row>
    <row r="823" ht="15" customHeight="1">
      <c r="A823" t="inlineStr">
        <is>
          <t>A 25654-2023</t>
        </is>
      </c>
      <c r="B823" s="1" t="n">
        <v>45089</v>
      </c>
      <c r="C823" s="1" t="n">
        <v>45908</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33149-2022</t>
        </is>
      </c>
      <c r="B824" s="1" t="n">
        <v>44785</v>
      </c>
      <c r="C824" s="1" t="n">
        <v>45908</v>
      </c>
      <c r="D824" t="inlineStr">
        <is>
          <t>STOCKHOLMS LÄN</t>
        </is>
      </c>
      <c r="E824" t="inlineStr">
        <is>
          <t>NORRTÄLJE</t>
        </is>
      </c>
      <c r="F824" t="inlineStr">
        <is>
          <t>Holmen skog AB</t>
        </is>
      </c>
      <c r="G824" t="n">
        <v>4.4</v>
      </c>
      <c r="H824" t="n">
        <v>0</v>
      </c>
      <c r="I824" t="n">
        <v>0</v>
      </c>
      <c r="J824" t="n">
        <v>0</v>
      </c>
      <c r="K824" t="n">
        <v>0</v>
      </c>
      <c r="L824" t="n">
        <v>0</v>
      </c>
      <c r="M824" t="n">
        <v>0</v>
      </c>
      <c r="N824" t="n">
        <v>0</v>
      </c>
      <c r="O824" t="n">
        <v>0</v>
      </c>
      <c r="P824" t="n">
        <v>0</v>
      </c>
      <c r="Q824" t="n">
        <v>0</v>
      </c>
      <c r="R824" s="2" t="inlineStr"/>
    </row>
    <row r="825" ht="15" customHeight="1">
      <c r="A825" t="inlineStr">
        <is>
          <t>A 23125-2022</t>
        </is>
      </c>
      <c r="B825" s="1" t="n">
        <v>44719</v>
      </c>
      <c r="C825" s="1" t="n">
        <v>45908</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20121-2022</t>
        </is>
      </c>
      <c r="B826" s="1" t="n">
        <v>44698</v>
      </c>
      <c r="C826" s="1" t="n">
        <v>45908</v>
      </c>
      <c r="D826" t="inlineStr">
        <is>
          <t>STOCKHOLMS LÄN</t>
        </is>
      </c>
      <c r="E826" t="inlineStr">
        <is>
          <t>NORRTÄLJE</t>
        </is>
      </c>
      <c r="G826" t="n">
        <v>4.2</v>
      </c>
      <c r="H826" t="n">
        <v>0</v>
      </c>
      <c r="I826" t="n">
        <v>0</v>
      </c>
      <c r="J826" t="n">
        <v>0</v>
      </c>
      <c r="K826" t="n">
        <v>0</v>
      </c>
      <c r="L826" t="n">
        <v>0</v>
      </c>
      <c r="M826" t="n">
        <v>0</v>
      </c>
      <c r="N826" t="n">
        <v>0</v>
      </c>
      <c r="O826" t="n">
        <v>0</v>
      </c>
      <c r="P826" t="n">
        <v>0</v>
      </c>
      <c r="Q826" t="n">
        <v>0</v>
      </c>
      <c r="R826" s="2" t="inlineStr"/>
    </row>
    <row r="827" ht="15" customHeight="1">
      <c r="A827" t="inlineStr">
        <is>
          <t>A 33385-2024</t>
        </is>
      </c>
      <c r="B827" s="1" t="n">
        <v>45519</v>
      </c>
      <c r="C827" s="1" t="n">
        <v>45908</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41172-2023</t>
        </is>
      </c>
      <c r="B828" s="1" t="n">
        <v>45170</v>
      </c>
      <c r="C828" s="1" t="n">
        <v>45908</v>
      </c>
      <c r="D828" t="inlineStr">
        <is>
          <t>STOCKHOLMS LÄN</t>
        </is>
      </c>
      <c r="E828" t="inlineStr">
        <is>
          <t>NORRTÄLJE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46071-2024</t>
        </is>
      </c>
      <c r="B829" s="1" t="n">
        <v>45581</v>
      </c>
      <c r="C829" s="1" t="n">
        <v>45908</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73307-2021</t>
        </is>
      </c>
      <c r="B830" s="1" t="n">
        <v>44549</v>
      </c>
      <c r="C830" s="1" t="n">
        <v>45908</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50534-2024</t>
        </is>
      </c>
      <c r="B831" s="1" t="n">
        <v>45601.56726851852</v>
      </c>
      <c r="C831" s="1" t="n">
        <v>45908</v>
      </c>
      <c r="D831" t="inlineStr">
        <is>
          <t>STOCKHOLMS LÄN</t>
        </is>
      </c>
      <c r="E831" t="inlineStr">
        <is>
          <t>NORRTÄLJE</t>
        </is>
      </c>
      <c r="G831" t="n">
        <v>2.6</v>
      </c>
      <c r="H831" t="n">
        <v>0</v>
      </c>
      <c r="I831" t="n">
        <v>0</v>
      </c>
      <c r="J831" t="n">
        <v>0</v>
      </c>
      <c r="K831" t="n">
        <v>0</v>
      </c>
      <c r="L831" t="n">
        <v>0</v>
      </c>
      <c r="M831" t="n">
        <v>0</v>
      </c>
      <c r="N831" t="n">
        <v>0</v>
      </c>
      <c r="O831" t="n">
        <v>0</v>
      </c>
      <c r="P831" t="n">
        <v>0</v>
      </c>
      <c r="Q831" t="n">
        <v>0</v>
      </c>
      <c r="R831" s="2" t="inlineStr"/>
    </row>
    <row r="832" ht="15" customHeight="1">
      <c r="A832" t="inlineStr">
        <is>
          <t>A 11988-2021</t>
        </is>
      </c>
      <c r="B832" s="1" t="n">
        <v>44266</v>
      </c>
      <c r="C832" s="1" t="n">
        <v>45908</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12132-2021</t>
        </is>
      </c>
      <c r="B833" s="1" t="n">
        <v>44266</v>
      </c>
      <c r="C833" s="1" t="n">
        <v>45908</v>
      </c>
      <c r="D833" t="inlineStr">
        <is>
          <t>STOCKHOLMS LÄN</t>
        </is>
      </c>
      <c r="E833" t="inlineStr">
        <is>
          <t>NORRTÄLJE</t>
        </is>
      </c>
      <c r="G833" t="n">
        <v>4</v>
      </c>
      <c r="H833" t="n">
        <v>0</v>
      </c>
      <c r="I833" t="n">
        <v>0</v>
      </c>
      <c r="J833" t="n">
        <v>0</v>
      </c>
      <c r="K833" t="n">
        <v>0</v>
      </c>
      <c r="L833" t="n">
        <v>0</v>
      </c>
      <c r="M833" t="n">
        <v>0</v>
      </c>
      <c r="N833" t="n">
        <v>0</v>
      </c>
      <c r="O833" t="n">
        <v>0</v>
      </c>
      <c r="P833" t="n">
        <v>0</v>
      </c>
      <c r="Q833" t="n">
        <v>0</v>
      </c>
      <c r="R833" s="2" t="inlineStr"/>
    </row>
    <row r="834" ht="15" customHeight="1">
      <c r="A834" t="inlineStr">
        <is>
          <t>A 65499-2021</t>
        </is>
      </c>
      <c r="B834" s="1" t="n">
        <v>44516</v>
      </c>
      <c r="C834" s="1" t="n">
        <v>45908</v>
      </c>
      <c r="D834" t="inlineStr">
        <is>
          <t>STOCKHOLMS LÄN</t>
        </is>
      </c>
      <c r="E834" t="inlineStr">
        <is>
          <t>NORRTÄLJE</t>
        </is>
      </c>
      <c r="F834" t="inlineStr">
        <is>
          <t>Kommuner</t>
        </is>
      </c>
      <c r="G834" t="n">
        <v>5.2</v>
      </c>
      <c r="H834" t="n">
        <v>0</v>
      </c>
      <c r="I834" t="n">
        <v>0</v>
      </c>
      <c r="J834" t="n">
        <v>0</v>
      </c>
      <c r="K834" t="n">
        <v>0</v>
      </c>
      <c r="L834" t="n">
        <v>0</v>
      </c>
      <c r="M834" t="n">
        <v>0</v>
      </c>
      <c r="N834" t="n">
        <v>0</v>
      </c>
      <c r="O834" t="n">
        <v>0</v>
      </c>
      <c r="P834" t="n">
        <v>0</v>
      </c>
      <c r="Q834" t="n">
        <v>0</v>
      </c>
      <c r="R834" s="2" t="inlineStr"/>
    </row>
    <row r="835" ht="15" customHeight="1">
      <c r="A835" t="inlineStr">
        <is>
          <t>A 65511-2021</t>
        </is>
      </c>
      <c r="B835" s="1" t="n">
        <v>44516.40674768519</v>
      </c>
      <c r="C835" s="1" t="n">
        <v>45908</v>
      </c>
      <c r="D835" t="inlineStr">
        <is>
          <t>STOCKHOLMS LÄN</t>
        </is>
      </c>
      <c r="E835" t="inlineStr">
        <is>
          <t>NORRTÄLJE</t>
        </is>
      </c>
      <c r="F835" t="inlineStr">
        <is>
          <t>Kommuner</t>
        </is>
      </c>
      <c r="G835" t="n">
        <v>2.8</v>
      </c>
      <c r="H835" t="n">
        <v>0</v>
      </c>
      <c r="I835" t="n">
        <v>0</v>
      </c>
      <c r="J835" t="n">
        <v>0</v>
      </c>
      <c r="K835" t="n">
        <v>0</v>
      </c>
      <c r="L835" t="n">
        <v>0</v>
      </c>
      <c r="M835" t="n">
        <v>0</v>
      </c>
      <c r="N835" t="n">
        <v>0</v>
      </c>
      <c r="O835" t="n">
        <v>0</v>
      </c>
      <c r="P835" t="n">
        <v>0</v>
      </c>
      <c r="Q835" t="n">
        <v>0</v>
      </c>
      <c r="R835" s="2" t="inlineStr"/>
    </row>
    <row r="836" ht="15" customHeight="1">
      <c r="A836" t="inlineStr">
        <is>
          <t>A 22833-2024</t>
        </is>
      </c>
      <c r="B836" s="1" t="n">
        <v>45448.56746527777</v>
      </c>
      <c r="C836" s="1" t="n">
        <v>45908</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32514-2022</t>
        </is>
      </c>
      <c r="B837" s="1" t="n">
        <v>44782</v>
      </c>
      <c r="C837" s="1" t="n">
        <v>45908</v>
      </c>
      <c r="D837" t="inlineStr">
        <is>
          <t>STOCKHOLMS LÄN</t>
        </is>
      </c>
      <c r="E837" t="inlineStr">
        <is>
          <t>NORRTÄLJE</t>
        </is>
      </c>
      <c r="G837" t="n">
        <v>5.1</v>
      </c>
      <c r="H837" t="n">
        <v>0</v>
      </c>
      <c r="I837" t="n">
        <v>0</v>
      </c>
      <c r="J837" t="n">
        <v>0</v>
      </c>
      <c r="K837" t="n">
        <v>0</v>
      </c>
      <c r="L837" t="n">
        <v>0</v>
      </c>
      <c r="M837" t="n">
        <v>0</v>
      </c>
      <c r="N837" t="n">
        <v>0</v>
      </c>
      <c r="O837" t="n">
        <v>0</v>
      </c>
      <c r="P837" t="n">
        <v>0</v>
      </c>
      <c r="Q837" t="n">
        <v>0</v>
      </c>
      <c r="R837" s="2" t="inlineStr"/>
    </row>
    <row r="838" ht="15" customHeight="1">
      <c r="A838" t="inlineStr">
        <is>
          <t>A 29362-2022</t>
        </is>
      </c>
      <c r="B838" s="1" t="n">
        <v>44753</v>
      </c>
      <c r="C838" s="1" t="n">
        <v>45908</v>
      </c>
      <c r="D838" t="inlineStr">
        <is>
          <t>STOCKHOLMS LÄN</t>
        </is>
      </c>
      <c r="E838" t="inlineStr">
        <is>
          <t>NORRTÄLJE</t>
        </is>
      </c>
      <c r="G838" t="n">
        <v>3.8</v>
      </c>
      <c r="H838" t="n">
        <v>0</v>
      </c>
      <c r="I838" t="n">
        <v>0</v>
      </c>
      <c r="J838" t="n">
        <v>0</v>
      </c>
      <c r="K838" t="n">
        <v>0</v>
      </c>
      <c r="L838" t="n">
        <v>0</v>
      </c>
      <c r="M838" t="n">
        <v>0</v>
      </c>
      <c r="N838" t="n">
        <v>0</v>
      </c>
      <c r="O838" t="n">
        <v>0</v>
      </c>
      <c r="P838" t="n">
        <v>0</v>
      </c>
      <c r="Q838" t="n">
        <v>0</v>
      </c>
      <c r="R838" s="2" t="inlineStr"/>
    </row>
    <row r="839" ht="15" customHeight="1">
      <c r="A839" t="inlineStr">
        <is>
          <t>A 6537-2024</t>
        </is>
      </c>
      <c r="B839" s="1" t="n">
        <v>45341.39853009259</v>
      </c>
      <c r="C839" s="1" t="n">
        <v>45908</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40175-2024</t>
        </is>
      </c>
      <c r="B840" s="1" t="n">
        <v>45554.55707175926</v>
      </c>
      <c r="C840" s="1" t="n">
        <v>45908</v>
      </c>
      <c r="D840" t="inlineStr">
        <is>
          <t>STOCKHOLMS LÄN</t>
        </is>
      </c>
      <c r="E840" t="inlineStr">
        <is>
          <t>NORRTÄLJE</t>
        </is>
      </c>
      <c r="G840" t="n">
        <v>7.7</v>
      </c>
      <c r="H840" t="n">
        <v>0</v>
      </c>
      <c r="I840" t="n">
        <v>0</v>
      </c>
      <c r="J840" t="n">
        <v>0</v>
      </c>
      <c r="K840" t="n">
        <v>0</v>
      </c>
      <c r="L840" t="n">
        <v>0</v>
      </c>
      <c r="M840" t="n">
        <v>0</v>
      </c>
      <c r="N840" t="n">
        <v>0</v>
      </c>
      <c r="O840" t="n">
        <v>0</v>
      </c>
      <c r="P840" t="n">
        <v>0</v>
      </c>
      <c r="Q840" t="n">
        <v>0</v>
      </c>
      <c r="R840" s="2" t="inlineStr"/>
    </row>
    <row r="841" ht="15" customHeight="1">
      <c r="A841" t="inlineStr">
        <is>
          <t>A 54558-2024</t>
        </is>
      </c>
      <c r="B841" s="1" t="n">
        <v>45617.62358796296</v>
      </c>
      <c r="C841" s="1" t="n">
        <v>45908</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23056-2023</t>
        </is>
      </c>
      <c r="B842" s="1" t="n">
        <v>45075</v>
      </c>
      <c r="C842" s="1" t="n">
        <v>45908</v>
      </c>
      <c r="D842" t="inlineStr">
        <is>
          <t>STOCKHOLMS LÄN</t>
        </is>
      </c>
      <c r="E842" t="inlineStr">
        <is>
          <t>NORRTÄLJE</t>
        </is>
      </c>
      <c r="G842" t="n">
        <v>1.7</v>
      </c>
      <c r="H842" t="n">
        <v>0</v>
      </c>
      <c r="I842" t="n">
        <v>0</v>
      </c>
      <c r="J842" t="n">
        <v>0</v>
      </c>
      <c r="K842" t="n">
        <v>0</v>
      </c>
      <c r="L842" t="n">
        <v>0</v>
      </c>
      <c r="M842" t="n">
        <v>0</v>
      </c>
      <c r="N842" t="n">
        <v>0</v>
      </c>
      <c r="O842" t="n">
        <v>0</v>
      </c>
      <c r="P842" t="n">
        <v>0</v>
      </c>
      <c r="Q842" t="n">
        <v>0</v>
      </c>
      <c r="R842" s="2" t="inlineStr"/>
    </row>
    <row r="843" ht="15" customHeight="1">
      <c r="A843" t="inlineStr">
        <is>
          <t>A 67393-2020</t>
        </is>
      </c>
      <c r="B843" s="1" t="n">
        <v>44181</v>
      </c>
      <c r="C843" s="1" t="n">
        <v>45908</v>
      </c>
      <c r="D843" t="inlineStr">
        <is>
          <t>STOCKHOLMS LÄN</t>
        </is>
      </c>
      <c r="E843" t="inlineStr">
        <is>
          <t>NORRTÄLJE</t>
        </is>
      </c>
      <c r="G843" t="n">
        <v>5.5</v>
      </c>
      <c r="H843" t="n">
        <v>0</v>
      </c>
      <c r="I843" t="n">
        <v>0</v>
      </c>
      <c r="J843" t="n">
        <v>0</v>
      </c>
      <c r="K843" t="n">
        <v>0</v>
      </c>
      <c r="L843" t="n">
        <v>0</v>
      </c>
      <c r="M843" t="n">
        <v>0</v>
      </c>
      <c r="N843" t="n">
        <v>0</v>
      </c>
      <c r="O843" t="n">
        <v>0</v>
      </c>
      <c r="P843" t="n">
        <v>0</v>
      </c>
      <c r="Q843" t="n">
        <v>0</v>
      </c>
      <c r="R843" s="2" t="inlineStr"/>
    </row>
    <row r="844" ht="15" customHeight="1">
      <c r="A844" t="inlineStr">
        <is>
          <t>A 47431-2023</t>
        </is>
      </c>
      <c r="B844" s="1" t="n">
        <v>45202</v>
      </c>
      <c r="C844" s="1" t="n">
        <v>45908</v>
      </c>
      <c r="D844" t="inlineStr">
        <is>
          <t>STOCKHOLMS LÄN</t>
        </is>
      </c>
      <c r="E844" t="inlineStr">
        <is>
          <t>NORRTÄLJE</t>
        </is>
      </c>
      <c r="F844" t="inlineStr">
        <is>
          <t>Naturvårdsverket</t>
        </is>
      </c>
      <c r="G844" t="n">
        <v>1.2</v>
      </c>
      <c r="H844" t="n">
        <v>0</v>
      </c>
      <c r="I844" t="n">
        <v>0</v>
      </c>
      <c r="J844" t="n">
        <v>0</v>
      </c>
      <c r="K844" t="n">
        <v>0</v>
      </c>
      <c r="L844" t="n">
        <v>0</v>
      </c>
      <c r="M844" t="n">
        <v>0</v>
      </c>
      <c r="N844" t="n">
        <v>0</v>
      </c>
      <c r="O844" t="n">
        <v>0</v>
      </c>
      <c r="P844" t="n">
        <v>0</v>
      </c>
      <c r="Q844" t="n">
        <v>0</v>
      </c>
      <c r="R844" s="2" t="inlineStr"/>
    </row>
    <row r="845" ht="15" customHeight="1">
      <c r="A845" t="inlineStr">
        <is>
          <t>A 59499-2023</t>
        </is>
      </c>
      <c r="B845" s="1" t="n">
        <v>45254</v>
      </c>
      <c r="C845" s="1" t="n">
        <v>45908</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58492-2022</t>
        </is>
      </c>
      <c r="B846" s="1" t="n">
        <v>44902</v>
      </c>
      <c r="C846" s="1" t="n">
        <v>45908</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59468-2023</t>
        </is>
      </c>
      <c r="B847" s="1" t="n">
        <v>45254.41509259259</v>
      </c>
      <c r="C847" s="1" t="n">
        <v>45908</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51315-2021</t>
        </is>
      </c>
      <c r="B848" s="1" t="n">
        <v>44461</v>
      </c>
      <c r="C848" s="1" t="n">
        <v>45908</v>
      </c>
      <c r="D848" t="inlineStr">
        <is>
          <t>STOCKHOLMS LÄN</t>
        </is>
      </c>
      <c r="E848" t="inlineStr">
        <is>
          <t>NORRTÄLJE</t>
        </is>
      </c>
      <c r="F848" t="inlineStr">
        <is>
          <t>Holmen skog AB</t>
        </is>
      </c>
      <c r="G848" t="n">
        <v>2.2</v>
      </c>
      <c r="H848" t="n">
        <v>0</v>
      </c>
      <c r="I848" t="n">
        <v>0</v>
      </c>
      <c r="J848" t="n">
        <v>0</v>
      </c>
      <c r="K848" t="n">
        <v>0</v>
      </c>
      <c r="L848" t="n">
        <v>0</v>
      </c>
      <c r="M848" t="n">
        <v>0</v>
      </c>
      <c r="N848" t="n">
        <v>0</v>
      </c>
      <c r="O848" t="n">
        <v>0</v>
      </c>
      <c r="P848" t="n">
        <v>0</v>
      </c>
      <c r="Q848" t="n">
        <v>0</v>
      </c>
      <c r="R848" s="2" t="inlineStr"/>
    </row>
    <row r="849" ht="15" customHeight="1">
      <c r="A849" t="inlineStr">
        <is>
          <t>A 12532-2025</t>
        </is>
      </c>
      <c r="B849" s="1" t="n">
        <v>45730.69143518519</v>
      </c>
      <c r="C849" s="1" t="n">
        <v>45908</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5732-2023</t>
        </is>
      </c>
      <c r="B850" s="1" t="n">
        <v>44962</v>
      </c>
      <c r="C850" s="1" t="n">
        <v>45908</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10653-2022</t>
        </is>
      </c>
      <c r="B851" s="1" t="n">
        <v>44624.59434027778</v>
      </c>
      <c r="C851" s="1" t="n">
        <v>45908</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21729-2024</t>
        </is>
      </c>
      <c r="B852" s="1" t="n">
        <v>45442</v>
      </c>
      <c r="C852" s="1" t="n">
        <v>45908</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22232-2024</t>
        </is>
      </c>
      <c r="B853" s="1" t="n">
        <v>45446.4287962963</v>
      </c>
      <c r="C853" s="1" t="n">
        <v>45908</v>
      </c>
      <c r="D853" t="inlineStr">
        <is>
          <t>STOCKHOLMS LÄN</t>
        </is>
      </c>
      <c r="E853" t="inlineStr">
        <is>
          <t>NORRTÄLJE</t>
        </is>
      </c>
      <c r="G853" t="n">
        <v>12.8</v>
      </c>
      <c r="H853" t="n">
        <v>0</v>
      </c>
      <c r="I853" t="n">
        <v>0</v>
      </c>
      <c r="J853" t="n">
        <v>0</v>
      </c>
      <c r="K853" t="n">
        <v>0</v>
      </c>
      <c r="L853" t="n">
        <v>0</v>
      </c>
      <c r="M853" t="n">
        <v>0</v>
      </c>
      <c r="N853" t="n">
        <v>0</v>
      </c>
      <c r="O853" t="n">
        <v>0</v>
      </c>
      <c r="P853" t="n">
        <v>0</v>
      </c>
      <c r="Q853" t="n">
        <v>0</v>
      </c>
      <c r="R853" s="2" t="inlineStr"/>
    </row>
    <row r="854" ht="15" customHeight="1">
      <c r="A854" t="inlineStr">
        <is>
          <t>A 11854-2025</t>
        </is>
      </c>
      <c r="B854" s="1" t="n">
        <v>45728.38924768518</v>
      </c>
      <c r="C854" s="1" t="n">
        <v>45908</v>
      </c>
      <c r="D854" t="inlineStr">
        <is>
          <t>STOCKHOLMS LÄN</t>
        </is>
      </c>
      <c r="E854" t="inlineStr">
        <is>
          <t>NORRTÄLJE</t>
        </is>
      </c>
      <c r="G854" t="n">
        <v>1.4</v>
      </c>
      <c r="H854" t="n">
        <v>0</v>
      </c>
      <c r="I854" t="n">
        <v>0</v>
      </c>
      <c r="J854" t="n">
        <v>0</v>
      </c>
      <c r="K854" t="n">
        <v>0</v>
      </c>
      <c r="L854" t="n">
        <v>0</v>
      </c>
      <c r="M854" t="n">
        <v>0</v>
      </c>
      <c r="N854" t="n">
        <v>0</v>
      </c>
      <c r="O854" t="n">
        <v>0</v>
      </c>
      <c r="P854" t="n">
        <v>0</v>
      </c>
      <c r="Q854" t="n">
        <v>0</v>
      </c>
      <c r="R854" s="2" t="inlineStr"/>
    </row>
    <row r="855" ht="15" customHeight="1">
      <c r="A855" t="inlineStr">
        <is>
          <t>A 14762-2024</t>
        </is>
      </c>
      <c r="B855" s="1" t="n">
        <v>45397</v>
      </c>
      <c r="C855" s="1" t="n">
        <v>45908</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14873-2025</t>
        </is>
      </c>
      <c r="B856" s="1" t="n">
        <v>45743.44953703704</v>
      </c>
      <c r="C856" s="1" t="n">
        <v>45908</v>
      </c>
      <c r="D856" t="inlineStr">
        <is>
          <t>STOCKHOLMS LÄN</t>
        </is>
      </c>
      <c r="E856" t="inlineStr">
        <is>
          <t>NORRTÄLJE</t>
        </is>
      </c>
      <c r="G856" t="n">
        <v>10.2</v>
      </c>
      <c r="H856" t="n">
        <v>0</v>
      </c>
      <c r="I856" t="n">
        <v>0</v>
      </c>
      <c r="J856" t="n">
        <v>0</v>
      </c>
      <c r="K856" t="n">
        <v>0</v>
      </c>
      <c r="L856" t="n">
        <v>0</v>
      </c>
      <c r="M856" t="n">
        <v>0</v>
      </c>
      <c r="N856" t="n">
        <v>0</v>
      </c>
      <c r="O856" t="n">
        <v>0</v>
      </c>
      <c r="P856" t="n">
        <v>0</v>
      </c>
      <c r="Q856" t="n">
        <v>0</v>
      </c>
      <c r="R856" s="2" t="inlineStr"/>
    </row>
    <row r="857" ht="15" customHeight="1">
      <c r="A857" t="inlineStr">
        <is>
          <t>A 34773-2022</t>
        </is>
      </c>
      <c r="B857" s="1" t="n">
        <v>44795</v>
      </c>
      <c r="C857" s="1" t="n">
        <v>45908</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59712-2024</t>
        </is>
      </c>
      <c r="B858" s="1" t="n">
        <v>45639.45166666667</v>
      </c>
      <c r="C858" s="1" t="n">
        <v>45908</v>
      </c>
      <c r="D858" t="inlineStr">
        <is>
          <t>STOCKHOLMS LÄN</t>
        </is>
      </c>
      <c r="E858" t="inlineStr">
        <is>
          <t>NORRTÄLJE</t>
        </is>
      </c>
      <c r="G858" t="n">
        <v>4.4</v>
      </c>
      <c r="H858" t="n">
        <v>0</v>
      </c>
      <c r="I858" t="n">
        <v>0</v>
      </c>
      <c r="J858" t="n">
        <v>0</v>
      </c>
      <c r="K858" t="n">
        <v>0</v>
      </c>
      <c r="L858" t="n">
        <v>0</v>
      </c>
      <c r="M858" t="n">
        <v>0</v>
      </c>
      <c r="N858" t="n">
        <v>0</v>
      </c>
      <c r="O858" t="n">
        <v>0</v>
      </c>
      <c r="P858" t="n">
        <v>0</v>
      </c>
      <c r="Q858" t="n">
        <v>0</v>
      </c>
      <c r="R858" s="2" t="inlineStr"/>
    </row>
    <row r="859" ht="15" customHeight="1">
      <c r="A859" t="inlineStr">
        <is>
          <t>A 35127-2023</t>
        </is>
      </c>
      <c r="B859" s="1" t="n">
        <v>45145.51</v>
      </c>
      <c r="C859" s="1" t="n">
        <v>45908</v>
      </c>
      <c r="D859" t="inlineStr">
        <is>
          <t>STOCKHOLMS LÄN</t>
        </is>
      </c>
      <c r="E859" t="inlineStr">
        <is>
          <t>NORRTÄLJE</t>
        </is>
      </c>
      <c r="G859" t="n">
        <v>4.7</v>
      </c>
      <c r="H859" t="n">
        <v>0</v>
      </c>
      <c r="I859" t="n">
        <v>0</v>
      </c>
      <c r="J859" t="n">
        <v>0</v>
      </c>
      <c r="K859" t="n">
        <v>0</v>
      </c>
      <c r="L859" t="n">
        <v>0</v>
      </c>
      <c r="M859" t="n">
        <v>0</v>
      </c>
      <c r="N859" t="n">
        <v>0</v>
      </c>
      <c r="O859" t="n">
        <v>0</v>
      </c>
      <c r="P859" t="n">
        <v>0</v>
      </c>
      <c r="Q859" t="n">
        <v>0</v>
      </c>
      <c r="R859" s="2" t="inlineStr"/>
    </row>
    <row r="860" ht="15" customHeight="1">
      <c r="A860" t="inlineStr">
        <is>
          <t>A 33173-2024</t>
        </is>
      </c>
      <c r="B860" s="1" t="n">
        <v>45518</v>
      </c>
      <c r="C860" s="1" t="n">
        <v>45908</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45255-2022</t>
        </is>
      </c>
      <c r="B861" s="1" t="n">
        <v>44840</v>
      </c>
      <c r="C861" s="1" t="n">
        <v>45908</v>
      </c>
      <c r="D861" t="inlineStr">
        <is>
          <t>STOCKHOLMS LÄN</t>
        </is>
      </c>
      <c r="E861" t="inlineStr">
        <is>
          <t>NORRTÄLJE</t>
        </is>
      </c>
      <c r="G861" t="n">
        <v>4.1</v>
      </c>
      <c r="H861" t="n">
        <v>0</v>
      </c>
      <c r="I861" t="n">
        <v>0</v>
      </c>
      <c r="J861" t="n">
        <v>0</v>
      </c>
      <c r="K861" t="n">
        <v>0</v>
      </c>
      <c r="L861" t="n">
        <v>0</v>
      </c>
      <c r="M861" t="n">
        <v>0</v>
      </c>
      <c r="N861" t="n">
        <v>0</v>
      </c>
      <c r="O861" t="n">
        <v>0</v>
      </c>
      <c r="P861" t="n">
        <v>0</v>
      </c>
      <c r="Q861" t="n">
        <v>0</v>
      </c>
      <c r="R861" s="2" t="inlineStr"/>
    </row>
    <row r="862" ht="15" customHeight="1">
      <c r="A862" t="inlineStr">
        <is>
          <t>A 59893-2022</t>
        </is>
      </c>
      <c r="B862" s="1" t="n">
        <v>44908.77368055555</v>
      </c>
      <c r="C862" s="1" t="n">
        <v>45908</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39905-2023</t>
        </is>
      </c>
      <c r="B863" s="1" t="n">
        <v>45168.44489583333</v>
      </c>
      <c r="C863" s="1" t="n">
        <v>45908</v>
      </c>
      <c r="D863" t="inlineStr">
        <is>
          <t>STOCKHOLMS LÄN</t>
        </is>
      </c>
      <c r="E863" t="inlineStr">
        <is>
          <t>NORRTÄLJE</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5645-2023</t>
        </is>
      </c>
      <c r="B864" s="1" t="n">
        <v>44960.60469907407</v>
      </c>
      <c r="C864" s="1" t="n">
        <v>45908</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68361-2021</t>
        </is>
      </c>
      <c r="B865" s="1" t="n">
        <v>44528.91494212963</v>
      </c>
      <c r="C865" s="1" t="n">
        <v>45908</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60529-2023</t>
        </is>
      </c>
      <c r="B866" s="1" t="n">
        <v>45259</v>
      </c>
      <c r="C866" s="1" t="n">
        <v>45908</v>
      </c>
      <c r="D866" t="inlineStr">
        <is>
          <t>STOCKHOLMS LÄN</t>
        </is>
      </c>
      <c r="E866" t="inlineStr">
        <is>
          <t>NORRTÄLJE</t>
        </is>
      </c>
      <c r="G866" t="n">
        <v>2.6</v>
      </c>
      <c r="H866" t="n">
        <v>0</v>
      </c>
      <c r="I866" t="n">
        <v>0</v>
      </c>
      <c r="J866" t="n">
        <v>0</v>
      </c>
      <c r="K866" t="n">
        <v>0</v>
      </c>
      <c r="L866" t="n">
        <v>0</v>
      </c>
      <c r="M866" t="n">
        <v>0</v>
      </c>
      <c r="N866" t="n">
        <v>0</v>
      </c>
      <c r="O866" t="n">
        <v>0</v>
      </c>
      <c r="P866" t="n">
        <v>0</v>
      </c>
      <c r="Q866" t="n">
        <v>0</v>
      </c>
      <c r="R866" s="2" t="inlineStr"/>
    </row>
    <row r="867" ht="15" customHeight="1">
      <c r="A867" t="inlineStr">
        <is>
          <t>A 4484-2025</t>
        </is>
      </c>
      <c r="B867" s="1" t="n">
        <v>45686.65545138889</v>
      </c>
      <c r="C867" s="1" t="n">
        <v>45908</v>
      </c>
      <c r="D867" t="inlineStr">
        <is>
          <t>STOCKHOLMS LÄN</t>
        </is>
      </c>
      <c r="E867" t="inlineStr">
        <is>
          <t>NORRTÄLJE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33878-2024</t>
        </is>
      </c>
      <c r="B868" s="1" t="n">
        <v>45522.44414351852</v>
      </c>
      <c r="C868" s="1" t="n">
        <v>45908</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19706-2023</t>
        </is>
      </c>
      <c r="B869" s="1" t="n">
        <v>45051.455</v>
      </c>
      <c r="C869" s="1" t="n">
        <v>45908</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9246-2024</t>
        </is>
      </c>
      <c r="B870" s="1" t="n">
        <v>45357</v>
      </c>
      <c r="C870" s="1" t="n">
        <v>45908</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35698-2023</t>
        </is>
      </c>
      <c r="B871" s="1" t="n">
        <v>45147</v>
      </c>
      <c r="C871" s="1" t="n">
        <v>45908</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18539-2021</t>
        </is>
      </c>
      <c r="B872" s="1" t="n">
        <v>44306</v>
      </c>
      <c r="C872" s="1" t="n">
        <v>45908</v>
      </c>
      <c r="D872" t="inlineStr">
        <is>
          <t>STOCKHOLMS LÄN</t>
        </is>
      </c>
      <c r="E872" t="inlineStr">
        <is>
          <t>NORRTÄLJE</t>
        </is>
      </c>
      <c r="F872" t="inlineStr">
        <is>
          <t>Holmen skog AB</t>
        </is>
      </c>
      <c r="G872" t="n">
        <v>5.5</v>
      </c>
      <c r="H872" t="n">
        <v>0</v>
      </c>
      <c r="I872" t="n">
        <v>0</v>
      </c>
      <c r="J872" t="n">
        <v>0</v>
      </c>
      <c r="K872" t="n">
        <v>0</v>
      </c>
      <c r="L872" t="n">
        <v>0</v>
      </c>
      <c r="M872" t="n">
        <v>0</v>
      </c>
      <c r="N872" t="n">
        <v>0</v>
      </c>
      <c r="O872" t="n">
        <v>0</v>
      </c>
      <c r="P872" t="n">
        <v>0</v>
      </c>
      <c r="Q872" t="n">
        <v>0</v>
      </c>
      <c r="R872" s="2" t="inlineStr"/>
    </row>
    <row r="873" ht="15" customHeight="1">
      <c r="A873" t="inlineStr">
        <is>
          <t>A 62398-2022</t>
        </is>
      </c>
      <c r="B873" s="1" t="n">
        <v>44923.90159722222</v>
      </c>
      <c r="C873" s="1" t="n">
        <v>45908</v>
      </c>
      <c r="D873" t="inlineStr">
        <is>
          <t>STOCKHOLMS LÄN</t>
        </is>
      </c>
      <c r="E873" t="inlineStr">
        <is>
          <t>NORRTÄLJE</t>
        </is>
      </c>
      <c r="G873" t="n">
        <v>4</v>
      </c>
      <c r="H873" t="n">
        <v>0</v>
      </c>
      <c r="I873" t="n">
        <v>0</v>
      </c>
      <c r="J873" t="n">
        <v>0</v>
      </c>
      <c r="K873" t="n">
        <v>0</v>
      </c>
      <c r="L873" t="n">
        <v>0</v>
      </c>
      <c r="M873" t="n">
        <v>0</v>
      </c>
      <c r="N873" t="n">
        <v>0</v>
      </c>
      <c r="O873" t="n">
        <v>0</v>
      </c>
      <c r="P873" t="n">
        <v>0</v>
      </c>
      <c r="Q873" t="n">
        <v>0</v>
      </c>
      <c r="R873" s="2" t="inlineStr"/>
    </row>
    <row r="874" ht="15" customHeight="1">
      <c r="A874" t="inlineStr">
        <is>
          <t>A 17612-2022</t>
        </is>
      </c>
      <c r="B874" s="1" t="n">
        <v>44680</v>
      </c>
      <c r="C874" s="1" t="n">
        <v>45908</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16835-2022</t>
        </is>
      </c>
      <c r="B875" s="1" t="n">
        <v>44673</v>
      </c>
      <c r="C875" s="1" t="n">
        <v>45908</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49700-2023</t>
        </is>
      </c>
      <c r="B876" s="1" t="n">
        <v>45212</v>
      </c>
      <c r="C876" s="1" t="n">
        <v>45908</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62765-2022</t>
        </is>
      </c>
      <c r="B877" s="1" t="n">
        <v>44637</v>
      </c>
      <c r="C877" s="1" t="n">
        <v>45908</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58404-2023</t>
        </is>
      </c>
      <c r="B878" s="1" t="n">
        <v>45245</v>
      </c>
      <c r="C878" s="1" t="n">
        <v>45908</v>
      </c>
      <c r="D878" t="inlineStr">
        <is>
          <t>STOCKHOLMS LÄN</t>
        </is>
      </c>
      <c r="E878" t="inlineStr">
        <is>
          <t>NORRTÄLJE</t>
        </is>
      </c>
      <c r="G878" t="n">
        <v>53.5</v>
      </c>
      <c r="H878" t="n">
        <v>0</v>
      </c>
      <c r="I878" t="n">
        <v>0</v>
      </c>
      <c r="J878" t="n">
        <v>0</v>
      </c>
      <c r="K878" t="n">
        <v>0</v>
      </c>
      <c r="L878" t="n">
        <v>0</v>
      </c>
      <c r="M878" t="n">
        <v>0</v>
      </c>
      <c r="N878" t="n">
        <v>0</v>
      </c>
      <c r="O878" t="n">
        <v>0</v>
      </c>
      <c r="P878" t="n">
        <v>0</v>
      </c>
      <c r="Q878" t="n">
        <v>0</v>
      </c>
      <c r="R878" s="2" t="inlineStr"/>
    </row>
    <row r="879" ht="15" customHeight="1">
      <c r="A879" t="inlineStr">
        <is>
          <t>A 32071-2023</t>
        </is>
      </c>
      <c r="B879" s="1" t="n">
        <v>45119.57728009259</v>
      </c>
      <c r="C879" s="1" t="n">
        <v>45908</v>
      </c>
      <c r="D879" t="inlineStr">
        <is>
          <t>STOCKHOLMS LÄN</t>
        </is>
      </c>
      <c r="E879" t="inlineStr">
        <is>
          <t>NORRTÄLJE</t>
        </is>
      </c>
      <c r="G879" t="n">
        <v>6.5</v>
      </c>
      <c r="H879" t="n">
        <v>0</v>
      </c>
      <c r="I879" t="n">
        <v>0</v>
      </c>
      <c r="J879" t="n">
        <v>0</v>
      </c>
      <c r="K879" t="n">
        <v>0</v>
      </c>
      <c r="L879" t="n">
        <v>0</v>
      </c>
      <c r="M879" t="n">
        <v>0</v>
      </c>
      <c r="N879" t="n">
        <v>0</v>
      </c>
      <c r="O879" t="n">
        <v>0</v>
      </c>
      <c r="P879" t="n">
        <v>0</v>
      </c>
      <c r="Q879" t="n">
        <v>0</v>
      </c>
      <c r="R879" s="2" t="inlineStr"/>
    </row>
    <row r="880" ht="15" customHeight="1">
      <c r="A880" t="inlineStr">
        <is>
          <t>A 1425-2025</t>
        </is>
      </c>
      <c r="B880" s="1" t="n">
        <v>45668.67446759259</v>
      </c>
      <c r="C880" s="1" t="n">
        <v>45908</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17775-2022</t>
        </is>
      </c>
      <c r="B881" s="1" t="n">
        <v>44682.78430555556</v>
      </c>
      <c r="C881" s="1" t="n">
        <v>45908</v>
      </c>
      <c r="D881" t="inlineStr">
        <is>
          <t>STOCKHOLMS LÄN</t>
        </is>
      </c>
      <c r="E881" t="inlineStr">
        <is>
          <t>NORRTÄLJE</t>
        </is>
      </c>
      <c r="G881" t="n">
        <v>4.7</v>
      </c>
      <c r="H881" t="n">
        <v>0</v>
      </c>
      <c r="I881" t="n">
        <v>0</v>
      </c>
      <c r="J881" t="n">
        <v>0</v>
      </c>
      <c r="K881" t="n">
        <v>0</v>
      </c>
      <c r="L881" t="n">
        <v>0</v>
      </c>
      <c r="M881" t="n">
        <v>0</v>
      </c>
      <c r="N881" t="n">
        <v>0</v>
      </c>
      <c r="O881" t="n">
        <v>0</v>
      </c>
      <c r="P881" t="n">
        <v>0</v>
      </c>
      <c r="Q881" t="n">
        <v>0</v>
      </c>
      <c r="R881" s="2" t="inlineStr"/>
    </row>
    <row r="882" ht="15" customHeight="1">
      <c r="A882" t="inlineStr">
        <is>
          <t>A 8586-2023</t>
        </is>
      </c>
      <c r="B882" s="1" t="n">
        <v>44977</v>
      </c>
      <c r="C882" s="1" t="n">
        <v>45908</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38720-2022</t>
        </is>
      </c>
      <c r="B883" s="1" t="n">
        <v>44815.74539351852</v>
      </c>
      <c r="C883" s="1" t="n">
        <v>45908</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16202-2022</t>
        </is>
      </c>
      <c r="B884" s="1" t="n">
        <v>44670</v>
      </c>
      <c r="C884" s="1" t="n">
        <v>45908</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10215-2023</t>
        </is>
      </c>
      <c r="B885" s="1" t="n">
        <v>44986.5887962963</v>
      </c>
      <c r="C885" s="1" t="n">
        <v>45908</v>
      </c>
      <c r="D885" t="inlineStr">
        <is>
          <t>STOCKHOLMS LÄN</t>
        </is>
      </c>
      <c r="E885" t="inlineStr">
        <is>
          <t>NORRTÄLJE</t>
        </is>
      </c>
      <c r="G885" t="n">
        <v>6.5</v>
      </c>
      <c r="H885" t="n">
        <v>0</v>
      </c>
      <c r="I885" t="n">
        <v>0</v>
      </c>
      <c r="J885" t="n">
        <v>0</v>
      </c>
      <c r="K885" t="n">
        <v>0</v>
      </c>
      <c r="L885" t="n">
        <v>0</v>
      </c>
      <c r="M885" t="n">
        <v>0</v>
      </c>
      <c r="N885" t="n">
        <v>0</v>
      </c>
      <c r="O885" t="n">
        <v>0</v>
      </c>
      <c r="P885" t="n">
        <v>0</v>
      </c>
      <c r="Q885" t="n">
        <v>0</v>
      </c>
      <c r="R885" s="2" t="inlineStr"/>
    </row>
    <row r="886" ht="15" customHeight="1">
      <c r="A886" t="inlineStr">
        <is>
          <t>A 55018-2024</t>
        </is>
      </c>
      <c r="B886" s="1" t="n">
        <v>45621.35712962963</v>
      </c>
      <c r="C886" s="1" t="n">
        <v>45908</v>
      </c>
      <c r="D886" t="inlineStr">
        <is>
          <t>STOCKHOLMS LÄN</t>
        </is>
      </c>
      <c r="E886" t="inlineStr">
        <is>
          <t>NORRTÄLJE</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25609-2023</t>
        </is>
      </c>
      <c r="B887" s="1" t="n">
        <v>45089</v>
      </c>
      <c r="C887" s="1" t="n">
        <v>45908</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50136-2023</t>
        </is>
      </c>
      <c r="B888" s="1" t="n">
        <v>45215</v>
      </c>
      <c r="C888" s="1" t="n">
        <v>45908</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25656-2023</t>
        </is>
      </c>
      <c r="B889" s="1" t="n">
        <v>45089</v>
      </c>
      <c r="C889" s="1" t="n">
        <v>45908</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6003-2025</t>
        </is>
      </c>
      <c r="B890" s="1" t="n">
        <v>45695.57881944445</v>
      </c>
      <c r="C890" s="1" t="n">
        <v>45908</v>
      </c>
      <c r="D890" t="inlineStr">
        <is>
          <t>STOCKHOLMS LÄN</t>
        </is>
      </c>
      <c r="E890" t="inlineStr">
        <is>
          <t>NORRTÄLJE</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20014-2025</t>
        </is>
      </c>
      <c r="B891" s="1" t="n">
        <v>45772.3078125</v>
      </c>
      <c r="C891" s="1" t="n">
        <v>45908</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11902-2024</t>
        </is>
      </c>
      <c r="B892" s="1" t="n">
        <v>45376.55704861111</v>
      </c>
      <c r="C892" s="1" t="n">
        <v>45908</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20136-2025</t>
        </is>
      </c>
      <c r="B893" s="1" t="n">
        <v>45772.51127314815</v>
      </c>
      <c r="C893" s="1" t="n">
        <v>45908</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38049-2023</t>
        </is>
      </c>
      <c r="B894" s="1" t="n">
        <v>45159</v>
      </c>
      <c r="C894" s="1" t="n">
        <v>45908</v>
      </c>
      <c r="D894" t="inlineStr">
        <is>
          <t>STOCKHOLMS LÄN</t>
        </is>
      </c>
      <c r="E894" t="inlineStr">
        <is>
          <t>NORRTÄLJE</t>
        </is>
      </c>
      <c r="G894" t="n">
        <v>3.6</v>
      </c>
      <c r="H894" t="n">
        <v>0</v>
      </c>
      <c r="I894" t="n">
        <v>0</v>
      </c>
      <c r="J894" t="n">
        <v>0</v>
      </c>
      <c r="K894" t="n">
        <v>0</v>
      </c>
      <c r="L894" t="n">
        <v>0</v>
      </c>
      <c r="M894" t="n">
        <v>0</v>
      </c>
      <c r="N894" t="n">
        <v>0</v>
      </c>
      <c r="O894" t="n">
        <v>0</v>
      </c>
      <c r="P894" t="n">
        <v>0</v>
      </c>
      <c r="Q894" t="n">
        <v>0</v>
      </c>
      <c r="R894" s="2" t="inlineStr"/>
    </row>
    <row r="895" ht="15" customHeight="1">
      <c r="A895" t="inlineStr">
        <is>
          <t>A 59535-2024</t>
        </is>
      </c>
      <c r="B895" s="1" t="n">
        <v>45638.59979166667</v>
      </c>
      <c r="C895" s="1" t="n">
        <v>45908</v>
      </c>
      <c r="D895" t="inlineStr">
        <is>
          <t>STOCKHOLMS LÄN</t>
        </is>
      </c>
      <c r="E895" t="inlineStr">
        <is>
          <t>NORRTÄLJE</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2287-2024</t>
        </is>
      </c>
      <c r="B896" s="1" t="n">
        <v>45310</v>
      </c>
      <c r="C896" s="1" t="n">
        <v>45908</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13785-2024</t>
        </is>
      </c>
      <c r="B897" s="1" t="n">
        <v>45391.3395949074</v>
      </c>
      <c r="C897" s="1" t="n">
        <v>45908</v>
      </c>
      <c r="D897" t="inlineStr">
        <is>
          <t>STOCKHOLMS LÄN</t>
        </is>
      </c>
      <c r="E897" t="inlineStr">
        <is>
          <t>NORRTÄLJE</t>
        </is>
      </c>
      <c r="G897" t="n">
        <v>5</v>
      </c>
      <c r="H897" t="n">
        <v>0</v>
      </c>
      <c r="I897" t="n">
        <v>0</v>
      </c>
      <c r="J897" t="n">
        <v>0</v>
      </c>
      <c r="K897" t="n">
        <v>0</v>
      </c>
      <c r="L897" t="n">
        <v>0</v>
      </c>
      <c r="M897" t="n">
        <v>0</v>
      </c>
      <c r="N897" t="n">
        <v>0</v>
      </c>
      <c r="O897" t="n">
        <v>0</v>
      </c>
      <c r="P897" t="n">
        <v>0</v>
      </c>
      <c r="Q897" t="n">
        <v>0</v>
      </c>
      <c r="R897" s="2" t="inlineStr"/>
    </row>
    <row r="898" ht="15" customHeight="1">
      <c r="A898" t="inlineStr">
        <is>
          <t>A 50469-2022</t>
        </is>
      </c>
      <c r="B898" s="1" t="n">
        <v>44866.49827546296</v>
      </c>
      <c r="C898" s="1" t="n">
        <v>45908</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51116-2022</t>
        </is>
      </c>
      <c r="B899" s="1" t="n">
        <v>44868.45741898148</v>
      </c>
      <c r="C899" s="1" t="n">
        <v>45908</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60217-2021</t>
        </is>
      </c>
      <c r="B900" s="1" t="n">
        <v>44495.5893287037</v>
      </c>
      <c r="C900" s="1" t="n">
        <v>45908</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5839-2023</t>
        </is>
      </c>
      <c r="B901" s="1" t="n">
        <v>44963</v>
      </c>
      <c r="C901" s="1" t="n">
        <v>45908</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4183-2025</t>
        </is>
      </c>
      <c r="B902" s="1" t="n">
        <v>45685.44592592592</v>
      </c>
      <c r="C902" s="1" t="n">
        <v>45908</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9480-2025</t>
        </is>
      </c>
      <c r="B903" s="1" t="n">
        <v>45715</v>
      </c>
      <c r="C903" s="1" t="n">
        <v>45908</v>
      </c>
      <c r="D903" t="inlineStr">
        <is>
          <t>STOCKHOLMS LÄN</t>
        </is>
      </c>
      <c r="E903" t="inlineStr">
        <is>
          <t>NORRTÄLJE</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38985-2022</t>
        </is>
      </c>
      <c r="B904" s="1" t="n">
        <v>44816</v>
      </c>
      <c r="C904" s="1" t="n">
        <v>45908</v>
      </c>
      <c r="D904" t="inlineStr">
        <is>
          <t>STOCKHOLMS LÄN</t>
        </is>
      </c>
      <c r="E904" t="inlineStr">
        <is>
          <t>NORRTÄLJE</t>
        </is>
      </c>
      <c r="G904" t="n">
        <v>10.1</v>
      </c>
      <c r="H904" t="n">
        <v>0</v>
      </c>
      <c r="I904" t="n">
        <v>0</v>
      </c>
      <c r="J904" t="n">
        <v>0</v>
      </c>
      <c r="K904" t="n">
        <v>0</v>
      </c>
      <c r="L904" t="n">
        <v>0</v>
      </c>
      <c r="M904" t="n">
        <v>0</v>
      </c>
      <c r="N904" t="n">
        <v>0</v>
      </c>
      <c r="O904" t="n">
        <v>0</v>
      </c>
      <c r="P904" t="n">
        <v>0</v>
      </c>
      <c r="Q904" t="n">
        <v>0</v>
      </c>
      <c r="R904" s="2" t="inlineStr"/>
    </row>
    <row r="905" ht="15" customHeight="1">
      <c r="A905" t="inlineStr">
        <is>
          <t>A 5665-2025</t>
        </is>
      </c>
      <c r="B905" s="1" t="n">
        <v>45693</v>
      </c>
      <c r="C905" s="1" t="n">
        <v>45908</v>
      </c>
      <c r="D905" t="inlineStr">
        <is>
          <t>STOCKHOLMS LÄN</t>
        </is>
      </c>
      <c r="E905" t="inlineStr">
        <is>
          <t>NORRTÄLJE</t>
        </is>
      </c>
      <c r="G905" t="n">
        <v>4</v>
      </c>
      <c r="H905" t="n">
        <v>0</v>
      </c>
      <c r="I905" t="n">
        <v>0</v>
      </c>
      <c r="J905" t="n">
        <v>0</v>
      </c>
      <c r="K905" t="n">
        <v>0</v>
      </c>
      <c r="L905" t="n">
        <v>0</v>
      </c>
      <c r="M905" t="n">
        <v>0</v>
      </c>
      <c r="N905" t="n">
        <v>0</v>
      </c>
      <c r="O905" t="n">
        <v>0</v>
      </c>
      <c r="P905" t="n">
        <v>0</v>
      </c>
      <c r="Q905" t="n">
        <v>0</v>
      </c>
      <c r="R905" s="2" t="inlineStr"/>
    </row>
    <row r="906" ht="15" customHeight="1">
      <c r="A906" t="inlineStr">
        <is>
          <t>A 3426-2025</t>
        </is>
      </c>
      <c r="B906" s="1" t="n">
        <v>45680.42665509259</v>
      </c>
      <c r="C906" s="1" t="n">
        <v>45908</v>
      </c>
      <c r="D906" t="inlineStr">
        <is>
          <t>STOCKHOLMS LÄN</t>
        </is>
      </c>
      <c r="E906" t="inlineStr">
        <is>
          <t>NORRTÄLJE</t>
        </is>
      </c>
      <c r="G906" t="n">
        <v>3.2</v>
      </c>
      <c r="H906" t="n">
        <v>0</v>
      </c>
      <c r="I906" t="n">
        <v>0</v>
      </c>
      <c r="J906" t="n">
        <v>0</v>
      </c>
      <c r="K906" t="n">
        <v>0</v>
      </c>
      <c r="L906" t="n">
        <v>0</v>
      </c>
      <c r="M906" t="n">
        <v>0</v>
      </c>
      <c r="N906" t="n">
        <v>0</v>
      </c>
      <c r="O906" t="n">
        <v>0</v>
      </c>
      <c r="P906" t="n">
        <v>0</v>
      </c>
      <c r="Q906" t="n">
        <v>0</v>
      </c>
      <c r="R906" s="2" t="inlineStr"/>
    </row>
    <row r="907" ht="15" customHeight="1">
      <c r="A907" t="inlineStr">
        <is>
          <t>A 24522-2023</t>
        </is>
      </c>
      <c r="B907" s="1" t="n">
        <v>45082.69179398148</v>
      </c>
      <c r="C907" s="1" t="n">
        <v>45908</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25625-2023</t>
        </is>
      </c>
      <c r="B908" s="1" t="n">
        <v>45089</v>
      </c>
      <c r="C908" s="1" t="n">
        <v>45908</v>
      </c>
      <c r="D908" t="inlineStr">
        <is>
          <t>STOCKHOLMS LÄN</t>
        </is>
      </c>
      <c r="E908" t="inlineStr">
        <is>
          <t>NORRTÄLJE</t>
        </is>
      </c>
      <c r="G908" t="n">
        <v>5.5</v>
      </c>
      <c r="H908" t="n">
        <v>0</v>
      </c>
      <c r="I908" t="n">
        <v>0</v>
      </c>
      <c r="J908" t="n">
        <v>0</v>
      </c>
      <c r="K908" t="n">
        <v>0</v>
      </c>
      <c r="L908" t="n">
        <v>0</v>
      </c>
      <c r="M908" t="n">
        <v>0</v>
      </c>
      <c r="N908" t="n">
        <v>0</v>
      </c>
      <c r="O908" t="n">
        <v>0</v>
      </c>
      <c r="P908" t="n">
        <v>0</v>
      </c>
      <c r="Q908" t="n">
        <v>0</v>
      </c>
      <c r="R908" s="2" t="inlineStr"/>
    </row>
    <row r="909" ht="15" customHeight="1">
      <c r="A909" t="inlineStr">
        <is>
          <t>A 37147-2023</t>
        </is>
      </c>
      <c r="B909" s="1" t="n">
        <v>45155</v>
      </c>
      <c r="C909" s="1" t="n">
        <v>45908</v>
      </c>
      <c r="D909" t="inlineStr">
        <is>
          <t>STOCKHOLMS LÄN</t>
        </is>
      </c>
      <c r="E909" t="inlineStr">
        <is>
          <t>NORRTÄLJE</t>
        </is>
      </c>
      <c r="G909" t="n">
        <v>8</v>
      </c>
      <c r="H909" t="n">
        <v>0</v>
      </c>
      <c r="I909" t="n">
        <v>0</v>
      </c>
      <c r="J909" t="n">
        <v>0</v>
      </c>
      <c r="K909" t="n">
        <v>0</v>
      </c>
      <c r="L909" t="n">
        <v>0</v>
      </c>
      <c r="M909" t="n">
        <v>0</v>
      </c>
      <c r="N909" t="n">
        <v>0</v>
      </c>
      <c r="O909" t="n">
        <v>0</v>
      </c>
      <c r="P909" t="n">
        <v>0</v>
      </c>
      <c r="Q909" t="n">
        <v>0</v>
      </c>
      <c r="R909" s="2" t="inlineStr"/>
    </row>
    <row r="910" ht="15" customHeight="1">
      <c r="A910" t="inlineStr">
        <is>
          <t>A 58530-2024</t>
        </is>
      </c>
      <c r="B910" s="1" t="n">
        <v>45635.44788194444</v>
      </c>
      <c r="C910" s="1" t="n">
        <v>45908</v>
      </c>
      <c r="D910" t="inlineStr">
        <is>
          <t>STOCKHOLMS LÄN</t>
        </is>
      </c>
      <c r="E910" t="inlineStr">
        <is>
          <t>NORRTÄLJE</t>
        </is>
      </c>
      <c r="G910" t="n">
        <v>4.5</v>
      </c>
      <c r="H910" t="n">
        <v>0</v>
      </c>
      <c r="I910" t="n">
        <v>0</v>
      </c>
      <c r="J910" t="n">
        <v>0</v>
      </c>
      <c r="K910" t="n">
        <v>0</v>
      </c>
      <c r="L910" t="n">
        <v>0</v>
      </c>
      <c r="M910" t="n">
        <v>0</v>
      </c>
      <c r="N910" t="n">
        <v>0</v>
      </c>
      <c r="O910" t="n">
        <v>0</v>
      </c>
      <c r="P910" t="n">
        <v>0</v>
      </c>
      <c r="Q910" t="n">
        <v>0</v>
      </c>
      <c r="R910" s="2" t="inlineStr"/>
    </row>
    <row r="911" ht="15" customHeight="1">
      <c r="A911" t="inlineStr">
        <is>
          <t>A 7186-2024</t>
        </is>
      </c>
      <c r="B911" s="1" t="n">
        <v>45344</v>
      </c>
      <c r="C911" s="1" t="n">
        <v>45908</v>
      </c>
      <c r="D911" t="inlineStr">
        <is>
          <t>STOCKHOLMS LÄN</t>
        </is>
      </c>
      <c r="E911" t="inlineStr">
        <is>
          <t>NORRTÄLJE</t>
        </is>
      </c>
      <c r="G911" t="n">
        <v>4.9</v>
      </c>
      <c r="H911" t="n">
        <v>0</v>
      </c>
      <c r="I911" t="n">
        <v>0</v>
      </c>
      <c r="J911" t="n">
        <v>0</v>
      </c>
      <c r="K911" t="n">
        <v>0</v>
      </c>
      <c r="L911" t="n">
        <v>0</v>
      </c>
      <c r="M911" t="n">
        <v>0</v>
      </c>
      <c r="N911" t="n">
        <v>0</v>
      </c>
      <c r="O911" t="n">
        <v>0</v>
      </c>
      <c r="P911" t="n">
        <v>0</v>
      </c>
      <c r="Q911" t="n">
        <v>0</v>
      </c>
      <c r="R911" s="2" t="inlineStr"/>
    </row>
    <row r="912" ht="15" customHeight="1">
      <c r="A912" t="inlineStr">
        <is>
          <t>A 22421-2021</t>
        </is>
      </c>
      <c r="B912" s="1" t="n">
        <v>44326</v>
      </c>
      <c r="C912" s="1" t="n">
        <v>45908</v>
      </c>
      <c r="D912" t="inlineStr">
        <is>
          <t>STOCKHOLMS LÄN</t>
        </is>
      </c>
      <c r="E912" t="inlineStr">
        <is>
          <t>NORRTÄLJE</t>
        </is>
      </c>
      <c r="G912" t="n">
        <v>2.1</v>
      </c>
      <c r="H912" t="n">
        <v>0</v>
      </c>
      <c r="I912" t="n">
        <v>0</v>
      </c>
      <c r="J912" t="n">
        <v>0</v>
      </c>
      <c r="K912" t="n">
        <v>0</v>
      </c>
      <c r="L912" t="n">
        <v>0</v>
      </c>
      <c r="M912" t="n">
        <v>0</v>
      </c>
      <c r="N912" t="n">
        <v>0</v>
      </c>
      <c r="O912" t="n">
        <v>0</v>
      </c>
      <c r="P912" t="n">
        <v>0</v>
      </c>
      <c r="Q912" t="n">
        <v>0</v>
      </c>
      <c r="R912" s="2" t="inlineStr"/>
    </row>
    <row r="913" ht="15" customHeight="1">
      <c r="A913" t="inlineStr">
        <is>
          <t>A 57602-2024</t>
        </is>
      </c>
      <c r="B913" s="1" t="n">
        <v>45630.52866898148</v>
      </c>
      <c r="C913" s="1" t="n">
        <v>45908</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64600-2021</t>
        </is>
      </c>
      <c r="B914" s="1" t="n">
        <v>44511.70518518519</v>
      </c>
      <c r="C914" s="1" t="n">
        <v>45908</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50602-2021</t>
        </is>
      </c>
      <c r="B915" s="1" t="n">
        <v>44459</v>
      </c>
      <c r="C915" s="1" t="n">
        <v>45908</v>
      </c>
      <c r="D915" t="inlineStr">
        <is>
          <t>STOCKHOLMS LÄN</t>
        </is>
      </c>
      <c r="E915" t="inlineStr">
        <is>
          <t>NORRTÄLJE</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26365-2024</t>
        </is>
      </c>
      <c r="B916" s="1" t="n">
        <v>45469</v>
      </c>
      <c r="C916" s="1" t="n">
        <v>45908</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40761-2024</t>
        </is>
      </c>
      <c r="B917" s="1" t="n">
        <v>45558.46283564815</v>
      </c>
      <c r="C917" s="1" t="n">
        <v>45908</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26640-2023</t>
        </is>
      </c>
      <c r="B918" s="1" t="n">
        <v>45092</v>
      </c>
      <c r="C918" s="1" t="n">
        <v>45908</v>
      </c>
      <c r="D918" t="inlineStr">
        <is>
          <t>STOCKHOLMS LÄN</t>
        </is>
      </c>
      <c r="E918" t="inlineStr">
        <is>
          <t>NORRTÄLJE</t>
        </is>
      </c>
      <c r="G918" t="n">
        <v>5.7</v>
      </c>
      <c r="H918" t="n">
        <v>0</v>
      </c>
      <c r="I918" t="n">
        <v>0</v>
      </c>
      <c r="J918" t="n">
        <v>0</v>
      </c>
      <c r="K918" t="n">
        <v>0</v>
      </c>
      <c r="L918" t="n">
        <v>0</v>
      </c>
      <c r="M918" t="n">
        <v>0</v>
      </c>
      <c r="N918" t="n">
        <v>0</v>
      </c>
      <c r="O918" t="n">
        <v>0</v>
      </c>
      <c r="P918" t="n">
        <v>0</v>
      </c>
      <c r="Q918" t="n">
        <v>0</v>
      </c>
      <c r="R918" s="2" t="inlineStr"/>
    </row>
    <row r="919" ht="15" customHeight="1">
      <c r="A919" t="inlineStr">
        <is>
          <t>A 31827-2023</t>
        </is>
      </c>
      <c r="B919" s="1" t="n">
        <v>45118</v>
      </c>
      <c r="C919" s="1" t="n">
        <v>45908</v>
      </c>
      <c r="D919" t="inlineStr">
        <is>
          <t>STOCKHOLMS LÄN</t>
        </is>
      </c>
      <c r="E919" t="inlineStr">
        <is>
          <t>NORRTÄLJE</t>
        </is>
      </c>
      <c r="F919" t="inlineStr">
        <is>
          <t>Kyrkan</t>
        </is>
      </c>
      <c r="G919" t="n">
        <v>4.9</v>
      </c>
      <c r="H919" t="n">
        <v>0</v>
      </c>
      <c r="I919" t="n">
        <v>0</v>
      </c>
      <c r="J919" t="n">
        <v>0</v>
      </c>
      <c r="K919" t="n">
        <v>0</v>
      </c>
      <c r="L919" t="n">
        <v>0</v>
      </c>
      <c r="M919" t="n">
        <v>0</v>
      </c>
      <c r="N919" t="n">
        <v>0</v>
      </c>
      <c r="O919" t="n">
        <v>0</v>
      </c>
      <c r="P919" t="n">
        <v>0</v>
      </c>
      <c r="Q919" t="n">
        <v>0</v>
      </c>
      <c r="R919" s="2" t="inlineStr"/>
    </row>
    <row r="920" ht="15" customHeight="1">
      <c r="A920" t="inlineStr">
        <is>
          <t>A 58993-2022</t>
        </is>
      </c>
      <c r="B920" s="1" t="n">
        <v>44903</v>
      </c>
      <c r="C920" s="1" t="n">
        <v>45908</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28900-2022</t>
        </is>
      </c>
      <c r="B921" s="1" t="n">
        <v>44749.55258101852</v>
      </c>
      <c r="C921" s="1" t="n">
        <v>45908</v>
      </c>
      <c r="D921" t="inlineStr">
        <is>
          <t>STOCKHOLMS LÄN</t>
        </is>
      </c>
      <c r="E921" t="inlineStr">
        <is>
          <t>NORRTÄLJE</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17574-2025</t>
        </is>
      </c>
      <c r="B922" s="1" t="n">
        <v>45757.65178240741</v>
      </c>
      <c r="C922" s="1" t="n">
        <v>45908</v>
      </c>
      <c r="D922" t="inlineStr">
        <is>
          <t>STOCKHOLMS LÄN</t>
        </is>
      </c>
      <c r="E922" t="inlineStr">
        <is>
          <t>NORRTÄLJE</t>
        </is>
      </c>
      <c r="G922" t="n">
        <v>1.8</v>
      </c>
      <c r="H922" t="n">
        <v>0</v>
      </c>
      <c r="I922" t="n">
        <v>0</v>
      </c>
      <c r="J922" t="n">
        <v>0</v>
      </c>
      <c r="K922" t="n">
        <v>0</v>
      </c>
      <c r="L922" t="n">
        <v>0</v>
      </c>
      <c r="M922" t="n">
        <v>0</v>
      </c>
      <c r="N922" t="n">
        <v>0</v>
      </c>
      <c r="O922" t="n">
        <v>0</v>
      </c>
      <c r="P922" t="n">
        <v>0</v>
      </c>
      <c r="Q922" t="n">
        <v>0</v>
      </c>
      <c r="R922" s="2" t="inlineStr"/>
    </row>
    <row r="923" ht="15" customHeight="1">
      <c r="A923" t="inlineStr">
        <is>
          <t>A 4553-2023</t>
        </is>
      </c>
      <c r="B923" s="1" t="n">
        <v>44956.65920138889</v>
      </c>
      <c r="C923" s="1" t="n">
        <v>45908</v>
      </c>
      <c r="D923" t="inlineStr">
        <is>
          <t>STOCKHOLMS LÄN</t>
        </is>
      </c>
      <c r="E923" t="inlineStr">
        <is>
          <t>NORRTÄLJE</t>
        </is>
      </c>
      <c r="G923" t="n">
        <v>7.5</v>
      </c>
      <c r="H923" t="n">
        <v>0</v>
      </c>
      <c r="I923" t="n">
        <v>0</v>
      </c>
      <c r="J923" t="n">
        <v>0</v>
      </c>
      <c r="K923" t="n">
        <v>0</v>
      </c>
      <c r="L923" t="n">
        <v>0</v>
      </c>
      <c r="M923" t="n">
        <v>0</v>
      </c>
      <c r="N923" t="n">
        <v>0</v>
      </c>
      <c r="O923" t="n">
        <v>0</v>
      </c>
      <c r="P923" t="n">
        <v>0</v>
      </c>
      <c r="Q923" t="n">
        <v>0</v>
      </c>
      <c r="R923" s="2" t="inlineStr"/>
    </row>
    <row r="924" ht="15" customHeight="1">
      <c r="A924" t="inlineStr">
        <is>
          <t>A 4593-2023</t>
        </is>
      </c>
      <c r="B924" s="1" t="n">
        <v>44956</v>
      </c>
      <c r="C924" s="1" t="n">
        <v>45908</v>
      </c>
      <c r="D924" t="inlineStr">
        <is>
          <t>STOCKHOLMS LÄN</t>
        </is>
      </c>
      <c r="E924" t="inlineStr">
        <is>
          <t>NORRTÄLJE</t>
        </is>
      </c>
      <c r="G924" t="n">
        <v>0.4</v>
      </c>
      <c r="H924" t="n">
        <v>0</v>
      </c>
      <c r="I924" t="n">
        <v>0</v>
      </c>
      <c r="J924" t="n">
        <v>0</v>
      </c>
      <c r="K924" t="n">
        <v>0</v>
      </c>
      <c r="L924" t="n">
        <v>0</v>
      </c>
      <c r="M924" t="n">
        <v>0</v>
      </c>
      <c r="N924" t="n">
        <v>0</v>
      </c>
      <c r="O924" t="n">
        <v>0</v>
      </c>
      <c r="P924" t="n">
        <v>0</v>
      </c>
      <c r="Q924" t="n">
        <v>0</v>
      </c>
      <c r="R924" s="2" t="inlineStr"/>
    </row>
    <row r="925" ht="15" customHeight="1">
      <c r="A925" t="inlineStr">
        <is>
          <t>A 13171-2025</t>
        </is>
      </c>
      <c r="B925" s="1" t="n">
        <v>45735.36594907408</v>
      </c>
      <c r="C925" s="1" t="n">
        <v>45908</v>
      </c>
      <c r="D925" t="inlineStr">
        <is>
          <t>STOCKHOLMS LÄN</t>
        </is>
      </c>
      <c r="E925" t="inlineStr">
        <is>
          <t>NORRTÄLJE</t>
        </is>
      </c>
      <c r="G925" t="n">
        <v>5.1</v>
      </c>
      <c r="H925" t="n">
        <v>0</v>
      </c>
      <c r="I925" t="n">
        <v>0</v>
      </c>
      <c r="J925" t="n">
        <v>0</v>
      </c>
      <c r="K925" t="n">
        <v>0</v>
      </c>
      <c r="L925" t="n">
        <v>0</v>
      </c>
      <c r="M925" t="n">
        <v>0</v>
      </c>
      <c r="N925" t="n">
        <v>0</v>
      </c>
      <c r="O925" t="n">
        <v>0</v>
      </c>
      <c r="P925" t="n">
        <v>0</v>
      </c>
      <c r="Q925" t="n">
        <v>0</v>
      </c>
      <c r="R925" s="2" t="inlineStr"/>
    </row>
    <row r="926" ht="15" customHeight="1">
      <c r="A926" t="inlineStr">
        <is>
          <t>A 19058-2023</t>
        </is>
      </c>
      <c r="B926" s="1" t="n">
        <v>45048</v>
      </c>
      <c r="C926" s="1" t="n">
        <v>45908</v>
      </c>
      <c r="D926" t="inlineStr">
        <is>
          <t>STOCKHOLMS LÄN</t>
        </is>
      </c>
      <c r="E926" t="inlineStr">
        <is>
          <t>NORRTÄLJE</t>
        </is>
      </c>
      <c r="G926" t="n">
        <v>3.7</v>
      </c>
      <c r="H926" t="n">
        <v>0</v>
      </c>
      <c r="I926" t="n">
        <v>0</v>
      </c>
      <c r="J926" t="n">
        <v>0</v>
      </c>
      <c r="K926" t="n">
        <v>0</v>
      </c>
      <c r="L926" t="n">
        <v>0</v>
      </c>
      <c r="M926" t="n">
        <v>0</v>
      </c>
      <c r="N926" t="n">
        <v>0</v>
      </c>
      <c r="O926" t="n">
        <v>0</v>
      </c>
      <c r="P926" t="n">
        <v>0</v>
      </c>
      <c r="Q926" t="n">
        <v>0</v>
      </c>
      <c r="R926" s="2" t="inlineStr"/>
    </row>
    <row r="927" ht="15" customHeight="1">
      <c r="A927" t="inlineStr">
        <is>
          <t>A 51978-2023</t>
        </is>
      </c>
      <c r="B927" s="1" t="n">
        <v>45223</v>
      </c>
      <c r="C927" s="1" t="n">
        <v>45908</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18092-2022</t>
        </is>
      </c>
      <c r="B928" s="1" t="n">
        <v>44684</v>
      </c>
      <c r="C928" s="1" t="n">
        <v>45908</v>
      </c>
      <c r="D928" t="inlineStr">
        <is>
          <t>STOCKHOLMS LÄN</t>
        </is>
      </c>
      <c r="E928" t="inlineStr">
        <is>
          <t>NORRTÄLJE</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58297-2023</t>
        </is>
      </c>
      <c r="B929" s="1" t="n">
        <v>45245</v>
      </c>
      <c r="C929" s="1" t="n">
        <v>45908</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59310-2023</t>
        </is>
      </c>
      <c r="B930" s="1" t="n">
        <v>45253.61146990741</v>
      </c>
      <c r="C930" s="1" t="n">
        <v>45908</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20304-2023</t>
        </is>
      </c>
      <c r="B931" s="1" t="n">
        <v>45056</v>
      </c>
      <c r="C931" s="1" t="n">
        <v>45908</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12299-2025</t>
        </is>
      </c>
      <c r="B932" s="1" t="n">
        <v>45729.71065972222</v>
      </c>
      <c r="C932" s="1" t="n">
        <v>45908</v>
      </c>
      <c r="D932" t="inlineStr">
        <is>
          <t>STOCKHOLMS LÄN</t>
        </is>
      </c>
      <c r="E932" t="inlineStr">
        <is>
          <t>NORRTÄLJE</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22157-2023</t>
        </is>
      </c>
      <c r="B933" s="1" t="n">
        <v>45069</v>
      </c>
      <c r="C933" s="1" t="n">
        <v>45908</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c r="U933">
        <f>HYPERLINK("https://klasma.github.io/Logging_0188/knärot/A 22157-2023 karta knärot.png", "A 22157-2023")</f>
        <v/>
      </c>
      <c r="V933">
        <f>HYPERLINK("https://klasma.github.io/Logging_0188/klagomål/A 22157-2023 FSC-klagomål.docx", "A 22157-2023")</f>
        <v/>
      </c>
      <c r="W933">
        <f>HYPERLINK("https://klasma.github.io/Logging_0188/klagomålsmail/A 22157-2023 FSC-klagomål mail.docx", "A 22157-2023")</f>
        <v/>
      </c>
      <c r="X933">
        <f>HYPERLINK("https://klasma.github.io/Logging_0188/tillsyn/A 22157-2023 tillsynsbegäran.docx", "A 22157-2023")</f>
        <v/>
      </c>
      <c r="Y933">
        <f>HYPERLINK("https://klasma.github.io/Logging_0188/tillsynsmail/A 22157-2023 tillsynsbegäran mail.docx", "A 22157-2023")</f>
        <v/>
      </c>
    </row>
    <row r="934" ht="15" customHeight="1">
      <c r="A934" t="inlineStr">
        <is>
          <t>A 9329-2023</t>
        </is>
      </c>
      <c r="B934" s="1" t="n">
        <v>44980</v>
      </c>
      <c r="C934" s="1" t="n">
        <v>45908</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49898-2020</t>
        </is>
      </c>
      <c r="B935" s="1" t="n">
        <v>44108</v>
      </c>
      <c r="C935" s="1" t="n">
        <v>45908</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59878-2024</t>
        </is>
      </c>
      <c r="B936" s="1" t="n">
        <v>45640.60240740741</v>
      </c>
      <c r="C936" s="1" t="n">
        <v>45908</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11929-2024</t>
        </is>
      </c>
      <c r="B937" s="1" t="n">
        <v>45376.64532407407</v>
      </c>
      <c r="C937" s="1" t="n">
        <v>45908</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41335-2023</t>
        </is>
      </c>
      <c r="B938" s="1" t="n">
        <v>45174.68702546296</v>
      </c>
      <c r="C938" s="1" t="n">
        <v>45908</v>
      </c>
      <c r="D938" t="inlineStr">
        <is>
          <t>STOCKHOLMS LÄN</t>
        </is>
      </c>
      <c r="E938" t="inlineStr">
        <is>
          <t>NORRTÄLJE</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33040-2021</t>
        </is>
      </c>
      <c r="B939" s="1" t="n">
        <v>44376.50728009259</v>
      </c>
      <c r="C939" s="1" t="n">
        <v>45908</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33053-2021</t>
        </is>
      </c>
      <c r="B940" s="1" t="n">
        <v>44376</v>
      </c>
      <c r="C940" s="1" t="n">
        <v>45908</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43150-2023</t>
        </is>
      </c>
      <c r="B941" s="1" t="n">
        <v>45183</v>
      </c>
      <c r="C941" s="1" t="n">
        <v>45908</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5950-2021</t>
        </is>
      </c>
      <c r="B942" s="1" t="n">
        <v>44231</v>
      </c>
      <c r="C942" s="1" t="n">
        <v>45908</v>
      </c>
      <c r="D942" t="inlineStr">
        <is>
          <t>STOCKHOLMS LÄN</t>
        </is>
      </c>
      <c r="E942" t="inlineStr">
        <is>
          <t>NORRTÄLJE</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54259-2023</t>
        </is>
      </c>
      <c r="B943" s="1" t="n">
        <v>45232</v>
      </c>
      <c r="C943" s="1" t="n">
        <v>45908</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19057-2024</t>
        </is>
      </c>
      <c r="B944" s="1" t="n">
        <v>45427.88731481481</v>
      </c>
      <c r="C944" s="1" t="n">
        <v>45908</v>
      </c>
      <c r="D944" t="inlineStr">
        <is>
          <t>STOCKHOLMS LÄN</t>
        </is>
      </c>
      <c r="E944" t="inlineStr">
        <is>
          <t>NORRTÄLJE</t>
        </is>
      </c>
      <c r="G944" t="n">
        <v>3</v>
      </c>
      <c r="H944" t="n">
        <v>0</v>
      </c>
      <c r="I944" t="n">
        <v>0</v>
      </c>
      <c r="J944" t="n">
        <v>0</v>
      </c>
      <c r="K944" t="n">
        <v>0</v>
      </c>
      <c r="L944" t="n">
        <v>0</v>
      </c>
      <c r="M944" t="n">
        <v>0</v>
      </c>
      <c r="N944" t="n">
        <v>0</v>
      </c>
      <c r="O944" t="n">
        <v>0</v>
      </c>
      <c r="P944" t="n">
        <v>0</v>
      </c>
      <c r="Q944" t="n">
        <v>0</v>
      </c>
      <c r="R944" s="2" t="inlineStr"/>
    </row>
    <row r="945" ht="15" customHeight="1">
      <c r="A945" t="inlineStr">
        <is>
          <t>A 60822-2023</t>
        </is>
      </c>
      <c r="B945" s="1" t="n">
        <v>45259</v>
      </c>
      <c r="C945" s="1" t="n">
        <v>45908</v>
      </c>
      <c r="D945" t="inlineStr">
        <is>
          <t>STOCKHOLMS LÄN</t>
        </is>
      </c>
      <c r="E945" t="inlineStr">
        <is>
          <t>NORRTÄLJE</t>
        </is>
      </c>
      <c r="G945" t="n">
        <v>5.2</v>
      </c>
      <c r="H945" t="n">
        <v>0</v>
      </c>
      <c r="I945" t="n">
        <v>0</v>
      </c>
      <c r="J945" t="n">
        <v>0</v>
      </c>
      <c r="K945" t="n">
        <v>0</v>
      </c>
      <c r="L945" t="n">
        <v>0</v>
      </c>
      <c r="M945" t="n">
        <v>0</v>
      </c>
      <c r="N945" t="n">
        <v>0</v>
      </c>
      <c r="O945" t="n">
        <v>0</v>
      </c>
      <c r="P945" t="n">
        <v>0</v>
      </c>
      <c r="Q945" t="n">
        <v>0</v>
      </c>
      <c r="R945" s="2" t="inlineStr"/>
    </row>
    <row r="946" ht="15" customHeight="1">
      <c r="A946" t="inlineStr">
        <is>
          <t>A 8296-2023</t>
        </is>
      </c>
      <c r="B946" s="1" t="n">
        <v>44974</v>
      </c>
      <c r="C946" s="1" t="n">
        <v>45908</v>
      </c>
      <c r="D946" t="inlineStr">
        <is>
          <t>STOCKHOLMS LÄN</t>
        </is>
      </c>
      <c r="E946" t="inlineStr">
        <is>
          <t>NORRTÄLJE</t>
        </is>
      </c>
      <c r="G946" t="n">
        <v>3.8</v>
      </c>
      <c r="H946" t="n">
        <v>0</v>
      </c>
      <c r="I946" t="n">
        <v>0</v>
      </c>
      <c r="J946" t="n">
        <v>0</v>
      </c>
      <c r="K946" t="n">
        <v>0</v>
      </c>
      <c r="L946" t="n">
        <v>0</v>
      </c>
      <c r="M946" t="n">
        <v>0</v>
      </c>
      <c r="N946" t="n">
        <v>0</v>
      </c>
      <c r="O946" t="n">
        <v>0</v>
      </c>
      <c r="P946" t="n">
        <v>0</v>
      </c>
      <c r="Q946" t="n">
        <v>0</v>
      </c>
      <c r="R946" s="2" t="inlineStr"/>
    </row>
    <row r="947" ht="15" customHeight="1">
      <c r="A947" t="inlineStr">
        <is>
          <t>A 24575-2024</t>
        </is>
      </c>
      <c r="B947" s="1" t="n">
        <v>45460.45523148148</v>
      </c>
      <c r="C947" s="1" t="n">
        <v>45908</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64899-2023</t>
        </is>
      </c>
      <c r="B948" s="1" t="n">
        <v>45282</v>
      </c>
      <c r="C948" s="1" t="n">
        <v>45908</v>
      </c>
      <c r="D948" t="inlineStr">
        <is>
          <t>STOCKHOLMS LÄN</t>
        </is>
      </c>
      <c r="E948" t="inlineStr">
        <is>
          <t>NORRTÄLJE</t>
        </is>
      </c>
      <c r="G948" t="n">
        <v>6.3</v>
      </c>
      <c r="H948" t="n">
        <v>0</v>
      </c>
      <c r="I948" t="n">
        <v>0</v>
      </c>
      <c r="J948" t="n">
        <v>0</v>
      </c>
      <c r="K948" t="n">
        <v>0</v>
      </c>
      <c r="L948" t="n">
        <v>0</v>
      </c>
      <c r="M948" t="n">
        <v>0</v>
      </c>
      <c r="N948" t="n">
        <v>0</v>
      </c>
      <c r="O948" t="n">
        <v>0</v>
      </c>
      <c r="P948" t="n">
        <v>0</v>
      </c>
      <c r="Q948" t="n">
        <v>0</v>
      </c>
      <c r="R948" s="2" t="inlineStr"/>
    </row>
    <row r="949" ht="15" customHeight="1">
      <c r="A949" t="inlineStr">
        <is>
          <t>A 52593-2024</t>
        </is>
      </c>
      <c r="B949" s="1" t="n">
        <v>45609.70778935185</v>
      </c>
      <c r="C949" s="1" t="n">
        <v>45908</v>
      </c>
      <c r="D949" t="inlineStr">
        <is>
          <t>STOCKHOLMS LÄN</t>
        </is>
      </c>
      <c r="E949" t="inlineStr">
        <is>
          <t>NORRTÄLJE</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52617-2024</t>
        </is>
      </c>
      <c r="B950" s="1" t="n">
        <v>45609.85146990741</v>
      </c>
      <c r="C950" s="1" t="n">
        <v>45908</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60321-2020</t>
        </is>
      </c>
      <c r="B951" s="1" t="n">
        <v>44152</v>
      </c>
      <c r="C951" s="1" t="n">
        <v>45908</v>
      </c>
      <c r="D951" t="inlineStr">
        <is>
          <t>STOCKHOLMS LÄN</t>
        </is>
      </c>
      <c r="E951" t="inlineStr">
        <is>
          <t>NORRTÄLJE</t>
        </is>
      </c>
      <c r="F951" t="inlineStr">
        <is>
          <t>Holmen skog AB</t>
        </is>
      </c>
      <c r="G951" t="n">
        <v>3.4</v>
      </c>
      <c r="H951" t="n">
        <v>0</v>
      </c>
      <c r="I951" t="n">
        <v>0</v>
      </c>
      <c r="J951" t="n">
        <v>0</v>
      </c>
      <c r="K951" t="n">
        <v>0</v>
      </c>
      <c r="L951" t="n">
        <v>0</v>
      </c>
      <c r="M951" t="n">
        <v>0</v>
      </c>
      <c r="N951" t="n">
        <v>0</v>
      </c>
      <c r="O951" t="n">
        <v>0</v>
      </c>
      <c r="P951" t="n">
        <v>0</v>
      </c>
      <c r="Q951" t="n">
        <v>0</v>
      </c>
      <c r="R951" s="2" t="inlineStr"/>
    </row>
    <row r="952" ht="15" customHeight="1">
      <c r="A952" t="inlineStr">
        <is>
          <t>A 12031-2021</t>
        </is>
      </c>
      <c r="B952" s="1" t="n">
        <v>44266</v>
      </c>
      <c r="C952" s="1" t="n">
        <v>45908</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27381-2024</t>
        </is>
      </c>
      <c r="B953" s="1" t="n">
        <v>45473.94501157408</v>
      </c>
      <c r="C953" s="1" t="n">
        <v>45908</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22816-2021</t>
        </is>
      </c>
      <c r="B954" s="1" t="n">
        <v>44325</v>
      </c>
      <c r="C954" s="1" t="n">
        <v>45908</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59904-2023</t>
        </is>
      </c>
      <c r="B955" s="1" t="n">
        <v>45257</v>
      </c>
      <c r="C955" s="1" t="n">
        <v>45908</v>
      </c>
      <c r="D955" t="inlineStr">
        <is>
          <t>STOCKHOLMS LÄN</t>
        </is>
      </c>
      <c r="E955" t="inlineStr">
        <is>
          <t>NORRTÄLJE</t>
        </is>
      </c>
      <c r="G955" t="n">
        <v>17.4</v>
      </c>
      <c r="H955" t="n">
        <v>0</v>
      </c>
      <c r="I955" t="n">
        <v>0</v>
      </c>
      <c r="J955" t="n">
        <v>0</v>
      </c>
      <c r="K955" t="n">
        <v>0</v>
      </c>
      <c r="L955" t="n">
        <v>0</v>
      </c>
      <c r="M955" t="n">
        <v>0</v>
      </c>
      <c r="N955" t="n">
        <v>0</v>
      </c>
      <c r="O955" t="n">
        <v>0</v>
      </c>
      <c r="P955" t="n">
        <v>0</v>
      </c>
      <c r="Q955" t="n">
        <v>0</v>
      </c>
      <c r="R955" s="2" t="inlineStr"/>
    </row>
    <row r="956" ht="15" customHeight="1">
      <c r="A956" t="inlineStr">
        <is>
          <t>A 9914-2023</t>
        </is>
      </c>
      <c r="B956" s="1" t="n">
        <v>44985</v>
      </c>
      <c r="C956" s="1" t="n">
        <v>45908</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11062-2024</t>
        </is>
      </c>
      <c r="B957" s="1" t="n">
        <v>45370</v>
      </c>
      <c r="C957" s="1" t="n">
        <v>45908</v>
      </c>
      <c r="D957" t="inlineStr">
        <is>
          <t>STOCKHOLMS LÄN</t>
        </is>
      </c>
      <c r="E957" t="inlineStr">
        <is>
          <t>NORRTÄLJE</t>
        </is>
      </c>
      <c r="G957" t="n">
        <v>3.2</v>
      </c>
      <c r="H957" t="n">
        <v>0</v>
      </c>
      <c r="I957" t="n">
        <v>0</v>
      </c>
      <c r="J957" t="n">
        <v>0</v>
      </c>
      <c r="K957" t="n">
        <v>0</v>
      </c>
      <c r="L957" t="n">
        <v>0</v>
      </c>
      <c r="M957" t="n">
        <v>0</v>
      </c>
      <c r="N957" t="n">
        <v>0</v>
      </c>
      <c r="O957" t="n">
        <v>0</v>
      </c>
      <c r="P957" t="n">
        <v>0</v>
      </c>
      <c r="Q957" t="n">
        <v>0</v>
      </c>
      <c r="R957" s="2" t="inlineStr"/>
    </row>
    <row r="958" ht="15" customHeight="1">
      <c r="A958" t="inlineStr">
        <is>
          <t>A 23265-2023</t>
        </is>
      </c>
      <c r="B958" s="1" t="n">
        <v>45075.90703703704</v>
      </c>
      <c r="C958" s="1" t="n">
        <v>45908</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48392-2020</t>
        </is>
      </c>
      <c r="B959" s="1" t="n">
        <v>44097</v>
      </c>
      <c r="C959" s="1" t="n">
        <v>45908</v>
      </c>
      <c r="D959" t="inlineStr">
        <is>
          <t>STOCKHOLMS LÄN</t>
        </is>
      </c>
      <c r="E959" t="inlineStr">
        <is>
          <t>NORRTÄLJE</t>
        </is>
      </c>
      <c r="G959" t="n">
        <v>12.5</v>
      </c>
      <c r="H959" t="n">
        <v>0</v>
      </c>
      <c r="I959" t="n">
        <v>0</v>
      </c>
      <c r="J959" t="n">
        <v>0</v>
      </c>
      <c r="K959" t="n">
        <v>0</v>
      </c>
      <c r="L959" t="n">
        <v>0</v>
      </c>
      <c r="M959" t="n">
        <v>0</v>
      </c>
      <c r="N959" t="n">
        <v>0</v>
      </c>
      <c r="O959" t="n">
        <v>0</v>
      </c>
      <c r="P959" t="n">
        <v>0</v>
      </c>
      <c r="Q959" t="n">
        <v>0</v>
      </c>
      <c r="R959" s="2" t="inlineStr"/>
    </row>
    <row r="960" ht="15" customHeight="1">
      <c r="A960" t="inlineStr">
        <is>
          <t>A 33569-2023</t>
        </is>
      </c>
      <c r="B960" s="1" t="n">
        <v>45131.666875</v>
      </c>
      <c r="C960" s="1" t="n">
        <v>45908</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26117-2024</t>
        </is>
      </c>
      <c r="B961" s="1" t="n">
        <v>45468.45877314815</v>
      </c>
      <c r="C961" s="1" t="n">
        <v>45908</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15905-2023</t>
        </is>
      </c>
      <c r="B962" s="1" t="n">
        <v>45022</v>
      </c>
      <c r="C962" s="1" t="n">
        <v>45908</v>
      </c>
      <c r="D962" t="inlineStr">
        <is>
          <t>STOCKHOLMS LÄN</t>
        </is>
      </c>
      <c r="E962" t="inlineStr">
        <is>
          <t>NORRTÄLJE</t>
        </is>
      </c>
      <c r="G962" t="n">
        <v>3.2</v>
      </c>
      <c r="H962" t="n">
        <v>0</v>
      </c>
      <c r="I962" t="n">
        <v>0</v>
      </c>
      <c r="J962" t="n">
        <v>0</v>
      </c>
      <c r="K962" t="n">
        <v>0</v>
      </c>
      <c r="L962" t="n">
        <v>0</v>
      </c>
      <c r="M962" t="n">
        <v>0</v>
      </c>
      <c r="N962" t="n">
        <v>0</v>
      </c>
      <c r="O962" t="n">
        <v>0</v>
      </c>
      <c r="P962" t="n">
        <v>0</v>
      </c>
      <c r="Q962" t="n">
        <v>0</v>
      </c>
      <c r="R962" s="2" t="inlineStr"/>
    </row>
    <row r="963" ht="15" customHeight="1">
      <c r="A963" t="inlineStr">
        <is>
          <t>A 20336-2024</t>
        </is>
      </c>
      <c r="B963" s="1" t="n">
        <v>45435.43123842592</v>
      </c>
      <c r="C963" s="1" t="n">
        <v>45908</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1847-2023</t>
        </is>
      </c>
      <c r="B964" s="1" t="n">
        <v>44938</v>
      </c>
      <c r="C964" s="1" t="n">
        <v>45908</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15956-2023</t>
        </is>
      </c>
      <c r="B965" s="1" t="n">
        <v>45022.61003472222</v>
      </c>
      <c r="C965" s="1" t="n">
        <v>45908</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47626-2022</t>
        </is>
      </c>
      <c r="B966" s="1" t="n">
        <v>44854</v>
      </c>
      <c r="C966" s="1" t="n">
        <v>45908</v>
      </c>
      <c r="D966" t="inlineStr">
        <is>
          <t>STOCKHOLMS LÄN</t>
        </is>
      </c>
      <c r="E966" t="inlineStr">
        <is>
          <t>NORRTÄLJE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62206-2022</t>
        </is>
      </c>
      <c r="B967" s="1" t="n">
        <v>44922</v>
      </c>
      <c r="C967" s="1" t="n">
        <v>45908</v>
      </c>
      <c r="D967" t="inlineStr">
        <is>
          <t>STOCKHOLMS LÄN</t>
        </is>
      </c>
      <c r="E967" t="inlineStr">
        <is>
          <t>NORRTÄLJE</t>
        </is>
      </c>
      <c r="G967" t="n">
        <v>2.9</v>
      </c>
      <c r="H967" t="n">
        <v>0</v>
      </c>
      <c r="I967" t="n">
        <v>0</v>
      </c>
      <c r="J967" t="n">
        <v>0</v>
      </c>
      <c r="K967" t="n">
        <v>0</v>
      </c>
      <c r="L967" t="n">
        <v>0</v>
      </c>
      <c r="M967" t="n">
        <v>0</v>
      </c>
      <c r="N967" t="n">
        <v>0</v>
      </c>
      <c r="O967" t="n">
        <v>0</v>
      </c>
      <c r="P967" t="n">
        <v>0</v>
      </c>
      <c r="Q967" t="n">
        <v>0</v>
      </c>
      <c r="R967" s="2" t="inlineStr"/>
    </row>
    <row r="968" ht="15" customHeight="1">
      <c r="A968" t="inlineStr">
        <is>
          <t>A 59721-2024</t>
        </is>
      </c>
      <c r="B968" s="1" t="n">
        <v>45639.47385416667</v>
      </c>
      <c r="C968" s="1" t="n">
        <v>45908</v>
      </c>
      <c r="D968" t="inlineStr">
        <is>
          <t>STOCKHOLMS LÄN</t>
        </is>
      </c>
      <c r="E968" t="inlineStr">
        <is>
          <t>NORRTÄLJE</t>
        </is>
      </c>
      <c r="G968" t="n">
        <v>4.6</v>
      </c>
      <c r="H968" t="n">
        <v>0</v>
      </c>
      <c r="I968" t="n">
        <v>0</v>
      </c>
      <c r="J968" t="n">
        <v>0</v>
      </c>
      <c r="K968" t="n">
        <v>0</v>
      </c>
      <c r="L968" t="n">
        <v>0</v>
      </c>
      <c r="M968" t="n">
        <v>0</v>
      </c>
      <c r="N968" t="n">
        <v>0</v>
      </c>
      <c r="O968" t="n">
        <v>0</v>
      </c>
      <c r="P968" t="n">
        <v>0</v>
      </c>
      <c r="Q968" t="n">
        <v>0</v>
      </c>
      <c r="R968" s="2" t="inlineStr"/>
    </row>
    <row r="969" ht="15" customHeight="1">
      <c r="A969" t="inlineStr">
        <is>
          <t>A 20618-2022</t>
        </is>
      </c>
      <c r="B969" s="1" t="n">
        <v>44700.50659722222</v>
      </c>
      <c r="C969" s="1" t="n">
        <v>45908</v>
      </c>
      <c r="D969" t="inlineStr">
        <is>
          <t>STOCKHOLMS LÄN</t>
        </is>
      </c>
      <c r="E969" t="inlineStr">
        <is>
          <t>NORRTÄLJE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40192-2023</t>
        </is>
      </c>
      <c r="B970" s="1" t="n">
        <v>45169</v>
      </c>
      <c r="C970" s="1" t="n">
        <v>45908</v>
      </c>
      <c r="D970" t="inlineStr">
        <is>
          <t>STOCKHOLMS LÄN</t>
        </is>
      </c>
      <c r="E970" t="inlineStr">
        <is>
          <t>NORRTÄLJE</t>
        </is>
      </c>
      <c r="F970" t="inlineStr">
        <is>
          <t>Kyrkan</t>
        </is>
      </c>
      <c r="G970" t="n">
        <v>0.7</v>
      </c>
      <c r="H970" t="n">
        <v>0</v>
      </c>
      <c r="I970" t="n">
        <v>0</v>
      </c>
      <c r="J970" t="n">
        <v>0</v>
      </c>
      <c r="K970" t="n">
        <v>0</v>
      </c>
      <c r="L970" t="n">
        <v>0</v>
      </c>
      <c r="M970" t="n">
        <v>0</v>
      </c>
      <c r="N970" t="n">
        <v>0</v>
      </c>
      <c r="O970" t="n">
        <v>0</v>
      </c>
      <c r="P970" t="n">
        <v>0</v>
      </c>
      <c r="Q970" t="n">
        <v>0</v>
      </c>
      <c r="R970" s="2" t="inlineStr"/>
    </row>
    <row r="971" ht="15" customHeight="1">
      <c r="A971" t="inlineStr">
        <is>
          <t>A 11900-2022</t>
        </is>
      </c>
      <c r="B971" s="1" t="n">
        <v>44635</v>
      </c>
      <c r="C971" s="1" t="n">
        <v>45908</v>
      </c>
      <c r="D971" t="inlineStr">
        <is>
          <t>STOCKHOLMS LÄN</t>
        </is>
      </c>
      <c r="E971" t="inlineStr">
        <is>
          <t>NORRTÄLJE</t>
        </is>
      </c>
      <c r="G971" t="n">
        <v>2.4</v>
      </c>
      <c r="H971" t="n">
        <v>0</v>
      </c>
      <c r="I971" t="n">
        <v>0</v>
      </c>
      <c r="J971" t="n">
        <v>0</v>
      </c>
      <c r="K971" t="n">
        <v>0</v>
      </c>
      <c r="L971" t="n">
        <v>0</v>
      </c>
      <c r="M971" t="n">
        <v>0</v>
      </c>
      <c r="N971" t="n">
        <v>0</v>
      </c>
      <c r="O971" t="n">
        <v>0</v>
      </c>
      <c r="P971" t="n">
        <v>0</v>
      </c>
      <c r="Q971" t="n">
        <v>0</v>
      </c>
      <c r="R971" s="2" t="inlineStr"/>
    </row>
    <row r="972" ht="15" customHeight="1">
      <c r="A972" t="inlineStr">
        <is>
          <t>A 10973-2025</t>
        </is>
      </c>
      <c r="B972" s="1" t="n">
        <v>45723</v>
      </c>
      <c r="C972" s="1" t="n">
        <v>45908</v>
      </c>
      <c r="D972" t="inlineStr">
        <is>
          <t>STOCKHOLMS LÄN</t>
        </is>
      </c>
      <c r="E972" t="inlineStr">
        <is>
          <t>NORRTÄLJE</t>
        </is>
      </c>
      <c r="F972" t="inlineStr">
        <is>
          <t>Övriga Aktiebolag</t>
        </is>
      </c>
      <c r="G972" t="n">
        <v>2.7</v>
      </c>
      <c r="H972" t="n">
        <v>0</v>
      </c>
      <c r="I972" t="n">
        <v>0</v>
      </c>
      <c r="J972" t="n">
        <v>0</v>
      </c>
      <c r="K972" t="n">
        <v>0</v>
      </c>
      <c r="L972" t="n">
        <v>0</v>
      </c>
      <c r="M972" t="n">
        <v>0</v>
      </c>
      <c r="N972" t="n">
        <v>0</v>
      </c>
      <c r="O972" t="n">
        <v>0</v>
      </c>
      <c r="P972" t="n">
        <v>0</v>
      </c>
      <c r="Q972" t="n">
        <v>0</v>
      </c>
      <c r="R972" s="2" t="inlineStr"/>
    </row>
    <row r="973" ht="15" customHeight="1">
      <c r="A973" t="inlineStr">
        <is>
          <t>A 27885-2022</t>
        </is>
      </c>
      <c r="B973" s="1" t="n">
        <v>44743.67418981482</v>
      </c>
      <c r="C973" s="1" t="n">
        <v>45908</v>
      </c>
      <c r="D973" t="inlineStr">
        <is>
          <t>STOCKHOLMS LÄN</t>
        </is>
      </c>
      <c r="E973" t="inlineStr">
        <is>
          <t>NORRTÄLJE</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37010-2022</t>
        </is>
      </c>
      <c r="B974" s="1" t="n">
        <v>44806.41576388889</v>
      </c>
      <c r="C974" s="1" t="n">
        <v>45908</v>
      </c>
      <c r="D974" t="inlineStr">
        <is>
          <t>STOCKHOLMS LÄN</t>
        </is>
      </c>
      <c r="E974" t="inlineStr">
        <is>
          <t>NORRTÄLJE</t>
        </is>
      </c>
      <c r="G974" t="n">
        <v>2.7</v>
      </c>
      <c r="H974" t="n">
        <v>0</v>
      </c>
      <c r="I974" t="n">
        <v>0</v>
      </c>
      <c r="J974" t="n">
        <v>0</v>
      </c>
      <c r="K974" t="n">
        <v>0</v>
      </c>
      <c r="L974" t="n">
        <v>0</v>
      </c>
      <c r="M974" t="n">
        <v>0</v>
      </c>
      <c r="N974" t="n">
        <v>0</v>
      </c>
      <c r="O974" t="n">
        <v>0</v>
      </c>
      <c r="P974" t="n">
        <v>0</v>
      </c>
      <c r="Q974" t="n">
        <v>0</v>
      </c>
      <c r="R974" s="2" t="inlineStr"/>
    </row>
    <row r="975" ht="15" customHeight="1">
      <c r="A975" t="inlineStr">
        <is>
          <t>A 951-2023</t>
        </is>
      </c>
      <c r="B975" s="1" t="n">
        <v>44934</v>
      </c>
      <c r="C975" s="1" t="n">
        <v>45908</v>
      </c>
      <c r="D975" t="inlineStr">
        <is>
          <t>STOCKHOLMS LÄN</t>
        </is>
      </c>
      <c r="E975" t="inlineStr">
        <is>
          <t>NORRTÄLJE</t>
        </is>
      </c>
      <c r="G975" t="n">
        <v>3.7</v>
      </c>
      <c r="H975" t="n">
        <v>0</v>
      </c>
      <c r="I975" t="n">
        <v>0</v>
      </c>
      <c r="J975" t="n">
        <v>0</v>
      </c>
      <c r="K975" t="n">
        <v>0</v>
      </c>
      <c r="L975" t="n">
        <v>0</v>
      </c>
      <c r="M975" t="n">
        <v>0</v>
      </c>
      <c r="N975" t="n">
        <v>0</v>
      </c>
      <c r="O975" t="n">
        <v>0</v>
      </c>
      <c r="P975" t="n">
        <v>0</v>
      </c>
      <c r="Q975" t="n">
        <v>0</v>
      </c>
      <c r="R975" s="2" t="inlineStr"/>
    </row>
    <row r="976" ht="15" customHeight="1">
      <c r="A976" t="inlineStr">
        <is>
          <t>A 61363-2020</t>
        </is>
      </c>
      <c r="B976" s="1" t="n">
        <v>44155.69458333333</v>
      </c>
      <c r="C976" s="1" t="n">
        <v>45908</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5423-2023</t>
        </is>
      </c>
      <c r="B977" s="1" t="n">
        <v>44959.74533564815</v>
      </c>
      <c r="C977" s="1" t="n">
        <v>45908</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50182-2024</t>
        </is>
      </c>
      <c r="B978" s="1" t="n">
        <v>45600.47275462963</v>
      </c>
      <c r="C978" s="1" t="n">
        <v>45908</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12629-2024</t>
        </is>
      </c>
      <c r="B979" s="1" t="n">
        <v>45383</v>
      </c>
      <c r="C979" s="1" t="n">
        <v>45908</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35708-2022</t>
        </is>
      </c>
      <c r="B980" s="1" t="n">
        <v>44799.65013888889</v>
      </c>
      <c r="C980" s="1" t="n">
        <v>45908</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60224-2023</t>
        </is>
      </c>
      <c r="B981" s="1" t="n">
        <v>45257</v>
      </c>
      <c r="C981" s="1" t="n">
        <v>45908</v>
      </c>
      <c r="D981" t="inlineStr">
        <is>
          <t>STOCKHOLMS LÄN</t>
        </is>
      </c>
      <c r="E981" t="inlineStr">
        <is>
          <t>NORRTÄLJE</t>
        </is>
      </c>
      <c r="G981" t="n">
        <v>8.1</v>
      </c>
      <c r="H981" t="n">
        <v>0</v>
      </c>
      <c r="I981" t="n">
        <v>0</v>
      </c>
      <c r="J981" t="n">
        <v>0</v>
      </c>
      <c r="K981" t="n">
        <v>0</v>
      </c>
      <c r="L981" t="n">
        <v>0</v>
      </c>
      <c r="M981" t="n">
        <v>0</v>
      </c>
      <c r="N981" t="n">
        <v>0</v>
      </c>
      <c r="O981" t="n">
        <v>0</v>
      </c>
      <c r="P981" t="n">
        <v>0</v>
      </c>
      <c r="Q981" t="n">
        <v>0</v>
      </c>
      <c r="R981" s="2" t="inlineStr"/>
    </row>
    <row r="982" ht="15" customHeight="1">
      <c r="A982" t="inlineStr">
        <is>
          <t>A 5158-2024</t>
        </is>
      </c>
      <c r="B982" s="1" t="n">
        <v>45330.50098379629</v>
      </c>
      <c r="C982" s="1" t="n">
        <v>45908</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45220-2024</t>
        </is>
      </c>
      <c r="B983" s="1" t="n">
        <v>45575</v>
      </c>
      <c r="C983" s="1" t="n">
        <v>45908</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21731-2023</t>
        </is>
      </c>
      <c r="B984" s="1" t="n">
        <v>45063</v>
      </c>
      <c r="C984" s="1" t="n">
        <v>45908</v>
      </c>
      <c r="D984" t="inlineStr">
        <is>
          <t>STOCKHOLMS LÄN</t>
        </is>
      </c>
      <c r="E984" t="inlineStr">
        <is>
          <t>NORRTÄLJE</t>
        </is>
      </c>
      <c r="G984" t="n">
        <v>2.3</v>
      </c>
      <c r="H984" t="n">
        <v>0</v>
      </c>
      <c r="I984" t="n">
        <v>0</v>
      </c>
      <c r="J984" t="n">
        <v>0</v>
      </c>
      <c r="K984" t="n">
        <v>0</v>
      </c>
      <c r="L984" t="n">
        <v>0</v>
      </c>
      <c r="M984" t="n">
        <v>0</v>
      </c>
      <c r="N984" t="n">
        <v>0</v>
      </c>
      <c r="O984" t="n">
        <v>0</v>
      </c>
      <c r="P984" t="n">
        <v>0</v>
      </c>
      <c r="Q984" t="n">
        <v>0</v>
      </c>
      <c r="R984" s="2" t="inlineStr"/>
    </row>
    <row r="985" ht="15" customHeight="1">
      <c r="A985" t="inlineStr">
        <is>
          <t>A 23266-2023</t>
        </is>
      </c>
      <c r="B985" s="1" t="n">
        <v>45075.90817129629</v>
      </c>
      <c r="C985" s="1" t="n">
        <v>45908</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9130-2025</t>
        </is>
      </c>
      <c r="B986" s="1" t="n">
        <v>45713.92623842593</v>
      </c>
      <c r="C986" s="1" t="n">
        <v>45908</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47521-2024</t>
        </is>
      </c>
      <c r="B987" s="1" t="n">
        <v>45587.62565972222</v>
      </c>
      <c r="C987" s="1" t="n">
        <v>45908</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17551-2025</t>
        </is>
      </c>
      <c r="B988" s="1" t="n">
        <v>45757.61421296297</v>
      </c>
      <c r="C988" s="1" t="n">
        <v>45908</v>
      </c>
      <c r="D988" t="inlineStr">
        <is>
          <t>STOCKHOLMS LÄN</t>
        </is>
      </c>
      <c r="E988" t="inlineStr">
        <is>
          <t>NORRTÄLJE</t>
        </is>
      </c>
      <c r="G988" t="n">
        <v>2.8</v>
      </c>
      <c r="H988" t="n">
        <v>0</v>
      </c>
      <c r="I988" t="n">
        <v>0</v>
      </c>
      <c r="J988" t="n">
        <v>0</v>
      </c>
      <c r="K988" t="n">
        <v>0</v>
      </c>
      <c r="L988" t="n">
        <v>0</v>
      </c>
      <c r="M988" t="n">
        <v>0</v>
      </c>
      <c r="N988" t="n">
        <v>0</v>
      </c>
      <c r="O988" t="n">
        <v>0</v>
      </c>
      <c r="P988" t="n">
        <v>0</v>
      </c>
      <c r="Q988" t="n">
        <v>0</v>
      </c>
      <c r="R988" s="2" t="inlineStr"/>
    </row>
    <row r="989" ht="15" customHeight="1">
      <c r="A989" t="inlineStr">
        <is>
          <t>A 58260-2023</t>
        </is>
      </c>
      <c r="B989" s="1" t="n">
        <v>45245</v>
      </c>
      <c r="C989" s="1" t="n">
        <v>45908</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58261-2023</t>
        </is>
      </c>
      <c r="B990" s="1" t="n">
        <v>45245</v>
      </c>
      <c r="C990" s="1" t="n">
        <v>45908</v>
      </c>
      <c r="D990" t="inlineStr">
        <is>
          <t>STOCKHOLMS LÄN</t>
        </is>
      </c>
      <c r="E990" t="inlineStr">
        <is>
          <t>NORRTÄLJE</t>
        </is>
      </c>
      <c r="G990" t="n">
        <v>53.5</v>
      </c>
      <c r="H990" t="n">
        <v>0</v>
      </c>
      <c r="I990" t="n">
        <v>0</v>
      </c>
      <c r="J990" t="n">
        <v>0</v>
      </c>
      <c r="K990" t="n">
        <v>0</v>
      </c>
      <c r="L990" t="n">
        <v>0</v>
      </c>
      <c r="M990" t="n">
        <v>0</v>
      </c>
      <c r="N990" t="n">
        <v>0</v>
      </c>
      <c r="O990" t="n">
        <v>0</v>
      </c>
      <c r="P990" t="n">
        <v>0</v>
      </c>
      <c r="Q990" t="n">
        <v>0</v>
      </c>
      <c r="R990" s="2" t="inlineStr"/>
    </row>
    <row r="991" ht="15" customHeight="1">
      <c r="A991" t="inlineStr">
        <is>
          <t>A 55010-2024</t>
        </is>
      </c>
      <c r="B991" s="1" t="n">
        <v>45621.34425925926</v>
      </c>
      <c r="C991" s="1" t="n">
        <v>45908</v>
      </c>
      <c r="D991" t="inlineStr">
        <is>
          <t>STOCKHOLMS LÄN</t>
        </is>
      </c>
      <c r="E991" t="inlineStr">
        <is>
          <t>NORRTÄLJE</t>
        </is>
      </c>
      <c r="F991" t="inlineStr">
        <is>
          <t>Sveaskog</t>
        </is>
      </c>
      <c r="G991" t="n">
        <v>5.7</v>
      </c>
      <c r="H991" t="n">
        <v>0</v>
      </c>
      <c r="I991" t="n">
        <v>0</v>
      </c>
      <c r="J991" t="n">
        <v>0</v>
      </c>
      <c r="K991" t="n">
        <v>0</v>
      </c>
      <c r="L991" t="n">
        <v>0</v>
      </c>
      <c r="M991" t="n">
        <v>0</v>
      </c>
      <c r="N991" t="n">
        <v>0</v>
      </c>
      <c r="O991" t="n">
        <v>0</v>
      </c>
      <c r="P991" t="n">
        <v>0</v>
      </c>
      <c r="Q991" t="n">
        <v>0</v>
      </c>
      <c r="R991" s="2" t="inlineStr"/>
    </row>
    <row r="992" ht="15" customHeight="1">
      <c r="A992" t="inlineStr">
        <is>
          <t>A 31105-2022</t>
        </is>
      </c>
      <c r="B992" s="1" t="n">
        <v>44769.66039351852</v>
      </c>
      <c r="C992" s="1" t="n">
        <v>45908</v>
      </c>
      <c r="D992" t="inlineStr">
        <is>
          <t>STOCKHOLMS LÄN</t>
        </is>
      </c>
      <c r="E992" t="inlineStr">
        <is>
          <t>NORRTÄLJE</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20011-2025</t>
        </is>
      </c>
      <c r="B993" s="1" t="n">
        <v>45772.29622685185</v>
      </c>
      <c r="C993" s="1" t="n">
        <v>45908</v>
      </c>
      <c r="D993" t="inlineStr">
        <is>
          <t>STOCKHOLMS LÄN</t>
        </is>
      </c>
      <c r="E993" t="inlineStr">
        <is>
          <t>NORRTÄLJE</t>
        </is>
      </c>
      <c r="G993" t="n">
        <v>3.5</v>
      </c>
      <c r="H993" t="n">
        <v>0</v>
      </c>
      <c r="I993" t="n">
        <v>0</v>
      </c>
      <c r="J993" t="n">
        <v>0</v>
      </c>
      <c r="K993" t="n">
        <v>0</v>
      </c>
      <c r="L993" t="n">
        <v>0</v>
      </c>
      <c r="M993" t="n">
        <v>0</v>
      </c>
      <c r="N993" t="n">
        <v>0</v>
      </c>
      <c r="O993" t="n">
        <v>0</v>
      </c>
      <c r="P993" t="n">
        <v>0</v>
      </c>
      <c r="Q993" t="n">
        <v>0</v>
      </c>
      <c r="R993" s="2" t="inlineStr"/>
    </row>
    <row r="994" ht="15" customHeight="1">
      <c r="A994" t="inlineStr">
        <is>
          <t>A 30620-2022</t>
        </is>
      </c>
      <c r="B994" s="1" t="n">
        <v>44763.40914351852</v>
      </c>
      <c r="C994" s="1" t="n">
        <v>45908</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50113-2024</t>
        </is>
      </c>
      <c r="B995" s="1" t="n">
        <v>45600.411875</v>
      </c>
      <c r="C995" s="1" t="n">
        <v>45908</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28365-2022</t>
        </is>
      </c>
      <c r="B996" s="1" t="n">
        <v>44747</v>
      </c>
      <c r="C996" s="1" t="n">
        <v>45908</v>
      </c>
      <c r="D996" t="inlineStr">
        <is>
          <t>STOCKHOLMS LÄN</t>
        </is>
      </c>
      <c r="E996" t="inlineStr">
        <is>
          <t>NORRTÄLJE</t>
        </is>
      </c>
      <c r="G996" t="n">
        <v>5.1</v>
      </c>
      <c r="H996" t="n">
        <v>0</v>
      </c>
      <c r="I996" t="n">
        <v>0</v>
      </c>
      <c r="J996" t="n">
        <v>0</v>
      </c>
      <c r="K996" t="n">
        <v>0</v>
      </c>
      <c r="L996" t="n">
        <v>0</v>
      </c>
      <c r="M996" t="n">
        <v>0</v>
      </c>
      <c r="N996" t="n">
        <v>0</v>
      </c>
      <c r="O996" t="n">
        <v>0</v>
      </c>
      <c r="P996" t="n">
        <v>0</v>
      </c>
      <c r="Q996" t="n">
        <v>0</v>
      </c>
      <c r="R996" s="2" t="inlineStr"/>
    </row>
    <row r="997" ht="15" customHeight="1">
      <c r="A997" t="inlineStr">
        <is>
          <t>A 29266-2022</t>
        </is>
      </c>
      <c r="B997" s="1" t="n">
        <v>44750.66068287037</v>
      </c>
      <c r="C997" s="1" t="n">
        <v>45908</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29278-2022</t>
        </is>
      </c>
      <c r="B998" s="1" t="n">
        <v>44750</v>
      </c>
      <c r="C998" s="1" t="n">
        <v>45908</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42955-2022</t>
        </is>
      </c>
      <c r="B999" s="1" t="n">
        <v>44833.40876157407</v>
      </c>
      <c r="C999" s="1" t="n">
        <v>45908</v>
      </c>
      <c r="D999" t="inlineStr">
        <is>
          <t>STOCKHOLMS LÄN</t>
        </is>
      </c>
      <c r="E999" t="inlineStr">
        <is>
          <t>NORRTÄLJE</t>
        </is>
      </c>
      <c r="G999" t="n">
        <v>13.1</v>
      </c>
      <c r="H999" t="n">
        <v>0</v>
      </c>
      <c r="I999" t="n">
        <v>0</v>
      </c>
      <c r="J999" t="n">
        <v>0</v>
      </c>
      <c r="K999" t="n">
        <v>0</v>
      </c>
      <c r="L999" t="n">
        <v>0</v>
      </c>
      <c r="M999" t="n">
        <v>0</v>
      </c>
      <c r="N999" t="n">
        <v>0</v>
      </c>
      <c r="O999" t="n">
        <v>0</v>
      </c>
      <c r="P999" t="n">
        <v>0</v>
      </c>
      <c r="Q999" t="n">
        <v>0</v>
      </c>
      <c r="R999" s="2" t="inlineStr"/>
    </row>
    <row r="1000" ht="15" customHeight="1">
      <c r="A1000" t="inlineStr">
        <is>
          <t>A 1283-2025</t>
        </is>
      </c>
      <c r="B1000" s="1" t="n">
        <v>45667.49878472222</v>
      </c>
      <c r="C1000" s="1" t="n">
        <v>45908</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9703-2021</t>
        </is>
      </c>
      <c r="B1001" s="1" t="n">
        <v>44252</v>
      </c>
      <c r="C1001" s="1" t="n">
        <v>45908</v>
      </c>
      <c r="D1001" t="inlineStr">
        <is>
          <t>STOCKHOLMS LÄN</t>
        </is>
      </c>
      <c r="E1001" t="inlineStr">
        <is>
          <t>NORRTÄLJE</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37273-2024</t>
        </is>
      </c>
      <c r="B1002" s="1" t="n">
        <v>45540</v>
      </c>
      <c r="C1002" s="1" t="n">
        <v>45908</v>
      </c>
      <c r="D1002" t="inlineStr">
        <is>
          <t>STOCKHOLMS LÄN</t>
        </is>
      </c>
      <c r="E1002" t="inlineStr">
        <is>
          <t>NORRTÄLJE</t>
        </is>
      </c>
      <c r="F1002" t="inlineStr">
        <is>
          <t>Sveaskog</t>
        </is>
      </c>
      <c r="G1002" t="n">
        <v>12.5</v>
      </c>
      <c r="H1002" t="n">
        <v>0</v>
      </c>
      <c r="I1002" t="n">
        <v>0</v>
      </c>
      <c r="J1002" t="n">
        <v>0</v>
      </c>
      <c r="K1002" t="n">
        <v>0</v>
      </c>
      <c r="L1002" t="n">
        <v>0</v>
      </c>
      <c r="M1002" t="n">
        <v>0</v>
      </c>
      <c r="N1002" t="n">
        <v>0</v>
      </c>
      <c r="O1002" t="n">
        <v>0</v>
      </c>
      <c r="P1002" t="n">
        <v>0</v>
      </c>
      <c r="Q1002" t="n">
        <v>0</v>
      </c>
      <c r="R1002" s="2" t="inlineStr"/>
    </row>
    <row r="1003" ht="15" customHeight="1">
      <c r="A1003" t="inlineStr">
        <is>
          <t>A 12908-2025</t>
        </is>
      </c>
      <c r="B1003" s="1" t="n">
        <v>45733.82105324074</v>
      </c>
      <c r="C1003" s="1" t="n">
        <v>45908</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23060-2023</t>
        </is>
      </c>
      <c r="B1004" s="1" t="n">
        <v>45075</v>
      </c>
      <c r="C1004" s="1" t="n">
        <v>45908</v>
      </c>
      <c r="D1004" t="inlineStr">
        <is>
          <t>STOCKHOLMS LÄN</t>
        </is>
      </c>
      <c r="E1004" t="inlineStr">
        <is>
          <t>NORRTÄLJE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13767-2025</t>
        </is>
      </c>
      <c r="B1005" s="1" t="n">
        <v>45737.43347222222</v>
      </c>
      <c r="C1005" s="1" t="n">
        <v>45908</v>
      </c>
      <c r="D1005" t="inlineStr">
        <is>
          <t>STOCKHOLMS LÄN</t>
        </is>
      </c>
      <c r="E1005" t="inlineStr">
        <is>
          <t>NORRTÄLJE</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20013-2025</t>
        </is>
      </c>
      <c r="B1006" s="1" t="n">
        <v>45772.30436342592</v>
      </c>
      <c r="C1006" s="1" t="n">
        <v>45908</v>
      </c>
      <c r="D1006" t="inlineStr">
        <is>
          <t>STOCKHOLMS LÄN</t>
        </is>
      </c>
      <c r="E1006" t="inlineStr">
        <is>
          <t>NORRTÄLJE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51720-2020</t>
        </is>
      </c>
      <c r="B1007" s="1" t="n">
        <v>44113</v>
      </c>
      <c r="C1007" s="1" t="n">
        <v>45908</v>
      </c>
      <c r="D1007" t="inlineStr">
        <is>
          <t>STOCKHOLMS LÄN</t>
        </is>
      </c>
      <c r="E1007" t="inlineStr">
        <is>
          <t>NORRTÄLJE</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53362-2023</t>
        </is>
      </c>
      <c r="B1008" s="1" t="n">
        <v>45223</v>
      </c>
      <c r="C1008" s="1" t="n">
        <v>45908</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15422-2024</t>
        </is>
      </c>
      <c r="B1009" s="1" t="n">
        <v>45401.3653125</v>
      </c>
      <c r="C1009" s="1" t="n">
        <v>45908</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30508-2023</t>
        </is>
      </c>
      <c r="B1010" s="1" t="n">
        <v>45111</v>
      </c>
      <c r="C1010" s="1" t="n">
        <v>45908</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32103-2022</t>
        </is>
      </c>
      <c r="B1011" s="1" t="n">
        <v>44778</v>
      </c>
      <c r="C1011" s="1" t="n">
        <v>45908</v>
      </c>
      <c r="D1011" t="inlineStr">
        <is>
          <t>STOCKHOLMS LÄN</t>
        </is>
      </c>
      <c r="E1011" t="inlineStr">
        <is>
          <t>NORRTÄLJE</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6401-2024</t>
        </is>
      </c>
      <c r="B1012" s="1" t="n">
        <v>45338</v>
      </c>
      <c r="C1012" s="1" t="n">
        <v>45908</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16008-2025</t>
        </is>
      </c>
      <c r="B1013" s="1" t="n">
        <v>45749</v>
      </c>
      <c r="C1013" s="1" t="n">
        <v>45908</v>
      </c>
      <c r="D1013" t="inlineStr">
        <is>
          <t>STOCKHOLMS LÄN</t>
        </is>
      </c>
      <c r="E1013" t="inlineStr">
        <is>
          <t>NORRTÄLJE</t>
        </is>
      </c>
      <c r="F1013" t="inlineStr">
        <is>
          <t>Holmen skog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21158-2022</t>
        </is>
      </c>
      <c r="B1014" s="1" t="n">
        <v>44704</v>
      </c>
      <c r="C1014" s="1" t="n">
        <v>45908</v>
      </c>
      <c r="D1014" t="inlineStr">
        <is>
          <t>STOCKHOLMS LÄN</t>
        </is>
      </c>
      <c r="E1014" t="inlineStr">
        <is>
          <t>NORRTÄLJE</t>
        </is>
      </c>
      <c r="G1014" t="n">
        <v>17.8</v>
      </c>
      <c r="H1014" t="n">
        <v>0</v>
      </c>
      <c r="I1014" t="n">
        <v>0</v>
      </c>
      <c r="J1014" t="n">
        <v>0</v>
      </c>
      <c r="K1014" t="n">
        <v>0</v>
      </c>
      <c r="L1014" t="n">
        <v>0</v>
      </c>
      <c r="M1014" t="n">
        <v>0</v>
      </c>
      <c r="N1014" t="n">
        <v>0</v>
      </c>
      <c r="O1014" t="n">
        <v>0</v>
      </c>
      <c r="P1014" t="n">
        <v>0</v>
      </c>
      <c r="Q1014" t="n">
        <v>0</v>
      </c>
      <c r="R1014" s="2" t="inlineStr"/>
    </row>
    <row r="1015" ht="15" customHeight="1">
      <c r="A1015" t="inlineStr">
        <is>
          <t>A 59504-2023</t>
        </is>
      </c>
      <c r="B1015" s="1" t="n">
        <v>45254</v>
      </c>
      <c r="C1015" s="1" t="n">
        <v>45908</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32101-2022</t>
        </is>
      </c>
      <c r="B1016" s="1" t="n">
        <v>44778.69210648148</v>
      </c>
      <c r="C1016" s="1" t="n">
        <v>45908</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23150-2024</t>
        </is>
      </c>
      <c r="B1017" s="1" t="n">
        <v>45450.64643518518</v>
      </c>
      <c r="C1017" s="1" t="n">
        <v>45908</v>
      </c>
      <c r="D1017" t="inlineStr">
        <is>
          <t>STOCKHOLMS LÄN</t>
        </is>
      </c>
      <c r="E1017" t="inlineStr">
        <is>
          <t>NORRTÄLJE</t>
        </is>
      </c>
      <c r="F1017" t="inlineStr">
        <is>
          <t>Kommuner</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24933-2023</t>
        </is>
      </c>
      <c r="B1018" s="1" t="n">
        <v>45085.5309375</v>
      </c>
      <c r="C1018" s="1" t="n">
        <v>45908</v>
      </c>
      <c r="D1018" t="inlineStr">
        <is>
          <t>STOCKHOLMS LÄN</t>
        </is>
      </c>
      <c r="E1018" t="inlineStr">
        <is>
          <t>NORRTÄLJE</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56631-2024</t>
        </is>
      </c>
      <c r="B1019" s="1" t="n">
        <v>45625</v>
      </c>
      <c r="C1019" s="1" t="n">
        <v>45908</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52321-2024</t>
        </is>
      </c>
      <c r="B1020" s="1" t="n">
        <v>45608</v>
      </c>
      <c r="C1020" s="1" t="n">
        <v>45908</v>
      </c>
      <c r="D1020" t="inlineStr">
        <is>
          <t>STOCKHOLMS LÄN</t>
        </is>
      </c>
      <c r="E1020" t="inlineStr">
        <is>
          <t>NORRTÄLJE</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48151-2024</t>
        </is>
      </c>
      <c r="B1021" s="1" t="n">
        <v>45589.68289351852</v>
      </c>
      <c r="C1021" s="1" t="n">
        <v>45908</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652-2025</t>
        </is>
      </c>
      <c r="B1022" s="1" t="n">
        <v>45664</v>
      </c>
      <c r="C1022" s="1" t="n">
        <v>45908</v>
      </c>
      <c r="D1022" t="inlineStr">
        <is>
          <t>STOCKHOLMS LÄN</t>
        </is>
      </c>
      <c r="E1022" t="inlineStr">
        <is>
          <t>NORRTÄLJE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20370-2025</t>
        </is>
      </c>
      <c r="B1023" s="1" t="n">
        <v>45775.41451388889</v>
      </c>
      <c r="C1023" s="1" t="n">
        <v>45908</v>
      </c>
      <c r="D1023" t="inlineStr">
        <is>
          <t>STOCKHOLMS LÄN</t>
        </is>
      </c>
      <c r="E1023" t="inlineStr">
        <is>
          <t>NORRTÄLJE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44183-2020</t>
        </is>
      </c>
      <c r="B1024" s="1" t="n">
        <v>44083</v>
      </c>
      <c r="C1024" s="1" t="n">
        <v>45908</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19580-2022</t>
        </is>
      </c>
      <c r="B1025" s="1" t="n">
        <v>44693</v>
      </c>
      <c r="C1025" s="1" t="n">
        <v>45908</v>
      </c>
      <c r="D1025" t="inlineStr">
        <is>
          <t>STOCKHOLMS LÄN</t>
        </is>
      </c>
      <c r="E1025" t="inlineStr">
        <is>
          <t>NORRTÄLJE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5389-2025</t>
        </is>
      </c>
      <c r="B1026" s="1" t="n">
        <v>45692</v>
      </c>
      <c r="C1026" s="1" t="n">
        <v>45908</v>
      </c>
      <c r="D1026" t="inlineStr">
        <is>
          <t>STOCKHOLMS LÄN</t>
        </is>
      </c>
      <c r="E1026" t="inlineStr">
        <is>
          <t>NORRTÄLJE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13051-2021</t>
        </is>
      </c>
      <c r="B1027" s="1" t="n">
        <v>44272</v>
      </c>
      <c r="C1027" s="1" t="n">
        <v>45908</v>
      </c>
      <c r="D1027" t="inlineStr">
        <is>
          <t>STOCKHOLMS LÄN</t>
        </is>
      </c>
      <c r="E1027" t="inlineStr">
        <is>
          <t>NORRTÄLJE</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30731-2023</t>
        </is>
      </c>
      <c r="B1028" s="1" t="n">
        <v>45112</v>
      </c>
      <c r="C1028" s="1" t="n">
        <v>45908</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4580-2025</t>
        </is>
      </c>
      <c r="B1029" s="1" t="n">
        <v>45687.5038425926</v>
      </c>
      <c r="C1029" s="1" t="n">
        <v>45908</v>
      </c>
      <c r="D1029" t="inlineStr">
        <is>
          <t>STOCKHOLMS LÄN</t>
        </is>
      </c>
      <c r="E1029" t="inlineStr">
        <is>
          <t>NORRTÄLJE</t>
        </is>
      </c>
      <c r="F1029" t="inlineStr">
        <is>
          <t>Holmen skog AB</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31057-2022</t>
        </is>
      </c>
      <c r="B1030" s="1" t="n">
        <v>44769</v>
      </c>
      <c r="C1030" s="1" t="n">
        <v>45908</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13137-2024</t>
        </is>
      </c>
      <c r="B1031" s="1" t="n">
        <v>45386.34175925926</v>
      </c>
      <c r="C1031" s="1" t="n">
        <v>45908</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11499-2023</t>
        </is>
      </c>
      <c r="B1032" s="1" t="n">
        <v>44993.66707175926</v>
      </c>
      <c r="C1032" s="1" t="n">
        <v>45908</v>
      </c>
      <c r="D1032" t="inlineStr">
        <is>
          <t>STOCKHOLMS LÄN</t>
        </is>
      </c>
      <c r="E1032" t="inlineStr">
        <is>
          <t>NORRTÄLJE</t>
        </is>
      </c>
      <c r="F1032" t="inlineStr">
        <is>
          <t>Holmen skog AB</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31140-2023</t>
        </is>
      </c>
      <c r="B1033" s="1" t="n">
        <v>45113</v>
      </c>
      <c r="C1033" s="1" t="n">
        <v>45908</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31149-2023</t>
        </is>
      </c>
      <c r="B1034" s="1" t="n">
        <v>45113</v>
      </c>
      <c r="C1034" s="1" t="n">
        <v>45908</v>
      </c>
      <c r="D1034" t="inlineStr">
        <is>
          <t>STOCKHOLMS LÄN</t>
        </is>
      </c>
      <c r="E1034" t="inlineStr">
        <is>
          <t>NORRTÄLJE</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4658-2024</t>
        </is>
      </c>
      <c r="B1035" s="1" t="n">
        <v>45328.46336805556</v>
      </c>
      <c r="C1035" s="1" t="n">
        <v>45908</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19131-2025</t>
        </is>
      </c>
      <c r="B1036" s="1" t="n">
        <v>45769</v>
      </c>
      <c r="C1036" s="1" t="n">
        <v>45908</v>
      </c>
      <c r="D1036" t="inlineStr">
        <is>
          <t>STOCKHOLMS LÄN</t>
        </is>
      </c>
      <c r="E1036" t="inlineStr">
        <is>
          <t>NORRTÄLJE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576-2023</t>
        </is>
      </c>
      <c r="B1037" s="1" t="n">
        <v>44925</v>
      </c>
      <c r="C1037" s="1" t="n">
        <v>45908</v>
      </c>
      <c r="D1037" t="inlineStr">
        <is>
          <t>STOCKHOLMS LÄN</t>
        </is>
      </c>
      <c r="E1037" t="inlineStr">
        <is>
          <t>NORRTÄLJE</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47869-2020</t>
        </is>
      </c>
      <c r="B1038" s="1" t="n">
        <v>44098</v>
      </c>
      <c r="C1038" s="1" t="n">
        <v>45908</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10678-2025</t>
        </is>
      </c>
      <c r="B1039" s="1" t="n">
        <v>45721.89123842592</v>
      </c>
      <c r="C1039" s="1" t="n">
        <v>45908</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31936-2022</t>
        </is>
      </c>
      <c r="B1040" s="1" t="n">
        <v>44777</v>
      </c>
      <c r="C1040" s="1" t="n">
        <v>45908</v>
      </c>
      <c r="D1040" t="inlineStr">
        <is>
          <t>STOCKHOLMS LÄN</t>
        </is>
      </c>
      <c r="E1040" t="inlineStr">
        <is>
          <t>NORRTÄLJE</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59873-2024</t>
        </is>
      </c>
      <c r="B1041" s="1" t="n">
        <v>45640.57305555556</v>
      </c>
      <c r="C1041" s="1" t="n">
        <v>45908</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35916-2024</t>
        </is>
      </c>
      <c r="B1042" s="1" t="n">
        <v>45533</v>
      </c>
      <c r="C1042" s="1" t="n">
        <v>45908</v>
      </c>
      <c r="D1042" t="inlineStr">
        <is>
          <t>STOCKHOLMS LÄN</t>
        </is>
      </c>
      <c r="E1042" t="inlineStr">
        <is>
          <t>NORRTÄLJE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10098-2022</t>
        </is>
      </c>
      <c r="B1043" s="1" t="n">
        <v>44621</v>
      </c>
      <c r="C1043" s="1" t="n">
        <v>45908</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63161-2023</t>
        </is>
      </c>
      <c r="B1044" s="1" t="n">
        <v>45273</v>
      </c>
      <c r="C1044" s="1" t="n">
        <v>45908</v>
      </c>
      <c r="D1044" t="inlineStr">
        <is>
          <t>STOCKHOLMS LÄN</t>
        </is>
      </c>
      <c r="E1044" t="inlineStr">
        <is>
          <t>NORRTÄLJE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7796-2025</t>
        </is>
      </c>
      <c r="B1045" s="1" t="n">
        <v>45706.60130787037</v>
      </c>
      <c r="C1045" s="1" t="n">
        <v>45908</v>
      </c>
      <c r="D1045" t="inlineStr">
        <is>
          <t>STOCKHOLMS LÄN</t>
        </is>
      </c>
      <c r="E1045" t="inlineStr">
        <is>
          <t>NORRTÄLJE</t>
        </is>
      </c>
      <c r="F1045" t="inlineStr">
        <is>
          <t>Holmen skog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15552-2021</t>
        </is>
      </c>
      <c r="B1046" s="1" t="n">
        <v>44285</v>
      </c>
      <c r="C1046" s="1" t="n">
        <v>45908</v>
      </c>
      <c r="D1046" t="inlineStr">
        <is>
          <t>STOCKHOLMS LÄN</t>
        </is>
      </c>
      <c r="E1046" t="inlineStr">
        <is>
          <t>NORRTÄLJE</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58040-2024</t>
        </is>
      </c>
      <c r="B1047" s="1" t="n">
        <v>45631.73952546297</v>
      </c>
      <c r="C1047" s="1" t="n">
        <v>45908</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58041-2024</t>
        </is>
      </c>
      <c r="B1048" s="1" t="n">
        <v>45631.74673611111</v>
      </c>
      <c r="C1048" s="1" t="n">
        <v>45908</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30268-2024</t>
        </is>
      </c>
      <c r="B1049" s="1" t="n">
        <v>45490.60572916667</v>
      </c>
      <c r="C1049" s="1" t="n">
        <v>45908</v>
      </c>
      <c r="D1049" t="inlineStr">
        <is>
          <t>STOCKHOLMS LÄN</t>
        </is>
      </c>
      <c r="E1049" t="inlineStr">
        <is>
          <t>NORRTÄLJE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12407-2025</t>
        </is>
      </c>
      <c r="B1050" s="1" t="n">
        <v>45730.42851851852</v>
      </c>
      <c r="C1050" s="1" t="n">
        <v>45908</v>
      </c>
      <c r="D1050" t="inlineStr">
        <is>
          <t>STOCKHOLMS LÄN</t>
        </is>
      </c>
      <c r="E1050" t="inlineStr">
        <is>
          <t>NORRTÄLJE</t>
        </is>
      </c>
      <c r="F1050" t="inlineStr">
        <is>
          <t>Holmen skog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19025-2025</t>
        </is>
      </c>
      <c r="B1051" s="1" t="n">
        <v>45764.6359837963</v>
      </c>
      <c r="C1051" s="1" t="n">
        <v>45908</v>
      </c>
      <c r="D1051" t="inlineStr">
        <is>
          <t>STOCKHOLMS LÄN</t>
        </is>
      </c>
      <c r="E1051" t="inlineStr">
        <is>
          <t>NORRTÄLJE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54276-2021</t>
        </is>
      </c>
      <c r="B1052" s="1" t="n">
        <v>44470</v>
      </c>
      <c r="C1052" s="1" t="n">
        <v>45908</v>
      </c>
      <c r="D1052" t="inlineStr">
        <is>
          <t>STOCKHOLMS LÄN</t>
        </is>
      </c>
      <c r="E1052" t="inlineStr">
        <is>
          <t>NORRTÄLJE</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4316-2023</t>
        </is>
      </c>
      <c r="B1053" s="1" t="n">
        <v>44953.67443287037</v>
      </c>
      <c r="C1053" s="1" t="n">
        <v>45908</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41587-2023</t>
        </is>
      </c>
      <c r="B1054" s="1" t="n">
        <v>45175</v>
      </c>
      <c r="C1054" s="1" t="n">
        <v>45908</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17304-2024</t>
        </is>
      </c>
      <c r="B1055" s="1" t="n">
        <v>45414</v>
      </c>
      <c r="C1055" s="1" t="n">
        <v>45908</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11280-2023</t>
        </is>
      </c>
      <c r="B1056" s="1" t="n">
        <v>44992</v>
      </c>
      <c r="C1056" s="1" t="n">
        <v>45908</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c r="A1057" t="inlineStr">
        <is>
          <t>A 26668-2024</t>
        </is>
      </c>
      <c r="B1057" s="1" t="n">
        <v>45469</v>
      </c>
      <c r="C1057" s="1" t="n">
        <v>45908</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2025-09-08T09:00:38Z</dcterms:created>
  <dcterms:modified xmlns:dcterms="http://purl.org/dc/terms/" xmlns:xsi="http://www.w3.org/2001/XMLSchema-instance" xsi:type="dcterms:W3CDTF">2025-09-08T09:00:39Z</dcterms:modified>
</cp:coreProperties>
</file>