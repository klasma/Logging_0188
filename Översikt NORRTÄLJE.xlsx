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46076</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46076</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46076</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46076</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46076</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46076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46076</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46076</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46076</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46076</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46076</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21837-2025</t>
        </is>
      </c>
      <c r="B14" s="1" t="n">
        <v>45784.32179398148</v>
      </c>
      <c r="C14" s="1" t="n">
        <v>46076</v>
      </c>
      <c r="D14" t="inlineStr">
        <is>
          <t>STOCKHOLMS LÄN</t>
        </is>
      </c>
      <c r="E14" t="inlineStr">
        <is>
          <t>NORRTÄLJE</t>
        </is>
      </c>
      <c r="G14" t="n">
        <v>6.4</v>
      </c>
      <c r="H14" t="n">
        <v>4</v>
      </c>
      <c r="I14" t="n">
        <v>10</v>
      </c>
      <c r="J14" t="n">
        <v>4</v>
      </c>
      <c r="K14" t="n">
        <v>4</v>
      </c>
      <c r="L14" t="n">
        <v>0</v>
      </c>
      <c r="M14" t="n">
        <v>0</v>
      </c>
      <c r="N14" t="n">
        <v>0</v>
      </c>
      <c r="O14" t="n">
        <v>8</v>
      </c>
      <c r="P14" t="n">
        <v>4</v>
      </c>
      <c r="Q14" t="n">
        <v>21</v>
      </c>
      <c r="R1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4">
        <f>HYPERLINK("https://klasma.github.io/Logging_0188/artfynd/A 21837-2025 artfynd.xlsx", "A 21837-2025")</f>
        <v/>
      </c>
      <c r="T14">
        <f>HYPERLINK("https://klasma.github.io/Logging_0188/kartor/A 21837-2025 karta.png", "A 21837-2025")</f>
        <v/>
      </c>
      <c r="V14">
        <f>HYPERLINK("https://klasma.github.io/Logging_0188/klagomål/A 21837-2025 FSC-klagomål.docx", "A 21837-2025")</f>
        <v/>
      </c>
      <c r="W14">
        <f>HYPERLINK("https://klasma.github.io/Logging_0188/klagomålsmail/A 21837-2025 FSC-klagomål mail.docx", "A 21837-2025")</f>
        <v/>
      </c>
      <c r="X14">
        <f>HYPERLINK("https://klasma.github.io/Logging_0188/tillsyn/A 21837-2025 tillsynsbegäran.docx", "A 21837-2025")</f>
        <v/>
      </c>
      <c r="Y14">
        <f>HYPERLINK("https://klasma.github.io/Logging_0188/tillsynsmail/A 21837-2025 tillsynsbegäran mail.docx", "A 21837-2025")</f>
        <v/>
      </c>
    </row>
    <row r="15" ht="15" customHeight="1">
      <c r="A15" t="inlineStr">
        <is>
          <t>A 52797-2023</t>
        </is>
      </c>
      <c r="B15" s="1" t="n">
        <v>45226</v>
      </c>
      <c r="C15" s="1" t="n">
        <v>46076</v>
      </c>
      <c r="D15" t="inlineStr">
        <is>
          <t>STOCKHOLMS LÄN</t>
        </is>
      </c>
      <c r="E15" t="inlineStr">
        <is>
          <t>NORRTÄLJE</t>
        </is>
      </c>
      <c r="G15" t="n">
        <v>5.3</v>
      </c>
      <c r="H15" t="n">
        <v>3</v>
      </c>
      <c r="I15" t="n">
        <v>11</v>
      </c>
      <c r="J15" t="n">
        <v>6</v>
      </c>
      <c r="K15" t="n">
        <v>2</v>
      </c>
      <c r="L15" t="n">
        <v>0</v>
      </c>
      <c r="M15" t="n">
        <v>0</v>
      </c>
      <c r="N15" t="n">
        <v>0</v>
      </c>
      <c r="O15" t="n">
        <v>8</v>
      </c>
      <c r="P15" t="n">
        <v>2</v>
      </c>
      <c r="Q15" t="n">
        <v>21</v>
      </c>
      <c r="R1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46076</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46076</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56792-2025</t>
        </is>
      </c>
      <c r="B18" s="1" t="n">
        <v>45978</v>
      </c>
      <c r="C18" s="1" t="n">
        <v>46076</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46076</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46076</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46076</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46076</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46076</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46076</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46076</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46076</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46076</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46076</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46076</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46076</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46076</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Leptoporus erubescens
Spillkråka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25732-2025</t>
        </is>
      </c>
      <c r="B32" s="1" t="n">
        <v>45800</v>
      </c>
      <c r="C32" s="1" t="n">
        <v>46076</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45811-2022</t>
        </is>
      </c>
      <c r="B33" s="1" t="n">
        <v>44846</v>
      </c>
      <c r="C33" s="1" t="n">
        <v>46076</v>
      </c>
      <c r="D33" t="inlineStr">
        <is>
          <t>STOCKHOLMS LÄN</t>
        </is>
      </c>
      <c r="E33" t="inlineStr">
        <is>
          <t>NORRTÄLJE</t>
        </is>
      </c>
      <c r="G33" t="n">
        <v>0.8</v>
      </c>
      <c r="H33" t="n">
        <v>0</v>
      </c>
      <c r="I33" t="n">
        <v>5</v>
      </c>
      <c r="J33" t="n">
        <v>0</v>
      </c>
      <c r="K33" t="n">
        <v>0</v>
      </c>
      <c r="L33" t="n">
        <v>1</v>
      </c>
      <c r="M33" t="n">
        <v>1</v>
      </c>
      <c r="N33" t="n">
        <v>0</v>
      </c>
      <c r="O33" t="n">
        <v>2</v>
      </c>
      <c r="P33" t="n">
        <v>2</v>
      </c>
      <c r="Q33" t="n">
        <v>7</v>
      </c>
      <c r="R33" s="2" t="inlineStr">
        <is>
          <t>Skogsalm
Ask
Hässleklocka
Myskmadra
Strävlosta
Tibast
Underviol</t>
        </is>
      </c>
      <c r="S33">
        <f>HYPERLINK("https://klasma.github.io/Logging_0188/artfynd/A 45811-2022 artfynd.xlsx", "A 45811-2022")</f>
        <v/>
      </c>
      <c r="T33">
        <f>HYPERLINK("https://klasma.github.io/Logging_0188/kartor/A 45811-2022 karta.png", "A 45811-2022")</f>
        <v/>
      </c>
      <c r="V33">
        <f>HYPERLINK("https://klasma.github.io/Logging_0188/klagomål/A 45811-2022 FSC-klagomål.docx", "A 45811-2022")</f>
        <v/>
      </c>
      <c r="W33">
        <f>HYPERLINK("https://klasma.github.io/Logging_0188/klagomålsmail/A 45811-2022 FSC-klagomål mail.docx", "A 45811-2022")</f>
        <v/>
      </c>
      <c r="X33">
        <f>HYPERLINK("https://klasma.github.io/Logging_0188/tillsyn/A 45811-2022 tillsynsbegäran.docx", "A 45811-2022")</f>
        <v/>
      </c>
      <c r="Y33">
        <f>HYPERLINK("https://klasma.github.io/Logging_0188/tillsynsmail/A 45811-2022 tillsynsbegäran mail.docx", "A 45811-2022")</f>
        <v/>
      </c>
    </row>
    <row r="34" ht="15" customHeight="1">
      <c r="A34" t="inlineStr">
        <is>
          <t>A 48490-2022</t>
        </is>
      </c>
      <c r="B34" s="1" t="n">
        <v>44858</v>
      </c>
      <c r="C34" s="1" t="n">
        <v>46076</v>
      </c>
      <c r="D34" t="inlineStr">
        <is>
          <t>STOCKHOLMS LÄN</t>
        </is>
      </c>
      <c r="E34" t="inlineStr">
        <is>
          <t>NORRTÄLJE</t>
        </is>
      </c>
      <c r="G34" t="n">
        <v>15.8</v>
      </c>
      <c r="H34" t="n">
        <v>2</v>
      </c>
      <c r="I34" t="n">
        <v>6</v>
      </c>
      <c r="J34" t="n">
        <v>0</v>
      </c>
      <c r="K34" t="n">
        <v>0</v>
      </c>
      <c r="L34" t="n">
        <v>0</v>
      </c>
      <c r="M34" t="n">
        <v>0</v>
      </c>
      <c r="N34" t="n">
        <v>0</v>
      </c>
      <c r="O34" t="n">
        <v>0</v>
      </c>
      <c r="P34" t="n">
        <v>0</v>
      </c>
      <c r="Q34" t="n">
        <v>7</v>
      </c>
      <c r="R34" s="2" t="inlineStr">
        <is>
          <t>Kragjordstjärna
Skogsknipprot
Svart trolldruva
Svavelriska
Tibast
Vårärt
Blåsippa</t>
        </is>
      </c>
      <c r="S34">
        <f>HYPERLINK("https://klasma.github.io/Logging_0188/artfynd/A 48490-2022 artfynd.xlsx", "A 48490-2022")</f>
        <v/>
      </c>
      <c r="T34">
        <f>HYPERLINK("https://klasma.github.io/Logging_0188/kartor/A 48490-2022 karta.png", "A 48490-2022")</f>
        <v/>
      </c>
      <c r="V34">
        <f>HYPERLINK("https://klasma.github.io/Logging_0188/klagomål/A 48490-2022 FSC-klagomål.docx", "A 48490-2022")</f>
        <v/>
      </c>
      <c r="W34">
        <f>HYPERLINK("https://klasma.github.io/Logging_0188/klagomålsmail/A 48490-2022 FSC-klagomål mail.docx", "A 48490-2022")</f>
        <v/>
      </c>
      <c r="X34">
        <f>HYPERLINK("https://klasma.github.io/Logging_0188/tillsyn/A 48490-2022 tillsynsbegäran.docx", "A 48490-2022")</f>
        <v/>
      </c>
      <c r="Y34">
        <f>HYPERLINK("https://klasma.github.io/Logging_0188/tillsynsmail/A 48490-2022 tillsynsbegäran mail.docx", "A 48490-2022")</f>
        <v/>
      </c>
    </row>
    <row r="35" ht="15" customHeight="1">
      <c r="A35" t="inlineStr">
        <is>
          <t>A 47346-2021</t>
        </is>
      </c>
      <c r="B35" s="1" t="n">
        <v>44447</v>
      </c>
      <c r="C35" s="1" t="n">
        <v>46076</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13933-2022</t>
        </is>
      </c>
      <c r="B36" s="1" t="n">
        <v>44650</v>
      </c>
      <c r="C36" s="1" t="n">
        <v>46076</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15278-2024</t>
        </is>
      </c>
      <c r="B37" s="1" t="n">
        <v>45400.5958912037</v>
      </c>
      <c r="C37" s="1" t="n">
        <v>46076</v>
      </c>
      <c r="D37" t="inlineStr">
        <is>
          <t>STOCKHOLMS LÄN</t>
        </is>
      </c>
      <c r="E37" t="inlineStr">
        <is>
          <t>NORRTÄLJE</t>
        </is>
      </c>
      <c r="G37" t="n">
        <v>7.4</v>
      </c>
      <c r="H37" t="n">
        <v>2</v>
      </c>
      <c r="I37" t="n">
        <v>4</v>
      </c>
      <c r="J37" t="n">
        <v>1</v>
      </c>
      <c r="K37" t="n">
        <v>1</v>
      </c>
      <c r="L37" t="n">
        <v>0</v>
      </c>
      <c r="M37" t="n">
        <v>0</v>
      </c>
      <c r="N37" t="n">
        <v>0</v>
      </c>
      <c r="O37" t="n">
        <v>2</v>
      </c>
      <c r="P37" t="n">
        <v>1</v>
      </c>
      <c r="Q37" t="n">
        <v>7</v>
      </c>
      <c r="R37" s="2" t="inlineStr">
        <is>
          <t>Knärot
Ullticka
Fjällig taggsvamp s.str.
Grönpyrola
Kattfotslav
Vedticka
Blåsippa</t>
        </is>
      </c>
      <c r="S37">
        <f>HYPERLINK("https://klasma.github.io/Logging_0188/artfynd/A 15278-2024 artfynd.xlsx", "A 15278-2024")</f>
        <v/>
      </c>
      <c r="T37">
        <f>HYPERLINK("https://klasma.github.io/Logging_0188/kartor/A 15278-2024 karta.png", "A 15278-2024")</f>
        <v/>
      </c>
      <c r="U37">
        <f>HYPERLINK("https://klasma.github.io/Logging_0188/knärot/A 15278-2024 karta knärot.png", "A 15278-2024")</f>
        <v/>
      </c>
      <c r="V37">
        <f>HYPERLINK("https://klasma.github.io/Logging_0188/klagomål/A 15278-2024 FSC-klagomål.docx", "A 15278-2024")</f>
        <v/>
      </c>
      <c r="W37">
        <f>HYPERLINK("https://klasma.github.io/Logging_0188/klagomålsmail/A 15278-2024 FSC-klagomål mail.docx", "A 15278-2024")</f>
        <v/>
      </c>
      <c r="X37">
        <f>HYPERLINK("https://klasma.github.io/Logging_0188/tillsyn/A 15278-2024 tillsynsbegäran.docx", "A 15278-2024")</f>
        <v/>
      </c>
      <c r="Y37">
        <f>HYPERLINK("https://klasma.github.io/Logging_0188/tillsynsmail/A 15278-2024 tillsynsbegäran mail.docx", "A 15278-2024")</f>
        <v/>
      </c>
    </row>
    <row r="38" ht="15" customHeight="1">
      <c r="A38" t="inlineStr">
        <is>
          <t>A 34528-2025</t>
        </is>
      </c>
      <c r="B38" s="1" t="n">
        <v>45847.48436342592</v>
      </c>
      <c r="C38" s="1" t="n">
        <v>46076</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46076</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46076</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46076</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46076</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46076</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46076</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46076</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46076</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72305-2021</t>
        </is>
      </c>
      <c r="B47" s="1" t="n">
        <v>44545</v>
      </c>
      <c r="C47" s="1" t="n">
        <v>46076</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41276-2025</t>
        </is>
      </c>
      <c r="B48" s="1" t="n">
        <v>45898.62723379629</v>
      </c>
      <c r="C48" s="1" t="n">
        <v>46076</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46076</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34521-2025</t>
        </is>
      </c>
      <c r="B50" s="1" t="n">
        <v>45847.47052083333</v>
      </c>
      <c r="C50" s="1" t="n">
        <v>46076</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47212-2025</t>
        </is>
      </c>
      <c r="B51" s="1" t="n">
        <v>45930</v>
      </c>
      <c r="C51" s="1" t="n">
        <v>46076</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24052-2021</t>
        </is>
      </c>
      <c r="B52" s="1" t="n">
        <v>44336</v>
      </c>
      <c r="C52" s="1" t="n">
        <v>46076</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46076</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46076</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25687-2025</t>
        </is>
      </c>
      <c r="B55" s="1" t="n">
        <v>45800</v>
      </c>
      <c r="C55" s="1" t="n">
        <v>46076</v>
      </c>
      <c r="D55" t="inlineStr">
        <is>
          <t>STOCKHOLMS LÄN</t>
        </is>
      </c>
      <c r="E55" t="inlineStr">
        <is>
          <t>NORRTÄLJE</t>
        </is>
      </c>
      <c r="G55" t="n">
        <v>15.7</v>
      </c>
      <c r="H55" t="n">
        <v>2</v>
      </c>
      <c r="I55" t="n">
        <v>1</v>
      </c>
      <c r="J55" t="n">
        <v>2</v>
      </c>
      <c r="K55" t="n">
        <v>0</v>
      </c>
      <c r="L55" t="n">
        <v>0</v>
      </c>
      <c r="M55" t="n">
        <v>0</v>
      </c>
      <c r="N55" t="n">
        <v>0</v>
      </c>
      <c r="O55" t="n">
        <v>2</v>
      </c>
      <c r="P55" t="n">
        <v>0</v>
      </c>
      <c r="Q55" t="n">
        <v>4</v>
      </c>
      <c r="R55" s="2" t="inlineStr">
        <is>
          <t>Spillkråka
Ullticka
Grönpyrola
Kungsfågel</t>
        </is>
      </c>
      <c r="S55">
        <f>HYPERLINK("https://klasma.github.io/Logging_0188/artfynd/A 25687-2025 artfynd.xlsx", "A 25687-2025")</f>
        <v/>
      </c>
      <c r="T55">
        <f>HYPERLINK("https://klasma.github.io/Logging_0188/kartor/A 25687-2025 karta.png", "A 25687-2025")</f>
        <v/>
      </c>
      <c r="V55">
        <f>HYPERLINK("https://klasma.github.io/Logging_0188/klagomål/A 25687-2025 FSC-klagomål.docx", "A 25687-2025")</f>
        <v/>
      </c>
      <c r="W55">
        <f>HYPERLINK("https://klasma.github.io/Logging_0188/klagomålsmail/A 25687-2025 FSC-klagomål mail.docx", "A 25687-2025")</f>
        <v/>
      </c>
      <c r="X55">
        <f>HYPERLINK("https://klasma.github.io/Logging_0188/tillsyn/A 25687-2025 tillsynsbegäran.docx", "A 25687-2025")</f>
        <v/>
      </c>
      <c r="Y55">
        <f>HYPERLINK("https://klasma.github.io/Logging_0188/tillsynsmail/A 25687-2025 tillsynsbegäran mail.docx", "A 25687-2025")</f>
        <v/>
      </c>
      <c r="Z55">
        <f>HYPERLINK("https://klasma.github.io/Logging_0188/fåglar/A 25687-2025 prioriterade fågelarter.docx", "A 25687-2025")</f>
        <v/>
      </c>
    </row>
    <row r="56" ht="15" customHeight="1">
      <c r="A56" t="inlineStr">
        <is>
          <t>A 17673-2021</t>
        </is>
      </c>
      <c r="B56" s="1" t="n">
        <v>44300</v>
      </c>
      <c r="C56" s="1" t="n">
        <v>46076</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46076</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46076</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46076</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53065-2024</t>
        </is>
      </c>
      <c r="B60" s="1" t="n">
        <v>45611.47233796296</v>
      </c>
      <c r="C60" s="1" t="n">
        <v>46076</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29185-2025</t>
        </is>
      </c>
      <c r="B61" s="1" t="n">
        <v>45821</v>
      </c>
      <c r="C61" s="1" t="n">
        <v>46076</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46076</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34524-2025</t>
        </is>
      </c>
      <c r="B63" s="1" t="n">
        <v>45847.47685185185</v>
      </c>
      <c r="C63" s="1" t="n">
        <v>46076</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27870-2022</t>
        </is>
      </c>
      <c r="B64" s="1" t="n">
        <v>44743.64592592593</v>
      </c>
      <c r="C64" s="1" t="n">
        <v>46076</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52726-2025</t>
        </is>
      </c>
      <c r="B65" s="1" t="n">
        <v>45957.34722222222</v>
      </c>
      <c r="C65" s="1" t="n">
        <v>46076</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50618-2022</t>
        </is>
      </c>
      <c r="B66" s="1" t="n">
        <v>44866</v>
      </c>
      <c r="C66" s="1" t="n">
        <v>46076</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20185-2022</t>
        </is>
      </c>
      <c r="B67" s="1" t="n">
        <v>44698</v>
      </c>
      <c r="C67" s="1" t="n">
        <v>46076</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54110-2024</t>
        </is>
      </c>
      <c r="B68" s="1" t="n">
        <v>45616.54866898148</v>
      </c>
      <c r="C68" s="1" t="n">
        <v>46076</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46076</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52133-2022</t>
        </is>
      </c>
      <c r="B70" s="1" t="n">
        <v>44868</v>
      </c>
      <c r="C70" s="1" t="n">
        <v>46076</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46076</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46076</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46076</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30693-2022</t>
        </is>
      </c>
      <c r="B74" s="1" t="n">
        <v>44763</v>
      </c>
      <c r="C74" s="1" t="n">
        <v>46076</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46076</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22190-2024</t>
        </is>
      </c>
      <c r="B76" s="1" t="n">
        <v>45446.35888888889</v>
      </c>
      <c r="C76" s="1" t="n">
        <v>46076</v>
      </c>
      <c r="D76" t="inlineStr">
        <is>
          <t>STOCKHOLMS LÄN</t>
        </is>
      </c>
      <c r="E76" t="inlineStr">
        <is>
          <t>NORRTÄLJE</t>
        </is>
      </c>
      <c r="G76" t="n">
        <v>2.8</v>
      </c>
      <c r="H76" t="n">
        <v>2</v>
      </c>
      <c r="I76" t="n">
        <v>1</v>
      </c>
      <c r="J76" t="n">
        <v>0</v>
      </c>
      <c r="K76" t="n">
        <v>0</v>
      </c>
      <c r="L76" t="n">
        <v>0</v>
      </c>
      <c r="M76" t="n">
        <v>0</v>
      </c>
      <c r="N76" t="n">
        <v>0</v>
      </c>
      <c r="O76" t="n">
        <v>0</v>
      </c>
      <c r="P76" t="n">
        <v>0</v>
      </c>
      <c r="Q76" t="n">
        <v>2</v>
      </c>
      <c r="R76" s="2" t="inlineStr">
        <is>
          <t>Skogsknipprot
Vanlig groda</t>
        </is>
      </c>
      <c r="S76">
        <f>HYPERLINK("https://klasma.github.io/Logging_0188/artfynd/A 22190-2024 artfynd.xlsx", "A 22190-2024")</f>
        <v/>
      </c>
      <c r="T76">
        <f>HYPERLINK("https://klasma.github.io/Logging_0188/kartor/A 22190-2024 karta.png", "A 22190-2024")</f>
        <v/>
      </c>
      <c r="V76">
        <f>HYPERLINK("https://klasma.github.io/Logging_0188/klagomål/A 22190-2024 FSC-klagomål.docx", "A 22190-2024")</f>
        <v/>
      </c>
      <c r="W76">
        <f>HYPERLINK("https://klasma.github.io/Logging_0188/klagomålsmail/A 22190-2024 FSC-klagomål mail.docx", "A 22190-2024")</f>
        <v/>
      </c>
      <c r="X76">
        <f>HYPERLINK("https://klasma.github.io/Logging_0188/tillsyn/A 22190-2024 tillsynsbegäran.docx", "A 22190-2024")</f>
        <v/>
      </c>
      <c r="Y76">
        <f>HYPERLINK("https://klasma.github.io/Logging_0188/tillsynsmail/A 22190-2024 tillsynsbegäran mail.docx", "A 22190-2024")</f>
        <v/>
      </c>
    </row>
    <row r="77" ht="15" customHeight="1">
      <c r="A77" t="inlineStr">
        <is>
          <t>A 17952-2022</t>
        </is>
      </c>
      <c r="B77" s="1" t="n">
        <v>44683</v>
      </c>
      <c r="C77" s="1" t="n">
        <v>46076</v>
      </c>
      <c r="D77" t="inlineStr">
        <is>
          <t>STOCKHOLMS LÄN</t>
        </is>
      </c>
      <c r="E77" t="inlineStr">
        <is>
          <t>NORRTÄLJE</t>
        </is>
      </c>
      <c r="G77" t="n">
        <v>51.1</v>
      </c>
      <c r="H77" t="n">
        <v>1</v>
      </c>
      <c r="I77" t="n">
        <v>0</v>
      </c>
      <c r="J77" t="n">
        <v>0</v>
      </c>
      <c r="K77" t="n">
        <v>1</v>
      </c>
      <c r="L77" t="n">
        <v>0</v>
      </c>
      <c r="M77" t="n">
        <v>0</v>
      </c>
      <c r="N77" t="n">
        <v>0</v>
      </c>
      <c r="O77" t="n">
        <v>1</v>
      </c>
      <c r="P77" t="n">
        <v>1</v>
      </c>
      <c r="Q77" t="n">
        <v>2</v>
      </c>
      <c r="R77" s="2" t="inlineStr">
        <is>
          <t>Kattunvisslare
Revlummer</t>
        </is>
      </c>
      <c r="S77">
        <f>HYPERLINK("https://klasma.github.io/Logging_0188/artfynd/A 17952-2022 artfynd.xlsx", "A 17952-2022")</f>
        <v/>
      </c>
      <c r="T77">
        <f>HYPERLINK("https://klasma.github.io/Logging_0188/kartor/A 17952-2022 karta.png", "A 17952-2022")</f>
        <v/>
      </c>
      <c r="V77">
        <f>HYPERLINK("https://klasma.github.io/Logging_0188/klagomål/A 17952-2022 FSC-klagomål.docx", "A 17952-2022")</f>
        <v/>
      </c>
      <c r="W77">
        <f>HYPERLINK("https://klasma.github.io/Logging_0188/klagomålsmail/A 17952-2022 FSC-klagomål mail.docx", "A 17952-2022")</f>
        <v/>
      </c>
      <c r="X77">
        <f>HYPERLINK("https://klasma.github.io/Logging_0188/tillsyn/A 17952-2022 tillsynsbegäran.docx", "A 17952-2022")</f>
        <v/>
      </c>
      <c r="Y77">
        <f>HYPERLINK("https://klasma.github.io/Logging_0188/tillsynsmail/A 17952-2022 tillsynsbegäran mail.docx", "A 17952-2022")</f>
        <v/>
      </c>
    </row>
    <row r="78" ht="15" customHeight="1">
      <c r="A78" t="inlineStr">
        <is>
          <t>A 50697-2025</t>
        </is>
      </c>
      <c r="B78" s="1" t="n">
        <v>45945.90854166666</v>
      </c>
      <c r="C78" s="1" t="n">
        <v>46076</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51980-2022</t>
        </is>
      </c>
      <c r="B79" s="1" t="n">
        <v>44872</v>
      </c>
      <c r="C79" s="1" t="n">
        <v>46076</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53608-2025</t>
        </is>
      </c>
      <c r="B80" s="1" t="n">
        <v>45960</v>
      </c>
      <c r="C80" s="1" t="n">
        <v>46076</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51220-2023</t>
        </is>
      </c>
      <c r="B81" s="1" t="n">
        <v>45219</v>
      </c>
      <c r="C81" s="1" t="n">
        <v>46076</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52124-2022</t>
        </is>
      </c>
      <c r="B82" s="1" t="n">
        <v>44868</v>
      </c>
      <c r="C82" s="1" t="n">
        <v>46076</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46076</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16260-2022</t>
        </is>
      </c>
      <c r="B84" s="1" t="n">
        <v>44670</v>
      </c>
      <c r="C84" s="1" t="n">
        <v>46076</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52360-2024</t>
        </is>
      </c>
      <c r="B85" s="1" t="n">
        <v>45609.37094907407</v>
      </c>
      <c r="C85" s="1" t="n">
        <v>46076</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1547-2022</t>
        </is>
      </c>
      <c r="B86" s="1" t="n">
        <v>44573</v>
      </c>
      <c r="C86" s="1" t="n">
        <v>46076</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46076</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46076</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46076</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46076</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11429-2023</t>
        </is>
      </c>
      <c r="B91" s="1" t="n">
        <v>44993</v>
      </c>
      <c r="C91" s="1" t="n">
        <v>46076</v>
      </c>
      <c r="D91" t="inlineStr">
        <is>
          <t>STOCKHOLMS LÄN</t>
        </is>
      </c>
      <c r="E91" t="inlineStr">
        <is>
          <t>NORRTÄLJE</t>
        </is>
      </c>
      <c r="G91" t="n">
        <v>2</v>
      </c>
      <c r="H91" t="n">
        <v>0</v>
      </c>
      <c r="I91" t="n">
        <v>0</v>
      </c>
      <c r="J91" t="n">
        <v>1</v>
      </c>
      <c r="K91" t="n">
        <v>0</v>
      </c>
      <c r="L91" t="n">
        <v>0</v>
      </c>
      <c r="M91" t="n">
        <v>0</v>
      </c>
      <c r="N91" t="n">
        <v>0</v>
      </c>
      <c r="O91" t="n">
        <v>1</v>
      </c>
      <c r="P91" t="n">
        <v>0</v>
      </c>
      <c r="Q91" t="n">
        <v>1</v>
      </c>
      <c r="R91" s="2" t="inlineStr">
        <is>
          <t>Skogsklocka</t>
        </is>
      </c>
      <c r="S91">
        <f>HYPERLINK("https://klasma.github.io/Logging_0188/artfynd/A 11429-2023 artfynd.xlsx", "A 11429-2023")</f>
        <v/>
      </c>
      <c r="T91">
        <f>HYPERLINK("https://klasma.github.io/Logging_0188/kartor/A 11429-2023 karta.png", "A 11429-2023")</f>
        <v/>
      </c>
      <c r="V91">
        <f>HYPERLINK("https://klasma.github.io/Logging_0188/klagomål/A 11429-2023 FSC-klagomål.docx", "A 11429-2023")</f>
        <v/>
      </c>
      <c r="W91">
        <f>HYPERLINK("https://klasma.github.io/Logging_0188/klagomålsmail/A 11429-2023 FSC-klagomål mail.docx", "A 11429-2023")</f>
        <v/>
      </c>
      <c r="X91">
        <f>HYPERLINK("https://klasma.github.io/Logging_0188/tillsyn/A 11429-2023 tillsynsbegäran.docx", "A 11429-2023")</f>
        <v/>
      </c>
      <c r="Y91">
        <f>HYPERLINK("https://klasma.github.io/Logging_0188/tillsynsmail/A 11429-2023 tillsynsbegäran mail.docx", "A 11429-2023")</f>
        <v/>
      </c>
    </row>
    <row r="92" ht="15" customHeight="1">
      <c r="A92" t="inlineStr">
        <is>
          <t>A 4595-2023</t>
        </is>
      </c>
      <c r="B92" s="1" t="n">
        <v>44956</v>
      </c>
      <c r="C92" s="1" t="n">
        <v>46076</v>
      </c>
      <c r="D92" t="inlineStr">
        <is>
          <t>STOCKHOLMS LÄN</t>
        </is>
      </c>
      <c r="E92" t="inlineStr">
        <is>
          <t>NORRTÄLJE</t>
        </is>
      </c>
      <c r="G92" t="n">
        <v>0.6</v>
      </c>
      <c r="H92" t="n">
        <v>1</v>
      </c>
      <c r="I92" t="n">
        <v>0</v>
      </c>
      <c r="J92" t="n">
        <v>0</v>
      </c>
      <c r="K92" t="n">
        <v>0</v>
      </c>
      <c r="L92" t="n">
        <v>0</v>
      </c>
      <c r="M92" t="n">
        <v>0</v>
      </c>
      <c r="N92" t="n">
        <v>0</v>
      </c>
      <c r="O92" t="n">
        <v>0</v>
      </c>
      <c r="P92" t="n">
        <v>0</v>
      </c>
      <c r="Q92" t="n">
        <v>1</v>
      </c>
      <c r="R92" s="2" t="inlineStr">
        <is>
          <t>Blåsippa</t>
        </is>
      </c>
      <c r="S92">
        <f>HYPERLINK("https://klasma.github.io/Logging_0188/artfynd/A 4595-2023 artfynd.xlsx", "A 4595-2023")</f>
        <v/>
      </c>
      <c r="T92">
        <f>HYPERLINK("https://klasma.github.io/Logging_0188/kartor/A 4595-2023 karta.png", "A 4595-2023")</f>
        <v/>
      </c>
      <c r="V92">
        <f>HYPERLINK("https://klasma.github.io/Logging_0188/klagomål/A 4595-2023 FSC-klagomål.docx", "A 4595-2023")</f>
        <v/>
      </c>
      <c r="W92">
        <f>HYPERLINK("https://klasma.github.io/Logging_0188/klagomålsmail/A 4595-2023 FSC-klagomål mail.docx", "A 4595-2023")</f>
        <v/>
      </c>
      <c r="X92">
        <f>HYPERLINK("https://klasma.github.io/Logging_0188/tillsyn/A 4595-2023 tillsynsbegäran.docx", "A 4595-2023")</f>
        <v/>
      </c>
      <c r="Y92">
        <f>HYPERLINK("https://klasma.github.io/Logging_0188/tillsynsmail/A 4595-2023 tillsynsbegäran mail.docx", "A 4595-2023")</f>
        <v/>
      </c>
    </row>
    <row r="93" ht="15" customHeight="1">
      <c r="A93" t="inlineStr">
        <is>
          <t>A 24535-2023</t>
        </is>
      </c>
      <c r="B93" s="1" t="n">
        <v>45082</v>
      </c>
      <c r="C93" s="1" t="n">
        <v>46076</v>
      </c>
      <c r="D93" t="inlineStr">
        <is>
          <t>STOCKHOLMS LÄN</t>
        </is>
      </c>
      <c r="E93" t="inlineStr">
        <is>
          <t>NORRTÄLJE</t>
        </is>
      </c>
      <c r="F93" t="inlineStr">
        <is>
          <t>Kommuner</t>
        </is>
      </c>
      <c r="G93" t="n">
        <v>2</v>
      </c>
      <c r="H93" t="n">
        <v>1</v>
      </c>
      <c r="I93" t="n">
        <v>0</v>
      </c>
      <c r="J93" t="n">
        <v>0</v>
      </c>
      <c r="K93" t="n">
        <v>0</v>
      </c>
      <c r="L93" t="n">
        <v>0</v>
      </c>
      <c r="M93" t="n">
        <v>0</v>
      </c>
      <c r="N93" t="n">
        <v>0</v>
      </c>
      <c r="O93" t="n">
        <v>0</v>
      </c>
      <c r="P93" t="n">
        <v>0</v>
      </c>
      <c r="Q93" t="n">
        <v>1</v>
      </c>
      <c r="R93" s="2" t="inlineStr">
        <is>
          <t>Blåsippa</t>
        </is>
      </c>
      <c r="S93">
        <f>HYPERLINK("https://klasma.github.io/Logging_0188/artfynd/A 24535-2023 artfynd.xlsx", "A 24535-2023")</f>
        <v/>
      </c>
      <c r="T93">
        <f>HYPERLINK("https://klasma.github.io/Logging_0188/kartor/A 24535-2023 karta.png", "A 24535-2023")</f>
        <v/>
      </c>
      <c r="V93">
        <f>HYPERLINK("https://klasma.github.io/Logging_0188/klagomål/A 24535-2023 FSC-klagomål.docx", "A 24535-2023")</f>
        <v/>
      </c>
      <c r="W93">
        <f>HYPERLINK("https://klasma.github.io/Logging_0188/klagomålsmail/A 24535-2023 FSC-klagomål mail.docx", "A 24535-2023")</f>
        <v/>
      </c>
      <c r="X93">
        <f>HYPERLINK("https://klasma.github.io/Logging_0188/tillsyn/A 24535-2023 tillsynsbegäran.docx", "A 24535-2023")</f>
        <v/>
      </c>
      <c r="Y93">
        <f>HYPERLINK("https://klasma.github.io/Logging_0188/tillsynsmail/A 24535-2023 tillsynsbegäran mail.docx", "A 24535-2023")</f>
        <v/>
      </c>
    </row>
    <row r="94" ht="15" customHeight="1">
      <c r="A94" t="inlineStr">
        <is>
          <t>A 4532-2025</t>
        </is>
      </c>
      <c r="B94" s="1" t="n">
        <v>45687.34177083334</v>
      </c>
      <c r="C94" s="1" t="n">
        <v>46076</v>
      </c>
      <c r="D94" t="inlineStr">
        <is>
          <t>STOCKHOLMS LÄN</t>
        </is>
      </c>
      <c r="E94" t="inlineStr">
        <is>
          <t>NORRTÄLJE</t>
        </is>
      </c>
      <c r="F94" t="inlineStr">
        <is>
          <t>Holmen skog AB</t>
        </is>
      </c>
      <c r="G94" t="n">
        <v>6.4</v>
      </c>
      <c r="H94" t="n">
        <v>1</v>
      </c>
      <c r="I94" t="n">
        <v>0</v>
      </c>
      <c r="J94" t="n">
        <v>0</v>
      </c>
      <c r="K94" t="n">
        <v>0</v>
      </c>
      <c r="L94" t="n">
        <v>1</v>
      </c>
      <c r="M94" t="n">
        <v>0</v>
      </c>
      <c r="N94" t="n">
        <v>0</v>
      </c>
      <c r="O94" t="n">
        <v>1</v>
      </c>
      <c r="P94" t="n">
        <v>1</v>
      </c>
      <c r="Q94" t="n">
        <v>1</v>
      </c>
      <c r="R94" s="2" t="inlineStr">
        <is>
          <t>Asknätfjäril</t>
        </is>
      </c>
      <c r="S94">
        <f>HYPERLINK("https://klasma.github.io/Logging_0188/artfynd/A 4532-2025 artfynd.xlsx", "A 4532-2025")</f>
        <v/>
      </c>
      <c r="T94">
        <f>HYPERLINK("https://klasma.github.io/Logging_0188/kartor/A 4532-2025 karta.png", "A 4532-2025")</f>
        <v/>
      </c>
      <c r="V94">
        <f>HYPERLINK("https://klasma.github.io/Logging_0188/klagomål/A 4532-2025 FSC-klagomål.docx", "A 4532-2025")</f>
        <v/>
      </c>
      <c r="W94">
        <f>HYPERLINK("https://klasma.github.io/Logging_0188/klagomålsmail/A 4532-2025 FSC-klagomål mail.docx", "A 4532-2025")</f>
        <v/>
      </c>
      <c r="X94">
        <f>HYPERLINK("https://klasma.github.io/Logging_0188/tillsyn/A 4532-2025 tillsynsbegäran.docx", "A 4532-2025")</f>
        <v/>
      </c>
      <c r="Y94">
        <f>HYPERLINK("https://klasma.github.io/Logging_0188/tillsynsmail/A 4532-2025 tillsynsbegäran mail.docx", "A 4532-2025")</f>
        <v/>
      </c>
    </row>
    <row r="95" ht="15" customHeight="1">
      <c r="A95" t="inlineStr">
        <is>
          <t>A 35691-2023</t>
        </is>
      </c>
      <c r="B95" s="1" t="n">
        <v>45147.65222222222</v>
      </c>
      <c r="C95" s="1" t="n">
        <v>46076</v>
      </c>
      <c r="D95" t="inlineStr">
        <is>
          <t>STOCKHOLMS LÄN</t>
        </is>
      </c>
      <c r="E95" t="inlineStr">
        <is>
          <t>NORRTÄLJE</t>
        </is>
      </c>
      <c r="G95" t="n">
        <v>2.3</v>
      </c>
      <c r="H95" t="n">
        <v>1</v>
      </c>
      <c r="I95" t="n">
        <v>0</v>
      </c>
      <c r="J95" t="n">
        <v>0</v>
      </c>
      <c r="K95" t="n">
        <v>0</v>
      </c>
      <c r="L95" t="n">
        <v>0</v>
      </c>
      <c r="M95" t="n">
        <v>0</v>
      </c>
      <c r="N95" t="n">
        <v>0</v>
      </c>
      <c r="O95" t="n">
        <v>0</v>
      </c>
      <c r="P95" t="n">
        <v>0</v>
      </c>
      <c r="Q95" t="n">
        <v>1</v>
      </c>
      <c r="R95" s="2" t="inlineStr">
        <is>
          <t>Kungsfågel</t>
        </is>
      </c>
      <c r="S95">
        <f>HYPERLINK("https://klasma.github.io/Logging_0188/artfynd/A 35691-2023 artfynd.xlsx", "A 35691-2023")</f>
        <v/>
      </c>
      <c r="T95">
        <f>HYPERLINK("https://klasma.github.io/Logging_0188/kartor/A 35691-2023 karta.png", "A 35691-2023")</f>
        <v/>
      </c>
      <c r="V95">
        <f>HYPERLINK("https://klasma.github.io/Logging_0188/klagomål/A 35691-2023 FSC-klagomål.docx", "A 35691-2023")</f>
        <v/>
      </c>
      <c r="W95">
        <f>HYPERLINK("https://klasma.github.io/Logging_0188/klagomålsmail/A 35691-2023 FSC-klagomål mail.docx", "A 35691-2023")</f>
        <v/>
      </c>
      <c r="X95">
        <f>HYPERLINK("https://klasma.github.io/Logging_0188/tillsyn/A 35691-2023 tillsynsbegäran.docx", "A 35691-2023")</f>
        <v/>
      </c>
      <c r="Y95">
        <f>HYPERLINK("https://klasma.github.io/Logging_0188/tillsynsmail/A 35691-2023 tillsynsbegäran mail.docx", "A 35691-2023")</f>
        <v/>
      </c>
      <c r="Z95">
        <f>HYPERLINK("https://klasma.github.io/Logging_0188/fåglar/A 35691-2023 prioriterade fågelarter.docx", "A 35691-2023")</f>
        <v/>
      </c>
    </row>
    <row r="96" ht="15" customHeight="1">
      <c r="A96" t="inlineStr">
        <is>
          <t>A 35693-2023</t>
        </is>
      </c>
      <c r="B96" s="1" t="n">
        <v>45147.65311342593</v>
      </c>
      <c r="C96" s="1" t="n">
        <v>46076</v>
      </c>
      <c r="D96" t="inlineStr">
        <is>
          <t>STOCKHOLMS LÄN</t>
        </is>
      </c>
      <c r="E96" t="inlineStr">
        <is>
          <t>NORRTÄLJE</t>
        </is>
      </c>
      <c r="G96" t="n">
        <v>2.2</v>
      </c>
      <c r="H96" t="n">
        <v>0</v>
      </c>
      <c r="I96" t="n">
        <v>0</v>
      </c>
      <c r="J96" t="n">
        <v>1</v>
      </c>
      <c r="K96" t="n">
        <v>0</v>
      </c>
      <c r="L96" t="n">
        <v>0</v>
      </c>
      <c r="M96" t="n">
        <v>0</v>
      </c>
      <c r="N96" t="n">
        <v>0</v>
      </c>
      <c r="O96" t="n">
        <v>1</v>
      </c>
      <c r="P96" t="n">
        <v>0</v>
      </c>
      <c r="Q96" t="n">
        <v>1</v>
      </c>
      <c r="R96" s="2" t="inlineStr">
        <is>
          <t>Motaggsvamp</t>
        </is>
      </c>
      <c r="S96">
        <f>HYPERLINK("https://klasma.github.io/Logging_0188/artfynd/A 35693-2023 artfynd.xlsx", "A 35693-2023")</f>
        <v/>
      </c>
      <c r="T96">
        <f>HYPERLINK("https://klasma.github.io/Logging_0188/kartor/A 35693-2023 karta.png", "A 35693-2023")</f>
        <v/>
      </c>
      <c r="V96">
        <f>HYPERLINK("https://klasma.github.io/Logging_0188/klagomål/A 35693-2023 FSC-klagomål.docx", "A 35693-2023")</f>
        <v/>
      </c>
      <c r="W96">
        <f>HYPERLINK("https://klasma.github.io/Logging_0188/klagomålsmail/A 35693-2023 FSC-klagomål mail.docx", "A 35693-2023")</f>
        <v/>
      </c>
      <c r="X96">
        <f>HYPERLINK("https://klasma.github.io/Logging_0188/tillsyn/A 35693-2023 tillsynsbegäran.docx", "A 35693-2023")</f>
        <v/>
      </c>
      <c r="Y96">
        <f>HYPERLINK("https://klasma.github.io/Logging_0188/tillsynsmail/A 35693-2023 tillsynsbegäran mail.docx", "A 35693-2023")</f>
        <v/>
      </c>
    </row>
    <row r="97" ht="15" customHeight="1">
      <c r="A97" t="inlineStr">
        <is>
          <t>A 6381-2023</t>
        </is>
      </c>
      <c r="B97" s="1" t="n">
        <v>44965</v>
      </c>
      <c r="C97" s="1" t="n">
        <v>46076</v>
      </c>
      <c r="D97" t="inlineStr">
        <is>
          <t>STOCKHOLMS LÄN</t>
        </is>
      </c>
      <c r="E97" t="inlineStr">
        <is>
          <t>NORRTÄLJE</t>
        </is>
      </c>
      <c r="G97" t="n">
        <v>3.5</v>
      </c>
      <c r="H97" t="n">
        <v>1</v>
      </c>
      <c r="I97" t="n">
        <v>1</v>
      </c>
      <c r="J97" t="n">
        <v>0</v>
      </c>
      <c r="K97" t="n">
        <v>0</v>
      </c>
      <c r="L97" t="n">
        <v>0</v>
      </c>
      <c r="M97" t="n">
        <v>0</v>
      </c>
      <c r="N97" t="n">
        <v>0</v>
      </c>
      <c r="O97" t="n">
        <v>0</v>
      </c>
      <c r="P97" t="n">
        <v>0</v>
      </c>
      <c r="Q97" t="n">
        <v>1</v>
      </c>
      <c r="R97" s="2" t="inlineStr">
        <is>
          <t>Guckusko</t>
        </is>
      </c>
      <c r="S97">
        <f>HYPERLINK("https://klasma.github.io/Logging_0188/artfynd/A 6381-2023 artfynd.xlsx", "A 6381-2023")</f>
        <v/>
      </c>
      <c r="T97">
        <f>HYPERLINK("https://klasma.github.io/Logging_0188/kartor/A 6381-2023 karta.png", "A 6381-2023")</f>
        <v/>
      </c>
      <c r="V97">
        <f>HYPERLINK("https://klasma.github.io/Logging_0188/klagomål/A 6381-2023 FSC-klagomål.docx", "A 6381-2023")</f>
        <v/>
      </c>
      <c r="W97">
        <f>HYPERLINK("https://klasma.github.io/Logging_0188/klagomålsmail/A 6381-2023 FSC-klagomål mail.docx", "A 6381-2023")</f>
        <v/>
      </c>
      <c r="X97">
        <f>HYPERLINK("https://klasma.github.io/Logging_0188/tillsyn/A 6381-2023 tillsynsbegäran.docx", "A 6381-2023")</f>
        <v/>
      </c>
      <c r="Y97">
        <f>HYPERLINK("https://klasma.github.io/Logging_0188/tillsynsmail/A 6381-2023 tillsynsbegäran mail.docx", "A 6381-2023")</f>
        <v/>
      </c>
    </row>
    <row r="98" ht="15" customHeight="1">
      <c r="A98" t="inlineStr">
        <is>
          <t>A 50854-2022</t>
        </is>
      </c>
      <c r="B98" s="1" t="n">
        <v>44863</v>
      </c>
      <c r="C98" s="1" t="n">
        <v>46076</v>
      </c>
      <c r="D98" t="inlineStr">
        <is>
          <t>STOCKHOLMS LÄN</t>
        </is>
      </c>
      <c r="E98" t="inlineStr">
        <is>
          <t>NORRTÄLJE</t>
        </is>
      </c>
      <c r="G98" t="n">
        <v>2.9</v>
      </c>
      <c r="H98" t="n">
        <v>0</v>
      </c>
      <c r="I98" t="n">
        <v>1</v>
      </c>
      <c r="J98" t="n">
        <v>0</v>
      </c>
      <c r="K98" t="n">
        <v>0</v>
      </c>
      <c r="L98" t="n">
        <v>0</v>
      </c>
      <c r="M98" t="n">
        <v>0</v>
      </c>
      <c r="N98" t="n">
        <v>0</v>
      </c>
      <c r="O98" t="n">
        <v>0</v>
      </c>
      <c r="P98" t="n">
        <v>0</v>
      </c>
      <c r="Q98" t="n">
        <v>1</v>
      </c>
      <c r="R98" s="2" t="inlineStr">
        <is>
          <t>Tibast</t>
        </is>
      </c>
      <c r="S98">
        <f>HYPERLINK("https://klasma.github.io/Logging_0188/artfynd/A 50854-2022 artfynd.xlsx", "A 50854-2022")</f>
        <v/>
      </c>
      <c r="T98">
        <f>HYPERLINK("https://klasma.github.io/Logging_0188/kartor/A 50854-2022 karta.png", "A 50854-2022")</f>
        <v/>
      </c>
      <c r="V98">
        <f>HYPERLINK("https://klasma.github.io/Logging_0188/klagomål/A 50854-2022 FSC-klagomål.docx", "A 50854-2022")</f>
        <v/>
      </c>
      <c r="W98">
        <f>HYPERLINK("https://klasma.github.io/Logging_0188/klagomålsmail/A 50854-2022 FSC-klagomål mail.docx", "A 50854-2022")</f>
        <v/>
      </c>
      <c r="X98">
        <f>HYPERLINK("https://klasma.github.io/Logging_0188/tillsyn/A 50854-2022 tillsynsbegäran.docx", "A 50854-2022")</f>
        <v/>
      </c>
      <c r="Y98">
        <f>HYPERLINK("https://klasma.github.io/Logging_0188/tillsynsmail/A 50854-2022 tillsynsbegäran mail.docx", "A 50854-2022")</f>
        <v/>
      </c>
    </row>
    <row r="99" ht="15" customHeight="1">
      <c r="A99" t="inlineStr">
        <is>
          <t>A 29946-2025</t>
        </is>
      </c>
      <c r="B99" s="1" t="n">
        <v>45826.46392361111</v>
      </c>
      <c r="C99" s="1" t="n">
        <v>46076</v>
      </c>
      <c r="D99" t="inlineStr">
        <is>
          <t>STOCKHOLMS LÄN</t>
        </is>
      </c>
      <c r="E99" t="inlineStr">
        <is>
          <t>NORRTÄLJE</t>
        </is>
      </c>
      <c r="F99" t="inlineStr">
        <is>
          <t>Holmen skog AB</t>
        </is>
      </c>
      <c r="G99" t="n">
        <v>3.6</v>
      </c>
      <c r="H99" t="n">
        <v>1</v>
      </c>
      <c r="I99" t="n">
        <v>0</v>
      </c>
      <c r="J99" t="n">
        <v>0</v>
      </c>
      <c r="K99" t="n">
        <v>0</v>
      </c>
      <c r="L99" t="n">
        <v>1</v>
      </c>
      <c r="M99" t="n">
        <v>0</v>
      </c>
      <c r="N99" t="n">
        <v>0</v>
      </c>
      <c r="O99" t="n">
        <v>1</v>
      </c>
      <c r="P99" t="n">
        <v>1</v>
      </c>
      <c r="Q99" t="n">
        <v>1</v>
      </c>
      <c r="R99" s="2" t="inlineStr">
        <is>
          <t>Asknätfjäril</t>
        </is>
      </c>
      <c r="S99">
        <f>HYPERLINK("https://klasma.github.io/Logging_0188/artfynd/A 29946-2025 artfynd.xlsx", "A 29946-2025")</f>
        <v/>
      </c>
      <c r="T99">
        <f>HYPERLINK("https://klasma.github.io/Logging_0188/kartor/A 29946-2025 karta.png", "A 29946-2025")</f>
        <v/>
      </c>
      <c r="V99">
        <f>HYPERLINK("https://klasma.github.io/Logging_0188/klagomål/A 29946-2025 FSC-klagomål.docx", "A 29946-2025")</f>
        <v/>
      </c>
      <c r="W99">
        <f>HYPERLINK("https://klasma.github.io/Logging_0188/klagomålsmail/A 29946-2025 FSC-klagomål mail.docx", "A 29946-2025")</f>
        <v/>
      </c>
      <c r="X99">
        <f>HYPERLINK("https://klasma.github.io/Logging_0188/tillsyn/A 29946-2025 tillsynsbegäran.docx", "A 29946-2025")</f>
        <v/>
      </c>
      <c r="Y99">
        <f>HYPERLINK("https://klasma.github.io/Logging_0188/tillsynsmail/A 29946-2025 tillsynsbegäran mail.docx", "A 29946-2025")</f>
        <v/>
      </c>
    </row>
    <row r="100" ht="15" customHeight="1">
      <c r="A100" t="inlineStr">
        <is>
          <t>A 40861-2025</t>
        </is>
      </c>
      <c r="B100" s="1" t="n">
        <v>45897.56356481482</v>
      </c>
      <c r="C100" s="1" t="n">
        <v>46076</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46076</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26120-2024</t>
        </is>
      </c>
      <c r="B102" s="1" t="n">
        <v>45468.45995370371</v>
      </c>
      <c r="C102" s="1" t="n">
        <v>46076</v>
      </c>
      <c r="D102" t="inlineStr">
        <is>
          <t>STOCKHOLMS LÄN</t>
        </is>
      </c>
      <c r="E102" t="inlineStr">
        <is>
          <t>NORRTÄLJE</t>
        </is>
      </c>
      <c r="G102" t="n">
        <v>1.8</v>
      </c>
      <c r="H102" t="n">
        <v>0</v>
      </c>
      <c r="I102" t="n">
        <v>0</v>
      </c>
      <c r="J102" t="n">
        <v>1</v>
      </c>
      <c r="K102" t="n">
        <v>0</v>
      </c>
      <c r="L102" t="n">
        <v>0</v>
      </c>
      <c r="M102" t="n">
        <v>0</v>
      </c>
      <c r="N102" t="n">
        <v>0</v>
      </c>
      <c r="O102" t="n">
        <v>1</v>
      </c>
      <c r="P102" t="n">
        <v>0</v>
      </c>
      <c r="Q102" t="n">
        <v>1</v>
      </c>
      <c r="R102" s="2" t="inlineStr">
        <is>
          <t>Majviva</t>
        </is>
      </c>
      <c r="S102">
        <f>HYPERLINK("https://klasma.github.io/Logging_0188/artfynd/A 26120-2024 artfynd.xlsx", "A 26120-2024")</f>
        <v/>
      </c>
      <c r="T102">
        <f>HYPERLINK("https://klasma.github.io/Logging_0188/kartor/A 26120-2024 karta.png", "A 26120-2024")</f>
        <v/>
      </c>
      <c r="V102">
        <f>HYPERLINK("https://klasma.github.io/Logging_0188/klagomål/A 26120-2024 FSC-klagomål.docx", "A 26120-2024")</f>
        <v/>
      </c>
      <c r="W102">
        <f>HYPERLINK("https://klasma.github.io/Logging_0188/klagomålsmail/A 26120-2024 FSC-klagomål mail.docx", "A 26120-2024")</f>
        <v/>
      </c>
      <c r="X102">
        <f>HYPERLINK("https://klasma.github.io/Logging_0188/tillsyn/A 26120-2024 tillsynsbegäran.docx", "A 26120-2024")</f>
        <v/>
      </c>
      <c r="Y102">
        <f>HYPERLINK("https://klasma.github.io/Logging_0188/tillsynsmail/A 26120-2024 tillsynsbegäran mail.docx", "A 26120-2024")</f>
        <v/>
      </c>
    </row>
    <row r="103" ht="15" customHeight="1">
      <c r="A103" t="inlineStr">
        <is>
          <t>A 42313-2025</t>
        </is>
      </c>
      <c r="B103" s="1" t="n">
        <v>45904.6575</v>
      </c>
      <c r="C103" s="1" t="n">
        <v>46076</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13291-2025</t>
        </is>
      </c>
      <c r="B104" s="1" t="n">
        <v>45735</v>
      </c>
      <c r="C104" s="1" t="n">
        <v>46076</v>
      </c>
      <c r="D104" t="inlineStr">
        <is>
          <t>STOCKHOLMS LÄN</t>
        </is>
      </c>
      <c r="E104" t="inlineStr">
        <is>
          <t>NORRTÄLJE</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HYPERLINK("https://klasma.github.io/Logging_0188/artfynd/A 13291-2025 artfynd.xlsx", "A 13291-2025")</f>
        <v/>
      </c>
      <c r="T104">
        <f>HYPERLINK("https://klasma.github.io/Logging_0188/kartor/A 13291-2025 karta.png", "A 13291-2025")</f>
        <v/>
      </c>
      <c r="V104">
        <f>HYPERLINK("https://klasma.github.io/Logging_0188/klagomål/A 13291-2025 FSC-klagomål.docx", "A 13291-2025")</f>
        <v/>
      </c>
      <c r="W104">
        <f>HYPERLINK("https://klasma.github.io/Logging_0188/klagomålsmail/A 13291-2025 FSC-klagomål mail.docx", "A 13291-2025")</f>
        <v/>
      </c>
      <c r="X104">
        <f>HYPERLINK("https://klasma.github.io/Logging_0188/tillsyn/A 13291-2025 tillsynsbegäran.docx", "A 13291-2025")</f>
        <v/>
      </c>
      <c r="Y104">
        <f>HYPERLINK("https://klasma.github.io/Logging_0188/tillsynsmail/A 13291-2025 tillsynsbegäran mail.docx", "A 13291-2025")</f>
        <v/>
      </c>
    </row>
    <row r="105" ht="15" customHeight="1">
      <c r="A105" t="inlineStr">
        <is>
          <t>A 33548-2025</t>
        </is>
      </c>
      <c r="B105" s="1" t="n">
        <v>45841.5721875</v>
      </c>
      <c r="C105" s="1" t="n">
        <v>46076</v>
      </c>
      <c r="D105" t="inlineStr">
        <is>
          <t>STOCKHOLMS LÄN</t>
        </is>
      </c>
      <c r="E105" t="inlineStr">
        <is>
          <t>NORRTÄLJE</t>
        </is>
      </c>
      <c r="G105" t="n">
        <v>12.2</v>
      </c>
      <c r="H105" t="n">
        <v>0</v>
      </c>
      <c r="I105" t="n">
        <v>0</v>
      </c>
      <c r="J105" t="n">
        <v>1</v>
      </c>
      <c r="K105" t="n">
        <v>0</v>
      </c>
      <c r="L105" t="n">
        <v>0</v>
      </c>
      <c r="M105" t="n">
        <v>0</v>
      </c>
      <c r="N105" t="n">
        <v>0</v>
      </c>
      <c r="O105" t="n">
        <v>1</v>
      </c>
      <c r="P105" t="n">
        <v>0</v>
      </c>
      <c r="Q105" t="n">
        <v>1</v>
      </c>
      <c r="R105" s="2" t="inlineStr">
        <is>
          <t>Dofttaggsvamp</t>
        </is>
      </c>
      <c r="S105">
        <f>HYPERLINK("https://klasma.github.io/Logging_0188/artfynd/A 33548-2025 artfynd.xlsx", "A 33548-2025")</f>
        <v/>
      </c>
      <c r="T105">
        <f>HYPERLINK("https://klasma.github.io/Logging_0188/kartor/A 33548-2025 karta.png", "A 33548-2025")</f>
        <v/>
      </c>
      <c r="V105">
        <f>HYPERLINK("https://klasma.github.io/Logging_0188/klagomål/A 33548-2025 FSC-klagomål.docx", "A 33548-2025")</f>
        <v/>
      </c>
      <c r="W105">
        <f>HYPERLINK("https://klasma.github.io/Logging_0188/klagomålsmail/A 33548-2025 FSC-klagomål mail.docx", "A 33548-2025")</f>
        <v/>
      </c>
      <c r="X105">
        <f>HYPERLINK("https://klasma.github.io/Logging_0188/tillsyn/A 33548-2025 tillsynsbegäran.docx", "A 33548-2025")</f>
        <v/>
      </c>
      <c r="Y105">
        <f>HYPERLINK("https://klasma.github.io/Logging_0188/tillsynsmail/A 33548-2025 tillsynsbegäran mail.docx", "A 33548-2025")</f>
        <v/>
      </c>
    </row>
    <row r="106" ht="15" customHeight="1">
      <c r="A106" t="inlineStr">
        <is>
          <t>A 33546-2025</t>
        </is>
      </c>
      <c r="B106" s="1" t="n">
        <v>45841.56996527778</v>
      </c>
      <c r="C106" s="1" t="n">
        <v>46076</v>
      </c>
      <c r="D106" t="inlineStr">
        <is>
          <t>STOCKHOLMS LÄN</t>
        </is>
      </c>
      <c r="E106" t="inlineStr">
        <is>
          <t>NORRTÄLJE</t>
        </is>
      </c>
      <c r="G106" t="n">
        <v>7.2</v>
      </c>
      <c r="H106" t="n">
        <v>1</v>
      </c>
      <c r="I106" t="n">
        <v>1</v>
      </c>
      <c r="J106" t="n">
        <v>0</v>
      </c>
      <c r="K106" t="n">
        <v>0</v>
      </c>
      <c r="L106" t="n">
        <v>0</v>
      </c>
      <c r="M106" t="n">
        <v>0</v>
      </c>
      <c r="N106" t="n">
        <v>0</v>
      </c>
      <c r="O106" t="n">
        <v>0</v>
      </c>
      <c r="P106" t="n">
        <v>0</v>
      </c>
      <c r="Q106" t="n">
        <v>1</v>
      </c>
      <c r="R106" s="2" t="inlineStr">
        <is>
          <t>Nästrot</t>
        </is>
      </c>
      <c r="S106">
        <f>HYPERLINK("https://klasma.github.io/Logging_0188/artfynd/A 33546-2025 artfynd.xlsx", "A 33546-2025")</f>
        <v/>
      </c>
      <c r="T106">
        <f>HYPERLINK("https://klasma.github.io/Logging_0188/kartor/A 33546-2025 karta.png", "A 33546-2025")</f>
        <v/>
      </c>
      <c r="V106">
        <f>HYPERLINK("https://klasma.github.io/Logging_0188/klagomål/A 33546-2025 FSC-klagomål.docx", "A 33546-2025")</f>
        <v/>
      </c>
      <c r="W106">
        <f>HYPERLINK("https://klasma.github.io/Logging_0188/klagomålsmail/A 33546-2025 FSC-klagomål mail.docx", "A 33546-2025")</f>
        <v/>
      </c>
      <c r="X106">
        <f>HYPERLINK("https://klasma.github.io/Logging_0188/tillsyn/A 33546-2025 tillsynsbegäran.docx", "A 33546-2025")</f>
        <v/>
      </c>
      <c r="Y106">
        <f>HYPERLINK("https://klasma.github.io/Logging_0188/tillsynsmail/A 33546-2025 tillsynsbegäran mail.docx", "A 33546-2025")</f>
        <v/>
      </c>
    </row>
    <row r="107" ht="15" customHeight="1">
      <c r="A107" t="inlineStr">
        <is>
          <t>A 64456-2023</t>
        </is>
      </c>
      <c r="B107" s="1" t="n">
        <v>45280</v>
      </c>
      <c r="C107" s="1" t="n">
        <v>46076</v>
      </c>
      <c r="D107" t="inlineStr">
        <is>
          <t>STOCKHOLMS LÄN</t>
        </is>
      </c>
      <c r="E107" t="inlineStr">
        <is>
          <t>NORRTÄLJE</t>
        </is>
      </c>
      <c r="G107" t="n">
        <v>2.5</v>
      </c>
      <c r="H107" t="n">
        <v>0</v>
      </c>
      <c r="I107" t="n">
        <v>1</v>
      </c>
      <c r="J107" t="n">
        <v>0</v>
      </c>
      <c r="K107" t="n">
        <v>0</v>
      </c>
      <c r="L107" t="n">
        <v>0</v>
      </c>
      <c r="M107" t="n">
        <v>0</v>
      </c>
      <c r="N107" t="n">
        <v>0</v>
      </c>
      <c r="O107" t="n">
        <v>0</v>
      </c>
      <c r="P107" t="n">
        <v>0</v>
      </c>
      <c r="Q107" t="n">
        <v>1</v>
      </c>
      <c r="R107" s="2" t="inlineStr">
        <is>
          <t>Rödgul trumpetsvamp</t>
        </is>
      </c>
      <c r="S107">
        <f>HYPERLINK("https://klasma.github.io/Logging_0188/artfynd/A 64456-2023 artfynd.xlsx", "A 64456-2023")</f>
        <v/>
      </c>
      <c r="T107">
        <f>HYPERLINK("https://klasma.github.io/Logging_0188/kartor/A 64456-2023 karta.png", "A 64456-2023")</f>
        <v/>
      </c>
      <c r="V107">
        <f>HYPERLINK("https://klasma.github.io/Logging_0188/klagomål/A 64456-2023 FSC-klagomål.docx", "A 64456-2023")</f>
        <v/>
      </c>
      <c r="W107">
        <f>HYPERLINK("https://klasma.github.io/Logging_0188/klagomålsmail/A 64456-2023 FSC-klagomål mail.docx", "A 64456-2023")</f>
        <v/>
      </c>
      <c r="X107">
        <f>HYPERLINK("https://klasma.github.io/Logging_0188/tillsyn/A 64456-2023 tillsynsbegäran.docx", "A 64456-2023")</f>
        <v/>
      </c>
      <c r="Y107">
        <f>HYPERLINK("https://klasma.github.io/Logging_0188/tillsynsmail/A 64456-2023 tillsynsbegäran mail.docx", "A 64456-2023")</f>
        <v/>
      </c>
    </row>
    <row r="108" ht="15" customHeight="1">
      <c r="A108" t="inlineStr">
        <is>
          <t>A 39158-2025</t>
        </is>
      </c>
      <c r="B108" s="1" t="n">
        <v>45888</v>
      </c>
      <c r="C108" s="1" t="n">
        <v>46076</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8371-2025</t>
        </is>
      </c>
      <c r="B109" s="1" t="n">
        <v>45708</v>
      </c>
      <c r="C109" s="1" t="n">
        <v>46076</v>
      </c>
      <c r="D109" t="inlineStr">
        <is>
          <t>STOCKHOLMS LÄN</t>
        </is>
      </c>
      <c r="E109" t="inlineStr">
        <is>
          <t>NORRTÄLJE</t>
        </is>
      </c>
      <c r="F109" t="inlineStr">
        <is>
          <t>Övriga Aktiebolag</t>
        </is>
      </c>
      <c r="G109" t="n">
        <v>2.9</v>
      </c>
      <c r="H109" t="n">
        <v>1</v>
      </c>
      <c r="I109" t="n">
        <v>0</v>
      </c>
      <c r="J109" t="n">
        <v>1</v>
      </c>
      <c r="K109" t="n">
        <v>0</v>
      </c>
      <c r="L109" t="n">
        <v>0</v>
      </c>
      <c r="M109" t="n">
        <v>0</v>
      </c>
      <c r="N109" t="n">
        <v>0</v>
      </c>
      <c r="O109" t="n">
        <v>1</v>
      </c>
      <c r="P109" t="n">
        <v>0</v>
      </c>
      <c r="Q109" t="n">
        <v>1</v>
      </c>
      <c r="R109" s="2" t="inlineStr">
        <is>
          <t>Spillkråka</t>
        </is>
      </c>
      <c r="S109">
        <f>HYPERLINK("https://klasma.github.io/Logging_0188/artfynd/A 8371-2025 artfynd.xlsx", "A 8371-2025")</f>
        <v/>
      </c>
      <c r="T109">
        <f>HYPERLINK("https://klasma.github.io/Logging_0188/kartor/A 8371-2025 karta.png", "A 8371-2025")</f>
        <v/>
      </c>
      <c r="V109">
        <f>HYPERLINK("https://klasma.github.io/Logging_0188/klagomål/A 8371-2025 FSC-klagomål.docx", "A 8371-2025")</f>
        <v/>
      </c>
      <c r="W109">
        <f>HYPERLINK("https://klasma.github.io/Logging_0188/klagomålsmail/A 8371-2025 FSC-klagomål mail.docx", "A 8371-2025")</f>
        <v/>
      </c>
      <c r="X109">
        <f>HYPERLINK("https://klasma.github.io/Logging_0188/tillsyn/A 8371-2025 tillsynsbegäran.docx", "A 8371-2025")</f>
        <v/>
      </c>
      <c r="Y109">
        <f>HYPERLINK("https://klasma.github.io/Logging_0188/tillsynsmail/A 8371-2025 tillsynsbegäran mail.docx", "A 8371-2025")</f>
        <v/>
      </c>
      <c r="Z109">
        <f>HYPERLINK("https://klasma.github.io/Logging_0188/fåglar/A 8371-2025 prioriterade fågelarter.docx", "A 8371-2025")</f>
        <v/>
      </c>
    </row>
    <row r="110" ht="15" customHeight="1">
      <c r="A110" t="inlineStr">
        <is>
          <t>A 24330-2023</t>
        </is>
      </c>
      <c r="B110" s="1" t="n">
        <v>45081</v>
      </c>
      <c r="C110" s="1" t="n">
        <v>46076</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21744-2023</t>
        </is>
      </c>
      <c r="B111" s="1" t="n">
        <v>45065</v>
      </c>
      <c r="C111" s="1" t="n">
        <v>46076</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52611-2024</t>
        </is>
      </c>
      <c r="B112" s="1" t="n">
        <v>45609.83747685186</v>
      </c>
      <c r="C112" s="1" t="n">
        <v>46076</v>
      </c>
      <c r="D112" t="inlineStr">
        <is>
          <t>STOCKHOLMS LÄN</t>
        </is>
      </c>
      <c r="E112" t="inlineStr">
        <is>
          <t>NORRTÄLJE</t>
        </is>
      </c>
      <c r="G112" t="n">
        <v>10.6</v>
      </c>
      <c r="H112" t="n">
        <v>1</v>
      </c>
      <c r="I112" t="n">
        <v>0</v>
      </c>
      <c r="J112" t="n">
        <v>0</v>
      </c>
      <c r="K112" t="n">
        <v>0</v>
      </c>
      <c r="L112" t="n">
        <v>0</v>
      </c>
      <c r="M112" t="n">
        <v>0</v>
      </c>
      <c r="N112" t="n">
        <v>0</v>
      </c>
      <c r="O112" t="n">
        <v>0</v>
      </c>
      <c r="P112" t="n">
        <v>0</v>
      </c>
      <c r="Q112" t="n">
        <v>1</v>
      </c>
      <c r="R112" s="2" t="inlineStr">
        <is>
          <t>Blåsippa</t>
        </is>
      </c>
      <c r="S112">
        <f>HYPERLINK("https://klasma.github.io/Logging_0188/artfynd/A 52611-2024 artfynd.xlsx", "A 52611-2024")</f>
        <v/>
      </c>
      <c r="T112">
        <f>HYPERLINK("https://klasma.github.io/Logging_0188/kartor/A 52611-2024 karta.png", "A 52611-2024")</f>
        <v/>
      </c>
      <c r="V112">
        <f>HYPERLINK("https://klasma.github.io/Logging_0188/klagomål/A 52611-2024 FSC-klagomål.docx", "A 52611-2024")</f>
        <v/>
      </c>
      <c r="W112">
        <f>HYPERLINK("https://klasma.github.io/Logging_0188/klagomålsmail/A 52611-2024 FSC-klagomål mail.docx", "A 52611-2024")</f>
        <v/>
      </c>
      <c r="X112">
        <f>HYPERLINK("https://klasma.github.io/Logging_0188/tillsyn/A 52611-2024 tillsynsbegäran.docx", "A 52611-2024")</f>
        <v/>
      </c>
      <c r="Y112">
        <f>HYPERLINK("https://klasma.github.io/Logging_0188/tillsynsmail/A 52611-2024 tillsynsbegäran mail.docx", "A 52611-2024")</f>
        <v/>
      </c>
    </row>
    <row r="113" ht="15" customHeight="1">
      <c r="A113" t="inlineStr">
        <is>
          <t>A 52775-2025</t>
        </is>
      </c>
      <c r="B113" s="1" t="n">
        <v>45957.41608796296</v>
      </c>
      <c r="C113" s="1" t="n">
        <v>46076</v>
      </c>
      <c r="D113" t="inlineStr">
        <is>
          <t>STOCKHOLMS LÄN</t>
        </is>
      </c>
      <c r="E113" t="inlineStr">
        <is>
          <t>NORRTÄLJE</t>
        </is>
      </c>
      <c r="F113" t="inlineStr">
        <is>
          <t>Sveaskog</t>
        </is>
      </c>
      <c r="G113" t="n">
        <v>5.6</v>
      </c>
      <c r="H113" t="n">
        <v>0</v>
      </c>
      <c r="I113" t="n">
        <v>0</v>
      </c>
      <c r="J113" t="n">
        <v>1</v>
      </c>
      <c r="K113" t="n">
        <v>0</v>
      </c>
      <c r="L113" t="n">
        <v>0</v>
      </c>
      <c r="M113" t="n">
        <v>0</v>
      </c>
      <c r="N113" t="n">
        <v>0</v>
      </c>
      <c r="O113" t="n">
        <v>1</v>
      </c>
      <c r="P113" t="n">
        <v>0</v>
      </c>
      <c r="Q113" t="n">
        <v>1</v>
      </c>
      <c r="R113" s="2" t="inlineStr">
        <is>
          <t>Vedtrappmossa</t>
        </is>
      </c>
      <c r="S113">
        <f>HYPERLINK("https://klasma.github.io/Logging_0188/artfynd/A 52775-2025 artfynd.xlsx", "A 52775-2025")</f>
        <v/>
      </c>
      <c r="T113">
        <f>HYPERLINK("https://klasma.github.io/Logging_0188/kartor/A 52775-2025 karta.png", "A 52775-2025")</f>
        <v/>
      </c>
      <c r="V113">
        <f>HYPERLINK("https://klasma.github.io/Logging_0188/klagomål/A 52775-2025 FSC-klagomål.docx", "A 52775-2025")</f>
        <v/>
      </c>
      <c r="W113">
        <f>HYPERLINK("https://klasma.github.io/Logging_0188/klagomålsmail/A 52775-2025 FSC-klagomål mail.docx", "A 52775-2025")</f>
        <v/>
      </c>
      <c r="X113">
        <f>HYPERLINK("https://klasma.github.io/Logging_0188/tillsyn/A 52775-2025 tillsynsbegäran.docx", "A 52775-2025")</f>
        <v/>
      </c>
      <c r="Y113">
        <f>HYPERLINK("https://klasma.github.io/Logging_0188/tillsynsmail/A 52775-2025 tillsynsbegäran mail.docx", "A 52775-2025")</f>
        <v/>
      </c>
    </row>
    <row r="114" ht="15" customHeight="1">
      <c r="A114" t="inlineStr">
        <is>
          <t>A 53716-2025</t>
        </is>
      </c>
      <c r="B114" s="1" t="n">
        <v>45960.61782407408</v>
      </c>
      <c r="C114" s="1" t="n">
        <v>46076</v>
      </c>
      <c r="D114" t="inlineStr">
        <is>
          <t>STOCKHOLMS LÄN</t>
        </is>
      </c>
      <c r="E114" t="inlineStr">
        <is>
          <t>NORRTÄLJE</t>
        </is>
      </c>
      <c r="G114" t="n">
        <v>3.4</v>
      </c>
      <c r="H114" t="n">
        <v>0</v>
      </c>
      <c r="I114" t="n">
        <v>0</v>
      </c>
      <c r="J114" t="n">
        <v>0</v>
      </c>
      <c r="K114" t="n">
        <v>0</v>
      </c>
      <c r="L114" t="n">
        <v>1</v>
      </c>
      <c r="M114" t="n">
        <v>0</v>
      </c>
      <c r="N114" t="n">
        <v>0</v>
      </c>
      <c r="O114" t="n">
        <v>1</v>
      </c>
      <c r="P114" t="n">
        <v>1</v>
      </c>
      <c r="Q114" t="n">
        <v>1</v>
      </c>
      <c r="R114" s="2" t="inlineStr">
        <is>
          <t>Fältgentiana</t>
        </is>
      </c>
      <c r="S114">
        <f>HYPERLINK("https://klasma.github.io/Logging_0188/artfynd/A 53716-2025 artfynd.xlsx", "A 53716-2025")</f>
        <v/>
      </c>
      <c r="T114">
        <f>HYPERLINK("https://klasma.github.io/Logging_0188/kartor/A 53716-2025 karta.png", "A 53716-2025")</f>
        <v/>
      </c>
      <c r="V114">
        <f>HYPERLINK("https://klasma.github.io/Logging_0188/klagomål/A 53716-2025 FSC-klagomål.docx", "A 53716-2025")</f>
        <v/>
      </c>
      <c r="W114">
        <f>HYPERLINK("https://klasma.github.io/Logging_0188/klagomålsmail/A 53716-2025 FSC-klagomål mail.docx", "A 53716-2025")</f>
        <v/>
      </c>
      <c r="X114">
        <f>HYPERLINK("https://klasma.github.io/Logging_0188/tillsyn/A 53716-2025 tillsynsbegäran.docx", "A 53716-2025")</f>
        <v/>
      </c>
      <c r="Y114">
        <f>HYPERLINK("https://klasma.github.io/Logging_0188/tillsynsmail/A 53716-2025 tillsynsbegäran mail.docx", "A 53716-2025")</f>
        <v/>
      </c>
    </row>
    <row r="115" ht="15" customHeight="1">
      <c r="A115" t="inlineStr">
        <is>
          <t>A 16870-2025</t>
        </is>
      </c>
      <c r="B115" s="1" t="n">
        <v>45754</v>
      </c>
      <c r="C115" s="1" t="n">
        <v>46076</v>
      </c>
      <c r="D115" t="inlineStr">
        <is>
          <t>STOCKHOLMS LÄN</t>
        </is>
      </c>
      <c r="E115" t="inlineStr">
        <is>
          <t>NORRTÄLJE</t>
        </is>
      </c>
      <c r="G115" t="n">
        <v>24.6</v>
      </c>
      <c r="H115" t="n">
        <v>1</v>
      </c>
      <c r="I115" t="n">
        <v>0</v>
      </c>
      <c r="J115" t="n">
        <v>0</v>
      </c>
      <c r="K115" t="n">
        <v>0</v>
      </c>
      <c r="L115" t="n">
        <v>0</v>
      </c>
      <c r="M115" t="n">
        <v>0</v>
      </c>
      <c r="N115" t="n">
        <v>0</v>
      </c>
      <c r="O115" t="n">
        <v>0</v>
      </c>
      <c r="P115" t="n">
        <v>0</v>
      </c>
      <c r="Q115" t="n">
        <v>1</v>
      </c>
      <c r="R115" s="2" t="inlineStr">
        <is>
          <t>Vanlig groda</t>
        </is>
      </c>
      <c r="S115">
        <f>HYPERLINK("https://klasma.github.io/Logging_0188/artfynd/A 16870-2025 artfynd.xlsx", "A 16870-2025")</f>
        <v/>
      </c>
      <c r="T115">
        <f>HYPERLINK("https://klasma.github.io/Logging_0188/kartor/A 16870-2025 karta.png", "A 16870-2025")</f>
        <v/>
      </c>
      <c r="V115">
        <f>HYPERLINK("https://klasma.github.io/Logging_0188/klagomål/A 16870-2025 FSC-klagomål.docx", "A 16870-2025")</f>
        <v/>
      </c>
      <c r="W115">
        <f>HYPERLINK("https://klasma.github.io/Logging_0188/klagomålsmail/A 16870-2025 FSC-klagomål mail.docx", "A 16870-2025")</f>
        <v/>
      </c>
      <c r="X115">
        <f>HYPERLINK("https://klasma.github.io/Logging_0188/tillsyn/A 16870-2025 tillsynsbegäran.docx", "A 16870-2025")</f>
        <v/>
      </c>
      <c r="Y115">
        <f>HYPERLINK("https://klasma.github.io/Logging_0188/tillsynsmail/A 16870-2025 tillsynsbegäran mail.docx", "A 16870-2025")</f>
        <v/>
      </c>
    </row>
    <row r="116" ht="15" customHeight="1">
      <c r="A116" t="inlineStr">
        <is>
          <t>A 26635-2023</t>
        </is>
      </c>
      <c r="B116" s="1" t="n">
        <v>45092</v>
      </c>
      <c r="C116" s="1" t="n">
        <v>46076</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59682-2025</t>
        </is>
      </c>
      <c r="B117" s="1" t="n">
        <v>45992.47116898148</v>
      </c>
      <c r="C117" s="1" t="n">
        <v>46076</v>
      </c>
      <c r="D117" t="inlineStr">
        <is>
          <t>STOCKHOLMS LÄN</t>
        </is>
      </c>
      <c r="E117" t="inlineStr">
        <is>
          <t>NORRTÄLJE</t>
        </is>
      </c>
      <c r="G117" t="n">
        <v>1.6</v>
      </c>
      <c r="H117" t="n">
        <v>0</v>
      </c>
      <c r="I117" t="n">
        <v>1</v>
      </c>
      <c r="J117" t="n">
        <v>0</v>
      </c>
      <c r="K117" t="n">
        <v>0</v>
      </c>
      <c r="L117" t="n">
        <v>0</v>
      </c>
      <c r="M117" t="n">
        <v>0</v>
      </c>
      <c r="N117" t="n">
        <v>0</v>
      </c>
      <c r="O117" t="n">
        <v>0</v>
      </c>
      <c r="P117" t="n">
        <v>0</v>
      </c>
      <c r="Q117" t="n">
        <v>1</v>
      </c>
      <c r="R117" s="2" t="inlineStr">
        <is>
          <t>Grönpyrola</t>
        </is>
      </c>
      <c r="S117">
        <f>HYPERLINK("https://klasma.github.io/Logging_0188/artfynd/A 59682-2025 artfynd.xlsx", "A 59682-2025")</f>
        <v/>
      </c>
      <c r="T117">
        <f>HYPERLINK("https://klasma.github.io/Logging_0188/kartor/A 59682-2025 karta.png", "A 59682-2025")</f>
        <v/>
      </c>
      <c r="V117">
        <f>HYPERLINK("https://klasma.github.io/Logging_0188/klagomål/A 59682-2025 FSC-klagomål.docx", "A 59682-2025")</f>
        <v/>
      </c>
      <c r="W117">
        <f>HYPERLINK("https://klasma.github.io/Logging_0188/klagomålsmail/A 59682-2025 FSC-klagomål mail.docx", "A 59682-2025")</f>
        <v/>
      </c>
      <c r="X117">
        <f>HYPERLINK("https://klasma.github.io/Logging_0188/tillsyn/A 59682-2025 tillsynsbegäran.docx", "A 59682-2025")</f>
        <v/>
      </c>
      <c r="Y117">
        <f>HYPERLINK("https://klasma.github.io/Logging_0188/tillsynsmail/A 59682-2025 tillsynsbegäran mail.docx", "A 59682-2025")</f>
        <v/>
      </c>
    </row>
    <row r="118" ht="15" customHeight="1">
      <c r="A118" t="inlineStr">
        <is>
          <t>A 47898-2022</t>
        </is>
      </c>
      <c r="B118" s="1" t="n">
        <v>44855</v>
      </c>
      <c r="C118" s="1" t="n">
        <v>46076</v>
      </c>
      <c r="D118" t="inlineStr">
        <is>
          <t>STOCKHOLMS LÄN</t>
        </is>
      </c>
      <c r="E118" t="inlineStr">
        <is>
          <t>NORRTÄLJE</t>
        </is>
      </c>
      <c r="G118" t="n">
        <v>6.7</v>
      </c>
      <c r="H118" t="n">
        <v>1</v>
      </c>
      <c r="I118" t="n">
        <v>1</v>
      </c>
      <c r="J118" t="n">
        <v>0</v>
      </c>
      <c r="K118" t="n">
        <v>0</v>
      </c>
      <c r="L118" t="n">
        <v>0</v>
      </c>
      <c r="M118" t="n">
        <v>0</v>
      </c>
      <c r="N118" t="n">
        <v>0</v>
      </c>
      <c r="O118" t="n">
        <v>0</v>
      </c>
      <c r="P118" t="n">
        <v>0</v>
      </c>
      <c r="Q118" t="n">
        <v>1</v>
      </c>
      <c r="R118" s="2" t="inlineStr">
        <is>
          <t>Guckusko</t>
        </is>
      </c>
      <c r="S118">
        <f>HYPERLINK("https://klasma.github.io/Logging_0188/artfynd/A 47898-2022 artfynd.xlsx", "A 47898-2022")</f>
        <v/>
      </c>
      <c r="T118">
        <f>HYPERLINK("https://klasma.github.io/Logging_0188/kartor/A 47898-2022 karta.png", "A 47898-2022")</f>
        <v/>
      </c>
      <c r="V118">
        <f>HYPERLINK("https://klasma.github.io/Logging_0188/klagomål/A 47898-2022 FSC-klagomål.docx", "A 47898-2022")</f>
        <v/>
      </c>
      <c r="W118">
        <f>HYPERLINK("https://klasma.github.io/Logging_0188/klagomålsmail/A 47898-2022 FSC-klagomål mail.docx", "A 47898-2022")</f>
        <v/>
      </c>
      <c r="X118">
        <f>HYPERLINK("https://klasma.github.io/Logging_0188/tillsyn/A 47898-2022 tillsynsbegäran.docx", "A 47898-2022")</f>
        <v/>
      </c>
      <c r="Y118">
        <f>HYPERLINK("https://klasma.github.io/Logging_0188/tillsynsmail/A 47898-2022 tillsynsbegäran mail.docx", "A 47898-2022")</f>
        <v/>
      </c>
    </row>
    <row r="119" ht="15" customHeight="1">
      <c r="A119" t="inlineStr">
        <is>
          <t>A 14365-2025</t>
        </is>
      </c>
      <c r="B119" s="1" t="n">
        <v>45741.38688657407</v>
      </c>
      <c r="C119" s="1" t="n">
        <v>46076</v>
      </c>
      <c r="D119" t="inlineStr">
        <is>
          <t>STOCKHOLMS LÄN</t>
        </is>
      </c>
      <c r="E119" t="inlineStr">
        <is>
          <t>NORRTÄLJE</t>
        </is>
      </c>
      <c r="G119" t="n">
        <v>2.4</v>
      </c>
      <c r="H119" t="n">
        <v>0</v>
      </c>
      <c r="I119" t="n">
        <v>0</v>
      </c>
      <c r="J119" t="n">
        <v>1</v>
      </c>
      <c r="K119" t="n">
        <v>0</v>
      </c>
      <c r="L119" t="n">
        <v>0</v>
      </c>
      <c r="M119" t="n">
        <v>0</v>
      </c>
      <c r="N119" t="n">
        <v>0</v>
      </c>
      <c r="O119" t="n">
        <v>1</v>
      </c>
      <c r="P119" t="n">
        <v>0</v>
      </c>
      <c r="Q119" t="n">
        <v>1</v>
      </c>
      <c r="R119" s="2" t="inlineStr">
        <is>
          <t>Granticka</t>
        </is>
      </c>
      <c r="S119">
        <f>HYPERLINK("https://klasma.github.io/Logging_0188/artfynd/A 14365-2025 artfynd.xlsx", "A 14365-2025")</f>
        <v/>
      </c>
      <c r="T119">
        <f>HYPERLINK("https://klasma.github.io/Logging_0188/kartor/A 14365-2025 karta.png", "A 14365-2025")</f>
        <v/>
      </c>
      <c r="V119">
        <f>HYPERLINK("https://klasma.github.io/Logging_0188/klagomål/A 14365-2025 FSC-klagomål.docx", "A 14365-2025")</f>
        <v/>
      </c>
      <c r="W119">
        <f>HYPERLINK("https://klasma.github.io/Logging_0188/klagomålsmail/A 14365-2025 FSC-klagomål mail.docx", "A 14365-2025")</f>
        <v/>
      </c>
      <c r="X119">
        <f>HYPERLINK("https://klasma.github.io/Logging_0188/tillsyn/A 14365-2025 tillsynsbegäran.docx", "A 14365-2025")</f>
        <v/>
      </c>
      <c r="Y119">
        <f>HYPERLINK("https://klasma.github.io/Logging_0188/tillsynsmail/A 14365-2025 tillsynsbegäran mail.docx", "A 14365-2025")</f>
        <v/>
      </c>
    </row>
    <row r="120" ht="15" customHeight="1">
      <c r="A120" t="inlineStr">
        <is>
          <t>A 32111-2022</t>
        </is>
      </c>
      <c r="B120" s="1" t="n">
        <v>44778.92797453704</v>
      </c>
      <c r="C120" s="1" t="n">
        <v>46076</v>
      </c>
      <c r="D120" t="inlineStr">
        <is>
          <t>STOCKHOLMS LÄN</t>
        </is>
      </c>
      <c r="E120" t="inlineStr">
        <is>
          <t>NORRTÄLJE</t>
        </is>
      </c>
      <c r="G120" t="n">
        <v>3.1</v>
      </c>
      <c r="H120" t="n">
        <v>0</v>
      </c>
      <c r="I120" t="n">
        <v>0</v>
      </c>
      <c r="J120" t="n">
        <v>1</v>
      </c>
      <c r="K120" t="n">
        <v>0</v>
      </c>
      <c r="L120" t="n">
        <v>0</v>
      </c>
      <c r="M120" t="n">
        <v>0</v>
      </c>
      <c r="N120" t="n">
        <v>0</v>
      </c>
      <c r="O120" t="n">
        <v>1</v>
      </c>
      <c r="P120" t="n">
        <v>0</v>
      </c>
      <c r="Q120" t="n">
        <v>1</v>
      </c>
      <c r="R120" s="2" t="inlineStr">
        <is>
          <t>Orange taggsvamp</t>
        </is>
      </c>
      <c r="S120">
        <f>HYPERLINK("https://klasma.github.io/Logging_0188/artfynd/A 32111-2022 artfynd.xlsx", "A 32111-2022")</f>
        <v/>
      </c>
      <c r="T120">
        <f>HYPERLINK("https://klasma.github.io/Logging_0188/kartor/A 32111-2022 karta.png", "A 32111-2022")</f>
        <v/>
      </c>
      <c r="V120">
        <f>HYPERLINK("https://klasma.github.io/Logging_0188/klagomål/A 32111-2022 FSC-klagomål.docx", "A 32111-2022")</f>
        <v/>
      </c>
      <c r="W120">
        <f>HYPERLINK("https://klasma.github.io/Logging_0188/klagomålsmail/A 32111-2022 FSC-klagomål mail.docx", "A 32111-2022")</f>
        <v/>
      </c>
      <c r="X120">
        <f>HYPERLINK("https://klasma.github.io/Logging_0188/tillsyn/A 32111-2022 tillsynsbegäran.docx", "A 32111-2022")</f>
        <v/>
      </c>
      <c r="Y120">
        <f>HYPERLINK("https://klasma.github.io/Logging_0188/tillsynsmail/A 32111-2022 tillsynsbegäran mail.docx", "A 32111-2022")</f>
        <v/>
      </c>
    </row>
    <row r="121" ht="15" customHeight="1">
      <c r="A121" t="inlineStr">
        <is>
          <t>A 62715-2025</t>
        </is>
      </c>
      <c r="B121" s="1" t="n">
        <v>46008.52034722222</v>
      </c>
      <c r="C121" s="1" t="n">
        <v>46076</v>
      </c>
      <c r="D121" t="inlineStr">
        <is>
          <t>STOCKHOLMS LÄN</t>
        </is>
      </c>
      <c r="E121" t="inlineStr">
        <is>
          <t>NORRTÄLJE</t>
        </is>
      </c>
      <c r="G121" t="n">
        <v>0.8</v>
      </c>
      <c r="H121" t="n">
        <v>0</v>
      </c>
      <c r="I121" t="n">
        <v>1</v>
      </c>
      <c r="J121" t="n">
        <v>0</v>
      </c>
      <c r="K121" t="n">
        <v>0</v>
      </c>
      <c r="L121" t="n">
        <v>0</v>
      </c>
      <c r="M121" t="n">
        <v>0</v>
      </c>
      <c r="N121" t="n">
        <v>0</v>
      </c>
      <c r="O121" t="n">
        <v>0</v>
      </c>
      <c r="P121" t="n">
        <v>0</v>
      </c>
      <c r="Q121" t="n">
        <v>1</v>
      </c>
      <c r="R121" s="2" t="inlineStr">
        <is>
          <t>Granbarkgnagare</t>
        </is>
      </c>
      <c r="S121">
        <f>HYPERLINK("https://klasma.github.io/Logging_0188/artfynd/A 62715-2025 artfynd.xlsx", "A 62715-2025")</f>
        <v/>
      </c>
      <c r="T121">
        <f>HYPERLINK("https://klasma.github.io/Logging_0188/kartor/A 62715-2025 karta.png", "A 62715-2025")</f>
        <v/>
      </c>
      <c r="V121">
        <f>HYPERLINK("https://klasma.github.io/Logging_0188/klagomål/A 62715-2025 FSC-klagomål.docx", "A 62715-2025")</f>
        <v/>
      </c>
      <c r="W121">
        <f>HYPERLINK("https://klasma.github.io/Logging_0188/klagomålsmail/A 62715-2025 FSC-klagomål mail.docx", "A 62715-2025")</f>
        <v/>
      </c>
      <c r="X121">
        <f>HYPERLINK("https://klasma.github.io/Logging_0188/tillsyn/A 62715-2025 tillsynsbegäran.docx", "A 62715-2025")</f>
        <v/>
      </c>
      <c r="Y121">
        <f>HYPERLINK("https://klasma.github.io/Logging_0188/tillsynsmail/A 62715-2025 tillsynsbegäran mail.docx", "A 62715-2025")</f>
        <v/>
      </c>
    </row>
    <row r="122" ht="15" customHeight="1">
      <c r="A122" t="inlineStr">
        <is>
          <t>A 4385-2023</t>
        </is>
      </c>
      <c r="B122" s="1" t="n">
        <v>44955.71322916666</v>
      </c>
      <c r="C122" s="1" t="n">
        <v>46076</v>
      </c>
      <c r="D122" t="inlineStr">
        <is>
          <t>STOCKHOLMS LÄN</t>
        </is>
      </c>
      <c r="E122" t="inlineStr">
        <is>
          <t>NORRTÄLJE</t>
        </is>
      </c>
      <c r="G122" t="n">
        <v>7.8</v>
      </c>
      <c r="H122" t="n">
        <v>1</v>
      </c>
      <c r="I122" t="n">
        <v>1</v>
      </c>
      <c r="J122" t="n">
        <v>0</v>
      </c>
      <c r="K122" t="n">
        <v>0</v>
      </c>
      <c r="L122" t="n">
        <v>0</v>
      </c>
      <c r="M122" t="n">
        <v>0</v>
      </c>
      <c r="N122" t="n">
        <v>0</v>
      </c>
      <c r="O122" t="n">
        <v>0</v>
      </c>
      <c r="P122" t="n">
        <v>0</v>
      </c>
      <c r="Q122" t="n">
        <v>1</v>
      </c>
      <c r="R122" s="2" t="inlineStr">
        <is>
          <t>Skogsknipprot</t>
        </is>
      </c>
      <c r="S122">
        <f>HYPERLINK("https://klasma.github.io/Logging_0188/artfynd/A 4385-2023 artfynd.xlsx", "A 4385-2023")</f>
        <v/>
      </c>
      <c r="T122">
        <f>HYPERLINK("https://klasma.github.io/Logging_0188/kartor/A 4385-2023 karta.png", "A 4385-2023")</f>
        <v/>
      </c>
      <c r="V122">
        <f>HYPERLINK("https://klasma.github.io/Logging_0188/klagomål/A 4385-2023 FSC-klagomål.docx", "A 4385-2023")</f>
        <v/>
      </c>
      <c r="W122">
        <f>HYPERLINK("https://klasma.github.io/Logging_0188/klagomålsmail/A 4385-2023 FSC-klagomål mail.docx", "A 4385-2023")</f>
        <v/>
      </c>
      <c r="X122">
        <f>HYPERLINK("https://klasma.github.io/Logging_0188/tillsyn/A 4385-2023 tillsynsbegäran.docx", "A 4385-2023")</f>
        <v/>
      </c>
      <c r="Y122">
        <f>HYPERLINK("https://klasma.github.io/Logging_0188/tillsynsmail/A 4385-2023 tillsynsbegäran mail.docx", "A 4385-2023")</f>
        <v/>
      </c>
    </row>
    <row r="123" ht="15" customHeight="1">
      <c r="A123" t="inlineStr">
        <is>
          <t>A 4860-2022</t>
        </is>
      </c>
      <c r="B123" s="1" t="n">
        <v>44592</v>
      </c>
      <c r="C123" s="1" t="n">
        <v>46076</v>
      </c>
      <c r="D123" t="inlineStr">
        <is>
          <t>STOCKHOLMS LÄN</t>
        </is>
      </c>
      <c r="E123" t="inlineStr">
        <is>
          <t>NORRTÄLJE</t>
        </is>
      </c>
      <c r="G123" t="n">
        <v>22.3</v>
      </c>
      <c r="H123" t="n">
        <v>0</v>
      </c>
      <c r="I123" t="n">
        <v>0</v>
      </c>
      <c r="J123" t="n">
        <v>1</v>
      </c>
      <c r="K123" t="n">
        <v>0</v>
      </c>
      <c r="L123" t="n">
        <v>0</v>
      </c>
      <c r="M123" t="n">
        <v>0</v>
      </c>
      <c r="N123" t="n">
        <v>0</v>
      </c>
      <c r="O123" t="n">
        <v>1</v>
      </c>
      <c r="P123" t="n">
        <v>0</v>
      </c>
      <c r="Q123" t="n">
        <v>1</v>
      </c>
      <c r="R123" s="2" t="inlineStr">
        <is>
          <t>Igelkott</t>
        </is>
      </c>
      <c r="S123">
        <f>HYPERLINK("https://klasma.github.io/Logging_0188/artfynd/A 4860-2022 artfynd.xlsx", "A 4860-2022")</f>
        <v/>
      </c>
      <c r="T123">
        <f>HYPERLINK("https://klasma.github.io/Logging_0188/kartor/A 4860-2022 karta.png", "A 4860-2022")</f>
        <v/>
      </c>
      <c r="V123">
        <f>HYPERLINK("https://klasma.github.io/Logging_0188/klagomål/A 4860-2022 FSC-klagomål.docx", "A 4860-2022")</f>
        <v/>
      </c>
      <c r="W123">
        <f>HYPERLINK("https://klasma.github.io/Logging_0188/klagomålsmail/A 4860-2022 FSC-klagomål mail.docx", "A 4860-2022")</f>
        <v/>
      </c>
      <c r="X123">
        <f>HYPERLINK("https://klasma.github.io/Logging_0188/tillsyn/A 4860-2022 tillsynsbegäran.docx", "A 4860-2022")</f>
        <v/>
      </c>
      <c r="Y123">
        <f>HYPERLINK("https://klasma.github.io/Logging_0188/tillsynsmail/A 4860-2022 tillsynsbegäran mail.docx", "A 4860-2022")</f>
        <v/>
      </c>
    </row>
    <row r="124" ht="15" customHeight="1">
      <c r="A124" t="inlineStr">
        <is>
          <t>A 63292-2025</t>
        </is>
      </c>
      <c r="B124" s="1" t="n">
        <v>46010.59232638889</v>
      </c>
      <c r="C124" s="1" t="n">
        <v>46076</v>
      </c>
      <c r="D124" t="inlineStr">
        <is>
          <t>STOCKHOLMS LÄN</t>
        </is>
      </c>
      <c r="E124" t="inlineStr">
        <is>
          <t>NORRTÄLJE</t>
        </is>
      </c>
      <c r="G124" t="n">
        <v>11.1</v>
      </c>
      <c r="H124" t="n">
        <v>1</v>
      </c>
      <c r="I124" t="n">
        <v>1</v>
      </c>
      <c r="J124" t="n">
        <v>0</v>
      </c>
      <c r="K124" t="n">
        <v>0</v>
      </c>
      <c r="L124" t="n">
        <v>0</v>
      </c>
      <c r="M124" t="n">
        <v>0</v>
      </c>
      <c r="N124" t="n">
        <v>0</v>
      </c>
      <c r="O124" t="n">
        <v>0</v>
      </c>
      <c r="P124" t="n">
        <v>0</v>
      </c>
      <c r="Q124" t="n">
        <v>1</v>
      </c>
      <c r="R124" s="2" t="inlineStr">
        <is>
          <t>Nästrot</t>
        </is>
      </c>
      <c r="S124">
        <f>HYPERLINK("https://klasma.github.io/Logging_0188/artfynd/A 63292-2025 artfynd.xlsx", "A 63292-2025")</f>
        <v/>
      </c>
      <c r="T124">
        <f>HYPERLINK("https://klasma.github.io/Logging_0188/kartor/A 63292-2025 karta.png", "A 63292-2025")</f>
        <v/>
      </c>
      <c r="V124">
        <f>HYPERLINK("https://klasma.github.io/Logging_0188/klagomål/A 63292-2025 FSC-klagomål.docx", "A 63292-2025")</f>
        <v/>
      </c>
      <c r="W124">
        <f>HYPERLINK("https://klasma.github.io/Logging_0188/klagomålsmail/A 63292-2025 FSC-klagomål mail.docx", "A 63292-2025")</f>
        <v/>
      </c>
      <c r="X124">
        <f>HYPERLINK("https://klasma.github.io/Logging_0188/tillsyn/A 63292-2025 tillsynsbegäran.docx", "A 63292-2025")</f>
        <v/>
      </c>
      <c r="Y124">
        <f>HYPERLINK("https://klasma.github.io/Logging_0188/tillsynsmail/A 63292-2025 tillsynsbegäran mail.docx", "A 63292-2025")</f>
        <v/>
      </c>
    </row>
    <row r="125" ht="15" customHeight="1">
      <c r="A125" t="inlineStr">
        <is>
          <t>A 19829-2022</t>
        </is>
      </c>
      <c r="B125" s="1" t="n">
        <v>44695.43527777777</v>
      </c>
      <c r="C125" s="1" t="n">
        <v>46076</v>
      </c>
      <c r="D125" t="inlineStr">
        <is>
          <t>STOCKHOLMS LÄN</t>
        </is>
      </c>
      <c r="E125" t="inlineStr">
        <is>
          <t>NORRTÄLJE</t>
        </is>
      </c>
      <c r="G125" t="n">
        <v>2</v>
      </c>
      <c r="H125" t="n">
        <v>1</v>
      </c>
      <c r="I125" t="n">
        <v>1</v>
      </c>
      <c r="J125" t="n">
        <v>0</v>
      </c>
      <c r="K125" t="n">
        <v>0</v>
      </c>
      <c r="L125" t="n">
        <v>0</v>
      </c>
      <c r="M125" t="n">
        <v>0</v>
      </c>
      <c r="N125" t="n">
        <v>0</v>
      </c>
      <c r="O125" t="n">
        <v>0</v>
      </c>
      <c r="P125" t="n">
        <v>0</v>
      </c>
      <c r="Q125" t="n">
        <v>1</v>
      </c>
      <c r="R125" s="2" t="inlineStr">
        <is>
          <t>Guckusko</t>
        </is>
      </c>
      <c r="S125">
        <f>HYPERLINK("https://klasma.github.io/Logging_0188/artfynd/A 19829-2022 artfynd.xlsx", "A 19829-2022")</f>
        <v/>
      </c>
      <c r="T125">
        <f>HYPERLINK("https://klasma.github.io/Logging_0188/kartor/A 19829-2022 karta.png", "A 19829-2022")</f>
        <v/>
      </c>
      <c r="V125">
        <f>HYPERLINK("https://klasma.github.io/Logging_0188/klagomål/A 19829-2022 FSC-klagomål.docx", "A 19829-2022")</f>
        <v/>
      </c>
      <c r="W125">
        <f>HYPERLINK("https://klasma.github.io/Logging_0188/klagomålsmail/A 19829-2022 FSC-klagomål mail.docx", "A 19829-2022")</f>
        <v/>
      </c>
      <c r="X125">
        <f>HYPERLINK("https://klasma.github.io/Logging_0188/tillsyn/A 19829-2022 tillsynsbegäran.docx", "A 19829-2022")</f>
        <v/>
      </c>
      <c r="Y125">
        <f>HYPERLINK("https://klasma.github.io/Logging_0188/tillsynsmail/A 19829-2022 tillsynsbegäran mail.docx", "A 19829-2022")</f>
        <v/>
      </c>
    </row>
    <row r="126" ht="15" customHeight="1">
      <c r="A126" t="inlineStr">
        <is>
          <t>A 7734-2026</t>
        </is>
      </c>
      <c r="B126" s="1" t="n">
        <v>46062.52902777777</v>
      </c>
      <c r="C126" s="1" t="n">
        <v>46076</v>
      </c>
      <c r="D126" t="inlineStr">
        <is>
          <t>STOCKHOLMS LÄN</t>
        </is>
      </c>
      <c r="E126" t="inlineStr">
        <is>
          <t>NORRTÄLJE</t>
        </is>
      </c>
      <c r="G126" t="n">
        <v>6.6</v>
      </c>
      <c r="H126" t="n">
        <v>0</v>
      </c>
      <c r="I126" t="n">
        <v>1</v>
      </c>
      <c r="J126" t="n">
        <v>0</v>
      </c>
      <c r="K126" t="n">
        <v>0</v>
      </c>
      <c r="L126" t="n">
        <v>0</v>
      </c>
      <c r="M126" t="n">
        <v>0</v>
      </c>
      <c r="N126" t="n">
        <v>0</v>
      </c>
      <c r="O126" t="n">
        <v>0</v>
      </c>
      <c r="P126" t="n">
        <v>0</v>
      </c>
      <c r="Q126" t="n">
        <v>1</v>
      </c>
      <c r="R126" s="2" t="inlineStr">
        <is>
          <t>Kastanjefjällskivling</t>
        </is>
      </c>
      <c r="S126">
        <f>HYPERLINK("https://klasma.github.io/Logging_0188/artfynd/A 7734-2026 artfynd.xlsx", "A 7734-2026")</f>
        <v/>
      </c>
      <c r="T126">
        <f>HYPERLINK("https://klasma.github.io/Logging_0188/kartor/A 7734-2026 karta.png", "A 7734-2026")</f>
        <v/>
      </c>
      <c r="V126">
        <f>HYPERLINK("https://klasma.github.io/Logging_0188/klagomål/A 7734-2026 FSC-klagomål.docx", "A 7734-2026")</f>
        <v/>
      </c>
      <c r="W126">
        <f>HYPERLINK("https://klasma.github.io/Logging_0188/klagomålsmail/A 7734-2026 FSC-klagomål mail.docx", "A 7734-2026")</f>
        <v/>
      </c>
      <c r="X126">
        <f>HYPERLINK("https://klasma.github.io/Logging_0188/tillsyn/A 7734-2026 tillsynsbegäran.docx", "A 7734-2026")</f>
        <v/>
      </c>
      <c r="Y126">
        <f>HYPERLINK("https://klasma.github.io/Logging_0188/tillsynsmail/A 7734-2026 tillsynsbegäran mail.docx", "A 7734-2026")</f>
        <v/>
      </c>
    </row>
    <row r="127" ht="15" customHeight="1">
      <c r="A127" t="inlineStr">
        <is>
          <t>A 28816-2023</t>
        </is>
      </c>
      <c r="B127" s="1" t="n">
        <v>45104</v>
      </c>
      <c r="C127" s="1" t="n">
        <v>46076</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364-2026</t>
        </is>
      </c>
      <c r="B128" s="1" t="n">
        <v>46027.67134259259</v>
      </c>
      <c r="C128" s="1" t="n">
        <v>46076</v>
      </c>
      <c r="D128" t="inlineStr">
        <is>
          <t>STOCKHOLMS LÄN</t>
        </is>
      </c>
      <c r="E128" t="inlineStr">
        <is>
          <t>NORRTÄLJE</t>
        </is>
      </c>
      <c r="F128" t="inlineStr">
        <is>
          <t>Holmen skog AB</t>
        </is>
      </c>
      <c r="G128" t="n">
        <v>4.3</v>
      </c>
      <c r="H128" t="n">
        <v>1</v>
      </c>
      <c r="I128" t="n">
        <v>0</v>
      </c>
      <c r="J128" t="n">
        <v>0</v>
      </c>
      <c r="K128" t="n">
        <v>0</v>
      </c>
      <c r="L128" t="n">
        <v>1</v>
      </c>
      <c r="M128" t="n">
        <v>0</v>
      </c>
      <c r="N128" t="n">
        <v>0</v>
      </c>
      <c r="O128" t="n">
        <v>1</v>
      </c>
      <c r="P128" t="n">
        <v>1</v>
      </c>
      <c r="Q128" t="n">
        <v>1</v>
      </c>
      <c r="R128" s="2" t="inlineStr">
        <is>
          <t>Asknätfjäril</t>
        </is>
      </c>
      <c r="S128">
        <f>HYPERLINK("https://klasma.github.io/Logging_0188/artfynd/A 364-2026 artfynd.xlsx", "A 364-2026")</f>
        <v/>
      </c>
      <c r="T128">
        <f>HYPERLINK("https://klasma.github.io/Logging_0188/kartor/A 364-2026 karta.png", "A 364-2026")</f>
        <v/>
      </c>
      <c r="V128">
        <f>HYPERLINK("https://klasma.github.io/Logging_0188/klagomål/A 364-2026 FSC-klagomål.docx", "A 364-2026")</f>
        <v/>
      </c>
      <c r="W128">
        <f>HYPERLINK("https://klasma.github.io/Logging_0188/klagomålsmail/A 364-2026 FSC-klagomål mail.docx", "A 364-2026")</f>
        <v/>
      </c>
      <c r="X128">
        <f>HYPERLINK("https://klasma.github.io/Logging_0188/tillsyn/A 364-2026 tillsynsbegäran.docx", "A 364-2026")</f>
        <v/>
      </c>
      <c r="Y128">
        <f>HYPERLINK("https://klasma.github.io/Logging_0188/tillsynsmail/A 364-2026 tillsynsbegäran mail.docx", "A 364-2026")</f>
        <v/>
      </c>
    </row>
    <row r="129" ht="15" customHeight="1">
      <c r="A129" t="inlineStr">
        <is>
          <t>A 52508-2023</t>
        </is>
      </c>
      <c r="B129" s="1" t="n">
        <v>45225</v>
      </c>
      <c r="C129" s="1" t="n">
        <v>46076</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27827-2022</t>
        </is>
      </c>
      <c r="B130" s="1" t="n">
        <v>44743.59504629629</v>
      </c>
      <c r="C130" s="1" t="n">
        <v>46076</v>
      </c>
      <c r="D130" t="inlineStr">
        <is>
          <t>STOCKHOLMS LÄN</t>
        </is>
      </c>
      <c r="E130" t="inlineStr">
        <is>
          <t>NORRTÄLJE</t>
        </is>
      </c>
      <c r="F130" t="inlineStr">
        <is>
          <t>Holmen skog AB</t>
        </is>
      </c>
      <c r="G130" t="n">
        <v>4.7</v>
      </c>
      <c r="H130" t="n">
        <v>1</v>
      </c>
      <c r="I130" t="n">
        <v>0</v>
      </c>
      <c r="J130" t="n">
        <v>1</v>
      </c>
      <c r="K130" t="n">
        <v>0</v>
      </c>
      <c r="L130" t="n">
        <v>0</v>
      </c>
      <c r="M130" t="n">
        <v>0</v>
      </c>
      <c r="N130" t="n">
        <v>0</v>
      </c>
      <c r="O130" t="n">
        <v>1</v>
      </c>
      <c r="P130" t="n">
        <v>0</v>
      </c>
      <c r="Q130" t="n">
        <v>1</v>
      </c>
      <c r="R130" s="2" t="inlineStr">
        <is>
          <t>Nordfladdermus</t>
        </is>
      </c>
      <c r="S130">
        <f>HYPERLINK("https://klasma.github.io/Logging_0188/artfynd/A 27827-2022 artfynd.xlsx", "A 27827-2022")</f>
        <v/>
      </c>
      <c r="T130">
        <f>HYPERLINK("https://klasma.github.io/Logging_0188/kartor/A 27827-2022 karta.png", "A 27827-2022")</f>
        <v/>
      </c>
      <c r="V130">
        <f>HYPERLINK("https://klasma.github.io/Logging_0188/klagomål/A 27827-2022 FSC-klagomål.docx", "A 27827-2022")</f>
        <v/>
      </c>
      <c r="W130">
        <f>HYPERLINK("https://klasma.github.io/Logging_0188/klagomålsmail/A 27827-2022 FSC-klagomål mail.docx", "A 27827-2022")</f>
        <v/>
      </c>
      <c r="X130">
        <f>HYPERLINK("https://klasma.github.io/Logging_0188/tillsyn/A 27827-2022 tillsynsbegäran.docx", "A 27827-2022")</f>
        <v/>
      </c>
      <c r="Y130">
        <f>HYPERLINK("https://klasma.github.io/Logging_0188/tillsynsmail/A 27827-2022 tillsynsbegäran mail.docx", "A 27827-2022")</f>
        <v/>
      </c>
    </row>
    <row r="131" ht="15" customHeight="1">
      <c r="A131" t="inlineStr">
        <is>
          <t>A 23146-2024</t>
        </is>
      </c>
      <c r="B131" s="1" t="n">
        <v>45450.63958333333</v>
      </c>
      <c r="C131" s="1" t="n">
        <v>46076</v>
      </c>
      <c r="D131" t="inlineStr">
        <is>
          <t>STOCKHOLMS LÄN</t>
        </is>
      </c>
      <c r="E131" t="inlineStr">
        <is>
          <t>NORRTÄLJE</t>
        </is>
      </c>
      <c r="F131" t="inlineStr">
        <is>
          <t>Kommuner</t>
        </is>
      </c>
      <c r="G131" t="n">
        <v>6</v>
      </c>
      <c r="H131" t="n">
        <v>0</v>
      </c>
      <c r="I131" t="n">
        <v>0</v>
      </c>
      <c r="J131" t="n">
        <v>1</v>
      </c>
      <c r="K131" t="n">
        <v>0</v>
      </c>
      <c r="L131" t="n">
        <v>0</v>
      </c>
      <c r="M131" t="n">
        <v>0</v>
      </c>
      <c r="N131" t="n">
        <v>0</v>
      </c>
      <c r="O131" t="n">
        <v>1</v>
      </c>
      <c r="P131" t="n">
        <v>0</v>
      </c>
      <c r="Q131" t="n">
        <v>1</v>
      </c>
      <c r="R131" s="2" t="inlineStr">
        <is>
          <t>Motaggsvamp</t>
        </is>
      </c>
      <c r="S131">
        <f>HYPERLINK("https://klasma.github.io/Logging_0188/artfynd/A 23146-2024 artfynd.xlsx", "A 23146-2024")</f>
        <v/>
      </c>
      <c r="T131">
        <f>HYPERLINK("https://klasma.github.io/Logging_0188/kartor/A 23146-2024 karta.png", "A 23146-2024")</f>
        <v/>
      </c>
      <c r="V131">
        <f>HYPERLINK("https://klasma.github.io/Logging_0188/klagomål/A 23146-2024 FSC-klagomål.docx", "A 23146-2024")</f>
        <v/>
      </c>
      <c r="W131">
        <f>HYPERLINK("https://klasma.github.io/Logging_0188/klagomålsmail/A 23146-2024 FSC-klagomål mail.docx", "A 23146-2024")</f>
        <v/>
      </c>
      <c r="X131">
        <f>HYPERLINK("https://klasma.github.io/Logging_0188/tillsyn/A 23146-2024 tillsynsbegäran.docx", "A 23146-2024")</f>
        <v/>
      </c>
      <c r="Y131">
        <f>HYPERLINK("https://klasma.github.io/Logging_0188/tillsynsmail/A 23146-2024 tillsynsbegäran mail.docx", "A 23146-2024")</f>
        <v/>
      </c>
    </row>
    <row r="132" ht="15" customHeight="1">
      <c r="A132" t="inlineStr">
        <is>
          <t>A 27538-2024</t>
        </is>
      </c>
      <c r="B132" s="1" t="n">
        <v>45474</v>
      </c>
      <c r="C132" s="1" t="n">
        <v>46076</v>
      </c>
      <c r="D132" t="inlineStr">
        <is>
          <t>STOCKHOLMS LÄN</t>
        </is>
      </c>
      <c r="E132" t="inlineStr">
        <is>
          <t>NORRTÄLJE</t>
        </is>
      </c>
      <c r="G132" t="n">
        <v>1.5</v>
      </c>
      <c r="H132" t="n">
        <v>1</v>
      </c>
      <c r="I132" t="n">
        <v>1</v>
      </c>
      <c r="J132" t="n">
        <v>0</v>
      </c>
      <c r="K132" t="n">
        <v>0</v>
      </c>
      <c r="L132" t="n">
        <v>0</v>
      </c>
      <c r="M132" t="n">
        <v>0</v>
      </c>
      <c r="N132" t="n">
        <v>0</v>
      </c>
      <c r="O132" t="n">
        <v>0</v>
      </c>
      <c r="P132" t="n">
        <v>0</v>
      </c>
      <c r="Q132" t="n">
        <v>1</v>
      </c>
      <c r="R132" s="2" t="inlineStr">
        <is>
          <t>Skogsknipprot</t>
        </is>
      </c>
      <c r="S132">
        <f>HYPERLINK("https://klasma.github.io/Logging_0188/artfynd/A 27538-2024 artfynd.xlsx", "A 27538-2024")</f>
        <v/>
      </c>
      <c r="T132">
        <f>HYPERLINK("https://klasma.github.io/Logging_0188/kartor/A 27538-2024 karta.png", "A 27538-2024")</f>
        <v/>
      </c>
      <c r="V132">
        <f>HYPERLINK("https://klasma.github.io/Logging_0188/klagomål/A 27538-2024 FSC-klagomål.docx", "A 27538-2024")</f>
        <v/>
      </c>
      <c r="W132">
        <f>HYPERLINK("https://klasma.github.io/Logging_0188/klagomålsmail/A 27538-2024 FSC-klagomål mail.docx", "A 27538-2024")</f>
        <v/>
      </c>
      <c r="X132">
        <f>HYPERLINK("https://klasma.github.io/Logging_0188/tillsyn/A 27538-2024 tillsynsbegäran.docx", "A 27538-2024")</f>
        <v/>
      </c>
      <c r="Y132">
        <f>HYPERLINK("https://klasma.github.io/Logging_0188/tillsynsmail/A 27538-2024 tillsynsbegäran mail.docx", "A 27538-2024")</f>
        <v/>
      </c>
    </row>
    <row r="133" ht="15" customHeight="1">
      <c r="A133" t="inlineStr">
        <is>
          <t>A 48131-2023</t>
        </is>
      </c>
      <c r="B133" s="1" t="n">
        <v>45205</v>
      </c>
      <c r="C133" s="1" t="n">
        <v>46076</v>
      </c>
      <c r="D133" t="inlineStr">
        <is>
          <t>STOCKHOLMS LÄN</t>
        </is>
      </c>
      <c r="E133" t="inlineStr">
        <is>
          <t>NORRTÄLJE</t>
        </is>
      </c>
      <c r="G133" t="n">
        <v>2.3</v>
      </c>
      <c r="H133" t="n">
        <v>0</v>
      </c>
      <c r="I133" t="n">
        <v>0</v>
      </c>
      <c r="J133" t="n">
        <v>1</v>
      </c>
      <c r="K133" t="n">
        <v>0</v>
      </c>
      <c r="L133" t="n">
        <v>0</v>
      </c>
      <c r="M133" t="n">
        <v>0</v>
      </c>
      <c r="N133" t="n">
        <v>0</v>
      </c>
      <c r="O133" t="n">
        <v>1</v>
      </c>
      <c r="P133" t="n">
        <v>0</v>
      </c>
      <c r="Q133" t="n">
        <v>1</v>
      </c>
      <c r="R133" s="2" t="inlineStr">
        <is>
          <t>Slåtterfibbla</t>
        </is>
      </c>
      <c r="S133">
        <f>HYPERLINK("https://klasma.github.io/Logging_0188/artfynd/A 48131-2023 artfynd.xlsx", "A 48131-2023")</f>
        <v/>
      </c>
      <c r="T133">
        <f>HYPERLINK("https://klasma.github.io/Logging_0188/kartor/A 48131-2023 karta.png", "A 48131-2023")</f>
        <v/>
      </c>
      <c r="V133">
        <f>HYPERLINK("https://klasma.github.io/Logging_0188/klagomål/A 48131-2023 FSC-klagomål.docx", "A 48131-2023")</f>
        <v/>
      </c>
      <c r="W133">
        <f>HYPERLINK("https://klasma.github.io/Logging_0188/klagomålsmail/A 48131-2023 FSC-klagomål mail.docx", "A 48131-2023")</f>
        <v/>
      </c>
      <c r="X133">
        <f>HYPERLINK("https://klasma.github.io/Logging_0188/tillsyn/A 48131-2023 tillsynsbegäran.docx", "A 48131-2023")</f>
        <v/>
      </c>
      <c r="Y133">
        <f>HYPERLINK("https://klasma.github.io/Logging_0188/tillsynsmail/A 48131-2023 tillsynsbegäran mail.docx", "A 48131-2023")</f>
        <v/>
      </c>
    </row>
    <row r="134" ht="15" customHeight="1">
      <c r="A134" t="inlineStr">
        <is>
          <t>A 21150-2022</t>
        </is>
      </c>
      <c r="B134" s="1" t="n">
        <v>44704</v>
      </c>
      <c r="C134" s="1" t="n">
        <v>46076</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21150-2022 artfynd.xlsx", "A 21150-2022")</f>
        <v/>
      </c>
      <c r="T134">
        <f>HYPERLINK("https://klasma.github.io/Logging_0188/kartor/A 21150-2022 karta.png", "A 21150-2022")</f>
        <v/>
      </c>
      <c r="V134">
        <f>HYPERLINK("https://klasma.github.io/Logging_0188/klagomål/A 21150-2022 FSC-klagomål.docx", "A 21150-2022")</f>
        <v/>
      </c>
      <c r="W134">
        <f>HYPERLINK("https://klasma.github.io/Logging_0188/klagomålsmail/A 21150-2022 FSC-klagomål mail.docx", "A 21150-2022")</f>
        <v/>
      </c>
      <c r="X134">
        <f>HYPERLINK("https://klasma.github.io/Logging_0188/tillsyn/A 21150-2022 tillsynsbegäran.docx", "A 21150-2022")</f>
        <v/>
      </c>
      <c r="Y134">
        <f>HYPERLINK("https://klasma.github.io/Logging_0188/tillsynsmail/A 21150-2022 tillsynsbegäran mail.docx", "A 21150-2022")</f>
        <v/>
      </c>
    </row>
    <row r="135" ht="15" customHeight="1">
      <c r="A135" t="inlineStr">
        <is>
          <t>A 58888-2021</t>
        </is>
      </c>
      <c r="B135" s="1" t="n">
        <v>44489</v>
      </c>
      <c r="C135" s="1" t="n">
        <v>46076</v>
      </c>
      <c r="D135" t="inlineStr">
        <is>
          <t>STOCKHOLMS LÄN</t>
        </is>
      </c>
      <c r="E135" t="inlineStr">
        <is>
          <t>NORRTÄLJE</t>
        </is>
      </c>
      <c r="F135" t="inlineStr">
        <is>
          <t>Holmen skog AB</t>
        </is>
      </c>
      <c r="G135" t="n">
        <v>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58888-2021 artfynd.xlsx", "A 58888-2021")</f>
        <v/>
      </c>
      <c r="T135">
        <f>HYPERLINK("https://klasma.github.io/Logging_0188/kartor/A 58888-2021 karta.png", "A 58888-2021")</f>
        <v/>
      </c>
      <c r="V135">
        <f>HYPERLINK("https://klasma.github.io/Logging_0188/klagomål/A 58888-2021 FSC-klagomål.docx", "A 58888-2021")</f>
        <v/>
      </c>
      <c r="W135">
        <f>HYPERLINK("https://klasma.github.io/Logging_0188/klagomålsmail/A 58888-2021 FSC-klagomål mail.docx", "A 58888-2021")</f>
        <v/>
      </c>
      <c r="X135">
        <f>HYPERLINK("https://klasma.github.io/Logging_0188/tillsyn/A 58888-2021 tillsynsbegäran.docx", "A 58888-2021")</f>
        <v/>
      </c>
      <c r="Y135">
        <f>HYPERLINK("https://klasma.github.io/Logging_0188/tillsynsmail/A 58888-2021 tillsynsbegäran mail.docx", "A 58888-2021")</f>
        <v/>
      </c>
    </row>
    <row r="136" ht="15" customHeight="1">
      <c r="A136" t="inlineStr">
        <is>
          <t>A 9955-2022</t>
        </is>
      </c>
      <c r="B136" s="1" t="n">
        <v>44620</v>
      </c>
      <c r="C136" s="1" t="n">
        <v>46076</v>
      </c>
      <c r="D136" t="inlineStr">
        <is>
          <t>STOCKHOLMS LÄN</t>
        </is>
      </c>
      <c r="E136" t="inlineStr">
        <is>
          <t>NORRTÄLJE</t>
        </is>
      </c>
      <c r="G136" t="n">
        <v>7.8</v>
      </c>
      <c r="H136" t="n">
        <v>1</v>
      </c>
      <c r="I136" t="n">
        <v>0</v>
      </c>
      <c r="J136" t="n">
        <v>0</v>
      </c>
      <c r="K136" t="n">
        <v>0</v>
      </c>
      <c r="L136" t="n">
        <v>0</v>
      </c>
      <c r="M136" t="n">
        <v>0</v>
      </c>
      <c r="N136" t="n">
        <v>0</v>
      </c>
      <c r="O136" t="n">
        <v>0</v>
      </c>
      <c r="P136" t="n">
        <v>0</v>
      </c>
      <c r="Q136" t="n">
        <v>1</v>
      </c>
      <c r="R136" s="2" t="inlineStr">
        <is>
          <t>Åkergroda</t>
        </is>
      </c>
      <c r="S136">
        <f>HYPERLINK("https://klasma.github.io/Logging_0188/artfynd/A 9955-2022 artfynd.xlsx", "A 9955-2022")</f>
        <v/>
      </c>
      <c r="T136">
        <f>HYPERLINK("https://klasma.github.io/Logging_0188/kartor/A 9955-2022 karta.png", "A 9955-2022")</f>
        <v/>
      </c>
      <c r="V136">
        <f>HYPERLINK("https://klasma.github.io/Logging_0188/klagomål/A 9955-2022 FSC-klagomål.docx", "A 9955-2022")</f>
        <v/>
      </c>
      <c r="W136">
        <f>HYPERLINK("https://klasma.github.io/Logging_0188/klagomålsmail/A 9955-2022 FSC-klagomål mail.docx", "A 9955-2022")</f>
        <v/>
      </c>
      <c r="X136">
        <f>HYPERLINK("https://klasma.github.io/Logging_0188/tillsyn/A 9955-2022 tillsynsbegäran.docx", "A 9955-2022")</f>
        <v/>
      </c>
      <c r="Y136">
        <f>HYPERLINK("https://klasma.github.io/Logging_0188/tillsynsmail/A 9955-2022 tillsynsbegäran mail.docx", "A 9955-2022")</f>
        <v/>
      </c>
    </row>
    <row r="137" ht="15" customHeight="1">
      <c r="A137" t="inlineStr">
        <is>
          <t>A 23905-2025</t>
        </is>
      </c>
      <c r="B137" s="1" t="n">
        <v>45794.63298611111</v>
      </c>
      <c r="C137" s="1" t="n">
        <v>46076</v>
      </c>
      <c r="D137" t="inlineStr">
        <is>
          <t>STOCKHOLMS LÄN</t>
        </is>
      </c>
      <c r="E137" t="inlineStr">
        <is>
          <t>NORRTÄLJE</t>
        </is>
      </c>
      <c r="G137" t="n">
        <v>8.4</v>
      </c>
      <c r="H137" t="n">
        <v>1</v>
      </c>
      <c r="I137" t="n">
        <v>0</v>
      </c>
      <c r="J137" t="n">
        <v>0</v>
      </c>
      <c r="K137" t="n">
        <v>0</v>
      </c>
      <c r="L137" t="n">
        <v>0</v>
      </c>
      <c r="M137" t="n">
        <v>0</v>
      </c>
      <c r="N137" t="n">
        <v>0</v>
      </c>
      <c r="O137" t="n">
        <v>0</v>
      </c>
      <c r="P137" t="n">
        <v>0</v>
      </c>
      <c r="Q137" t="n">
        <v>1</v>
      </c>
      <c r="R137" s="2" t="inlineStr">
        <is>
          <t>Blåsippa</t>
        </is>
      </c>
      <c r="S137">
        <f>HYPERLINK("https://klasma.github.io/Logging_0188/artfynd/A 23905-2025 artfynd.xlsx", "A 23905-2025")</f>
        <v/>
      </c>
      <c r="T137">
        <f>HYPERLINK("https://klasma.github.io/Logging_0188/kartor/A 23905-2025 karta.png", "A 23905-2025")</f>
        <v/>
      </c>
      <c r="V137">
        <f>HYPERLINK("https://klasma.github.io/Logging_0188/klagomål/A 23905-2025 FSC-klagomål.docx", "A 23905-2025")</f>
        <v/>
      </c>
      <c r="W137">
        <f>HYPERLINK("https://klasma.github.io/Logging_0188/klagomålsmail/A 23905-2025 FSC-klagomål mail.docx", "A 23905-2025")</f>
        <v/>
      </c>
      <c r="X137">
        <f>HYPERLINK("https://klasma.github.io/Logging_0188/tillsyn/A 23905-2025 tillsynsbegäran.docx", "A 23905-2025")</f>
        <v/>
      </c>
      <c r="Y137">
        <f>HYPERLINK("https://klasma.github.io/Logging_0188/tillsynsmail/A 23905-2025 tillsynsbegäran mail.docx", "A 23905-2025")</f>
        <v/>
      </c>
    </row>
    <row r="138" ht="15" customHeight="1">
      <c r="A138" t="inlineStr">
        <is>
          <t>A 25669-2025</t>
        </is>
      </c>
      <c r="B138" s="1" t="n">
        <v>45803.62766203703</v>
      </c>
      <c r="C138" s="1" t="n">
        <v>46076</v>
      </c>
      <c r="D138" t="inlineStr">
        <is>
          <t>STOCKHOLMS LÄN</t>
        </is>
      </c>
      <c r="E138" t="inlineStr">
        <is>
          <t>NORRTÄLJE</t>
        </is>
      </c>
      <c r="F138" t="inlineStr">
        <is>
          <t>Holmen skog AB</t>
        </is>
      </c>
      <c r="G138" t="n">
        <v>3.1</v>
      </c>
      <c r="H138" t="n">
        <v>1</v>
      </c>
      <c r="I138" t="n">
        <v>0</v>
      </c>
      <c r="J138" t="n">
        <v>0</v>
      </c>
      <c r="K138" t="n">
        <v>0</v>
      </c>
      <c r="L138" t="n">
        <v>0</v>
      </c>
      <c r="M138" t="n">
        <v>0</v>
      </c>
      <c r="N138" t="n">
        <v>0</v>
      </c>
      <c r="O138" t="n">
        <v>0</v>
      </c>
      <c r="P138" t="n">
        <v>0</v>
      </c>
      <c r="Q138" t="n">
        <v>1</v>
      </c>
      <c r="R138" s="2" t="inlineStr">
        <is>
          <t>Tjäder</t>
        </is>
      </c>
      <c r="S138">
        <f>HYPERLINK("https://klasma.github.io/Logging_0188/artfynd/A 25669-2025 artfynd.xlsx", "A 25669-2025")</f>
        <v/>
      </c>
      <c r="T138">
        <f>HYPERLINK("https://klasma.github.io/Logging_0188/kartor/A 25669-2025 karta.png", "A 25669-2025")</f>
        <v/>
      </c>
      <c r="V138">
        <f>HYPERLINK("https://klasma.github.io/Logging_0188/klagomål/A 25669-2025 FSC-klagomål.docx", "A 25669-2025")</f>
        <v/>
      </c>
      <c r="W138">
        <f>HYPERLINK("https://klasma.github.io/Logging_0188/klagomålsmail/A 25669-2025 FSC-klagomål mail.docx", "A 25669-2025")</f>
        <v/>
      </c>
      <c r="X138">
        <f>HYPERLINK("https://klasma.github.io/Logging_0188/tillsyn/A 25669-2025 tillsynsbegäran.docx", "A 25669-2025")</f>
        <v/>
      </c>
      <c r="Y138">
        <f>HYPERLINK("https://klasma.github.io/Logging_0188/tillsynsmail/A 25669-2025 tillsynsbegäran mail.docx", "A 25669-2025")</f>
        <v/>
      </c>
      <c r="Z138">
        <f>HYPERLINK("https://klasma.github.io/Logging_0188/fåglar/A 25669-2025 prioriterade fågelarter.docx", "A 25669-2025")</f>
        <v/>
      </c>
    </row>
    <row r="139" ht="15" customHeight="1">
      <c r="A139" t="inlineStr">
        <is>
          <t>A 35764-2024</t>
        </is>
      </c>
      <c r="B139" s="1" t="n">
        <v>45532</v>
      </c>
      <c r="C139" s="1" t="n">
        <v>46076</v>
      </c>
      <c r="D139" t="inlineStr">
        <is>
          <t>STOCKHOLMS LÄN</t>
        </is>
      </c>
      <c r="E139" t="inlineStr">
        <is>
          <t>NORRTÄLJE</t>
        </is>
      </c>
      <c r="G139" t="n">
        <v>14.2</v>
      </c>
      <c r="H139" t="n">
        <v>1</v>
      </c>
      <c r="I139" t="n">
        <v>0</v>
      </c>
      <c r="J139" t="n">
        <v>0</v>
      </c>
      <c r="K139" t="n">
        <v>1</v>
      </c>
      <c r="L139" t="n">
        <v>0</v>
      </c>
      <c r="M139" t="n">
        <v>0</v>
      </c>
      <c r="N139" t="n">
        <v>0</v>
      </c>
      <c r="O139" t="n">
        <v>1</v>
      </c>
      <c r="P139" t="n">
        <v>1</v>
      </c>
      <c r="Q139" t="n">
        <v>1</v>
      </c>
      <c r="R139" s="2" t="inlineStr">
        <is>
          <t>Knärot</t>
        </is>
      </c>
      <c r="S139">
        <f>HYPERLINK("https://klasma.github.io/Logging_0188/artfynd/A 35764-2024 artfynd.xlsx", "A 35764-2024")</f>
        <v/>
      </c>
      <c r="T139">
        <f>HYPERLINK("https://klasma.github.io/Logging_0188/kartor/A 35764-2024 karta.png", "A 35764-2024")</f>
        <v/>
      </c>
      <c r="U139">
        <f>HYPERLINK("https://klasma.github.io/Logging_0188/knärot/A 35764-2024 karta knärot.png", "A 35764-2024")</f>
        <v/>
      </c>
      <c r="V139">
        <f>HYPERLINK("https://klasma.github.io/Logging_0188/klagomål/A 35764-2024 FSC-klagomål.docx", "A 35764-2024")</f>
        <v/>
      </c>
      <c r="W139">
        <f>HYPERLINK("https://klasma.github.io/Logging_0188/klagomålsmail/A 35764-2024 FSC-klagomål mail.docx", "A 35764-2024")</f>
        <v/>
      </c>
      <c r="X139">
        <f>HYPERLINK("https://klasma.github.io/Logging_0188/tillsyn/A 35764-2024 tillsynsbegäran.docx", "A 35764-2024")</f>
        <v/>
      </c>
      <c r="Y139">
        <f>HYPERLINK("https://klasma.github.io/Logging_0188/tillsynsmail/A 35764-2024 tillsynsbegäran mail.docx", "A 35764-2024")</f>
        <v/>
      </c>
    </row>
    <row r="140" ht="15" customHeight="1">
      <c r="A140" t="inlineStr">
        <is>
          <t>A 25725-2025</t>
        </is>
      </c>
      <c r="B140" s="1" t="n">
        <v>45800</v>
      </c>
      <c r="C140" s="1" t="n">
        <v>46076</v>
      </c>
      <c r="D140" t="inlineStr">
        <is>
          <t>STOCKHOLMS LÄN</t>
        </is>
      </c>
      <c r="E140" t="inlineStr">
        <is>
          <t>NORRTÄLJE</t>
        </is>
      </c>
      <c r="G140" t="n">
        <v>5.2</v>
      </c>
      <c r="H140" t="n">
        <v>0</v>
      </c>
      <c r="I140" t="n">
        <v>0</v>
      </c>
      <c r="J140" t="n">
        <v>1</v>
      </c>
      <c r="K140" t="n">
        <v>0</v>
      </c>
      <c r="L140" t="n">
        <v>0</v>
      </c>
      <c r="M140" t="n">
        <v>0</v>
      </c>
      <c r="N140" t="n">
        <v>0</v>
      </c>
      <c r="O140" t="n">
        <v>1</v>
      </c>
      <c r="P140" t="n">
        <v>0</v>
      </c>
      <c r="Q140" t="n">
        <v>1</v>
      </c>
      <c r="R140" s="2" t="inlineStr">
        <is>
          <t>Tallticka</t>
        </is>
      </c>
      <c r="S140">
        <f>HYPERLINK("https://klasma.github.io/Logging_0188/artfynd/A 25725-2025 artfynd.xlsx", "A 25725-2025")</f>
        <v/>
      </c>
      <c r="T140">
        <f>HYPERLINK("https://klasma.github.io/Logging_0188/kartor/A 25725-2025 karta.png", "A 25725-2025")</f>
        <v/>
      </c>
      <c r="V140">
        <f>HYPERLINK("https://klasma.github.io/Logging_0188/klagomål/A 25725-2025 FSC-klagomål.docx", "A 25725-2025")</f>
        <v/>
      </c>
      <c r="W140">
        <f>HYPERLINK("https://klasma.github.io/Logging_0188/klagomålsmail/A 25725-2025 FSC-klagomål mail.docx", "A 25725-2025")</f>
        <v/>
      </c>
      <c r="X140">
        <f>HYPERLINK("https://klasma.github.io/Logging_0188/tillsyn/A 25725-2025 tillsynsbegäran.docx", "A 25725-2025")</f>
        <v/>
      </c>
      <c r="Y140">
        <f>HYPERLINK("https://klasma.github.io/Logging_0188/tillsynsmail/A 25725-2025 tillsynsbegäran mail.docx", "A 25725-2025")</f>
        <v/>
      </c>
    </row>
    <row r="141" ht="15" customHeight="1">
      <c r="A141" t="inlineStr">
        <is>
          <t>A 25709-2025</t>
        </is>
      </c>
      <c r="B141" s="1" t="n">
        <v>45800</v>
      </c>
      <c r="C141" s="1" t="n">
        <v>46076</v>
      </c>
      <c r="D141" t="inlineStr">
        <is>
          <t>STOCKHOLMS LÄN</t>
        </is>
      </c>
      <c r="E141" t="inlineStr">
        <is>
          <t>NORRTÄLJE</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HYPERLINK("https://klasma.github.io/Logging_0188/artfynd/A 25709-2025 artfynd.xlsx", "A 25709-2025")</f>
        <v/>
      </c>
      <c r="T141">
        <f>HYPERLINK("https://klasma.github.io/Logging_0188/kartor/A 25709-2025 karta.png", "A 25709-2025")</f>
        <v/>
      </c>
      <c r="V141">
        <f>HYPERLINK("https://klasma.github.io/Logging_0188/klagomål/A 25709-2025 FSC-klagomål.docx", "A 25709-2025")</f>
        <v/>
      </c>
      <c r="W141">
        <f>HYPERLINK("https://klasma.github.io/Logging_0188/klagomålsmail/A 25709-2025 FSC-klagomål mail.docx", "A 25709-2025")</f>
        <v/>
      </c>
      <c r="X141">
        <f>HYPERLINK("https://klasma.github.io/Logging_0188/tillsyn/A 25709-2025 tillsynsbegäran.docx", "A 25709-2025")</f>
        <v/>
      </c>
      <c r="Y141">
        <f>HYPERLINK("https://klasma.github.io/Logging_0188/tillsynsmail/A 25709-2025 tillsynsbegäran mail.docx", "A 25709-2025")</f>
        <v/>
      </c>
    </row>
    <row r="142" ht="15" customHeight="1">
      <c r="A142" t="inlineStr">
        <is>
          <t>A 35649-2023</t>
        </is>
      </c>
      <c r="B142" s="1" t="n">
        <v>45146</v>
      </c>
      <c r="C142" s="1" t="n">
        <v>46076</v>
      </c>
      <c r="D142" t="inlineStr">
        <is>
          <t>STOCKHOLMS LÄN</t>
        </is>
      </c>
      <c r="E142" t="inlineStr">
        <is>
          <t>NORRTÄLJE</t>
        </is>
      </c>
      <c r="G142" t="n">
        <v>25.1</v>
      </c>
      <c r="H142" t="n">
        <v>0</v>
      </c>
      <c r="I142" t="n">
        <v>0</v>
      </c>
      <c r="J142" t="n">
        <v>1</v>
      </c>
      <c r="K142" t="n">
        <v>0</v>
      </c>
      <c r="L142" t="n">
        <v>0</v>
      </c>
      <c r="M142" t="n">
        <v>0</v>
      </c>
      <c r="N142" t="n">
        <v>0</v>
      </c>
      <c r="O142" t="n">
        <v>1</v>
      </c>
      <c r="P142" t="n">
        <v>0</v>
      </c>
      <c r="Q142" t="n">
        <v>1</v>
      </c>
      <c r="R142" s="2" t="inlineStr">
        <is>
          <t>Månlåsbräken</t>
        </is>
      </c>
      <c r="S142">
        <f>HYPERLINK("https://klasma.github.io/Logging_0188/artfynd/A 35649-2023 artfynd.xlsx", "A 35649-2023")</f>
        <v/>
      </c>
      <c r="T142">
        <f>HYPERLINK("https://klasma.github.io/Logging_0188/kartor/A 35649-2023 karta.png", "A 35649-2023")</f>
        <v/>
      </c>
      <c r="V142">
        <f>HYPERLINK("https://klasma.github.io/Logging_0188/klagomål/A 35649-2023 FSC-klagomål.docx", "A 35649-2023")</f>
        <v/>
      </c>
      <c r="W142">
        <f>HYPERLINK("https://klasma.github.io/Logging_0188/klagomålsmail/A 35649-2023 FSC-klagomål mail.docx", "A 35649-2023")</f>
        <v/>
      </c>
      <c r="X142">
        <f>HYPERLINK("https://klasma.github.io/Logging_0188/tillsyn/A 35649-2023 tillsynsbegäran.docx", "A 35649-2023")</f>
        <v/>
      </c>
      <c r="Y142">
        <f>HYPERLINK("https://klasma.github.io/Logging_0188/tillsynsmail/A 35649-2023 tillsynsbegäran mail.docx", "A 35649-2023")</f>
        <v/>
      </c>
    </row>
    <row r="143" ht="15" customHeight="1">
      <c r="A143" t="inlineStr">
        <is>
          <t>A 18580-2021</t>
        </is>
      </c>
      <c r="B143" s="1" t="n">
        <v>44306</v>
      </c>
      <c r="C143" s="1" t="n">
        <v>46076</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46076</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46076</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46076</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46076</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46076</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46076</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46076</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46076</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46076</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46076</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46076</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46076</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46076</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46076</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46076</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46076</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46076</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46076</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46076</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46076</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46076</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46076</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46076</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46076</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46076</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46076</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9719-2021</t>
        </is>
      </c>
      <c r="B170" s="1" t="n">
        <v>44252</v>
      </c>
      <c r="C170" s="1" t="n">
        <v>46076</v>
      </c>
      <c r="D170" t="inlineStr">
        <is>
          <t>STOCKHOLMS LÄN</t>
        </is>
      </c>
      <c r="E170" t="inlineStr">
        <is>
          <t>NORRTÄLJE</t>
        </is>
      </c>
      <c r="F170" t="inlineStr">
        <is>
          <t>Holmen skog AB</t>
        </is>
      </c>
      <c r="G170" t="n">
        <v>2</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46076</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46076</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46076</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46076</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46076</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46076</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46076</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46076</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46076</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46076</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46076</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46076</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46076</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46076</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46076</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46076</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46076</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46076</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46076</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46076</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14381-2021</t>
        </is>
      </c>
      <c r="B191" s="1" t="n">
        <v>44279</v>
      </c>
      <c r="C191" s="1" t="n">
        <v>46076</v>
      </c>
      <c r="D191" t="inlineStr">
        <is>
          <t>STOCKHOLMS LÄN</t>
        </is>
      </c>
      <c r="E191" t="inlineStr">
        <is>
          <t>NORRTÄLJE</t>
        </is>
      </c>
      <c r="G191" t="n">
        <v>0.9</v>
      </c>
      <c r="H191" t="n">
        <v>0</v>
      </c>
      <c r="I191" t="n">
        <v>0</v>
      </c>
      <c r="J191" t="n">
        <v>0</v>
      </c>
      <c r="K191" t="n">
        <v>0</v>
      </c>
      <c r="L191" t="n">
        <v>0</v>
      </c>
      <c r="M191" t="n">
        <v>0</v>
      </c>
      <c r="N191" t="n">
        <v>0</v>
      </c>
      <c r="O191" t="n">
        <v>0</v>
      </c>
      <c r="P191" t="n">
        <v>0</v>
      </c>
      <c r="Q191" t="n">
        <v>0</v>
      </c>
      <c r="R191" s="2" t="inlineStr"/>
    </row>
    <row r="192" ht="15" customHeight="1">
      <c r="A192" t="inlineStr">
        <is>
          <t>A 20073-2021</t>
        </is>
      </c>
      <c r="B192" s="1" t="n">
        <v>44314</v>
      </c>
      <c r="C192" s="1" t="n">
        <v>46076</v>
      </c>
      <c r="D192" t="inlineStr">
        <is>
          <t>STOCKHOLMS LÄN</t>
        </is>
      </c>
      <c r="E192" t="inlineStr">
        <is>
          <t>NORRTÄLJE</t>
        </is>
      </c>
      <c r="G192" t="n">
        <v>4.6</v>
      </c>
      <c r="H192" t="n">
        <v>0</v>
      </c>
      <c r="I192" t="n">
        <v>0</v>
      </c>
      <c r="J192" t="n">
        <v>0</v>
      </c>
      <c r="K192" t="n">
        <v>0</v>
      </c>
      <c r="L192" t="n">
        <v>0</v>
      </c>
      <c r="M192" t="n">
        <v>0</v>
      </c>
      <c r="N192" t="n">
        <v>0</v>
      </c>
      <c r="O192" t="n">
        <v>0</v>
      </c>
      <c r="P192" t="n">
        <v>0</v>
      </c>
      <c r="Q192" t="n">
        <v>0</v>
      </c>
      <c r="R192" s="2" t="inlineStr"/>
    </row>
    <row r="193" ht="15" customHeight="1">
      <c r="A193" t="inlineStr">
        <is>
          <t>A 17703-2021</t>
        </is>
      </c>
      <c r="B193" s="1" t="n">
        <v>44300</v>
      </c>
      <c r="C193" s="1" t="n">
        <v>46076</v>
      </c>
      <c r="D193" t="inlineStr">
        <is>
          <t>STOCKHOLMS LÄN</t>
        </is>
      </c>
      <c r="E193" t="inlineStr">
        <is>
          <t>NORRTÄLJE</t>
        </is>
      </c>
      <c r="F193" t="inlineStr">
        <is>
          <t>Holmen skog AB</t>
        </is>
      </c>
      <c r="G193" t="n">
        <v>1.1</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46076</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27538-2022</t>
        </is>
      </c>
      <c r="B195" s="1" t="n">
        <v>44742</v>
      </c>
      <c r="C195" s="1" t="n">
        <v>46076</v>
      </c>
      <c r="D195" t="inlineStr">
        <is>
          <t>STOCKHOLMS LÄN</t>
        </is>
      </c>
      <c r="E195" t="inlineStr">
        <is>
          <t>NORRTÄLJE</t>
        </is>
      </c>
      <c r="G195" t="n">
        <v>2.2</v>
      </c>
      <c r="H195" t="n">
        <v>0</v>
      </c>
      <c r="I195" t="n">
        <v>0</v>
      </c>
      <c r="J195" t="n">
        <v>0</v>
      </c>
      <c r="K195" t="n">
        <v>0</v>
      </c>
      <c r="L195" t="n">
        <v>0</v>
      </c>
      <c r="M195" t="n">
        <v>0</v>
      </c>
      <c r="N195" t="n">
        <v>0</v>
      </c>
      <c r="O195" t="n">
        <v>0</v>
      </c>
      <c r="P195" t="n">
        <v>0</v>
      </c>
      <c r="Q195" t="n">
        <v>0</v>
      </c>
      <c r="R195" s="2" t="inlineStr"/>
    </row>
    <row r="196" ht="15" customHeight="1">
      <c r="A196" t="inlineStr">
        <is>
          <t>A 36975-2022</t>
        </is>
      </c>
      <c r="B196" s="1" t="n">
        <v>44806.34577546296</v>
      </c>
      <c r="C196" s="1" t="n">
        <v>46076</v>
      </c>
      <c r="D196" t="inlineStr">
        <is>
          <t>STOCKHOLMS LÄN</t>
        </is>
      </c>
      <c r="E196" t="inlineStr">
        <is>
          <t>NORRTÄLJE</t>
        </is>
      </c>
      <c r="G196" t="n">
        <v>4.7</v>
      </c>
      <c r="H196" t="n">
        <v>0</v>
      </c>
      <c r="I196" t="n">
        <v>0</v>
      </c>
      <c r="J196" t="n">
        <v>0</v>
      </c>
      <c r="K196" t="n">
        <v>0</v>
      </c>
      <c r="L196" t="n">
        <v>0</v>
      </c>
      <c r="M196" t="n">
        <v>0</v>
      </c>
      <c r="N196" t="n">
        <v>0</v>
      </c>
      <c r="O196" t="n">
        <v>0</v>
      </c>
      <c r="P196" t="n">
        <v>0</v>
      </c>
      <c r="Q196" t="n">
        <v>0</v>
      </c>
      <c r="R196" s="2" t="inlineStr"/>
    </row>
    <row r="197" ht="15" customHeight="1">
      <c r="A197" t="inlineStr">
        <is>
          <t>A 16668-2021</t>
        </is>
      </c>
      <c r="B197" s="1" t="n">
        <v>44294</v>
      </c>
      <c r="C197" s="1" t="n">
        <v>46076</v>
      </c>
      <c r="D197" t="inlineStr">
        <is>
          <t>STOCKHOLMS LÄN</t>
        </is>
      </c>
      <c r="E197" t="inlineStr">
        <is>
          <t>NORRTÄLJE</t>
        </is>
      </c>
      <c r="G197" t="n">
        <v>1.7</v>
      </c>
      <c r="H197" t="n">
        <v>0</v>
      </c>
      <c r="I197" t="n">
        <v>0</v>
      </c>
      <c r="J197" t="n">
        <v>0</v>
      </c>
      <c r="K197" t="n">
        <v>0</v>
      </c>
      <c r="L197" t="n">
        <v>0</v>
      </c>
      <c r="M197" t="n">
        <v>0</v>
      </c>
      <c r="N197" t="n">
        <v>0</v>
      </c>
      <c r="O197" t="n">
        <v>0</v>
      </c>
      <c r="P197" t="n">
        <v>0</v>
      </c>
      <c r="Q197" t="n">
        <v>0</v>
      </c>
      <c r="R197" s="2" t="inlineStr"/>
    </row>
    <row r="198" ht="15" customHeight="1">
      <c r="A198" t="inlineStr">
        <is>
          <t>A 29868-2022</t>
        </is>
      </c>
      <c r="B198" s="1" t="n">
        <v>44756.40881944444</v>
      </c>
      <c r="C198" s="1" t="n">
        <v>46076</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23122-2021</t>
        </is>
      </c>
      <c r="B199" s="1" t="n">
        <v>44330</v>
      </c>
      <c r="C199" s="1" t="n">
        <v>46076</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23123-2021</t>
        </is>
      </c>
      <c r="B200" s="1" t="n">
        <v>44330</v>
      </c>
      <c r="C200" s="1" t="n">
        <v>46076</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64599-2021</t>
        </is>
      </c>
      <c r="B201" s="1" t="n">
        <v>44511.69885416667</v>
      </c>
      <c r="C201" s="1" t="n">
        <v>46076</v>
      </c>
      <c r="D201" t="inlineStr">
        <is>
          <t>STOCKHOLMS LÄN</t>
        </is>
      </c>
      <c r="E201" t="inlineStr">
        <is>
          <t>NORRTÄLJE</t>
        </is>
      </c>
      <c r="G201" t="n">
        <v>1.1</v>
      </c>
      <c r="H201" t="n">
        <v>0</v>
      </c>
      <c r="I201" t="n">
        <v>0</v>
      </c>
      <c r="J201" t="n">
        <v>0</v>
      </c>
      <c r="K201" t="n">
        <v>0</v>
      </c>
      <c r="L201" t="n">
        <v>0</v>
      </c>
      <c r="M201" t="n">
        <v>0</v>
      </c>
      <c r="N201" t="n">
        <v>0</v>
      </c>
      <c r="O201" t="n">
        <v>0</v>
      </c>
      <c r="P201" t="n">
        <v>0</v>
      </c>
      <c r="Q201" t="n">
        <v>0</v>
      </c>
      <c r="R201" s="2" t="inlineStr"/>
    </row>
    <row r="202" ht="15" customHeight="1">
      <c r="A202" t="inlineStr">
        <is>
          <t>A 64212-2021</t>
        </is>
      </c>
      <c r="B202" s="1" t="n">
        <v>44510</v>
      </c>
      <c r="C202" s="1" t="n">
        <v>46076</v>
      </c>
      <c r="D202" t="inlineStr">
        <is>
          <t>STOCKHOLMS LÄN</t>
        </is>
      </c>
      <c r="E202" t="inlineStr">
        <is>
          <t>NORRTÄLJE</t>
        </is>
      </c>
      <c r="G202" t="n">
        <v>28.7</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46076</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47349-2021</t>
        </is>
      </c>
      <c r="B204" s="1" t="n">
        <v>44447</v>
      </c>
      <c r="C204" s="1" t="n">
        <v>46076</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46076</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44274-2021</t>
        </is>
      </c>
      <c r="B206" s="1" t="n">
        <v>44435</v>
      </c>
      <c r="C206" s="1" t="n">
        <v>46076</v>
      </c>
      <c r="D206" t="inlineStr">
        <is>
          <t>STOCKHOLMS LÄN</t>
        </is>
      </c>
      <c r="E206" t="inlineStr">
        <is>
          <t>NORRTÄLJE</t>
        </is>
      </c>
      <c r="G206" t="n">
        <v>1</v>
      </c>
      <c r="H206" t="n">
        <v>0</v>
      </c>
      <c r="I206" t="n">
        <v>0</v>
      </c>
      <c r="J206" t="n">
        <v>0</v>
      </c>
      <c r="K206" t="n">
        <v>0</v>
      </c>
      <c r="L206" t="n">
        <v>0</v>
      </c>
      <c r="M206" t="n">
        <v>0</v>
      </c>
      <c r="N206" t="n">
        <v>0</v>
      </c>
      <c r="O206" t="n">
        <v>0</v>
      </c>
      <c r="P206" t="n">
        <v>0</v>
      </c>
      <c r="Q206" t="n">
        <v>0</v>
      </c>
      <c r="R206" s="2" t="inlineStr"/>
    </row>
    <row r="207" ht="15" customHeight="1">
      <c r="A207" t="inlineStr">
        <is>
          <t>A 49113-2021</t>
        </is>
      </c>
      <c r="B207" s="1" t="n">
        <v>44453</v>
      </c>
      <c r="C207" s="1" t="n">
        <v>46076</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64628-2021</t>
        </is>
      </c>
      <c r="B208" s="1" t="n">
        <v>44511</v>
      </c>
      <c r="C208" s="1" t="n">
        <v>46076</v>
      </c>
      <c r="D208" t="inlineStr">
        <is>
          <t>STOCKHOLMS LÄN</t>
        </is>
      </c>
      <c r="E208" t="inlineStr">
        <is>
          <t>NORRTÄLJE</t>
        </is>
      </c>
      <c r="G208" t="n">
        <v>0.7</v>
      </c>
      <c r="H208" t="n">
        <v>0</v>
      </c>
      <c r="I208" t="n">
        <v>0</v>
      </c>
      <c r="J208" t="n">
        <v>0</v>
      </c>
      <c r="K208" t="n">
        <v>0</v>
      </c>
      <c r="L208" t="n">
        <v>0</v>
      </c>
      <c r="M208" t="n">
        <v>0</v>
      </c>
      <c r="N208" t="n">
        <v>0</v>
      </c>
      <c r="O208" t="n">
        <v>0</v>
      </c>
      <c r="P208" t="n">
        <v>0</v>
      </c>
      <c r="Q208" t="n">
        <v>0</v>
      </c>
      <c r="R208" s="2" t="inlineStr"/>
    </row>
    <row r="209" ht="15" customHeight="1">
      <c r="A209" t="inlineStr">
        <is>
          <t>A 60209-2021</t>
        </is>
      </c>
      <c r="B209" s="1" t="n">
        <v>44495</v>
      </c>
      <c r="C209" s="1" t="n">
        <v>46076</v>
      </c>
      <c r="D209" t="inlineStr">
        <is>
          <t>STOCKHOLMS LÄN</t>
        </is>
      </c>
      <c r="E209" t="inlineStr">
        <is>
          <t>NORRTÄLJE</t>
        </is>
      </c>
      <c r="G209" t="n">
        <v>4.3</v>
      </c>
      <c r="H209" t="n">
        <v>0</v>
      </c>
      <c r="I209" t="n">
        <v>0</v>
      </c>
      <c r="J209" t="n">
        <v>0</v>
      </c>
      <c r="K209" t="n">
        <v>0</v>
      </c>
      <c r="L209" t="n">
        <v>0</v>
      </c>
      <c r="M209" t="n">
        <v>0</v>
      </c>
      <c r="N209" t="n">
        <v>0</v>
      </c>
      <c r="O209" t="n">
        <v>0</v>
      </c>
      <c r="P209" t="n">
        <v>0</v>
      </c>
      <c r="Q209" t="n">
        <v>0</v>
      </c>
      <c r="R209" s="2" t="inlineStr"/>
    </row>
    <row r="210" ht="15" customHeight="1">
      <c r="A210" t="inlineStr">
        <is>
          <t>A 17803-2022</t>
        </is>
      </c>
      <c r="B210" s="1" t="n">
        <v>44683</v>
      </c>
      <c r="C210" s="1" t="n">
        <v>46076</v>
      </c>
      <c r="D210" t="inlineStr">
        <is>
          <t>STOCKHOLMS LÄN</t>
        </is>
      </c>
      <c r="E210" t="inlineStr">
        <is>
          <t>NORRTÄLJE</t>
        </is>
      </c>
      <c r="G210" t="n">
        <v>1.4</v>
      </c>
      <c r="H210" t="n">
        <v>0</v>
      </c>
      <c r="I210" t="n">
        <v>0</v>
      </c>
      <c r="J210" t="n">
        <v>0</v>
      </c>
      <c r="K210" t="n">
        <v>0</v>
      </c>
      <c r="L210" t="n">
        <v>0</v>
      </c>
      <c r="M210" t="n">
        <v>0</v>
      </c>
      <c r="N210" t="n">
        <v>0</v>
      </c>
      <c r="O210" t="n">
        <v>0</v>
      </c>
      <c r="P210" t="n">
        <v>0</v>
      </c>
      <c r="Q210" t="n">
        <v>0</v>
      </c>
      <c r="R210" s="2" t="inlineStr"/>
    </row>
    <row r="211" ht="15" customHeight="1">
      <c r="A211" t="inlineStr">
        <is>
          <t>A 32561-2021</t>
        </is>
      </c>
      <c r="B211" s="1" t="n">
        <v>44375</v>
      </c>
      <c r="C211" s="1" t="n">
        <v>46076</v>
      </c>
      <c r="D211" t="inlineStr">
        <is>
          <t>STOCKHOLMS LÄN</t>
        </is>
      </c>
      <c r="E211" t="inlineStr">
        <is>
          <t>NORRTÄLJE</t>
        </is>
      </c>
      <c r="G211" t="n">
        <v>3.4</v>
      </c>
      <c r="H211" t="n">
        <v>0</v>
      </c>
      <c r="I211" t="n">
        <v>0</v>
      </c>
      <c r="J211" t="n">
        <v>0</v>
      </c>
      <c r="K211" t="n">
        <v>0</v>
      </c>
      <c r="L211" t="n">
        <v>0</v>
      </c>
      <c r="M211" t="n">
        <v>0</v>
      </c>
      <c r="N211" t="n">
        <v>0</v>
      </c>
      <c r="O211" t="n">
        <v>0</v>
      </c>
      <c r="P211" t="n">
        <v>0</v>
      </c>
      <c r="Q211" t="n">
        <v>0</v>
      </c>
      <c r="R211" s="2" t="inlineStr"/>
    </row>
    <row r="212" ht="15" customHeight="1">
      <c r="A212" t="inlineStr">
        <is>
          <t>A 71325-2021</t>
        </is>
      </c>
      <c r="B212" s="1" t="n">
        <v>44539</v>
      </c>
      <c r="C212" s="1" t="n">
        <v>46076</v>
      </c>
      <c r="D212" t="inlineStr">
        <is>
          <t>STOCKHOLMS LÄN</t>
        </is>
      </c>
      <c r="E212" t="inlineStr">
        <is>
          <t>NORRTÄLJE</t>
        </is>
      </c>
      <c r="G212" t="n">
        <v>2.1</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46076</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60813-2021</t>
        </is>
      </c>
      <c r="B214" s="1" t="n">
        <v>44496</v>
      </c>
      <c r="C214" s="1" t="n">
        <v>46076</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46076</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17460-2021</t>
        </is>
      </c>
      <c r="B216" s="1" t="n">
        <v>44299</v>
      </c>
      <c r="C216" s="1" t="n">
        <v>46076</v>
      </c>
      <c r="D216" t="inlineStr">
        <is>
          <t>STOCKHOLMS LÄN</t>
        </is>
      </c>
      <c r="E216" t="inlineStr">
        <is>
          <t>NORRTÄLJE</t>
        </is>
      </c>
      <c r="G216" t="n">
        <v>3.2</v>
      </c>
      <c r="H216" t="n">
        <v>0</v>
      </c>
      <c r="I216" t="n">
        <v>0</v>
      </c>
      <c r="J216" t="n">
        <v>0</v>
      </c>
      <c r="K216" t="n">
        <v>0</v>
      </c>
      <c r="L216" t="n">
        <v>0</v>
      </c>
      <c r="M216" t="n">
        <v>0</v>
      </c>
      <c r="N216" t="n">
        <v>0</v>
      </c>
      <c r="O216" t="n">
        <v>0</v>
      </c>
      <c r="P216" t="n">
        <v>0</v>
      </c>
      <c r="Q216" t="n">
        <v>0</v>
      </c>
      <c r="R216" s="2" t="inlineStr"/>
    </row>
    <row r="217" ht="15" customHeight="1">
      <c r="A217" t="inlineStr">
        <is>
          <t>A 34431-2021</t>
        </is>
      </c>
      <c r="B217" s="1" t="n">
        <v>44380</v>
      </c>
      <c r="C217" s="1" t="n">
        <v>46076</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46076</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5351-2022</t>
        </is>
      </c>
      <c r="B219" s="1" t="n">
        <v>44594.75950231482</v>
      </c>
      <c r="C219" s="1" t="n">
        <v>46076</v>
      </c>
      <c r="D219" t="inlineStr">
        <is>
          <t>STOCKHOLMS LÄN</t>
        </is>
      </c>
      <c r="E219" t="inlineStr">
        <is>
          <t>NORRTÄLJE</t>
        </is>
      </c>
      <c r="G219" t="n">
        <v>4</v>
      </c>
      <c r="H219" t="n">
        <v>0</v>
      </c>
      <c r="I219" t="n">
        <v>0</v>
      </c>
      <c r="J219" t="n">
        <v>0</v>
      </c>
      <c r="K219" t="n">
        <v>0</v>
      </c>
      <c r="L219" t="n">
        <v>0</v>
      </c>
      <c r="M219" t="n">
        <v>0</v>
      </c>
      <c r="N219" t="n">
        <v>0</v>
      </c>
      <c r="O219" t="n">
        <v>0</v>
      </c>
      <c r="P219" t="n">
        <v>0</v>
      </c>
      <c r="Q219" t="n">
        <v>0</v>
      </c>
      <c r="R219" s="2" t="inlineStr"/>
    </row>
    <row r="220" ht="15" customHeight="1">
      <c r="A220" t="inlineStr">
        <is>
          <t>A 22316-2022</t>
        </is>
      </c>
      <c r="B220" s="1" t="n">
        <v>44712.83118055556</v>
      </c>
      <c r="C220" s="1" t="n">
        <v>46076</v>
      </c>
      <c r="D220" t="inlineStr">
        <is>
          <t>STOCKHOLMS LÄN</t>
        </is>
      </c>
      <c r="E220" t="inlineStr">
        <is>
          <t>NORRTÄLJE</t>
        </is>
      </c>
      <c r="G220" t="n">
        <v>6.3</v>
      </c>
      <c r="H220" t="n">
        <v>0</v>
      </c>
      <c r="I220" t="n">
        <v>0</v>
      </c>
      <c r="J220" t="n">
        <v>0</v>
      </c>
      <c r="K220" t="n">
        <v>0</v>
      </c>
      <c r="L220" t="n">
        <v>0</v>
      </c>
      <c r="M220" t="n">
        <v>0</v>
      </c>
      <c r="N220" t="n">
        <v>0</v>
      </c>
      <c r="O220" t="n">
        <v>0</v>
      </c>
      <c r="P220" t="n">
        <v>0</v>
      </c>
      <c r="Q220" t="n">
        <v>0</v>
      </c>
      <c r="R220" s="2" t="inlineStr"/>
    </row>
    <row r="221" ht="15" customHeight="1">
      <c r="A221" t="inlineStr">
        <is>
          <t>A 31092-2022</t>
        </is>
      </c>
      <c r="B221" s="1" t="n">
        <v>44769.62320601852</v>
      </c>
      <c r="C221" s="1" t="n">
        <v>46076</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9467-2021</t>
        </is>
      </c>
      <c r="B222" s="1" t="n">
        <v>44251.43971064815</v>
      </c>
      <c r="C222" s="1" t="n">
        <v>46076</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71871-2021</t>
        </is>
      </c>
      <c r="B223" s="1" t="n">
        <v>44543</v>
      </c>
      <c r="C223" s="1" t="n">
        <v>46076</v>
      </c>
      <c r="D223" t="inlineStr">
        <is>
          <t>STOCKHOLMS LÄN</t>
        </is>
      </c>
      <c r="E223" t="inlineStr">
        <is>
          <t>NORRTÄLJE</t>
        </is>
      </c>
      <c r="G223" t="n">
        <v>2.5</v>
      </c>
      <c r="H223" t="n">
        <v>0</v>
      </c>
      <c r="I223" t="n">
        <v>0</v>
      </c>
      <c r="J223" t="n">
        <v>0</v>
      </c>
      <c r="K223" t="n">
        <v>0</v>
      </c>
      <c r="L223" t="n">
        <v>0</v>
      </c>
      <c r="M223" t="n">
        <v>0</v>
      </c>
      <c r="N223" t="n">
        <v>0</v>
      </c>
      <c r="O223" t="n">
        <v>0</v>
      </c>
      <c r="P223" t="n">
        <v>0</v>
      </c>
      <c r="Q223" t="n">
        <v>0</v>
      </c>
      <c r="R223" s="2" t="inlineStr"/>
    </row>
    <row r="224" ht="15" customHeight="1">
      <c r="A224" t="inlineStr">
        <is>
          <t>A 71873-2021</t>
        </is>
      </c>
      <c r="B224" s="1" t="n">
        <v>44543</v>
      </c>
      <c r="C224" s="1" t="n">
        <v>46076</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72355-2021</t>
        </is>
      </c>
      <c r="B225" s="1" t="n">
        <v>44545</v>
      </c>
      <c r="C225" s="1" t="n">
        <v>46076</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72357-2021</t>
        </is>
      </c>
      <c r="B226" s="1" t="n">
        <v>44545</v>
      </c>
      <c r="C226" s="1" t="n">
        <v>46076</v>
      </c>
      <c r="D226" t="inlineStr">
        <is>
          <t>STOCKHOLMS LÄN</t>
        </is>
      </c>
      <c r="E226" t="inlineStr">
        <is>
          <t>NORRTÄLJE</t>
        </is>
      </c>
      <c r="G226" t="n">
        <v>5.1</v>
      </c>
      <c r="H226" t="n">
        <v>0</v>
      </c>
      <c r="I226" t="n">
        <v>0</v>
      </c>
      <c r="J226" t="n">
        <v>0</v>
      </c>
      <c r="K226" t="n">
        <v>0</v>
      </c>
      <c r="L226" t="n">
        <v>0</v>
      </c>
      <c r="M226" t="n">
        <v>0</v>
      </c>
      <c r="N226" t="n">
        <v>0</v>
      </c>
      <c r="O226" t="n">
        <v>0</v>
      </c>
      <c r="P226" t="n">
        <v>0</v>
      </c>
      <c r="Q226" t="n">
        <v>0</v>
      </c>
      <c r="R226" s="2" t="inlineStr"/>
    </row>
    <row r="227" ht="15" customHeight="1">
      <c r="A227" t="inlineStr">
        <is>
          <t>A 9988-2022</t>
        </is>
      </c>
      <c r="B227" s="1" t="n">
        <v>44621</v>
      </c>
      <c r="C227" s="1" t="n">
        <v>46076</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60733-2021</t>
        </is>
      </c>
      <c r="B228" s="1" t="n">
        <v>44496.77542824074</v>
      </c>
      <c r="C228" s="1" t="n">
        <v>46076</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46076</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12357-2022</t>
        </is>
      </c>
      <c r="B230" s="1" t="n">
        <v>44637</v>
      </c>
      <c r="C230" s="1" t="n">
        <v>46076</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26335-2022</t>
        </is>
      </c>
      <c r="B231" s="1" t="n">
        <v>44735</v>
      </c>
      <c r="C231" s="1" t="n">
        <v>46076</v>
      </c>
      <c r="D231" t="inlineStr">
        <is>
          <t>STOCKHOLMS LÄN</t>
        </is>
      </c>
      <c r="E231" t="inlineStr">
        <is>
          <t>NORRTÄLJE</t>
        </is>
      </c>
      <c r="G231" t="n">
        <v>3.3</v>
      </c>
      <c r="H231" t="n">
        <v>0</v>
      </c>
      <c r="I231" t="n">
        <v>0</v>
      </c>
      <c r="J231" t="n">
        <v>0</v>
      </c>
      <c r="K231" t="n">
        <v>0</v>
      </c>
      <c r="L231" t="n">
        <v>0</v>
      </c>
      <c r="M231" t="n">
        <v>0</v>
      </c>
      <c r="N231" t="n">
        <v>0</v>
      </c>
      <c r="O231" t="n">
        <v>0</v>
      </c>
      <c r="P231" t="n">
        <v>0</v>
      </c>
      <c r="Q231" t="n">
        <v>0</v>
      </c>
      <c r="R231" s="2" t="inlineStr"/>
    </row>
    <row r="232" ht="15" customHeight="1">
      <c r="A232" t="inlineStr">
        <is>
          <t>A 30624-2022</t>
        </is>
      </c>
      <c r="B232" s="1" t="n">
        <v>44763.4182175926</v>
      </c>
      <c r="C232" s="1" t="n">
        <v>46076</v>
      </c>
      <c r="D232" t="inlineStr">
        <is>
          <t>STOCKHOLMS LÄN</t>
        </is>
      </c>
      <c r="E232" t="inlineStr">
        <is>
          <t>NORRTÄLJE</t>
        </is>
      </c>
      <c r="G232" t="n">
        <v>0.7</v>
      </c>
      <c r="H232" t="n">
        <v>0</v>
      </c>
      <c r="I232" t="n">
        <v>0</v>
      </c>
      <c r="J232" t="n">
        <v>0</v>
      </c>
      <c r="K232" t="n">
        <v>0</v>
      </c>
      <c r="L232" t="n">
        <v>0</v>
      </c>
      <c r="M232" t="n">
        <v>0</v>
      </c>
      <c r="N232" t="n">
        <v>0</v>
      </c>
      <c r="O232" t="n">
        <v>0</v>
      </c>
      <c r="P232" t="n">
        <v>0</v>
      </c>
      <c r="Q232" t="n">
        <v>0</v>
      </c>
      <c r="R232" s="2" t="inlineStr"/>
    </row>
    <row r="233" ht="15" customHeight="1">
      <c r="A233" t="inlineStr">
        <is>
          <t>A 33046-2021</t>
        </is>
      </c>
      <c r="B233" s="1" t="n">
        <v>44376</v>
      </c>
      <c r="C233" s="1" t="n">
        <v>46076</v>
      </c>
      <c r="D233" t="inlineStr">
        <is>
          <t>STOCKHOLMS LÄN</t>
        </is>
      </c>
      <c r="E233" t="inlineStr">
        <is>
          <t>NORRTÄLJE</t>
        </is>
      </c>
      <c r="G233" t="n">
        <v>2.1</v>
      </c>
      <c r="H233" t="n">
        <v>0</v>
      </c>
      <c r="I233" t="n">
        <v>0</v>
      </c>
      <c r="J233" t="n">
        <v>0</v>
      </c>
      <c r="K233" t="n">
        <v>0</v>
      </c>
      <c r="L233" t="n">
        <v>0</v>
      </c>
      <c r="M233" t="n">
        <v>0</v>
      </c>
      <c r="N233" t="n">
        <v>0</v>
      </c>
      <c r="O233" t="n">
        <v>0</v>
      </c>
      <c r="P233" t="n">
        <v>0</v>
      </c>
      <c r="Q233" t="n">
        <v>0</v>
      </c>
      <c r="R233" s="2" t="inlineStr"/>
    </row>
    <row r="234" ht="15" customHeight="1">
      <c r="A234" t="inlineStr">
        <is>
          <t>A 26328-2022</t>
        </is>
      </c>
      <c r="B234" s="1" t="n">
        <v>44735</v>
      </c>
      <c r="C234" s="1" t="n">
        <v>46076</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52449-2021</t>
        </is>
      </c>
      <c r="B235" s="1" t="n">
        <v>44466.37496527778</v>
      </c>
      <c r="C235" s="1" t="n">
        <v>46076</v>
      </c>
      <c r="D235" t="inlineStr">
        <is>
          <t>STOCKHOLMS LÄN</t>
        </is>
      </c>
      <c r="E235" t="inlineStr">
        <is>
          <t>NORRTÄLJE</t>
        </is>
      </c>
      <c r="F235" t="inlineStr">
        <is>
          <t>Holmen skog AB</t>
        </is>
      </c>
      <c r="G235" t="n">
        <v>1.8</v>
      </c>
      <c r="H235" t="n">
        <v>0</v>
      </c>
      <c r="I235" t="n">
        <v>0</v>
      </c>
      <c r="J235" t="n">
        <v>0</v>
      </c>
      <c r="K235" t="n">
        <v>0</v>
      </c>
      <c r="L235" t="n">
        <v>0</v>
      </c>
      <c r="M235" t="n">
        <v>0</v>
      </c>
      <c r="N235" t="n">
        <v>0</v>
      </c>
      <c r="O235" t="n">
        <v>0</v>
      </c>
      <c r="P235" t="n">
        <v>0</v>
      </c>
      <c r="Q235" t="n">
        <v>0</v>
      </c>
      <c r="R235" s="2" t="inlineStr"/>
    </row>
    <row r="236" ht="15" customHeight="1">
      <c r="A236" t="inlineStr">
        <is>
          <t>A 15441-2021</t>
        </is>
      </c>
      <c r="B236" s="1" t="n">
        <v>44284</v>
      </c>
      <c r="C236" s="1" t="n">
        <v>46076</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67598-2021</t>
        </is>
      </c>
      <c r="B237" s="1" t="n">
        <v>44524</v>
      </c>
      <c r="C237" s="1" t="n">
        <v>46076</v>
      </c>
      <c r="D237" t="inlineStr">
        <is>
          <t>STOCKHOLMS LÄN</t>
        </is>
      </c>
      <c r="E237" t="inlineStr">
        <is>
          <t>NORRTÄLJE</t>
        </is>
      </c>
      <c r="G237" t="n">
        <v>1.2</v>
      </c>
      <c r="H237" t="n">
        <v>0</v>
      </c>
      <c r="I237" t="n">
        <v>0</v>
      </c>
      <c r="J237" t="n">
        <v>0</v>
      </c>
      <c r="K237" t="n">
        <v>0</v>
      </c>
      <c r="L237" t="n">
        <v>0</v>
      </c>
      <c r="M237" t="n">
        <v>0</v>
      </c>
      <c r="N237" t="n">
        <v>0</v>
      </c>
      <c r="O237" t="n">
        <v>0</v>
      </c>
      <c r="P237" t="n">
        <v>0</v>
      </c>
      <c r="Q237" t="n">
        <v>0</v>
      </c>
      <c r="R237" s="2" t="inlineStr"/>
    </row>
    <row r="238" ht="15" customHeight="1">
      <c r="A238" t="inlineStr">
        <is>
          <t>A 34520-2021</t>
        </is>
      </c>
      <c r="B238" s="1" t="n">
        <v>44379</v>
      </c>
      <c r="C238" s="1" t="n">
        <v>46076</v>
      </c>
      <c r="D238" t="inlineStr">
        <is>
          <t>STOCKHOLMS LÄN</t>
        </is>
      </c>
      <c r="E238" t="inlineStr">
        <is>
          <t>NORRTÄLJE</t>
        </is>
      </c>
      <c r="G238" t="n">
        <v>1.7</v>
      </c>
      <c r="H238" t="n">
        <v>0</v>
      </c>
      <c r="I238" t="n">
        <v>0</v>
      </c>
      <c r="J238" t="n">
        <v>0</v>
      </c>
      <c r="K238" t="n">
        <v>0</v>
      </c>
      <c r="L238" t="n">
        <v>0</v>
      </c>
      <c r="M238" t="n">
        <v>0</v>
      </c>
      <c r="N238" t="n">
        <v>0</v>
      </c>
      <c r="O238" t="n">
        <v>0</v>
      </c>
      <c r="P238" t="n">
        <v>0</v>
      </c>
      <c r="Q238" t="n">
        <v>0</v>
      </c>
      <c r="R238" s="2" t="inlineStr"/>
    </row>
    <row r="239" ht="15" customHeight="1">
      <c r="A239" t="inlineStr">
        <is>
          <t>A 1968-2022</t>
        </is>
      </c>
      <c r="B239" s="1" t="n">
        <v>44575.52831018518</v>
      </c>
      <c r="C239" s="1" t="n">
        <v>46076</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1229-2022</t>
        </is>
      </c>
      <c r="B240" s="1" t="n">
        <v>44572</v>
      </c>
      <c r="C240" s="1" t="n">
        <v>46076</v>
      </c>
      <c r="D240" t="inlineStr">
        <is>
          <t>STOCKHOLMS LÄN</t>
        </is>
      </c>
      <c r="E240" t="inlineStr">
        <is>
          <t>NORRTÄLJE</t>
        </is>
      </c>
      <c r="G240" t="n">
        <v>11.5</v>
      </c>
      <c r="H240" t="n">
        <v>0</v>
      </c>
      <c r="I240" t="n">
        <v>0</v>
      </c>
      <c r="J240" t="n">
        <v>0</v>
      </c>
      <c r="K240" t="n">
        <v>0</v>
      </c>
      <c r="L240" t="n">
        <v>0</v>
      </c>
      <c r="M240" t="n">
        <v>0</v>
      </c>
      <c r="N240" t="n">
        <v>0</v>
      </c>
      <c r="O240" t="n">
        <v>0</v>
      </c>
      <c r="P240" t="n">
        <v>0</v>
      </c>
      <c r="Q240" t="n">
        <v>0</v>
      </c>
      <c r="R240" s="2" t="inlineStr"/>
    </row>
    <row r="241" ht="15" customHeight="1">
      <c r="A241" t="inlineStr">
        <is>
          <t>A 14051-2022</t>
        </is>
      </c>
      <c r="B241" s="1" t="n">
        <v>44650.92714120371</v>
      </c>
      <c r="C241" s="1" t="n">
        <v>46076</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24167-2022</t>
        </is>
      </c>
      <c r="B242" s="1" t="n">
        <v>44725.49491898148</v>
      </c>
      <c r="C242" s="1" t="n">
        <v>46076</v>
      </c>
      <c r="D242" t="inlineStr">
        <is>
          <t>STOCKHOLMS LÄN</t>
        </is>
      </c>
      <c r="E242" t="inlineStr">
        <is>
          <t>NORRTÄLJE</t>
        </is>
      </c>
      <c r="G242" t="n">
        <v>3.4</v>
      </c>
      <c r="H242" t="n">
        <v>0</v>
      </c>
      <c r="I242" t="n">
        <v>0</v>
      </c>
      <c r="J242" t="n">
        <v>0</v>
      </c>
      <c r="K242" t="n">
        <v>0</v>
      </c>
      <c r="L242" t="n">
        <v>0</v>
      </c>
      <c r="M242" t="n">
        <v>0</v>
      </c>
      <c r="N242" t="n">
        <v>0</v>
      </c>
      <c r="O242" t="n">
        <v>0</v>
      </c>
      <c r="P242" t="n">
        <v>0</v>
      </c>
      <c r="Q242" t="n">
        <v>0</v>
      </c>
      <c r="R242" s="2" t="inlineStr"/>
    </row>
    <row r="243" ht="15" customHeight="1">
      <c r="A243" t="inlineStr">
        <is>
          <t>A 42396-2021</t>
        </is>
      </c>
      <c r="B243" s="1" t="n">
        <v>44427</v>
      </c>
      <c r="C243" s="1" t="n">
        <v>46076</v>
      </c>
      <c r="D243" t="inlineStr">
        <is>
          <t>STOCKHOLMS LÄN</t>
        </is>
      </c>
      <c r="E243" t="inlineStr">
        <is>
          <t>NORRTÄLJE</t>
        </is>
      </c>
      <c r="G243" t="n">
        <v>2</v>
      </c>
      <c r="H243" t="n">
        <v>0</v>
      </c>
      <c r="I243" t="n">
        <v>0</v>
      </c>
      <c r="J243" t="n">
        <v>0</v>
      </c>
      <c r="K243" t="n">
        <v>0</v>
      </c>
      <c r="L243" t="n">
        <v>0</v>
      </c>
      <c r="M243" t="n">
        <v>0</v>
      </c>
      <c r="N243" t="n">
        <v>0</v>
      </c>
      <c r="O243" t="n">
        <v>0</v>
      </c>
      <c r="P243" t="n">
        <v>0</v>
      </c>
      <c r="Q243" t="n">
        <v>0</v>
      </c>
      <c r="R243" s="2" t="inlineStr"/>
    </row>
    <row r="244" ht="15" customHeight="1">
      <c r="A244" t="inlineStr">
        <is>
          <t>A 2732-2022</t>
        </is>
      </c>
      <c r="B244" s="1" t="n">
        <v>44580</v>
      </c>
      <c r="C244" s="1" t="n">
        <v>46076</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31924-2022</t>
        </is>
      </c>
      <c r="B245" s="1" t="n">
        <v>44777</v>
      </c>
      <c r="C245" s="1" t="n">
        <v>46076</v>
      </c>
      <c r="D245" t="inlineStr">
        <is>
          <t>STOCKHOLMS LÄN</t>
        </is>
      </c>
      <c r="E245" t="inlineStr">
        <is>
          <t>NORRTÄLJE</t>
        </is>
      </c>
      <c r="G245" t="n">
        <v>0.7</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46076</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16119-2022</t>
        </is>
      </c>
      <c r="B247" s="1" t="n">
        <v>44665.66407407408</v>
      </c>
      <c r="C247" s="1" t="n">
        <v>46076</v>
      </c>
      <c r="D247" t="inlineStr">
        <is>
          <t>STOCKHOLMS LÄN</t>
        </is>
      </c>
      <c r="E247" t="inlineStr">
        <is>
          <t>NORRTÄLJE</t>
        </is>
      </c>
      <c r="G247" t="n">
        <v>3.9</v>
      </c>
      <c r="H247" t="n">
        <v>0</v>
      </c>
      <c r="I247" t="n">
        <v>0</v>
      </c>
      <c r="J247" t="n">
        <v>0</v>
      </c>
      <c r="K247" t="n">
        <v>0</v>
      </c>
      <c r="L247" t="n">
        <v>0</v>
      </c>
      <c r="M247" t="n">
        <v>0</v>
      </c>
      <c r="N247" t="n">
        <v>0</v>
      </c>
      <c r="O247" t="n">
        <v>0</v>
      </c>
      <c r="P247" t="n">
        <v>0</v>
      </c>
      <c r="Q247" t="n">
        <v>0</v>
      </c>
      <c r="R247" s="2" t="inlineStr"/>
    </row>
    <row r="248" ht="15" customHeight="1">
      <c r="A248" t="inlineStr">
        <is>
          <t>A 14543-2022</t>
        </is>
      </c>
      <c r="B248" s="1" t="n">
        <v>44655.45373842592</v>
      </c>
      <c r="C248" s="1" t="n">
        <v>46076</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46076</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28042-2022</t>
        </is>
      </c>
      <c r="B250" s="1" t="n">
        <v>44744</v>
      </c>
      <c r="C250" s="1" t="n">
        <v>46076</v>
      </c>
      <c r="D250" t="inlineStr">
        <is>
          <t>STOCKHOLMS LÄN</t>
        </is>
      </c>
      <c r="E250" t="inlineStr">
        <is>
          <t>NORRTÄLJE</t>
        </is>
      </c>
      <c r="G250" t="n">
        <v>0.2</v>
      </c>
      <c r="H250" t="n">
        <v>0</v>
      </c>
      <c r="I250" t="n">
        <v>0</v>
      </c>
      <c r="J250" t="n">
        <v>0</v>
      </c>
      <c r="K250" t="n">
        <v>0</v>
      </c>
      <c r="L250" t="n">
        <v>0</v>
      </c>
      <c r="M250" t="n">
        <v>0</v>
      </c>
      <c r="N250" t="n">
        <v>0</v>
      </c>
      <c r="O250" t="n">
        <v>0</v>
      </c>
      <c r="P250" t="n">
        <v>0</v>
      </c>
      <c r="Q250" t="n">
        <v>0</v>
      </c>
      <c r="R250" s="2" t="inlineStr"/>
    </row>
    <row r="251" ht="15" customHeight="1">
      <c r="A251" t="inlineStr">
        <is>
          <t>A 41398-2022</t>
        </is>
      </c>
      <c r="B251" s="1" t="n">
        <v>44826</v>
      </c>
      <c r="C251" s="1" t="n">
        <v>46076</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22369-2021</t>
        </is>
      </c>
      <c r="B252" s="1" t="n">
        <v>44326</v>
      </c>
      <c r="C252" s="1" t="n">
        <v>46076</v>
      </c>
      <c r="D252" t="inlineStr">
        <is>
          <t>STOCKHOLMS LÄN</t>
        </is>
      </c>
      <c r="E252" t="inlineStr">
        <is>
          <t>NORRTÄLJE</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19398-2021</t>
        </is>
      </c>
      <c r="B253" s="1" t="n">
        <v>44309</v>
      </c>
      <c r="C253" s="1" t="n">
        <v>46076</v>
      </c>
      <c r="D253" t="inlineStr">
        <is>
          <t>STOCKHOLMS LÄN</t>
        </is>
      </c>
      <c r="E253" t="inlineStr">
        <is>
          <t>NORRTÄLJE</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45541-2022</t>
        </is>
      </c>
      <c r="B254" s="1" t="n">
        <v>44845.47672453704</v>
      </c>
      <c r="C254" s="1" t="n">
        <v>46076</v>
      </c>
      <c r="D254" t="inlineStr">
        <is>
          <t>STOCKHOLMS LÄN</t>
        </is>
      </c>
      <c r="E254" t="inlineStr">
        <is>
          <t>NORRTÄLJE</t>
        </is>
      </c>
      <c r="G254" t="n">
        <v>0.4</v>
      </c>
      <c r="H254" t="n">
        <v>0</v>
      </c>
      <c r="I254" t="n">
        <v>0</v>
      </c>
      <c r="J254" t="n">
        <v>0</v>
      </c>
      <c r="K254" t="n">
        <v>0</v>
      </c>
      <c r="L254" t="n">
        <v>0</v>
      </c>
      <c r="M254" t="n">
        <v>0</v>
      </c>
      <c r="N254" t="n">
        <v>0</v>
      </c>
      <c r="O254" t="n">
        <v>0</v>
      </c>
      <c r="P254" t="n">
        <v>0</v>
      </c>
      <c r="Q254" t="n">
        <v>0</v>
      </c>
      <c r="R254" s="2" t="inlineStr"/>
    </row>
    <row r="255" ht="15" customHeight="1">
      <c r="A255" t="inlineStr">
        <is>
          <t>A 12779-2021</t>
        </is>
      </c>
      <c r="B255" s="1" t="n">
        <v>44270</v>
      </c>
      <c r="C255" s="1" t="n">
        <v>46076</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12782-2021</t>
        </is>
      </c>
      <c r="B256" s="1" t="n">
        <v>44270</v>
      </c>
      <c r="C256" s="1" t="n">
        <v>46076</v>
      </c>
      <c r="D256" t="inlineStr">
        <is>
          <t>STOCKHOLMS LÄN</t>
        </is>
      </c>
      <c r="E256" t="inlineStr">
        <is>
          <t>NORRTÄLJE</t>
        </is>
      </c>
      <c r="G256" t="n">
        <v>3.8</v>
      </c>
      <c r="H256" t="n">
        <v>0</v>
      </c>
      <c r="I256" t="n">
        <v>0</v>
      </c>
      <c r="J256" t="n">
        <v>0</v>
      </c>
      <c r="K256" t="n">
        <v>0</v>
      </c>
      <c r="L256" t="n">
        <v>0</v>
      </c>
      <c r="M256" t="n">
        <v>0</v>
      </c>
      <c r="N256" t="n">
        <v>0</v>
      </c>
      <c r="O256" t="n">
        <v>0</v>
      </c>
      <c r="P256" t="n">
        <v>0</v>
      </c>
      <c r="Q256" t="n">
        <v>0</v>
      </c>
      <c r="R256" s="2" t="inlineStr"/>
    </row>
    <row r="257" ht="15" customHeight="1">
      <c r="A257" t="inlineStr">
        <is>
          <t>A 68273-2021</t>
        </is>
      </c>
      <c r="B257" s="1" t="n">
        <v>44526</v>
      </c>
      <c r="C257" s="1" t="n">
        <v>46076</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52139-2022</t>
        </is>
      </c>
      <c r="B258" s="1" t="n">
        <v>44868</v>
      </c>
      <c r="C258" s="1" t="n">
        <v>46076</v>
      </c>
      <c r="D258" t="inlineStr">
        <is>
          <t>STOCKHOLMS LÄN</t>
        </is>
      </c>
      <c r="E258" t="inlineStr">
        <is>
          <t>NORRTÄLJE</t>
        </is>
      </c>
      <c r="G258" t="n">
        <v>3.2</v>
      </c>
      <c r="H258" t="n">
        <v>0</v>
      </c>
      <c r="I258" t="n">
        <v>0</v>
      </c>
      <c r="J258" t="n">
        <v>0</v>
      </c>
      <c r="K258" t="n">
        <v>0</v>
      </c>
      <c r="L258" t="n">
        <v>0</v>
      </c>
      <c r="M258" t="n">
        <v>0</v>
      </c>
      <c r="N258" t="n">
        <v>0</v>
      </c>
      <c r="O258" t="n">
        <v>0</v>
      </c>
      <c r="P258" t="n">
        <v>0</v>
      </c>
      <c r="Q258" t="n">
        <v>0</v>
      </c>
      <c r="R258" s="2" t="inlineStr"/>
      <c r="U258">
        <f>HYPERLINK("https://klasma.github.io/Logging_0188/knärot/A 52139-2022 karta knärot.png", "A 52139-2022")</f>
        <v/>
      </c>
      <c r="V258">
        <f>HYPERLINK("https://klasma.github.io/Logging_0188/klagomål/A 52139-2022 FSC-klagomål.docx", "A 52139-2022")</f>
        <v/>
      </c>
      <c r="W258">
        <f>HYPERLINK("https://klasma.github.io/Logging_0188/klagomålsmail/A 52139-2022 FSC-klagomål mail.docx", "A 52139-2022")</f>
        <v/>
      </c>
      <c r="X258">
        <f>HYPERLINK("https://klasma.github.io/Logging_0188/tillsyn/A 52139-2022 tillsynsbegäran.docx", "A 52139-2022")</f>
        <v/>
      </c>
      <c r="Y258">
        <f>HYPERLINK("https://klasma.github.io/Logging_0188/tillsynsmail/A 52139-2022 tillsynsbegäran mail.docx", "A 52139-2022")</f>
        <v/>
      </c>
    </row>
    <row r="259" ht="15" customHeight="1">
      <c r="A259" t="inlineStr">
        <is>
          <t>A 9446-2021</t>
        </is>
      </c>
      <c r="B259" s="1" t="n">
        <v>44251</v>
      </c>
      <c r="C259" s="1" t="n">
        <v>46076</v>
      </c>
      <c r="D259" t="inlineStr">
        <is>
          <t>STOCKHOLMS LÄN</t>
        </is>
      </c>
      <c r="E259" t="inlineStr">
        <is>
          <t>NORRTÄLJE</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17673-2021</t>
        </is>
      </c>
      <c r="B260" s="1" t="n">
        <v>44300</v>
      </c>
      <c r="C260" s="1" t="n">
        <v>46076</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c r="T260">
        <f>HYPERLINK("https://klasma.github.io/Logging_0188/kartor/A 17673-2021 karta.png", "A 17673-2021")</f>
        <v/>
      </c>
      <c r="V260">
        <f>HYPERLINK("https://klasma.github.io/Logging_0188/klagomål/A 17673-2021 FSC-klagomål.docx", "A 17673-2021")</f>
        <v/>
      </c>
      <c r="W260">
        <f>HYPERLINK("https://klasma.github.io/Logging_0188/klagomålsmail/A 17673-2021 FSC-klagomål mail.docx", "A 17673-2021")</f>
        <v/>
      </c>
      <c r="X260">
        <f>HYPERLINK("https://klasma.github.io/Logging_0188/tillsyn/A 17673-2021 tillsynsbegäran.docx", "A 17673-2021")</f>
        <v/>
      </c>
      <c r="Y260">
        <f>HYPERLINK("https://klasma.github.io/Logging_0188/tillsynsmail/A 17673-2021 tillsynsbegäran mail.docx", "A 17673-2021")</f>
        <v/>
      </c>
      <c r="Z260">
        <f>HYPERLINK("https://klasma.github.io/Logging_0188/fåglar/A 17673-2021 prioriterade fågelarter.docx", "A 17673-2021")</f>
        <v/>
      </c>
    </row>
    <row r="261" ht="15" customHeight="1">
      <c r="A261" t="inlineStr">
        <is>
          <t>A 27217-2021</t>
        </is>
      </c>
      <c r="B261" s="1" t="n">
        <v>44350</v>
      </c>
      <c r="C261" s="1" t="n">
        <v>46076</v>
      </c>
      <c r="D261" t="inlineStr">
        <is>
          <t>STOCKHOLMS LÄN</t>
        </is>
      </c>
      <c r="E261" t="inlineStr">
        <is>
          <t>NORRTÄLJE</t>
        </is>
      </c>
      <c r="G261" t="n">
        <v>5.5</v>
      </c>
      <c r="H261" t="n">
        <v>0</v>
      </c>
      <c r="I261" t="n">
        <v>0</v>
      </c>
      <c r="J261" t="n">
        <v>0</v>
      </c>
      <c r="K261" t="n">
        <v>0</v>
      </c>
      <c r="L261" t="n">
        <v>0</v>
      </c>
      <c r="M261" t="n">
        <v>0</v>
      </c>
      <c r="N261" t="n">
        <v>0</v>
      </c>
      <c r="O261" t="n">
        <v>0</v>
      </c>
      <c r="P261" t="n">
        <v>0</v>
      </c>
      <c r="Q261" t="n">
        <v>0</v>
      </c>
      <c r="R261" s="2" t="inlineStr"/>
    </row>
    <row r="262" ht="15" customHeight="1">
      <c r="A262" t="inlineStr">
        <is>
          <t>A 62030-2021</t>
        </is>
      </c>
      <c r="B262" s="1" t="n">
        <v>44502</v>
      </c>
      <c r="C262" s="1" t="n">
        <v>46076</v>
      </c>
      <c r="D262" t="inlineStr">
        <is>
          <t>STOCKHOLMS LÄN</t>
        </is>
      </c>
      <c r="E262" t="inlineStr">
        <is>
          <t>NORRTÄLJE</t>
        </is>
      </c>
      <c r="G262" t="n">
        <v>4.7</v>
      </c>
      <c r="H262" t="n">
        <v>0</v>
      </c>
      <c r="I262" t="n">
        <v>0</v>
      </c>
      <c r="J262" t="n">
        <v>0</v>
      </c>
      <c r="K262" t="n">
        <v>0</v>
      </c>
      <c r="L262" t="n">
        <v>0</v>
      </c>
      <c r="M262" t="n">
        <v>0</v>
      </c>
      <c r="N262" t="n">
        <v>0</v>
      </c>
      <c r="O262" t="n">
        <v>0</v>
      </c>
      <c r="P262" t="n">
        <v>0</v>
      </c>
      <c r="Q262" t="n">
        <v>0</v>
      </c>
      <c r="R262" s="2" t="inlineStr"/>
    </row>
    <row r="263" ht="15" customHeight="1">
      <c r="A263" t="inlineStr">
        <is>
          <t>A 12875-2022</t>
        </is>
      </c>
      <c r="B263" s="1" t="n">
        <v>44642.55565972222</v>
      </c>
      <c r="C263" s="1" t="n">
        <v>46076</v>
      </c>
      <c r="D263" t="inlineStr">
        <is>
          <t>STOCKHOLMS LÄN</t>
        </is>
      </c>
      <c r="E263" t="inlineStr">
        <is>
          <t>NORRTÄLJE</t>
        </is>
      </c>
      <c r="G263" t="n">
        <v>1.6</v>
      </c>
      <c r="H263" t="n">
        <v>0</v>
      </c>
      <c r="I263" t="n">
        <v>0</v>
      </c>
      <c r="J263" t="n">
        <v>0</v>
      </c>
      <c r="K263" t="n">
        <v>0</v>
      </c>
      <c r="L263" t="n">
        <v>0</v>
      </c>
      <c r="M263" t="n">
        <v>0</v>
      </c>
      <c r="N263" t="n">
        <v>0</v>
      </c>
      <c r="O263" t="n">
        <v>0</v>
      </c>
      <c r="P263" t="n">
        <v>0</v>
      </c>
      <c r="Q263" t="n">
        <v>0</v>
      </c>
      <c r="R263" s="2" t="inlineStr"/>
    </row>
    <row r="264" ht="15" customHeight="1">
      <c r="A264" t="inlineStr">
        <is>
          <t>A 23453-2021</t>
        </is>
      </c>
      <c r="B264" s="1" t="n">
        <v>44333</v>
      </c>
      <c r="C264" s="1" t="n">
        <v>46076</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27214-2021</t>
        </is>
      </c>
      <c r="B265" s="1" t="n">
        <v>44350</v>
      </c>
      <c r="C265" s="1" t="n">
        <v>46076</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12355-2022</t>
        </is>
      </c>
      <c r="B266" s="1" t="n">
        <v>44637</v>
      </c>
      <c r="C266" s="1" t="n">
        <v>46076</v>
      </c>
      <c r="D266" t="inlineStr">
        <is>
          <t>STOCKHOLMS LÄN</t>
        </is>
      </c>
      <c r="E266" t="inlineStr">
        <is>
          <t>NORRTÄLJE</t>
        </is>
      </c>
      <c r="G266" t="n">
        <v>10.4</v>
      </c>
      <c r="H266" t="n">
        <v>0</v>
      </c>
      <c r="I266" t="n">
        <v>0</v>
      </c>
      <c r="J266" t="n">
        <v>0</v>
      </c>
      <c r="K266" t="n">
        <v>0</v>
      </c>
      <c r="L266" t="n">
        <v>0</v>
      </c>
      <c r="M266" t="n">
        <v>0</v>
      </c>
      <c r="N266" t="n">
        <v>0</v>
      </c>
      <c r="O266" t="n">
        <v>0</v>
      </c>
      <c r="P266" t="n">
        <v>0</v>
      </c>
      <c r="Q266" t="n">
        <v>0</v>
      </c>
      <c r="R266" s="2" t="inlineStr"/>
    </row>
    <row r="267" ht="15" customHeight="1">
      <c r="A267" t="inlineStr">
        <is>
          <t>A 41822-2021</t>
        </is>
      </c>
      <c r="B267" s="1" t="n">
        <v>44425</v>
      </c>
      <c r="C267" s="1" t="n">
        <v>46076</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41823-2021</t>
        </is>
      </c>
      <c r="B268" s="1" t="n">
        <v>44425</v>
      </c>
      <c r="C268" s="1" t="n">
        <v>46076</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7565-2022</t>
        </is>
      </c>
      <c r="B269" s="1" t="n">
        <v>44607</v>
      </c>
      <c r="C269" s="1" t="n">
        <v>46076</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20295-2022</t>
        </is>
      </c>
      <c r="B270" s="1" t="n">
        <v>44698</v>
      </c>
      <c r="C270" s="1" t="n">
        <v>46076</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37415-2021</t>
        </is>
      </c>
      <c r="B271" s="1" t="n">
        <v>44397</v>
      </c>
      <c r="C271" s="1" t="n">
        <v>46076</v>
      </c>
      <c r="D271" t="inlineStr">
        <is>
          <t>STOCKHOLMS LÄN</t>
        </is>
      </c>
      <c r="E271" t="inlineStr">
        <is>
          <t>NORRTÄLJE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8160-2022</t>
        </is>
      </c>
      <c r="B272" s="1" t="n">
        <v>44609</v>
      </c>
      <c r="C272" s="1" t="n">
        <v>46076</v>
      </c>
      <c r="D272" t="inlineStr">
        <is>
          <t>STOCKHOLMS LÄN</t>
        </is>
      </c>
      <c r="E272" t="inlineStr">
        <is>
          <t>NORRTÄLJE</t>
        </is>
      </c>
      <c r="G272" t="n">
        <v>3.9</v>
      </c>
      <c r="H272" t="n">
        <v>0</v>
      </c>
      <c r="I272" t="n">
        <v>0</v>
      </c>
      <c r="J272" t="n">
        <v>0</v>
      </c>
      <c r="K272" t="n">
        <v>0</v>
      </c>
      <c r="L272" t="n">
        <v>0</v>
      </c>
      <c r="M272" t="n">
        <v>0</v>
      </c>
      <c r="N272" t="n">
        <v>0</v>
      </c>
      <c r="O272" t="n">
        <v>0</v>
      </c>
      <c r="P272" t="n">
        <v>0</v>
      </c>
      <c r="Q272" t="n">
        <v>0</v>
      </c>
      <c r="R272" s="2" t="inlineStr"/>
    </row>
    <row r="273" ht="15" customHeight="1">
      <c r="A273" t="inlineStr">
        <is>
          <t>A 30286-2022</t>
        </is>
      </c>
      <c r="B273" s="1" t="n">
        <v>44760</v>
      </c>
      <c r="C273" s="1" t="n">
        <v>46076</v>
      </c>
      <c r="D273" t="inlineStr">
        <is>
          <t>STOCKHOLMS LÄN</t>
        </is>
      </c>
      <c r="E273" t="inlineStr">
        <is>
          <t>NORRTÄLJE</t>
        </is>
      </c>
      <c r="G273" t="n">
        <v>0.3</v>
      </c>
      <c r="H273" t="n">
        <v>0</v>
      </c>
      <c r="I273" t="n">
        <v>0</v>
      </c>
      <c r="J273" t="n">
        <v>0</v>
      </c>
      <c r="K273" t="n">
        <v>0</v>
      </c>
      <c r="L273" t="n">
        <v>0</v>
      </c>
      <c r="M273" t="n">
        <v>0</v>
      </c>
      <c r="N273" t="n">
        <v>0</v>
      </c>
      <c r="O273" t="n">
        <v>0</v>
      </c>
      <c r="P273" t="n">
        <v>0</v>
      </c>
      <c r="Q273" t="n">
        <v>0</v>
      </c>
      <c r="R273" s="2" t="inlineStr"/>
    </row>
    <row r="274" ht="15" customHeight="1">
      <c r="A274" t="inlineStr">
        <is>
          <t>A 56219-2021</t>
        </is>
      </c>
      <c r="B274" s="1" t="n">
        <v>44477</v>
      </c>
      <c r="C274" s="1" t="n">
        <v>46076</v>
      </c>
      <c r="D274" t="inlineStr">
        <is>
          <t>STOCKHOLMS LÄN</t>
        </is>
      </c>
      <c r="E274" t="inlineStr">
        <is>
          <t>NORRTÄLJE</t>
        </is>
      </c>
      <c r="F274" t="inlineStr">
        <is>
          <t>Kommuner</t>
        </is>
      </c>
      <c r="G274" t="n">
        <v>2.3</v>
      </c>
      <c r="H274" t="n">
        <v>0</v>
      </c>
      <c r="I274" t="n">
        <v>0</v>
      </c>
      <c r="J274" t="n">
        <v>0</v>
      </c>
      <c r="K274" t="n">
        <v>0</v>
      </c>
      <c r="L274" t="n">
        <v>0</v>
      </c>
      <c r="M274" t="n">
        <v>0</v>
      </c>
      <c r="N274" t="n">
        <v>0</v>
      </c>
      <c r="O274" t="n">
        <v>0</v>
      </c>
      <c r="P274" t="n">
        <v>0</v>
      </c>
      <c r="Q274" t="n">
        <v>0</v>
      </c>
      <c r="R274" s="2" t="inlineStr"/>
    </row>
    <row r="275" ht="15" customHeight="1">
      <c r="A275" t="inlineStr">
        <is>
          <t>A 39319-2022</t>
        </is>
      </c>
      <c r="B275" s="1" t="n">
        <v>44817.70516203704</v>
      </c>
      <c r="C275" s="1" t="n">
        <v>46076</v>
      </c>
      <c r="D275" t="inlineStr">
        <is>
          <t>STOCKHOLMS LÄN</t>
        </is>
      </c>
      <c r="E275" t="inlineStr">
        <is>
          <t>NORRTÄLJE</t>
        </is>
      </c>
      <c r="G275" t="n">
        <v>1.4</v>
      </c>
      <c r="H275" t="n">
        <v>0</v>
      </c>
      <c r="I275" t="n">
        <v>0</v>
      </c>
      <c r="J275" t="n">
        <v>0</v>
      </c>
      <c r="K275" t="n">
        <v>0</v>
      </c>
      <c r="L275" t="n">
        <v>0</v>
      </c>
      <c r="M275" t="n">
        <v>0</v>
      </c>
      <c r="N275" t="n">
        <v>0</v>
      </c>
      <c r="O275" t="n">
        <v>0</v>
      </c>
      <c r="P275" t="n">
        <v>0</v>
      </c>
      <c r="Q275" t="n">
        <v>0</v>
      </c>
      <c r="R275" s="2" t="inlineStr"/>
    </row>
    <row r="276" ht="15" customHeight="1">
      <c r="A276" t="inlineStr">
        <is>
          <t>A 15226-2022</t>
        </is>
      </c>
      <c r="B276" s="1" t="n">
        <v>44658</v>
      </c>
      <c r="C276" s="1" t="n">
        <v>46076</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3300-2022</t>
        </is>
      </c>
      <c r="B277" s="1" t="n">
        <v>44584.91538194445</v>
      </c>
      <c r="C277" s="1" t="n">
        <v>46076</v>
      </c>
      <c r="D277" t="inlineStr">
        <is>
          <t>STOCKHOLMS LÄN</t>
        </is>
      </c>
      <c r="E277" t="inlineStr">
        <is>
          <t>NORRTÄLJE</t>
        </is>
      </c>
      <c r="G277" t="n">
        <v>0.4</v>
      </c>
      <c r="H277" t="n">
        <v>0</v>
      </c>
      <c r="I277" t="n">
        <v>0</v>
      </c>
      <c r="J277" t="n">
        <v>0</v>
      </c>
      <c r="K277" t="n">
        <v>0</v>
      </c>
      <c r="L277" t="n">
        <v>0</v>
      </c>
      <c r="M277" t="n">
        <v>0</v>
      </c>
      <c r="N277" t="n">
        <v>0</v>
      </c>
      <c r="O277" t="n">
        <v>0</v>
      </c>
      <c r="P277" t="n">
        <v>0</v>
      </c>
      <c r="Q277" t="n">
        <v>0</v>
      </c>
      <c r="R277" s="2" t="inlineStr"/>
    </row>
    <row r="278" ht="15" customHeight="1">
      <c r="A278" t="inlineStr">
        <is>
          <t>A 17388-2022</t>
        </is>
      </c>
      <c r="B278" s="1" t="n">
        <v>44678</v>
      </c>
      <c r="C278" s="1" t="n">
        <v>46076</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10521-2022</t>
        </is>
      </c>
      <c r="B279" s="1" t="n">
        <v>44623</v>
      </c>
      <c r="C279" s="1" t="n">
        <v>46076</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17771-2022</t>
        </is>
      </c>
      <c r="B280" s="1" t="n">
        <v>44682.75924768519</v>
      </c>
      <c r="C280" s="1" t="n">
        <v>46076</v>
      </c>
      <c r="D280" t="inlineStr">
        <is>
          <t>STOCKHOLMS LÄN</t>
        </is>
      </c>
      <c r="E280" t="inlineStr">
        <is>
          <t>NORRTÄLJE</t>
        </is>
      </c>
      <c r="G280" t="n">
        <v>13.3</v>
      </c>
      <c r="H280" t="n">
        <v>0</v>
      </c>
      <c r="I280" t="n">
        <v>0</v>
      </c>
      <c r="J280" t="n">
        <v>0</v>
      </c>
      <c r="K280" t="n">
        <v>0</v>
      </c>
      <c r="L280" t="n">
        <v>0</v>
      </c>
      <c r="M280" t="n">
        <v>0</v>
      </c>
      <c r="N280" t="n">
        <v>0</v>
      </c>
      <c r="O280" t="n">
        <v>0</v>
      </c>
      <c r="P280" t="n">
        <v>0</v>
      </c>
      <c r="Q280" t="n">
        <v>0</v>
      </c>
      <c r="R280" s="2" t="inlineStr"/>
    </row>
    <row r="281" ht="15" customHeight="1">
      <c r="A281" t="inlineStr">
        <is>
          <t>A 17773-2022</t>
        </is>
      </c>
      <c r="B281" s="1" t="n">
        <v>44682.77616898148</v>
      </c>
      <c r="C281" s="1" t="n">
        <v>46076</v>
      </c>
      <c r="D281" t="inlineStr">
        <is>
          <t>STOCKHOLMS LÄN</t>
        </is>
      </c>
      <c r="E281" t="inlineStr">
        <is>
          <t>NORRTÄLJE</t>
        </is>
      </c>
      <c r="G281" t="n">
        <v>10.8</v>
      </c>
      <c r="H281" t="n">
        <v>0</v>
      </c>
      <c r="I281" t="n">
        <v>0</v>
      </c>
      <c r="J281" t="n">
        <v>0</v>
      </c>
      <c r="K281" t="n">
        <v>0</v>
      </c>
      <c r="L281" t="n">
        <v>0</v>
      </c>
      <c r="M281" t="n">
        <v>0</v>
      </c>
      <c r="N281" t="n">
        <v>0</v>
      </c>
      <c r="O281" t="n">
        <v>0</v>
      </c>
      <c r="P281" t="n">
        <v>0</v>
      </c>
      <c r="Q281" t="n">
        <v>0</v>
      </c>
      <c r="R281" s="2" t="inlineStr"/>
    </row>
    <row r="282" ht="15" customHeight="1">
      <c r="A282" t="inlineStr">
        <is>
          <t>A 16117-2022</t>
        </is>
      </c>
      <c r="B282" s="1" t="n">
        <v>44665.65474537037</v>
      </c>
      <c r="C282" s="1" t="n">
        <v>46076</v>
      </c>
      <c r="D282" t="inlineStr">
        <is>
          <t>STOCKHOLMS LÄN</t>
        </is>
      </c>
      <c r="E282" t="inlineStr">
        <is>
          <t>NORRTÄLJE</t>
        </is>
      </c>
      <c r="G282" t="n">
        <v>8.1</v>
      </c>
      <c r="H282" t="n">
        <v>0</v>
      </c>
      <c r="I282" t="n">
        <v>0</v>
      </c>
      <c r="J282" t="n">
        <v>0</v>
      </c>
      <c r="K282" t="n">
        <v>0</v>
      </c>
      <c r="L282" t="n">
        <v>0</v>
      </c>
      <c r="M282" t="n">
        <v>0</v>
      </c>
      <c r="N282" t="n">
        <v>0</v>
      </c>
      <c r="O282" t="n">
        <v>0</v>
      </c>
      <c r="P282" t="n">
        <v>0</v>
      </c>
      <c r="Q282" t="n">
        <v>0</v>
      </c>
      <c r="R282" s="2" t="inlineStr"/>
    </row>
    <row r="283" ht="15" customHeight="1">
      <c r="A283" t="inlineStr">
        <is>
          <t>A 16132-2022</t>
        </is>
      </c>
      <c r="B283" s="1" t="n">
        <v>44665.78351851852</v>
      </c>
      <c r="C283" s="1" t="n">
        <v>46076</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70170-2021</t>
        </is>
      </c>
      <c r="B284" s="1" t="n">
        <v>44533</v>
      </c>
      <c r="C284" s="1" t="n">
        <v>46076</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25463-2021</t>
        </is>
      </c>
      <c r="B285" s="1" t="n">
        <v>44342</v>
      </c>
      <c r="C285" s="1" t="n">
        <v>46076</v>
      </c>
      <c r="D285" t="inlineStr">
        <is>
          <t>STOCKHOLMS LÄN</t>
        </is>
      </c>
      <c r="E285" t="inlineStr">
        <is>
          <t>NORRTÄLJE</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46076</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71880-2021</t>
        </is>
      </c>
      <c r="B287" s="1" t="n">
        <v>44543</v>
      </c>
      <c r="C287" s="1" t="n">
        <v>46076</v>
      </c>
      <c r="D287" t="inlineStr">
        <is>
          <t>STOCKHOLMS LÄN</t>
        </is>
      </c>
      <c r="E287" t="inlineStr">
        <is>
          <t>NORRTÄLJE</t>
        </is>
      </c>
      <c r="G287" t="n">
        <v>2</v>
      </c>
      <c r="H287" t="n">
        <v>0</v>
      </c>
      <c r="I287" t="n">
        <v>0</v>
      </c>
      <c r="J287" t="n">
        <v>0</v>
      </c>
      <c r="K287" t="n">
        <v>0</v>
      </c>
      <c r="L287" t="n">
        <v>0</v>
      </c>
      <c r="M287" t="n">
        <v>0</v>
      </c>
      <c r="N287" t="n">
        <v>0</v>
      </c>
      <c r="O287" t="n">
        <v>0</v>
      </c>
      <c r="P287" t="n">
        <v>0</v>
      </c>
      <c r="Q287" t="n">
        <v>0</v>
      </c>
      <c r="R287" s="2" t="inlineStr"/>
    </row>
    <row r="288" ht="15" customHeight="1">
      <c r="A288" t="inlineStr">
        <is>
          <t>A 17772-2022</t>
        </is>
      </c>
      <c r="B288" s="1" t="n">
        <v>44682.76528935185</v>
      </c>
      <c r="C288" s="1" t="n">
        <v>46076</v>
      </c>
      <c r="D288" t="inlineStr">
        <is>
          <t>STOCKHOLMS LÄN</t>
        </is>
      </c>
      <c r="E288" t="inlineStr">
        <is>
          <t>NORRTÄLJE</t>
        </is>
      </c>
      <c r="G288" t="n">
        <v>4</v>
      </c>
      <c r="H288" t="n">
        <v>0</v>
      </c>
      <c r="I288" t="n">
        <v>0</v>
      </c>
      <c r="J288" t="n">
        <v>0</v>
      </c>
      <c r="K288" t="n">
        <v>0</v>
      </c>
      <c r="L288" t="n">
        <v>0</v>
      </c>
      <c r="M288" t="n">
        <v>0</v>
      </c>
      <c r="N288" t="n">
        <v>0</v>
      </c>
      <c r="O288" t="n">
        <v>0</v>
      </c>
      <c r="P288" t="n">
        <v>0</v>
      </c>
      <c r="Q288" t="n">
        <v>0</v>
      </c>
      <c r="R288" s="2" t="inlineStr"/>
    </row>
    <row r="289" ht="15" customHeight="1">
      <c r="A289" t="inlineStr">
        <is>
          <t>A 24101-2022</t>
        </is>
      </c>
      <c r="B289" s="1" t="n">
        <v>44725</v>
      </c>
      <c r="C289" s="1" t="n">
        <v>46076</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67285-2021</t>
        </is>
      </c>
      <c r="B290" s="1" t="n">
        <v>44523.61635416667</v>
      </c>
      <c r="C290" s="1" t="n">
        <v>46076</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38721-2022</t>
        </is>
      </c>
      <c r="B291" s="1" t="n">
        <v>44815</v>
      </c>
      <c r="C291" s="1" t="n">
        <v>46076</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60184-2021</t>
        </is>
      </c>
      <c r="B292" s="1" t="n">
        <v>44495</v>
      </c>
      <c r="C292" s="1" t="n">
        <v>46076</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5611-2022</t>
        </is>
      </c>
      <c r="B293" s="1" t="n">
        <v>44595</v>
      </c>
      <c r="C293" s="1" t="n">
        <v>46076</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32055-2021</t>
        </is>
      </c>
      <c r="B294" s="1" t="n">
        <v>44370.72197916666</v>
      </c>
      <c r="C294" s="1" t="n">
        <v>46076</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15915-2023</t>
        </is>
      </c>
      <c r="B295" s="1" t="n">
        <v>45022</v>
      </c>
      <c r="C295" s="1" t="n">
        <v>46076</v>
      </c>
      <c r="D295" t="inlineStr">
        <is>
          <t>STOCKHOLMS LÄN</t>
        </is>
      </c>
      <c r="E295" t="inlineStr">
        <is>
          <t>NORRTÄLJE</t>
        </is>
      </c>
      <c r="G295" t="n">
        <v>2.9</v>
      </c>
      <c r="H295" t="n">
        <v>0</v>
      </c>
      <c r="I295" t="n">
        <v>0</v>
      </c>
      <c r="J295" t="n">
        <v>0</v>
      </c>
      <c r="K295" t="n">
        <v>0</v>
      </c>
      <c r="L295" t="n">
        <v>0</v>
      </c>
      <c r="M295" t="n">
        <v>0</v>
      </c>
      <c r="N295" t="n">
        <v>0</v>
      </c>
      <c r="O295" t="n">
        <v>0</v>
      </c>
      <c r="P295" t="n">
        <v>0</v>
      </c>
      <c r="Q295" t="n">
        <v>0</v>
      </c>
      <c r="R295" s="2" t="inlineStr"/>
    </row>
    <row r="296" ht="15" customHeight="1">
      <c r="A296" t="inlineStr">
        <is>
          <t>A 27828-2022</t>
        </is>
      </c>
      <c r="B296" s="1" t="n">
        <v>44743.59765046297</v>
      </c>
      <c r="C296" s="1" t="n">
        <v>46076</v>
      </c>
      <c r="D296" t="inlineStr">
        <is>
          <t>STOCKHOLMS LÄN</t>
        </is>
      </c>
      <c r="E296" t="inlineStr">
        <is>
          <t>NORRTÄLJE</t>
        </is>
      </c>
      <c r="F296" t="inlineStr">
        <is>
          <t>Kommuner</t>
        </is>
      </c>
      <c r="G296" t="n">
        <v>1.6</v>
      </c>
      <c r="H296" t="n">
        <v>0</v>
      </c>
      <c r="I296" t="n">
        <v>0</v>
      </c>
      <c r="J296" t="n">
        <v>0</v>
      </c>
      <c r="K296" t="n">
        <v>0</v>
      </c>
      <c r="L296" t="n">
        <v>0</v>
      </c>
      <c r="M296" t="n">
        <v>0</v>
      </c>
      <c r="N296" t="n">
        <v>0</v>
      </c>
      <c r="O296" t="n">
        <v>0</v>
      </c>
      <c r="P296" t="n">
        <v>0</v>
      </c>
      <c r="Q296" t="n">
        <v>0</v>
      </c>
      <c r="R296" s="2" t="inlineStr"/>
    </row>
    <row r="297" ht="15" customHeight="1">
      <c r="A297" t="inlineStr">
        <is>
          <t>A 16229-2022</t>
        </is>
      </c>
      <c r="B297" s="1" t="n">
        <v>44670.4190162037</v>
      </c>
      <c r="C297" s="1" t="n">
        <v>46076</v>
      </c>
      <c r="D297" t="inlineStr">
        <is>
          <t>STOCKHOLMS LÄN</t>
        </is>
      </c>
      <c r="E297" t="inlineStr">
        <is>
          <t>NORRTÄLJE</t>
        </is>
      </c>
      <c r="G297" t="n">
        <v>7.4</v>
      </c>
      <c r="H297" t="n">
        <v>0</v>
      </c>
      <c r="I297" t="n">
        <v>0</v>
      </c>
      <c r="J297" t="n">
        <v>0</v>
      </c>
      <c r="K297" t="n">
        <v>0</v>
      </c>
      <c r="L297" t="n">
        <v>0</v>
      </c>
      <c r="M297" t="n">
        <v>0</v>
      </c>
      <c r="N297" t="n">
        <v>0</v>
      </c>
      <c r="O297" t="n">
        <v>0</v>
      </c>
      <c r="P297" t="n">
        <v>0</v>
      </c>
      <c r="Q297" t="n">
        <v>0</v>
      </c>
      <c r="R297" s="2" t="inlineStr"/>
    </row>
    <row r="298" ht="15" customHeight="1">
      <c r="A298" t="inlineStr">
        <is>
          <t>A 33226-2024</t>
        </is>
      </c>
      <c r="B298" s="1" t="n">
        <v>45518</v>
      </c>
      <c r="C298" s="1" t="n">
        <v>46076</v>
      </c>
      <c r="D298" t="inlineStr">
        <is>
          <t>STOCKHOLMS LÄN</t>
        </is>
      </c>
      <c r="E298" t="inlineStr">
        <is>
          <t>NORRTÄLJE</t>
        </is>
      </c>
      <c r="G298" t="n">
        <v>13.8</v>
      </c>
      <c r="H298" t="n">
        <v>0</v>
      </c>
      <c r="I298" t="n">
        <v>0</v>
      </c>
      <c r="J298" t="n">
        <v>0</v>
      </c>
      <c r="K298" t="n">
        <v>0</v>
      </c>
      <c r="L298" t="n">
        <v>0</v>
      </c>
      <c r="M298" t="n">
        <v>0</v>
      </c>
      <c r="N298" t="n">
        <v>0</v>
      </c>
      <c r="O298" t="n">
        <v>0</v>
      </c>
      <c r="P298" t="n">
        <v>0</v>
      </c>
      <c r="Q298" t="n">
        <v>0</v>
      </c>
      <c r="R298" s="2" t="inlineStr"/>
    </row>
    <row r="299" ht="15" customHeight="1">
      <c r="A299" t="inlineStr">
        <is>
          <t>A 55696-2022</t>
        </is>
      </c>
      <c r="B299" s="1" t="n">
        <v>44888</v>
      </c>
      <c r="C299" s="1" t="n">
        <v>46076</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22412-2021</t>
        </is>
      </c>
      <c r="B300" s="1" t="n">
        <v>44326.61967592593</v>
      </c>
      <c r="C300" s="1" t="n">
        <v>46076</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22008-2024</t>
        </is>
      </c>
      <c r="B301" s="1" t="n">
        <v>45443</v>
      </c>
      <c r="C301" s="1" t="n">
        <v>46076</v>
      </c>
      <c r="D301" t="inlineStr">
        <is>
          <t>STOCKHOLMS LÄN</t>
        </is>
      </c>
      <c r="E301" t="inlineStr">
        <is>
          <t>NORRTÄLJE</t>
        </is>
      </c>
      <c r="G301" t="n">
        <v>2</v>
      </c>
      <c r="H301" t="n">
        <v>0</v>
      </c>
      <c r="I301" t="n">
        <v>0</v>
      </c>
      <c r="J301" t="n">
        <v>0</v>
      </c>
      <c r="K301" t="n">
        <v>0</v>
      </c>
      <c r="L301" t="n">
        <v>0</v>
      </c>
      <c r="M301" t="n">
        <v>0</v>
      </c>
      <c r="N301" t="n">
        <v>0</v>
      </c>
      <c r="O301" t="n">
        <v>0</v>
      </c>
      <c r="P301" t="n">
        <v>0</v>
      </c>
      <c r="Q301" t="n">
        <v>0</v>
      </c>
      <c r="R301" s="2" t="inlineStr"/>
    </row>
    <row r="302" ht="15" customHeight="1">
      <c r="A302" t="inlineStr">
        <is>
          <t>A 13053-2022</t>
        </is>
      </c>
      <c r="B302" s="1" t="n">
        <v>44643</v>
      </c>
      <c r="C302" s="1" t="n">
        <v>46076</v>
      </c>
      <c r="D302" t="inlineStr">
        <is>
          <t>STOCKHOLMS LÄN</t>
        </is>
      </c>
      <c r="E302" t="inlineStr">
        <is>
          <t>NORRTÄLJE</t>
        </is>
      </c>
      <c r="G302" t="n">
        <v>2.8</v>
      </c>
      <c r="H302" t="n">
        <v>0</v>
      </c>
      <c r="I302" t="n">
        <v>0</v>
      </c>
      <c r="J302" t="n">
        <v>0</v>
      </c>
      <c r="K302" t="n">
        <v>0</v>
      </c>
      <c r="L302" t="n">
        <v>0</v>
      </c>
      <c r="M302" t="n">
        <v>0</v>
      </c>
      <c r="N302" t="n">
        <v>0</v>
      </c>
      <c r="O302" t="n">
        <v>0</v>
      </c>
      <c r="P302" t="n">
        <v>0</v>
      </c>
      <c r="Q302" t="n">
        <v>0</v>
      </c>
      <c r="R302" s="2" t="inlineStr"/>
    </row>
    <row r="303" ht="15" customHeight="1">
      <c r="A303" t="inlineStr">
        <is>
          <t>A 29972-2024</t>
        </is>
      </c>
      <c r="B303" s="1" t="n">
        <v>45485</v>
      </c>
      <c r="C303" s="1" t="n">
        <v>46076</v>
      </c>
      <c r="D303" t="inlineStr">
        <is>
          <t>STOCKHOLMS LÄN</t>
        </is>
      </c>
      <c r="E303" t="inlineStr">
        <is>
          <t>NORRTÄLJE</t>
        </is>
      </c>
      <c r="G303" t="n">
        <v>1.1</v>
      </c>
      <c r="H303" t="n">
        <v>0</v>
      </c>
      <c r="I303" t="n">
        <v>0</v>
      </c>
      <c r="J303" t="n">
        <v>0</v>
      </c>
      <c r="K303" t="n">
        <v>0</v>
      </c>
      <c r="L303" t="n">
        <v>0</v>
      </c>
      <c r="M303" t="n">
        <v>0</v>
      </c>
      <c r="N303" t="n">
        <v>0</v>
      </c>
      <c r="O303" t="n">
        <v>0</v>
      </c>
      <c r="P303" t="n">
        <v>0</v>
      </c>
      <c r="Q303" t="n">
        <v>0</v>
      </c>
      <c r="R303" s="2" t="inlineStr"/>
    </row>
    <row r="304" ht="15" customHeight="1">
      <c r="A304" t="inlineStr">
        <is>
          <t>A 64137-2021</t>
        </is>
      </c>
      <c r="B304" s="1" t="n">
        <v>44510.51422453704</v>
      </c>
      <c r="C304" s="1" t="n">
        <v>46076</v>
      </c>
      <c r="D304" t="inlineStr">
        <is>
          <t>STOCKHOLMS LÄN</t>
        </is>
      </c>
      <c r="E304" t="inlineStr">
        <is>
          <t>NORRTÄLJE</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48716-2023</t>
        </is>
      </c>
      <c r="B305" s="1" t="n">
        <v>45208.69671296296</v>
      </c>
      <c r="C305" s="1" t="n">
        <v>46076</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5027-2025</t>
        </is>
      </c>
      <c r="B306" s="1" t="n">
        <v>45691.41101851852</v>
      </c>
      <c r="C306" s="1" t="n">
        <v>46076</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11122-2021</t>
        </is>
      </c>
      <c r="B307" s="1" t="n">
        <v>44260</v>
      </c>
      <c r="C307" s="1" t="n">
        <v>46076</v>
      </c>
      <c r="D307" t="inlineStr">
        <is>
          <t>STOCKHOLMS LÄN</t>
        </is>
      </c>
      <c r="E307" t="inlineStr">
        <is>
          <t>NORRTÄLJE</t>
        </is>
      </c>
      <c r="F307" t="inlineStr">
        <is>
          <t>Holmen skog AB</t>
        </is>
      </c>
      <c r="G307" t="n">
        <v>2.1</v>
      </c>
      <c r="H307" t="n">
        <v>0</v>
      </c>
      <c r="I307" t="n">
        <v>0</v>
      </c>
      <c r="J307" t="n">
        <v>0</v>
      </c>
      <c r="K307" t="n">
        <v>0</v>
      </c>
      <c r="L307" t="n">
        <v>0</v>
      </c>
      <c r="M307" t="n">
        <v>0</v>
      </c>
      <c r="N307" t="n">
        <v>0</v>
      </c>
      <c r="O307" t="n">
        <v>0</v>
      </c>
      <c r="P307" t="n">
        <v>0</v>
      </c>
      <c r="Q307" t="n">
        <v>0</v>
      </c>
      <c r="R307" s="2" t="inlineStr"/>
    </row>
    <row r="308" ht="15" customHeight="1">
      <c r="A308" t="inlineStr">
        <is>
          <t>A 12268-2022</t>
        </is>
      </c>
      <c r="B308" s="1" t="n">
        <v>44637</v>
      </c>
      <c r="C308" s="1" t="n">
        <v>46076</v>
      </c>
      <c r="D308" t="inlineStr">
        <is>
          <t>STOCKHOLMS LÄN</t>
        </is>
      </c>
      <c r="E308" t="inlineStr">
        <is>
          <t>NORRTÄLJE</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20015-2023</t>
        </is>
      </c>
      <c r="B309" s="1" t="n">
        <v>45054</v>
      </c>
      <c r="C309" s="1" t="n">
        <v>46076</v>
      </c>
      <c r="D309" t="inlineStr">
        <is>
          <t>STOCKHOLMS LÄN</t>
        </is>
      </c>
      <c r="E309" t="inlineStr">
        <is>
          <t>NORRTÄLJE</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3273-2025</t>
        </is>
      </c>
      <c r="B310" s="1" t="n">
        <v>45679</v>
      </c>
      <c r="C310" s="1" t="n">
        <v>46076</v>
      </c>
      <c r="D310" t="inlineStr">
        <is>
          <t>STOCKHOLMS LÄN</t>
        </is>
      </c>
      <c r="E310" t="inlineStr">
        <is>
          <t>NORRTÄLJE</t>
        </is>
      </c>
      <c r="G310" t="n">
        <v>1.2</v>
      </c>
      <c r="H310" t="n">
        <v>0</v>
      </c>
      <c r="I310" t="n">
        <v>0</v>
      </c>
      <c r="J310" t="n">
        <v>0</v>
      </c>
      <c r="K310" t="n">
        <v>0</v>
      </c>
      <c r="L310" t="n">
        <v>0</v>
      </c>
      <c r="M310" t="n">
        <v>0</v>
      </c>
      <c r="N310" t="n">
        <v>0</v>
      </c>
      <c r="O310" t="n">
        <v>0</v>
      </c>
      <c r="P310" t="n">
        <v>0</v>
      </c>
      <c r="Q310" t="n">
        <v>0</v>
      </c>
      <c r="R310" s="2" t="inlineStr"/>
    </row>
    <row r="311" ht="15" customHeight="1">
      <c r="A311" t="inlineStr">
        <is>
          <t>A 55243-2023</t>
        </is>
      </c>
      <c r="B311" s="1" t="n">
        <v>45237</v>
      </c>
      <c r="C311" s="1" t="n">
        <v>46076</v>
      </c>
      <c r="D311" t="inlineStr">
        <is>
          <t>STOCKHOLMS LÄN</t>
        </is>
      </c>
      <c r="E311" t="inlineStr">
        <is>
          <t>NORRTÄLJE</t>
        </is>
      </c>
      <c r="G311" t="n">
        <v>6.5</v>
      </c>
      <c r="H311" t="n">
        <v>0</v>
      </c>
      <c r="I311" t="n">
        <v>0</v>
      </c>
      <c r="J311" t="n">
        <v>0</v>
      </c>
      <c r="K311" t="n">
        <v>0</v>
      </c>
      <c r="L311" t="n">
        <v>0</v>
      </c>
      <c r="M311" t="n">
        <v>0</v>
      </c>
      <c r="N311" t="n">
        <v>0</v>
      </c>
      <c r="O311" t="n">
        <v>0</v>
      </c>
      <c r="P311" t="n">
        <v>0</v>
      </c>
      <c r="Q311" t="n">
        <v>0</v>
      </c>
      <c r="R311" s="2" t="inlineStr"/>
    </row>
    <row r="312" ht="15" customHeight="1">
      <c r="A312" t="inlineStr">
        <is>
          <t>A 24245-2024</t>
        </is>
      </c>
      <c r="B312" s="1" t="n">
        <v>45457</v>
      </c>
      <c r="C312" s="1" t="n">
        <v>46076</v>
      </c>
      <c r="D312" t="inlineStr">
        <is>
          <t>STOCKHOLMS LÄN</t>
        </is>
      </c>
      <c r="E312" t="inlineStr">
        <is>
          <t>NORRTÄLJE</t>
        </is>
      </c>
      <c r="F312" t="inlineStr">
        <is>
          <t>Holmen skog AB</t>
        </is>
      </c>
      <c r="G312" t="n">
        <v>3.4</v>
      </c>
      <c r="H312" t="n">
        <v>0</v>
      </c>
      <c r="I312" t="n">
        <v>0</v>
      </c>
      <c r="J312" t="n">
        <v>0</v>
      </c>
      <c r="K312" t="n">
        <v>0</v>
      </c>
      <c r="L312" t="n">
        <v>0</v>
      </c>
      <c r="M312" t="n">
        <v>0</v>
      </c>
      <c r="N312" t="n">
        <v>0</v>
      </c>
      <c r="O312" t="n">
        <v>0</v>
      </c>
      <c r="P312" t="n">
        <v>0</v>
      </c>
      <c r="Q312" t="n">
        <v>0</v>
      </c>
      <c r="R312" s="2" t="inlineStr"/>
    </row>
    <row r="313" ht="15" customHeight="1">
      <c r="A313" t="inlineStr">
        <is>
          <t>A 13172-2025</t>
        </is>
      </c>
      <c r="B313" s="1" t="n">
        <v>45735.36873842592</v>
      </c>
      <c r="C313" s="1" t="n">
        <v>46076</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21291-2021</t>
        </is>
      </c>
      <c r="B314" s="1" t="n">
        <v>44319</v>
      </c>
      <c r="C314" s="1" t="n">
        <v>46076</v>
      </c>
      <c r="D314" t="inlineStr">
        <is>
          <t>STOCKHOLMS LÄN</t>
        </is>
      </c>
      <c r="E314" t="inlineStr">
        <is>
          <t>NORRTÄLJE</t>
        </is>
      </c>
      <c r="G314" t="n">
        <v>12.7</v>
      </c>
      <c r="H314" t="n">
        <v>0</v>
      </c>
      <c r="I314" t="n">
        <v>0</v>
      </c>
      <c r="J314" t="n">
        <v>0</v>
      </c>
      <c r="K314" t="n">
        <v>0</v>
      </c>
      <c r="L314" t="n">
        <v>0</v>
      </c>
      <c r="M314" t="n">
        <v>0</v>
      </c>
      <c r="N314" t="n">
        <v>0</v>
      </c>
      <c r="O314" t="n">
        <v>0</v>
      </c>
      <c r="P314" t="n">
        <v>0</v>
      </c>
      <c r="Q314" t="n">
        <v>0</v>
      </c>
      <c r="R314" s="2" t="inlineStr"/>
    </row>
    <row r="315" ht="15" customHeight="1">
      <c r="A315" t="inlineStr">
        <is>
          <t>A 52260-2022</t>
        </is>
      </c>
      <c r="B315" s="1" t="n">
        <v>44869</v>
      </c>
      <c r="C315" s="1" t="n">
        <v>46076</v>
      </c>
      <c r="D315" t="inlineStr">
        <is>
          <t>STOCKHOLMS LÄN</t>
        </is>
      </c>
      <c r="E315" t="inlineStr">
        <is>
          <t>NORRTÄLJE</t>
        </is>
      </c>
      <c r="G315" t="n">
        <v>3.1</v>
      </c>
      <c r="H315" t="n">
        <v>0</v>
      </c>
      <c r="I315" t="n">
        <v>0</v>
      </c>
      <c r="J315" t="n">
        <v>0</v>
      </c>
      <c r="K315" t="n">
        <v>0</v>
      </c>
      <c r="L315" t="n">
        <v>0</v>
      </c>
      <c r="M315" t="n">
        <v>0</v>
      </c>
      <c r="N315" t="n">
        <v>0</v>
      </c>
      <c r="O315" t="n">
        <v>0</v>
      </c>
      <c r="P315" t="n">
        <v>0</v>
      </c>
      <c r="Q315" t="n">
        <v>0</v>
      </c>
      <c r="R315" s="2" t="inlineStr"/>
    </row>
    <row r="316" ht="15" customHeight="1">
      <c r="A316" t="inlineStr">
        <is>
          <t>A 15256-2023</t>
        </is>
      </c>
      <c r="B316" s="1" t="n">
        <v>45019.3959837963</v>
      </c>
      <c r="C316" s="1" t="n">
        <v>46076</v>
      </c>
      <c r="D316" t="inlineStr">
        <is>
          <t>STOCKHOLMS LÄN</t>
        </is>
      </c>
      <c r="E316" t="inlineStr">
        <is>
          <t>NORRTÄLJE</t>
        </is>
      </c>
      <c r="G316" t="n">
        <v>2.4</v>
      </c>
      <c r="H316" t="n">
        <v>0</v>
      </c>
      <c r="I316" t="n">
        <v>0</v>
      </c>
      <c r="J316" t="n">
        <v>0</v>
      </c>
      <c r="K316" t="n">
        <v>0</v>
      </c>
      <c r="L316" t="n">
        <v>0</v>
      </c>
      <c r="M316" t="n">
        <v>0</v>
      </c>
      <c r="N316" t="n">
        <v>0</v>
      </c>
      <c r="O316" t="n">
        <v>0</v>
      </c>
      <c r="P316" t="n">
        <v>0</v>
      </c>
      <c r="Q316" t="n">
        <v>0</v>
      </c>
      <c r="R316" s="2" t="inlineStr"/>
    </row>
    <row r="317" ht="15" customHeight="1">
      <c r="A317" t="inlineStr">
        <is>
          <t>A 20428-2024</t>
        </is>
      </c>
      <c r="B317" s="1" t="n">
        <v>45435</v>
      </c>
      <c r="C317" s="1" t="n">
        <v>46076</v>
      </c>
      <c r="D317" t="inlineStr">
        <is>
          <t>STOCKHOLMS LÄN</t>
        </is>
      </c>
      <c r="E317" t="inlineStr">
        <is>
          <t>NORRTÄLJE</t>
        </is>
      </c>
      <c r="G317" t="n">
        <v>3.7</v>
      </c>
      <c r="H317" t="n">
        <v>0</v>
      </c>
      <c r="I317" t="n">
        <v>0</v>
      </c>
      <c r="J317" t="n">
        <v>0</v>
      </c>
      <c r="K317" t="n">
        <v>0</v>
      </c>
      <c r="L317" t="n">
        <v>0</v>
      </c>
      <c r="M317" t="n">
        <v>0</v>
      </c>
      <c r="N317" t="n">
        <v>0</v>
      </c>
      <c r="O317" t="n">
        <v>0</v>
      </c>
      <c r="P317" t="n">
        <v>0</v>
      </c>
      <c r="Q317" t="n">
        <v>0</v>
      </c>
      <c r="R317" s="2" t="inlineStr"/>
    </row>
    <row r="318" ht="15" customHeight="1">
      <c r="A318" t="inlineStr">
        <is>
          <t>A 64145-2021</t>
        </is>
      </c>
      <c r="B318" s="1" t="n">
        <v>44510</v>
      </c>
      <c r="C318" s="1" t="n">
        <v>46076</v>
      </c>
      <c r="D318" t="inlineStr">
        <is>
          <t>STOCKHOLMS LÄN</t>
        </is>
      </c>
      <c r="E318" t="inlineStr">
        <is>
          <t>NORRTÄLJE</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1740-2023</t>
        </is>
      </c>
      <c r="B319" s="1" t="n">
        <v>44938</v>
      </c>
      <c r="C319" s="1" t="n">
        <v>46076</v>
      </c>
      <c r="D319" t="inlineStr">
        <is>
          <t>STOCKHOLMS LÄN</t>
        </is>
      </c>
      <c r="E319" t="inlineStr">
        <is>
          <t>NORRTÄLJE</t>
        </is>
      </c>
      <c r="G319" t="n">
        <v>0.9</v>
      </c>
      <c r="H319" t="n">
        <v>0</v>
      </c>
      <c r="I319" t="n">
        <v>0</v>
      </c>
      <c r="J319" t="n">
        <v>0</v>
      </c>
      <c r="K319" t="n">
        <v>0</v>
      </c>
      <c r="L319" t="n">
        <v>0</v>
      </c>
      <c r="M319" t="n">
        <v>0</v>
      </c>
      <c r="N319" t="n">
        <v>0</v>
      </c>
      <c r="O319" t="n">
        <v>0</v>
      </c>
      <c r="P319" t="n">
        <v>0</v>
      </c>
      <c r="Q319" t="n">
        <v>0</v>
      </c>
      <c r="R319" s="2" t="inlineStr"/>
    </row>
    <row r="320" ht="15" customHeight="1">
      <c r="A320" t="inlineStr">
        <is>
          <t>A 4596-2023</t>
        </is>
      </c>
      <c r="B320" s="1" t="n">
        <v>44956</v>
      </c>
      <c r="C320" s="1" t="n">
        <v>46076</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22456-2023</t>
        </is>
      </c>
      <c r="B321" s="1" t="n">
        <v>45070</v>
      </c>
      <c r="C321" s="1" t="n">
        <v>46076</v>
      </c>
      <c r="D321" t="inlineStr">
        <is>
          <t>STOCKHOLMS LÄN</t>
        </is>
      </c>
      <c r="E321" t="inlineStr">
        <is>
          <t>NORRTÄLJE</t>
        </is>
      </c>
      <c r="G321" t="n">
        <v>3.1</v>
      </c>
      <c r="H321" t="n">
        <v>0</v>
      </c>
      <c r="I321" t="n">
        <v>0</v>
      </c>
      <c r="J321" t="n">
        <v>0</v>
      </c>
      <c r="K321" t="n">
        <v>0</v>
      </c>
      <c r="L321" t="n">
        <v>0</v>
      </c>
      <c r="M321" t="n">
        <v>0</v>
      </c>
      <c r="N321" t="n">
        <v>0</v>
      </c>
      <c r="O321" t="n">
        <v>0</v>
      </c>
      <c r="P321" t="n">
        <v>0</v>
      </c>
      <c r="Q321" t="n">
        <v>0</v>
      </c>
      <c r="R321" s="2" t="inlineStr"/>
    </row>
    <row r="322" ht="15" customHeight="1">
      <c r="A322" t="inlineStr">
        <is>
          <t>A 17785-2024</t>
        </is>
      </c>
      <c r="B322" s="1" t="n">
        <v>45418.6968287037</v>
      </c>
      <c r="C322" s="1" t="n">
        <v>46076</v>
      </c>
      <c r="D322" t="inlineStr">
        <is>
          <t>STOCKHOLMS LÄN</t>
        </is>
      </c>
      <c r="E322" t="inlineStr">
        <is>
          <t>NORRTÄLJE</t>
        </is>
      </c>
      <c r="G322" t="n">
        <v>1</v>
      </c>
      <c r="H322" t="n">
        <v>0</v>
      </c>
      <c r="I322" t="n">
        <v>0</v>
      </c>
      <c r="J322" t="n">
        <v>0</v>
      </c>
      <c r="K322" t="n">
        <v>0</v>
      </c>
      <c r="L322" t="n">
        <v>0</v>
      </c>
      <c r="M322" t="n">
        <v>0</v>
      </c>
      <c r="N322" t="n">
        <v>0</v>
      </c>
      <c r="O322" t="n">
        <v>0</v>
      </c>
      <c r="P322" t="n">
        <v>0</v>
      </c>
      <c r="Q322" t="n">
        <v>0</v>
      </c>
      <c r="R322" s="2" t="inlineStr"/>
    </row>
    <row r="323" ht="15" customHeight="1">
      <c r="A323" t="inlineStr">
        <is>
          <t>A 10676-2025</t>
        </is>
      </c>
      <c r="B323" s="1" t="n">
        <v>45721.88684027778</v>
      </c>
      <c r="C323" s="1" t="n">
        <v>46076</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20852-2023</t>
        </is>
      </c>
      <c r="B324" s="1" t="n">
        <v>45058.78607638889</v>
      </c>
      <c r="C324" s="1" t="n">
        <v>46076</v>
      </c>
      <c r="D324" t="inlineStr">
        <is>
          <t>STOCKHOLMS LÄN</t>
        </is>
      </c>
      <c r="E324" t="inlineStr">
        <is>
          <t>NORRTÄLJE</t>
        </is>
      </c>
      <c r="G324" t="n">
        <v>3.5</v>
      </c>
      <c r="H324" t="n">
        <v>0</v>
      </c>
      <c r="I324" t="n">
        <v>0</v>
      </c>
      <c r="J324" t="n">
        <v>0</v>
      </c>
      <c r="K324" t="n">
        <v>0</v>
      </c>
      <c r="L324" t="n">
        <v>0</v>
      </c>
      <c r="M324" t="n">
        <v>0</v>
      </c>
      <c r="N324" t="n">
        <v>0</v>
      </c>
      <c r="O324" t="n">
        <v>0</v>
      </c>
      <c r="P324" t="n">
        <v>0</v>
      </c>
      <c r="Q324" t="n">
        <v>0</v>
      </c>
      <c r="R324" s="2" t="inlineStr"/>
    </row>
    <row r="325" ht="15" customHeight="1">
      <c r="A325" t="inlineStr">
        <is>
          <t>A 19982-2022</t>
        </is>
      </c>
      <c r="B325" s="1" t="n">
        <v>44697</v>
      </c>
      <c r="C325" s="1" t="n">
        <v>46076</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6678-2025</t>
        </is>
      </c>
      <c r="B326" s="1" t="n">
        <v>45700</v>
      </c>
      <c r="C326" s="1" t="n">
        <v>46076</v>
      </c>
      <c r="D326" t="inlineStr">
        <is>
          <t>STOCKHOLMS LÄN</t>
        </is>
      </c>
      <c r="E326" t="inlineStr">
        <is>
          <t>NORRTÄLJE</t>
        </is>
      </c>
      <c r="F326" t="inlineStr">
        <is>
          <t>Övriga Aktiebolag</t>
        </is>
      </c>
      <c r="G326" t="n">
        <v>6.6</v>
      </c>
      <c r="H326" t="n">
        <v>0</v>
      </c>
      <c r="I326" t="n">
        <v>0</v>
      </c>
      <c r="J326" t="n">
        <v>0</v>
      </c>
      <c r="K326" t="n">
        <v>0</v>
      </c>
      <c r="L326" t="n">
        <v>0</v>
      </c>
      <c r="M326" t="n">
        <v>0</v>
      </c>
      <c r="N326" t="n">
        <v>0</v>
      </c>
      <c r="O326" t="n">
        <v>0</v>
      </c>
      <c r="P326" t="n">
        <v>0</v>
      </c>
      <c r="Q326" t="n">
        <v>0</v>
      </c>
      <c r="R326" s="2" t="inlineStr"/>
    </row>
    <row r="327" ht="15" customHeight="1">
      <c r="A327" t="inlineStr">
        <is>
          <t>A 42075-2023</t>
        </is>
      </c>
      <c r="B327" s="1" t="n">
        <v>45177</v>
      </c>
      <c r="C327" s="1" t="n">
        <v>46076</v>
      </c>
      <c r="D327" t="inlineStr">
        <is>
          <t>STOCKHOLMS LÄN</t>
        </is>
      </c>
      <c r="E327" t="inlineStr">
        <is>
          <t>NORRTÄLJE</t>
        </is>
      </c>
      <c r="G327" t="n">
        <v>2.5</v>
      </c>
      <c r="H327" t="n">
        <v>0</v>
      </c>
      <c r="I327" t="n">
        <v>0</v>
      </c>
      <c r="J327" t="n">
        <v>0</v>
      </c>
      <c r="K327" t="n">
        <v>0</v>
      </c>
      <c r="L327" t="n">
        <v>0</v>
      </c>
      <c r="M327" t="n">
        <v>0</v>
      </c>
      <c r="N327" t="n">
        <v>0</v>
      </c>
      <c r="O327" t="n">
        <v>0</v>
      </c>
      <c r="P327" t="n">
        <v>0</v>
      </c>
      <c r="Q327" t="n">
        <v>0</v>
      </c>
      <c r="R327" s="2" t="inlineStr"/>
    </row>
    <row r="328" ht="15" customHeight="1">
      <c r="A328" t="inlineStr">
        <is>
          <t>A 44917-2022</t>
        </is>
      </c>
      <c r="B328" s="1" t="n">
        <v>44841.52804398148</v>
      </c>
      <c r="C328" s="1" t="n">
        <v>46076</v>
      </c>
      <c r="D328" t="inlineStr">
        <is>
          <t>STOCKHOLMS LÄN</t>
        </is>
      </c>
      <c r="E328" t="inlineStr">
        <is>
          <t>NORRTÄLJE</t>
        </is>
      </c>
      <c r="F328" t="inlineStr">
        <is>
          <t>Holmen skog AB</t>
        </is>
      </c>
      <c r="G328" t="n">
        <v>3.3</v>
      </c>
      <c r="H328" t="n">
        <v>0</v>
      </c>
      <c r="I328" t="n">
        <v>0</v>
      </c>
      <c r="J328" t="n">
        <v>0</v>
      </c>
      <c r="K328" t="n">
        <v>0</v>
      </c>
      <c r="L328" t="n">
        <v>0</v>
      </c>
      <c r="M328" t="n">
        <v>0</v>
      </c>
      <c r="N328" t="n">
        <v>0</v>
      </c>
      <c r="O328" t="n">
        <v>0</v>
      </c>
      <c r="P328" t="n">
        <v>0</v>
      </c>
      <c r="Q328" t="n">
        <v>0</v>
      </c>
      <c r="R328" s="2" t="inlineStr"/>
    </row>
    <row r="329" ht="15" customHeight="1">
      <c r="A329" t="inlineStr">
        <is>
          <t>A 50108-2021</t>
        </is>
      </c>
      <c r="B329" s="1" t="n">
        <v>44456</v>
      </c>
      <c r="C329" s="1" t="n">
        <v>46076</v>
      </c>
      <c r="D329" t="inlineStr">
        <is>
          <t>STOCKHOLMS LÄN</t>
        </is>
      </c>
      <c r="E329" t="inlineStr">
        <is>
          <t>NORRTÄLJE</t>
        </is>
      </c>
      <c r="G329" t="n">
        <v>0.7</v>
      </c>
      <c r="H329" t="n">
        <v>0</v>
      </c>
      <c r="I329" t="n">
        <v>0</v>
      </c>
      <c r="J329" t="n">
        <v>0</v>
      </c>
      <c r="K329" t="n">
        <v>0</v>
      </c>
      <c r="L329" t="n">
        <v>0</v>
      </c>
      <c r="M329" t="n">
        <v>0</v>
      </c>
      <c r="N329" t="n">
        <v>0</v>
      </c>
      <c r="O329" t="n">
        <v>0</v>
      </c>
      <c r="P329" t="n">
        <v>0</v>
      </c>
      <c r="Q329" t="n">
        <v>0</v>
      </c>
      <c r="R329" s="2" t="inlineStr"/>
    </row>
    <row r="330" ht="15" customHeight="1">
      <c r="A330" t="inlineStr">
        <is>
          <t>A 25557-2023</t>
        </is>
      </c>
      <c r="B330" s="1" t="n">
        <v>45089</v>
      </c>
      <c r="C330" s="1" t="n">
        <v>46076</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55012-2024</t>
        </is>
      </c>
      <c r="B331" s="1" t="n">
        <v>45621.34813657407</v>
      </c>
      <c r="C331" s="1" t="n">
        <v>46076</v>
      </c>
      <c r="D331" t="inlineStr">
        <is>
          <t>STOCKHOLMS LÄN</t>
        </is>
      </c>
      <c r="E331" t="inlineStr">
        <is>
          <t>NORRTÄLJE</t>
        </is>
      </c>
      <c r="F331" t="inlineStr">
        <is>
          <t>Sveaskog</t>
        </is>
      </c>
      <c r="G331" t="n">
        <v>5.2</v>
      </c>
      <c r="H331" t="n">
        <v>0</v>
      </c>
      <c r="I331" t="n">
        <v>0</v>
      </c>
      <c r="J331" t="n">
        <v>0</v>
      </c>
      <c r="K331" t="n">
        <v>0</v>
      </c>
      <c r="L331" t="n">
        <v>0</v>
      </c>
      <c r="M331" t="n">
        <v>0</v>
      </c>
      <c r="N331" t="n">
        <v>0</v>
      </c>
      <c r="O331" t="n">
        <v>0</v>
      </c>
      <c r="P331" t="n">
        <v>0</v>
      </c>
      <c r="Q331" t="n">
        <v>0</v>
      </c>
      <c r="R331" s="2" t="inlineStr"/>
    </row>
    <row r="332" ht="15" customHeight="1">
      <c r="A332" t="inlineStr">
        <is>
          <t>A 55058-2021</t>
        </is>
      </c>
      <c r="B332" s="1" t="n">
        <v>44474.62141203704</v>
      </c>
      <c r="C332" s="1" t="n">
        <v>46076</v>
      </c>
      <c r="D332" t="inlineStr">
        <is>
          <t>STOCKHOLMS LÄN</t>
        </is>
      </c>
      <c r="E332" t="inlineStr">
        <is>
          <t>NORRTÄLJE</t>
        </is>
      </c>
      <c r="G332" t="n">
        <v>1.9</v>
      </c>
      <c r="H332" t="n">
        <v>0</v>
      </c>
      <c r="I332" t="n">
        <v>0</v>
      </c>
      <c r="J332" t="n">
        <v>0</v>
      </c>
      <c r="K332" t="n">
        <v>0</v>
      </c>
      <c r="L332" t="n">
        <v>0</v>
      </c>
      <c r="M332" t="n">
        <v>0</v>
      </c>
      <c r="N332" t="n">
        <v>0</v>
      </c>
      <c r="O332" t="n">
        <v>0</v>
      </c>
      <c r="P332" t="n">
        <v>0</v>
      </c>
      <c r="Q332" t="n">
        <v>0</v>
      </c>
      <c r="R332" s="2" t="inlineStr"/>
    </row>
    <row r="333" ht="15" customHeight="1">
      <c r="A333" t="inlineStr">
        <is>
          <t>A 50355-2024</t>
        </is>
      </c>
      <c r="B333" s="1" t="n">
        <v>45600.86128472222</v>
      </c>
      <c r="C333" s="1" t="n">
        <v>46076</v>
      </c>
      <c r="D333" t="inlineStr">
        <is>
          <t>STOCKHOLMS LÄN</t>
        </is>
      </c>
      <c r="E333" t="inlineStr">
        <is>
          <t>NORRTÄLJE</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27715-2022</t>
        </is>
      </c>
      <c r="B334" s="1" t="n">
        <v>44743.47407407407</v>
      </c>
      <c r="C334" s="1" t="n">
        <v>46076</v>
      </c>
      <c r="D334" t="inlineStr">
        <is>
          <t>STOCKHOLMS LÄN</t>
        </is>
      </c>
      <c r="E334" t="inlineStr">
        <is>
          <t>NORRTÄLJE</t>
        </is>
      </c>
      <c r="G334" t="n">
        <v>2.2</v>
      </c>
      <c r="H334" t="n">
        <v>0</v>
      </c>
      <c r="I334" t="n">
        <v>0</v>
      </c>
      <c r="J334" t="n">
        <v>0</v>
      </c>
      <c r="K334" t="n">
        <v>0</v>
      </c>
      <c r="L334" t="n">
        <v>0</v>
      </c>
      <c r="M334" t="n">
        <v>0</v>
      </c>
      <c r="N334" t="n">
        <v>0</v>
      </c>
      <c r="O334" t="n">
        <v>0</v>
      </c>
      <c r="P334" t="n">
        <v>0</v>
      </c>
      <c r="Q334" t="n">
        <v>0</v>
      </c>
      <c r="R334" s="2" t="inlineStr"/>
    </row>
    <row r="335" ht="15" customHeight="1">
      <c r="A335" t="inlineStr">
        <is>
          <t>A 58277-2023</t>
        </is>
      </c>
      <c r="B335" s="1" t="n">
        <v>45245</v>
      </c>
      <c r="C335" s="1" t="n">
        <v>46076</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42867-2022</t>
        </is>
      </c>
      <c r="B336" s="1" t="n">
        <v>44832</v>
      </c>
      <c r="C336" s="1" t="n">
        <v>46076</v>
      </c>
      <c r="D336" t="inlineStr">
        <is>
          <t>STOCKHOLMS LÄN</t>
        </is>
      </c>
      <c r="E336" t="inlineStr">
        <is>
          <t>NORRTÄLJE</t>
        </is>
      </c>
      <c r="G336" t="n">
        <v>6.4</v>
      </c>
      <c r="H336" t="n">
        <v>0</v>
      </c>
      <c r="I336" t="n">
        <v>0</v>
      </c>
      <c r="J336" t="n">
        <v>0</v>
      </c>
      <c r="K336" t="n">
        <v>0</v>
      </c>
      <c r="L336" t="n">
        <v>0</v>
      </c>
      <c r="M336" t="n">
        <v>0</v>
      </c>
      <c r="N336" t="n">
        <v>0</v>
      </c>
      <c r="O336" t="n">
        <v>0</v>
      </c>
      <c r="P336" t="n">
        <v>0</v>
      </c>
      <c r="Q336" t="n">
        <v>0</v>
      </c>
      <c r="R336" s="2" t="inlineStr"/>
    </row>
    <row r="337" ht="15" customHeight="1">
      <c r="A337" t="inlineStr">
        <is>
          <t>A 7413-2024</t>
        </is>
      </c>
      <c r="B337" s="1" t="n">
        <v>45345.6059837963</v>
      </c>
      <c r="C337" s="1" t="n">
        <v>46076</v>
      </c>
      <c r="D337" t="inlineStr">
        <is>
          <t>STOCKHOLMS LÄN</t>
        </is>
      </c>
      <c r="E337" t="inlineStr">
        <is>
          <t>NORRTÄLJE</t>
        </is>
      </c>
      <c r="G337" t="n">
        <v>1.8</v>
      </c>
      <c r="H337" t="n">
        <v>0</v>
      </c>
      <c r="I337" t="n">
        <v>0</v>
      </c>
      <c r="J337" t="n">
        <v>0</v>
      </c>
      <c r="K337" t="n">
        <v>0</v>
      </c>
      <c r="L337" t="n">
        <v>0</v>
      </c>
      <c r="M337" t="n">
        <v>0</v>
      </c>
      <c r="N337" t="n">
        <v>0</v>
      </c>
      <c r="O337" t="n">
        <v>0</v>
      </c>
      <c r="P337" t="n">
        <v>0</v>
      </c>
      <c r="Q337" t="n">
        <v>0</v>
      </c>
      <c r="R337" s="2" t="inlineStr"/>
    </row>
    <row r="338" ht="15" customHeight="1">
      <c r="A338" t="inlineStr">
        <is>
          <t>A 12251-2025</t>
        </is>
      </c>
      <c r="B338" s="1" t="n">
        <v>45729.60859953704</v>
      </c>
      <c r="C338" s="1" t="n">
        <v>46076</v>
      </c>
      <c r="D338" t="inlineStr">
        <is>
          <t>STOCKHOLMS LÄN</t>
        </is>
      </c>
      <c r="E338" t="inlineStr">
        <is>
          <t>NORRTÄLJE</t>
        </is>
      </c>
      <c r="F338" t="inlineStr">
        <is>
          <t>Holmen skog AB</t>
        </is>
      </c>
      <c r="G338" t="n">
        <v>5.9</v>
      </c>
      <c r="H338" t="n">
        <v>0</v>
      </c>
      <c r="I338" t="n">
        <v>0</v>
      </c>
      <c r="J338" t="n">
        <v>0</v>
      </c>
      <c r="K338" t="n">
        <v>0</v>
      </c>
      <c r="L338" t="n">
        <v>0</v>
      </c>
      <c r="M338" t="n">
        <v>0</v>
      </c>
      <c r="N338" t="n">
        <v>0</v>
      </c>
      <c r="O338" t="n">
        <v>0</v>
      </c>
      <c r="P338" t="n">
        <v>0</v>
      </c>
      <c r="Q338" t="n">
        <v>0</v>
      </c>
      <c r="R338" s="2" t="inlineStr"/>
    </row>
    <row r="339" ht="15" customHeight="1">
      <c r="A339" t="inlineStr">
        <is>
          <t>A 58863-2024</t>
        </is>
      </c>
      <c r="B339" s="1" t="n">
        <v>45636.41572916666</v>
      </c>
      <c r="C339" s="1" t="n">
        <v>46076</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32705-2022</t>
        </is>
      </c>
      <c r="B340" s="1" t="n">
        <v>44783</v>
      </c>
      <c r="C340" s="1" t="n">
        <v>46076</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50154-2024</t>
        </is>
      </c>
      <c r="B341" s="1" t="n">
        <v>45600.4558912037</v>
      </c>
      <c r="C341" s="1" t="n">
        <v>46076</v>
      </c>
      <c r="D341" t="inlineStr">
        <is>
          <t>STOCKHOLMS LÄN</t>
        </is>
      </c>
      <c r="E341" t="inlineStr">
        <is>
          <t>NORRTÄLJE</t>
        </is>
      </c>
      <c r="G341" t="n">
        <v>2.5</v>
      </c>
      <c r="H341" t="n">
        <v>0</v>
      </c>
      <c r="I341" t="n">
        <v>0</v>
      </c>
      <c r="J341" t="n">
        <v>0</v>
      </c>
      <c r="K341" t="n">
        <v>0</v>
      </c>
      <c r="L341" t="n">
        <v>0</v>
      </c>
      <c r="M341" t="n">
        <v>0</v>
      </c>
      <c r="N341" t="n">
        <v>0</v>
      </c>
      <c r="O341" t="n">
        <v>0</v>
      </c>
      <c r="P341" t="n">
        <v>0</v>
      </c>
      <c r="Q341" t="n">
        <v>0</v>
      </c>
      <c r="R341" s="2" t="inlineStr"/>
    </row>
    <row r="342" ht="15" customHeight="1">
      <c r="A342" t="inlineStr">
        <is>
          <t>A 11940-2023</t>
        </is>
      </c>
      <c r="B342" s="1" t="n">
        <v>44995</v>
      </c>
      <c r="C342" s="1" t="n">
        <v>46076</v>
      </c>
      <c r="D342" t="inlineStr">
        <is>
          <t>STOCKHOLMS LÄN</t>
        </is>
      </c>
      <c r="E342" t="inlineStr">
        <is>
          <t>NORRTÄLJE</t>
        </is>
      </c>
      <c r="G342" t="n">
        <v>0.7</v>
      </c>
      <c r="H342" t="n">
        <v>0</v>
      </c>
      <c r="I342" t="n">
        <v>0</v>
      </c>
      <c r="J342" t="n">
        <v>0</v>
      </c>
      <c r="K342" t="n">
        <v>0</v>
      </c>
      <c r="L342" t="n">
        <v>0</v>
      </c>
      <c r="M342" t="n">
        <v>0</v>
      </c>
      <c r="N342" t="n">
        <v>0</v>
      </c>
      <c r="O342" t="n">
        <v>0</v>
      </c>
      <c r="P342" t="n">
        <v>0</v>
      </c>
      <c r="Q342" t="n">
        <v>0</v>
      </c>
      <c r="R342" s="2" t="inlineStr"/>
    </row>
    <row r="343" ht="15" customHeight="1">
      <c r="A343" t="inlineStr">
        <is>
          <t>A 47481-2024</t>
        </is>
      </c>
      <c r="B343" s="1" t="n">
        <v>45587</v>
      </c>
      <c r="C343" s="1" t="n">
        <v>46076</v>
      </c>
      <c r="D343" t="inlineStr">
        <is>
          <t>STOCKHOLMS LÄN</t>
        </is>
      </c>
      <c r="E343" t="inlineStr">
        <is>
          <t>NORRTÄLJE</t>
        </is>
      </c>
      <c r="G343" t="n">
        <v>0.5</v>
      </c>
      <c r="H343" t="n">
        <v>0</v>
      </c>
      <c r="I343" t="n">
        <v>0</v>
      </c>
      <c r="J343" t="n">
        <v>0</v>
      </c>
      <c r="K343" t="n">
        <v>0</v>
      </c>
      <c r="L343" t="n">
        <v>0</v>
      </c>
      <c r="M343" t="n">
        <v>0</v>
      </c>
      <c r="N343" t="n">
        <v>0</v>
      </c>
      <c r="O343" t="n">
        <v>0</v>
      </c>
      <c r="P343" t="n">
        <v>0</v>
      </c>
      <c r="Q343" t="n">
        <v>0</v>
      </c>
      <c r="R343" s="2" t="inlineStr"/>
    </row>
    <row r="344" ht="15" customHeight="1">
      <c r="A344" t="inlineStr">
        <is>
          <t>A 57037-2022</t>
        </is>
      </c>
      <c r="B344" s="1" t="n">
        <v>44895</v>
      </c>
      <c r="C344" s="1" t="n">
        <v>46076</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23749-2024</t>
        </is>
      </c>
      <c r="B345" s="1" t="n">
        <v>45455.33037037037</v>
      </c>
      <c r="C345" s="1" t="n">
        <v>46076</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2281-2024</t>
        </is>
      </c>
      <c r="B346" s="1" t="n">
        <v>45310.40628472222</v>
      </c>
      <c r="C346" s="1" t="n">
        <v>46076</v>
      </c>
      <c r="D346" t="inlineStr">
        <is>
          <t>STOCKHOLMS LÄN</t>
        </is>
      </c>
      <c r="E346" t="inlineStr">
        <is>
          <t>NORRTÄLJE</t>
        </is>
      </c>
      <c r="G346" t="n">
        <v>2.7</v>
      </c>
      <c r="H346" t="n">
        <v>0</v>
      </c>
      <c r="I346" t="n">
        <v>0</v>
      </c>
      <c r="J346" t="n">
        <v>0</v>
      </c>
      <c r="K346" t="n">
        <v>0</v>
      </c>
      <c r="L346" t="n">
        <v>0</v>
      </c>
      <c r="M346" t="n">
        <v>0</v>
      </c>
      <c r="N346" t="n">
        <v>0</v>
      </c>
      <c r="O346" t="n">
        <v>0</v>
      </c>
      <c r="P346" t="n">
        <v>0</v>
      </c>
      <c r="Q346" t="n">
        <v>0</v>
      </c>
      <c r="R346" s="2" t="inlineStr"/>
    </row>
    <row r="347" ht="15" customHeight="1">
      <c r="A347" t="inlineStr">
        <is>
          <t>A 60525-2022</t>
        </is>
      </c>
      <c r="B347" s="1" t="n">
        <v>44904</v>
      </c>
      <c r="C347" s="1" t="n">
        <v>46076</v>
      </c>
      <c r="D347" t="inlineStr">
        <is>
          <t>STOCKHOLMS LÄN</t>
        </is>
      </c>
      <c r="E347" t="inlineStr">
        <is>
          <t>NORRTÄLJE</t>
        </is>
      </c>
      <c r="G347" t="n">
        <v>13.4</v>
      </c>
      <c r="H347" t="n">
        <v>0</v>
      </c>
      <c r="I347" t="n">
        <v>0</v>
      </c>
      <c r="J347" t="n">
        <v>0</v>
      </c>
      <c r="K347" t="n">
        <v>0</v>
      </c>
      <c r="L347" t="n">
        <v>0</v>
      </c>
      <c r="M347" t="n">
        <v>0</v>
      </c>
      <c r="N347" t="n">
        <v>0</v>
      </c>
      <c r="O347" t="n">
        <v>0</v>
      </c>
      <c r="P347" t="n">
        <v>0</v>
      </c>
      <c r="Q347" t="n">
        <v>0</v>
      </c>
      <c r="R347" s="2" t="inlineStr"/>
    </row>
    <row r="348" ht="15" customHeight="1">
      <c r="A348" t="inlineStr">
        <is>
          <t>A 39213-2022</t>
        </is>
      </c>
      <c r="B348" s="1" t="n">
        <v>44817.56120370371</v>
      </c>
      <c r="C348" s="1" t="n">
        <v>46076</v>
      </c>
      <c r="D348" t="inlineStr">
        <is>
          <t>STOCKHOLMS LÄN</t>
        </is>
      </c>
      <c r="E348" t="inlineStr">
        <is>
          <t>NORRTÄLJE</t>
        </is>
      </c>
      <c r="G348" t="n">
        <v>3.4</v>
      </c>
      <c r="H348" t="n">
        <v>0</v>
      </c>
      <c r="I348" t="n">
        <v>0</v>
      </c>
      <c r="J348" t="n">
        <v>0</v>
      </c>
      <c r="K348" t="n">
        <v>0</v>
      </c>
      <c r="L348" t="n">
        <v>0</v>
      </c>
      <c r="M348" t="n">
        <v>0</v>
      </c>
      <c r="N348" t="n">
        <v>0</v>
      </c>
      <c r="O348" t="n">
        <v>0</v>
      </c>
      <c r="P348" t="n">
        <v>0</v>
      </c>
      <c r="Q348" t="n">
        <v>0</v>
      </c>
      <c r="R348" s="2" t="inlineStr"/>
    </row>
    <row r="349" ht="15" customHeight="1">
      <c r="A349" t="inlineStr">
        <is>
          <t>A 51325-2023</t>
        </is>
      </c>
      <c r="B349" s="1" t="n">
        <v>45219</v>
      </c>
      <c r="C349" s="1" t="n">
        <v>46076</v>
      </c>
      <c r="D349" t="inlineStr">
        <is>
          <t>STOCKHOLMS LÄN</t>
        </is>
      </c>
      <c r="E349" t="inlineStr">
        <is>
          <t>NORRTÄLJE</t>
        </is>
      </c>
      <c r="G349" t="n">
        <v>2.2</v>
      </c>
      <c r="H349" t="n">
        <v>0</v>
      </c>
      <c r="I349" t="n">
        <v>0</v>
      </c>
      <c r="J349" t="n">
        <v>0</v>
      </c>
      <c r="K349" t="n">
        <v>0</v>
      </c>
      <c r="L349" t="n">
        <v>0</v>
      </c>
      <c r="M349" t="n">
        <v>0</v>
      </c>
      <c r="N349" t="n">
        <v>0</v>
      </c>
      <c r="O349" t="n">
        <v>0</v>
      </c>
      <c r="P349" t="n">
        <v>0</v>
      </c>
      <c r="Q349" t="n">
        <v>0</v>
      </c>
      <c r="R349" s="2" t="inlineStr"/>
    </row>
    <row r="350" ht="15" customHeight="1">
      <c r="A350" t="inlineStr">
        <is>
          <t>A 59534-2024</t>
        </is>
      </c>
      <c r="B350" s="1" t="n">
        <v>45638.5987037037</v>
      </c>
      <c r="C350" s="1" t="n">
        <v>46076</v>
      </c>
      <c r="D350" t="inlineStr">
        <is>
          <t>STOCKHOLMS LÄN</t>
        </is>
      </c>
      <c r="E350" t="inlineStr">
        <is>
          <t>NORRTÄLJE</t>
        </is>
      </c>
      <c r="F350" t="inlineStr">
        <is>
          <t>Holmen skog AB</t>
        </is>
      </c>
      <c r="G350" t="n">
        <v>1.3</v>
      </c>
      <c r="H350" t="n">
        <v>0</v>
      </c>
      <c r="I350" t="n">
        <v>0</v>
      </c>
      <c r="J350" t="n">
        <v>0</v>
      </c>
      <c r="K350" t="n">
        <v>0</v>
      </c>
      <c r="L350" t="n">
        <v>0</v>
      </c>
      <c r="M350" t="n">
        <v>0</v>
      </c>
      <c r="N350" t="n">
        <v>0</v>
      </c>
      <c r="O350" t="n">
        <v>0</v>
      </c>
      <c r="P350" t="n">
        <v>0</v>
      </c>
      <c r="Q350" t="n">
        <v>0</v>
      </c>
      <c r="R350" s="2" t="inlineStr"/>
    </row>
    <row r="351" ht="15" customHeight="1">
      <c r="A351" t="inlineStr">
        <is>
          <t>A 31107-2022</t>
        </is>
      </c>
      <c r="B351" s="1" t="n">
        <v>44769.66864583334</v>
      </c>
      <c r="C351" s="1" t="n">
        <v>46076</v>
      </c>
      <c r="D351" t="inlineStr">
        <is>
          <t>STOCKHOLMS LÄN</t>
        </is>
      </c>
      <c r="E351" t="inlineStr">
        <is>
          <t>NORRTÄLJE</t>
        </is>
      </c>
      <c r="G351" t="n">
        <v>3.8</v>
      </c>
      <c r="H351" t="n">
        <v>0</v>
      </c>
      <c r="I351" t="n">
        <v>0</v>
      </c>
      <c r="J351" t="n">
        <v>0</v>
      </c>
      <c r="K351" t="n">
        <v>0</v>
      </c>
      <c r="L351" t="n">
        <v>0</v>
      </c>
      <c r="M351" t="n">
        <v>0</v>
      </c>
      <c r="N351" t="n">
        <v>0</v>
      </c>
      <c r="O351" t="n">
        <v>0</v>
      </c>
      <c r="P351" t="n">
        <v>0</v>
      </c>
      <c r="Q351" t="n">
        <v>0</v>
      </c>
      <c r="R351" s="2" t="inlineStr"/>
    </row>
    <row r="352" ht="15" customHeight="1">
      <c r="A352" t="inlineStr">
        <is>
          <t>A 13860-2023</t>
        </is>
      </c>
      <c r="B352" s="1" t="n">
        <v>45007</v>
      </c>
      <c r="C352" s="1" t="n">
        <v>46076</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6855-2025</t>
        </is>
      </c>
      <c r="B353" s="1" t="n">
        <v>45700</v>
      </c>
      <c r="C353" s="1" t="n">
        <v>46076</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41976-2024</t>
        </is>
      </c>
      <c r="B354" s="1" t="n">
        <v>45561.62141203704</v>
      </c>
      <c r="C354" s="1" t="n">
        <v>46076</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34432-2021</t>
        </is>
      </c>
      <c r="B355" s="1" t="n">
        <v>44380.77346064815</v>
      </c>
      <c r="C355" s="1" t="n">
        <v>46076</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13314-2025</t>
        </is>
      </c>
      <c r="B356" s="1" t="n">
        <v>45735.59287037037</v>
      </c>
      <c r="C356" s="1" t="n">
        <v>46076</v>
      </c>
      <c r="D356" t="inlineStr">
        <is>
          <t>STOCKHOLMS LÄN</t>
        </is>
      </c>
      <c r="E356" t="inlineStr">
        <is>
          <t>NORRTÄLJE</t>
        </is>
      </c>
      <c r="G356" t="n">
        <v>2.4</v>
      </c>
      <c r="H356" t="n">
        <v>0</v>
      </c>
      <c r="I356" t="n">
        <v>0</v>
      </c>
      <c r="J356" t="n">
        <v>0</v>
      </c>
      <c r="K356" t="n">
        <v>0</v>
      </c>
      <c r="L356" t="n">
        <v>0</v>
      </c>
      <c r="M356" t="n">
        <v>0</v>
      </c>
      <c r="N356" t="n">
        <v>0</v>
      </c>
      <c r="O356" t="n">
        <v>0</v>
      </c>
      <c r="P356" t="n">
        <v>0</v>
      </c>
      <c r="Q356" t="n">
        <v>0</v>
      </c>
      <c r="R356" s="2" t="inlineStr"/>
    </row>
    <row r="357" ht="15" customHeight="1">
      <c r="A357" t="inlineStr">
        <is>
          <t>A 23149-2024</t>
        </is>
      </c>
      <c r="B357" s="1" t="n">
        <v>45450.64208333333</v>
      </c>
      <c r="C357" s="1" t="n">
        <v>46076</v>
      </c>
      <c r="D357" t="inlineStr">
        <is>
          <t>STOCKHOLMS LÄN</t>
        </is>
      </c>
      <c r="E357" t="inlineStr">
        <is>
          <t>NORRTÄLJE</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23151-2024</t>
        </is>
      </c>
      <c r="B358" s="1" t="n">
        <v>45450</v>
      </c>
      <c r="C358" s="1" t="n">
        <v>46076</v>
      </c>
      <c r="D358" t="inlineStr">
        <is>
          <t>STOCKHOLMS LÄN</t>
        </is>
      </c>
      <c r="E358" t="inlineStr">
        <is>
          <t>NORRTÄLJE</t>
        </is>
      </c>
      <c r="F358" t="inlineStr">
        <is>
          <t>Kommuner</t>
        </is>
      </c>
      <c r="G358" t="n">
        <v>1.2</v>
      </c>
      <c r="H358" t="n">
        <v>0</v>
      </c>
      <c r="I358" t="n">
        <v>0</v>
      </c>
      <c r="J358" t="n">
        <v>0</v>
      </c>
      <c r="K358" t="n">
        <v>0</v>
      </c>
      <c r="L358" t="n">
        <v>0</v>
      </c>
      <c r="M358" t="n">
        <v>0</v>
      </c>
      <c r="N358" t="n">
        <v>0</v>
      </c>
      <c r="O358" t="n">
        <v>0</v>
      </c>
      <c r="P358" t="n">
        <v>0</v>
      </c>
      <c r="Q358" t="n">
        <v>0</v>
      </c>
      <c r="R358" s="2" t="inlineStr"/>
    </row>
    <row r="359" ht="15" customHeight="1">
      <c r="A359" t="inlineStr">
        <is>
          <t>A 21726-2022</t>
        </is>
      </c>
      <c r="B359" s="1" t="n">
        <v>44708</v>
      </c>
      <c r="C359" s="1" t="n">
        <v>46076</v>
      </c>
      <c r="D359" t="inlineStr">
        <is>
          <t>STOCKHOLMS LÄN</t>
        </is>
      </c>
      <c r="E359" t="inlineStr">
        <is>
          <t>NORRTÄLJE</t>
        </is>
      </c>
      <c r="G359" t="n">
        <v>0.2</v>
      </c>
      <c r="H359" t="n">
        <v>0</v>
      </c>
      <c r="I359" t="n">
        <v>0</v>
      </c>
      <c r="J359" t="n">
        <v>0</v>
      </c>
      <c r="K359" t="n">
        <v>0</v>
      </c>
      <c r="L359" t="n">
        <v>0</v>
      </c>
      <c r="M359" t="n">
        <v>0</v>
      </c>
      <c r="N359" t="n">
        <v>0</v>
      </c>
      <c r="O359" t="n">
        <v>0</v>
      </c>
      <c r="P359" t="n">
        <v>0</v>
      </c>
      <c r="Q359" t="n">
        <v>0</v>
      </c>
      <c r="R359" s="2" t="inlineStr"/>
    </row>
    <row r="360" ht="15" customHeight="1">
      <c r="A360" t="inlineStr">
        <is>
          <t>A 21739-2022</t>
        </is>
      </c>
      <c r="B360" s="1" t="n">
        <v>44708.36708333333</v>
      </c>
      <c r="C360" s="1" t="n">
        <v>46076</v>
      </c>
      <c r="D360" t="inlineStr">
        <is>
          <t>STOCKHOLMS LÄN</t>
        </is>
      </c>
      <c r="E360" t="inlineStr">
        <is>
          <t>NORRTÄLJE</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35210-2023</t>
        </is>
      </c>
      <c r="B361" s="1" t="n">
        <v>45145.63584490741</v>
      </c>
      <c r="C361" s="1" t="n">
        <v>46076</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52001-2023</t>
        </is>
      </c>
      <c r="B362" s="1" t="n">
        <v>45223</v>
      </c>
      <c r="C362" s="1" t="n">
        <v>46076</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60185-2024</t>
        </is>
      </c>
      <c r="B363" s="1" t="n">
        <v>45642.64634259259</v>
      </c>
      <c r="C363" s="1" t="n">
        <v>46076</v>
      </c>
      <c r="D363" t="inlineStr">
        <is>
          <t>STOCKHOLMS LÄN</t>
        </is>
      </c>
      <c r="E363" t="inlineStr">
        <is>
          <t>NORRTÄLJE</t>
        </is>
      </c>
      <c r="G363" t="n">
        <v>0.3</v>
      </c>
      <c r="H363" t="n">
        <v>0</v>
      </c>
      <c r="I363" t="n">
        <v>0</v>
      </c>
      <c r="J363" t="n">
        <v>0</v>
      </c>
      <c r="K363" t="n">
        <v>0</v>
      </c>
      <c r="L363" t="n">
        <v>0</v>
      </c>
      <c r="M363" t="n">
        <v>0</v>
      </c>
      <c r="N363" t="n">
        <v>0</v>
      </c>
      <c r="O363" t="n">
        <v>0</v>
      </c>
      <c r="P363" t="n">
        <v>0</v>
      </c>
      <c r="Q363" t="n">
        <v>0</v>
      </c>
      <c r="R363" s="2" t="inlineStr"/>
    </row>
    <row r="364" ht="15" customHeight="1">
      <c r="A364" t="inlineStr">
        <is>
          <t>A 59767-2022</t>
        </is>
      </c>
      <c r="B364" s="1" t="n">
        <v>44900</v>
      </c>
      <c r="C364" s="1" t="n">
        <v>46076</v>
      </c>
      <c r="D364" t="inlineStr">
        <is>
          <t>STOCKHOLMS LÄN</t>
        </is>
      </c>
      <c r="E364" t="inlineStr">
        <is>
          <t>NORRTÄLJE</t>
        </is>
      </c>
      <c r="G364" t="n">
        <v>2.2</v>
      </c>
      <c r="H364" t="n">
        <v>0</v>
      </c>
      <c r="I364" t="n">
        <v>0</v>
      </c>
      <c r="J364" t="n">
        <v>0</v>
      </c>
      <c r="K364" t="n">
        <v>0</v>
      </c>
      <c r="L364" t="n">
        <v>0</v>
      </c>
      <c r="M364" t="n">
        <v>0</v>
      </c>
      <c r="N364" t="n">
        <v>0</v>
      </c>
      <c r="O364" t="n">
        <v>0</v>
      </c>
      <c r="P364" t="n">
        <v>0</v>
      </c>
      <c r="Q364" t="n">
        <v>0</v>
      </c>
      <c r="R364" s="2" t="inlineStr"/>
    </row>
    <row r="365" ht="15" customHeight="1">
      <c r="A365" t="inlineStr">
        <is>
          <t>A 48686-2023</t>
        </is>
      </c>
      <c r="B365" s="1" t="n">
        <v>45208</v>
      </c>
      <c r="C365" s="1" t="n">
        <v>46076</v>
      </c>
      <c r="D365" t="inlineStr">
        <is>
          <t>STOCKHOLMS LÄN</t>
        </is>
      </c>
      <c r="E365" t="inlineStr">
        <is>
          <t>NORRTÄLJE</t>
        </is>
      </c>
      <c r="G365" t="n">
        <v>6</v>
      </c>
      <c r="H365" t="n">
        <v>0</v>
      </c>
      <c r="I365" t="n">
        <v>0</v>
      </c>
      <c r="J365" t="n">
        <v>0</v>
      </c>
      <c r="K365" t="n">
        <v>0</v>
      </c>
      <c r="L365" t="n">
        <v>0</v>
      </c>
      <c r="M365" t="n">
        <v>0</v>
      </c>
      <c r="N365" t="n">
        <v>0</v>
      </c>
      <c r="O365" t="n">
        <v>0</v>
      </c>
      <c r="P365" t="n">
        <v>0</v>
      </c>
      <c r="Q365" t="n">
        <v>0</v>
      </c>
      <c r="R365" s="2" t="inlineStr"/>
    </row>
    <row r="366" ht="15" customHeight="1">
      <c r="A366" t="inlineStr">
        <is>
          <t>A 48691-2023</t>
        </is>
      </c>
      <c r="B366" s="1" t="n">
        <v>45208</v>
      </c>
      <c r="C366" s="1" t="n">
        <v>46076</v>
      </c>
      <c r="D366" t="inlineStr">
        <is>
          <t>STOCKHOLMS LÄN</t>
        </is>
      </c>
      <c r="E366" t="inlineStr">
        <is>
          <t>NORRTÄLJE</t>
        </is>
      </c>
      <c r="G366" t="n">
        <v>5.8</v>
      </c>
      <c r="H366" t="n">
        <v>0</v>
      </c>
      <c r="I366" t="n">
        <v>0</v>
      </c>
      <c r="J366" t="n">
        <v>0</v>
      </c>
      <c r="K366" t="n">
        <v>0</v>
      </c>
      <c r="L366" t="n">
        <v>0</v>
      </c>
      <c r="M366" t="n">
        <v>0</v>
      </c>
      <c r="N366" t="n">
        <v>0</v>
      </c>
      <c r="O366" t="n">
        <v>0</v>
      </c>
      <c r="P366" t="n">
        <v>0</v>
      </c>
      <c r="Q366" t="n">
        <v>0</v>
      </c>
      <c r="R366" s="2" t="inlineStr"/>
    </row>
    <row r="367" ht="15" customHeight="1">
      <c r="A367" t="inlineStr">
        <is>
          <t>A 5823-2023</t>
        </is>
      </c>
      <c r="B367" s="1" t="n">
        <v>44963</v>
      </c>
      <c r="C367" s="1" t="n">
        <v>46076</v>
      </c>
      <c r="D367" t="inlineStr">
        <is>
          <t>STOCKHOLMS LÄN</t>
        </is>
      </c>
      <c r="E367" t="inlineStr">
        <is>
          <t>NORRTÄLJE</t>
        </is>
      </c>
      <c r="G367" t="n">
        <v>0.7</v>
      </c>
      <c r="H367" t="n">
        <v>0</v>
      </c>
      <c r="I367" t="n">
        <v>0</v>
      </c>
      <c r="J367" t="n">
        <v>0</v>
      </c>
      <c r="K367" t="n">
        <v>0</v>
      </c>
      <c r="L367" t="n">
        <v>0</v>
      </c>
      <c r="M367" t="n">
        <v>0</v>
      </c>
      <c r="N367" t="n">
        <v>0</v>
      </c>
      <c r="O367" t="n">
        <v>0</v>
      </c>
      <c r="P367" t="n">
        <v>0</v>
      </c>
      <c r="Q367" t="n">
        <v>0</v>
      </c>
      <c r="R367" s="2" t="inlineStr"/>
    </row>
    <row r="368" ht="15" customHeight="1">
      <c r="A368" t="inlineStr">
        <is>
          <t>A 19915-2024</t>
        </is>
      </c>
      <c r="B368" s="1" t="n">
        <v>45433.58431712963</v>
      </c>
      <c r="C368" s="1" t="n">
        <v>46076</v>
      </c>
      <c r="D368" t="inlineStr">
        <is>
          <t>STOCKHOLMS LÄN</t>
        </is>
      </c>
      <c r="E368" t="inlineStr">
        <is>
          <t>NORRTÄLJE</t>
        </is>
      </c>
      <c r="G368" t="n">
        <v>2</v>
      </c>
      <c r="H368" t="n">
        <v>0</v>
      </c>
      <c r="I368" t="n">
        <v>0</v>
      </c>
      <c r="J368" t="n">
        <v>0</v>
      </c>
      <c r="K368" t="n">
        <v>0</v>
      </c>
      <c r="L368" t="n">
        <v>0</v>
      </c>
      <c r="M368" t="n">
        <v>0</v>
      </c>
      <c r="N368" t="n">
        <v>0</v>
      </c>
      <c r="O368" t="n">
        <v>0</v>
      </c>
      <c r="P368" t="n">
        <v>0</v>
      </c>
      <c r="Q368" t="n">
        <v>0</v>
      </c>
      <c r="R368" s="2" t="inlineStr"/>
    </row>
    <row r="369" ht="15" customHeight="1">
      <c r="A369" t="inlineStr">
        <is>
          <t>A 15217-2023</t>
        </is>
      </c>
      <c r="B369" s="1" t="n">
        <v>45019.28847222222</v>
      </c>
      <c r="C369" s="1" t="n">
        <v>46076</v>
      </c>
      <c r="D369" t="inlineStr">
        <is>
          <t>STOCKHOLMS LÄN</t>
        </is>
      </c>
      <c r="E369" t="inlineStr">
        <is>
          <t>NORRTÄLJE</t>
        </is>
      </c>
      <c r="G369" t="n">
        <v>3.6</v>
      </c>
      <c r="H369" t="n">
        <v>0</v>
      </c>
      <c r="I369" t="n">
        <v>0</v>
      </c>
      <c r="J369" t="n">
        <v>0</v>
      </c>
      <c r="K369" t="n">
        <v>0</v>
      </c>
      <c r="L369" t="n">
        <v>0</v>
      </c>
      <c r="M369" t="n">
        <v>0</v>
      </c>
      <c r="N369" t="n">
        <v>0</v>
      </c>
      <c r="O369" t="n">
        <v>0</v>
      </c>
      <c r="P369" t="n">
        <v>0</v>
      </c>
      <c r="Q369" t="n">
        <v>0</v>
      </c>
      <c r="R369" s="2" t="inlineStr"/>
    </row>
    <row r="370" ht="15" customHeight="1">
      <c r="A370" t="inlineStr">
        <is>
          <t>A 11900-2024</t>
        </is>
      </c>
      <c r="B370" s="1" t="n">
        <v>45376.55484953704</v>
      </c>
      <c r="C370" s="1" t="n">
        <v>46076</v>
      </c>
      <c r="D370" t="inlineStr">
        <is>
          <t>STOCKHOLMS LÄN</t>
        </is>
      </c>
      <c r="E370" t="inlineStr">
        <is>
          <t>NORRTÄLJE</t>
        </is>
      </c>
      <c r="G370" t="n">
        <v>4.2</v>
      </c>
      <c r="H370" t="n">
        <v>0</v>
      </c>
      <c r="I370" t="n">
        <v>0</v>
      </c>
      <c r="J370" t="n">
        <v>0</v>
      </c>
      <c r="K370" t="n">
        <v>0</v>
      </c>
      <c r="L370" t="n">
        <v>0</v>
      </c>
      <c r="M370" t="n">
        <v>0</v>
      </c>
      <c r="N370" t="n">
        <v>0</v>
      </c>
      <c r="O370" t="n">
        <v>0</v>
      </c>
      <c r="P370" t="n">
        <v>0</v>
      </c>
      <c r="Q370" t="n">
        <v>0</v>
      </c>
      <c r="R370" s="2" t="inlineStr"/>
    </row>
    <row r="371" ht="15" customHeight="1">
      <c r="A371" t="inlineStr">
        <is>
          <t>A 50143-2023</t>
        </is>
      </c>
      <c r="B371" s="1" t="n">
        <v>45215</v>
      </c>
      <c r="C371" s="1" t="n">
        <v>46076</v>
      </c>
      <c r="D371" t="inlineStr">
        <is>
          <t>STOCKHOLMS LÄN</t>
        </is>
      </c>
      <c r="E371" t="inlineStr">
        <is>
          <t>NORRTÄLJE</t>
        </is>
      </c>
      <c r="G371" t="n">
        <v>10.3</v>
      </c>
      <c r="H371" t="n">
        <v>0</v>
      </c>
      <c r="I371" t="n">
        <v>0</v>
      </c>
      <c r="J371" t="n">
        <v>0</v>
      </c>
      <c r="K371" t="n">
        <v>0</v>
      </c>
      <c r="L371" t="n">
        <v>0</v>
      </c>
      <c r="M371" t="n">
        <v>0</v>
      </c>
      <c r="N371" t="n">
        <v>0</v>
      </c>
      <c r="O371" t="n">
        <v>0</v>
      </c>
      <c r="P371" t="n">
        <v>0</v>
      </c>
      <c r="Q371" t="n">
        <v>0</v>
      </c>
      <c r="R371" s="2" t="inlineStr"/>
    </row>
    <row r="372" ht="15" customHeight="1">
      <c r="A372" t="inlineStr">
        <is>
          <t>A 4322-2023</t>
        </is>
      </c>
      <c r="B372" s="1" t="n">
        <v>44953.69298611111</v>
      </c>
      <c r="C372" s="1" t="n">
        <v>46076</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29176-2024</t>
        </is>
      </c>
      <c r="B373" s="1" t="n">
        <v>45482.53388888889</v>
      </c>
      <c r="C373" s="1" t="n">
        <v>46076</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43212-2022</t>
        </is>
      </c>
      <c r="B374" s="1" t="n">
        <v>44834.38636574074</v>
      </c>
      <c r="C374" s="1" t="n">
        <v>46076</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36430-2024</t>
        </is>
      </c>
      <c r="B375" s="1" t="n">
        <v>45536</v>
      </c>
      <c r="C375" s="1" t="n">
        <v>46076</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51653-2022</t>
        </is>
      </c>
      <c r="B376" s="1" t="n">
        <v>44867</v>
      </c>
      <c r="C376" s="1" t="n">
        <v>46076</v>
      </c>
      <c r="D376" t="inlineStr">
        <is>
          <t>STOCKHOLMS LÄN</t>
        </is>
      </c>
      <c r="E376" t="inlineStr">
        <is>
          <t>NORRTÄLJE</t>
        </is>
      </c>
      <c r="G376" t="n">
        <v>6.6</v>
      </c>
      <c r="H376" t="n">
        <v>0</v>
      </c>
      <c r="I376" t="n">
        <v>0</v>
      </c>
      <c r="J376" t="n">
        <v>0</v>
      </c>
      <c r="K376" t="n">
        <v>0</v>
      </c>
      <c r="L376" t="n">
        <v>0</v>
      </c>
      <c r="M376" t="n">
        <v>0</v>
      </c>
      <c r="N376" t="n">
        <v>0</v>
      </c>
      <c r="O376" t="n">
        <v>0</v>
      </c>
      <c r="P376" t="n">
        <v>0</v>
      </c>
      <c r="Q376" t="n">
        <v>0</v>
      </c>
      <c r="R376" s="2" t="inlineStr"/>
    </row>
    <row r="377" ht="15" customHeight="1">
      <c r="A377" t="inlineStr">
        <is>
          <t>A 51312-2023</t>
        </is>
      </c>
      <c r="B377" s="1" t="n">
        <v>45219.56697916667</v>
      </c>
      <c r="C377" s="1" t="n">
        <v>46076</v>
      </c>
      <c r="D377" t="inlineStr">
        <is>
          <t>STOCKHOLMS LÄN</t>
        </is>
      </c>
      <c r="E377" t="inlineStr">
        <is>
          <t>NORRTÄLJE</t>
        </is>
      </c>
      <c r="G377" t="n">
        <v>1.9</v>
      </c>
      <c r="H377" t="n">
        <v>0</v>
      </c>
      <c r="I377" t="n">
        <v>0</v>
      </c>
      <c r="J377" t="n">
        <v>0</v>
      </c>
      <c r="K377" t="n">
        <v>0</v>
      </c>
      <c r="L377" t="n">
        <v>0</v>
      </c>
      <c r="M377" t="n">
        <v>0</v>
      </c>
      <c r="N377" t="n">
        <v>0</v>
      </c>
      <c r="O377" t="n">
        <v>0</v>
      </c>
      <c r="P377" t="n">
        <v>0</v>
      </c>
      <c r="Q377" t="n">
        <v>0</v>
      </c>
      <c r="R377" s="2" t="inlineStr"/>
    </row>
    <row r="378" ht="15" customHeight="1">
      <c r="A378" t="inlineStr">
        <is>
          <t>A 35640-2024</t>
        </is>
      </c>
      <c r="B378" s="1" t="n">
        <v>45531</v>
      </c>
      <c r="C378" s="1" t="n">
        <v>46076</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38990-2022</t>
        </is>
      </c>
      <c r="B379" s="1" t="n">
        <v>44816</v>
      </c>
      <c r="C379" s="1" t="n">
        <v>46076</v>
      </c>
      <c r="D379" t="inlineStr">
        <is>
          <t>STOCKHOLMS LÄN</t>
        </is>
      </c>
      <c r="E379" t="inlineStr">
        <is>
          <t>NORRTÄLJE</t>
        </is>
      </c>
      <c r="G379" t="n">
        <v>5.7</v>
      </c>
      <c r="H379" t="n">
        <v>0</v>
      </c>
      <c r="I379" t="n">
        <v>0</v>
      </c>
      <c r="J379" t="n">
        <v>0</v>
      </c>
      <c r="K379" t="n">
        <v>0</v>
      </c>
      <c r="L379" t="n">
        <v>0</v>
      </c>
      <c r="M379" t="n">
        <v>0</v>
      </c>
      <c r="N379" t="n">
        <v>0</v>
      </c>
      <c r="O379" t="n">
        <v>0</v>
      </c>
      <c r="P379" t="n">
        <v>0</v>
      </c>
      <c r="Q379" t="n">
        <v>0</v>
      </c>
      <c r="R379" s="2" t="inlineStr"/>
    </row>
    <row r="380" ht="15" customHeight="1">
      <c r="A380" t="inlineStr">
        <is>
          <t>A 17956-2025</t>
        </is>
      </c>
      <c r="B380" s="1" t="n">
        <v>45760.91174768518</v>
      </c>
      <c r="C380" s="1" t="n">
        <v>46076</v>
      </c>
      <c r="D380" t="inlineStr">
        <is>
          <t>STOCKHOLMS LÄN</t>
        </is>
      </c>
      <c r="E380" t="inlineStr">
        <is>
          <t>NORRTÄLJE</t>
        </is>
      </c>
      <c r="G380" t="n">
        <v>4.3</v>
      </c>
      <c r="H380" t="n">
        <v>0</v>
      </c>
      <c r="I380" t="n">
        <v>0</v>
      </c>
      <c r="J380" t="n">
        <v>0</v>
      </c>
      <c r="K380" t="n">
        <v>0</v>
      </c>
      <c r="L380" t="n">
        <v>0</v>
      </c>
      <c r="M380" t="n">
        <v>0</v>
      </c>
      <c r="N380" t="n">
        <v>0</v>
      </c>
      <c r="O380" t="n">
        <v>0</v>
      </c>
      <c r="P380" t="n">
        <v>0</v>
      </c>
      <c r="Q380" t="n">
        <v>0</v>
      </c>
      <c r="R380" s="2" t="inlineStr"/>
    </row>
    <row r="381" ht="15" customHeight="1">
      <c r="A381" t="inlineStr">
        <is>
          <t>A 875-2023</t>
        </is>
      </c>
      <c r="B381" s="1" t="n">
        <v>44931.65626157408</v>
      </c>
      <c r="C381" s="1" t="n">
        <v>46076</v>
      </c>
      <c r="D381" t="inlineStr">
        <is>
          <t>STOCKHOLMS LÄN</t>
        </is>
      </c>
      <c r="E381" t="inlineStr">
        <is>
          <t>NORRTÄLJE</t>
        </is>
      </c>
      <c r="G381" t="n">
        <v>2.2</v>
      </c>
      <c r="H381" t="n">
        <v>0</v>
      </c>
      <c r="I381" t="n">
        <v>0</v>
      </c>
      <c r="J381" t="n">
        <v>0</v>
      </c>
      <c r="K381" t="n">
        <v>0</v>
      </c>
      <c r="L381" t="n">
        <v>0</v>
      </c>
      <c r="M381" t="n">
        <v>0</v>
      </c>
      <c r="N381" t="n">
        <v>0</v>
      </c>
      <c r="O381" t="n">
        <v>0</v>
      </c>
      <c r="P381" t="n">
        <v>0</v>
      </c>
      <c r="Q381" t="n">
        <v>0</v>
      </c>
      <c r="R381" s="2" t="inlineStr"/>
    </row>
    <row r="382" ht="15" customHeight="1">
      <c r="A382" t="inlineStr">
        <is>
          <t>A 31236-2022</t>
        </is>
      </c>
      <c r="B382" s="1" t="n">
        <v>44771</v>
      </c>
      <c r="C382" s="1" t="n">
        <v>46076</v>
      </c>
      <c r="D382" t="inlineStr">
        <is>
          <t>STOCKHOLMS LÄN</t>
        </is>
      </c>
      <c r="E382" t="inlineStr">
        <is>
          <t>NORRTÄLJE</t>
        </is>
      </c>
      <c r="G382" t="n">
        <v>1.7</v>
      </c>
      <c r="H382" t="n">
        <v>0</v>
      </c>
      <c r="I382" t="n">
        <v>0</v>
      </c>
      <c r="J382" t="n">
        <v>0</v>
      </c>
      <c r="K382" t="n">
        <v>0</v>
      </c>
      <c r="L382" t="n">
        <v>0</v>
      </c>
      <c r="M382" t="n">
        <v>0</v>
      </c>
      <c r="N382" t="n">
        <v>0</v>
      </c>
      <c r="O382" t="n">
        <v>0</v>
      </c>
      <c r="P382" t="n">
        <v>0</v>
      </c>
      <c r="Q382" t="n">
        <v>0</v>
      </c>
      <c r="R382" s="2" t="inlineStr"/>
    </row>
    <row r="383" ht="15" customHeight="1">
      <c r="A383" t="inlineStr">
        <is>
          <t>A 8315-2025</t>
        </is>
      </c>
      <c r="B383" s="1" t="n">
        <v>45708.61761574074</v>
      </c>
      <c r="C383" s="1" t="n">
        <v>46076</v>
      </c>
      <c r="D383" t="inlineStr">
        <is>
          <t>STOCKHOLMS LÄN</t>
        </is>
      </c>
      <c r="E383" t="inlineStr">
        <is>
          <t>NORRTÄLJE</t>
        </is>
      </c>
      <c r="G383" t="n">
        <v>3.9</v>
      </c>
      <c r="H383" t="n">
        <v>0</v>
      </c>
      <c r="I383" t="n">
        <v>0</v>
      </c>
      <c r="J383" t="n">
        <v>0</v>
      </c>
      <c r="K383" t="n">
        <v>0</v>
      </c>
      <c r="L383" t="n">
        <v>0</v>
      </c>
      <c r="M383" t="n">
        <v>0</v>
      </c>
      <c r="N383" t="n">
        <v>0</v>
      </c>
      <c r="O383" t="n">
        <v>0</v>
      </c>
      <c r="P383" t="n">
        <v>0</v>
      </c>
      <c r="Q383" t="n">
        <v>0</v>
      </c>
      <c r="R383" s="2" t="inlineStr"/>
    </row>
    <row r="384" ht="15" customHeight="1">
      <c r="A384" t="inlineStr">
        <is>
          <t>A 31281-2022</t>
        </is>
      </c>
      <c r="B384" s="1" t="n">
        <v>44771</v>
      </c>
      <c r="C384" s="1" t="n">
        <v>46076</v>
      </c>
      <c r="D384" t="inlineStr">
        <is>
          <t>STOCKHOLMS LÄN</t>
        </is>
      </c>
      <c r="E384" t="inlineStr">
        <is>
          <t>NORRTÄLJE</t>
        </is>
      </c>
      <c r="F384" t="inlineStr">
        <is>
          <t>Holmen skog AB</t>
        </is>
      </c>
      <c r="G384" t="n">
        <v>5.2</v>
      </c>
      <c r="H384" t="n">
        <v>0</v>
      </c>
      <c r="I384" t="n">
        <v>0</v>
      </c>
      <c r="J384" t="n">
        <v>0</v>
      </c>
      <c r="K384" t="n">
        <v>0</v>
      </c>
      <c r="L384" t="n">
        <v>0</v>
      </c>
      <c r="M384" t="n">
        <v>0</v>
      </c>
      <c r="N384" t="n">
        <v>0</v>
      </c>
      <c r="O384" t="n">
        <v>0</v>
      </c>
      <c r="P384" t="n">
        <v>0</v>
      </c>
      <c r="Q384" t="n">
        <v>0</v>
      </c>
      <c r="R384" s="2" t="inlineStr"/>
    </row>
    <row r="385" ht="15" customHeight="1">
      <c r="A385" t="inlineStr">
        <is>
          <t>A 18665-2022</t>
        </is>
      </c>
      <c r="B385" s="1" t="n">
        <v>44687</v>
      </c>
      <c r="C385" s="1" t="n">
        <v>46076</v>
      </c>
      <c r="D385" t="inlineStr">
        <is>
          <t>STOCKHOLMS LÄN</t>
        </is>
      </c>
      <c r="E385" t="inlineStr">
        <is>
          <t>NORRTÄLJE</t>
        </is>
      </c>
      <c r="F385" t="inlineStr">
        <is>
          <t>Kyrkan</t>
        </is>
      </c>
      <c r="G385" t="n">
        <v>1.1</v>
      </c>
      <c r="H385" t="n">
        <v>0</v>
      </c>
      <c r="I385" t="n">
        <v>0</v>
      </c>
      <c r="J385" t="n">
        <v>0</v>
      </c>
      <c r="K385" t="n">
        <v>0</v>
      </c>
      <c r="L385" t="n">
        <v>0</v>
      </c>
      <c r="M385" t="n">
        <v>0</v>
      </c>
      <c r="N385" t="n">
        <v>0</v>
      </c>
      <c r="O385" t="n">
        <v>0</v>
      </c>
      <c r="P385" t="n">
        <v>0</v>
      </c>
      <c r="Q385" t="n">
        <v>0</v>
      </c>
      <c r="R385" s="2" t="inlineStr"/>
    </row>
    <row r="386" ht="15" customHeight="1">
      <c r="A386" t="inlineStr">
        <is>
          <t>A 58302-2022</t>
        </is>
      </c>
      <c r="B386" s="1" t="n">
        <v>44901</v>
      </c>
      <c r="C386" s="1" t="n">
        <v>46076</v>
      </c>
      <c r="D386" t="inlineStr">
        <is>
          <t>STOCKHOLMS LÄN</t>
        </is>
      </c>
      <c r="E386" t="inlineStr">
        <is>
          <t>NORRTÄLJE</t>
        </is>
      </c>
      <c r="G386" t="n">
        <v>3.9</v>
      </c>
      <c r="H386" t="n">
        <v>0</v>
      </c>
      <c r="I386" t="n">
        <v>0</v>
      </c>
      <c r="J386" t="n">
        <v>0</v>
      </c>
      <c r="K386" t="n">
        <v>0</v>
      </c>
      <c r="L386" t="n">
        <v>0</v>
      </c>
      <c r="M386" t="n">
        <v>0</v>
      </c>
      <c r="N386" t="n">
        <v>0</v>
      </c>
      <c r="O386" t="n">
        <v>0</v>
      </c>
      <c r="P386" t="n">
        <v>0</v>
      </c>
      <c r="Q386" t="n">
        <v>0</v>
      </c>
      <c r="R386" s="2" t="inlineStr"/>
    </row>
    <row r="387" ht="15" customHeight="1">
      <c r="A387" t="inlineStr">
        <is>
          <t>A 38591-2023</t>
        </is>
      </c>
      <c r="B387" s="1" t="n">
        <v>45162</v>
      </c>
      <c r="C387" s="1" t="n">
        <v>46076</v>
      </c>
      <c r="D387" t="inlineStr">
        <is>
          <t>STOCKHOLMS LÄN</t>
        </is>
      </c>
      <c r="E387" t="inlineStr">
        <is>
          <t>NORRTÄLJE</t>
        </is>
      </c>
      <c r="F387" t="inlineStr">
        <is>
          <t>Övriga Aktiebolag</t>
        </is>
      </c>
      <c r="G387" t="n">
        <v>3.1</v>
      </c>
      <c r="H387" t="n">
        <v>0</v>
      </c>
      <c r="I387" t="n">
        <v>0</v>
      </c>
      <c r="J387" t="n">
        <v>0</v>
      </c>
      <c r="K387" t="n">
        <v>0</v>
      </c>
      <c r="L387" t="n">
        <v>0</v>
      </c>
      <c r="M387" t="n">
        <v>0</v>
      </c>
      <c r="N387" t="n">
        <v>0</v>
      </c>
      <c r="O387" t="n">
        <v>0</v>
      </c>
      <c r="P387" t="n">
        <v>0</v>
      </c>
      <c r="Q387" t="n">
        <v>0</v>
      </c>
      <c r="R387" s="2" t="inlineStr"/>
    </row>
    <row r="388" ht="15" customHeight="1">
      <c r="A388" t="inlineStr">
        <is>
          <t>A 30338-2022</t>
        </is>
      </c>
      <c r="B388" s="1" t="n">
        <v>44760</v>
      </c>
      <c r="C388" s="1" t="n">
        <v>46076</v>
      </c>
      <c r="D388" t="inlineStr">
        <is>
          <t>STOCKHOLMS LÄN</t>
        </is>
      </c>
      <c r="E388" t="inlineStr">
        <is>
          <t>NORRTÄLJE</t>
        </is>
      </c>
      <c r="G388" t="n">
        <v>0.3</v>
      </c>
      <c r="H388" t="n">
        <v>0</v>
      </c>
      <c r="I388" t="n">
        <v>0</v>
      </c>
      <c r="J388" t="n">
        <v>0</v>
      </c>
      <c r="K388" t="n">
        <v>0</v>
      </c>
      <c r="L388" t="n">
        <v>0</v>
      </c>
      <c r="M388" t="n">
        <v>0</v>
      </c>
      <c r="N388" t="n">
        <v>0</v>
      </c>
      <c r="O388" t="n">
        <v>0</v>
      </c>
      <c r="P388" t="n">
        <v>0</v>
      </c>
      <c r="Q388" t="n">
        <v>0</v>
      </c>
      <c r="R388" s="2" t="inlineStr"/>
    </row>
    <row r="389" ht="15" customHeight="1">
      <c r="A389" t="inlineStr">
        <is>
          <t>A 52686-2024</t>
        </is>
      </c>
      <c r="B389" s="1" t="n">
        <v>45610.39271990741</v>
      </c>
      <c r="C389" s="1" t="n">
        <v>46076</v>
      </c>
      <c r="D389" t="inlineStr">
        <is>
          <t>STOCKHOLMS LÄN</t>
        </is>
      </c>
      <c r="E389" t="inlineStr">
        <is>
          <t>NORRTÄLJE</t>
        </is>
      </c>
      <c r="G389" t="n">
        <v>5.7</v>
      </c>
      <c r="H389" t="n">
        <v>0</v>
      </c>
      <c r="I389" t="n">
        <v>0</v>
      </c>
      <c r="J389" t="n">
        <v>0</v>
      </c>
      <c r="K389" t="n">
        <v>0</v>
      </c>
      <c r="L389" t="n">
        <v>0</v>
      </c>
      <c r="M389" t="n">
        <v>0</v>
      </c>
      <c r="N389" t="n">
        <v>0</v>
      </c>
      <c r="O389" t="n">
        <v>0</v>
      </c>
      <c r="P389" t="n">
        <v>0</v>
      </c>
      <c r="Q389" t="n">
        <v>0</v>
      </c>
      <c r="R389" s="2" t="inlineStr"/>
    </row>
    <row r="390" ht="15" customHeight="1">
      <c r="A390" t="inlineStr">
        <is>
          <t>A 2888-2022</t>
        </is>
      </c>
      <c r="B390" s="1" t="n">
        <v>44581</v>
      </c>
      <c r="C390" s="1" t="n">
        <v>46076</v>
      </c>
      <c r="D390" t="inlineStr">
        <is>
          <t>STOCKHOLMS LÄN</t>
        </is>
      </c>
      <c r="E390" t="inlineStr">
        <is>
          <t>NORRTÄLJE</t>
        </is>
      </c>
      <c r="G390" t="n">
        <v>2.4</v>
      </c>
      <c r="H390" t="n">
        <v>0</v>
      </c>
      <c r="I390" t="n">
        <v>0</v>
      </c>
      <c r="J390" t="n">
        <v>0</v>
      </c>
      <c r="K390" t="n">
        <v>0</v>
      </c>
      <c r="L390" t="n">
        <v>0</v>
      </c>
      <c r="M390" t="n">
        <v>0</v>
      </c>
      <c r="N390" t="n">
        <v>0</v>
      </c>
      <c r="O390" t="n">
        <v>0</v>
      </c>
      <c r="P390" t="n">
        <v>0</v>
      </c>
      <c r="Q390" t="n">
        <v>0</v>
      </c>
      <c r="R390" s="2" t="inlineStr"/>
    </row>
    <row r="391" ht="15" customHeight="1">
      <c r="A391" t="inlineStr">
        <is>
          <t>A 20343-2024</t>
        </is>
      </c>
      <c r="B391" s="1" t="n">
        <v>45435.43466435185</v>
      </c>
      <c r="C391" s="1" t="n">
        <v>46076</v>
      </c>
      <c r="D391" t="inlineStr">
        <is>
          <t>STOCKHOLMS LÄN</t>
        </is>
      </c>
      <c r="E391" t="inlineStr">
        <is>
          <t>NORRTÄLJE</t>
        </is>
      </c>
      <c r="G391" t="n">
        <v>2.8</v>
      </c>
      <c r="H391" t="n">
        <v>0</v>
      </c>
      <c r="I391" t="n">
        <v>0</v>
      </c>
      <c r="J391" t="n">
        <v>0</v>
      </c>
      <c r="K391" t="n">
        <v>0</v>
      </c>
      <c r="L391" t="n">
        <v>0</v>
      </c>
      <c r="M391" t="n">
        <v>0</v>
      </c>
      <c r="N391" t="n">
        <v>0</v>
      </c>
      <c r="O391" t="n">
        <v>0</v>
      </c>
      <c r="P391" t="n">
        <v>0</v>
      </c>
      <c r="Q391" t="n">
        <v>0</v>
      </c>
      <c r="R391" s="2" t="inlineStr"/>
    </row>
    <row r="392" ht="15" customHeight="1">
      <c r="A392" t="inlineStr">
        <is>
          <t>A 20345-2024</t>
        </is>
      </c>
      <c r="B392" s="1" t="n">
        <v>45435.43820601852</v>
      </c>
      <c r="C392" s="1" t="n">
        <v>46076</v>
      </c>
      <c r="D392" t="inlineStr">
        <is>
          <t>STOCKHOLMS LÄN</t>
        </is>
      </c>
      <c r="E392" t="inlineStr">
        <is>
          <t>NORRTÄLJE</t>
        </is>
      </c>
      <c r="G392" t="n">
        <v>3.8</v>
      </c>
      <c r="H392" t="n">
        <v>0</v>
      </c>
      <c r="I392" t="n">
        <v>0</v>
      </c>
      <c r="J392" t="n">
        <v>0</v>
      </c>
      <c r="K392" t="n">
        <v>0</v>
      </c>
      <c r="L392" t="n">
        <v>0</v>
      </c>
      <c r="M392" t="n">
        <v>0</v>
      </c>
      <c r="N392" t="n">
        <v>0</v>
      </c>
      <c r="O392" t="n">
        <v>0</v>
      </c>
      <c r="P392" t="n">
        <v>0</v>
      </c>
      <c r="Q392" t="n">
        <v>0</v>
      </c>
      <c r="R392" s="2" t="inlineStr"/>
    </row>
    <row r="393" ht="15" customHeight="1">
      <c r="A393" t="inlineStr">
        <is>
          <t>A 9765-2024</t>
        </is>
      </c>
      <c r="B393" s="1" t="n">
        <v>45362.62811342593</v>
      </c>
      <c r="C393" s="1" t="n">
        <v>46076</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25525-2022</t>
        </is>
      </c>
      <c r="B394" s="1" t="n">
        <v>44732</v>
      </c>
      <c r="C394" s="1" t="n">
        <v>46076</v>
      </c>
      <c r="D394" t="inlineStr">
        <is>
          <t>STOCKHOLMS LÄN</t>
        </is>
      </c>
      <c r="E394" t="inlineStr">
        <is>
          <t>NORRTÄLJE</t>
        </is>
      </c>
      <c r="G394" t="n">
        <v>2.2</v>
      </c>
      <c r="H394" t="n">
        <v>0</v>
      </c>
      <c r="I394" t="n">
        <v>0</v>
      </c>
      <c r="J394" t="n">
        <v>0</v>
      </c>
      <c r="K394" t="n">
        <v>0</v>
      </c>
      <c r="L394" t="n">
        <v>0</v>
      </c>
      <c r="M394" t="n">
        <v>0</v>
      </c>
      <c r="N394" t="n">
        <v>0</v>
      </c>
      <c r="O394" t="n">
        <v>0</v>
      </c>
      <c r="P394" t="n">
        <v>0</v>
      </c>
      <c r="Q394" t="n">
        <v>0</v>
      </c>
      <c r="R394" s="2" t="inlineStr"/>
    </row>
    <row r="395" ht="15" customHeight="1">
      <c r="A395" t="inlineStr">
        <is>
          <t>A 12302-2025</t>
        </is>
      </c>
      <c r="B395" s="1" t="n">
        <v>45729.72851851852</v>
      </c>
      <c r="C395" s="1" t="n">
        <v>46076</v>
      </c>
      <c r="D395" t="inlineStr">
        <is>
          <t>STOCKHOLMS LÄN</t>
        </is>
      </c>
      <c r="E395" t="inlineStr">
        <is>
          <t>NORRTÄLJE</t>
        </is>
      </c>
      <c r="F395" t="inlineStr">
        <is>
          <t>Holmen skog AB</t>
        </is>
      </c>
      <c r="G395" t="n">
        <v>0.8</v>
      </c>
      <c r="H395" t="n">
        <v>0</v>
      </c>
      <c r="I395" t="n">
        <v>0</v>
      </c>
      <c r="J395" t="n">
        <v>0</v>
      </c>
      <c r="K395" t="n">
        <v>0</v>
      </c>
      <c r="L395" t="n">
        <v>0</v>
      </c>
      <c r="M395" t="n">
        <v>0</v>
      </c>
      <c r="N395" t="n">
        <v>0</v>
      </c>
      <c r="O395" t="n">
        <v>0</v>
      </c>
      <c r="P395" t="n">
        <v>0</v>
      </c>
      <c r="Q395" t="n">
        <v>0</v>
      </c>
      <c r="R395" s="2" t="inlineStr"/>
    </row>
    <row r="396" ht="15" customHeight="1">
      <c r="A396" t="inlineStr">
        <is>
          <t>A 59875-2024</t>
        </is>
      </c>
      <c r="B396" s="1" t="n">
        <v>45640.58716435185</v>
      </c>
      <c r="C396" s="1" t="n">
        <v>46076</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11-2024</t>
        </is>
      </c>
      <c r="B397" s="1" t="n">
        <v>45293</v>
      </c>
      <c r="C397" s="1" t="n">
        <v>46076</v>
      </c>
      <c r="D397" t="inlineStr">
        <is>
          <t>STOCKHOLMS LÄN</t>
        </is>
      </c>
      <c r="E397" t="inlineStr">
        <is>
          <t>NORRTÄLJE</t>
        </is>
      </c>
      <c r="F397" t="inlineStr">
        <is>
          <t>Sveaskog</t>
        </is>
      </c>
      <c r="G397" t="n">
        <v>3.2</v>
      </c>
      <c r="H397" t="n">
        <v>0</v>
      </c>
      <c r="I397" t="n">
        <v>0</v>
      </c>
      <c r="J397" t="n">
        <v>0</v>
      </c>
      <c r="K397" t="n">
        <v>0</v>
      </c>
      <c r="L397" t="n">
        <v>0</v>
      </c>
      <c r="M397" t="n">
        <v>0</v>
      </c>
      <c r="N397" t="n">
        <v>0</v>
      </c>
      <c r="O397" t="n">
        <v>0</v>
      </c>
      <c r="P397" t="n">
        <v>0</v>
      </c>
      <c r="Q397" t="n">
        <v>0</v>
      </c>
      <c r="R397" s="2" t="inlineStr"/>
    </row>
    <row r="398" ht="15" customHeight="1">
      <c r="A398" t="inlineStr">
        <is>
          <t>A 14559-2024</t>
        </is>
      </c>
      <c r="B398" s="1" t="n">
        <v>45394.72869212963</v>
      </c>
      <c r="C398" s="1" t="n">
        <v>46076</v>
      </c>
      <c r="D398" t="inlineStr">
        <is>
          <t>STOCKHOLMS LÄN</t>
        </is>
      </c>
      <c r="E398" t="inlineStr">
        <is>
          <t>NORRTÄLJE</t>
        </is>
      </c>
      <c r="G398" t="n">
        <v>4.2</v>
      </c>
      <c r="H398" t="n">
        <v>0</v>
      </c>
      <c r="I398" t="n">
        <v>0</v>
      </c>
      <c r="J398" t="n">
        <v>0</v>
      </c>
      <c r="K398" t="n">
        <v>0</v>
      </c>
      <c r="L398" t="n">
        <v>0</v>
      </c>
      <c r="M398" t="n">
        <v>0</v>
      </c>
      <c r="N398" t="n">
        <v>0</v>
      </c>
      <c r="O398" t="n">
        <v>0</v>
      </c>
      <c r="P398" t="n">
        <v>0</v>
      </c>
      <c r="Q398" t="n">
        <v>0</v>
      </c>
      <c r="R398" s="2" t="inlineStr"/>
    </row>
    <row r="399" ht="15" customHeight="1">
      <c r="A399" t="inlineStr">
        <is>
          <t>A 38889-2024</t>
        </is>
      </c>
      <c r="B399" s="1" t="n">
        <v>45547</v>
      </c>
      <c r="C399" s="1" t="n">
        <v>46076</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45451-2024</t>
        </is>
      </c>
      <c r="B400" s="1" t="n">
        <v>45576</v>
      </c>
      <c r="C400" s="1" t="n">
        <v>46076</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8433-2022</t>
        </is>
      </c>
      <c r="B401" s="1" t="n">
        <v>44611</v>
      </c>
      <c r="C401" s="1" t="n">
        <v>46076</v>
      </c>
      <c r="D401" t="inlineStr">
        <is>
          <t>STOCKHOLMS LÄN</t>
        </is>
      </c>
      <c r="E401" t="inlineStr">
        <is>
          <t>NORRTÄLJE</t>
        </is>
      </c>
      <c r="G401" t="n">
        <v>0.9</v>
      </c>
      <c r="H401" t="n">
        <v>0</v>
      </c>
      <c r="I401" t="n">
        <v>0</v>
      </c>
      <c r="J401" t="n">
        <v>0</v>
      </c>
      <c r="K401" t="n">
        <v>0</v>
      </c>
      <c r="L401" t="n">
        <v>0</v>
      </c>
      <c r="M401" t="n">
        <v>0</v>
      </c>
      <c r="N401" t="n">
        <v>0</v>
      </c>
      <c r="O401" t="n">
        <v>0</v>
      </c>
      <c r="P401" t="n">
        <v>0</v>
      </c>
      <c r="Q401" t="n">
        <v>0</v>
      </c>
      <c r="R401" s="2" t="inlineStr"/>
    </row>
    <row r="402" ht="15" customHeight="1">
      <c r="A402" t="inlineStr">
        <is>
          <t>A 2982-2023</t>
        </is>
      </c>
      <c r="B402" s="1" t="n">
        <v>44945.67409722223</v>
      </c>
      <c r="C402" s="1" t="n">
        <v>46076</v>
      </c>
      <c r="D402" t="inlineStr">
        <is>
          <t>STOCKHOLMS LÄN</t>
        </is>
      </c>
      <c r="E402" t="inlineStr">
        <is>
          <t>NORRTÄLJE</t>
        </is>
      </c>
      <c r="G402" t="n">
        <v>3.3</v>
      </c>
      <c r="H402" t="n">
        <v>0</v>
      </c>
      <c r="I402" t="n">
        <v>0</v>
      </c>
      <c r="J402" t="n">
        <v>0</v>
      </c>
      <c r="K402" t="n">
        <v>0</v>
      </c>
      <c r="L402" t="n">
        <v>0</v>
      </c>
      <c r="M402" t="n">
        <v>0</v>
      </c>
      <c r="N402" t="n">
        <v>0</v>
      </c>
      <c r="O402" t="n">
        <v>0</v>
      </c>
      <c r="P402" t="n">
        <v>0</v>
      </c>
      <c r="Q402" t="n">
        <v>0</v>
      </c>
      <c r="R402" s="2" t="inlineStr"/>
    </row>
    <row r="403" ht="15" customHeight="1">
      <c r="A403" t="inlineStr">
        <is>
          <t>A 27821-2025</t>
        </is>
      </c>
      <c r="B403" s="1" t="n">
        <v>45817.34083333334</v>
      </c>
      <c r="C403" s="1" t="n">
        <v>46076</v>
      </c>
      <c r="D403" t="inlineStr">
        <is>
          <t>STOCKHOLMS LÄN</t>
        </is>
      </c>
      <c r="E403" t="inlineStr">
        <is>
          <t>NORRTÄLJE</t>
        </is>
      </c>
      <c r="G403" t="n">
        <v>3.2</v>
      </c>
      <c r="H403" t="n">
        <v>0</v>
      </c>
      <c r="I403" t="n">
        <v>0</v>
      </c>
      <c r="J403" t="n">
        <v>0</v>
      </c>
      <c r="K403" t="n">
        <v>0</v>
      </c>
      <c r="L403" t="n">
        <v>0</v>
      </c>
      <c r="M403" t="n">
        <v>0</v>
      </c>
      <c r="N403" t="n">
        <v>0</v>
      </c>
      <c r="O403" t="n">
        <v>0</v>
      </c>
      <c r="P403" t="n">
        <v>0</v>
      </c>
      <c r="Q403" t="n">
        <v>0</v>
      </c>
      <c r="R403" s="2" t="inlineStr"/>
    </row>
    <row r="404" ht="15" customHeight="1">
      <c r="A404" t="inlineStr">
        <is>
          <t>A 12535-2025</t>
        </is>
      </c>
      <c r="B404" s="1" t="n">
        <v>45730.69502314815</v>
      </c>
      <c r="C404" s="1" t="n">
        <v>46076</v>
      </c>
      <c r="D404" t="inlineStr">
        <is>
          <t>STOCKHOLMS LÄN</t>
        </is>
      </c>
      <c r="E404" t="inlineStr">
        <is>
          <t>NORRTÄLJE</t>
        </is>
      </c>
      <c r="G404" t="n">
        <v>7.1</v>
      </c>
      <c r="H404" t="n">
        <v>0</v>
      </c>
      <c r="I404" t="n">
        <v>0</v>
      </c>
      <c r="J404" t="n">
        <v>0</v>
      </c>
      <c r="K404" t="n">
        <v>0</v>
      </c>
      <c r="L404" t="n">
        <v>0</v>
      </c>
      <c r="M404" t="n">
        <v>0</v>
      </c>
      <c r="N404" t="n">
        <v>0</v>
      </c>
      <c r="O404" t="n">
        <v>0</v>
      </c>
      <c r="P404" t="n">
        <v>0</v>
      </c>
      <c r="Q404" t="n">
        <v>0</v>
      </c>
      <c r="R404" s="2" t="inlineStr"/>
    </row>
    <row r="405" ht="15" customHeight="1">
      <c r="A405" t="inlineStr">
        <is>
          <t>A 26644-2024</t>
        </is>
      </c>
      <c r="B405" s="1" t="n">
        <v>45469</v>
      </c>
      <c r="C405" s="1" t="n">
        <v>46076</v>
      </c>
      <c r="D405" t="inlineStr">
        <is>
          <t>STOCKHOLMS LÄN</t>
        </is>
      </c>
      <c r="E405" t="inlineStr">
        <is>
          <t>NORRTÄLJE</t>
        </is>
      </c>
      <c r="G405" t="n">
        <v>4.3</v>
      </c>
      <c r="H405" t="n">
        <v>0</v>
      </c>
      <c r="I405" t="n">
        <v>0</v>
      </c>
      <c r="J405" t="n">
        <v>0</v>
      </c>
      <c r="K405" t="n">
        <v>0</v>
      </c>
      <c r="L405" t="n">
        <v>0</v>
      </c>
      <c r="M405" t="n">
        <v>0</v>
      </c>
      <c r="N405" t="n">
        <v>0</v>
      </c>
      <c r="O405" t="n">
        <v>0</v>
      </c>
      <c r="P405" t="n">
        <v>0</v>
      </c>
      <c r="Q405" t="n">
        <v>0</v>
      </c>
      <c r="R405" s="2" t="inlineStr"/>
    </row>
    <row r="406" ht="15" customHeight="1">
      <c r="A406" t="inlineStr">
        <is>
          <t>A 37136-2023</t>
        </is>
      </c>
      <c r="B406" s="1" t="n">
        <v>45155</v>
      </c>
      <c r="C406" s="1" t="n">
        <v>46076</v>
      </c>
      <c r="D406" t="inlineStr">
        <is>
          <t>STOCKHOLMS LÄN</t>
        </is>
      </c>
      <c r="E406" t="inlineStr">
        <is>
          <t>NORRTÄLJE</t>
        </is>
      </c>
      <c r="G406" t="n">
        <v>2.5</v>
      </c>
      <c r="H406" t="n">
        <v>0</v>
      </c>
      <c r="I406" t="n">
        <v>0</v>
      </c>
      <c r="J406" t="n">
        <v>0</v>
      </c>
      <c r="K406" t="n">
        <v>0</v>
      </c>
      <c r="L406" t="n">
        <v>0</v>
      </c>
      <c r="M406" t="n">
        <v>0</v>
      </c>
      <c r="N406" t="n">
        <v>0</v>
      </c>
      <c r="O406" t="n">
        <v>0</v>
      </c>
      <c r="P406" t="n">
        <v>0</v>
      </c>
      <c r="Q406" t="n">
        <v>0</v>
      </c>
      <c r="R406" s="2" t="inlineStr"/>
    </row>
    <row r="407" ht="15" customHeight="1">
      <c r="A407" t="inlineStr">
        <is>
          <t>A 18787-2022</t>
        </is>
      </c>
      <c r="B407" s="1" t="n">
        <v>44687</v>
      </c>
      <c r="C407" s="1" t="n">
        <v>46076</v>
      </c>
      <c r="D407" t="inlineStr">
        <is>
          <t>STOCKHOLMS LÄN</t>
        </is>
      </c>
      <c r="E407" t="inlineStr">
        <is>
          <t>NORRTÄLJE</t>
        </is>
      </c>
      <c r="G407" t="n">
        <v>2</v>
      </c>
      <c r="H407" t="n">
        <v>0</v>
      </c>
      <c r="I407" t="n">
        <v>0</v>
      </c>
      <c r="J407" t="n">
        <v>0</v>
      </c>
      <c r="K407" t="n">
        <v>0</v>
      </c>
      <c r="L407" t="n">
        <v>0</v>
      </c>
      <c r="M407" t="n">
        <v>0</v>
      </c>
      <c r="N407" t="n">
        <v>0</v>
      </c>
      <c r="O407" t="n">
        <v>0</v>
      </c>
      <c r="P407" t="n">
        <v>0</v>
      </c>
      <c r="Q407" t="n">
        <v>0</v>
      </c>
      <c r="R407" s="2" t="inlineStr"/>
    </row>
    <row r="408" ht="15" customHeight="1">
      <c r="A408" t="inlineStr">
        <is>
          <t>A 13718-2022</t>
        </is>
      </c>
      <c r="B408" s="1" t="n">
        <v>44649</v>
      </c>
      <c r="C408" s="1" t="n">
        <v>46076</v>
      </c>
      <c r="D408" t="inlineStr">
        <is>
          <t>STOCKHOLMS LÄN</t>
        </is>
      </c>
      <c r="E408" t="inlineStr">
        <is>
          <t>NORRTÄLJE</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38720-2025</t>
        </is>
      </c>
      <c r="B409" s="1" t="n">
        <v>45886</v>
      </c>
      <c r="C409" s="1" t="n">
        <v>46076</v>
      </c>
      <c r="D409" t="inlineStr">
        <is>
          <t>STOCKHOLMS LÄN</t>
        </is>
      </c>
      <c r="E409" t="inlineStr">
        <is>
          <t>NORRTÄLJE</t>
        </is>
      </c>
      <c r="G409" t="n">
        <v>1.6</v>
      </c>
      <c r="H409" t="n">
        <v>0</v>
      </c>
      <c r="I409" t="n">
        <v>0</v>
      </c>
      <c r="J409" t="n">
        <v>0</v>
      </c>
      <c r="K409" t="n">
        <v>0</v>
      </c>
      <c r="L409" t="n">
        <v>0</v>
      </c>
      <c r="M409" t="n">
        <v>0</v>
      </c>
      <c r="N409" t="n">
        <v>0</v>
      </c>
      <c r="O409" t="n">
        <v>0</v>
      </c>
      <c r="P409" t="n">
        <v>0</v>
      </c>
      <c r="Q409" t="n">
        <v>0</v>
      </c>
      <c r="R409" s="2" t="inlineStr"/>
    </row>
    <row r="410" ht="15" customHeight="1">
      <c r="A410" t="inlineStr">
        <is>
          <t>A 25621-2022</t>
        </is>
      </c>
      <c r="B410" s="1" t="n">
        <v>44732</v>
      </c>
      <c r="C410" s="1" t="n">
        <v>46076</v>
      </c>
      <c r="D410" t="inlineStr">
        <is>
          <t>STOCKHOLMS LÄN</t>
        </is>
      </c>
      <c r="E410" t="inlineStr">
        <is>
          <t>NORRTÄLJE</t>
        </is>
      </c>
      <c r="G410" t="n">
        <v>3.1</v>
      </c>
      <c r="H410" t="n">
        <v>0</v>
      </c>
      <c r="I410" t="n">
        <v>0</v>
      </c>
      <c r="J410" t="n">
        <v>0</v>
      </c>
      <c r="K410" t="n">
        <v>0</v>
      </c>
      <c r="L410" t="n">
        <v>0</v>
      </c>
      <c r="M410" t="n">
        <v>0</v>
      </c>
      <c r="N410" t="n">
        <v>0</v>
      </c>
      <c r="O410" t="n">
        <v>0</v>
      </c>
      <c r="P410" t="n">
        <v>0</v>
      </c>
      <c r="Q410" t="n">
        <v>0</v>
      </c>
      <c r="R410" s="2" t="inlineStr"/>
    </row>
    <row r="411" ht="15" customHeight="1">
      <c r="A411" t="inlineStr">
        <is>
          <t>A 15528-2025</t>
        </is>
      </c>
      <c r="B411" s="1" t="n">
        <v>45747.63471064815</v>
      </c>
      <c r="C411" s="1" t="n">
        <v>46076</v>
      </c>
      <c r="D411" t="inlineStr">
        <is>
          <t>STOCKHOLMS LÄN</t>
        </is>
      </c>
      <c r="E411" t="inlineStr">
        <is>
          <t>NORRTÄLJE</t>
        </is>
      </c>
      <c r="G411" t="n">
        <v>10</v>
      </c>
      <c r="H411" t="n">
        <v>0</v>
      </c>
      <c r="I411" t="n">
        <v>0</v>
      </c>
      <c r="J411" t="n">
        <v>0</v>
      </c>
      <c r="K411" t="n">
        <v>0</v>
      </c>
      <c r="L411" t="n">
        <v>0</v>
      </c>
      <c r="M411" t="n">
        <v>0</v>
      </c>
      <c r="N411" t="n">
        <v>0</v>
      </c>
      <c r="O411" t="n">
        <v>0</v>
      </c>
      <c r="P411" t="n">
        <v>0</v>
      </c>
      <c r="Q411" t="n">
        <v>0</v>
      </c>
      <c r="R411" s="2" t="inlineStr"/>
    </row>
    <row r="412" ht="15" customHeight="1">
      <c r="A412" t="inlineStr">
        <is>
          <t>A 11901-2024</t>
        </is>
      </c>
      <c r="B412" s="1" t="n">
        <v>45376.55638888889</v>
      </c>
      <c r="C412" s="1" t="n">
        <v>46076</v>
      </c>
      <c r="D412" t="inlineStr">
        <is>
          <t>STOCKHOLMS LÄN</t>
        </is>
      </c>
      <c r="E412" t="inlineStr">
        <is>
          <t>NORRTÄLJE</t>
        </is>
      </c>
      <c r="F412" t="inlineStr">
        <is>
          <t>Holmen skog AB</t>
        </is>
      </c>
      <c r="G412" t="n">
        <v>3.5</v>
      </c>
      <c r="H412" t="n">
        <v>0</v>
      </c>
      <c r="I412" t="n">
        <v>0</v>
      </c>
      <c r="J412" t="n">
        <v>0</v>
      </c>
      <c r="K412" t="n">
        <v>0</v>
      </c>
      <c r="L412" t="n">
        <v>0</v>
      </c>
      <c r="M412" t="n">
        <v>0</v>
      </c>
      <c r="N412" t="n">
        <v>0</v>
      </c>
      <c r="O412" t="n">
        <v>0</v>
      </c>
      <c r="P412" t="n">
        <v>0</v>
      </c>
      <c r="Q412" t="n">
        <v>0</v>
      </c>
      <c r="R412" s="2" t="inlineStr"/>
    </row>
    <row r="413" ht="15" customHeight="1">
      <c r="A413" t="inlineStr">
        <is>
          <t>A 36269-2022</t>
        </is>
      </c>
      <c r="B413" s="1" t="n">
        <v>44803</v>
      </c>
      <c r="C413" s="1" t="n">
        <v>46076</v>
      </c>
      <c r="D413" t="inlineStr">
        <is>
          <t>STOCKHOLMS LÄN</t>
        </is>
      </c>
      <c r="E413" t="inlineStr">
        <is>
          <t>NORRTÄLJE</t>
        </is>
      </c>
      <c r="G413" t="n">
        <v>2.3</v>
      </c>
      <c r="H413" t="n">
        <v>0</v>
      </c>
      <c r="I413" t="n">
        <v>0</v>
      </c>
      <c r="J413" t="n">
        <v>0</v>
      </c>
      <c r="K413" t="n">
        <v>0</v>
      </c>
      <c r="L413" t="n">
        <v>0</v>
      </c>
      <c r="M413" t="n">
        <v>0</v>
      </c>
      <c r="N413" t="n">
        <v>0</v>
      </c>
      <c r="O413" t="n">
        <v>0</v>
      </c>
      <c r="P413" t="n">
        <v>0</v>
      </c>
      <c r="Q413" t="n">
        <v>0</v>
      </c>
      <c r="R413" s="2" t="inlineStr"/>
    </row>
    <row r="414" ht="15" customHeight="1">
      <c r="A414" t="inlineStr">
        <is>
          <t>A 36308-2022</t>
        </is>
      </c>
      <c r="B414" s="1" t="n">
        <v>44803</v>
      </c>
      <c r="C414" s="1" t="n">
        <v>46076</v>
      </c>
      <c r="D414" t="inlineStr">
        <is>
          <t>STOCKHOLMS LÄN</t>
        </is>
      </c>
      <c r="E414" t="inlineStr">
        <is>
          <t>NORRTÄLJE</t>
        </is>
      </c>
      <c r="G414" t="n">
        <v>0.6</v>
      </c>
      <c r="H414" t="n">
        <v>0</v>
      </c>
      <c r="I414" t="n">
        <v>0</v>
      </c>
      <c r="J414" t="n">
        <v>0</v>
      </c>
      <c r="K414" t="n">
        <v>0</v>
      </c>
      <c r="L414" t="n">
        <v>0</v>
      </c>
      <c r="M414" t="n">
        <v>0</v>
      </c>
      <c r="N414" t="n">
        <v>0</v>
      </c>
      <c r="O414" t="n">
        <v>0</v>
      </c>
      <c r="P414" t="n">
        <v>0</v>
      </c>
      <c r="Q414" t="n">
        <v>0</v>
      </c>
      <c r="R414" s="2" t="inlineStr"/>
    </row>
    <row r="415" ht="15" customHeight="1">
      <c r="A415" t="inlineStr">
        <is>
          <t>A 6919-2025</t>
        </is>
      </c>
      <c r="B415" s="1" t="n">
        <v>45701.44372685185</v>
      </c>
      <c r="C415" s="1" t="n">
        <v>46076</v>
      </c>
      <c r="D415" t="inlineStr">
        <is>
          <t>STOCKHOLMS LÄN</t>
        </is>
      </c>
      <c r="E415" t="inlineStr">
        <is>
          <t>NORRTÄLJE</t>
        </is>
      </c>
      <c r="G415" t="n">
        <v>3.5</v>
      </c>
      <c r="H415" t="n">
        <v>0</v>
      </c>
      <c r="I415" t="n">
        <v>0</v>
      </c>
      <c r="J415" t="n">
        <v>0</v>
      </c>
      <c r="K415" t="n">
        <v>0</v>
      </c>
      <c r="L415" t="n">
        <v>0</v>
      </c>
      <c r="M415" t="n">
        <v>0</v>
      </c>
      <c r="N415" t="n">
        <v>0</v>
      </c>
      <c r="O415" t="n">
        <v>0</v>
      </c>
      <c r="P415" t="n">
        <v>0</v>
      </c>
      <c r="Q415" t="n">
        <v>0</v>
      </c>
      <c r="R415" s="2" t="inlineStr"/>
    </row>
    <row r="416" ht="15" customHeight="1">
      <c r="A416" t="inlineStr">
        <is>
          <t>A 32100-2022</t>
        </is>
      </c>
      <c r="B416" s="1" t="n">
        <v>44778</v>
      </c>
      <c r="C416" s="1" t="n">
        <v>46076</v>
      </c>
      <c r="D416" t="inlineStr">
        <is>
          <t>STOCKHOLMS LÄN</t>
        </is>
      </c>
      <c r="E416" t="inlineStr">
        <is>
          <t>NORRTÄLJE</t>
        </is>
      </c>
      <c r="G416" t="n">
        <v>3.3</v>
      </c>
      <c r="H416" t="n">
        <v>0</v>
      </c>
      <c r="I416" t="n">
        <v>0</v>
      </c>
      <c r="J416" t="n">
        <v>0</v>
      </c>
      <c r="K416" t="n">
        <v>0</v>
      </c>
      <c r="L416" t="n">
        <v>0</v>
      </c>
      <c r="M416" t="n">
        <v>0</v>
      </c>
      <c r="N416" t="n">
        <v>0</v>
      </c>
      <c r="O416" t="n">
        <v>0</v>
      </c>
      <c r="P416" t="n">
        <v>0</v>
      </c>
      <c r="Q416" t="n">
        <v>0</v>
      </c>
      <c r="R416" s="2" t="inlineStr"/>
    </row>
    <row r="417" ht="15" customHeight="1">
      <c r="A417" t="inlineStr">
        <is>
          <t>A 11332-2025</t>
        </is>
      </c>
      <c r="B417" s="1" t="n">
        <v>45726.48152777777</v>
      </c>
      <c r="C417" s="1" t="n">
        <v>46076</v>
      </c>
      <c r="D417" t="inlineStr">
        <is>
          <t>STOCKHOLMS LÄN</t>
        </is>
      </c>
      <c r="E417" t="inlineStr">
        <is>
          <t>NORRTÄLJE</t>
        </is>
      </c>
      <c r="G417" t="n">
        <v>4.6</v>
      </c>
      <c r="H417" t="n">
        <v>0</v>
      </c>
      <c r="I417" t="n">
        <v>0</v>
      </c>
      <c r="J417" t="n">
        <v>0</v>
      </c>
      <c r="K417" t="n">
        <v>0</v>
      </c>
      <c r="L417" t="n">
        <v>0</v>
      </c>
      <c r="M417" t="n">
        <v>0</v>
      </c>
      <c r="N417" t="n">
        <v>0</v>
      </c>
      <c r="O417" t="n">
        <v>0</v>
      </c>
      <c r="P417" t="n">
        <v>0</v>
      </c>
      <c r="Q417" t="n">
        <v>0</v>
      </c>
      <c r="R417" s="2" t="inlineStr"/>
    </row>
    <row r="418" ht="15" customHeight="1">
      <c r="A418" t="inlineStr">
        <is>
          <t>A 37444-2021</t>
        </is>
      </c>
      <c r="B418" s="1" t="n">
        <v>44398</v>
      </c>
      <c r="C418" s="1" t="n">
        <v>46076</v>
      </c>
      <c r="D418" t="inlineStr">
        <is>
          <t>STOCKHOLMS LÄN</t>
        </is>
      </c>
      <c r="E418" t="inlineStr">
        <is>
          <t>NORRTÄLJE</t>
        </is>
      </c>
      <c r="F418" t="inlineStr">
        <is>
          <t>Holmen skog AB</t>
        </is>
      </c>
      <c r="G418" t="n">
        <v>3.2</v>
      </c>
      <c r="H418" t="n">
        <v>0</v>
      </c>
      <c r="I418" t="n">
        <v>0</v>
      </c>
      <c r="J418" t="n">
        <v>0</v>
      </c>
      <c r="K418" t="n">
        <v>0</v>
      </c>
      <c r="L418" t="n">
        <v>0</v>
      </c>
      <c r="M418" t="n">
        <v>0</v>
      </c>
      <c r="N418" t="n">
        <v>0</v>
      </c>
      <c r="O418" t="n">
        <v>0</v>
      </c>
      <c r="P418" t="n">
        <v>0</v>
      </c>
      <c r="Q418" t="n">
        <v>0</v>
      </c>
      <c r="R418" s="2" t="inlineStr"/>
    </row>
    <row r="419" ht="15" customHeight="1">
      <c r="A419" t="inlineStr">
        <is>
          <t>A 30886-2022</t>
        </is>
      </c>
      <c r="B419" s="1" t="n">
        <v>44767.60601851852</v>
      </c>
      <c r="C419" s="1" t="n">
        <v>46076</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9654-2022</t>
        </is>
      </c>
      <c r="B420" s="1" t="n">
        <v>44617</v>
      </c>
      <c r="C420" s="1" t="n">
        <v>46076</v>
      </c>
      <c r="D420" t="inlineStr">
        <is>
          <t>STOCKHOLMS LÄN</t>
        </is>
      </c>
      <c r="E420" t="inlineStr">
        <is>
          <t>NORRTÄLJE</t>
        </is>
      </c>
      <c r="G420" t="n">
        <v>6.4</v>
      </c>
      <c r="H420" t="n">
        <v>0</v>
      </c>
      <c r="I420" t="n">
        <v>0</v>
      </c>
      <c r="J420" t="n">
        <v>0</v>
      </c>
      <c r="K420" t="n">
        <v>0</v>
      </c>
      <c r="L420" t="n">
        <v>0</v>
      </c>
      <c r="M420" t="n">
        <v>0</v>
      </c>
      <c r="N420" t="n">
        <v>0</v>
      </c>
      <c r="O420" t="n">
        <v>0</v>
      </c>
      <c r="P420" t="n">
        <v>0</v>
      </c>
      <c r="Q420" t="n">
        <v>0</v>
      </c>
      <c r="R420" s="2" t="inlineStr"/>
    </row>
    <row r="421" ht="15" customHeight="1">
      <c r="A421" t="inlineStr">
        <is>
          <t>A 38593-2025</t>
        </is>
      </c>
      <c r="B421" s="1" t="n">
        <v>45884.48696759259</v>
      </c>
      <c r="C421" s="1" t="n">
        <v>46076</v>
      </c>
      <c r="D421" t="inlineStr">
        <is>
          <t>STOCKHOLMS LÄN</t>
        </is>
      </c>
      <c r="E421" t="inlineStr">
        <is>
          <t>NORRTÄLJE</t>
        </is>
      </c>
      <c r="G421" t="n">
        <v>3</v>
      </c>
      <c r="H421" t="n">
        <v>0</v>
      </c>
      <c r="I421" t="n">
        <v>0</v>
      </c>
      <c r="J421" t="n">
        <v>0</v>
      </c>
      <c r="K421" t="n">
        <v>0</v>
      </c>
      <c r="L421" t="n">
        <v>0</v>
      </c>
      <c r="M421" t="n">
        <v>0</v>
      </c>
      <c r="N421" t="n">
        <v>0</v>
      </c>
      <c r="O421" t="n">
        <v>0</v>
      </c>
      <c r="P421" t="n">
        <v>0</v>
      </c>
      <c r="Q421" t="n">
        <v>0</v>
      </c>
      <c r="R421" s="2" t="inlineStr"/>
    </row>
    <row r="422" ht="15" customHeight="1">
      <c r="A422" t="inlineStr">
        <is>
          <t>A 1453-2025</t>
        </is>
      </c>
      <c r="B422" s="1" t="n">
        <v>45670.3079050926</v>
      </c>
      <c r="C422" s="1" t="n">
        <v>46076</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5804-2025</t>
        </is>
      </c>
      <c r="B423" s="1" t="n">
        <v>45694.68207175926</v>
      </c>
      <c r="C423" s="1" t="n">
        <v>46076</v>
      </c>
      <c r="D423" t="inlineStr">
        <is>
          <t>STOCKHOLMS LÄN</t>
        </is>
      </c>
      <c r="E423" t="inlineStr">
        <is>
          <t>NORRTÄLJE</t>
        </is>
      </c>
      <c r="F423" t="inlineStr">
        <is>
          <t>Holmen skog AB</t>
        </is>
      </c>
      <c r="G423" t="n">
        <v>2.6</v>
      </c>
      <c r="H423" t="n">
        <v>0</v>
      </c>
      <c r="I423" t="n">
        <v>0</v>
      </c>
      <c r="J423" t="n">
        <v>0</v>
      </c>
      <c r="K423" t="n">
        <v>0</v>
      </c>
      <c r="L423" t="n">
        <v>0</v>
      </c>
      <c r="M423" t="n">
        <v>0</v>
      </c>
      <c r="N423" t="n">
        <v>0</v>
      </c>
      <c r="O423" t="n">
        <v>0</v>
      </c>
      <c r="P423" t="n">
        <v>0</v>
      </c>
      <c r="Q423" t="n">
        <v>0</v>
      </c>
      <c r="R423" s="2" t="inlineStr"/>
    </row>
    <row r="424" ht="15" customHeight="1">
      <c r="A424" t="inlineStr">
        <is>
          <t>A 44075-2023</t>
        </is>
      </c>
      <c r="B424" s="1" t="n">
        <v>45188.41637731482</v>
      </c>
      <c r="C424" s="1" t="n">
        <v>46076</v>
      </c>
      <c r="D424" t="inlineStr">
        <is>
          <t>STOCKHOLMS LÄN</t>
        </is>
      </c>
      <c r="E424" t="inlineStr">
        <is>
          <t>NORRTÄLJE</t>
        </is>
      </c>
      <c r="F424" t="inlineStr">
        <is>
          <t>Holmen skog AB</t>
        </is>
      </c>
      <c r="G424" t="n">
        <v>2.4</v>
      </c>
      <c r="H424" t="n">
        <v>0</v>
      </c>
      <c r="I424" t="n">
        <v>0</v>
      </c>
      <c r="J424" t="n">
        <v>0</v>
      </c>
      <c r="K424" t="n">
        <v>0</v>
      </c>
      <c r="L424" t="n">
        <v>0</v>
      </c>
      <c r="M424" t="n">
        <v>0</v>
      </c>
      <c r="N424" t="n">
        <v>0</v>
      </c>
      <c r="O424" t="n">
        <v>0</v>
      </c>
      <c r="P424" t="n">
        <v>0</v>
      </c>
      <c r="Q424" t="n">
        <v>0</v>
      </c>
      <c r="R424" s="2" t="inlineStr"/>
    </row>
    <row r="425" ht="15" customHeight="1">
      <c r="A425" t="inlineStr">
        <is>
          <t>A 50907-2022</t>
        </is>
      </c>
      <c r="B425" s="1" t="n">
        <v>44867.62090277778</v>
      </c>
      <c r="C425" s="1" t="n">
        <v>46076</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29003-2023</t>
        </is>
      </c>
      <c r="B426" s="1" t="n">
        <v>45104</v>
      </c>
      <c r="C426" s="1" t="n">
        <v>46076</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33295-2023</t>
        </is>
      </c>
      <c r="B427" s="1" t="n">
        <v>45127.69371527778</v>
      </c>
      <c r="C427" s="1" t="n">
        <v>46076</v>
      </c>
      <c r="D427" t="inlineStr">
        <is>
          <t>STOCKHOLMS LÄN</t>
        </is>
      </c>
      <c r="E427" t="inlineStr">
        <is>
          <t>NORRTÄLJE</t>
        </is>
      </c>
      <c r="F427" t="inlineStr">
        <is>
          <t>Holmen skog AB</t>
        </is>
      </c>
      <c r="G427" t="n">
        <v>2</v>
      </c>
      <c r="H427" t="n">
        <v>0</v>
      </c>
      <c r="I427" t="n">
        <v>0</v>
      </c>
      <c r="J427" t="n">
        <v>0</v>
      </c>
      <c r="K427" t="n">
        <v>0</v>
      </c>
      <c r="L427" t="n">
        <v>0</v>
      </c>
      <c r="M427" t="n">
        <v>0</v>
      </c>
      <c r="N427" t="n">
        <v>0</v>
      </c>
      <c r="O427" t="n">
        <v>0</v>
      </c>
      <c r="P427" t="n">
        <v>0</v>
      </c>
      <c r="Q427" t="n">
        <v>0</v>
      </c>
      <c r="R427" s="2" t="inlineStr"/>
    </row>
    <row r="428" ht="15" customHeight="1">
      <c r="A428" t="inlineStr">
        <is>
          <t>A 14127-2025</t>
        </is>
      </c>
      <c r="B428" s="1" t="n">
        <v>45740.47055555556</v>
      </c>
      <c r="C428" s="1" t="n">
        <v>46076</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16980-2023</t>
        </is>
      </c>
      <c r="B429" s="1" t="n">
        <v>45033</v>
      </c>
      <c r="C429" s="1" t="n">
        <v>46076</v>
      </c>
      <c r="D429" t="inlineStr">
        <is>
          <t>STOCKHOLMS LÄN</t>
        </is>
      </c>
      <c r="E429" t="inlineStr">
        <is>
          <t>NORRTÄLJE</t>
        </is>
      </c>
      <c r="G429" t="n">
        <v>2.3</v>
      </c>
      <c r="H429" t="n">
        <v>0</v>
      </c>
      <c r="I429" t="n">
        <v>0</v>
      </c>
      <c r="J429" t="n">
        <v>0</v>
      </c>
      <c r="K429" t="n">
        <v>0</v>
      </c>
      <c r="L429" t="n">
        <v>0</v>
      </c>
      <c r="M429" t="n">
        <v>0</v>
      </c>
      <c r="N429" t="n">
        <v>0</v>
      </c>
      <c r="O429" t="n">
        <v>0</v>
      </c>
      <c r="P429" t="n">
        <v>0</v>
      </c>
      <c r="Q429" t="n">
        <v>0</v>
      </c>
      <c r="R429" s="2" t="inlineStr"/>
    </row>
    <row r="430" ht="15" customHeight="1">
      <c r="A430" t="inlineStr">
        <is>
          <t>A 32595-2023</t>
        </is>
      </c>
      <c r="B430" s="1" t="n">
        <v>45121</v>
      </c>
      <c r="C430" s="1" t="n">
        <v>46076</v>
      </c>
      <c r="D430" t="inlineStr">
        <is>
          <t>STOCKHOLMS LÄN</t>
        </is>
      </c>
      <c r="E430" t="inlineStr">
        <is>
          <t>NORRTÄLJE</t>
        </is>
      </c>
      <c r="G430" t="n">
        <v>2.4</v>
      </c>
      <c r="H430" t="n">
        <v>0</v>
      </c>
      <c r="I430" t="n">
        <v>0</v>
      </c>
      <c r="J430" t="n">
        <v>0</v>
      </c>
      <c r="K430" t="n">
        <v>0</v>
      </c>
      <c r="L430" t="n">
        <v>0</v>
      </c>
      <c r="M430" t="n">
        <v>0</v>
      </c>
      <c r="N430" t="n">
        <v>0</v>
      </c>
      <c r="O430" t="n">
        <v>0</v>
      </c>
      <c r="P430" t="n">
        <v>0</v>
      </c>
      <c r="Q430" t="n">
        <v>0</v>
      </c>
      <c r="R430" s="2" t="inlineStr"/>
    </row>
    <row r="431" ht="15" customHeight="1">
      <c r="A431" t="inlineStr">
        <is>
          <t>A 27677-2025</t>
        </is>
      </c>
      <c r="B431" s="1" t="n">
        <v>45813.63650462963</v>
      </c>
      <c r="C431" s="1" t="n">
        <v>46076</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39152-2025</t>
        </is>
      </c>
      <c r="B432" s="1" t="n">
        <v>45888</v>
      </c>
      <c r="C432" s="1" t="n">
        <v>46076</v>
      </c>
      <c r="D432" t="inlineStr">
        <is>
          <t>STOCKHOLMS LÄN</t>
        </is>
      </c>
      <c r="E432" t="inlineStr">
        <is>
          <t>NORRTÄLJE</t>
        </is>
      </c>
      <c r="G432" t="n">
        <v>4.6</v>
      </c>
      <c r="H432" t="n">
        <v>0</v>
      </c>
      <c r="I432" t="n">
        <v>0</v>
      </c>
      <c r="J432" t="n">
        <v>0</v>
      </c>
      <c r="K432" t="n">
        <v>0</v>
      </c>
      <c r="L432" t="n">
        <v>0</v>
      </c>
      <c r="M432" t="n">
        <v>0</v>
      </c>
      <c r="N432" t="n">
        <v>0</v>
      </c>
      <c r="O432" t="n">
        <v>0</v>
      </c>
      <c r="P432" t="n">
        <v>0</v>
      </c>
      <c r="Q432" t="n">
        <v>0</v>
      </c>
      <c r="R432" s="2" t="inlineStr"/>
    </row>
    <row r="433" ht="15" customHeight="1">
      <c r="A433" t="inlineStr">
        <is>
          <t>A 37550-2022</t>
        </is>
      </c>
      <c r="B433" s="1" t="n">
        <v>44809</v>
      </c>
      <c r="C433" s="1" t="n">
        <v>46076</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39149-2025</t>
        </is>
      </c>
      <c r="B434" s="1" t="n">
        <v>45888.60714120371</v>
      </c>
      <c r="C434" s="1" t="n">
        <v>46076</v>
      </c>
      <c r="D434" t="inlineStr">
        <is>
          <t>STOCKHOLMS LÄN</t>
        </is>
      </c>
      <c r="E434" t="inlineStr">
        <is>
          <t>NORRTÄLJE</t>
        </is>
      </c>
      <c r="G434" t="n">
        <v>3.5</v>
      </c>
      <c r="H434" t="n">
        <v>0</v>
      </c>
      <c r="I434" t="n">
        <v>0</v>
      </c>
      <c r="J434" t="n">
        <v>0</v>
      </c>
      <c r="K434" t="n">
        <v>0</v>
      </c>
      <c r="L434" t="n">
        <v>0</v>
      </c>
      <c r="M434" t="n">
        <v>0</v>
      </c>
      <c r="N434" t="n">
        <v>0</v>
      </c>
      <c r="O434" t="n">
        <v>0</v>
      </c>
      <c r="P434" t="n">
        <v>0</v>
      </c>
      <c r="Q434" t="n">
        <v>0</v>
      </c>
      <c r="R434" s="2" t="inlineStr"/>
    </row>
    <row r="435" ht="15" customHeight="1">
      <c r="A435" t="inlineStr">
        <is>
          <t>A 29250-2025</t>
        </is>
      </c>
      <c r="B435" s="1" t="n">
        <v>45824.37275462963</v>
      </c>
      <c r="C435" s="1" t="n">
        <v>46076</v>
      </c>
      <c r="D435" t="inlineStr">
        <is>
          <t>STOCKHOLMS LÄN</t>
        </is>
      </c>
      <c r="E435" t="inlineStr">
        <is>
          <t>NORRTÄLJE</t>
        </is>
      </c>
      <c r="F435" t="inlineStr">
        <is>
          <t>Sveaskog</t>
        </is>
      </c>
      <c r="G435" t="n">
        <v>6.4</v>
      </c>
      <c r="H435" t="n">
        <v>0</v>
      </c>
      <c r="I435" t="n">
        <v>0</v>
      </c>
      <c r="J435" t="n">
        <v>0</v>
      </c>
      <c r="K435" t="n">
        <v>0</v>
      </c>
      <c r="L435" t="n">
        <v>0</v>
      </c>
      <c r="M435" t="n">
        <v>0</v>
      </c>
      <c r="N435" t="n">
        <v>0</v>
      </c>
      <c r="O435" t="n">
        <v>0</v>
      </c>
      <c r="P435" t="n">
        <v>0</v>
      </c>
      <c r="Q435" t="n">
        <v>0</v>
      </c>
      <c r="R435" s="2" t="inlineStr"/>
    </row>
    <row r="436" ht="15" customHeight="1">
      <c r="A436" t="inlineStr">
        <is>
          <t>A 48161-2022</t>
        </is>
      </c>
      <c r="B436" s="1" t="n">
        <v>44858</v>
      </c>
      <c r="C436" s="1" t="n">
        <v>46076</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48798-2021</t>
        </is>
      </c>
      <c r="B437" s="1" t="n">
        <v>44452</v>
      </c>
      <c r="C437" s="1" t="n">
        <v>46076</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12111-2021</t>
        </is>
      </c>
      <c r="B438" s="1" t="n">
        <v>44266</v>
      </c>
      <c r="C438" s="1" t="n">
        <v>46076</v>
      </c>
      <c r="D438" t="inlineStr">
        <is>
          <t>STOCKHOLMS LÄN</t>
        </is>
      </c>
      <c r="E438" t="inlineStr">
        <is>
          <t>NORRTÄLJE</t>
        </is>
      </c>
      <c r="G438" t="n">
        <v>5.5</v>
      </c>
      <c r="H438" t="n">
        <v>0</v>
      </c>
      <c r="I438" t="n">
        <v>0</v>
      </c>
      <c r="J438" t="n">
        <v>0</v>
      </c>
      <c r="K438" t="n">
        <v>0</v>
      </c>
      <c r="L438" t="n">
        <v>0</v>
      </c>
      <c r="M438" t="n">
        <v>0</v>
      </c>
      <c r="N438" t="n">
        <v>0</v>
      </c>
      <c r="O438" t="n">
        <v>0</v>
      </c>
      <c r="P438" t="n">
        <v>0</v>
      </c>
      <c r="Q438" t="n">
        <v>0</v>
      </c>
      <c r="R438" s="2" t="inlineStr"/>
    </row>
    <row r="439" ht="15" customHeight="1">
      <c r="A439" t="inlineStr">
        <is>
          <t>A 54776-2023</t>
        </is>
      </c>
      <c r="B439" s="1" t="n">
        <v>45236.46369212963</v>
      </c>
      <c r="C439" s="1" t="n">
        <v>46076</v>
      </c>
      <c r="D439" t="inlineStr">
        <is>
          <t>STOCKHOLMS LÄN</t>
        </is>
      </c>
      <c r="E439" t="inlineStr">
        <is>
          <t>NORRTÄLJE</t>
        </is>
      </c>
      <c r="G439" t="n">
        <v>0.3</v>
      </c>
      <c r="H439" t="n">
        <v>0</v>
      </c>
      <c r="I439" t="n">
        <v>0</v>
      </c>
      <c r="J439" t="n">
        <v>0</v>
      </c>
      <c r="K439" t="n">
        <v>0</v>
      </c>
      <c r="L439" t="n">
        <v>0</v>
      </c>
      <c r="M439" t="n">
        <v>0</v>
      </c>
      <c r="N439" t="n">
        <v>0</v>
      </c>
      <c r="O439" t="n">
        <v>0</v>
      </c>
      <c r="P439" t="n">
        <v>0</v>
      </c>
      <c r="Q439" t="n">
        <v>0</v>
      </c>
      <c r="R439" s="2" t="inlineStr"/>
    </row>
    <row r="440" ht="15" customHeight="1">
      <c r="A440" t="inlineStr">
        <is>
          <t>A 39692-2025</t>
        </is>
      </c>
      <c r="B440" s="1" t="n">
        <v>45890.68083333333</v>
      </c>
      <c r="C440" s="1" t="n">
        <v>46076</v>
      </c>
      <c r="D440" t="inlineStr">
        <is>
          <t>STOCKHOLMS LÄN</t>
        </is>
      </c>
      <c r="E440" t="inlineStr">
        <is>
          <t>NORRTÄLJE</t>
        </is>
      </c>
      <c r="G440" t="n">
        <v>10.5</v>
      </c>
      <c r="H440" t="n">
        <v>0</v>
      </c>
      <c r="I440" t="n">
        <v>0</v>
      </c>
      <c r="J440" t="n">
        <v>0</v>
      </c>
      <c r="K440" t="n">
        <v>0</v>
      </c>
      <c r="L440" t="n">
        <v>0</v>
      </c>
      <c r="M440" t="n">
        <v>0</v>
      </c>
      <c r="N440" t="n">
        <v>0</v>
      </c>
      <c r="O440" t="n">
        <v>0</v>
      </c>
      <c r="P440" t="n">
        <v>0</v>
      </c>
      <c r="Q440" t="n">
        <v>0</v>
      </c>
      <c r="R440" s="2" t="inlineStr"/>
    </row>
    <row r="441" ht="15" customHeight="1">
      <c r="A441" t="inlineStr">
        <is>
          <t>A 35639-2025</t>
        </is>
      </c>
      <c r="B441" s="1" t="n">
        <v>45859</v>
      </c>
      <c r="C441" s="1" t="n">
        <v>46076</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57442-2021</t>
        </is>
      </c>
      <c r="B442" s="1" t="n">
        <v>44483</v>
      </c>
      <c r="C442" s="1" t="n">
        <v>46076</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55952-2024</t>
        </is>
      </c>
      <c r="B443" s="1" t="n">
        <v>45623.62563657408</v>
      </c>
      <c r="C443" s="1" t="n">
        <v>46076</v>
      </c>
      <c r="D443" t="inlineStr">
        <is>
          <t>STOCKHOLMS LÄN</t>
        </is>
      </c>
      <c r="E443" t="inlineStr">
        <is>
          <t>NORRTÄLJE</t>
        </is>
      </c>
      <c r="F443" t="inlineStr">
        <is>
          <t>Holmen skog AB</t>
        </is>
      </c>
      <c r="G443" t="n">
        <v>2.8</v>
      </c>
      <c r="H443" t="n">
        <v>0</v>
      </c>
      <c r="I443" t="n">
        <v>0</v>
      </c>
      <c r="J443" t="n">
        <v>0</v>
      </c>
      <c r="K443" t="n">
        <v>0</v>
      </c>
      <c r="L443" t="n">
        <v>0</v>
      </c>
      <c r="M443" t="n">
        <v>0</v>
      </c>
      <c r="N443" t="n">
        <v>0</v>
      </c>
      <c r="O443" t="n">
        <v>0</v>
      </c>
      <c r="P443" t="n">
        <v>0</v>
      </c>
      <c r="Q443" t="n">
        <v>0</v>
      </c>
      <c r="R443" s="2" t="inlineStr"/>
    </row>
    <row r="444" ht="15" customHeight="1">
      <c r="A444" t="inlineStr">
        <is>
          <t>A 8135-2025</t>
        </is>
      </c>
      <c r="B444" s="1" t="n">
        <v>45707.84997685185</v>
      </c>
      <c r="C444" s="1" t="n">
        <v>46076</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3383-2023</t>
        </is>
      </c>
      <c r="B445" s="1" t="n">
        <v>44949</v>
      </c>
      <c r="C445" s="1" t="n">
        <v>46076</v>
      </c>
      <c r="D445" t="inlineStr">
        <is>
          <t>STOCKHOLMS LÄN</t>
        </is>
      </c>
      <c r="E445" t="inlineStr">
        <is>
          <t>NORRTÄLJE</t>
        </is>
      </c>
      <c r="G445" t="n">
        <v>14.6</v>
      </c>
      <c r="H445" t="n">
        <v>0</v>
      </c>
      <c r="I445" t="n">
        <v>0</v>
      </c>
      <c r="J445" t="n">
        <v>0</v>
      </c>
      <c r="K445" t="n">
        <v>0</v>
      </c>
      <c r="L445" t="n">
        <v>0</v>
      </c>
      <c r="M445" t="n">
        <v>0</v>
      </c>
      <c r="N445" t="n">
        <v>0</v>
      </c>
      <c r="O445" t="n">
        <v>0</v>
      </c>
      <c r="P445" t="n">
        <v>0</v>
      </c>
      <c r="Q445" t="n">
        <v>0</v>
      </c>
      <c r="R445" s="2" t="inlineStr"/>
    </row>
    <row r="446" ht="15" customHeight="1">
      <c r="A446" t="inlineStr">
        <is>
          <t>A 35636-2025</t>
        </is>
      </c>
      <c r="B446" s="1" t="n">
        <v>45859</v>
      </c>
      <c r="C446" s="1" t="n">
        <v>46076</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13148-2021</t>
        </is>
      </c>
      <c r="B447" s="1" t="n">
        <v>44272</v>
      </c>
      <c r="C447" s="1" t="n">
        <v>46076</v>
      </c>
      <c r="D447" t="inlineStr">
        <is>
          <t>STOCKHOLMS LÄN</t>
        </is>
      </c>
      <c r="E447" t="inlineStr">
        <is>
          <t>NORRTÄLJE</t>
        </is>
      </c>
      <c r="G447" t="n">
        <v>12.4</v>
      </c>
      <c r="H447" t="n">
        <v>0</v>
      </c>
      <c r="I447" t="n">
        <v>0</v>
      </c>
      <c r="J447" t="n">
        <v>0</v>
      </c>
      <c r="K447" t="n">
        <v>0</v>
      </c>
      <c r="L447" t="n">
        <v>0</v>
      </c>
      <c r="M447" t="n">
        <v>0</v>
      </c>
      <c r="N447" t="n">
        <v>0</v>
      </c>
      <c r="O447" t="n">
        <v>0</v>
      </c>
      <c r="P447" t="n">
        <v>0</v>
      </c>
      <c r="Q447" t="n">
        <v>0</v>
      </c>
      <c r="R447" s="2" t="inlineStr"/>
    </row>
    <row r="448" ht="15" customHeight="1">
      <c r="A448" t="inlineStr">
        <is>
          <t>A 21732-2023</t>
        </is>
      </c>
      <c r="B448" s="1" t="n">
        <v>45063</v>
      </c>
      <c r="C448" s="1" t="n">
        <v>46076</v>
      </c>
      <c r="D448" t="inlineStr">
        <is>
          <t>STOCKHOLMS LÄN</t>
        </is>
      </c>
      <c r="E448" t="inlineStr">
        <is>
          <t>NORRTÄLJE</t>
        </is>
      </c>
      <c r="G448" t="n">
        <v>1.7</v>
      </c>
      <c r="H448" t="n">
        <v>0</v>
      </c>
      <c r="I448" t="n">
        <v>0</v>
      </c>
      <c r="J448" t="n">
        <v>0</v>
      </c>
      <c r="K448" t="n">
        <v>0</v>
      </c>
      <c r="L448" t="n">
        <v>0</v>
      </c>
      <c r="M448" t="n">
        <v>0</v>
      </c>
      <c r="N448" t="n">
        <v>0</v>
      </c>
      <c r="O448" t="n">
        <v>0</v>
      </c>
      <c r="P448" t="n">
        <v>0</v>
      </c>
      <c r="Q448" t="n">
        <v>0</v>
      </c>
      <c r="R448" s="2" t="inlineStr"/>
    </row>
    <row r="449" ht="15" customHeight="1">
      <c r="A449" t="inlineStr">
        <is>
          <t>A 23307-2024</t>
        </is>
      </c>
      <c r="B449" s="1" t="n">
        <v>45453</v>
      </c>
      <c r="C449" s="1" t="n">
        <v>46076</v>
      </c>
      <c r="D449" t="inlineStr">
        <is>
          <t>STOCKHOLMS LÄN</t>
        </is>
      </c>
      <c r="E449" t="inlineStr">
        <is>
          <t>NORRTÄLJE</t>
        </is>
      </c>
      <c r="G449" t="n">
        <v>0.9</v>
      </c>
      <c r="H449" t="n">
        <v>0</v>
      </c>
      <c r="I449" t="n">
        <v>0</v>
      </c>
      <c r="J449" t="n">
        <v>0</v>
      </c>
      <c r="K449" t="n">
        <v>0</v>
      </c>
      <c r="L449" t="n">
        <v>0</v>
      </c>
      <c r="M449" t="n">
        <v>0</v>
      </c>
      <c r="N449" t="n">
        <v>0</v>
      </c>
      <c r="O449" t="n">
        <v>0</v>
      </c>
      <c r="P449" t="n">
        <v>0</v>
      </c>
      <c r="Q449" t="n">
        <v>0</v>
      </c>
      <c r="R449" s="2" t="inlineStr"/>
    </row>
    <row r="450" ht="15" customHeight="1">
      <c r="A450" t="inlineStr">
        <is>
          <t>A 40172-2025</t>
        </is>
      </c>
      <c r="B450" s="1" t="n">
        <v>45894.6353125</v>
      </c>
      <c r="C450" s="1" t="n">
        <v>46076</v>
      </c>
      <c r="D450" t="inlineStr">
        <is>
          <t>STOCKHOLMS LÄN</t>
        </is>
      </c>
      <c r="E450" t="inlineStr">
        <is>
          <t>NORRTÄLJE</t>
        </is>
      </c>
      <c r="G450" t="n">
        <v>6</v>
      </c>
      <c r="H450" t="n">
        <v>0</v>
      </c>
      <c r="I450" t="n">
        <v>0</v>
      </c>
      <c r="J450" t="n">
        <v>0</v>
      </c>
      <c r="K450" t="n">
        <v>0</v>
      </c>
      <c r="L450" t="n">
        <v>0</v>
      </c>
      <c r="M450" t="n">
        <v>0</v>
      </c>
      <c r="N450" t="n">
        <v>0</v>
      </c>
      <c r="O450" t="n">
        <v>0</v>
      </c>
      <c r="P450" t="n">
        <v>0</v>
      </c>
      <c r="Q450" t="n">
        <v>0</v>
      </c>
      <c r="R450" s="2" t="inlineStr"/>
    </row>
    <row r="451" ht="15" customHeight="1">
      <c r="A451" t="inlineStr">
        <is>
          <t>A 40033-2025</t>
        </is>
      </c>
      <c r="B451" s="1" t="n">
        <v>45893</v>
      </c>
      <c r="C451" s="1" t="n">
        <v>46076</v>
      </c>
      <c r="D451" t="inlineStr">
        <is>
          <t>STOCKHOLMS LÄN</t>
        </is>
      </c>
      <c r="E451" t="inlineStr">
        <is>
          <t>NORRTÄLJE</t>
        </is>
      </c>
      <c r="G451" t="n">
        <v>1.7</v>
      </c>
      <c r="H451" t="n">
        <v>0</v>
      </c>
      <c r="I451" t="n">
        <v>0</v>
      </c>
      <c r="J451" t="n">
        <v>0</v>
      </c>
      <c r="K451" t="n">
        <v>0</v>
      </c>
      <c r="L451" t="n">
        <v>0</v>
      </c>
      <c r="M451" t="n">
        <v>0</v>
      </c>
      <c r="N451" t="n">
        <v>0</v>
      </c>
      <c r="O451" t="n">
        <v>0</v>
      </c>
      <c r="P451" t="n">
        <v>0</v>
      </c>
      <c r="Q451" t="n">
        <v>0</v>
      </c>
      <c r="R451" s="2" t="inlineStr"/>
    </row>
    <row r="452" ht="15" customHeight="1">
      <c r="A452" t="inlineStr">
        <is>
          <t>A 40032-2025</t>
        </is>
      </c>
      <c r="B452" s="1" t="n">
        <v>45893</v>
      </c>
      <c r="C452" s="1" t="n">
        <v>46076</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40292-2025</t>
        </is>
      </c>
      <c r="B453" s="1" t="n">
        <v>45895.3867824074</v>
      </c>
      <c r="C453" s="1" t="n">
        <v>46076</v>
      </c>
      <c r="D453" t="inlineStr">
        <is>
          <t>STOCKHOLMS LÄN</t>
        </is>
      </c>
      <c r="E453" t="inlineStr">
        <is>
          <t>NORRTÄLJE</t>
        </is>
      </c>
      <c r="G453" t="n">
        <v>3.5</v>
      </c>
      <c r="H453" t="n">
        <v>0</v>
      </c>
      <c r="I453" t="n">
        <v>0</v>
      </c>
      <c r="J453" t="n">
        <v>0</v>
      </c>
      <c r="K453" t="n">
        <v>0</v>
      </c>
      <c r="L453" t="n">
        <v>0</v>
      </c>
      <c r="M453" t="n">
        <v>0</v>
      </c>
      <c r="N453" t="n">
        <v>0</v>
      </c>
      <c r="O453" t="n">
        <v>0</v>
      </c>
      <c r="P453" t="n">
        <v>0</v>
      </c>
      <c r="Q453" t="n">
        <v>0</v>
      </c>
      <c r="R453" s="2" t="inlineStr"/>
    </row>
    <row r="454" ht="15" customHeight="1">
      <c r="A454" t="inlineStr">
        <is>
          <t>A 40294-2025</t>
        </is>
      </c>
      <c r="B454" s="1" t="n">
        <v>45895.38778935185</v>
      </c>
      <c r="C454" s="1" t="n">
        <v>46076</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40228-2025</t>
        </is>
      </c>
      <c r="B455" s="1" t="n">
        <v>45894.70854166667</v>
      </c>
      <c r="C455" s="1" t="n">
        <v>46076</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40230-2025</t>
        </is>
      </c>
      <c r="B456" s="1" t="n">
        <v>45894.71101851852</v>
      </c>
      <c r="C456" s="1" t="n">
        <v>46076</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40217-2025</t>
        </is>
      </c>
      <c r="B457" s="1" t="n">
        <v>45894.68864583333</v>
      </c>
      <c r="C457" s="1" t="n">
        <v>46076</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40097-2025</t>
        </is>
      </c>
      <c r="B458" s="1" t="n">
        <v>45894.48322916667</v>
      </c>
      <c r="C458" s="1" t="n">
        <v>46076</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40829-2025</t>
        </is>
      </c>
      <c r="B459" s="1" t="n">
        <v>45897.50802083333</v>
      </c>
      <c r="C459" s="1" t="n">
        <v>46076</v>
      </c>
      <c r="D459" t="inlineStr">
        <is>
          <t>STOCKHOLMS LÄN</t>
        </is>
      </c>
      <c r="E459" t="inlineStr">
        <is>
          <t>NORRTÄLJE</t>
        </is>
      </c>
      <c r="G459" t="n">
        <v>0.9</v>
      </c>
      <c r="H459" t="n">
        <v>0</v>
      </c>
      <c r="I459" t="n">
        <v>0</v>
      </c>
      <c r="J459" t="n">
        <v>0</v>
      </c>
      <c r="K459" t="n">
        <v>0</v>
      </c>
      <c r="L459" t="n">
        <v>0</v>
      </c>
      <c r="M459" t="n">
        <v>0</v>
      </c>
      <c r="N459" t="n">
        <v>0</v>
      </c>
      <c r="O459" t="n">
        <v>0</v>
      </c>
      <c r="P459" t="n">
        <v>0</v>
      </c>
      <c r="Q459" t="n">
        <v>0</v>
      </c>
      <c r="R459" s="2" t="inlineStr"/>
    </row>
    <row r="460" ht="15" customHeight="1">
      <c r="A460" t="inlineStr">
        <is>
          <t>A 40837-2025</t>
        </is>
      </c>
      <c r="B460" s="1" t="n">
        <v>45897.51328703704</v>
      </c>
      <c r="C460" s="1" t="n">
        <v>46076</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30639-2025</t>
        </is>
      </c>
      <c r="B461" s="1" t="n">
        <v>45831.4844212963</v>
      </c>
      <c r="C461" s="1" t="n">
        <v>46076</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30668-2025</t>
        </is>
      </c>
      <c r="B462" s="1" t="n">
        <v>45831.51659722222</v>
      </c>
      <c r="C462" s="1" t="n">
        <v>46076</v>
      </c>
      <c r="D462" t="inlineStr">
        <is>
          <t>STOCKHOLMS LÄN</t>
        </is>
      </c>
      <c r="E462" t="inlineStr">
        <is>
          <t>NORRTÄLJE</t>
        </is>
      </c>
      <c r="G462" t="n">
        <v>4.9</v>
      </c>
      <c r="H462" t="n">
        <v>0</v>
      </c>
      <c r="I462" t="n">
        <v>0</v>
      </c>
      <c r="J462" t="n">
        <v>0</v>
      </c>
      <c r="K462" t="n">
        <v>0</v>
      </c>
      <c r="L462" t="n">
        <v>0</v>
      </c>
      <c r="M462" t="n">
        <v>0</v>
      </c>
      <c r="N462" t="n">
        <v>0</v>
      </c>
      <c r="O462" t="n">
        <v>0</v>
      </c>
      <c r="P462" t="n">
        <v>0</v>
      </c>
      <c r="Q462" t="n">
        <v>0</v>
      </c>
      <c r="R462" s="2" t="inlineStr"/>
    </row>
    <row r="463" ht="15" customHeight="1">
      <c r="A463" t="inlineStr">
        <is>
          <t>A 40529-2025</t>
        </is>
      </c>
      <c r="B463" s="1" t="n">
        <v>45896.38466435186</v>
      </c>
      <c r="C463" s="1" t="n">
        <v>46076</v>
      </c>
      <c r="D463" t="inlineStr">
        <is>
          <t>STOCKHOLMS LÄN</t>
        </is>
      </c>
      <c r="E463" t="inlineStr">
        <is>
          <t>NORRTÄLJE</t>
        </is>
      </c>
      <c r="G463" t="n">
        <v>0.5</v>
      </c>
      <c r="H463" t="n">
        <v>0</v>
      </c>
      <c r="I463" t="n">
        <v>0</v>
      </c>
      <c r="J463" t="n">
        <v>0</v>
      </c>
      <c r="K463" t="n">
        <v>0</v>
      </c>
      <c r="L463" t="n">
        <v>0</v>
      </c>
      <c r="M463" t="n">
        <v>0</v>
      </c>
      <c r="N463" t="n">
        <v>0</v>
      </c>
      <c r="O463" t="n">
        <v>0</v>
      </c>
      <c r="P463" t="n">
        <v>0</v>
      </c>
      <c r="Q463" t="n">
        <v>0</v>
      </c>
      <c r="R463" s="2" t="inlineStr"/>
    </row>
    <row r="464" ht="15" customHeight="1">
      <c r="A464" t="inlineStr">
        <is>
          <t>A 37085-2021</t>
        </is>
      </c>
      <c r="B464" s="1" t="n">
        <v>44395</v>
      </c>
      <c r="C464" s="1" t="n">
        <v>46076</v>
      </c>
      <c r="D464" t="inlineStr">
        <is>
          <t>STOCKHOLMS LÄN</t>
        </is>
      </c>
      <c r="E464" t="inlineStr">
        <is>
          <t>NORRTÄLJE</t>
        </is>
      </c>
      <c r="G464" t="n">
        <v>11</v>
      </c>
      <c r="H464" t="n">
        <v>0</v>
      </c>
      <c r="I464" t="n">
        <v>0</v>
      </c>
      <c r="J464" t="n">
        <v>0</v>
      </c>
      <c r="K464" t="n">
        <v>0</v>
      </c>
      <c r="L464" t="n">
        <v>0</v>
      </c>
      <c r="M464" t="n">
        <v>0</v>
      </c>
      <c r="N464" t="n">
        <v>0</v>
      </c>
      <c r="O464" t="n">
        <v>0</v>
      </c>
      <c r="P464" t="n">
        <v>0</v>
      </c>
      <c r="Q464" t="n">
        <v>0</v>
      </c>
      <c r="R464" s="2" t="inlineStr"/>
    </row>
    <row r="465" ht="15" customHeight="1">
      <c r="A465" t="inlineStr">
        <is>
          <t>A 40831-2025</t>
        </is>
      </c>
      <c r="B465" s="1" t="n">
        <v>45897.51077546296</v>
      </c>
      <c r="C465" s="1" t="n">
        <v>46076</v>
      </c>
      <c r="D465" t="inlineStr">
        <is>
          <t>STOCKHOLMS LÄN</t>
        </is>
      </c>
      <c r="E465" t="inlineStr">
        <is>
          <t>NORRTÄLJE</t>
        </is>
      </c>
      <c r="G465" t="n">
        <v>1.8</v>
      </c>
      <c r="H465" t="n">
        <v>0</v>
      </c>
      <c r="I465" t="n">
        <v>0</v>
      </c>
      <c r="J465" t="n">
        <v>0</v>
      </c>
      <c r="K465" t="n">
        <v>0</v>
      </c>
      <c r="L465" t="n">
        <v>0</v>
      </c>
      <c r="M465" t="n">
        <v>0</v>
      </c>
      <c r="N465" t="n">
        <v>0</v>
      </c>
      <c r="O465" t="n">
        <v>0</v>
      </c>
      <c r="P465" t="n">
        <v>0</v>
      </c>
      <c r="Q465" t="n">
        <v>0</v>
      </c>
      <c r="R465" s="2" t="inlineStr"/>
    </row>
    <row r="466" ht="15" customHeight="1">
      <c r="A466" t="inlineStr">
        <is>
          <t>A 56428-2023</t>
        </is>
      </c>
      <c r="B466" s="1" t="n">
        <v>45243.45289351852</v>
      </c>
      <c r="C466" s="1" t="n">
        <v>46076</v>
      </c>
      <c r="D466" t="inlineStr">
        <is>
          <t>STOCKHOLMS LÄN</t>
        </is>
      </c>
      <c r="E466" t="inlineStr">
        <is>
          <t>NORRTÄLJE</t>
        </is>
      </c>
      <c r="F466" t="inlineStr">
        <is>
          <t>Kyrkan</t>
        </is>
      </c>
      <c r="G466" t="n">
        <v>1.3</v>
      </c>
      <c r="H466" t="n">
        <v>0</v>
      </c>
      <c r="I466" t="n">
        <v>0</v>
      </c>
      <c r="J466" t="n">
        <v>0</v>
      </c>
      <c r="K466" t="n">
        <v>0</v>
      </c>
      <c r="L466" t="n">
        <v>0</v>
      </c>
      <c r="M466" t="n">
        <v>0</v>
      </c>
      <c r="N466" t="n">
        <v>0</v>
      </c>
      <c r="O466" t="n">
        <v>0</v>
      </c>
      <c r="P466" t="n">
        <v>0</v>
      </c>
      <c r="Q466" t="n">
        <v>0</v>
      </c>
      <c r="R466" s="2" t="inlineStr"/>
    </row>
    <row r="467" ht="15" customHeight="1">
      <c r="A467" t="inlineStr">
        <is>
          <t>A 17556-2025</t>
        </is>
      </c>
      <c r="B467" s="1" t="n">
        <v>45757.62482638889</v>
      </c>
      <c r="C467" s="1" t="n">
        <v>46076</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41158-2025</t>
        </is>
      </c>
      <c r="B468" s="1" t="n">
        <v>45898.5315625</v>
      </c>
      <c r="C468" s="1" t="n">
        <v>46076</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15733-2025</t>
        </is>
      </c>
      <c r="B469" s="1" t="n">
        <v>45748</v>
      </c>
      <c r="C469" s="1" t="n">
        <v>46076</v>
      </c>
      <c r="D469" t="inlineStr">
        <is>
          <t>STOCKHOLMS LÄN</t>
        </is>
      </c>
      <c r="E469" t="inlineStr">
        <is>
          <t>NORRTÄLJE</t>
        </is>
      </c>
      <c r="G469" t="n">
        <v>13.3</v>
      </c>
      <c r="H469" t="n">
        <v>0</v>
      </c>
      <c r="I469" t="n">
        <v>0</v>
      </c>
      <c r="J469" t="n">
        <v>0</v>
      </c>
      <c r="K469" t="n">
        <v>0</v>
      </c>
      <c r="L469" t="n">
        <v>0</v>
      </c>
      <c r="M469" t="n">
        <v>0</v>
      </c>
      <c r="N469" t="n">
        <v>0</v>
      </c>
      <c r="O469" t="n">
        <v>0</v>
      </c>
      <c r="P469" t="n">
        <v>0</v>
      </c>
      <c r="Q469" t="n">
        <v>0</v>
      </c>
      <c r="R469" s="2" t="inlineStr"/>
    </row>
    <row r="470" ht="15" customHeight="1">
      <c r="A470" t="inlineStr">
        <is>
          <t>A 31170-2025</t>
        </is>
      </c>
      <c r="B470" s="1" t="n">
        <v>45832.66385416667</v>
      </c>
      <c r="C470" s="1" t="n">
        <v>46076</v>
      </c>
      <c r="D470" t="inlineStr">
        <is>
          <t>STOCKHOLMS LÄN</t>
        </is>
      </c>
      <c r="E470" t="inlineStr">
        <is>
          <t>NORRTÄLJE</t>
        </is>
      </c>
      <c r="G470" t="n">
        <v>2.7</v>
      </c>
      <c r="H470" t="n">
        <v>0</v>
      </c>
      <c r="I470" t="n">
        <v>0</v>
      </c>
      <c r="J470" t="n">
        <v>0</v>
      </c>
      <c r="K470" t="n">
        <v>0</v>
      </c>
      <c r="L470" t="n">
        <v>0</v>
      </c>
      <c r="M470" t="n">
        <v>0</v>
      </c>
      <c r="N470" t="n">
        <v>0</v>
      </c>
      <c r="O470" t="n">
        <v>0</v>
      </c>
      <c r="P470" t="n">
        <v>0</v>
      </c>
      <c r="Q470" t="n">
        <v>0</v>
      </c>
      <c r="R470" s="2" t="inlineStr"/>
    </row>
    <row r="471" ht="15" customHeight="1">
      <c r="A471" t="inlineStr">
        <is>
          <t>A 42094-2023</t>
        </is>
      </c>
      <c r="B471" s="1" t="n">
        <v>45177.61498842593</v>
      </c>
      <c r="C471" s="1" t="n">
        <v>46076</v>
      </c>
      <c r="D471" t="inlineStr">
        <is>
          <t>STOCKHOLMS LÄN</t>
        </is>
      </c>
      <c r="E471" t="inlineStr">
        <is>
          <t>NORRTÄLJE</t>
        </is>
      </c>
      <c r="G471" t="n">
        <v>0.3</v>
      </c>
      <c r="H471" t="n">
        <v>0</v>
      </c>
      <c r="I471" t="n">
        <v>0</v>
      </c>
      <c r="J471" t="n">
        <v>0</v>
      </c>
      <c r="K471" t="n">
        <v>0</v>
      </c>
      <c r="L471" t="n">
        <v>0</v>
      </c>
      <c r="M471" t="n">
        <v>0</v>
      </c>
      <c r="N471" t="n">
        <v>0</v>
      </c>
      <c r="O471" t="n">
        <v>0</v>
      </c>
      <c r="P471" t="n">
        <v>0</v>
      </c>
      <c r="Q471" t="n">
        <v>0</v>
      </c>
      <c r="R471" s="2" t="inlineStr"/>
    </row>
    <row r="472" ht="15" customHeight="1">
      <c r="A472" t="inlineStr">
        <is>
          <t>A 19058-2024</t>
        </is>
      </c>
      <c r="B472" s="1" t="n">
        <v>45427.89121527778</v>
      </c>
      <c r="C472" s="1" t="n">
        <v>46076</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41053-2025</t>
        </is>
      </c>
      <c r="B473" s="1" t="n">
        <v>45898.40480324074</v>
      </c>
      <c r="C473" s="1" t="n">
        <v>46076</v>
      </c>
      <c r="D473" t="inlineStr">
        <is>
          <t>STOCKHOLMS LÄN</t>
        </is>
      </c>
      <c r="E473" t="inlineStr">
        <is>
          <t>NORRTÄLJE</t>
        </is>
      </c>
      <c r="F473" t="inlineStr">
        <is>
          <t>Holmen skog AB</t>
        </is>
      </c>
      <c r="G473" t="n">
        <v>2.5</v>
      </c>
      <c r="H473" t="n">
        <v>0</v>
      </c>
      <c r="I473" t="n">
        <v>0</v>
      </c>
      <c r="J473" t="n">
        <v>0</v>
      </c>
      <c r="K473" t="n">
        <v>0</v>
      </c>
      <c r="L473" t="n">
        <v>0</v>
      </c>
      <c r="M473" t="n">
        <v>0</v>
      </c>
      <c r="N473" t="n">
        <v>0</v>
      </c>
      <c r="O473" t="n">
        <v>0</v>
      </c>
      <c r="P473" t="n">
        <v>0</v>
      </c>
      <c r="Q473" t="n">
        <v>0</v>
      </c>
      <c r="R473" s="2" t="inlineStr"/>
    </row>
    <row r="474" ht="15" customHeight="1">
      <c r="A474" t="inlineStr">
        <is>
          <t>A 41275-2025</t>
        </is>
      </c>
      <c r="B474" s="1" t="n">
        <v>45898.62625</v>
      </c>
      <c r="C474" s="1" t="n">
        <v>46076</v>
      </c>
      <c r="D474" t="inlineStr">
        <is>
          <t>STOCKHOLMS LÄN</t>
        </is>
      </c>
      <c r="E474" t="inlineStr">
        <is>
          <t>NORRTÄLJE</t>
        </is>
      </c>
      <c r="G474" t="n">
        <v>1</v>
      </c>
      <c r="H474" t="n">
        <v>0</v>
      </c>
      <c r="I474" t="n">
        <v>0</v>
      </c>
      <c r="J474" t="n">
        <v>0</v>
      </c>
      <c r="K474" t="n">
        <v>0</v>
      </c>
      <c r="L474" t="n">
        <v>0</v>
      </c>
      <c r="M474" t="n">
        <v>0</v>
      </c>
      <c r="N474" t="n">
        <v>0</v>
      </c>
      <c r="O474" t="n">
        <v>0</v>
      </c>
      <c r="P474" t="n">
        <v>0</v>
      </c>
      <c r="Q474" t="n">
        <v>0</v>
      </c>
      <c r="R474" s="2" t="inlineStr"/>
    </row>
    <row r="475" ht="15" customHeight="1">
      <c r="A475" t="inlineStr">
        <is>
          <t>A 41272-2025</t>
        </is>
      </c>
      <c r="B475" s="1" t="n">
        <v>45898.62373842593</v>
      </c>
      <c r="C475" s="1" t="n">
        <v>46076</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31880-2025</t>
        </is>
      </c>
      <c r="B476" s="1" t="n">
        <v>45834.65538194445</v>
      </c>
      <c r="C476" s="1" t="n">
        <v>46076</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41301-2025</t>
        </is>
      </c>
      <c r="B477" s="1" t="n">
        <v>45898.68826388889</v>
      </c>
      <c r="C477" s="1" t="n">
        <v>46076</v>
      </c>
      <c r="D477" t="inlineStr">
        <is>
          <t>STOCKHOLMS LÄN</t>
        </is>
      </c>
      <c r="E477" t="inlineStr">
        <is>
          <t>NORRTÄLJE</t>
        </is>
      </c>
      <c r="G477" t="n">
        <v>1</v>
      </c>
      <c r="H477" t="n">
        <v>0</v>
      </c>
      <c r="I477" t="n">
        <v>0</v>
      </c>
      <c r="J477" t="n">
        <v>0</v>
      </c>
      <c r="K477" t="n">
        <v>0</v>
      </c>
      <c r="L477" t="n">
        <v>0</v>
      </c>
      <c r="M477" t="n">
        <v>0</v>
      </c>
      <c r="N477" t="n">
        <v>0</v>
      </c>
      <c r="O477" t="n">
        <v>0</v>
      </c>
      <c r="P477" t="n">
        <v>0</v>
      </c>
      <c r="Q477" t="n">
        <v>0</v>
      </c>
      <c r="R477" s="2" t="inlineStr"/>
    </row>
    <row r="478" ht="15" customHeight="1">
      <c r="A478" t="inlineStr">
        <is>
          <t>A 32122-2025</t>
        </is>
      </c>
      <c r="B478" s="1" t="n">
        <v>45835.4928125</v>
      </c>
      <c r="C478" s="1" t="n">
        <v>46076</v>
      </c>
      <c r="D478" t="inlineStr">
        <is>
          <t>STOCKHOLMS LÄN</t>
        </is>
      </c>
      <c r="E478" t="inlineStr">
        <is>
          <t>NORRTÄLJE</t>
        </is>
      </c>
      <c r="F478" t="inlineStr">
        <is>
          <t>Holmen skog AB</t>
        </is>
      </c>
      <c r="G478" t="n">
        <v>1.9</v>
      </c>
      <c r="H478" t="n">
        <v>0</v>
      </c>
      <c r="I478" t="n">
        <v>0</v>
      </c>
      <c r="J478" t="n">
        <v>0</v>
      </c>
      <c r="K478" t="n">
        <v>0</v>
      </c>
      <c r="L478" t="n">
        <v>0</v>
      </c>
      <c r="M478" t="n">
        <v>0</v>
      </c>
      <c r="N478" t="n">
        <v>0</v>
      </c>
      <c r="O478" t="n">
        <v>0</v>
      </c>
      <c r="P478" t="n">
        <v>0</v>
      </c>
      <c r="Q478" t="n">
        <v>0</v>
      </c>
      <c r="R478" s="2" t="inlineStr"/>
    </row>
    <row r="479" ht="15" customHeight="1">
      <c r="A479" t="inlineStr">
        <is>
          <t>A 31868-2025</t>
        </is>
      </c>
      <c r="B479" s="1" t="n">
        <v>45834.6447337963</v>
      </c>
      <c r="C479" s="1" t="n">
        <v>46076</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6413-2025</t>
        </is>
      </c>
      <c r="B480" s="1" t="n">
        <v>45699.46283564815</v>
      </c>
      <c r="C480" s="1" t="n">
        <v>46076</v>
      </c>
      <c r="D480" t="inlineStr">
        <is>
          <t>STOCKHOLMS LÄN</t>
        </is>
      </c>
      <c r="E480" t="inlineStr">
        <is>
          <t>NORRTÄLJE</t>
        </is>
      </c>
      <c r="G480" t="n">
        <v>3.6</v>
      </c>
      <c r="H480" t="n">
        <v>0</v>
      </c>
      <c r="I480" t="n">
        <v>0</v>
      </c>
      <c r="J480" t="n">
        <v>0</v>
      </c>
      <c r="K480" t="n">
        <v>0</v>
      </c>
      <c r="L480" t="n">
        <v>0</v>
      </c>
      <c r="M480" t="n">
        <v>0</v>
      </c>
      <c r="N480" t="n">
        <v>0</v>
      </c>
      <c r="O480" t="n">
        <v>0</v>
      </c>
      <c r="P480" t="n">
        <v>0</v>
      </c>
      <c r="Q480" t="n">
        <v>0</v>
      </c>
      <c r="R480" s="2" t="inlineStr"/>
    </row>
    <row r="481" ht="15" customHeight="1">
      <c r="A481" t="inlineStr">
        <is>
          <t>A 41174-2025</t>
        </is>
      </c>
      <c r="B481" s="1" t="n">
        <v>45898.54921296296</v>
      </c>
      <c r="C481" s="1" t="n">
        <v>46076</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8370-2025</t>
        </is>
      </c>
      <c r="B482" s="1" t="n">
        <v>45708</v>
      </c>
      <c r="C482" s="1" t="n">
        <v>46076</v>
      </c>
      <c r="D482" t="inlineStr">
        <is>
          <t>STOCKHOLMS LÄN</t>
        </is>
      </c>
      <c r="E482" t="inlineStr">
        <is>
          <t>NORRTÄLJE</t>
        </is>
      </c>
      <c r="F482" t="inlineStr">
        <is>
          <t>Övriga Aktiebolag</t>
        </is>
      </c>
      <c r="G482" t="n">
        <v>5.6</v>
      </c>
      <c r="H482" t="n">
        <v>0</v>
      </c>
      <c r="I482" t="n">
        <v>0</v>
      </c>
      <c r="J482" t="n">
        <v>0</v>
      </c>
      <c r="K482" t="n">
        <v>0</v>
      </c>
      <c r="L482" t="n">
        <v>0</v>
      </c>
      <c r="M482" t="n">
        <v>0</v>
      </c>
      <c r="N482" t="n">
        <v>0</v>
      </c>
      <c r="O482" t="n">
        <v>0</v>
      </c>
      <c r="P482" t="n">
        <v>0</v>
      </c>
      <c r="Q482" t="n">
        <v>0</v>
      </c>
      <c r="R482" s="2" t="inlineStr"/>
    </row>
    <row r="483" ht="15" customHeight="1">
      <c r="A483" t="inlineStr">
        <is>
          <t>A 41030-2025</t>
        </is>
      </c>
      <c r="B483" s="1" t="n">
        <v>45898.37636574074</v>
      </c>
      <c r="C483" s="1" t="n">
        <v>46076</v>
      </c>
      <c r="D483" t="inlineStr">
        <is>
          <t>STOCKHOLMS LÄN</t>
        </is>
      </c>
      <c r="E483" t="inlineStr">
        <is>
          <t>NORRTÄLJE</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3299-2022</t>
        </is>
      </c>
      <c r="B484" s="1" t="n">
        <v>44584.91001157407</v>
      </c>
      <c r="C484" s="1" t="n">
        <v>46076</v>
      </c>
      <c r="D484" t="inlineStr">
        <is>
          <t>STOCKHOLMS LÄN</t>
        </is>
      </c>
      <c r="E484" t="inlineStr">
        <is>
          <t>NORRTÄLJE</t>
        </is>
      </c>
      <c r="G484" t="n">
        <v>2.7</v>
      </c>
      <c r="H484" t="n">
        <v>0</v>
      </c>
      <c r="I484" t="n">
        <v>0</v>
      </c>
      <c r="J484" t="n">
        <v>0</v>
      </c>
      <c r="K484" t="n">
        <v>0</v>
      </c>
      <c r="L484" t="n">
        <v>0</v>
      </c>
      <c r="M484" t="n">
        <v>0</v>
      </c>
      <c r="N484" t="n">
        <v>0</v>
      </c>
      <c r="O484" t="n">
        <v>0</v>
      </c>
      <c r="P484" t="n">
        <v>0</v>
      </c>
      <c r="Q484" t="n">
        <v>0</v>
      </c>
      <c r="R484" s="2" t="inlineStr"/>
    </row>
    <row r="485" ht="15" customHeight="1">
      <c r="A485" t="inlineStr">
        <is>
          <t>A 41036-2025</t>
        </is>
      </c>
      <c r="B485" s="1" t="n">
        <v>45898.38552083333</v>
      </c>
      <c r="C485" s="1" t="n">
        <v>46076</v>
      </c>
      <c r="D485" t="inlineStr">
        <is>
          <t>STOCKHOLMS LÄN</t>
        </is>
      </c>
      <c r="E485" t="inlineStr">
        <is>
          <t>NORRTÄLJE</t>
        </is>
      </c>
      <c r="F485" t="inlineStr">
        <is>
          <t>Holmen skog AB</t>
        </is>
      </c>
      <c r="G485" t="n">
        <v>2.7</v>
      </c>
      <c r="H485" t="n">
        <v>0</v>
      </c>
      <c r="I485" t="n">
        <v>0</v>
      </c>
      <c r="J485" t="n">
        <v>0</v>
      </c>
      <c r="K485" t="n">
        <v>0</v>
      </c>
      <c r="L485" t="n">
        <v>0</v>
      </c>
      <c r="M485" t="n">
        <v>0</v>
      </c>
      <c r="N485" t="n">
        <v>0</v>
      </c>
      <c r="O485" t="n">
        <v>0</v>
      </c>
      <c r="P485" t="n">
        <v>0</v>
      </c>
      <c r="Q485" t="n">
        <v>0</v>
      </c>
      <c r="R485" s="2" t="inlineStr"/>
    </row>
    <row r="486" ht="15" customHeight="1">
      <c r="A486" t="inlineStr">
        <is>
          <t>A 41106-2025</t>
        </is>
      </c>
      <c r="B486" s="1" t="n">
        <v>45898.45636574074</v>
      </c>
      <c r="C486" s="1" t="n">
        <v>46076</v>
      </c>
      <c r="D486" t="inlineStr">
        <is>
          <t>STOCKHOLMS LÄN</t>
        </is>
      </c>
      <c r="E486" t="inlineStr">
        <is>
          <t>NORRTÄLJE</t>
        </is>
      </c>
      <c r="G486" t="n">
        <v>2.6</v>
      </c>
      <c r="H486" t="n">
        <v>0</v>
      </c>
      <c r="I486" t="n">
        <v>0</v>
      </c>
      <c r="J486" t="n">
        <v>0</v>
      </c>
      <c r="K486" t="n">
        <v>0</v>
      </c>
      <c r="L486" t="n">
        <v>0</v>
      </c>
      <c r="M486" t="n">
        <v>0</v>
      </c>
      <c r="N486" t="n">
        <v>0</v>
      </c>
      <c r="O486" t="n">
        <v>0</v>
      </c>
      <c r="P486" t="n">
        <v>0</v>
      </c>
      <c r="Q486" t="n">
        <v>0</v>
      </c>
      <c r="R486" s="2" t="inlineStr"/>
    </row>
    <row r="487" ht="15" customHeight="1">
      <c r="A487" t="inlineStr">
        <is>
          <t>A 32016-2025</t>
        </is>
      </c>
      <c r="B487" s="1" t="n">
        <v>45835</v>
      </c>
      <c r="C487" s="1" t="n">
        <v>46076</v>
      </c>
      <c r="D487" t="inlineStr">
        <is>
          <t>STOCKHOLMS LÄN</t>
        </is>
      </c>
      <c r="E487" t="inlineStr">
        <is>
          <t>NORRTÄLJE</t>
        </is>
      </c>
      <c r="G487" t="n">
        <v>1.1</v>
      </c>
      <c r="H487" t="n">
        <v>0</v>
      </c>
      <c r="I487" t="n">
        <v>0</v>
      </c>
      <c r="J487" t="n">
        <v>0</v>
      </c>
      <c r="K487" t="n">
        <v>0</v>
      </c>
      <c r="L487" t="n">
        <v>0</v>
      </c>
      <c r="M487" t="n">
        <v>0</v>
      </c>
      <c r="N487" t="n">
        <v>0</v>
      </c>
      <c r="O487" t="n">
        <v>0</v>
      </c>
      <c r="P487" t="n">
        <v>0</v>
      </c>
      <c r="Q487" t="n">
        <v>0</v>
      </c>
      <c r="R487" s="2" t="inlineStr"/>
    </row>
    <row r="488" ht="15" customHeight="1">
      <c r="A488" t="inlineStr">
        <is>
          <t>A 41110-2025</t>
        </is>
      </c>
      <c r="B488" s="1" t="n">
        <v>45898.45976851852</v>
      </c>
      <c r="C488" s="1" t="n">
        <v>46076</v>
      </c>
      <c r="D488" t="inlineStr">
        <is>
          <t>STOCKHOLMS LÄN</t>
        </is>
      </c>
      <c r="E488" t="inlineStr">
        <is>
          <t>NORRTÄLJE</t>
        </is>
      </c>
      <c r="F488" t="inlineStr">
        <is>
          <t>Holmen skog AB</t>
        </is>
      </c>
      <c r="G488" t="n">
        <v>6.7</v>
      </c>
      <c r="H488" t="n">
        <v>0</v>
      </c>
      <c r="I488" t="n">
        <v>0</v>
      </c>
      <c r="J488" t="n">
        <v>0</v>
      </c>
      <c r="K488" t="n">
        <v>0</v>
      </c>
      <c r="L488" t="n">
        <v>0</v>
      </c>
      <c r="M488" t="n">
        <v>0</v>
      </c>
      <c r="N488" t="n">
        <v>0</v>
      </c>
      <c r="O488" t="n">
        <v>0</v>
      </c>
      <c r="P488" t="n">
        <v>0</v>
      </c>
      <c r="Q488" t="n">
        <v>0</v>
      </c>
      <c r="R488" s="2" t="inlineStr"/>
    </row>
    <row r="489" ht="15" customHeight="1">
      <c r="A489" t="inlineStr">
        <is>
          <t>A 12348-2025</t>
        </is>
      </c>
      <c r="B489" s="1" t="n">
        <v>45730.35026620371</v>
      </c>
      <c r="C489" s="1" t="n">
        <v>46076</v>
      </c>
      <c r="D489" t="inlineStr">
        <is>
          <t>STOCKHOLMS LÄN</t>
        </is>
      </c>
      <c r="E489" t="inlineStr">
        <is>
          <t>NORRTÄLJE</t>
        </is>
      </c>
      <c r="G489" t="n">
        <v>1.5</v>
      </c>
      <c r="H489" t="n">
        <v>0</v>
      </c>
      <c r="I489" t="n">
        <v>0</v>
      </c>
      <c r="J489" t="n">
        <v>0</v>
      </c>
      <c r="K489" t="n">
        <v>0</v>
      </c>
      <c r="L489" t="n">
        <v>0</v>
      </c>
      <c r="M489" t="n">
        <v>0</v>
      </c>
      <c r="N489" t="n">
        <v>0</v>
      </c>
      <c r="O489" t="n">
        <v>0</v>
      </c>
      <c r="P489" t="n">
        <v>0</v>
      </c>
      <c r="Q489" t="n">
        <v>0</v>
      </c>
      <c r="R489" s="2" t="inlineStr"/>
    </row>
    <row r="490" ht="15" customHeight="1">
      <c r="A490" t="inlineStr">
        <is>
          <t>A 41259-2025</t>
        </is>
      </c>
      <c r="B490" s="1" t="n">
        <v>45898.61054398148</v>
      </c>
      <c r="C490" s="1" t="n">
        <v>46076</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10511-2025</t>
        </is>
      </c>
      <c r="B491" s="1" t="n">
        <v>45721.40780092592</v>
      </c>
      <c r="C491" s="1" t="n">
        <v>46076</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32283-2025</t>
        </is>
      </c>
      <c r="B492" s="1" t="n">
        <v>45835.68076388889</v>
      </c>
      <c r="C492" s="1" t="n">
        <v>46076</v>
      </c>
      <c r="D492" t="inlineStr">
        <is>
          <t>STOCKHOLMS LÄN</t>
        </is>
      </c>
      <c r="E492" t="inlineStr">
        <is>
          <t>NORRTÄLJE</t>
        </is>
      </c>
      <c r="G492" t="n">
        <v>1.8</v>
      </c>
      <c r="H492" t="n">
        <v>0</v>
      </c>
      <c r="I492" t="n">
        <v>0</v>
      </c>
      <c r="J492" t="n">
        <v>0</v>
      </c>
      <c r="K492" t="n">
        <v>0</v>
      </c>
      <c r="L492" t="n">
        <v>0</v>
      </c>
      <c r="M492" t="n">
        <v>0</v>
      </c>
      <c r="N492" t="n">
        <v>0</v>
      </c>
      <c r="O492" t="n">
        <v>0</v>
      </c>
      <c r="P492" t="n">
        <v>0</v>
      </c>
      <c r="Q492" t="n">
        <v>0</v>
      </c>
      <c r="R492" s="2" t="inlineStr"/>
    </row>
    <row r="493" ht="15" customHeight="1">
      <c r="A493" t="inlineStr">
        <is>
          <t>A 17545-2025</t>
        </is>
      </c>
      <c r="B493" s="1" t="n">
        <v>45757.60658564815</v>
      </c>
      <c r="C493" s="1" t="n">
        <v>46076</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19057-2024</t>
        </is>
      </c>
      <c r="B494" s="1" t="n">
        <v>45427.88731481481</v>
      </c>
      <c r="C494" s="1" t="n">
        <v>46076</v>
      </c>
      <c r="D494" t="inlineStr">
        <is>
          <t>STOCKHOLMS LÄN</t>
        </is>
      </c>
      <c r="E494" t="inlineStr">
        <is>
          <t>NORRTÄLJE</t>
        </is>
      </c>
      <c r="G494" t="n">
        <v>3</v>
      </c>
      <c r="H494" t="n">
        <v>0</v>
      </c>
      <c r="I494" t="n">
        <v>0</v>
      </c>
      <c r="J494" t="n">
        <v>0</v>
      </c>
      <c r="K494" t="n">
        <v>0</v>
      </c>
      <c r="L494" t="n">
        <v>0</v>
      </c>
      <c r="M494" t="n">
        <v>0</v>
      </c>
      <c r="N494" t="n">
        <v>0</v>
      </c>
      <c r="O494" t="n">
        <v>0</v>
      </c>
      <c r="P494" t="n">
        <v>0</v>
      </c>
      <c r="Q494" t="n">
        <v>0</v>
      </c>
      <c r="R494" s="2" t="inlineStr"/>
    </row>
    <row r="495" ht="15" customHeight="1">
      <c r="A495" t="inlineStr">
        <is>
          <t>A 31874-2025</t>
        </is>
      </c>
      <c r="B495" s="1" t="n">
        <v>45834</v>
      </c>
      <c r="C495" s="1" t="n">
        <v>46076</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25094-2023</t>
        </is>
      </c>
      <c r="B496" s="1" t="n">
        <v>45086.3629050926</v>
      </c>
      <c r="C496" s="1" t="n">
        <v>46076</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36157-2024</t>
        </is>
      </c>
      <c r="B497" s="1" t="n">
        <v>45534.38240740741</v>
      </c>
      <c r="C497" s="1" t="n">
        <v>46076</v>
      </c>
      <c r="D497" t="inlineStr">
        <is>
          <t>STOCKHOLMS LÄN</t>
        </is>
      </c>
      <c r="E497" t="inlineStr">
        <is>
          <t>NORRTÄLJE</t>
        </is>
      </c>
      <c r="F497" t="inlineStr">
        <is>
          <t>Övriga Aktiebolag</t>
        </is>
      </c>
      <c r="G497" t="n">
        <v>1.1</v>
      </c>
      <c r="H497" t="n">
        <v>0</v>
      </c>
      <c r="I497" t="n">
        <v>0</v>
      </c>
      <c r="J497" t="n">
        <v>0</v>
      </c>
      <c r="K497" t="n">
        <v>0</v>
      </c>
      <c r="L497" t="n">
        <v>0</v>
      </c>
      <c r="M497" t="n">
        <v>0</v>
      </c>
      <c r="N497" t="n">
        <v>0</v>
      </c>
      <c r="O497" t="n">
        <v>0</v>
      </c>
      <c r="P497" t="n">
        <v>0</v>
      </c>
      <c r="Q497" t="n">
        <v>0</v>
      </c>
      <c r="R497" s="2" t="inlineStr"/>
    </row>
    <row r="498" ht="15" customHeight="1">
      <c r="A498" t="inlineStr">
        <is>
          <t>A 32094-2025</t>
        </is>
      </c>
      <c r="B498" s="1" t="n">
        <v>45835.46034722222</v>
      </c>
      <c r="C498" s="1" t="n">
        <v>46076</v>
      </c>
      <c r="D498" t="inlineStr">
        <is>
          <t>STOCKHOLMS LÄN</t>
        </is>
      </c>
      <c r="E498" t="inlineStr">
        <is>
          <t>NORRTÄLJE</t>
        </is>
      </c>
      <c r="F498" t="inlineStr">
        <is>
          <t>Holmen skog AB</t>
        </is>
      </c>
      <c r="G498" t="n">
        <v>2.9</v>
      </c>
      <c r="H498" t="n">
        <v>0</v>
      </c>
      <c r="I498" t="n">
        <v>0</v>
      </c>
      <c r="J498" t="n">
        <v>0</v>
      </c>
      <c r="K498" t="n">
        <v>0</v>
      </c>
      <c r="L498" t="n">
        <v>0</v>
      </c>
      <c r="M498" t="n">
        <v>0</v>
      </c>
      <c r="N498" t="n">
        <v>0</v>
      </c>
      <c r="O498" t="n">
        <v>0</v>
      </c>
      <c r="P498" t="n">
        <v>0</v>
      </c>
      <c r="Q498" t="n">
        <v>0</v>
      </c>
      <c r="R498" s="2" t="inlineStr"/>
    </row>
    <row r="499" ht="15" customHeight="1">
      <c r="A499" t="inlineStr">
        <is>
          <t>A 41966-2025</t>
        </is>
      </c>
      <c r="B499" s="1" t="n">
        <v>45903.47456018518</v>
      </c>
      <c r="C499" s="1" t="n">
        <v>46076</v>
      </c>
      <c r="D499" t="inlineStr">
        <is>
          <t>STOCKHOLMS LÄN</t>
        </is>
      </c>
      <c r="E499" t="inlineStr">
        <is>
          <t>NORRTÄLJE</t>
        </is>
      </c>
      <c r="F499" t="inlineStr">
        <is>
          <t>Sveaskog</t>
        </is>
      </c>
      <c r="G499" t="n">
        <v>3.7</v>
      </c>
      <c r="H499" t="n">
        <v>0</v>
      </c>
      <c r="I499" t="n">
        <v>0</v>
      </c>
      <c r="J499" t="n">
        <v>0</v>
      </c>
      <c r="K499" t="n">
        <v>0</v>
      </c>
      <c r="L499" t="n">
        <v>0</v>
      </c>
      <c r="M499" t="n">
        <v>0</v>
      </c>
      <c r="N499" t="n">
        <v>0</v>
      </c>
      <c r="O499" t="n">
        <v>0</v>
      </c>
      <c r="P499" t="n">
        <v>0</v>
      </c>
      <c r="Q499" t="n">
        <v>0</v>
      </c>
      <c r="R499" s="2" t="inlineStr"/>
    </row>
    <row r="500" ht="15" customHeight="1">
      <c r="A500" t="inlineStr">
        <is>
          <t>A 42038-2025</t>
        </is>
      </c>
      <c r="B500" s="1" t="n">
        <v>45903.61431712963</v>
      </c>
      <c r="C500" s="1" t="n">
        <v>46076</v>
      </c>
      <c r="D500" t="inlineStr">
        <is>
          <t>STOCKHOLMS LÄN</t>
        </is>
      </c>
      <c r="E500" t="inlineStr">
        <is>
          <t>NORRTÄLJE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47694-2023</t>
        </is>
      </c>
      <c r="B501" s="1" t="n">
        <v>45203.63303240741</v>
      </c>
      <c r="C501" s="1" t="n">
        <v>46076</v>
      </c>
      <c r="D501" t="inlineStr">
        <is>
          <t>STOCKHOLMS LÄN</t>
        </is>
      </c>
      <c r="E501" t="inlineStr">
        <is>
          <t>NORRTÄLJE</t>
        </is>
      </c>
      <c r="G501" t="n">
        <v>5.2</v>
      </c>
      <c r="H501" t="n">
        <v>0</v>
      </c>
      <c r="I501" t="n">
        <v>0</v>
      </c>
      <c r="J501" t="n">
        <v>0</v>
      </c>
      <c r="K501" t="n">
        <v>0</v>
      </c>
      <c r="L501" t="n">
        <v>0</v>
      </c>
      <c r="M501" t="n">
        <v>0</v>
      </c>
      <c r="N501" t="n">
        <v>0</v>
      </c>
      <c r="O501" t="n">
        <v>0</v>
      </c>
      <c r="P501" t="n">
        <v>0</v>
      </c>
      <c r="Q501" t="n">
        <v>0</v>
      </c>
      <c r="R501" s="2" t="inlineStr"/>
    </row>
    <row r="502" ht="15" customHeight="1">
      <c r="A502" t="inlineStr">
        <is>
          <t>A 35532-2024</t>
        </is>
      </c>
      <c r="B502" s="1" t="n">
        <v>45531</v>
      </c>
      <c r="C502" s="1" t="n">
        <v>46076</v>
      </c>
      <c r="D502" t="inlineStr">
        <is>
          <t>STOCKHOLMS LÄN</t>
        </is>
      </c>
      <c r="E502" t="inlineStr">
        <is>
          <t>NORRTÄLJE</t>
        </is>
      </c>
      <c r="G502" t="n">
        <v>2.3</v>
      </c>
      <c r="H502" t="n">
        <v>0</v>
      </c>
      <c r="I502" t="n">
        <v>0</v>
      </c>
      <c r="J502" t="n">
        <v>0</v>
      </c>
      <c r="K502" t="n">
        <v>0</v>
      </c>
      <c r="L502" t="n">
        <v>0</v>
      </c>
      <c r="M502" t="n">
        <v>0</v>
      </c>
      <c r="N502" t="n">
        <v>0</v>
      </c>
      <c r="O502" t="n">
        <v>0</v>
      </c>
      <c r="P502" t="n">
        <v>0</v>
      </c>
      <c r="Q502" t="n">
        <v>0</v>
      </c>
      <c r="R502" s="2" t="inlineStr"/>
    </row>
    <row r="503" ht="15" customHeight="1">
      <c r="A503" t="inlineStr">
        <is>
          <t>A 32480-2025</t>
        </is>
      </c>
      <c r="B503" s="1" t="n">
        <v>45838.43261574074</v>
      </c>
      <c r="C503" s="1" t="n">
        <v>46076</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1654-2025</t>
        </is>
      </c>
      <c r="B504" s="1" t="n">
        <v>45670.65921296296</v>
      </c>
      <c r="C504" s="1" t="n">
        <v>46076</v>
      </c>
      <c r="D504" t="inlineStr">
        <is>
          <t>STOCKHOLMS LÄN</t>
        </is>
      </c>
      <c r="E504" t="inlineStr">
        <is>
          <t>NORRTÄLJE</t>
        </is>
      </c>
      <c r="G504" t="n">
        <v>2.5</v>
      </c>
      <c r="H504" t="n">
        <v>0</v>
      </c>
      <c r="I504" t="n">
        <v>0</v>
      </c>
      <c r="J504" t="n">
        <v>0</v>
      </c>
      <c r="K504" t="n">
        <v>0</v>
      </c>
      <c r="L504" t="n">
        <v>0</v>
      </c>
      <c r="M504" t="n">
        <v>0</v>
      </c>
      <c r="N504" t="n">
        <v>0</v>
      </c>
      <c r="O504" t="n">
        <v>0</v>
      </c>
      <c r="P504" t="n">
        <v>0</v>
      </c>
      <c r="Q504" t="n">
        <v>0</v>
      </c>
      <c r="R504" s="2" t="inlineStr"/>
    </row>
    <row r="505" ht="15" customHeight="1">
      <c r="A505" t="inlineStr">
        <is>
          <t>A 41964-2025</t>
        </is>
      </c>
      <c r="B505" s="1" t="n">
        <v>45903.47270833333</v>
      </c>
      <c r="C505" s="1" t="n">
        <v>46076</v>
      </c>
      <c r="D505" t="inlineStr">
        <is>
          <t>STOCKHOLMS LÄN</t>
        </is>
      </c>
      <c r="E505" t="inlineStr">
        <is>
          <t>NORRTÄLJE</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62644-2023</t>
        </is>
      </c>
      <c r="B506" s="1" t="n">
        <v>45271</v>
      </c>
      <c r="C506" s="1" t="n">
        <v>46076</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32872-2025</t>
        </is>
      </c>
      <c r="B507" s="1" t="n">
        <v>45839</v>
      </c>
      <c r="C507" s="1" t="n">
        <v>46076</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32903-2025</t>
        </is>
      </c>
      <c r="B508" s="1" t="n">
        <v>45839.62398148148</v>
      </c>
      <c r="C508" s="1" t="n">
        <v>46076</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32395-2025</t>
        </is>
      </c>
      <c r="B509" s="1" t="n">
        <v>45837.93730324074</v>
      </c>
      <c r="C509" s="1" t="n">
        <v>46076</v>
      </c>
      <c r="D509" t="inlineStr">
        <is>
          <t>STOCKHOLMS LÄN</t>
        </is>
      </c>
      <c r="E509" t="inlineStr">
        <is>
          <t>NORRTÄLJE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32396-2025</t>
        </is>
      </c>
      <c r="B510" s="1" t="n">
        <v>45837</v>
      </c>
      <c r="C510" s="1" t="n">
        <v>46076</v>
      </c>
      <c r="D510" t="inlineStr">
        <is>
          <t>STOCKHOLMS LÄN</t>
        </is>
      </c>
      <c r="E510" t="inlineStr">
        <is>
          <t>NORRTÄLJE</t>
        </is>
      </c>
      <c r="G510" t="n">
        <v>2</v>
      </c>
      <c r="H510" t="n">
        <v>0</v>
      </c>
      <c r="I510" t="n">
        <v>0</v>
      </c>
      <c r="J510" t="n">
        <v>0</v>
      </c>
      <c r="K510" t="n">
        <v>0</v>
      </c>
      <c r="L510" t="n">
        <v>0</v>
      </c>
      <c r="M510" t="n">
        <v>0</v>
      </c>
      <c r="N510" t="n">
        <v>0</v>
      </c>
      <c r="O510" t="n">
        <v>0</v>
      </c>
      <c r="P510" t="n">
        <v>0</v>
      </c>
      <c r="Q510" t="n">
        <v>0</v>
      </c>
      <c r="R510" s="2" t="inlineStr"/>
    </row>
    <row r="511" ht="15" customHeight="1">
      <c r="A511" t="inlineStr">
        <is>
          <t>A 32397-2025</t>
        </is>
      </c>
      <c r="B511" s="1" t="n">
        <v>45837.94081018519</v>
      </c>
      <c r="C511" s="1" t="n">
        <v>46076</v>
      </c>
      <c r="D511" t="inlineStr">
        <is>
          <t>STOCKHOLMS LÄN</t>
        </is>
      </c>
      <c r="E511" t="inlineStr">
        <is>
          <t>NORRTÄLJE</t>
        </is>
      </c>
      <c r="G511" t="n">
        <v>5.9</v>
      </c>
      <c r="H511" t="n">
        <v>0</v>
      </c>
      <c r="I511" t="n">
        <v>0</v>
      </c>
      <c r="J511" t="n">
        <v>0</v>
      </c>
      <c r="K511" t="n">
        <v>0</v>
      </c>
      <c r="L511" t="n">
        <v>0</v>
      </c>
      <c r="M511" t="n">
        <v>0</v>
      </c>
      <c r="N511" t="n">
        <v>0</v>
      </c>
      <c r="O511" t="n">
        <v>0</v>
      </c>
      <c r="P511" t="n">
        <v>0</v>
      </c>
      <c r="Q511" t="n">
        <v>0</v>
      </c>
      <c r="R511" s="2" t="inlineStr"/>
    </row>
    <row r="512" ht="15" customHeight="1">
      <c r="A512" t="inlineStr">
        <is>
          <t>A 11229-2022</t>
        </is>
      </c>
      <c r="B512" s="1" t="n">
        <v>44629</v>
      </c>
      <c r="C512" s="1" t="n">
        <v>46076</v>
      </c>
      <c r="D512" t="inlineStr">
        <is>
          <t>STOCKHOLMS LÄN</t>
        </is>
      </c>
      <c r="E512" t="inlineStr">
        <is>
          <t>NORRTÄLJE</t>
        </is>
      </c>
      <c r="F512" t="inlineStr">
        <is>
          <t>Övriga Aktiebolag</t>
        </is>
      </c>
      <c r="G512" t="n">
        <v>4.1</v>
      </c>
      <c r="H512" t="n">
        <v>0</v>
      </c>
      <c r="I512" t="n">
        <v>0</v>
      </c>
      <c r="J512" t="n">
        <v>0</v>
      </c>
      <c r="K512" t="n">
        <v>0</v>
      </c>
      <c r="L512" t="n">
        <v>0</v>
      </c>
      <c r="M512" t="n">
        <v>0</v>
      </c>
      <c r="N512" t="n">
        <v>0</v>
      </c>
      <c r="O512" t="n">
        <v>0</v>
      </c>
      <c r="P512" t="n">
        <v>0</v>
      </c>
      <c r="Q512" t="n">
        <v>0</v>
      </c>
      <c r="R512" s="2" t="inlineStr"/>
    </row>
    <row r="513" ht="15" customHeight="1">
      <c r="A513" t="inlineStr">
        <is>
          <t>A 30699-2025</t>
        </is>
      </c>
      <c r="B513" s="1" t="n">
        <v>45831.54618055555</v>
      </c>
      <c r="C513" s="1" t="n">
        <v>46076</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57353-2024</t>
        </is>
      </c>
      <c r="B514" s="1" t="n">
        <v>45629.65143518519</v>
      </c>
      <c r="C514" s="1" t="n">
        <v>46076</v>
      </c>
      <c r="D514" t="inlineStr">
        <is>
          <t>STOCKHOLMS LÄN</t>
        </is>
      </c>
      <c r="E514" t="inlineStr">
        <is>
          <t>NORRTÄLJE</t>
        </is>
      </c>
      <c r="F514" t="inlineStr">
        <is>
          <t>Holmen skog AB</t>
        </is>
      </c>
      <c r="G514" t="n">
        <v>0.9</v>
      </c>
      <c r="H514" t="n">
        <v>0</v>
      </c>
      <c r="I514" t="n">
        <v>0</v>
      </c>
      <c r="J514" t="n">
        <v>0</v>
      </c>
      <c r="K514" t="n">
        <v>0</v>
      </c>
      <c r="L514" t="n">
        <v>0</v>
      </c>
      <c r="M514" t="n">
        <v>0</v>
      </c>
      <c r="N514" t="n">
        <v>0</v>
      </c>
      <c r="O514" t="n">
        <v>0</v>
      </c>
      <c r="P514" t="n">
        <v>0</v>
      </c>
      <c r="Q514" t="n">
        <v>0</v>
      </c>
      <c r="R514" s="2" t="inlineStr"/>
    </row>
    <row r="515" ht="15" customHeight="1">
      <c r="A515" t="inlineStr">
        <is>
          <t>A 48587-2023</t>
        </is>
      </c>
      <c r="B515" s="1" t="n">
        <v>45208</v>
      </c>
      <c r="C515" s="1" t="n">
        <v>46076</v>
      </c>
      <c r="D515" t="inlineStr">
        <is>
          <t>STOCKHOLMS LÄN</t>
        </is>
      </c>
      <c r="E515" t="inlineStr">
        <is>
          <t>NORRTÄLJE</t>
        </is>
      </c>
      <c r="G515" t="n">
        <v>7</v>
      </c>
      <c r="H515" t="n">
        <v>0</v>
      </c>
      <c r="I515" t="n">
        <v>0</v>
      </c>
      <c r="J515" t="n">
        <v>0</v>
      </c>
      <c r="K515" t="n">
        <v>0</v>
      </c>
      <c r="L515" t="n">
        <v>0</v>
      </c>
      <c r="M515" t="n">
        <v>0</v>
      </c>
      <c r="N515" t="n">
        <v>0</v>
      </c>
      <c r="O515" t="n">
        <v>0</v>
      </c>
      <c r="P515" t="n">
        <v>0</v>
      </c>
      <c r="Q515" t="n">
        <v>0</v>
      </c>
      <c r="R515" s="2" t="inlineStr"/>
    </row>
    <row r="516" ht="15" customHeight="1">
      <c r="A516" t="inlineStr">
        <is>
          <t>A 20011-2025</t>
        </is>
      </c>
      <c r="B516" s="1" t="n">
        <v>45772.29622685185</v>
      </c>
      <c r="C516" s="1" t="n">
        <v>46076</v>
      </c>
      <c r="D516" t="inlineStr">
        <is>
          <t>STOCKHOLMS LÄN</t>
        </is>
      </c>
      <c r="E516" t="inlineStr">
        <is>
          <t>NORRTÄLJE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42856-2025</t>
        </is>
      </c>
      <c r="B517" s="1" t="n">
        <v>45908</v>
      </c>
      <c r="C517" s="1" t="n">
        <v>46076</v>
      </c>
      <c r="D517" t="inlineStr">
        <is>
          <t>STOCKHOLMS LÄN</t>
        </is>
      </c>
      <c r="E517" t="inlineStr">
        <is>
          <t>NORRTÄLJE</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2549-2022</t>
        </is>
      </c>
      <c r="B518" s="1" t="n">
        <v>44580</v>
      </c>
      <c r="C518" s="1" t="n">
        <v>46076</v>
      </c>
      <c r="D518" t="inlineStr">
        <is>
          <t>STOCKHOLMS LÄN</t>
        </is>
      </c>
      <c r="E518" t="inlineStr">
        <is>
          <t>NORRTÄLJE</t>
        </is>
      </c>
      <c r="G518" t="n">
        <v>1.3</v>
      </c>
      <c r="H518" t="n">
        <v>0</v>
      </c>
      <c r="I518" t="n">
        <v>0</v>
      </c>
      <c r="J518" t="n">
        <v>0</v>
      </c>
      <c r="K518" t="n">
        <v>0</v>
      </c>
      <c r="L518" t="n">
        <v>0</v>
      </c>
      <c r="M518" t="n">
        <v>0</v>
      </c>
      <c r="N518" t="n">
        <v>0</v>
      </c>
      <c r="O518" t="n">
        <v>0</v>
      </c>
      <c r="P518" t="n">
        <v>0</v>
      </c>
      <c r="Q518" t="n">
        <v>0</v>
      </c>
      <c r="R518" s="2" t="inlineStr"/>
    </row>
    <row r="519" ht="15" customHeight="1">
      <c r="A519" t="inlineStr">
        <is>
          <t>A 4438-2023</t>
        </is>
      </c>
      <c r="B519" s="1" t="n">
        <v>44956</v>
      </c>
      <c r="C519" s="1" t="n">
        <v>46076</v>
      </c>
      <c r="D519" t="inlineStr">
        <is>
          <t>STOCKHOLMS LÄN</t>
        </is>
      </c>
      <c r="E519" t="inlineStr">
        <is>
          <t>NORRTÄLJE</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47758-2023</t>
        </is>
      </c>
      <c r="B520" s="1" t="n">
        <v>45203.83891203703</v>
      </c>
      <c r="C520" s="1" t="n">
        <v>46076</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33702-2025</t>
        </is>
      </c>
      <c r="B521" s="1" t="n">
        <v>45841.74596064815</v>
      </c>
      <c r="C521" s="1" t="n">
        <v>46076</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33211-2025</t>
        </is>
      </c>
      <c r="B522" s="1" t="n">
        <v>45840.62755787037</v>
      </c>
      <c r="C522" s="1" t="n">
        <v>46076</v>
      </c>
      <c r="D522" t="inlineStr">
        <is>
          <t>STOCKHOLMS LÄN</t>
        </is>
      </c>
      <c r="E522" t="inlineStr">
        <is>
          <t>NORRTÄLJE</t>
        </is>
      </c>
      <c r="G522" t="n">
        <v>5.1</v>
      </c>
      <c r="H522" t="n">
        <v>0</v>
      </c>
      <c r="I522" t="n">
        <v>0</v>
      </c>
      <c r="J522" t="n">
        <v>0</v>
      </c>
      <c r="K522" t="n">
        <v>0</v>
      </c>
      <c r="L522" t="n">
        <v>0</v>
      </c>
      <c r="M522" t="n">
        <v>0</v>
      </c>
      <c r="N522" t="n">
        <v>0</v>
      </c>
      <c r="O522" t="n">
        <v>0</v>
      </c>
      <c r="P522" t="n">
        <v>0</v>
      </c>
      <c r="Q522" t="n">
        <v>0</v>
      </c>
      <c r="R522" s="2" t="inlineStr"/>
    </row>
    <row r="523" ht="15" customHeight="1">
      <c r="A523" t="inlineStr">
        <is>
          <t>A 51061-2023</t>
        </is>
      </c>
      <c r="B523" s="1" t="n">
        <v>45218.65849537037</v>
      </c>
      <c r="C523" s="1" t="n">
        <v>46076</v>
      </c>
      <c r="D523" t="inlineStr">
        <is>
          <t>STOCKHOLMS LÄN</t>
        </is>
      </c>
      <c r="E523" t="inlineStr">
        <is>
          <t>NORRTÄLJE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33265-2025</t>
        </is>
      </c>
      <c r="B524" s="1" t="n">
        <v>45840.67829861111</v>
      </c>
      <c r="C524" s="1" t="n">
        <v>46076</v>
      </c>
      <c r="D524" t="inlineStr">
        <is>
          <t>STOCKHOLMS LÄN</t>
        </is>
      </c>
      <c r="E524" t="inlineStr">
        <is>
          <t>NORRTÄLJE</t>
        </is>
      </c>
      <c r="G524" t="n">
        <v>5.5</v>
      </c>
      <c r="H524" t="n">
        <v>0</v>
      </c>
      <c r="I524" t="n">
        <v>0</v>
      </c>
      <c r="J524" t="n">
        <v>0</v>
      </c>
      <c r="K524" t="n">
        <v>0</v>
      </c>
      <c r="L524" t="n">
        <v>0</v>
      </c>
      <c r="M524" t="n">
        <v>0</v>
      </c>
      <c r="N524" t="n">
        <v>0</v>
      </c>
      <c r="O524" t="n">
        <v>0</v>
      </c>
      <c r="P524" t="n">
        <v>0</v>
      </c>
      <c r="Q524" t="n">
        <v>0</v>
      </c>
      <c r="R524" s="2" t="inlineStr"/>
    </row>
    <row r="525" ht="15" customHeight="1">
      <c r="A525" t="inlineStr">
        <is>
          <t>A 24835-2025</t>
        </is>
      </c>
      <c r="B525" s="1" t="n">
        <v>45799</v>
      </c>
      <c r="C525" s="1" t="n">
        <v>46076</v>
      </c>
      <c r="D525" t="inlineStr">
        <is>
          <t>STOCKHOLMS LÄN</t>
        </is>
      </c>
      <c r="E525" t="inlineStr">
        <is>
          <t>NORRTÄLJE</t>
        </is>
      </c>
      <c r="G525" t="n">
        <v>2.5</v>
      </c>
      <c r="H525" t="n">
        <v>0</v>
      </c>
      <c r="I525" t="n">
        <v>0</v>
      </c>
      <c r="J525" t="n">
        <v>0</v>
      </c>
      <c r="K525" t="n">
        <v>0</v>
      </c>
      <c r="L525" t="n">
        <v>0</v>
      </c>
      <c r="M525" t="n">
        <v>0</v>
      </c>
      <c r="N525" t="n">
        <v>0</v>
      </c>
      <c r="O525" t="n">
        <v>0</v>
      </c>
      <c r="P525" t="n">
        <v>0</v>
      </c>
      <c r="Q525" t="n">
        <v>0</v>
      </c>
      <c r="R525" s="2" t="inlineStr"/>
    </row>
    <row r="526" ht="15" customHeight="1">
      <c r="A526" t="inlineStr">
        <is>
          <t>A 22697-2022</t>
        </is>
      </c>
      <c r="B526" s="1" t="n">
        <v>44714.56040509259</v>
      </c>
      <c r="C526" s="1" t="n">
        <v>46076</v>
      </c>
      <c r="D526" t="inlineStr">
        <is>
          <t>STOCKHOLMS LÄN</t>
        </is>
      </c>
      <c r="E526" t="inlineStr">
        <is>
          <t>NORRTÄLJE</t>
        </is>
      </c>
      <c r="G526" t="n">
        <v>5.6</v>
      </c>
      <c r="H526" t="n">
        <v>0</v>
      </c>
      <c r="I526" t="n">
        <v>0</v>
      </c>
      <c r="J526" t="n">
        <v>0</v>
      </c>
      <c r="K526" t="n">
        <v>0</v>
      </c>
      <c r="L526" t="n">
        <v>0</v>
      </c>
      <c r="M526" t="n">
        <v>0</v>
      </c>
      <c r="N526" t="n">
        <v>0</v>
      </c>
      <c r="O526" t="n">
        <v>0</v>
      </c>
      <c r="P526" t="n">
        <v>0</v>
      </c>
      <c r="Q526" t="n">
        <v>0</v>
      </c>
      <c r="R526" s="2" t="inlineStr"/>
    </row>
    <row r="527" ht="15" customHeight="1">
      <c r="A527" t="inlineStr">
        <is>
          <t>A 33552-2025</t>
        </is>
      </c>
      <c r="B527" s="1" t="n">
        <v>45841.5737962963</v>
      </c>
      <c r="C527" s="1" t="n">
        <v>46076</v>
      </c>
      <c r="D527" t="inlineStr">
        <is>
          <t>STOCKHOLMS LÄN</t>
        </is>
      </c>
      <c r="E527" t="inlineStr">
        <is>
          <t>NORRTÄLJE</t>
        </is>
      </c>
      <c r="G527" t="n">
        <v>8.9</v>
      </c>
      <c r="H527" t="n">
        <v>0</v>
      </c>
      <c r="I527" t="n">
        <v>0</v>
      </c>
      <c r="J527" t="n">
        <v>0</v>
      </c>
      <c r="K527" t="n">
        <v>0</v>
      </c>
      <c r="L527" t="n">
        <v>0</v>
      </c>
      <c r="M527" t="n">
        <v>0</v>
      </c>
      <c r="N527" t="n">
        <v>0</v>
      </c>
      <c r="O527" t="n">
        <v>0</v>
      </c>
      <c r="P527" t="n">
        <v>0</v>
      </c>
      <c r="Q527" t="n">
        <v>0</v>
      </c>
      <c r="R527" s="2" t="inlineStr"/>
    </row>
    <row r="528" ht="15" customHeight="1">
      <c r="A528" t="inlineStr">
        <is>
          <t>A 33336-2025</t>
        </is>
      </c>
      <c r="B528" s="1" t="n">
        <v>45841.35611111111</v>
      </c>
      <c r="C528" s="1" t="n">
        <v>46076</v>
      </c>
      <c r="D528" t="inlineStr">
        <is>
          <t>STOCKHOLMS LÄN</t>
        </is>
      </c>
      <c r="E528" t="inlineStr">
        <is>
          <t>NORRTÄLJE</t>
        </is>
      </c>
      <c r="G528" t="n">
        <v>2.4</v>
      </c>
      <c r="H528" t="n">
        <v>0</v>
      </c>
      <c r="I528" t="n">
        <v>0</v>
      </c>
      <c r="J528" t="n">
        <v>0</v>
      </c>
      <c r="K528" t="n">
        <v>0</v>
      </c>
      <c r="L528" t="n">
        <v>0</v>
      </c>
      <c r="M528" t="n">
        <v>0</v>
      </c>
      <c r="N528" t="n">
        <v>0</v>
      </c>
      <c r="O528" t="n">
        <v>0</v>
      </c>
      <c r="P528" t="n">
        <v>0</v>
      </c>
      <c r="Q528" t="n">
        <v>0</v>
      </c>
      <c r="R528" s="2" t="inlineStr"/>
    </row>
    <row r="529" ht="15" customHeight="1">
      <c r="A529" t="inlineStr">
        <is>
          <t>A 45549-2022</t>
        </is>
      </c>
      <c r="B529" s="1" t="n">
        <v>44845.48064814815</v>
      </c>
      <c r="C529" s="1" t="n">
        <v>46076</v>
      </c>
      <c r="D529" t="inlineStr">
        <is>
          <t>STOCKHOLMS LÄN</t>
        </is>
      </c>
      <c r="E529" t="inlineStr">
        <is>
          <t>NORRTÄLJE</t>
        </is>
      </c>
      <c r="G529" t="n">
        <v>0.8</v>
      </c>
      <c r="H529" t="n">
        <v>0</v>
      </c>
      <c r="I529" t="n">
        <v>0</v>
      </c>
      <c r="J529" t="n">
        <v>0</v>
      </c>
      <c r="K529" t="n">
        <v>0</v>
      </c>
      <c r="L529" t="n">
        <v>0</v>
      </c>
      <c r="M529" t="n">
        <v>0</v>
      </c>
      <c r="N529" t="n">
        <v>0</v>
      </c>
      <c r="O529" t="n">
        <v>0</v>
      </c>
      <c r="P529" t="n">
        <v>0</v>
      </c>
      <c r="Q529" t="n">
        <v>0</v>
      </c>
      <c r="R529" s="2" t="inlineStr"/>
    </row>
    <row r="530" ht="15" customHeight="1">
      <c r="A530" t="inlineStr">
        <is>
          <t>A 33824-2025</t>
        </is>
      </c>
      <c r="B530" s="1" t="n">
        <v>45842.46885416667</v>
      </c>
      <c r="C530" s="1" t="n">
        <v>46076</v>
      </c>
      <c r="D530" t="inlineStr">
        <is>
          <t>STOCKHOLMS LÄN</t>
        </is>
      </c>
      <c r="E530" t="inlineStr">
        <is>
          <t>NORRTÄLJE</t>
        </is>
      </c>
      <c r="G530" t="n">
        <v>1.9</v>
      </c>
      <c r="H530" t="n">
        <v>0</v>
      </c>
      <c r="I530" t="n">
        <v>0</v>
      </c>
      <c r="J530" t="n">
        <v>0</v>
      </c>
      <c r="K530" t="n">
        <v>0</v>
      </c>
      <c r="L530" t="n">
        <v>0</v>
      </c>
      <c r="M530" t="n">
        <v>0</v>
      </c>
      <c r="N530" t="n">
        <v>0</v>
      </c>
      <c r="O530" t="n">
        <v>0</v>
      </c>
      <c r="P530" t="n">
        <v>0</v>
      </c>
      <c r="Q530" t="n">
        <v>0</v>
      </c>
      <c r="R530" s="2" t="inlineStr"/>
    </row>
    <row r="531" ht="15" customHeight="1">
      <c r="A531" t="inlineStr">
        <is>
          <t>A 54396-2021</t>
        </is>
      </c>
      <c r="B531" s="1" t="n">
        <v>44472</v>
      </c>
      <c r="C531" s="1" t="n">
        <v>46076</v>
      </c>
      <c r="D531" t="inlineStr">
        <is>
          <t>STOCKHOLMS LÄN</t>
        </is>
      </c>
      <c r="E531" t="inlineStr">
        <is>
          <t>NORRTÄLJE</t>
        </is>
      </c>
      <c r="G531" t="n">
        <v>2.6</v>
      </c>
      <c r="H531" t="n">
        <v>0</v>
      </c>
      <c r="I531" t="n">
        <v>0</v>
      </c>
      <c r="J531" t="n">
        <v>0</v>
      </c>
      <c r="K531" t="n">
        <v>0</v>
      </c>
      <c r="L531" t="n">
        <v>0</v>
      </c>
      <c r="M531" t="n">
        <v>0</v>
      </c>
      <c r="N531" t="n">
        <v>0</v>
      </c>
      <c r="O531" t="n">
        <v>0</v>
      </c>
      <c r="P531" t="n">
        <v>0</v>
      </c>
      <c r="Q531" t="n">
        <v>0</v>
      </c>
      <c r="R531" s="2" t="inlineStr"/>
    </row>
    <row r="532" ht="15" customHeight="1">
      <c r="A532" t="inlineStr">
        <is>
          <t>A 24727-2023</t>
        </is>
      </c>
      <c r="B532" s="1" t="n">
        <v>45084.57695601852</v>
      </c>
      <c r="C532" s="1" t="n">
        <v>46076</v>
      </c>
      <c r="D532" t="inlineStr">
        <is>
          <t>STOCKHOLMS LÄN</t>
        </is>
      </c>
      <c r="E532" t="inlineStr">
        <is>
          <t>NORRTÄLJE</t>
        </is>
      </c>
      <c r="F532" t="inlineStr">
        <is>
          <t>Holmen skog AB</t>
        </is>
      </c>
      <c r="G532" t="n">
        <v>2.2</v>
      </c>
      <c r="H532" t="n">
        <v>0</v>
      </c>
      <c r="I532" t="n">
        <v>0</v>
      </c>
      <c r="J532" t="n">
        <v>0</v>
      </c>
      <c r="K532" t="n">
        <v>0</v>
      </c>
      <c r="L532" t="n">
        <v>0</v>
      </c>
      <c r="M532" t="n">
        <v>0</v>
      </c>
      <c r="N532" t="n">
        <v>0</v>
      </c>
      <c r="O532" t="n">
        <v>0</v>
      </c>
      <c r="P532" t="n">
        <v>0</v>
      </c>
      <c r="Q532" t="n">
        <v>0</v>
      </c>
      <c r="R532" s="2" t="inlineStr"/>
    </row>
    <row r="533" ht="15" customHeight="1">
      <c r="A533" t="inlineStr">
        <is>
          <t>A 43169-2025</t>
        </is>
      </c>
      <c r="B533" s="1" t="n">
        <v>45910</v>
      </c>
      <c r="C533" s="1" t="n">
        <v>46076</v>
      </c>
      <c r="D533" t="inlineStr">
        <is>
          <t>STOCKHOLMS LÄN</t>
        </is>
      </c>
      <c r="E533" t="inlineStr">
        <is>
          <t>NORRTÄLJE</t>
        </is>
      </c>
      <c r="G533" t="n">
        <v>6.9</v>
      </c>
      <c r="H533" t="n">
        <v>0</v>
      </c>
      <c r="I533" t="n">
        <v>0</v>
      </c>
      <c r="J533" t="n">
        <v>0</v>
      </c>
      <c r="K533" t="n">
        <v>0</v>
      </c>
      <c r="L533" t="n">
        <v>0</v>
      </c>
      <c r="M533" t="n">
        <v>0</v>
      </c>
      <c r="N533" t="n">
        <v>0</v>
      </c>
      <c r="O533" t="n">
        <v>0</v>
      </c>
      <c r="P533" t="n">
        <v>0</v>
      </c>
      <c r="Q533" t="n">
        <v>0</v>
      </c>
      <c r="R533" s="2" t="inlineStr"/>
    </row>
    <row r="534" ht="15" customHeight="1">
      <c r="A534" t="inlineStr">
        <is>
          <t>A 48722-2023</t>
        </is>
      </c>
      <c r="B534" s="1" t="n">
        <v>45208.70996527778</v>
      </c>
      <c r="C534" s="1" t="n">
        <v>46076</v>
      </c>
      <c r="D534" t="inlineStr">
        <is>
          <t>STOCKHOLMS LÄN</t>
        </is>
      </c>
      <c r="E534" t="inlineStr">
        <is>
          <t>NORRTÄLJE</t>
        </is>
      </c>
      <c r="G534" t="n">
        <v>0.3</v>
      </c>
      <c r="H534" t="n">
        <v>0</v>
      </c>
      <c r="I534" t="n">
        <v>0</v>
      </c>
      <c r="J534" t="n">
        <v>0</v>
      </c>
      <c r="K534" t="n">
        <v>0</v>
      </c>
      <c r="L534" t="n">
        <v>0</v>
      </c>
      <c r="M534" t="n">
        <v>0</v>
      </c>
      <c r="N534" t="n">
        <v>0</v>
      </c>
      <c r="O534" t="n">
        <v>0</v>
      </c>
      <c r="P534" t="n">
        <v>0</v>
      </c>
      <c r="Q534" t="n">
        <v>0</v>
      </c>
      <c r="R534" s="2" t="inlineStr"/>
    </row>
    <row r="535" ht="15" customHeight="1">
      <c r="A535" t="inlineStr">
        <is>
          <t>A 34006-2025</t>
        </is>
      </c>
      <c r="B535" s="1" t="n">
        <v>45844.62609953704</v>
      </c>
      <c r="C535" s="1" t="n">
        <v>46076</v>
      </c>
      <c r="D535" t="inlineStr">
        <is>
          <t>STOCKHOLMS LÄN</t>
        </is>
      </c>
      <c r="E535" t="inlineStr">
        <is>
          <t>NORRTÄLJE</t>
        </is>
      </c>
      <c r="G535" t="n">
        <v>2.3</v>
      </c>
      <c r="H535" t="n">
        <v>0</v>
      </c>
      <c r="I535" t="n">
        <v>0</v>
      </c>
      <c r="J535" t="n">
        <v>0</v>
      </c>
      <c r="K535" t="n">
        <v>0</v>
      </c>
      <c r="L535" t="n">
        <v>0</v>
      </c>
      <c r="M535" t="n">
        <v>0</v>
      </c>
      <c r="N535" t="n">
        <v>0</v>
      </c>
      <c r="O535" t="n">
        <v>0</v>
      </c>
      <c r="P535" t="n">
        <v>0</v>
      </c>
      <c r="Q535" t="n">
        <v>0</v>
      </c>
      <c r="R535" s="2" t="inlineStr"/>
    </row>
    <row r="536" ht="15" customHeight="1">
      <c r="A536" t="inlineStr">
        <is>
          <t>A 34139-2025</t>
        </is>
      </c>
      <c r="B536" s="1" t="n">
        <v>45845</v>
      </c>
      <c r="C536" s="1" t="n">
        <v>46076</v>
      </c>
      <c r="D536" t="inlineStr">
        <is>
          <t>STOCKHOLMS LÄN</t>
        </is>
      </c>
      <c r="E536" t="inlineStr">
        <is>
          <t>NORRTÄLJE</t>
        </is>
      </c>
      <c r="G536" t="n">
        <v>5.5</v>
      </c>
      <c r="H536" t="n">
        <v>0</v>
      </c>
      <c r="I536" t="n">
        <v>0</v>
      </c>
      <c r="J536" t="n">
        <v>0</v>
      </c>
      <c r="K536" t="n">
        <v>0</v>
      </c>
      <c r="L536" t="n">
        <v>0</v>
      </c>
      <c r="M536" t="n">
        <v>0</v>
      </c>
      <c r="N536" t="n">
        <v>0</v>
      </c>
      <c r="O536" t="n">
        <v>0</v>
      </c>
      <c r="P536" t="n">
        <v>0</v>
      </c>
      <c r="Q536" t="n">
        <v>0</v>
      </c>
      <c r="R536" s="2" t="inlineStr"/>
    </row>
    <row r="537" ht="15" customHeight="1">
      <c r="A537" t="inlineStr">
        <is>
          <t>A 35235-2024</t>
        </is>
      </c>
      <c r="B537" s="1" t="n">
        <v>45530</v>
      </c>
      <c r="C537" s="1" t="n">
        <v>46076</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34010-2025</t>
        </is>
      </c>
      <c r="B538" s="1" t="n">
        <v>45844.91234953704</v>
      </c>
      <c r="C538" s="1" t="n">
        <v>46076</v>
      </c>
      <c r="D538" t="inlineStr">
        <is>
          <t>STOCKHOLMS LÄN</t>
        </is>
      </c>
      <c r="E538" t="inlineStr">
        <is>
          <t>NORRTÄLJE</t>
        </is>
      </c>
      <c r="F538" t="inlineStr">
        <is>
          <t>Övriga Aktiebolag</t>
        </is>
      </c>
      <c r="G538" t="n">
        <v>1.1</v>
      </c>
      <c r="H538" t="n">
        <v>0</v>
      </c>
      <c r="I538" t="n">
        <v>0</v>
      </c>
      <c r="J538" t="n">
        <v>0</v>
      </c>
      <c r="K538" t="n">
        <v>0</v>
      </c>
      <c r="L538" t="n">
        <v>0</v>
      </c>
      <c r="M538" t="n">
        <v>0</v>
      </c>
      <c r="N538" t="n">
        <v>0</v>
      </c>
      <c r="O538" t="n">
        <v>0</v>
      </c>
      <c r="P538" t="n">
        <v>0</v>
      </c>
      <c r="Q538" t="n">
        <v>0</v>
      </c>
      <c r="R538" s="2" t="inlineStr"/>
    </row>
    <row r="539" ht="15" customHeight="1">
      <c r="A539" t="inlineStr">
        <is>
          <t>A 1448-2023</t>
        </is>
      </c>
      <c r="B539" s="1" t="n">
        <v>44937</v>
      </c>
      <c r="C539" s="1" t="n">
        <v>46076</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30719-2025</t>
        </is>
      </c>
      <c r="B540" s="1" t="n">
        <v>45831</v>
      </c>
      <c r="C540" s="1" t="n">
        <v>46076</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43269-2025</t>
        </is>
      </c>
      <c r="B541" s="1" t="n">
        <v>45910.5819212963</v>
      </c>
      <c r="C541" s="1" t="n">
        <v>46076</v>
      </c>
      <c r="D541" t="inlineStr">
        <is>
          <t>STOCKHOLMS LÄN</t>
        </is>
      </c>
      <c r="E541" t="inlineStr">
        <is>
          <t>NORRTÄLJE</t>
        </is>
      </c>
      <c r="G541" t="n">
        <v>3.7</v>
      </c>
      <c r="H541" t="n">
        <v>0</v>
      </c>
      <c r="I541" t="n">
        <v>0</v>
      </c>
      <c r="J541" t="n">
        <v>0</v>
      </c>
      <c r="K541" t="n">
        <v>0</v>
      </c>
      <c r="L541" t="n">
        <v>0</v>
      </c>
      <c r="M541" t="n">
        <v>0</v>
      </c>
      <c r="N541" t="n">
        <v>0</v>
      </c>
      <c r="O541" t="n">
        <v>0</v>
      </c>
      <c r="P541" t="n">
        <v>0</v>
      </c>
      <c r="Q541" t="n">
        <v>0</v>
      </c>
      <c r="R541" s="2" t="inlineStr"/>
    </row>
    <row r="542" ht="15" customHeight="1">
      <c r="A542" t="inlineStr">
        <is>
          <t>A 36689-2023</t>
        </is>
      </c>
      <c r="B542" s="1" t="n">
        <v>45152</v>
      </c>
      <c r="C542" s="1" t="n">
        <v>46076</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46073-2024</t>
        </is>
      </c>
      <c r="B543" s="1" t="n">
        <v>45581</v>
      </c>
      <c r="C543" s="1" t="n">
        <v>46076</v>
      </c>
      <c r="D543" t="inlineStr">
        <is>
          <t>STOCKHOLMS LÄN</t>
        </is>
      </c>
      <c r="E543" t="inlineStr">
        <is>
          <t>NORRTÄLJE</t>
        </is>
      </c>
      <c r="G543" t="n">
        <v>2</v>
      </c>
      <c r="H543" t="n">
        <v>0</v>
      </c>
      <c r="I543" t="n">
        <v>0</v>
      </c>
      <c r="J543" t="n">
        <v>0</v>
      </c>
      <c r="K543" t="n">
        <v>0</v>
      </c>
      <c r="L543" t="n">
        <v>0</v>
      </c>
      <c r="M543" t="n">
        <v>0</v>
      </c>
      <c r="N543" t="n">
        <v>0</v>
      </c>
      <c r="O543" t="n">
        <v>0</v>
      </c>
      <c r="P543" t="n">
        <v>0</v>
      </c>
      <c r="Q543" t="n">
        <v>0</v>
      </c>
      <c r="R543" s="2" t="inlineStr"/>
    </row>
    <row r="544" ht="15" customHeight="1">
      <c r="A544" t="inlineStr">
        <is>
          <t>A 8736-2024</t>
        </is>
      </c>
      <c r="B544" s="1" t="n">
        <v>45356.4722800926</v>
      </c>
      <c r="C544" s="1" t="n">
        <v>46076</v>
      </c>
      <c r="D544" t="inlineStr">
        <is>
          <t>STOCKHOLMS LÄN</t>
        </is>
      </c>
      <c r="E544" t="inlineStr">
        <is>
          <t>NORRTÄLJE</t>
        </is>
      </c>
      <c r="G544" t="n">
        <v>8.9</v>
      </c>
      <c r="H544" t="n">
        <v>0</v>
      </c>
      <c r="I544" t="n">
        <v>0</v>
      </c>
      <c r="J544" t="n">
        <v>0</v>
      </c>
      <c r="K544" t="n">
        <v>0</v>
      </c>
      <c r="L544" t="n">
        <v>0</v>
      </c>
      <c r="M544" t="n">
        <v>0</v>
      </c>
      <c r="N544" t="n">
        <v>0</v>
      </c>
      <c r="O544" t="n">
        <v>0</v>
      </c>
      <c r="P544" t="n">
        <v>0</v>
      </c>
      <c r="Q544" t="n">
        <v>0</v>
      </c>
      <c r="R544" s="2" t="inlineStr"/>
    </row>
    <row r="545" ht="15" customHeight="1">
      <c r="A545" t="inlineStr">
        <is>
          <t>A 33149-2022</t>
        </is>
      </c>
      <c r="B545" s="1" t="n">
        <v>44785</v>
      </c>
      <c r="C545" s="1" t="n">
        <v>46076</v>
      </c>
      <c r="D545" t="inlineStr">
        <is>
          <t>STOCKHOLMS LÄN</t>
        </is>
      </c>
      <c r="E545" t="inlineStr">
        <is>
          <t>NORRTÄLJE</t>
        </is>
      </c>
      <c r="F545" t="inlineStr">
        <is>
          <t>Holmen skog AB</t>
        </is>
      </c>
      <c r="G545" t="n">
        <v>4.4</v>
      </c>
      <c r="H545" t="n">
        <v>0</v>
      </c>
      <c r="I545" t="n">
        <v>0</v>
      </c>
      <c r="J545" t="n">
        <v>0</v>
      </c>
      <c r="K545" t="n">
        <v>0</v>
      </c>
      <c r="L545" t="n">
        <v>0</v>
      </c>
      <c r="M545" t="n">
        <v>0</v>
      </c>
      <c r="N545" t="n">
        <v>0</v>
      </c>
      <c r="O545" t="n">
        <v>0</v>
      </c>
      <c r="P545" t="n">
        <v>0</v>
      </c>
      <c r="Q545" t="n">
        <v>0</v>
      </c>
      <c r="R545" s="2" t="inlineStr"/>
    </row>
    <row r="546" ht="15" customHeight="1">
      <c r="A546" t="inlineStr">
        <is>
          <t>A 43916-2025</t>
        </is>
      </c>
      <c r="B546" s="1" t="n">
        <v>45914.78884259259</v>
      </c>
      <c r="C546" s="1" t="n">
        <v>46076</v>
      </c>
      <c r="D546" t="inlineStr">
        <is>
          <t>STOCKHOLMS LÄN</t>
        </is>
      </c>
      <c r="E546" t="inlineStr">
        <is>
          <t>NORRTÄLJE</t>
        </is>
      </c>
      <c r="G546" t="n">
        <v>1.5</v>
      </c>
      <c r="H546" t="n">
        <v>0</v>
      </c>
      <c r="I546" t="n">
        <v>0</v>
      </c>
      <c r="J546" t="n">
        <v>0</v>
      </c>
      <c r="K546" t="n">
        <v>0</v>
      </c>
      <c r="L546" t="n">
        <v>0</v>
      </c>
      <c r="M546" t="n">
        <v>0</v>
      </c>
      <c r="N546" t="n">
        <v>0</v>
      </c>
      <c r="O546" t="n">
        <v>0</v>
      </c>
      <c r="P546" t="n">
        <v>0</v>
      </c>
      <c r="Q546" t="n">
        <v>0</v>
      </c>
      <c r="R546" s="2" t="inlineStr"/>
    </row>
    <row r="547" ht="15" customHeight="1">
      <c r="A547" t="inlineStr">
        <is>
          <t>A 44354-2025</t>
        </is>
      </c>
      <c r="B547" s="1" t="n">
        <v>45916.44655092592</v>
      </c>
      <c r="C547" s="1" t="n">
        <v>46076</v>
      </c>
      <c r="D547" t="inlineStr">
        <is>
          <t>STOCKHOLMS LÄN</t>
        </is>
      </c>
      <c r="E547" t="inlineStr">
        <is>
          <t>NORRTÄLJE</t>
        </is>
      </c>
      <c r="G547" t="n">
        <v>2.3</v>
      </c>
      <c r="H547" t="n">
        <v>0</v>
      </c>
      <c r="I547" t="n">
        <v>0</v>
      </c>
      <c r="J547" t="n">
        <v>0</v>
      </c>
      <c r="K547" t="n">
        <v>0</v>
      </c>
      <c r="L547" t="n">
        <v>0</v>
      </c>
      <c r="M547" t="n">
        <v>0</v>
      </c>
      <c r="N547" t="n">
        <v>0</v>
      </c>
      <c r="O547" t="n">
        <v>0</v>
      </c>
      <c r="P547" t="n">
        <v>0</v>
      </c>
      <c r="Q547" t="n">
        <v>0</v>
      </c>
      <c r="R547" s="2" t="inlineStr"/>
    </row>
    <row r="548" ht="15" customHeight="1">
      <c r="A548" t="inlineStr">
        <is>
          <t>A 44306-2025</t>
        </is>
      </c>
      <c r="B548" s="1" t="n">
        <v>45916.37736111111</v>
      </c>
      <c r="C548" s="1" t="n">
        <v>46076</v>
      </c>
      <c r="D548" t="inlineStr">
        <is>
          <t>STOCKHOLMS LÄN</t>
        </is>
      </c>
      <c r="E548" t="inlineStr">
        <is>
          <t>NORRTÄLJE</t>
        </is>
      </c>
      <c r="G548" t="n">
        <v>2.8</v>
      </c>
      <c r="H548" t="n">
        <v>0</v>
      </c>
      <c r="I548" t="n">
        <v>0</v>
      </c>
      <c r="J548" t="n">
        <v>0</v>
      </c>
      <c r="K548" t="n">
        <v>0</v>
      </c>
      <c r="L548" t="n">
        <v>0</v>
      </c>
      <c r="M548" t="n">
        <v>0</v>
      </c>
      <c r="N548" t="n">
        <v>0</v>
      </c>
      <c r="O548" t="n">
        <v>0</v>
      </c>
      <c r="P548" t="n">
        <v>0</v>
      </c>
      <c r="Q548" t="n">
        <v>0</v>
      </c>
      <c r="R548" s="2" t="inlineStr"/>
    </row>
    <row r="549" ht="15" customHeight="1">
      <c r="A549" t="inlineStr">
        <is>
          <t>A 44343-2025</t>
        </is>
      </c>
      <c r="B549" s="1" t="n">
        <v>45916.43378472222</v>
      </c>
      <c r="C549" s="1" t="n">
        <v>46076</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44349-2025</t>
        </is>
      </c>
      <c r="B550" s="1" t="n">
        <v>45916.43929398148</v>
      </c>
      <c r="C550" s="1" t="n">
        <v>46076</v>
      </c>
      <c r="D550" t="inlineStr">
        <is>
          <t>STOCKHOLMS LÄN</t>
        </is>
      </c>
      <c r="E550" t="inlineStr">
        <is>
          <t>NORRTÄLJE</t>
        </is>
      </c>
      <c r="G550" t="n">
        <v>3.5</v>
      </c>
      <c r="H550" t="n">
        <v>0</v>
      </c>
      <c r="I550" t="n">
        <v>0</v>
      </c>
      <c r="J550" t="n">
        <v>0</v>
      </c>
      <c r="K550" t="n">
        <v>0</v>
      </c>
      <c r="L550" t="n">
        <v>0</v>
      </c>
      <c r="M550" t="n">
        <v>0</v>
      </c>
      <c r="N550" t="n">
        <v>0</v>
      </c>
      <c r="O550" t="n">
        <v>0</v>
      </c>
      <c r="P550" t="n">
        <v>0</v>
      </c>
      <c r="Q550" t="n">
        <v>0</v>
      </c>
      <c r="R550" s="2" t="inlineStr"/>
    </row>
    <row r="551" ht="15" customHeight="1">
      <c r="A551" t="inlineStr">
        <is>
          <t>A 44311-2025</t>
        </is>
      </c>
      <c r="B551" s="1" t="n">
        <v>45916.38394675926</v>
      </c>
      <c r="C551" s="1" t="n">
        <v>46076</v>
      </c>
      <c r="D551" t="inlineStr">
        <is>
          <t>STOCKHOLMS LÄN</t>
        </is>
      </c>
      <c r="E551" t="inlineStr">
        <is>
          <t>NORRTÄLJE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44333-2025</t>
        </is>
      </c>
      <c r="B552" s="1" t="n">
        <v>45916.42293981482</v>
      </c>
      <c r="C552" s="1" t="n">
        <v>46076</v>
      </c>
      <c r="D552" t="inlineStr">
        <is>
          <t>STOCKHOLMS LÄN</t>
        </is>
      </c>
      <c r="E552" t="inlineStr">
        <is>
          <t>NORRTÄLJE</t>
        </is>
      </c>
      <c r="G552" t="n">
        <v>1.5</v>
      </c>
      <c r="H552" t="n">
        <v>0</v>
      </c>
      <c r="I552" t="n">
        <v>0</v>
      </c>
      <c r="J552" t="n">
        <v>0</v>
      </c>
      <c r="K552" t="n">
        <v>0</v>
      </c>
      <c r="L552" t="n">
        <v>0</v>
      </c>
      <c r="M552" t="n">
        <v>0</v>
      </c>
      <c r="N552" t="n">
        <v>0</v>
      </c>
      <c r="O552" t="n">
        <v>0</v>
      </c>
      <c r="P552" t="n">
        <v>0</v>
      </c>
      <c r="Q552" t="n">
        <v>0</v>
      </c>
      <c r="R552" s="2" t="inlineStr"/>
    </row>
    <row r="553" ht="15" customHeight="1">
      <c r="A553" t="inlineStr">
        <is>
          <t>A 6537-2024</t>
        </is>
      </c>
      <c r="B553" s="1" t="n">
        <v>45341.39853009259</v>
      </c>
      <c r="C553" s="1" t="n">
        <v>46076</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40175-2024</t>
        </is>
      </c>
      <c r="B554" s="1" t="n">
        <v>45554.55707175926</v>
      </c>
      <c r="C554" s="1" t="n">
        <v>46076</v>
      </c>
      <c r="D554" t="inlineStr">
        <is>
          <t>STOCKHOLMS LÄN</t>
        </is>
      </c>
      <c r="E554" t="inlineStr">
        <is>
          <t>NORRTÄLJE</t>
        </is>
      </c>
      <c r="G554" t="n">
        <v>7.7</v>
      </c>
      <c r="H554" t="n">
        <v>0</v>
      </c>
      <c r="I554" t="n">
        <v>0</v>
      </c>
      <c r="J554" t="n">
        <v>0</v>
      </c>
      <c r="K554" t="n">
        <v>0</v>
      </c>
      <c r="L554" t="n">
        <v>0</v>
      </c>
      <c r="M554" t="n">
        <v>0</v>
      </c>
      <c r="N554" t="n">
        <v>0</v>
      </c>
      <c r="O554" t="n">
        <v>0</v>
      </c>
      <c r="P554" t="n">
        <v>0</v>
      </c>
      <c r="Q554" t="n">
        <v>0</v>
      </c>
      <c r="R554" s="2" t="inlineStr"/>
    </row>
    <row r="555" ht="15" customHeight="1">
      <c r="A555" t="inlineStr">
        <is>
          <t>A 35110-2025</t>
        </is>
      </c>
      <c r="B555" s="1" t="n">
        <v>45852.58030092593</v>
      </c>
      <c r="C555" s="1" t="n">
        <v>46076</v>
      </c>
      <c r="D555" t="inlineStr">
        <is>
          <t>STOCKHOLMS LÄN</t>
        </is>
      </c>
      <c r="E555" t="inlineStr">
        <is>
          <t>NORRTÄLJE</t>
        </is>
      </c>
      <c r="G555" t="n">
        <v>0.7</v>
      </c>
      <c r="H555" t="n">
        <v>0</v>
      </c>
      <c r="I555" t="n">
        <v>0</v>
      </c>
      <c r="J555" t="n">
        <v>0</v>
      </c>
      <c r="K555" t="n">
        <v>0</v>
      </c>
      <c r="L555" t="n">
        <v>0</v>
      </c>
      <c r="M555" t="n">
        <v>0</v>
      </c>
      <c r="N555" t="n">
        <v>0</v>
      </c>
      <c r="O555" t="n">
        <v>0</v>
      </c>
      <c r="P555" t="n">
        <v>0</v>
      </c>
      <c r="Q555" t="n">
        <v>0</v>
      </c>
      <c r="R555" s="2" t="inlineStr"/>
    </row>
    <row r="556" ht="15" customHeight="1">
      <c r="A556" t="inlineStr">
        <is>
          <t>A 54558-2024</t>
        </is>
      </c>
      <c r="B556" s="1" t="n">
        <v>45617.62358796296</v>
      </c>
      <c r="C556" s="1" t="n">
        <v>46076</v>
      </c>
      <c r="D556" t="inlineStr">
        <is>
          <t>STOCKHOLMS LÄN</t>
        </is>
      </c>
      <c r="E556" t="inlineStr">
        <is>
          <t>NORRTÄLJE</t>
        </is>
      </c>
      <c r="G556" t="n">
        <v>1.2</v>
      </c>
      <c r="H556" t="n">
        <v>0</v>
      </c>
      <c r="I556" t="n">
        <v>0</v>
      </c>
      <c r="J556" t="n">
        <v>0</v>
      </c>
      <c r="K556" t="n">
        <v>0</v>
      </c>
      <c r="L556" t="n">
        <v>0</v>
      </c>
      <c r="M556" t="n">
        <v>0</v>
      </c>
      <c r="N556" t="n">
        <v>0</v>
      </c>
      <c r="O556" t="n">
        <v>0</v>
      </c>
      <c r="P556" t="n">
        <v>0</v>
      </c>
      <c r="Q556" t="n">
        <v>0</v>
      </c>
      <c r="R556" s="2" t="inlineStr"/>
    </row>
    <row r="557" ht="15" customHeight="1">
      <c r="A557" t="inlineStr">
        <is>
          <t>A 35254-2025</t>
        </is>
      </c>
      <c r="B557" s="1" t="n">
        <v>45853</v>
      </c>
      <c r="C557" s="1" t="n">
        <v>46076</v>
      </c>
      <c r="D557" t="inlineStr">
        <is>
          <t>STOCKHOLMS LÄN</t>
        </is>
      </c>
      <c r="E557" t="inlineStr">
        <is>
          <t>NORRTÄLJE</t>
        </is>
      </c>
      <c r="G557" t="n">
        <v>6.5</v>
      </c>
      <c r="H557" t="n">
        <v>0</v>
      </c>
      <c r="I557" t="n">
        <v>0</v>
      </c>
      <c r="J557" t="n">
        <v>0</v>
      </c>
      <c r="K557" t="n">
        <v>0</v>
      </c>
      <c r="L557" t="n">
        <v>0</v>
      </c>
      <c r="M557" t="n">
        <v>0</v>
      </c>
      <c r="N557" t="n">
        <v>0</v>
      </c>
      <c r="O557" t="n">
        <v>0</v>
      </c>
      <c r="P557" t="n">
        <v>0</v>
      </c>
      <c r="Q557" t="n">
        <v>0</v>
      </c>
      <c r="R557" s="2" t="inlineStr"/>
    </row>
    <row r="558" ht="15" customHeight="1">
      <c r="A558" t="inlineStr">
        <is>
          <t>A 23056-2023</t>
        </is>
      </c>
      <c r="B558" s="1" t="n">
        <v>45075</v>
      </c>
      <c r="C558" s="1" t="n">
        <v>46076</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47431-2023</t>
        </is>
      </c>
      <c r="B559" s="1" t="n">
        <v>45202</v>
      </c>
      <c r="C559" s="1" t="n">
        <v>46076</v>
      </c>
      <c r="D559" t="inlineStr">
        <is>
          <t>STOCKHOLMS LÄN</t>
        </is>
      </c>
      <c r="E559" t="inlineStr">
        <is>
          <t>NORRTÄLJE</t>
        </is>
      </c>
      <c r="F559" t="inlineStr">
        <is>
          <t>Naturvårdsverket</t>
        </is>
      </c>
      <c r="G559" t="n">
        <v>1.2</v>
      </c>
      <c r="H559" t="n">
        <v>0</v>
      </c>
      <c r="I559" t="n">
        <v>0</v>
      </c>
      <c r="J559" t="n">
        <v>0</v>
      </c>
      <c r="K559" t="n">
        <v>0</v>
      </c>
      <c r="L559" t="n">
        <v>0</v>
      </c>
      <c r="M559" t="n">
        <v>0</v>
      </c>
      <c r="N559" t="n">
        <v>0</v>
      </c>
      <c r="O559" t="n">
        <v>0</v>
      </c>
      <c r="P559" t="n">
        <v>0</v>
      </c>
      <c r="Q559" t="n">
        <v>0</v>
      </c>
      <c r="R559" s="2" t="inlineStr"/>
    </row>
    <row r="560" ht="15" customHeight="1">
      <c r="A560" t="inlineStr">
        <is>
          <t>A 59499-2023</t>
        </is>
      </c>
      <c r="B560" s="1" t="n">
        <v>45254</v>
      </c>
      <c r="C560" s="1" t="n">
        <v>46076</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59468-2023</t>
        </is>
      </c>
      <c r="B561" s="1" t="n">
        <v>45254.41509259259</v>
      </c>
      <c r="C561" s="1" t="n">
        <v>46076</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35479-2025</t>
        </is>
      </c>
      <c r="B562" s="1" t="n">
        <v>45855.69387731481</v>
      </c>
      <c r="C562" s="1" t="n">
        <v>46076</v>
      </c>
      <c r="D562" t="inlineStr">
        <is>
          <t>STOCKHOLMS LÄN</t>
        </is>
      </c>
      <c r="E562" t="inlineStr">
        <is>
          <t>NORRTÄLJE</t>
        </is>
      </c>
      <c r="F562" t="inlineStr">
        <is>
          <t>Holmen skog AB</t>
        </is>
      </c>
      <c r="G562" t="n">
        <v>1.8</v>
      </c>
      <c r="H562" t="n">
        <v>0</v>
      </c>
      <c r="I562" t="n">
        <v>0</v>
      </c>
      <c r="J562" t="n">
        <v>0</v>
      </c>
      <c r="K562" t="n">
        <v>0</v>
      </c>
      <c r="L562" t="n">
        <v>0</v>
      </c>
      <c r="M562" t="n">
        <v>0</v>
      </c>
      <c r="N562" t="n">
        <v>0</v>
      </c>
      <c r="O562" t="n">
        <v>0</v>
      </c>
      <c r="P562" t="n">
        <v>0</v>
      </c>
      <c r="Q562" t="n">
        <v>0</v>
      </c>
      <c r="R562" s="2" t="inlineStr"/>
    </row>
    <row r="563" ht="15" customHeight="1">
      <c r="A563" t="inlineStr">
        <is>
          <t>A 35451-2025</t>
        </is>
      </c>
      <c r="B563" s="1" t="n">
        <v>45855.57033564815</v>
      </c>
      <c r="C563" s="1" t="n">
        <v>46076</v>
      </c>
      <c r="D563" t="inlineStr">
        <is>
          <t>STOCKHOLMS LÄN</t>
        </is>
      </c>
      <c r="E563" t="inlineStr">
        <is>
          <t>NORRTÄLJE</t>
        </is>
      </c>
      <c r="F563" t="inlineStr">
        <is>
          <t>Holmen skog AB</t>
        </is>
      </c>
      <c r="G563" t="n">
        <v>7.4</v>
      </c>
      <c r="H563" t="n">
        <v>0</v>
      </c>
      <c r="I563" t="n">
        <v>0</v>
      </c>
      <c r="J563" t="n">
        <v>0</v>
      </c>
      <c r="K563" t="n">
        <v>0</v>
      </c>
      <c r="L563" t="n">
        <v>0</v>
      </c>
      <c r="M563" t="n">
        <v>0</v>
      </c>
      <c r="N563" t="n">
        <v>0</v>
      </c>
      <c r="O563" t="n">
        <v>0</v>
      </c>
      <c r="P563" t="n">
        <v>0</v>
      </c>
      <c r="Q563" t="n">
        <v>0</v>
      </c>
      <c r="R563" s="2" t="inlineStr"/>
    </row>
    <row r="564" ht="15" customHeight="1">
      <c r="A564" t="inlineStr">
        <is>
          <t>A 44937-2025</t>
        </is>
      </c>
      <c r="B564" s="1" t="n">
        <v>45918</v>
      </c>
      <c r="C564" s="1" t="n">
        <v>46076</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35478-2025</t>
        </is>
      </c>
      <c r="B565" s="1" t="n">
        <v>45855.68413194444</v>
      </c>
      <c r="C565" s="1" t="n">
        <v>46076</v>
      </c>
      <c r="D565" t="inlineStr">
        <is>
          <t>STOCKHOLMS LÄN</t>
        </is>
      </c>
      <c r="E565" t="inlineStr">
        <is>
          <t>NORRTÄLJE</t>
        </is>
      </c>
      <c r="F565" t="inlineStr">
        <is>
          <t>Holmen skog AB</t>
        </is>
      </c>
      <c r="G565" t="n">
        <v>2.7</v>
      </c>
      <c r="H565" t="n">
        <v>0</v>
      </c>
      <c r="I565" t="n">
        <v>0</v>
      </c>
      <c r="J565" t="n">
        <v>0</v>
      </c>
      <c r="K565" t="n">
        <v>0</v>
      </c>
      <c r="L565" t="n">
        <v>0</v>
      </c>
      <c r="M565" t="n">
        <v>0</v>
      </c>
      <c r="N565" t="n">
        <v>0</v>
      </c>
      <c r="O565" t="n">
        <v>0</v>
      </c>
      <c r="P565" t="n">
        <v>0</v>
      </c>
      <c r="Q565" t="n">
        <v>0</v>
      </c>
      <c r="R565" s="2" t="inlineStr"/>
    </row>
    <row r="566" ht="15" customHeight="1">
      <c r="A566" t="inlineStr">
        <is>
          <t>A 12532-2025</t>
        </is>
      </c>
      <c r="B566" s="1" t="n">
        <v>45730.69143518519</v>
      </c>
      <c r="C566" s="1" t="n">
        <v>46076</v>
      </c>
      <c r="D566" t="inlineStr">
        <is>
          <t>STOCKHOLMS LÄN</t>
        </is>
      </c>
      <c r="E566" t="inlineStr">
        <is>
          <t>NORRTÄLJE</t>
        </is>
      </c>
      <c r="G566" t="n">
        <v>1</v>
      </c>
      <c r="H566" t="n">
        <v>0</v>
      </c>
      <c r="I566" t="n">
        <v>0</v>
      </c>
      <c r="J566" t="n">
        <v>0</v>
      </c>
      <c r="K566" t="n">
        <v>0</v>
      </c>
      <c r="L566" t="n">
        <v>0</v>
      </c>
      <c r="M566" t="n">
        <v>0</v>
      </c>
      <c r="N566" t="n">
        <v>0</v>
      </c>
      <c r="O566" t="n">
        <v>0</v>
      </c>
      <c r="P566" t="n">
        <v>0</v>
      </c>
      <c r="Q566" t="n">
        <v>0</v>
      </c>
      <c r="R566" s="2" t="inlineStr"/>
    </row>
    <row r="567" ht="15" customHeight="1">
      <c r="A567" t="inlineStr">
        <is>
          <t>A 5732-2023</t>
        </is>
      </c>
      <c r="B567" s="1" t="n">
        <v>44962</v>
      </c>
      <c r="C567" s="1" t="n">
        <v>46076</v>
      </c>
      <c r="D567" t="inlineStr">
        <is>
          <t>STOCKHOLMS LÄN</t>
        </is>
      </c>
      <c r="E567" t="inlineStr">
        <is>
          <t>NORRTÄLJE</t>
        </is>
      </c>
      <c r="G567" t="n">
        <v>0.5</v>
      </c>
      <c r="H567" t="n">
        <v>0</v>
      </c>
      <c r="I567" t="n">
        <v>0</v>
      </c>
      <c r="J567" t="n">
        <v>0</v>
      </c>
      <c r="K567" t="n">
        <v>0</v>
      </c>
      <c r="L567" t="n">
        <v>0</v>
      </c>
      <c r="M567" t="n">
        <v>0</v>
      </c>
      <c r="N567" t="n">
        <v>0</v>
      </c>
      <c r="O567" t="n">
        <v>0</v>
      </c>
      <c r="P567" t="n">
        <v>0</v>
      </c>
      <c r="Q567" t="n">
        <v>0</v>
      </c>
      <c r="R567" s="2" t="inlineStr"/>
    </row>
    <row r="568" ht="15" customHeight="1">
      <c r="A568" t="inlineStr">
        <is>
          <t>A 10653-2022</t>
        </is>
      </c>
      <c r="B568" s="1" t="n">
        <v>44624.59434027778</v>
      </c>
      <c r="C568" s="1" t="n">
        <v>46076</v>
      </c>
      <c r="D568" t="inlineStr">
        <is>
          <t>STOCKHOLMS LÄN</t>
        </is>
      </c>
      <c r="E568" t="inlineStr">
        <is>
          <t>NORRTÄLJE</t>
        </is>
      </c>
      <c r="G568" t="n">
        <v>2.3</v>
      </c>
      <c r="H568" t="n">
        <v>0</v>
      </c>
      <c r="I568" t="n">
        <v>0</v>
      </c>
      <c r="J568" t="n">
        <v>0</v>
      </c>
      <c r="K568" t="n">
        <v>0</v>
      </c>
      <c r="L568" t="n">
        <v>0</v>
      </c>
      <c r="M568" t="n">
        <v>0</v>
      </c>
      <c r="N568" t="n">
        <v>0</v>
      </c>
      <c r="O568" t="n">
        <v>0</v>
      </c>
      <c r="P568" t="n">
        <v>0</v>
      </c>
      <c r="Q568" t="n">
        <v>0</v>
      </c>
      <c r="R568" s="2" t="inlineStr"/>
    </row>
    <row r="569" ht="15" customHeight="1">
      <c r="A569" t="inlineStr">
        <is>
          <t>A 21729-2024</t>
        </is>
      </c>
      <c r="B569" s="1" t="n">
        <v>45442</v>
      </c>
      <c r="C569" s="1" t="n">
        <v>46076</v>
      </c>
      <c r="D569" t="inlineStr">
        <is>
          <t>STOCKHOLMS LÄN</t>
        </is>
      </c>
      <c r="E569" t="inlineStr">
        <is>
          <t>NORRTÄLJE</t>
        </is>
      </c>
      <c r="G569" t="n">
        <v>2.2</v>
      </c>
      <c r="H569" t="n">
        <v>0</v>
      </c>
      <c r="I569" t="n">
        <v>0</v>
      </c>
      <c r="J569" t="n">
        <v>0</v>
      </c>
      <c r="K569" t="n">
        <v>0</v>
      </c>
      <c r="L569" t="n">
        <v>0</v>
      </c>
      <c r="M569" t="n">
        <v>0</v>
      </c>
      <c r="N569" t="n">
        <v>0</v>
      </c>
      <c r="O569" t="n">
        <v>0</v>
      </c>
      <c r="P569" t="n">
        <v>0</v>
      </c>
      <c r="Q569" t="n">
        <v>0</v>
      </c>
      <c r="R569" s="2" t="inlineStr"/>
    </row>
    <row r="570" ht="15" customHeight="1">
      <c r="A570" t="inlineStr">
        <is>
          <t>A 11854-2025</t>
        </is>
      </c>
      <c r="B570" s="1" t="n">
        <v>45728.38924768518</v>
      </c>
      <c r="C570" s="1" t="n">
        <v>46076</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14762-2024</t>
        </is>
      </c>
      <c r="B571" s="1" t="n">
        <v>45397</v>
      </c>
      <c r="C571" s="1" t="n">
        <v>46076</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22359-2025</t>
        </is>
      </c>
      <c r="B572" s="1" t="n">
        <v>45786</v>
      </c>
      <c r="C572" s="1" t="n">
        <v>46076</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45697-2025</t>
        </is>
      </c>
      <c r="B573" s="1" t="n">
        <v>45923.39877314815</v>
      </c>
      <c r="C573" s="1" t="n">
        <v>46076</v>
      </c>
      <c r="D573" t="inlineStr">
        <is>
          <t>STOCKHOLMS LÄN</t>
        </is>
      </c>
      <c r="E573" t="inlineStr">
        <is>
          <t>NORRTÄLJE</t>
        </is>
      </c>
      <c r="G573" t="n">
        <v>1.8</v>
      </c>
      <c r="H573" t="n">
        <v>0</v>
      </c>
      <c r="I573" t="n">
        <v>0</v>
      </c>
      <c r="J573" t="n">
        <v>0</v>
      </c>
      <c r="K573" t="n">
        <v>0</v>
      </c>
      <c r="L573" t="n">
        <v>0</v>
      </c>
      <c r="M573" t="n">
        <v>0</v>
      </c>
      <c r="N573" t="n">
        <v>0</v>
      </c>
      <c r="O573" t="n">
        <v>0</v>
      </c>
      <c r="P573" t="n">
        <v>0</v>
      </c>
      <c r="Q573" t="n">
        <v>0</v>
      </c>
      <c r="R573" s="2" t="inlineStr"/>
    </row>
    <row r="574" ht="15" customHeight="1">
      <c r="A574" t="inlineStr">
        <is>
          <t>A 59712-2024</t>
        </is>
      </c>
      <c r="B574" s="1" t="n">
        <v>45639.45166666667</v>
      </c>
      <c r="C574" s="1" t="n">
        <v>46076</v>
      </c>
      <c r="D574" t="inlineStr">
        <is>
          <t>STOCKHOLMS LÄN</t>
        </is>
      </c>
      <c r="E574" t="inlineStr">
        <is>
          <t>NORRTÄLJE</t>
        </is>
      </c>
      <c r="G574" t="n">
        <v>4.4</v>
      </c>
      <c r="H574" t="n">
        <v>0</v>
      </c>
      <c r="I574" t="n">
        <v>0</v>
      </c>
      <c r="J574" t="n">
        <v>0</v>
      </c>
      <c r="K574" t="n">
        <v>0</v>
      </c>
      <c r="L574" t="n">
        <v>0</v>
      </c>
      <c r="M574" t="n">
        <v>0</v>
      </c>
      <c r="N574" t="n">
        <v>0</v>
      </c>
      <c r="O574" t="n">
        <v>0</v>
      </c>
      <c r="P574" t="n">
        <v>0</v>
      </c>
      <c r="Q574" t="n">
        <v>0</v>
      </c>
      <c r="R574" s="2" t="inlineStr"/>
    </row>
    <row r="575" ht="15" customHeight="1">
      <c r="A575" t="inlineStr">
        <is>
          <t>A 34444-2024</t>
        </is>
      </c>
      <c r="B575" s="1" t="n">
        <v>45525</v>
      </c>
      <c r="C575" s="1" t="n">
        <v>46076</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46415-2025</t>
        </is>
      </c>
      <c r="B576" s="1" t="n">
        <v>45925.58636574074</v>
      </c>
      <c r="C576" s="1" t="n">
        <v>46076</v>
      </c>
      <c r="D576" t="inlineStr">
        <is>
          <t>STOCKHOLMS LÄN</t>
        </is>
      </c>
      <c r="E576" t="inlineStr">
        <is>
          <t>NORRTÄLJE</t>
        </is>
      </c>
      <c r="G576" t="n">
        <v>3.8</v>
      </c>
      <c r="H576" t="n">
        <v>0</v>
      </c>
      <c r="I576" t="n">
        <v>0</v>
      </c>
      <c r="J576" t="n">
        <v>0</v>
      </c>
      <c r="K576" t="n">
        <v>0</v>
      </c>
      <c r="L576" t="n">
        <v>0</v>
      </c>
      <c r="M576" t="n">
        <v>0</v>
      </c>
      <c r="N576" t="n">
        <v>0</v>
      </c>
      <c r="O576" t="n">
        <v>0</v>
      </c>
      <c r="P576" t="n">
        <v>0</v>
      </c>
      <c r="Q576" t="n">
        <v>0</v>
      </c>
      <c r="R576" s="2" t="inlineStr"/>
    </row>
    <row r="577" ht="15" customHeight="1">
      <c r="A577" t="inlineStr">
        <is>
          <t>A 20698-2025</t>
        </is>
      </c>
      <c r="B577" s="1" t="n">
        <v>45776.47122685185</v>
      </c>
      <c r="C577" s="1" t="n">
        <v>46076</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35127-2023</t>
        </is>
      </c>
      <c r="B578" s="1" t="n">
        <v>45145.51</v>
      </c>
      <c r="C578" s="1" t="n">
        <v>46076</v>
      </c>
      <c r="D578" t="inlineStr">
        <is>
          <t>STOCKHOLMS LÄN</t>
        </is>
      </c>
      <c r="E578" t="inlineStr">
        <is>
          <t>NORRTÄLJE</t>
        </is>
      </c>
      <c r="G578" t="n">
        <v>4.7</v>
      </c>
      <c r="H578" t="n">
        <v>0</v>
      </c>
      <c r="I578" t="n">
        <v>0</v>
      </c>
      <c r="J578" t="n">
        <v>0</v>
      </c>
      <c r="K578" t="n">
        <v>0</v>
      </c>
      <c r="L578" t="n">
        <v>0</v>
      </c>
      <c r="M578" t="n">
        <v>0</v>
      </c>
      <c r="N578" t="n">
        <v>0</v>
      </c>
      <c r="O578" t="n">
        <v>0</v>
      </c>
      <c r="P578" t="n">
        <v>0</v>
      </c>
      <c r="Q578" t="n">
        <v>0</v>
      </c>
      <c r="R578" s="2" t="inlineStr"/>
    </row>
    <row r="579" ht="15" customHeight="1">
      <c r="A579" t="inlineStr">
        <is>
          <t>A 45255-2022</t>
        </is>
      </c>
      <c r="B579" s="1" t="n">
        <v>44840</v>
      </c>
      <c r="C579" s="1" t="n">
        <v>46076</v>
      </c>
      <c r="D579" t="inlineStr">
        <is>
          <t>STOCKHOLMS LÄN</t>
        </is>
      </c>
      <c r="E579" t="inlineStr">
        <is>
          <t>NORRTÄLJE</t>
        </is>
      </c>
      <c r="G579" t="n">
        <v>4.1</v>
      </c>
      <c r="H579" t="n">
        <v>0</v>
      </c>
      <c r="I579" t="n">
        <v>0</v>
      </c>
      <c r="J579" t="n">
        <v>0</v>
      </c>
      <c r="K579" t="n">
        <v>0</v>
      </c>
      <c r="L579" t="n">
        <v>0</v>
      </c>
      <c r="M579" t="n">
        <v>0</v>
      </c>
      <c r="N579" t="n">
        <v>0</v>
      </c>
      <c r="O579" t="n">
        <v>0</v>
      </c>
      <c r="P579" t="n">
        <v>0</v>
      </c>
      <c r="Q579" t="n">
        <v>0</v>
      </c>
      <c r="R579" s="2" t="inlineStr"/>
    </row>
    <row r="580" ht="15" customHeight="1">
      <c r="A580" t="inlineStr">
        <is>
          <t>A 22232-2024</t>
        </is>
      </c>
      <c r="B580" s="1" t="n">
        <v>45446.4287962963</v>
      </c>
      <c r="C580" s="1" t="n">
        <v>46076</v>
      </c>
      <c r="D580" t="inlineStr">
        <is>
          <t>STOCKHOLMS LÄN</t>
        </is>
      </c>
      <c r="E580" t="inlineStr">
        <is>
          <t>NORRTÄLJE</t>
        </is>
      </c>
      <c r="G580" t="n">
        <v>12.8</v>
      </c>
      <c r="H580" t="n">
        <v>0</v>
      </c>
      <c r="I580" t="n">
        <v>0</v>
      </c>
      <c r="J580" t="n">
        <v>0</v>
      </c>
      <c r="K580" t="n">
        <v>0</v>
      </c>
      <c r="L580" t="n">
        <v>0</v>
      </c>
      <c r="M580" t="n">
        <v>0</v>
      </c>
      <c r="N580" t="n">
        <v>0</v>
      </c>
      <c r="O580" t="n">
        <v>0</v>
      </c>
      <c r="P580" t="n">
        <v>0</v>
      </c>
      <c r="Q580" t="n">
        <v>0</v>
      </c>
      <c r="R580" s="2" t="inlineStr"/>
    </row>
    <row r="581" ht="15" customHeight="1">
      <c r="A581" t="inlineStr">
        <is>
          <t>A 46900-2025</t>
        </is>
      </c>
      <c r="B581" s="1" t="n">
        <v>45929.38712962963</v>
      </c>
      <c r="C581" s="1" t="n">
        <v>46076</v>
      </c>
      <c r="D581" t="inlineStr">
        <is>
          <t>STOCKHOLMS LÄN</t>
        </is>
      </c>
      <c r="E581" t="inlineStr">
        <is>
          <t>NORRTÄLJE</t>
        </is>
      </c>
      <c r="F581" t="inlineStr">
        <is>
          <t>Holmen skog AB</t>
        </is>
      </c>
      <c r="G581" t="n">
        <v>6.2</v>
      </c>
      <c r="H581" t="n">
        <v>0</v>
      </c>
      <c r="I581" t="n">
        <v>0</v>
      </c>
      <c r="J581" t="n">
        <v>0</v>
      </c>
      <c r="K581" t="n">
        <v>0</v>
      </c>
      <c r="L581" t="n">
        <v>0</v>
      </c>
      <c r="M581" t="n">
        <v>0</v>
      </c>
      <c r="N581" t="n">
        <v>0</v>
      </c>
      <c r="O581" t="n">
        <v>0</v>
      </c>
      <c r="P581" t="n">
        <v>0</v>
      </c>
      <c r="Q581" t="n">
        <v>0</v>
      </c>
      <c r="R581" s="2" t="inlineStr"/>
    </row>
    <row r="582" ht="15" customHeight="1">
      <c r="A582" t="inlineStr">
        <is>
          <t>A 36396-2025</t>
        </is>
      </c>
      <c r="B582" s="1" t="n">
        <v>45868.62267361111</v>
      </c>
      <c r="C582" s="1" t="n">
        <v>46076</v>
      </c>
      <c r="D582" t="inlineStr">
        <is>
          <t>STOCKHOLMS LÄN</t>
        </is>
      </c>
      <c r="E582" t="inlineStr">
        <is>
          <t>NORRTÄLJE</t>
        </is>
      </c>
      <c r="G582" t="n">
        <v>4.1</v>
      </c>
      <c r="H582" t="n">
        <v>0</v>
      </c>
      <c r="I582" t="n">
        <v>0</v>
      </c>
      <c r="J582" t="n">
        <v>0</v>
      </c>
      <c r="K582" t="n">
        <v>0</v>
      </c>
      <c r="L582" t="n">
        <v>0</v>
      </c>
      <c r="M582" t="n">
        <v>0</v>
      </c>
      <c r="N582" t="n">
        <v>0</v>
      </c>
      <c r="O582" t="n">
        <v>0</v>
      </c>
      <c r="P582" t="n">
        <v>0</v>
      </c>
      <c r="Q582" t="n">
        <v>0</v>
      </c>
      <c r="R582" s="2" t="inlineStr"/>
    </row>
    <row r="583" ht="15" customHeight="1">
      <c r="A583" t="inlineStr">
        <is>
          <t>A 59893-2022</t>
        </is>
      </c>
      <c r="B583" s="1" t="n">
        <v>44908.77368055555</v>
      </c>
      <c r="C583" s="1" t="n">
        <v>46076</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39905-2023</t>
        </is>
      </c>
      <c r="B584" s="1" t="n">
        <v>45168.44489583333</v>
      </c>
      <c r="C584" s="1" t="n">
        <v>46076</v>
      </c>
      <c r="D584" t="inlineStr">
        <is>
          <t>STOCKHOLMS LÄN</t>
        </is>
      </c>
      <c r="E584" t="inlineStr">
        <is>
          <t>NORRTÄLJE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5645-2023</t>
        </is>
      </c>
      <c r="B585" s="1" t="n">
        <v>44960.60469907407</v>
      </c>
      <c r="C585" s="1" t="n">
        <v>46076</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68361-2021</t>
        </is>
      </c>
      <c r="B586" s="1" t="n">
        <v>44528.91494212963</v>
      </c>
      <c r="C586" s="1" t="n">
        <v>46076</v>
      </c>
      <c r="D586" t="inlineStr">
        <is>
          <t>STOCKHOLMS LÄN</t>
        </is>
      </c>
      <c r="E586" t="inlineStr">
        <is>
          <t>NORRTÄLJE</t>
        </is>
      </c>
      <c r="G586" t="n">
        <v>1.9</v>
      </c>
      <c r="H586" t="n">
        <v>0</v>
      </c>
      <c r="I586" t="n">
        <v>0</v>
      </c>
      <c r="J586" t="n">
        <v>0</v>
      </c>
      <c r="K586" t="n">
        <v>0</v>
      </c>
      <c r="L586" t="n">
        <v>0</v>
      </c>
      <c r="M586" t="n">
        <v>0</v>
      </c>
      <c r="N586" t="n">
        <v>0</v>
      </c>
      <c r="O586" t="n">
        <v>0</v>
      </c>
      <c r="P586" t="n">
        <v>0</v>
      </c>
      <c r="Q586" t="n">
        <v>0</v>
      </c>
      <c r="R586" s="2" t="inlineStr"/>
    </row>
    <row r="587" ht="15" customHeight="1">
      <c r="A587" t="inlineStr">
        <is>
          <t>A 60529-2023</t>
        </is>
      </c>
      <c r="B587" s="1" t="n">
        <v>45259</v>
      </c>
      <c r="C587" s="1" t="n">
        <v>46076</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35256-2025</t>
        </is>
      </c>
      <c r="B588" s="1" t="n">
        <v>45853</v>
      </c>
      <c r="C588" s="1" t="n">
        <v>46076</v>
      </c>
      <c r="D588" t="inlineStr">
        <is>
          <t>STOCKHOLMS LÄN</t>
        </is>
      </c>
      <c r="E588" t="inlineStr">
        <is>
          <t>NORRTÄLJE</t>
        </is>
      </c>
      <c r="G588" t="n">
        <v>6.4</v>
      </c>
      <c r="H588" t="n">
        <v>0</v>
      </c>
      <c r="I588" t="n">
        <v>0</v>
      </c>
      <c r="J588" t="n">
        <v>0</v>
      </c>
      <c r="K588" t="n">
        <v>0</v>
      </c>
      <c r="L588" t="n">
        <v>0</v>
      </c>
      <c r="M588" t="n">
        <v>0</v>
      </c>
      <c r="N588" t="n">
        <v>0</v>
      </c>
      <c r="O588" t="n">
        <v>0</v>
      </c>
      <c r="P588" t="n">
        <v>0</v>
      </c>
      <c r="Q588" t="n">
        <v>0</v>
      </c>
      <c r="R588" s="2" t="inlineStr"/>
    </row>
    <row r="589" ht="15" customHeight="1">
      <c r="A589" t="inlineStr">
        <is>
          <t>A 19706-2023</t>
        </is>
      </c>
      <c r="B589" s="1" t="n">
        <v>45051.455</v>
      </c>
      <c r="C589" s="1" t="n">
        <v>46076</v>
      </c>
      <c r="D589" t="inlineStr">
        <is>
          <t>STOCKHOLMS LÄN</t>
        </is>
      </c>
      <c r="E589" t="inlineStr">
        <is>
          <t>NORRTÄLJE</t>
        </is>
      </c>
      <c r="G589" t="n">
        <v>0.2</v>
      </c>
      <c r="H589" t="n">
        <v>0</v>
      </c>
      <c r="I589" t="n">
        <v>0</v>
      </c>
      <c r="J589" t="n">
        <v>0</v>
      </c>
      <c r="K589" t="n">
        <v>0</v>
      </c>
      <c r="L589" t="n">
        <v>0</v>
      </c>
      <c r="M589" t="n">
        <v>0</v>
      </c>
      <c r="N589" t="n">
        <v>0</v>
      </c>
      <c r="O589" t="n">
        <v>0</v>
      </c>
      <c r="P589" t="n">
        <v>0</v>
      </c>
      <c r="Q589" t="n">
        <v>0</v>
      </c>
      <c r="R589" s="2" t="inlineStr"/>
    </row>
    <row r="590" ht="15" customHeight="1">
      <c r="A590" t="inlineStr">
        <is>
          <t>A 18539-2021</t>
        </is>
      </c>
      <c r="B590" s="1" t="n">
        <v>44306</v>
      </c>
      <c r="C590" s="1" t="n">
        <v>46076</v>
      </c>
      <c r="D590" t="inlineStr">
        <is>
          <t>STOCKHOLMS LÄN</t>
        </is>
      </c>
      <c r="E590" t="inlineStr">
        <is>
          <t>NORRTÄLJE</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17612-2022</t>
        </is>
      </c>
      <c r="B591" s="1" t="n">
        <v>44680</v>
      </c>
      <c r="C591" s="1" t="n">
        <v>46076</v>
      </c>
      <c r="D591" t="inlineStr">
        <is>
          <t>STOCKHOLMS LÄN</t>
        </is>
      </c>
      <c r="E591" t="inlineStr">
        <is>
          <t>NORRTÄLJE</t>
        </is>
      </c>
      <c r="G591" t="n">
        <v>2.6</v>
      </c>
      <c r="H591" t="n">
        <v>0</v>
      </c>
      <c r="I591" t="n">
        <v>0</v>
      </c>
      <c r="J591" t="n">
        <v>0</v>
      </c>
      <c r="K591" t="n">
        <v>0</v>
      </c>
      <c r="L591" t="n">
        <v>0</v>
      </c>
      <c r="M591" t="n">
        <v>0</v>
      </c>
      <c r="N591" t="n">
        <v>0</v>
      </c>
      <c r="O591" t="n">
        <v>0</v>
      </c>
      <c r="P591" t="n">
        <v>0</v>
      </c>
      <c r="Q591" t="n">
        <v>0</v>
      </c>
      <c r="R591" s="2" t="inlineStr"/>
    </row>
    <row r="592" ht="15" customHeight="1">
      <c r="A592" t="inlineStr">
        <is>
          <t>A 16835-2022</t>
        </is>
      </c>
      <c r="B592" s="1" t="n">
        <v>44673</v>
      </c>
      <c r="C592" s="1" t="n">
        <v>46076</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62765-2022</t>
        </is>
      </c>
      <c r="B593" s="1" t="n">
        <v>44637</v>
      </c>
      <c r="C593" s="1" t="n">
        <v>46076</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58404-2023</t>
        </is>
      </c>
      <c r="B594" s="1" t="n">
        <v>45245</v>
      </c>
      <c r="C594" s="1" t="n">
        <v>46076</v>
      </c>
      <c r="D594" t="inlineStr">
        <is>
          <t>STOCKHOLMS LÄN</t>
        </is>
      </c>
      <c r="E594" t="inlineStr">
        <is>
          <t>NORRTÄLJE</t>
        </is>
      </c>
      <c r="G594" t="n">
        <v>53.5</v>
      </c>
      <c r="H594" t="n">
        <v>0</v>
      </c>
      <c r="I594" t="n">
        <v>0</v>
      </c>
      <c r="J594" t="n">
        <v>0</v>
      </c>
      <c r="K594" t="n">
        <v>0</v>
      </c>
      <c r="L594" t="n">
        <v>0</v>
      </c>
      <c r="M594" t="n">
        <v>0</v>
      </c>
      <c r="N594" t="n">
        <v>0</v>
      </c>
      <c r="O594" t="n">
        <v>0</v>
      </c>
      <c r="P594" t="n">
        <v>0</v>
      </c>
      <c r="Q594" t="n">
        <v>0</v>
      </c>
      <c r="R594" s="2" t="inlineStr"/>
    </row>
    <row r="595" ht="15" customHeight="1">
      <c r="A595" t="inlineStr">
        <is>
          <t>A 47498-2025</t>
        </is>
      </c>
      <c r="B595" s="1" t="n">
        <v>45930.8134375</v>
      </c>
      <c r="C595" s="1" t="n">
        <v>46076</v>
      </c>
      <c r="D595" t="inlineStr">
        <is>
          <t>STOCKHOLMS LÄN</t>
        </is>
      </c>
      <c r="E595" t="inlineStr">
        <is>
          <t>NORRTÄLJE</t>
        </is>
      </c>
      <c r="F595" t="inlineStr">
        <is>
          <t>Holmen skog AB</t>
        </is>
      </c>
      <c r="G595" t="n">
        <v>1.7</v>
      </c>
      <c r="H595" t="n">
        <v>0</v>
      </c>
      <c r="I595" t="n">
        <v>0</v>
      </c>
      <c r="J595" t="n">
        <v>0</v>
      </c>
      <c r="K595" t="n">
        <v>0</v>
      </c>
      <c r="L595" t="n">
        <v>0</v>
      </c>
      <c r="M595" t="n">
        <v>0</v>
      </c>
      <c r="N595" t="n">
        <v>0</v>
      </c>
      <c r="O595" t="n">
        <v>0</v>
      </c>
      <c r="P595" t="n">
        <v>0</v>
      </c>
      <c r="Q595" t="n">
        <v>0</v>
      </c>
      <c r="R595" s="2" t="inlineStr"/>
    </row>
    <row r="596" ht="15" customHeight="1">
      <c r="A596" t="inlineStr">
        <is>
          <t>A 47460-2025</t>
        </is>
      </c>
      <c r="B596" s="1" t="n">
        <v>45930.66012731481</v>
      </c>
      <c r="C596" s="1" t="n">
        <v>46076</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47496-2025</t>
        </is>
      </c>
      <c r="B597" s="1" t="n">
        <v>45930.79252314815</v>
      </c>
      <c r="C597" s="1" t="n">
        <v>46076</v>
      </c>
      <c r="D597" t="inlineStr">
        <is>
          <t>STOCKHOLMS LÄN</t>
        </is>
      </c>
      <c r="E597" t="inlineStr">
        <is>
          <t>NORRTÄLJE</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47497-2025</t>
        </is>
      </c>
      <c r="B598" s="1" t="n">
        <v>45930.80217592593</v>
      </c>
      <c r="C598" s="1" t="n">
        <v>46076</v>
      </c>
      <c r="D598" t="inlineStr">
        <is>
          <t>STOCKHOLMS LÄN</t>
        </is>
      </c>
      <c r="E598" t="inlineStr">
        <is>
          <t>NORRTÄLJE</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8586-2023</t>
        </is>
      </c>
      <c r="B599" s="1" t="n">
        <v>44977</v>
      </c>
      <c r="C599" s="1" t="n">
        <v>46076</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48360-2025</t>
        </is>
      </c>
      <c r="B600" s="1" t="n">
        <v>45933.66253472222</v>
      </c>
      <c r="C600" s="1" t="n">
        <v>46076</v>
      </c>
      <c r="D600" t="inlineStr">
        <is>
          <t>STOCKHOLMS LÄN</t>
        </is>
      </c>
      <c r="E600" t="inlineStr">
        <is>
          <t>NORRTÄLJE</t>
        </is>
      </c>
      <c r="G600" t="n">
        <v>4.1</v>
      </c>
      <c r="H600" t="n">
        <v>0</v>
      </c>
      <c r="I600" t="n">
        <v>0</v>
      </c>
      <c r="J600" t="n">
        <v>0</v>
      </c>
      <c r="K600" t="n">
        <v>0</v>
      </c>
      <c r="L600" t="n">
        <v>0</v>
      </c>
      <c r="M600" t="n">
        <v>0</v>
      </c>
      <c r="N600" t="n">
        <v>0</v>
      </c>
      <c r="O600" t="n">
        <v>0</v>
      </c>
      <c r="P600" t="n">
        <v>0</v>
      </c>
      <c r="Q600" t="n">
        <v>0</v>
      </c>
      <c r="R600" s="2" t="inlineStr"/>
    </row>
    <row r="601" ht="15" customHeight="1">
      <c r="A601" t="inlineStr">
        <is>
          <t>A 48370-2025</t>
        </is>
      </c>
      <c r="B601" s="1" t="n">
        <v>45933.67854166667</v>
      </c>
      <c r="C601" s="1" t="n">
        <v>46076</v>
      </c>
      <c r="D601" t="inlineStr">
        <is>
          <t>STOCKHOLMS LÄN</t>
        </is>
      </c>
      <c r="E601" t="inlineStr">
        <is>
          <t>NORRTÄLJE</t>
        </is>
      </c>
      <c r="G601" t="n">
        <v>4.5</v>
      </c>
      <c r="H601" t="n">
        <v>0</v>
      </c>
      <c r="I601" t="n">
        <v>0</v>
      </c>
      <c r="J601" t="n">
        <v>0</v>
      </c>
      <c r="K601" t="n">
        <v>0</v>
      </c>
      <c r="L601" t="n">
        <v>0</v>
      </c>
      <c r="M601" t="n">
        <v>0</v>
      </c>
      <c r="N601" t="n">
        <v>0</v>
      </c>
      <c r="O601" t="n">
        <v>0</v>
      </c>
      <c r="P601" t="n">
        <v>0</v>
      </c>
      <c r="Q601" t="n">
        <v>0</v>
      </c>
      <c r="R601" s="2" t="inlineStr"/>
    </row>
    <row r="602" ht="15" customHeight="1">
      <c r="A602" t="inlineStr">
        <is>
          <t>A 37261-2025</t>
        </is>
      </c>
      <c r="B602" s="1" t="n">
        <v>45876.45253472222</v>
      </c>
      <c r="C602" s="1" t="n">
        <v>46076</v>
      </c>
      <c r="D602" t="inlineStr">
        <is>
          <t>STOCKHOLMS LÄN</t>
        </is>
      </c>
      <c r="E602" t="inlineStr">
        <is>
          <t>NORRTÄLJE</t>
        </is>
      </c>
      <c r="F602" t="inlineStr">
        <is>
          <t>Kommuner</t>
        </is>
      </c>
      <c r="G602" t="n">
        <v>2.2</v>
      </c>
      <c r="H602" t="n">
        <v>0</v>
      </c>
      <c r="I602" t="n">
        <v>0</v>
      </c>
      <c r="J602" t="n">
        <v>0</v>
      </c>
      <c r="K602" t="n">
        <v>0</v>
      </c>
      <c r="L602" t="n">
        <v>0</v>
      </c>
      <c r="M602" t="n">
        <v>0</v>
      </c>
      <c r="N602" t="n">
        <v>0</v>
      </c>
      <c r="O602" t="n">
        <v>0</v>
      </c>
      <c r="P602" t="n">
        <v>0</v>
      </c>
      <c r="Q602" t="n">
        <v>0</v>
      </c>
      <c r="R602" s="2" t="inlineStr"/>
    </row>
    <row r="603" ht="15" customHeight="1">
      <c r="A603" t="inlineStr">
        <is>
          <t>A 16202-2022</t>
        </is>
      </c>
      <c r="B603" s="1" t="n">
        <v>44670</v>
      </c>
      <c r="C603" s="1" t="n">
        <v>46076</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48364-2025</t>
        </is>
      </c>
      <c r="B604" s="1" t="n">
        <v>45933.66796296297</v>
      </c>
      <c r="C604" s="1" t="n">
        <v>46076</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55018-2024</t>
        </is>
      </c>
      <c r="B605" s="1" t="n">
        <v>45621.35712962963</v>
      </c>
      <c r="C605" s="1" t="n">
        <v>46076</v>
      </c>
      <c r="D605" t="inlineStr">
        <is>
          <t>STOCKHOLMS LÄN</t>
        </is>
      </c>
      <c r="E605" t="inlineStr">
        <is>
          <t>NORRTÄLJE</t>
        </is>
      </c>
      <c r="F605" t="inlineStr">
        <is>
          <t>Sveaskog</t>
        </is>
      </c>
      <c r="G605" t="n">
        <v>1.2</v>
      </c>
      <c r="H605" t="n">
        <v>0</v>
      </c>
      <c r="I605" t="n">
        <v>0</v>
      </c>
      <c r="J605" t="n">
        <v>0</v>
      </c>
      <c r="K605" t="n">
        <v>0</v>
      </c>
      <c r="L605" t="n">
        <v>0</v>
      </c>
      <c r="M605" t="n">
        <v>0</v>
      </c>
      <c r="N605" t="n">
        <v>0</v>
      </c>
      <c r="O605" t="n">
        <v>0</v>
      </c>
      <c r="P605" t="n">
        <v>0</v>
      </c>
      <c r="Q605" t="n">
        <v>0</v>
      </c>
      <c r="R605" s="2" t="inlineStr"/>
    </row>
    <row r="606" ht="15" customHeight="1">
      <c r="A606" t="inlineStr">
        <is>
          <t>A 50136-2023</t>
        </is>
      </c>
      <c r="B606" s="1" t="n">
        <v>45215</v>
      </c>
      <c r="C606" s="1" t="n">
        <v>46076</v>
      </c>
      <c r="D606" t="inlineStr">
        <is>
          <t>STOCKHOLMS LÄN</t>
        </is>
      </c>
      <c r="E606" t="inlineStr">
        <is>
          <t>NORRTÄLJE</t>
        </is>
      </c>
      <c r="G606" t="n">
        <v>5.2</v>
      </c>
      <c r="H606" t="n">
        <v>0</v>
      </c>
      <c r="I606" t="n">
        <v>0</v>
      </c>
      <c r="J606" t="n">
        <v>0</v>
      </c>
      <c r="K606" t="n">
        <v>0</v>
      </c>
      <c r="L606" t="n">
        <v>0</v>
      </c>
      <c r="M606" t="n">
        <v>0</v>
      </c>
      <c r="N606" t="n">
        <v>0</v>
      </c>
      <c r="O606" t="n">
        <v>0</v>
      </c>
      <c r="P606" t="n">
        <v>0</v>
      </c>
      <c r="Q606" t="n">
        <v>0</v>
      </c>
      <c r="R606" s="2" t="inlineStr"/>
    </row>
    <row r="607" ht="15" customHeight="1">
      <c r="A607" t="inlineStr">
        <is>
          <t>A 25656-2023</t>
        </is>
      </c>
      <c r="B607" s="1" t="n">
        <v>45089</v>
      </c>
      <c r="C607" s="1" t="n">
        <v>46076</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6003-2025</t>
        </is>
      </c>
      <c r="B608" s="1" t="n">
        <v>45695.57881944445</v>
      </c>
      <c r="C608" s="1" t="n">
        <v>46076</v>
      </c>
      <c r="D608" t="inlineStr">
        <is>
          <t>STOCKHOLMS LÄN</t>
        </is>
      </c>
      <c r="E608" t="inlineStr">
        <is>
          <t>NORRTÄLJE</t>
        </is>
      </c>
      <c r="F608" t="inlineStr">
        <is>
          <t>Holmen skog AB</t>
        </is>
      </c>
      <c r="G608" t="n">
        <v>2.3</v>
      </c>
      <c r="H608" t="n">
        <v>0</v>
      </c>
      <c r="I608" t="n">
        <v>0</v>
      </c>
      <c r="J608" t="n">
        <v>0</v>
      </c>
      <c r="K608" t="n">
        <v>0</v>
      </c>
      <c r="L608" t="n">
        <v>0</v>
      </c>
      <c r="M608" t="n">
        <v>0</v>
      </c>
      <c r="N608" t="n">
        <v>0</v>
      </c>
      <c r="O608" t="n">
        <v>0</v>
      </c>
      <c r="P608" t="n">
        <v>0</v>
      </c>
      <c r="Q608" t="n">
        <v>0</v>
      </c>
      <c r="R608" s="2" t="inlineStr"/>
    </row>
    <row r="609" ht="15" customHeight="1">
      <c r="A609" t="inlineStr">
        <is>
          <t>A 48174-2025</t>
        </is>
      </c>
      <c r="B609" s="1" t="n">
        <v>45933.44230324074</v>
      </c>
      <c r="C609" s="1" t="n">
        <v>46076</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11902-2024</t>
        </is>
      </c>
      <c r="B610" s="1" t="n">
        <v>45376.55704861111</v>
      </c>
      <c r="C610" s="1" t="n">
        <v>46076</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37628-2025</t>
        </is>
      </c>
      <c r="B611" s="1" t="n">
        <v>45880.46189814815</v>
      </c>
      <c r="C611" s="1" t="n">
        <v>46076</v>
      </c>
      <c r="D611" t="inlineStr">
        <is>
          <t>STOCKHOLMS LÄN</t>
        </is>
      </c>
      <c r="E611" t="inlineStr">
        <is>
          <t>NORRTÄLJE</t>
        </is>
      </c>
      <c r="F611" t="inlineStr">
        <is>
          <t>Sveaskog</t>
        </is>
      </c>
      <c r="G611" t="n">
        <v>2.6</v>
      </c>
      <c r="H611" t="n">
        <v>0</v>
      </c>
      <c r="I611" t="n">
        <v>0</v>
      </c>
      <c r="J611" t="n">
        <v>0</v>
      </c>
      <c r="K611" t="n">
        <v>0</v>
      </c>
      <c r="L611" t="n">
        <v>0</v>
      </c>
      <c r="M611" t="n">
        <v>0</v>
      </c>
      <c r="N611" t="n">
        <v>0</v>
      </c>
      <c r="O611" t="n">
        <v>0</v>
      </c>
      <c r="P611" t="n">
        <v>0</v>
      </c>
      <c r="Q611" t="n">
        <v>0</v>
      </c>
      <c r="R611" s="2" t="inlineStr"/>
    </row>
    <row r="612" ht="15" customHeight="1">
      <c r="A612" t="inlineStr">
        <is>
          <t>A 48127-2025</t>
        </is>
      </c>
      <c r="B612" s="1" t="n">
        <v>45933.36621527778</v>
      </c>
      <c r="C612" s="1" t="n">
        <v>46076</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29369-2024</t>
        </is>
      </c>
      <c r="B613" s="1" t="n">
        <v>45483.57244212963</v>
      </c>
      <c r="C613" s="1" t="n">
        <v>46076</v>
      </c>
      <c r="D613" t="inlineStr">
        <is>
          <t>STOCKHOLMS LÄN</t>
        </is>
      </c>
      <c r="E613" t="inlineStr">
        <is>
          <t>NORRTÄLJE</t>
        </is>
      </c>
      <c r="G613" t="n">
        <v>15.9</v>
      </c>
      <c r="H613" t="n">
        <v>0</v>
      </c>
      <c r="I613" t="n">
        <v>0</v>
      </c>
      <c r="J613" t="n">
        <v>0</v>
      </c>
      <c r="K613" t="n">
        <v>0</v>
      </c>
      <c r="L613" t="n">
        <v>0</v>
      </c>
      <c r="M613" t="n">
        <v>0</v>
      </c>
      <c r="N613" t="n">
        <v>0</v>
      </c>
      <c r="O613" t="n">
        <v>0</v>
      </c>
      <c r="P613" t="n">
        <v>0</v>
      </c>
      <c r="Q613" t="n">
        <v>0</v>
      </c>
      <c r="R613" s="2" t="inlineStr"/>
    </row>
    <row r="614" ht="15" customHeight="1">
      <c r="A614" t="inlineStr">
        <is>
          <t>A 38049-2023</t>
        </is>
      </c>
      <c r="B614" s="1" t="n">
        <v>45159</v>
      </c>
      <c r="C614" s="1" t="n">
        <v>46076</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37632-2025</t>
        </is>
      </c>
      <c r="B615" s="1" t="n">
        <v>45880.46524305556</v>
      </c>
      <c r="C615" s="1" t="n">
        <v>46076</v>
      </c>
      <c r="D615" t="inlineStr">
        <is>
          <t>STOCKHOLMS LÄN</t>
        </is>
      </c>
      <c r="E615" t="inlineStr">
        <is>
          <t>NORRTÄLJE</t>
        </is>
      </c>
      <c r="F615" t="inlineStr">
        <is>
          <t>Sveaskog</t>
        </is>
      </c>
      <c r="G615" t="n">
        <v>6.4</v>
      </c>
      <c r="H615" t="n">
        <v>0</v>
      </c>
      <c r="I615" t="n">
        <v>0</v>
      </c>
      <c r="J615" t="n">
        <v>0</v>
      </c>
      <c r="K615" t="n">
        <v>0</v>
      </c>
      <c r="L615" t="n">
        <v>0</v>
      </c>
      <c r="M615" t="n">
        <v>0</v>
      </c>
      <c r="N615" t="n">
        <v>0</v>
      </c>
      <c r="O615" t="n">
        <v>0</v>
      </c>
      <c r="P615" t="n">
        <v>0</v>
      </c>
      <c r="Q615" t="n">
        <v>0</v>
      </c>
      <c r="R615" s="2" t="inlineStr"/>
    </row>
    <row r="616" ht="15" customHeight="1">
      <c r="A616" t="inlineStr">
        <is>
          <t>A 48179-2025</t>
        </is>
      </c>
      <c r="B616" s="1" t="n">
        <v>45933.44907407407</v>
      </c>
      <c r="C616" s="1" t="n">
        <v>46076</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59535-2024</t>
        </is>
      </c>
      <c r="B617" s="1" t="n">
        <v>45638.59979166667</v>
      </c>
      <c r="C617" s="1" t="n">
        <v>46076</v>
      </c>
      <c r="D617" t="inlineStr">
        <is>
          <t>STOCKHOLMS LÄN</t>
        </is>
      </c>
      <c r="E617" t="inlineStr">
        <is>
          <t>NORRTÄLJE</t>
        </is>
      </c>
      <c r="F617" t="inlineStr">
        <is>
          <t>Holmen skog AB</t>
        </is>
      </c>
      <c r="G617" t="n">
        <v>1.1</v>
      </c>
      <c r="H617" t="n">
        <v>0</v>
      </c>
      <c r="I617" t="n">
        <v>0</v>
      </c>
      <c r="J617" t="n">
        <v>0</v>
      </c>
      <c r="K617" t="n">
        <v>0</v>
      </c>
      <c r="L617" t="n">
        <v>0</v>
      </c>
      <c r="M617" t="n">
        <v>0</v>
      </c>
      <c r="N617" t="n">
        <v>0</v>
      </c>
      <c r="O617" t="n">
        <v>0</v>
      </c>
      <c r="P617" t="n">
        <v>0</v>
      </c>
      <c r="Q617" t="n">
        <v>0</v>
      </c>
      <c r="R617" s="2" t="inlineStr"/>
    </row>
    <row r="618" ht="15" customHeight="1">
      <c r="A618" t="inlineStr">
        <is>
          <t>A 29841-2024</t>
        </is>
      </c>
      <c r="B618" s="1" t="n">
        <v>45485.60261574074</v>
      </c>
      <c r="C618" s="1" t="n">
        <v>46076</v>
      </c>
      <c r="D618" t="inlineStr">
        <is>
          <t>STOCKHOLMS LÄN</t>
        </is>
      </c>
      <c r="E618" t="inlineStr">
        <is>
          <t>NORRTÄLJE</t>
        </is>
      </c>
      <c r="G618" t="n">
        <v>15.9</v>
      </c>
      <c r="H618" t="n">
        <v>0</v>
      </c>
      <c r="I618" t="n">
        <v>0</v>
      </c>
      <c r="J618" t="n">
        <v>0</v>
      </c>
      <c r="K618" t="n">
        <v>0</v>
      </c>
      <c r="L618" t="n">
        <v>0</v>
      </c>
      <c r="M618" t="n">
        <v>0</v>
      </c>
      <c r="N618" t="n">
        <v>0</v>
      </c>
      <c r="O618" t="n">
        <v>0</v>
      </c>
      <c r="P618" t="n">
        <v>0</v>
      </c>
      <c r="Q618" t="n">
        <v>0</v>
      </c>
      <c r="R618" s="2" t="inlineStr"/>
    </row>
    <row r="619" ht="15" customHeight="1">
      <c r="A619" t="inlineStr">
        <is>
          <t>A 20692-2025</t>
        </is>
      </c>
      <c r="B619" s="1" t="n">
        <v>45776.46369212963</v>
      </c>
      <c r="C619" s="1" t="n">
        <v>46076</v>
      </c>
      <c r="D619" t="inlineStr">
        <is>
          <t>STOCKHOLMS LÄN</t>
        </is>
      </c>
      <c r="E619" t="inlineStr">
        <is>
          <t>NORRTÄLJE</t>
        </is>
      </c>
      <c r="G619" t="n">
        <v>2.1</v>
      </c>
      <c r="H619" t="n">
        <v>0</v>
      </c>
      <c r="I619" t="n">
        <v>0</v>
      </c>
      <c r="J619" t="n">
        <v>0</v>
      </c>
      <c r="K619" t="n">
        <v>0</v>
      </c>
      <c r="L619" t="n">
        <v>0</v>
      </c>
      <c r="M619" t="n">
        <v>0</v>
      </c>
      <c r="N619" t="n">
        <v>0</v>
      </c>
      <c r="O619" t="n">
        <v>0</v>
      </c>
      <c r="P619" t="n">
        <v>0</v>
      </c>
      <c r="Q619" t="n">
        <v>0</v>
      </c>
      <c r="R619" s="2" t="inlineStr"/>
    </row>
    <row r="620" ht="15" customHeight="1">
      <c r="A620" t="inlineStr">
        <is>
          <t>A 48718-2025</t>
        </is>
      </c>
      <c r="B620" s="1" t="n">
        <v>45936</v>
      </c>
      <c r="C620" s="1" t="n">
        <v>46076</v>
      </c>
      <c r="D620" t="inlineStr">
        <is>
          <t>STOCKHOLMS LÄN</t>
        </is>
      </c>
      <c r="E620" t="inlineStr">
        <is>
          <t>NORRTÄLJE</t>
        </is>
      </c>
      <c r="G620" t="n">
        <v>2.1</v>
      </c>
      <c r="H620" t="n">
        <v>0</v>
      </c>
      <c r="I620" t="n">
        <v>0</v>
      </c>
      <c r="J620" t="n">
        <v>0</v>
      </c>
      <c r="K620" t="n">
        <v>0</v>
      </c>
      <c r="L620" t="n">
        <v>0</v>
      </c>
      <c r="M620" t="n">
        <v>0</v>
      </c>
      <c r="N620" t="n">
        <v>0</v>
      </c>
      <c r="O620" t="n">
        <v>0</v>
      </c>
      <c r="P620" t="n">
        <v>0</v>
      </c>
      <c r="Q620" t="n">
        <v>0</v>
      </c>
      <c r="R620" s="2" t="inlineStr"/>
    </row>
    <row r="621" ht="15" customHeight="1">
      <c r="A621" t="inlineStr">
        <is>
          <t>A 37630-2025</t>
        </is>
      </c>
      <c r="B621" s="1" t="n">
        <v>45880.46372685185</v>
      </c>
      <c r="C621" s="1" t="n">
        <v>46076</v>
      </c>
      <c r="D621" t="inlineStr">
        <is>
          <t>STOCKHOLMS LÄN</t>
        </is>
      </c>
      <c r="E621" t="inlineStr">
        <is>
          <t>NORRTÄLJE</t>
        </is>
      </c>
      <c r="F621" t="inlineStr">
        <is>
          <t>Sveaskog</t>
        </is>
      </c>
      <c r="G621" t="n">
        <v>12.9</v>
      </c>
      <c r="H621" t="n">
        <v>0</v>
      </c>
      <c r="I621" t="n">
        <v>0</v>
      </c>
      <c r="J621" t="n">
        <v>0</v>
      </c>
      <c r="K621" t="n">
        <v>0</v>
      </c>
      <c r="L621" t="n">
        <v>0</v>
      </c>
      <c r="M621" t="n">
        <v>0</v>
      </c>
      <c r="N621" t="n">
        <v>0</v>
      </c>
      <c r="O621" t="n">
        <v>0</v>
      </c>
      <c r="P621" t="n">
        <v>0</v>
      </c>
      <c r="Q621" t="n">
        <v>0</v>
      </c>
      <c r="R621" s="2" t="inlineStr"/>
    </row>
    <row r="622" ht="15" customHeight="1">
      <c r="A622" t="inlineStr">
        <is>
          <t>A 48593-2025</t>
        </is>
      </c>
      <c r="B622" s="1" t="n">
        <v>45936.4627662037</v>
      </c>
      <c r="C622" s="1" t="n">
        <v>46076</v>
      </c>
      <c r="D622" t="inlineStr">
        <is>
          <t>STOCKHOLMS LÄN</t>
        </is>
      </c>
      <c r="E622" t="inlineStr">
        <is>
          <t>NORRTÄLJE</t>
        </is>
      </c>
      <c r="G622" t="n">
        <v>4.2</v>
      </c>
      <c r="H622" t="n">
        <v>0</v>
      </c>
      <c r="I622" t="n">
        <v>0</v>
      </c>
      <c r="J622" t="n">
        <v>0</v>
      </c>
      <c r="K622" t="n">
        <v>0</v>
      </c>
      <c r="L622" t="n">
        <v>0</v>
      </c>
      <c r="M622" t="n">
        <v>0</v>
      </c>
      <c r="N622" t="n">
        <v>0</v>
      </c>
      <c r="O622" t="n">
        <v>0</v>
      </c>
      <c r="P622" t="n">
        <v>0</v>
      </c>
      <c r="Q622" t="n">
        <v>0</v>
      </c>
      <c r="R622" s="2" t="inlineStr"/>
    </row>
    <row r="623" ht="15" customHeight="1">
      <c r="A623" t="inlineStr">
        <is>
          <t>A 4183-2025</t>
        </is>
      </c>
      <c r="B623" s="1" t="n">
        <v>45685.44592592592</v>
      </c>
      <c r="C623" s="1" t="n">
        <v>46076</v>
      </c>
      <c r="D623" t="inlineStr">
        <is>
          <t>STOCKHOLMS LÄN</t>
        </is>
      </c>
      <c r="E623" t="inlineStr">
        <is>
          <t>NORRTÄLJE</t>
        </is>
      </c>
      <c r="G623" t="n">
        <v>1.2</v>
      </c>
      <c r="H623" t="n">
        <v>0</v>
      </c>
      <c r="I623" t="n">
        <v>0</v>
      </c>
      <c r="J623" t="n">
        <v>0</v>
      </c>
      <c r="K623" t="n">
        <v>0</v>
      </c>
      <c r="L623" t="n">
        <v>0</v>
      </c>
      <c r="M623" t="n">
        <v>0</v>
      </c>
      <c r="N623" t="n">
        <v>0</v>
      </c>
      <c r="O623" t="n">
        <v>0</v>
      </c>
      <c r="P623" t="n">
        <v>0</v>
      </c>
      <c r="Q623" t="n">
        <v>0</v>
      </c>
      <c r="R623" s="2" t="inlineStr"/>
    </row>
    <row r="624" ht="15" customHeight="1">
      <c r="A624" t="inlineStr">
        <is>
          <t>A 46071-2024</t>
        </is>
      </c>
      <c r="B624" s="1" t="n">
        <v>45581</v>
      </c>
      <c r="C624" s="1" t="n">
        <v>46076</v>
      </c>
      <c r="D624" t="inlineStr">
        <is>
          <t>STOCKHOLMS LÄN</t>
        </is>
      </c>
      <c r="E624" t="inlineStr">
        <is>
          <t>NORRTÄLJE</t>
        </is>
      </c>
      <c r="G624" t="n">
        <v>2.3</v>
      </c>
      <c r="H624" t="n">
        <v>0</v>
      </c>
      <c r="I624" t="n">
        <v>0</v>
      </c>
      <c r="J624" t="n">
        <v>0</v>
      </c>
      <c r="K624" t="n">
        <v>0</v>
      </c>
      <c r="L624" t="n">
        <v>0</v>
      </c>
      <c r="M624" t="n">
        <v>0</v>
      </c>
      <c r="N624" t="n">
        <v>0</v>
      </c>
      <c r="O624" t="n">
        <v>0</v>
      </c>
      <c r="P624" t="n">
        <v>0</v>
      </c>
      <c r="Q624" t="n">
        <v>0</v>
      </c>
      <c r="R624" s="2" t="inlineStr"/>
    </row>
    <row r="625" ht="15" customHeight="1">
      <c r="A625" t="inlineStr">
        <is>
          <t>A 48443-2025</t>
        </is>
      </c>
      <c r="B625" s="1" t="n">
        <v>45935.55326388889</v>
      </c>
      <c r="C625" s="1" t="n">
        <v>46076</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9480-2025</t>
        </is>
      </c>
      <c r="B626" s="1" t="n">
        <v>45715</v>
      </c>
      <c r="C626" s="1" t="n">
        <v>46076</v>
      </c>
      <c r="D626" t="inlineStr">
        <is>
          <t>STOCKHOLMS LÄN</t>
        </is>
      </c>
      <c r="E626" t="inlineStr">
        <is>
          <t>NORRTÄLJE</t>
        </is>
      </c>
      <c r="F626" t="inlineStr">
        <is>
          <t>Övriga Aktiebolag</t>
        </is>
      </c>
      <c r="G626" t="n">
        <v>3.9</v>
      </c>
      <c r="H626" t="n">
        <v>0</v>
      </c>
      <c r="I626" t="n">
        <v>0</v>
      </c>
      <c r="J626" t="n">
        <v>0</v>
      </c>
      <c r="K626" t="n">
        <v>0</v>
      </c>
      <c r="L626" t="n">
        <v>0</v>
      </c>
      <c r="M626" t="n">
        <v>0</v>
      </c>
      <c r="N626" t="n">
        <v>0</v>
      </c>
      <c r="O626" t="n">
        <v>0</v>
      </c>
      <c r="P626" t="n">
        <v>0</v>
      </c>
      <c r="Q626" t="n">
        <v>0</v>
      </c>
      <c r="R626" s="2" t="inlineStr"/>
    </row>
    <row r="627" ht="15" customHeight="1">
      <c r="A627" t="inlineStr">
        <is>
          <t>A 13137-2024</t>
        </is>
      </c>
      <c r="B627" s="1" t="n">
        <v>45386.34175925926</v>
      </c>
      <c r="C627" s="1" t="n">
        <v>46076</v>
      </c>
      <c r="D627" t="inlineStr">
        <is>
          <t>STOCKHOLMS LÄN</t>
        </is>
      </c>
      <c r="E627" t="inlineStr">
        <is>
          <t>NORRTÄLJE</t>
        </is>
      </c>
      <c r="G627" t="n">
        <v>5</v>
      </c>
      <c r="H627" t="n">
        <v>0</v>
      </c>
      <c r="I627" t="n">
        <v>0</v>
      </c>
      <c r="J627" t="n">
        <v>0</v>
      </c>
      <c r="K627" t="n">
        <v>0</v>
      </c>
      <c r="L627" t="n">
        <v>0</v>
      </c>
      <c r="M627" t="n">
        <v>0</v>
      </c>
      <c r="N627" t="n">
        <v>0</v>
      </c>
      <c r="O627" t="n">
        <v>0</v>
      </c>
      <c r="P627" t="n">
        <v>0</v>
      </c>
      <c r="Q627" t="n">
        <v>0</v>
      </c>
      <c r="R627" s="2" t="inlineStr"/>
    </row>
    <row r="628" ht="15" customHeight="1">
      <c r="A628" t="inlineStr">
        <is>
          <t>A 24350-2025</t>
        </is>
      </c>
      <c r="B628" s="1" t="n">
        <v>45797.58350694444</v>
      </c>
      <c r="C628" s="1" t="n">
        <v>46076</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26703-2025</t>
        </is>
      </c>
      <c r="B629" s="1" t="n">
        <v>45810.45263888889</v>
      </c>
      <c r="C629" s="1" t="n">
        <v>46076</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48780-2025</t>
        </is>
      </c>
      <c r="B630" s="1" t="n">
        <v>45937.30377314815</v>
      </c>
      <c r="C630" s="1" t="n">
        <v>46076</v>
      </c>
      <c r="D630" t="inlineStr">
        <is>
          <t>STOCKHOLMS LÄN</t>
        </is>
      </c>
      <c r="E630" t="inlineStr">
        <is>
          <t>NORRTÄLJE</t>
        </is>
      </c>
      <c r="G630" t="n">
        <v>7.7</v>
      </c>
      <c r="H630" t="n">
        <v>0</v>
      </c>
      <c r="I630" t="n">
        <v>0</v>
      </c>
      <c r="J630" t="n">
        <v>0</v>
      </c>
      <c r="K630" t="n">
        <v>0</v>
      </c>
      <c r="L630" t="n">
        <v>0</v>
      </c>
      <c r="M630" t="n">
        <v>0</v>
      </c>
      <c r="N630" t="n">
        <v>0</v>
      </c>
      <c r="O630" t="n">
        <v>0</v>
      </c>
      <c r="P630" t="n">
        <v>0</v>
      </c>
      <c r="Q630" t="n">
        <v>0</v>
      </c>
      <c r="R630" s="2" t="inlineStr"/>
    </row>
    <row r="631" ht="15" customHeight="1">
      <c r="A631" t="inlineStr">
        <is>
          <t>A 38153-2025</t>
        </is>
      </c>
      <c r="B631" s="1" t="n">
        <v>45882.59722222222</v>
      </c>
      <c r="C631" s="1" t="n">
        <v>46076</v>
      </c>
      <c r="D631" t="inlineStr">
        <is>
          <t>STOCKHOLMS LÄN</t>
        </is>
      </c>
      <c r="E631" t="inlineStr">
        <is>
          <t>NORRTÄLJE</t>
        </is>
      </c>
      <c r="G631" t="n">
        <v>1.7</v>
      </c>
      <c r="H631" t="n">
        <v>0</v>
      </c>
      <c r="I631" t="n">
        <v>0</v>
      </c>
      <c r="J631" t="n">
        <v>0</v>
      </c>
      <c r="K631" t="n">
        <v>0</v>
      </c>
      <c r="L631" t="n">
        <v>0</v>
      </c>
      <c r="M631" t="n">
        <v>0</v>
      </c>
      <c r="N631" t="n">
        <v>0</v>
      </c>
      <c r="O631" t="n">
        <v>0</v>
      </c>
      <c r="P631" t="n">
        <v>0</v>
      </c>
      <c r="Q631" t="n">
        <v>0</v>
      </c>
      <c r="R631" s="2" t="inlineStr"/>
    </row>
    <row r="632" ht="15" customHeight="1">
      <c r="A632" t="inlineStr">
        <is>
          <t>A 24522-2023</t>
        </is>
      </c>
      <c r="B632" s="1" t="n">
        <v>45082.69179398148</v>
      </c>
      <c r="C632" s="1" t="n">
        <v>46076</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25625-2023</t>
        </is>
      </c>
      <c r="B633" s="1" t="n">
        <v>45089</v>
      </c>
      <c r="C633" s="1" t="n">
        <v>46076</v>
      </c>
      <c r="D633" t="inlineStr">
        <is>
          <t>STOCKHOLMS LÄN</t>
        </is>
      </c>
      <c r="E633" t="inlineStr">
        <is>
          <t>NORRTÄLJE</t>
        </is>
      </c>
      <c r="G633" t="n">
        <v>5.5</v>
      </c>
      <c r="H633" t="n">
        <v>0</v>
      </c>
      <c r="I633" t="n">
        <v>0</v>
      </c>
      <c r="J633" t="n">
        <v>0</v>
      </c>
      <c r="K633" t="n">
        <v>0</v>
      </c>
      <c r="L633" t="n">
        <v>0</v>
      </c>
      <c r="M633" t="n">
        <v>0</v>
      </c>
      <c r="N633" t="n">
        <v>0</v>
      </c>
      <c r="O633" t="n">
        <v>0</v>
      </c>
      <c r="P633" t="n">
        <v>0</v>
      </c>
      <c r="Q633" t="n">
        <v>0</v>
      </c>
      <c r="R633" s="2" t="inlineStr"/>
    </row>
    <row r="634" ht="15" customHeight="1">
      <c r="A634" t="inlineStr">
        <is>
          <t>A 22816-2021</t>
        </is>
      </c>
      <c r="B634" s="1" t="n">
        <v>44325</v>
      </c>
      <c r="C634" s="1" t="n">
        <v>46076</v>
      </c>
      <c r="D634" t="inlineStr">
        <is>
          <t>STOCKHOLMS LÄN</t>
        </is>
      </c>
      <c r="E634" t="inlineStr">
        <is>
          <t>NORRTÄLJE</t>
        </is>
      </c>
      <c r="G634" t="n">
        <v>4.5</v>
      </c>
      <c r="H634" t="n">
        <v>0</v>
      </c>
      <c r="I634" t="n">
        <v>0</v>
      </c>
      <c r="J634" t="n">
        <v>0</v>
      </c>
      <c r="K634" t="n">
        <v>0</v>
      </c>
      <c r="L634" t="n">
        <v>0</v>
      </c>
      <c r="M634" t="n">
        <v>0</v>
      </c>
      <c r="N634" t="n">
        <v>0</v>
      </c>
      <c r="O634" t="n">
        <v>0</v>
      </c>
      <c r="P634" t="n">
        <v>0</v>
      </c>
      <c r="Q634" t="n">
        <v>0</v>
      </c>
      <c r="R634" s="2" t="inlineStr"/>
    </row>
    <row r="635" ht="15" customHeight="1">
      <c r="A635" t="inlineStr">
        <is>
          <t>A 37147-2023</t>
        </is>
      </c>
      <c r="B635" s="1" t="n">
        <v>45155</v>
      </c>
      <c r="C635" s="1" t="n">
        <v>46076</v>
      </c>
      <c r="D635" t="inlineStr">
        <is>
          <t>STOCKHOLMS LÄN</t>
        </is>
      </c>
      <c r="E635" t="inlineStr">
        <is>
          <t>NORRTÄLJE</t>
        </is>
      </c>
      <c r="G635" t="n">
        <v>8</v>
      </c>
      <c r="H635" t="n">
        <v>0</v>
      </c>
      <c r="I635" t="n">
        <v>0</v>
      </c>
      <c r="J635" t="n">
        <v>0</v>
      </c>
      <c r="K635" t="n">
        <v>0</v>
      </c>
      <c r="L635" t="n">
        <v>0</v>
      </c>
      <c r="M635" t="n">
        <v>0</v>
      </c>
      <c r="N635" t="n">
        <v>0</v>
      </c>
      <c r="O635" t="n">
        <v>0</v>
      </c>
      <c r="P635" t="n">
        <v>0</v>
      </c>
      <c r="Q635" t="n">
        <v>0</v>
      </c>
      <c r="R635" s="2" t="inlineStr"/>
    </row>
    <row r="636" ht="15" customHeight="1">
      <c r="A636" t="inlineStr">
        <is>
          <t>A 7186-2024</t>
        </is>
      </c>
      <c r="B636" s="1" t="n">
        <v>45344</v>
      </c>
      <c r="C636" s="1" t="n">
        <v>46076</v>
      </c>
      <c r="D636" t="inlineStr">
        <is>
          <t>STOCKHOLMS LÄN</t>
        </is>
      </c>
      <c r="E636" t="inlineStr">
        <is>
          <t>NORRTÄLJE</t>
        </is>
      </c>
      <c r="G636" t="n">
        <v>4.9</v>
      </c>
      <c r="H636" t="n">
        <v>0</v>
      </c>
      <c r="I636" t="n">
        <v>0</v>
      </c>
      <c r="J636" t="n">
        <v>0</v>
      </c>
      <c r="K636" t="n">
        <v>0</v>
      </c>
      <c r="L636" t="n">
        <v>0</v>
      </c>
      <c r="M636" t="n">
        <v>0</v>
      </c>
      <c r="N636" t="n">
        <v>0</v>
      </c>
      <c r="O636" t="n">
        <v>0</v>
      </c>
      <c r="P636" t="n">
        <v>0</v>
      </c>
      <c r="Q636" t="n">
        <v>0</v>
      </c>
      <c r="R636" s="2" t="inlineStr"/>
    </row>
    <row r="637" ht="15" customHeight="1">
      <c r="A637" t="inlineStr">
        <is>
          <t>A 57602-2024</t>
        </is>
      </c>
      <c r="B637" s="1" t="n">
        <v>45630.52866898148</v>
      </c>
      <c r="C637" s="1" t="n">
        <v>46076</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44511.70518518519</v>
      </c>
      <c r="C638" s="1" t="n">
        <v>46076</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50602-2021</t>
        </is>
      </c>
      <c r="B639" s="1" t="n">
        <v>44459</v>
      </c>
      <c r="C639" s="1" t="n">
        <v>46076</v>
      </c>
      <c r="D639" t="inlineStr">
        <is>
          <t>STOCKHOLMS LÄN</t>
        </is>
      </c>
      <c r="E639" t="inlineStr">
        <is>
          <t>NORRTÄLJE</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26365-2024</t>
        </is>
      </c>
      <c r="B640" s="1" t="n">
        <v>45469</v>
      </c>
      <c r="C640" s="1" t="n">
        <v>46076</v>
      </c>
      <c r="D640" t="inlineStr">
        <is>
          <t>STOCKHOLMS LÄN</t>
        </is>
      </c>
      <c r="E640" t="inlineStr">
        <is>
          <t>NORRTÄLJE</t>
        </is>
      </c>
      <c r="G640" t="n">
        <v>0.9</v>
      </c>
      <c r="H640" t="n">
        <v>0</v>
      </c>
      <c r="I640" t="n">
        <v>0</v>
      </c>
      <c r="J640" t="n">
        <v>0</v>
      </c>
      <c r="K640" t="n">
        <v>0</v>
      </c>
      <c r="L640" t="n">
        <v>0</v>
      </c>
      <c r="M640" t="n">
        <v>0</v>
      </c>
      <c r="N640" t="n">
        <v>0</v>
      </c>
      <c r="O640" t="n">
        <v>0</v>
      </c>
      <c r="P640" t="n">
        <v>0</v>
      </c>
      <c r="Q640" t="n">
        <v>0</v>
      </c>
      <c r="R640" s="2" t="inlineStr"/>
    </row>
    <row r="641" ht="15" customHeight="1">
      <c r="A641" t="inlineStr">
        <is>
          <t>A 49129-2025</t>
        </is>
      </c>
      <c r="B641" s="1" t="n">
        <v>45937.89517361111</v>
      </c>
      <c r="C641" s="1" t="n">
        <v>46076</v>
      </c>
      <c r="D641" t="inlineStr">
        <is>
          <t>STOCKHOLMS LÄN</t>
        </is>
      </c>
      <c r="E641" t="inlineStr">
        <is>
          <t>NORRTÄLJE</t>
        </is>
      </c>
      <c r="G641" t="n">
        <v>0.5</v>
      </c>
      <c r="H641" t="n">
        <v>0</v>
      </c>
      <c r="I641" t="n">
        <v>0</v>
      </c>
      <c r="J641" t="n">
        <v>0</v>
      </c>
      <c r="K641" t="n">
        <v>0</v>
      </c>
      <c r="L641" t="n">
        <v>0</v>
      </c>
      <c r="M641" t="n">
        <v>0</v>
      </c>
      <c r="N641" t="n">
        <v>0</v>
      </c>
      <c r="O641" t="n">
        <v>0</v>
      </c>
      <c r="P641" t="n">
        <v>0</v>
      </c>
      <c r="Q641" t="n">
        <v>0</v>
      </c>
      <c r="R641" s="2" t="inlineStr"/>
    </row>
    <row r="642" ht="15" customHeight="1">
      <c r="A642" t="inlineStr">
        <is>
          <t>A 26640-2023</t>
        </is>
      </c>
      <c r="B642" s="1" t="n">
        <v>45092</v>
      </c>
      <c r="C642" s="1" t="n">
        <v>46076</v>
      </c>
      <c r="D642" t="inlineStr">
        <is>
          <t>STOCKHOLMS LÄN</t>
        </is>
      </c>
      <c r="E642" t="inlineStr">
        <is>
          <t>NORRTÄLJE</t>
        </is>
      </c>
      <c r="G642" t="n">
        <v>5.7</v>
      </c>
      <c r="H642" t="n">
        <v>0</v>
      </c>
      <c r="I642" t="n">
        <v>0</v>
      </c>
      <c r="J642" t="n">
        <v>0</v>
      </c>
      <c r="K642" t="n">
        <v>0</v>
      </c>
      <c r="L642" t="n">
        <v>0</v>
      </c>
      <c r="M642" t="n">
        <v>0</v>
      </c>
      <c r="N642" t="n">
        <v>0</v>
      </c>
      <c r="O642" t="n">
        <v>0</v>
      </c>
      <c r="P642" t="n">
        <v>0</v>
      </c>
      <c r="Q642" t="n">
        <v>0</v>
      </c>
      <c r="R642" s="2" t="inlineStr"/>
    </row>
    <row r="643" ht="15" customHeight="1">
      <c r="A643" t="inlineStr">
        <is>
          <t>A 31827-2023</t>
        </is>
      </c>
      <c r="B643" s="1" t="n">
        <v>45118</v>
      </c>
      <c r="C643" s="1" t="n">
        <v>46076</v>
      </c>
      <c r="D643" t="inlineStr">
        <is>
          <t>STOCKHOLMS LÄN</t>
        </is>
      </c>
      <c r="E643" t="inlineStr">
        <is>
          <t>NORRTÄLJE</t>
        </is>
      </c>
      <c r="F643" t="inlineStr">
        <is>
          <t>Kyrkan</t>
        </is>
      </c>
      <c r="G643" t="n">
        <v>4.9</v>
      </c>
      <c r="H643" t="n">
        <v>0</v>
      </c>
      <c r="I643" t="n">
        <v>0</v>
      </c>
      <c r="J643" t="n">
        <v>0</v>
      </c>
      <c r="K643" t="n">
        <v>0</v>
      </c>
      <c r="L643" t="n">
        <v>0</v>
      </c>
      <c r="M643" t="n">
        <v>0</v>
      </c>
      <c r="N643" t="n">
        <v>0</v>
      </c>
      <c r="O643" t="n">
        <v>0</v>
      </c>
      <c r="P643" t="n">
        <v>0</v>
      </c>
      <c r="Q643" t="n">
        <v>0</v>
      </c>
      <c r="R643" s="2" t="inlineStr"/>
    </row>
    <row r="644" ht="15" customHeight="1">
      <c r="A644" t="inlineStr">
        <is>
          <t>A 58993-2022</t>
        </is>
      </c>
      <c r="B644" s="1" t="n">
        <v>44903</v>
      </c>
      <c r="C644" s="1" t="n">
        <v>46076</v>
      </c>
      <c r="D644" t="inlineStr">
        <is>
          <t>STOCKHOLMS LÄN</t>
        </is>
      </c>
      <c r="E644" t="inlineStr">
        <is>
          <t>NORRTÄLJE</t>
        </is>
      </c>
      <c r="G644" t="n">
        <v>2.3</v>
      </c>
      <c r="H644" t="n">
        <v>0</v>
      </c>
      <c r="I644" t="n">
        <v>0</v>
      </c>
      <c r="J644" t="n">
        <v>0</v>
      </c>
      <c r="K644" t="n">
        <v>0</v>
      </c>
      <c r="L644" t="n">
        <v>0</v>
      </c>
      <c r="M644" t="n">
        <v>0</v>
      </c>
      <c r="N644" t="n">
        <v>0</v>
      </c>
      <c r="O644" t="n">
        <v>0</v>
      </c>
      <c r="P644" t="n">
        <v>0</v>
      </c>
      <c r="Q644" t="n">
        <v>0</v>
      </c>
      <c r="R644" s="2" t="inlineStr"/>
    </row>
    <row r="645" ht="15" customHeight="1">
      <c r="A645" t="inlineStr">
        <is>
          <t>A 28900-2022</t>
        </is>
      </c>
      <c r="B645" s="1" t="n">
        <v>44749.55258101852</v>
      </c>
      <c r="C645" s="1" t="n">
        <v>46076</v>
      </c>
      <c r="D645" t="inlineStr">
        <is>
          <t>STOCKHOLMS LÄN</t>
        </is>
      </c>
      <c r="E645" t="inlineStr">
        <is>
          <t>NORRTÄLJE</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17574-2025</t>
        </is>
      </c>
      <c r="B646" s="1" t="n">
        <v>45757.65178240741</v>
      </c>
      <c r="C646" s="1" t="n">
        <v>46076</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67921-2021</t>
        </is>
      </c>
      <c r="B647" s="1" t="n">
        <v>44525</v>
      </c>
      <c r="C647" s="1" t="n">
        <v>46076</v>
      </c>
      <c r="D647" t="inlineStr">
        <is>
          <t>STOCKHOLMS LÄN</t>
        </is>
      </c>
      <c r="E647" t="inlineStr">
        <is>
          <t>NORRTÄLJE</t>
        </is>
      </c>
      <c r="G647" t="n">
        <v>6.3</v>
      </c>
      <c r="H647" t="n">
        <v>0</v>
      </c>
      <c r="I647" t="n">
        <v>0</v>
      </c>
      <c r="J647" t="n">
        <v>0</v>
      </c>
      <c r="K647" t="n">
        <v>0</v>
      </c>
      <c r="L647" t="n">
        <v>0</v>
      </c>
      <c r="M647" t="n">
        <v>0</v>
      </c>
      <c r="N647" t="n">
        <v>0</v>
      </c>
      <c r="O647" t="n">
        <v>0</v>
      </c>
      <c r="P647" t="n">
        <v>0</v>
      </c>
      <c r="Q647" t="n">
        <v>0</v>
      </c>
      <c r="R647" s="2" t="inlineStr"/>
    </row>
    <row r="648" ht="15" customHeight="1">
      <c r="A648" t="inlineStr">
        <is>
          <t>A 50097-2025</t>
        </is>
      </c>
      <c r="B648" s="1" t="n">
        <v>45943.50207175926</v>
      </c>
      <c r="C648" s="1" t="n">
        <v>46076</v>
      </c>
      <c r="D648" t="inlineStr">
        <is>
          <t>STOCKHOLMS LÄN</t>
        </is>
      </c>
      <c r="E648" t="inlineStr">
        <is>
          <t>NORRTÄLJE</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49836-2025</t>
        </is>
      </c>
      <c r="B649" s="1" t="n">
        <v>45940.46862268518</v>
      </c>
      <c r="C649" s="1" t="n">
        <v>46076</v>
      </c>
      <c r="D649" t="inlineStr">
        <is>
          <t>STOCKHOLMS LÄN</t>
        </is>
      </c>
      <c r="E649" t="inlineStr">
        <is>
          <t>NORRTÄLJE</t>
        </is>
      </c>
      <c r="G649" t="n">
        <v>3.5</v>
      </c>
      <c r="H649" t="n">
        <v>0</v>
      </c>
      <c r="I649" t="n">
        <v>0</v>
      </c>
      <c r="J649" t="n">
        <v>0</v>
      </c>
      <c r="K649" t="n">
        <v>0</v>
      </c>
      <c r="L649" t="n">
        <v>0</v>
      </c>
      <c r="M649" t="n">
        <v>0</v>
      </c>
      <c r="N649" t="n">
        <v>0</v>
      </c>
      <c r="O649" t="n">
        <v>0</v>
      </c>
      <c r="P649" t="n">
        <v>0</v>
      </c>
      <c r="Q649" t="n">
        <v>0</v>
      </c>
      <c r="R649" s="2" t="inlineStr"/>
    </row>
    <row r="650" ht="15" customHeight="1">
      <c r="A650" t="inlineStr">
        <is>
          <t>A 58297-2023</t>
        </is>
      </c>
      <c r="B650" s="1" t="n">
        <v>45245</v>
      </c>
      <c r="C650" s="1" t="n">
        <v>46076</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20304-2023</t>
        </is>
      </c>
      <c r="B651" s="1" t="n">
        <v>45056</v>
      </c>
      <c r="C651" s="1" t="n">
        <v>46076</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12299-2025</t>
        </is>
      </c>
      <c r="B652" s="1" t="n">
        <v>45729.71065972222</v>
      </c>
      <c r="C652" s="1" t="n">
        <v>46076</v>
      </c>
      <c r="D652" t="inlineStr">
        <is>
          <t>STOCKHOLMS LÄN</t>
        </is>
      </c>
      <c r="E652" t="inlineStr">
        <is>
          <t>NORRTÄLJE</t>
        </is>
      </c>
      <c r="F652" t="inlineStr">
        <is>
          <t>Holmen skog AB</t>
        </is>
      </c>
      <c r="G652" t="n">
        <v>6.9</v>
      </c>
      <c r="H652" t="n">
        <v>0</v>
      </c>
      <c r="I652" t="n">
        <v>0</v>
      </c>
      <c r="J652" t="n">
        <v>0</v>
      </c>
      <c r="K652" t="n">
        <v>0</v>
      </c>
      <c r="L652" t="n">
        <v>0</v>
      </c>
      <c r="M652" t="n">
        <v>0</v>
      </c>
      <c r="N652" t="n">
        <v>0</v>
      </c>
      <c r="O652" t="n">
        <v>0</v>
      </c>
      <c r="P652" t="n">
        <v>0</v>
      </c>
      <c r="Q652" t="n">
        <v>0</v>
      </c>
      <c r="R652" s="2" t="inlineStr"/>
    </row>
    <row r="653" ht="15" customHeight="1">
      <c r="A653" t="inlineStr">
        <is>
          <t>A 22157-2023</t>
        </is>
      </c>
      <c r="B653" s="1" t="n">
        <v>45069</v>
      </c>
      <c r="C653" s="1" t="n">
        <v>46076</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c r="U653">
        <f>HYPERLINK("https://klasma.github.io/Logging_0188/knärot/A 22157-2023 karta knärot.png", "A 22157-2023")</f>
        <v/>
      </c>
      <c r="V653">
        <f>HYPERLINK("https://klasma.github.io/Logging_0188/klagomål/A 22157-2023 FSC-klagomål.docx", "A 22157-2023")</f>
        <v/>
      </c>
      <c r="W653">
        <f>HYPERLINK("https://klasma.github.io/Logging_0188/klagomålsmail/A 22157-2023 FSC-klagomål mail.docx", "A 22157-2023")</f>
        <v/>
      </c>
      <c r="X653">
        <f>HYPERLINK("https://klasma.github.io/Logging_0188/tillsyn/A 22157-2023 tillsynsbegäran.docx", "A 22157-2023")</f>
        <v/>
      </c>
      <c r="Y653">
        <f>HYPERLINK("https://klasma.github.io/Logging_0188/tillsynsmail/A 22157-2023 tillsynsbegäran mail.docx", "A 22157-2023")</f>
        <v/>
      </c>
    </row>
    <row r="654" ht="15" customHeight="1">
      <c r="A654" t="inlineStr">
        <is>
          <t>A 50327-2025</t>
        </is>
      </c>
      <c r="B654" s="1" t="n">
        <v>45944.46387731482</v>
      </c>
      <c r="C654" s="1" t="n">
        <v>46076</v>
      </c>
      <c r="D654" t="inlineStr">
        <is>
          <t>STOCKHOLMS LÄN</t>
        </is>
      </c>
      <c r="E654" t="inlineStr">
        <is>
          <t>NORRTÄLJE</t>
        </is>
      </c>
      <c r="G654" t="n">
        <v>0.3</v>
      </c>
      <c r="H654" t="n">
        <v>0</v>
      </c>
      <c r="I654" t="n">
        <v>0</v>
      </c>
      <c r="J654" t="n">
        <v>0</v>
      </c>
      <c r="K654" t="n">
        <v>0</v>
      </c>
      <c r="L654" t="n">
        <v>0</v>
      </c>
      <c r="M654" t="n">
        <v>0</v>
      </c>
      <c r="N654" t="n">
        <v>0</v>
      </c>
      <c r="O654" t="n">
        <v>0</v>
      </c>
      <c r="P654" t="n">
        <v>0</v>
      </c>
      <c r="Q654" t="n">
        <v>0</v>
      </c>
      <c r="R654" s="2" t="inlineStr"/>
    </row>
    <row r="655" ht="15" customHeight="1">
      <c r="A655" t="inlineStr">
        <is>
          <t>A 65499-2021</t>
        </is>
      </c>
      <c r="B655" s="1" t="n">
        <v>44516</v>
      </c>
      <c r="C655" s="1" t="n">
        <v>46076</v>
      </c>
      <c r="D655" t="inlineStr">
        <is>
          <t>STOCKHOLMS LÄN</t>
        </is>
      </c>
      <c r="E655" t="inlineStr">
        <is>
          <t>NORRTÄLJE</t>
        </is>
      </c>
      <c r="F655" t="inlineStr">
        <is>
          <t>Kommuner</t>
        </is>
      </c>
      <c r="G655" t="n">
        <v>5.2</v>
      </c>
      <c r="H655" t="n">
        <v>0</v>
      </c>
      <c r="I655" t="n">
        <v>0</v>
      </c>
      <c r="J655" t="n">
        <v>0</v>
      </c>
      <c r="K655" t="n">
        <v>0</v>
      </c>
      <c r="L655" t="n">
        <v>0</v>
      </c>
      <c r="M655" t="n">
        <v>0</v>
      </c>
      <c r="N655" t="n">
        <v>0</v>
      </c>
      <c r="O655" t="n">
        <v>0</v>
      </c>
      <c r="P655" t="n">
        <v>0</v>
      </c>
      <c r="Q655" t="n">
        <v>0</v>
      </c>
      <c r="R655" s="2" t="inlineStr"/>
    </row>
    <row r="656" ht="15" customHeight="1">
      <c r="A656" t="inlineStr">
        <is>
          <t>A 11929-2024</t>
        </is>
      </c>
      <c r="B656" s="1" t="n">
        <v>45376.64532407407</v>
      </c>
      <c r="C656" s="1" t="n">
        <v>46076</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50563-2025</t>
        </is>
      </c>
      <c r="B657" s="1" t="n">
        <v>45944</v>
      </c>
      <c r="C657" s="1" t="n">
        <v>46076</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50333-2025</t>
        </is>
      </c>
      <c r="B658" s="1" t="n">
        <v>45944.47178240741</v>
      </c>
      <c r="C658" s="1" t="n">
        <v>46076</v>
      </c>
      <c r="D658" t="inlineStr">
        <is>
          <t>STOCKHOLMS LÄN</t>
        </is>
      </c>
      <c r="E658" t="inlineStr">
        <is>
          <t>NORRTÄLJE</t>
        </is>
      </c>
      <c r="G658" t="n">
        <v>4.2</v>
      </c>
      <c r="H658" t="n">
        <v>0</v>
      </c>
      <c r="I658" t="n">
        <v>0</v>
      </c>
      <c r="J658" t="n">
        <v>0</v>
      </c>
      <c r="K658" t="n">
        <v>0</v>
      </c>
      <c r="L658" t="n">
        <v>0</v>
      </c>
      <c r="M658" t="n">
        <v>0</v>
      </c>
      <c r="N658" t="n">
        <v>0</v>
      </c>
      <c r="O658" t="n">
        <v>0</v>
      </c>
      <c r="P658" t="n">
        <v>0</v>
      </c>
      <c r="Q658" t="n">
        <v>0</v>
      </c>
      <c r="R658" s="2" t="inlineStr"/>
    </row>
    <row r="659" ht="15" customHeight="1">
      <c r="A659" t="inlineStr">
        <is>
          <t>A 51122-2025</t>
        </is>
      </c>
      <c r="B659" s="1" t="n">
        <v>45947.53693287037</v>
      </c>
      <c r="C659" s="1" t="n">
        <v>46076</v>
      </c>
      <c r="D659" t="inlineStr">
        <is>
          <t>STOCKHOLMS LÄN</t>
        </is>
      </c>
      <c r="E659" t="inlineStr">
        <is>
          <t>NORRTÄLJE</t>
        </is>
      </c>
      <c r="G659" t="n">
        <v>3.8</v>
      </c>
      <c r="H659" t="n">
        <v>0</v>
      </c>
      <c r="I659" t="n">
        <v>0</v>
      </c>
      <c r="J659" t="n">
        <v>0</v>
      </c>
      <c r="K659" t="n">
        <v>0</v>
      </c>
      <c r="L659" t="n">
        <v>0</v>
      </c>
      <c r="M659" t="n">
        <v>0</v>
      </c>
      <c r="N659" t="n">
        <v>0</v>
      </c>
      <c r="O659" t="n">
        <v>0</v>
      </c>
      <c r="P659" t="n">
        <v>0</v>
      </c>
      <c r="Q659" t="n">
        <v>0</v>
      </c>
      <c r="R659" s="2" t="inlineStr"/>
    </row>
    <row r="660" ht="15" customHeight="1">
      <c r="A660" t="inlineStr">
        <is>
          <t>A 51233-2025</t>
        </is>
      </c>
      <c r="B660" s="1" t="n">
        <v>45947.68232638889</v>
      </c>
      <c r="C660" s="1" t="n">
        <v>46076</v>
      </c>
      <c r="D660" t="inlineStr">
        <is>
          <t>STOCKHOLMS LÄN</t>
        </is>
      </c>
      <c r="E660" t="inlineStr">
        <is>
          <t>NORRTÄLJE</t>
        </is>
      </c>
      <c r="F660" t="inlineStr">
        <is>
          <t>Naturvårdsverket</t>
        </is>
      </c>
      <c r="G660" t="n">
        <v>8.1</v>
      </c>
      <c r="H660" t="n">
        <v>0</v>
      </c>
      <c r="I660" t="n">
        <v>0</v>
      </c>
      <c r="J660" t="n">
        <v>0</v>
      </c>
      <c r="K660" t="n">
        <v>0</v>
      </c>
      <c r="L660" t="n">
        <v>0</v>
      </c>
      <c r="M660" t="n">
        <v>0</v>
      </c>
      <c r="N660" t="n">
        <v>0</v>
      </c>
      <c r="O660" t="n">
        <v>0</v>
      </c>
      <c r="P660" t="n">
        <v>0</v>
      </c>
      <c r="Q660" t="n">
        <v>0</v>
      </c>
      <c r="R660" s="2" t="inlineStr"/>
    </row>
    <row r="661" ht="15" customHeight="1">
      <c r="A661" t="inlineStr">
        <is>
          <t>A 51236-2025</t>
        </is>
      </c>
      <c r="B661" s="1" t="n">
        <v>45947.69078703703</v>
      </c>
      <c r="C661" s="1" t="n">
        <v>46076</v>
      </c>
      <c r="D661" t="inlineStr">
        <is>
          <t>STOCKHOLMS LÄN</t>
        </is>
      </c>
      <c r="E661" t="inlineStr">
        <is>
          <t>NORRTÄLJE</t>
        </is>
      </c>
      <c r="F661" t="inlineStr">
        <is>
          <t>Naturvårdsverket</t>
        </is>
      </c>
      <c r="G661" t="n">
        <v>6.3</v>
      </c>
      <c r="H661" t="n">
        <v>0</v>
      </c>
      <c r="I661" t="n">
        <v>0</v>
      </c>
      <c r="J661" t="n">
        <v>0</v>
      </c>
      <c r="K661" t="n">
        <v>0</v>
      </c>
      <c r="L661" t="n">
        <v>0</v>
      </c>
      <c r="M661" t="n">
        <v>0</v>
      </c>
      <c r="N661" t="n">
        <v>0</v>
      </c>
      <c r="O661" t="n">
        <v>0</v>
      </c>
      <c r="P661" t="n">
        <v>0</v>
      </c>
      <c r="Q661" t="n">
        <v>0</v>
      </c>
      <c r="R661" s="2" t="inlineStr"/>
    </row>
    <row r="662" ht="15" customHeight="1">
      <c r="A662" t="inlineStr">
        <is>
          <t>A 51241-2025</t>
        </is>
      </c>
      <c r="B662" s="1" t="n">
        <v>45947.71726851852</v>
      </c>
      <c r="C662" s="1" t="n">
        <v>46076</v>
      </c>
      <c r="D662" t="inlineStr">
        <is>
          <t>STOCKHOLMS LÄN</t>
        </is>
      </c>
      <c r="E662" t="inlineStr">
        <is>
          <t>NORRTÄLJE</t>
        </is>
      </c>
      <c r="F662" t="inlineStr">
        <is>
          <t>Naturvårdsverket</t>
        </is>
      </c>
      <c r="G662" t="n">
        <v>6.4</v>
      </c>
      <c r="H662" t="n">
        <v>0</v>
      </c>
      <c r="I662" t="n">
        <v>0</v>
      </c>
      <c r="J662" t="n">
        <v>0</v>
      </c>
      <c r="K662" t="n">
        <v>0</v>
      </c>
      <c r="L662" t="n">
        <v>0</v>
      </c>
      <c r="M662" t="n">
        <v>0</v>
      </c>
      <c r="N662" t="n">
        <v>0</v>
      </c>
      <c r="O662" t="n">
        <v>0</v>
      </c>
      <c r="P662" t="n">
        <v>0</v>
      </c>
      <c r="Q662" t="n">
        <v>0</v>
      </c>
      <c r="R662" s="2" t="inlineStr"/>
    </row>
    <row r="663" ht="15" customHeight="1">
      <c r="A663" t="inlineStr">
        <is>
          <t>A 8296-2023</t>
        </is>
      </c>
      <c r="B663" s="1" t="n">
        <v>44974</v>
      </c>
      <c r="C663" s="1" t="n">
        <v>46076</v>
      </c>
      <c r="D663" t="inlineStr">
        <is>
          <t>STOCKHOLMS LÄN</t>
        </is>
      </c>
      <c r="E663" t="inlineStr">
        <is>
          <t>NORRTÄLJE</t>
        </is>
      </c>
      <c r="G663" t="n">
        <v>3.8</v>
      </c>
      <c r="H663" t="n">
        <v>0</v>
      </c>
      <c r="I663" t="n">
        <v>0</v>
      </c>
      <c r="J663" t="n">
        <v>0</v>
      </c>
      <c r="K663" t="n">
        <v>0</v>
      </c>
      <c r="L663" t="n">
        <v>0</v>
      </c>
      <c r="M663" t="n">
        <v>0</v>
      </c>
      <c r="N663" t="n">
        <v>0</v>
      </c>
      <c r="O663" t="n">
        <v>0</v>
      </c>
      <c r="P663" t="n">
        <v>0</v>
      </c>
      <c r="Q663" t="n">
        <v>0</v>
      </c>
      <c r="R663" s="2" t="inlineStr"/>
    </row>
    <row r="664" ht="15" customHeight="1">
      <c r="A664" t="inlineStr">
        <is>
          <t>A 51240-2025</t>
        </is>
      </c>
      <c r="B664" s="1" t="n">
        <v>45947.70420138889</v>
      </c>
      <c r="C664" s="1" t="n">
        <v>46076</v>
      </c>
      <c r="D664" t="inlineStr">
        <is>
          <t>STOCKHOLMS LÄN</t>
        </is>
      </c>
      <c r="E664" t="inlineStr">
        <is>
          <t>NORRTÄLJE</t>
        </is>
      </c>
      <c r="F664" t="inlineStr">
        <is>
          <t>Naturvårdsverket</t>
        </is>
      </c>
      <c r="G664" t="n">
        <v>3</v>
      </c>
      <c r="H664" t="n">
        <v>0</v>
      </c>
      <c r="I664" t="n">
        <v>0</v>
      </c>
      <c r="J664" t="n">
        <v>0</v>
      </c>
      <c r="K664" t="n">
        <v>0</v>
      </c>
      <c r="L664" t="n">
        <v>0</v>
      </c>
      <c r="M664" t="n">
        <v>0</v>
      </c>
      <c r="N664" t="n">
        <v>0</v>
      </c>
      <c r="O664" t="n">
        <v>0</v>
      </c>
      <c r="P664" t="n">
        <v>0</v>
      </c>
      <c r="Q664" t="n">
        <v>0</v>
      </c>
      <c r="R664" s="2" t="inlineStr"/>
    </row>
    <row r="665" ht="15" customHeight="1">
      <c r="A665" t="inlineStr">
        <is>
          <t>A 24575-2024</t>
        </is>
      </c>
      <c r="B665" s="1" t="n">
        <v>45460.45523148148</v>
      </c>
      <c r="C665" s="1" t="n">
        <v>46076</v>
      </c>
      <c r="D665" t="inlineStr">
        <is>
          <t>STOCKHOLMS LÄN</t>
        </is>
      </c>
      <c r="E665" t="inlineStr">
        <is>
          <t>NORRTÄLJE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64899-2023</t>
        </is>
      </c>
      <c r="B666" s="1" t="n">
        <v>45282</v>
      </c>
      <c r="C666" s="1" t="n">
        <v>46076</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51121-2025</t>
        </is>
      </c>
      <c r="B667" s="1" t="n">
        <v>45947.53293981482</v>
      </c>
      <c r="C667" s="1" t="n">
        <v>46076</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52593-2024</t>
        </is>
      </c>
      <c r="B668" s="1" t="n">
        <v>45609.70778935185</v>
      </c>
      <c r="C668" s="1" t="n">
        <v>46076</v>
      </c>
      <c r="D668" t="inlineStr">
        <is>
          <t>STOCKHOLMS LÄN</t>
        </is>
      </c>
      <c r="E668" t="inlineStr">
        <is>
          <t>NORRTÄLJE</t>
        </is>
      </c>
      <c r="F668" t="inlineStr">
        <is>
          <t>Holmen skog AB</t>
        </is>
      </c>
      <c r="G668" t="n">
        <v>2.4</v>
      </c>
      <c r="H668" t="n">
        <v>0</v>
      </c>
      <c r="I668" t="n">
        <v>0</v>
      </c>
      <c r="J668" t="n">
        <v>0</v>
      </c>
      <c r="K668" t="n">
        <v>0</v>
      </c>
      <c r="L668" t="n">
        <v>0</v>
      </c>
      <c r="M668" t="n">
        <v>0</v>
      </c>
      <c r="N668" t="n">
        <v>0</v>
      </c>
      <c r="O668" t="n">
        <v>0</v>
      </c>
      <c r="P668" t="n">
        <v>0</v>
      </c>
      <c r="Q668" t="n">
        <v>0</v>
      </c>
      <c r="R668" s="2" t="inlineStr"/>
    </row>
    <row r="669" ht="15" customHeight="1">
      <c r="A669" t="inlineStr">
        <is>
          <t>A 52617-2024</t>
        </is>
      </c>
      <c r="B669" s="1" t="n">
        <v>45609.85146990741</v>
      </c>
      <c r="C669" s="1" t="n">
        <v>46076</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59477-2025</t>
        </is>
      </c>
      <c r="B670" s="1" t="n">
        <v>45989.58679398148</v>
      </c>
      <c r="C670" s="1" t="n">
        <v>46076</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22816-2021</t>
        </is>
      </c>
      <c r="B671" s="1" t="n">
        <v>44325</v>
      </c>
      <c r="C671" s="1" t="n">
        <v>46076</v>
      </c>
      <c r="D671" t="inlineStr">
        <is>
          <t>STOCKHOLMS LÄN</t>
        </is>
      </c>
      <c r="E671" t="inlineStr">
        <is>
          <t>NORRTÄLJE</t>
        </is>
      </c>
      <c r="G671" t="n">
        <v>4.5</v>
      </c>
      <c r="H671" t="n">
        <v>0</v>
      </c>
      <c r="I671" t="n">
        <v>0</v>
      </c>
      <c r="J671" t="n">
        <v>0</v>
      </c>
      <c r="K671" t="n">
        <v>0</v>
      </c>
      <c r="L671" t="n">
        <v>0</v>
      </c>
      <c r="M671" t="n">
        <v>0</v>
      </c>
      <c r="N671" t="n">
        <v>0</v>
      </c>
      <c r="O671" t="n">
        <v>0</v>
      </c>
      <c r="P671" t="n">
        <v>0</v>
      </c>
      <c r="Q671" t="n">
        <v>0</v>
      </c>
      <c r="R671" s="2" t="inlineStr"/>
    </row>
    <row r="672" ht="15" customHeight="1">
      <c r="A672" t="inlineStr">
        <is>
          <t>A 59904-2023</t>
        </is>
      </c>
      <c r="B672" s="1" t="n">
        <v>45257</v>
      </c>
      <c r="C672" s="1" t="n">
        <v>46076</v>
      </c>
      <c r="D672" t="inlineStr">
        <is>
          <t>STOCKHOLMS LÄN</t>
        </is>
      </c>
      <c r="E672" t="inlineStr">
        <is>
          <t>NORRTÄLJE</t>
        </is>
      </c>
      <c r="G672" t="n">
        <v>17.4</v>
      </c>
      <c r="H672" t="n">
        <v>0</v>
      </c>
      <c r="I672" t="n">
        <v>0</v>
      </c>
      <c r="J672" t="n">
        <v>0</v>
      </c>
      <c r="K672" t="n">
        <v>0</v>
      </c>
      <c r="L672" t="n">
        <v>0</v>
      </c>
      <c r="M672" t="n">
        <v>0</v>
      </c>
      <c r="N672" t="n">
        <v>0</v>
      </c>
      <c r="O672" t="n">
        <v>0</v>
      </c>
      <c r="P672" t="n">
        <v>0</v>
      </c>
      <c r="Q672" t="n">
        <v>0</v>
      </c>
      <c r="R672" s="2" t="inlineStr"/>
    </row>
    <row r="673" ht="15" customHeight="1">
      <c r="A673" t="inlineStr">
        <is>
          <t>A 9914-2023</t>
        </is>
      </c>
      <c r="B673" s="1" t="n">
        <v>44985</v>
      </c>
      <c r="C673" s="1" t="n">
        <v>46076</v>
      </c>
      <c r="D673" t="inlineStr">
        <is>
          <t>STOCKHOLMS LÄN</t>
        </is>
      </c>
      <c r="E673" t="inlineStr">
        <is>
          <t>NORRTÄLJE</t>
        </is>
      </c>
      <c r="G673" t="n">
        <v>4.2</v>
      </c>
      <c r="H673" t="n">
        <v>0</v>
      </c>
      <c r="I673" t="n">
        <v>0</v>
      </c>
      <c r="J673" t="n">
        <v>0</v>
      </c>
      <c r="K673" t="n">
        <v>0</v>
      </c>
      <c r="L673" t="n">
        <v>0</v>
      </c>
      <c r="M673" t="n">
        <v>0</v>
      </c>
      <c r="N673" t="n">
        <v>0</v>
      </c>
      <c r="O673" t="n">
        <v>0</v>
      </c>
      <c r="P673" t="n">
        <v>0</v>
      </c>
      <c r="Q673" t="n">
        <v>0</v>
      </c>
      <c r="R673" s="2" t="inlineStr"/>
    </row>
    <row r="674" ht="15" customHeight="1">
      <c r="A674" t="inlineStr">
        <is>
          <t>A 51532-2025</t>
        </is>
      </c>
      <c r="B674" s="1" t="n">
        <v>45950.68297453703</v>
      </c>
      <c r="C674" s="1" t="n">
        <v>46076</v>
      </c>
      <c r="D674" t="inlineStr">
        <is>
          <t>STOCKHOLMS LÄN</t>
        </is>
      </c>
      <c r="E674" t="inlineStr">
        <is>
          <t>NORRTÄLJE</t>
        </is>
      </c>
      <c r="F674" t="inlineStr">
        <is>
          <t>Naturvårdsverket</t>
        </is>
      </c>
      <c r="G674" t="n">
        <v>17.3</v>
      </c>
      <c r="H674" t="n">
        <v>0</v>
      </c>
      <c r="I674" t="n">
        <v>0</v>
      </c>
      <c r="J674" t="n">
        <v>0</v>
      </c>
      <c r="K674" t="n">
        <v>0</v>
      </c>
      <c r="L674" t="n">
        <v>0</v>
      </c>
      <c r="M674" t="n">
        <v>0</v>
      </c>
      <c r="N674" t="n">
        <v>0</v>
      </c>
      <c r="O674" t="n">
        <v>0</v>
      </c>
      <c r="P674" t="n">
        <v>0</v>
      </c>
      <c r="Q674" t="n">
        <v>0</v>
      </c>
      <c r="R674" s="2" t="inlineStr"/>
    </row>
    <row r="675" ht="15" customHeight="1">
      <c r="A675" t="inlineStr">
        <is>
          <t>A 51789-2025</t>
        </is>
      </c>
      <c r="B675" s="1" t="n">
        <v>45951.68046296296</v>
      </c>
      <c r="C675" s="1" t="n">
        <v>46076</v>
      </c>
      <c r="D675" t="inlineStr">
        <is>
          <t>STOCKHOLMS LÄN</t>
        </is>
      </c>
      <c r="E675" t="inlineStr">
        <is>
          <t>NORRTÄLJE</t>
        </is>
      </c>
      <c r="F675" t="inlineStr">
        <is>
          <t>Naturvårdsverket</t>
        </is>
      </c>
      <c r="G675" t="n">
        <v>8.9</v>
      </c>
      <c r="H675" t="n">
        <v>0</v>
      </c>
      <c r="I675" t="n">
        <v>0</v>
      </c>
      <c r="J675" t="n">
        <v>0</v>
      </c>
      <c r="K675" t="n">
        <v>0</v>
      </c>
      <c r="L675" t="n">
        <v>0</v>
      </c>
      <c r="M675" t="n">
        <v>0</v>
      </c>
      <c r="N675" t="n">
        <v>0</v>
      </c>
      <c r="O675" t="n">
        <v>0</v>
      </c>
      <c r="P675" t="n">
        <v>0</v>
      </c>
      <c r="Q675" t="n">
        <v>0</v>
      </c>
      <c r="R675" s="2" t="inlineStr"/>
    </row>
    <row r="676" ht="15" customHeight="1">
      <c r="A676" t="inlineStr">
        <is>
          <t>A 11062-2024</t>
        </is>
      </c>
      <c r="B676" s="1" t="n">
        <v>45370</v>
      </c>
      <c r="C676" s="1" t="n">
        <v>46076</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row>
    <row r="677" ht="15" customHeight="1">
      <c r="A677" t="inlineStr">
        <is>
          <t>A 33569-2023</t>
        </is>
      </c>
      <c r="B677" s="1" t="n">
        <v>45131.666875</v>
      </c>
      <c r="C677" s="1" t="n">
        <v>46076</v>
      </c>
      <c r="D677" t="inlineStr">
        <is>
          <t>STOCKHOLMS LÄN</t>
        </is>
      </c>
      <c r="E677" t="inlineStr">
        <is>
          <t>NORRTÄLJE</t>
        </is>
      </c>
      <c r="G677" t="n">
        <v>2.3</v>
      </c>
      <c r="H677" t="n">
        <v>0</v>
      </c>
      <c r="I677" t="n">
        <v>0</v>
      </c>
      <c r="J677" t="n">
        <v>0</v>
      </c>
      <c r="K677" t="n">
        <v>0</v>
      </c>
      <c r="L677" t="n">
        <v>0</v>
      </c>
      <c r="M677" t="n">
        <v>0</v>
      </c>
      <c r="N677" t="n">
        <v>0</v>
      </c>
      <c r="O677" t="n">
        <v>0</v>
      </c>
      <c r="P677" t="n">
        <v>0</v>
      </c>
      <c r="Q677" t="n">
        <v>0</v>
      </c>
      <c r="R677" s="2" t="inlineStr"/>
    </row>
    <row r="678" ht="15" customHeight="1">
      <c r="A678" t="inlineStr">
        <is>
          <t>A 15905-2023</t>
        </is>
      </c>
      <c r="B678" s="1" t="n">
        <v>45022</v>
      </c>
      <c r="C678" s="1" t="n">
        <v>46076</v>
      </c>
      <c r="D678" t="inlineStr">
        <is>
          <t>STOCKHOLMS LÄN</t>
        </is>
      </c>
      <c r="E678" t="inlineStr">
        <is>
          <t>NORRTÄLJE</t>
        </is>
      </c>
      <c r="G678" t="n">
        <v>3.2</v>
      </c>
      <c r="H678" t="n">
        <v>0</v>
      </c>
      <c r="I678" t="n">
        <v>0</v>
      </c>
      <c r="J678" t="n">
        <v>0</v>
      </c>
      <c r="K678" t="n">
        <v>0</v>
      </c>
      <c r="L678" t="n">
        <v>0</v>
      </c>
      <c r="M678" t="n">
        <v>0</v>
      </c>
      <c r="N678" t="n">
        <v>0</v>
      </c>
      <c r="O678" t="n">
        <v>0</v>
      </c>
      <c r="P678" t="n">
        <v>0</v>
      </c>
      <c r="Q678" t="n">
        <v>0</v>
      </c>
      <c r="R678" s="2" t="inlineStr"/>
    </row>
    <row r="679" ht="15" customHeight="1">
      <c r="A679" t="inlineStr">
        <is>
          <t>A 15956-2023</t>
        </is>
      </c>
      <c r="B679" s="1" t="n">
        <v>45022.61003472222</v>
      </c>
      <c r="C679" s="1" t="n">
        <v>46076</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47626-2022</t>
        </is>
      </c>
      <c r="B680" s="1" t="n">
        <v>44854</v>
      </c>
      <c r="C680" s="1" t="n">
        <v>46076</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51960-2025</t>
        </is>
      </c>
      <c r="B681" s="1" t="n">
        <v>45952.54755787037</v>
      </c>
      <c r="C681" s="1" t="n">
        <v>46076</v>
      </c>
      <c r="D681" t="inlineStr">
        <is>
          <t>STOCKHOLMS LÄN</t>
        </is>
      </c>
      <c r="E681" t="inlineStr">
        <is>
          <t>NORRTÄLJE</t>
        </is>
      </c>
      <c r="G681" t="n">
        <v>2</v>
      </c>
      <c r="H681" t="n">
        <v>0</v>
      </c>
      <c r="I681" t="n">
        <v>0</v>
      </c>
      <c r="J681" t="n">
        <v>0</v>
      </c>
      <c r="K681" t="n">
        <v>0</v>
      </c>
      <c r="L681" t="n">
        <v>0</v>
      </c>
      <c r="M681" t="n">
        <v>0</v>
      </c>
      <c r="N681" t="n">
        <v>0</v>
      </c>
      <c r="O681" t="n">
        <v>0</v>
      </c>
      <c r="P681" t="n">
        <v>0</v>
      </c>
      <c r="Q681" t="n">
        <v>0</v>
      </c>
      <c r="R681" s="2" t="inlineStr"/>
    </row>
    <row r="682" ht="15" customHeight="1">
      <c r="A682" t="inlineStr">
        <is>
          <t>A 62206-2022</t>
        </is>
      </c>
      <c r="B682" s="1" t="n">
        <v>44922</v>
      </c>
      <c r="C682" s="1" t="n">
        <v>46076</v>
      </c>
      <c r="D682" t="inlineStr">
        <is>
          <t>STOCKHOLMS LÄN</t>
        </is>
      </c>
      <c r="E682" t="inlineStr">
        <is>
          <t>NORRTÄLJE</t>
        </is>
      </c>
      <c r="G682" t="n">
        <v>2.9</v>
      </c>
      <c r="H682" t="n">
        <v>0</v>
      </c>
      <c r="I682" t="n">
        <v>0</v>
      </c>
      <c r="J682" t="n">
        <v>0</v>
      </c>
      <c r="K682" t="n">
        <v>0</v>
      </c>
      <c r="L682" t="n">
        <v>0</v>
      </c>
      <c r="M682" t="n">
        <v>0</v>
      </c>
      <c r="N682" t="n">
        <v>0</v>
      </c>
      <c r="O682" t="n">
        <v>0</v>
      </c>
      <c r="P682" t="n">
        <v>0</v>
      </c>
      <c r="Q682" t="n">
        <v>0</v>
      </c>
      <c r="R682" s="2" t="inlineStr"/>
    </row>
    <row r="683" ht="15" customHeight="1">
      <c r="A683" t="inlineStr">
        <is>
          <t>A 20618-2022</t>
        </is>
      </c>
      <c r="B683" s="1" t="n">
        <v>44700.50659722222</v>
      </c>
      <c r="C683" s="1" t="n">
        <v>46076</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40192-2023</t>
        </is>
      </c>
      <c r="B684" s="1" t="n">
        <v>45169</v>
      </c>
      <c r="C684" s="1" t="n">
        <v>46076</v>
      </c>
      <c r="D684" t="inlineStr">
        <is>
          <t>STOCKHOLMS LÄN</t>
        </is>
      </c>
      <c r="E684" t="inlineStr">
        <is>
          <t>NORRTÄLJE</t>
        </is>
      </c>
      <c r="F684" t="inlineStr">
        <is>
          <t>Kyrkan</t>
        </is>
      </c>
      <c r="G684" t="n">
        <v>0.7</v>
      </c>
      <c r="H684" t="n">
        <v>0</v>
      </c>
      <c r="I684" t="n">
        <v>0</v>
      </c>
      <c r="J684" t="n">
        <v>0</v>
      </c>
      <c r="K684" t="n">
        <v>0</v>
      </c>
      <c r="L684" t="n">
        <v>0</v>
      </c>
      <c r="M684" t="n">
        <v>0</v>
      </c>
      <c r="N684" t="n">
        <v>0</v>
      </c>
      <c r="O684" t="n">
        <v>0</v>
      </c>
      <c r="P684" t="n">
        <v>0</v>
      </c>
      <c r="Q684" t="n">
        <v>0</v>
      </c>
      <c r="R684" s="2" t="inlineStr"/>
    </row>
    <row r="685" ht="15" customHeight="1">
      <c r="A685" t="inlineStr">
        <is>
          <t>A 51941-2025</t>
        </is>
      </c>
      <c r="B685" s="1" t="n">
        <v>45952.52261574074</v>
      </c>
      <c r="C685" s="1" t="n">
        <v>46076</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11900-2022</t>
        </is>
      </c>
      <c r="B686" s="1" t="n">
        <v>44635</v>
      </c>
      <c r="C686" s="1" t="n">
        <v>46076</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52061-2025</t>
        </is>
      </c>
      <c r="B687" s="1" t="n">
        <v>45952.63679398148</v>
      </c>
      <c r="C687" s="1" t="n">
        <v>46076</v>
      </c>
      <c r="D687" t="inlineStr">
        <is>
          <t>STOCKHOLMS LÄN</t>
        </is>
      </c>
      <c r="E687" t="inlineStr">
        <is>
          <t>NORRTÄLJE</t>
        </is>
      </c>
      <c r="G687" t="n">
        <v>9.5</v>
      </c>
      <c r="H687" t="n">
        <v>0</v>
      </c>
      <c r="I687" t="n">
        <v>0</v>
      </c>
      <c r="J687" t="n">
        <v>0</v>
      </c>
      <c r="K687" t="n">
        <v>0</v>
      </c>
      <c r="L687" t="n">
        <v>0</v>
      </c>
      <c r="M687" t="n">
        <v>0</v>
      </c>
      <c r="N687" t="n">
        <v>0</v>
      </c>
      <c r="O687" t="n">
        <v>0</v>
      </c>
      <c r="P687" t="n">
        <v>0</v>
      </c>
      <c r="Q687" t="n">
        <v>0</v>
      </c>
      <c r="R687" s="2" t="inlineStr"/>
    </row>
    <row r="688" ht="15" customHeight="1">
      <c r="A688" t="inlineStr">
        <is>
          <t>A 51945-2025</t>
        </is>
      </c>
      <c r="B688" s="1" t="n">
        <v>45952.52679398148</v>
      </c>
      <c r="C688" s="1" t="n">
        <v>46076</v>
      </c>
      <c r="D688" t="inlineStr">
        <is>
          <t>STOCKHOLMS LÄN</t>
        </is>
      </c>
      <c r="E688" t="inlineStr">
        <is>
          <t>NORRTÄLJE</t>
        </is>
      </c>
      <c r="G688" t="n">
        <v>7</v>
      </c>
      <c r="H688" t="n">
        <v>0</v>
      </c>
      <c r="I688" t="n">
        <v>0</v>
      </c>
      <c r="J688" t="n">
        <v>0</v>
      </c>
      <c r="K688" t="n">
        <v>0</v>
      </c>
      <c r="L688" t="n">
        <v>0</v>
      </c>
      <c r="M688" t="n">
        <v>0</v>
      </c>
      <c r="N688" t="n">
        <v>0</v>
      </c>
      <c r="O688" t="n">
        <v>0</v>
      </c>
      <c r="P688" t="n">
        <v>0</v>
      </c>
      <c r="Q688" t="n">
        <v>0</v>
      </c>
      <c r="R688" s="2" t="inlineStr"/>
    </row>
    <row r="689" ht="15" customHeight="1">
      <c r="A689" t="inlineStr">
        <is>
          <t>A 10973-2025</t>
        </is>
      </c>
      <c r="B689" s="1" t="n">
        <v>45723</v>
      </c>
      <c r="C689" s="1" t="n">
        <v>46076</v>
      </c>
      <c r="D689" t="inlineStr">
        <is>
          <t>STOCKHOLMS LÄN</t>
        </is>
      </c>
      <c r="E689" t="inlineStr">
        <is>
          <t>NORRTÄLJE</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27885-2022</t>
        </is>
      </c>
      <c r="B690" s="1" t="n">
        <v>44743.67418981482</v>
      </c>
      <c r="C690" s="1" t="n">
        <v>46076</v>
      </c>
      <c r="D690" t="inlineStr">
        <is>
          <t>STOCKHOLMS LÄN</t>
        </is>
      </c>
      <c r="E690" t="inlineStr">
        <is>
          <t>NORRTÄLJE</t>
        </is>
      </c>
      <c r="F690" t="inlineStr">
        <is>
          <t>Holmen skog AB</t>
        </is>
      </c>
      <c r="G690" t="n">
        <v>0.8</v>
      </c>
      <c r="H690" t="n">
        <v>0</v>
      </c>
      <c r="I690" t="n">
        <v>0</v>
      </c>
      <c r="J690" t="n">
        <v>0</v>
      </c>
      <c r="K690" t="n">
        <v>0</v>
      </c>
      <c r="L690" t="n">
        <v>0</v>
      </c>
      <c r="M690" t="n">
        <v>0</v>
      </c>
      <c r="N690" t="n">
        <v>0</v>
      </c>
      <c r="O690" t="n">
        <v>0</v>
      </c>
      <c r="P690" t="n">
        <v>0</v>
      </c>
      <c r="Q690" t="n">
        <v>0</v>
      </c>
      <c r="R690" s="2" t="inlineStr"/>
    </row>
    <row r="691" ht="15" customHeight="1">
      <c r="A691" t="inlineStr">
        <is>
          <t>A 52251-2025</t>
        </is>
      </c>
      <c r="B691" s="1" t="n">
        <v>45953.49185185185</v>
      </c>
      <c r="C691" s="1" t="n">
        <v>46076</v>
      </c>
      <c r="D691" t="inlineStr">
        <is>
          <t>STOCKHOLMS LÄN</t>
        </is>
      </c>
      <c r="E691" t="inlineStr">
        <is>
          <t>NORRTÄLJE</t>
        </is>
      </c>
      <c r="G691" t="n">
        <v>6.2</v>
      </c>
      <c r="H691" t="n">
        <v>0</v>
      </c>
      <c r="I691" t="n">
        <v>0</v>
      </c>
      <c r="J691" t="n">
        <v>0</v>
      </c>
      <c r="K691" t="n">
        <v>0</v>
      </c>
      <c r="L691" t="n">
        <v>0</v>
      </c>
      <c r="M691" t="n">
        <v>0</v>
      </c>
      <c r="N691" t="n">
        <v>0</v>
      </c>
      <c r="O691" t="n">
        <v>0</v>
      </c>
      <c r="P691" t="n">
        <v>0</v>
      </c>
      <c r="Q691" t="n">
        <v>0</v>
      </c>
      <c r="R691" s="2" t="inlineStr"/>
    </row>
    <row r="692" ht="15" customHeight="1">
      <c r="A692" t="inlineStr">
        <is>
          <t>A 52254-2025</t>
        </is>
      </c>
      <c r="B692" s="1" t="n">
        <v>45953.49519675926</v>
      </c>
      <c r="C692" s="1" t="n">
        <v>46076</v>
      </c>
      <c r="D692" t="inlineStr">
        <is>
          <t>STOCKHOLMS LÄN</t>
        </is>
      </c>
      <c r="E692" t="inlineStr">
        <is>
          <t>NORRTÄLJE</t>
        </is>
      </c>
      <c r="G692" t="n">
        <v>2.2</v>
      </c>
      <c r="H692" t="n">
        <v>0</v>
      </c>
      <c r="I692" t="n">
        <v>0</v>
      </c>
      <c r="J692" t="n">
        <v>0</v>
      </c>
      <c r="K692" t="n">
        <v>0</v>
      </c>
      <c r="L692" t="n">
        <v>0</v>
      </c>
      <c r="M692" t="n">
        <v>0</v>
      </c>
      <c r="N692" t="n">
        <v>0</v>
      </c>
      <c r="O692" t="n">
        <v>0</v>
      </c>
      <c r="P692" t="n">
        <v>0</v>
      </c>
      <c r="Q692" t="n">
        <v>0</v>
      </c>
      <c r="R692" s="2" t="inlineStr"/>
    </row>
    <row r="693" ht="15" customHeight="1">
      <c r="A693" t="inlineStr">
        <is>
          <t>A 52773-2025</t>
        </is>
      </c>
      <c r="B693" s="1" t="n">
        <v>45957.41457175926</v>
      </c>
      <c r="C693" s="1" t="n">
        <v>46076</v>
      </c>
      <c r="D693" t="inlineStr">
        <is>
          <t>STOCKHOLMS LÄN</t>
        </is>
      </c>
      <c r="E693" t="inlineStr">
        <is>
          <t>NORRTÄLJE</t>
        </is>
      </c>
      <c r="F693" t="inlineStr">
        <is>
          <t>Sveaskog</t>
        </is>
      </c>
      <c r="G693" t="n">
        <v>10.5</v>
      </c>
      <c r="H693" t="n">
        <v>0</v>
      </c>
      <c r="I693" t="n">
        <v>0</v>
      </c>
      <c r="J693" t="n">
        <v>0</v>
      </c>
      <c r="K693" t="n">
        <v>0</v>
      </c>
      <c r="L693" t="n">
        <v>0</v>
      </c>
      <c r="M693" t="n">
        <v>0</v>
      </c>
      <c r="N693" t="n">
        <v>0</v>
      </c>
      <c r="O693" t="n">
        <v>0</v>
      </c>
      <c r="P693" t="n">
        <v>0</v>
      </c>
      <c r="Q693" t="n">
        <v>0</v>
      </c>
      <c r="R693" s="2" t="inlineStr"/>
    </row>
    <row r="694" ht="15" customHeight="1">
      <c r="A694" t="inlineStr">
        <is>
          <t>A 52777-2025</t>
        </is>
      </c>
      <c r="B694" s="1" t="n">
        <v>45957.41832175926</v>
      </c>
      <c r="C694" s="1" t="n">
        <v>46076</v>
      </c>
      <c r="D694" t="inlineStr">
        <is>
          <t>STOCKHOLMS LÄN</t>
        </is>
      </c>
      <c r="E694" t="inlineStr">
        <is>
          <t>NORRTÄLJE</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52526-2025</t>
        </is>
      </c>
      <c r="B695" s="1" t="n">
        <v>45954.53061342592</v>
      </c>
      <c r="C695" s="1" t="n">
        <v>46076</v>
      </c>
      <c r="D695" t="inlineStr">
        <is>
          <t>STOCKHOLMS LÄN</t>
        </is>
      </c>
      <c r="E695" t="inlineStr">
        <is>
          <t>NORRTÄLJE</t>
        </is>
      </c>
      <c r="F695" t="inlineStr">
        <is>
          <t>Sveaskog</t>
        </is>
      </c>
      <c r="G695" t="n">
        <v>2.9</v>
      </c>
      <c r="H695" t="n">
        <v>0</v>
      </c>
      <c r="I695" t="n">
        <v>0</v>
      </c>
      <c r="J695" t="n">
        <v>0</v>
      </c>
      <c r="K695" t="n">
        <v>0</v>
      </c>
      <c r="L695" t="n">
        <v>0</v>
      </c>
      <c r="M695" t="n">
        <v>0</v>
      </c>
      <c r="N695" t="n">
        <v>0</v>
      </c>
      <c r="O695" t="n">
        <v>0</v>
      </c>
      <c r="P695" t="n">
        <v>0</v>
      </c>
      <c r="Q695" t="n">
        <v>0</v>
      </c>
      <c r="R695" s="2" t="inlineStr"/>
    </row>
    <row r="696" ht="15" customHeight="1">
      <c r="A696" t="inlineStr">
        <is>
          <t>A 53000-2025</t>
        </is>
      </c>
      <c r="B696" s="1" t="n">
        <v>45957.74357638889</v>
      </c>
      <c r="C696" s="1" t="n">
        <v>46076</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52703-2025</t>
        </is>
      </c>
      <c r="B697" s="1" t="n">
        <v>45956.88643518519</v>
      </c>
      <c r="C697" s="1" t="n">
        <v>46076</v>
      </c>
      <c r="D697" t="inlineStr">
        <is>
          <t>STOCKHOLMS LÄN</t>
        </is>
      </c>
      <c r="E697" t="inlineStr">
        <is>
          <t>NORRTÄLJE</t>
        </is>
      </c>
      <c r="G697" t="n">
        <v>4.7</v>
      </c>
      <c r="H697" t="n">
        <v>0</v>
      </c>
      <c r="I697" t="n">
        <v>0</v>
      </c>
      <c r="J697" t="n">
        <v>0</v>
      </c>
      <c r="K697" t="n">
        <v>0</v>
      </c>
      <c r="L697" t="n">
        <v>0</v>
      </c>
      <c r="M697" t="n">
        <v>0</v>
      </c>
      <c r="N697" t="n">
        <v>0</v>
      </c>
      <c r="O697" t="n">
        <v>0</v>
      </c>
      <c r="P697" t="n">
        <v>0</v>
      </c>
      <c r="Q697" t="n">
        <v>0</v>
      </c>
      <c r="R697" s="2" t="inlineStr"/>
    </row>
    <row r="698" ht="15" customHeight="1">
      <c r="A698" t="inlineStr">
        <is>
          <t>A 52729-2025</t>
        </is>
      </c>
      <c r="B698" s="1" t="n">
        <v>45957.3636574074</v>
      </c>
      <c r="C698" s="1" t="n">
        <v>46076</v>
      </c>
      <c r="D698" t="inlineStr">
        <is>
          <t>STOCKHOLMS LÄN</t>
        </is>
      </c>
      <c r="E698" t="inlineStr">
        <is>
          <t>NORRTÄLJE</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52734-2025</t>
        </is>
      </c>
      <c r="B699" s="1" t="n">
        <v>45957.3710300926</v>
      </c>
      <c r="C699" s="1" t="n">
        <v>46076</v>
      </c>
      <c r="D699" t="inlineStr">
        <is>
          <t>STOCKHOLMS LÄN</t>
        </is>
      </c>
      <c r="E699" t="inlineStr">
        <is>
          <t>NORRTÄLJE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52776-2025</t>
        </is>
      </c>
      <c r="B700" s="1" t="n">
        <v>45957.41724537037</v>
      </c>
      <c r="C700" s="1" t="n">
        <v>46076</v>
      </c>
      <c r="D700" t="inlineStr">
        <is>
          <t>STOCKHOLMS LÄN</t>
        </is>
      </c>
      <c r="E700" t="inlineStr">
        <is>
          <t>NORRTÄLJE</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52529-2025</t>
        </is>
      </c>
      <c r="B701" s="1" t="n">
        <v>45954.53229166667</v>
      </c>
      <c r="C701" s="1" t="n">
        <v>46076</v>
      </c>
      <c r="D701" t="inlineStr">
        <is>
          <t>STOCKHOLMS LÄN</t>
        </is>
      </c>
      <c r="E701" t="inlineStr">
        <is>
          <t>NORRTÄLJE</t>
        </is>
      </c>
      <c r="F701" t="inlineStr">
        <is>
          <t>Sveaskog</t>
        </is>
      </c>
      <c r="G701" t="n">
        <v>7.8</v>
      </c>
      <c r="H701" t="n">
        <v>0</v>
      </c>
      <c r="I701" t="n">
        <v>0</v>
      </c>
      <c r="J701" t="n">
        <v>0</v>
      </c>
      <c r="K701" t="n">
        <v>0</v>
      </c>
      <c r="L701" t="n">
        <v>0</v>
      </c>
      <c r="M701" t="n">
        <v>0</v>
      </c>
      <c r="N701" t="n">
        <v>0</v>
      </c>
      <c r="O701" t="n">
        <v>0</v>
      </c>
      <c r="P701" t="n">
        <v>0</v>
      </c>
      <c r="Q701" t="n">
        <v>0</v>
      </c>
      <c r="R701" s="2" t="inlineStr"/>
    </row>
    <row r="702" ht="15" customHeight="1">
      <c r="A702" t="inlineStr">
        <is>
          <t>A 52704-2025</t>
        </is>
      </c>
      <c r="B702" s="1" t="n">
        <v>45956.89097222222</v>
      </c>
      <c r="C702" s="1" t="n">
        <v>46076</v>
      </c>
      <c r="D702" t="inlineStr">
        <is>
          <t>STOCKHOLMS LÄN</t>
        </is>
      </c>
      <c r="E702" t="inlineStr">
        <is>
          <t>NORRTÄLJE</t>
        </is>
      </c>
      <c r="G702" t="n">
        <v>2.3</v>
      </c>
      <c r="H702" t="n">
        <v>0</v>
      </c>
      <c r="I702" t="n">
        <v>0</v>
      </c>
      <c r="J702" t="n">
        <v>0</v>
      </c>
      <c r="K702" t="n">
        <v>0</v>
      </c>
      <c r="L702" t="n">
        <v>0</v>
      </c>
      <c r="M702" t="n">
        <v>0</v>
      </c>
      <c r="N702" t="n">
        <v>0</v>
      </c>
      <c r="O702" t="n">
        <v>0</v>
      </c>
      <c r="P702" t="n">
        <v>0</v>
      </c>
      <c r="Q702" t="n">
        <v>0</v>
      </c>
      <c r="R702" s="2" t="inlineStr"/>
    </row>
    <row r="703" ht="15" customHeight="1">
      <c r="A703" t="inlineStr">
        <is>
          <t>A 52553-2025</t>
        </is>
      </c>
      <c r="B703" s="1" t="n">
        <v>45954.5624537037</v>
      </c>
      <c r="C703" s="1" t="n">
        <v>46076</v>
      </c>
      <c r="D703" t="inlineStr">
        <is>
          <t>STOCKHOLMS LÄN</t>
        </is>
      </c>
      <c r="E703" t="inlineStr">
        <is>
          <t>NORRTÄLJE</t>
        </is>
      </c>
      <c r="G703" t="n">
        <v>4.4</v>
      </c>
      <c r="H703" t="n">
        <v>0</v>
      </c>
      <c r="I703" t="n">
        <v>0</v>
      </c>
      <c r="J703" t="n">
        <v>0</v>
      </c>
      <c r="K703" t="n">
        <v>0</v>
      </c>
      <c r="L703" t="n">
        <v>0</v>
      </c>
      <c r="M703" t="n">
        <v>0</v>
      </c>
      <c r="N703" t="n">
        <v>0</v>
      </c>
      <c r="O703" t="n">
        <v>0</v>
      </c>
      <c r="P703" t="n">
        <v>0</v>
      </c>
      <c r="Q703" t="n">
        <v>0</v>
      </c>
      <c r="R703" s="2" t="inlineStr"/>
    </row>
    <row r="704" ht="15" customHeight="1">
      <c r="A704" t="inlineStr">
        <is>
          <t>A 60224-2023</t>
        </is>
      </c>
      <c r="B704" s="1" t="n">
        <v>45257</v>
      </c>
      <c r="C704" s="1" t="n">
        <v>46076</v>
      </c>
      <c r="D704" t="inlineStr">
        <is>
          <t>STOCKHOLMS LÄN</t>
        </is>
      </c>
      <c r="E704" t="inlineStr">
        <is>
          <t>NORRTÄLJE</t>
        </is>
      </c>
      <c r="G704" t="n">
        <v>8.1</v>
      </c>
      <c r="H704" t="n">
        <v>0</v>
      </c>
      <c r="I704" t="n">
        <v>0</v>
      </c>
      <c r="J704" t="n">
        <v>0</v>
      </c>
      <c r="K704" t="n">
        <v>0</v>
      </c>
      <c r="L704" t="n">
        <v>0</v>
      </c>
      <c r="M704" t="n">
        <v>0</v>
      </c>
      <c r="N704" t="n">
        <v>0</v>
      </c>
      <c r="O704" t="n">
        <v>0</v>
      </c>
      <c r="P704" t="n">
        <v>0</v>
      </c>
      <c r="Q704" t="n">
        <v>0</v>
      </c>
      <c r="R704" s="2" t="inlineStr"/>
    </row>
    <row r="705" ht="15" customHeight="1">
      <c r="A705" t="inlineStr">
        <is>
          <t>A 5158-2024</t>
        </is>
      </c>
      <c r="B705" s="1" t="n">
        <v>45330.50098379629</v>
      </c>
      <c r="C705" s="1" t="n">
        <v>46076</v>
      </c>
      <c r="D705" t="inlineStr">
        <is>
          <t>STOCKHOLMS LÄN</t>
        </is>
      </c>
      <c r="E705" t="inlineStr">
        <is>
          <t>NORRTÄLJE</t>
        </is>
      </c>
      <c r="G705" t="n">
        <v>0.8</v>
      </c>
      <c r="H705" t="n">
        <v>0</v>
      </c>
      <c r="I705" t="n">
        <v>0</v>
      </c>
      <c r="J705" t="n">
        <v>0</v>
      </c>
      <c r="K705" t="n">
        <v>0</v>
      </c>
      <c r="L705" t="n">
        <v>0</v>
      </c>
      <c r="M705" t="n">
        <v>0</v>
      </c>
      <c r="N705" t="n">
        <v>0</v>
      </c>
      <c r="O705" t="n">
        <v>0</v>
      </c>
      <c r="P705" t="n">
        <v>0</v>
      </c>
      <c r="Q705" t="n">
        <v>0</v>
      </c>
      <c r="R705" s="2" t="inlineStr"/>
    </row>
    <row r="706" ht="15" customHeight="1">
      <c r="A706" t="inlineStr">
        <is>
          <t>A 53299-2025</t>
        </is>
      </c>
      <c r="B706" s="1" t="n">
        <v>45959.31901620371</v>
      </c>
      <c r="C706" s="1" t="n">
        <v>46076</v>
      </c>
      <c r="D706" t="inlineStr">
        <is>
          <t>STOCKHOLMS LÄN</t>
        </is>
      </c>
      <c r="E706" t="inlineStr">
        <is>
          <t>NORRTÄLJE</t>
        </is>
      </c>
      <c r="G706" t="n">
        <v>4.8</v>
      </c>
      <c r="H706" t="n">
        <v>0</v>
      </c>
      <c r="I706" t="n">
        <v>0</v>
      </c>
      <c r="J706" t="n">
        <v>0</v>
      </c>
      <c r="K706" t="n">
        <v>0</v>
      </c>
      <c r="L706" t="n">
        <v>0</v>
      </c>
      <c r="M706" t="n">
        <v>0</v>
      </c>
      <c r="N706" t="n">
        <v>0</v>
      </c>
      <c r="O706" t="n">
        <v>0</v>
      </c>
      <c r="P706" t="n">
        <v>0</v>
      </c>
      <c r="Q706" t="n">
        <v>0</v>
      </c>
      <c r="R706" s="2" t="inlineStr"/>
    </row>
    <row r="707" ht="15" customHeight="1">
      <c r="A707" t="inlineStr">
        <is>
          <t>A 53087-2025</t>
        </is>
      </c>
      <c r="B707" s="1" t="n">
        <v>45958.41065972222</v>
      </c>
      <c r="C707" s="1" t="n">
        <v>46076</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53115-2025</t>
        </is>
      </c>
      <c r="B708" s="1" t="n">
        <v>45958.44614583333</v>
      </c>
      <c r="C708" s="1" t="n">
        <v>46076</v>
      </c>
      <c r="D708" t="inlineStr">
        <is>
          <t>STOCKHOLMS LÄN</t>
        </is>
      </c>
      <c r="E708" t="inlineStr">
        <is>
          <t>NORRTÄLJE</t>
        </is>
      </c>
      <c r="F708" t="inlineStr">
        <is>
          <t>Kyrkan</t>
        </is>
      </c>
      <c r="G708" t="n">
        <v>2.5</v>
      </c>
      <c r="H708" t="n">
        <v>0</v>
      </c>
      <c r="I708" t="n">
        <v>0</v>
      </c>
      <c r="J708" t="n">
        <v>0</v>
      </c>
      <c r="K708" t="n">
        <v>0</v>
      </c>
      <c r="L708" t="n">
        <v>0</v>
      </c>
      <c r="M708" t="n">
        <v>0</v>
      </c>
      <c r="N708" t="n">
        <v>0</v>
      </c>
      <c r="O708" t="n">
        <v>0</v>
      </c>
      <c r="P708" t="n">
        <v>0</v>
      </c>
      <c r="Q708" t="n">
        <v>0</v>
      </c>
      <c r="R708" s="2" t="inlineStr"/>
    </row>
    <row r="709" ht="15" customHeight="1">
      <c r="A709" t="inlineStr">
        <is>
          <t>A 9130-2025</t>
        </is>
      </c>
      <c r="B709" s="1" t="n">
        <v>45713.92623842593</v>
      </c>
      <c r="C709" s="1" t="n">
        <v>46076</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53629-2025</t>
        </is>
      </c>
      <c r="B710" s="1" t="n">
        <v>45960.49570601852</v>
      </c>
      <c r="C710" s="1" t="n">
        <v>46076</v>
      </c>
      <c r="D710" t="inlineStr">
        <is>
          <t>STOCKHOLMS LÄN</t>
        </is>
      </c>
      <c r="E710" t="inlineStr">
        <is>
          <t>NORRTÄLJE</t>
        </is>
      </c>
      <c r="F710" t="inlineStr">
        <is>
          <t>Naturvårdsverket</t>
        </is>
      </c>
      <c r="G710" t="n">
        <v>7.9</v>
      </c>
      <c r="H710" t="n">
        <v>0</v>
      </c>
      <c r="I710" t="n">
        <v>0</v>
      </c>
      <c r="J710" t="n">
        <v>0</v>
      </c>
      <c r="K710" t="n">
        <v>0</v>
      </c>
      <c r="L710" t="n">
        <v>0</v>
      </c>
      <c r="M710" t="n">
        <v>0</v>
      </c>
      <c r="N710" t="n">
        <v>0</v>
      </c>
      <c r="O710" t="n">
        <v>0</v>
      </c>
      <c r="P710" t="n">
        <v>0</v>
      </c>
      <c r="Q710" t="n">
        <v>0</v>
      </c>
      <c r="R710" s="2" t="inlineStr"/>
    </row>
    <row r="711" ht="15" customHeight="1">
      <c r="A711" t="inlineStr">
        <is>
          <t>A 17551-2025</t>
        </is>
      </c>
      <c r="B711" s="1" t="n">
        <v>45757.61421296297</v>
      </c>
      <c r="C711" s="1" t="n">
        <v>46076</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55010-2024</t>
        </is>
      </c>
      <c r="B712" s="1" t="n">
        <v>45621.34425925926</v>
      </c>
      <c r="C712" s="1" t="n">
        <v>46076</v>
      </c>
      <c r="D712" t="inlineStr">
        <is>
          <t>STOCKHOLMS LÄN</t>
        </is>
      </c>
      <c r="E712" t="inlineStr">
        <is>
          <t>NORRTÄLJE</t>
        </is>
      </c>
      <c r="F712" t="inlineStr">
        <is>
          <t>Sveaskog</t>
        </is>
      </c>
      <c r="G712" t="n">
        <v>5.7</v>
      </c>
      <c r="H712" t="n">
        <v>0</v>
      </c>
      <c r="I712" t="n">
        <v>0</v>
      </c>
      <c r="J712" t="n">
        <v>0</v>
      </c>
      <c r="K712" t="n">
        <v>0</v>
      </c>
      <c r="L712" t="n">
        <v>0</v>
      </c>
      <c r="M712" t="n">
        <v>0</v>
      </c>
      <c r="N712" t="n">
        <v>0</v>
      </c>
      <c r="O712" t="n">
        <v>0</v>
      </c>
      <c r="P712" t="n">
        <v>0</v>
      </c>
      <c r="Q712" t="n">
        <v>0</v>
      </c>
      <c r="R712" s="2" t="inlineStr"/>
    </row>
    <row r="713" ht="15" customHeight="1">
      <c r="A713" t="inlineStr">
        <is>
          <t>A 31105-2022</t>
        </is>
      </c>
      <c r="B713" s="1" t="n">
        <v>44769.66039351852</v>
      </c>
      <c r="C713" s="1" t="n">
        <v>46076</v>
      </c>
      <c r="D713" t="inlineStr">
        <is>
          <t>STOCKHOLMS LÄN</t>
        </is>
      </c>
      <c r="E713" t="inlineStr">
        <is>
          <t>NORRTÄLJE</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53747-2025</t>
        </is>
      </c>
      <c r="B714" s="1" t="n">
        <v>45960.65415509259</v>
      </c>
      <c r="C714" s="1" t="n">
        <v>46076</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30620-2022</t>
        </is>
      </c>
      <c r="B715" s="1" t="n">
        <v>44763.40914351852</v>
      </c>
      <c r="C715" s="1" t="n">
        <v>46076</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50113-2024</t>
        </is>
      </c>
      <c r="B716" s="1" t="n">
        <v>45600.411875</v>
      </c>
      <c r="C716" s="1" t="n">
        <v>46076</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28365-2022</t>
        </is>
      </c>
      <c r="B717" s="1" t="n">
        <v>44747</v>
      </c>
      <c r="C717" s="1" t="n">
        <v>46076</v>
      </c>
      <c r="D717" t="inlineStr">
        <is>
          <t>STOCKHOLMS LÄN</t>
        </is>
      </c>
      <c r="E717" t="inlineStr">
        <is>
          <t>NORRTÄLJE</t>
        </is>
      </c>
      <c r="G717" t="n">
        <v>5.1</v>
      </c>
      <c r="H717" t="n">
        <v>0</v>
      </c>
      <c r="I717" t="n">
        <v>0</v>
      </c>
      <c r="J717" t="n">
        <v>0</v>
      </c>
      <c r="K717" t="n">
        <v>0</v>
      </c>
      <c r="L717" t="n">
        <v>0</v>
      </c>
      <c r="M717" t="n">
        <v>0</v>
      </c>
      <c r="N717" t="n">
        <v>0</v>
      </c>
      <c r="O717" t="n">
        <v>0</v>
      </c>
      <c r="P717" t="n">
        <v>0</v>
      </c>
      <c r="Q717" t="n">
        <v>0</v>
      </c>
      <c r="R717" s="2" t="inlineStr"/>
    </row>
    <row r="718" ht="15" customHeight="1">
      <c r="A718" t="inlineStr">
        <is>
          <t>A 42955-2022</t>
        </is>
      </c>
      <c r="B718" s="1" t="n">
        <v>44833.40876157407</v>
      </c>
      <c r="C718" s="1" t="n">
        <v>46076</v>
      </c>
      <c r="D718" t="inlineStr">
        <is>
          <t>STOCKHOLMS LÄN</t>
        </is>
      </c>
      <c r="E718" t="inlineStr">
        <is>
          <t>NORRTÄLJE</t>
        </is>
      </c>
      <c r="G718" t="n">
        <v>13.1</v>
      </c>
      <c r="H718" t="n">
        <v>0</v>
      </c>
      <c r="I718" t="n">
        <v>0</v>
      </c>
      <c r="J718" t="n">
        <v>0</v>
      </c>
      <c r="K718" t="n">
        <v>0</v>
      </c>
      <c r="L718" t="n">
        <v>0</v>
      </c>
      <c r="M718" t="n">
        <v>0</v>
      </c>
      <c r="N718" t="n">
        <v>0</v>
      </c>
      <c r="O718" t="n">
        <v>0</v>
      </c>
      <c r="P718" t="n">
        <v>0</v>
      </c>
      <c r="Q718" t="n">
        <v>0</v>
      </c>
      <c r="R718" s="2" t="inlineStr"/>
    </row>
    <row r="719" ht="15" customHeight="1">
      <c r="A719" t="inlineStr">
        <is>
          <t>A 1283-2025</t>
        </is>
      </c>
      <c r="B719" s="1" t="n">
        <v>45667.49878472222</v>
      </c>
      <c r="C719" s="1" t="n">
        <v>46076</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9703-2021</t>
        </is>
      </c>
      <c r="B720" s="1" t="n">
        <v>44252</v>
      </c>
      <c r="C720" s="1" t="n">
        <v>46076</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13767-2025</t>
        </is>
      </c>
      <c r="B721" s="1" t="n">
        <v>45737.43347222222</v>
      </c>
      <c r="C721" s="1" t="n">
        <v>46076</v>
      </c>
      <c r="D721" t="inlineStr">
        <is>
          <t>STOCKHOLMS LÄN</t>
        </is>
      </c>
      <c r="E721" t="inlineStr">
        <is>
          <t>NORRTÄLJE</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20013-2025</t>
        </is>
      </c>
      <c r="B722" s="1" t="n">
        <v>45772.30436342592</v>
      </c>
      <c r="C722" s="1" t="n">
        <v>46076</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53362-2023</t>
        </is>
      </c>
      <c r="B723" s="1" t="n">
        <v>45223</v>
      </c>
      <c r="C723" s="1" t="n">
        <v>46076</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15422-2024</t>
        </is>
      </c>
      <c r="B724" s="1" t="n">
        <v>45401.3653125</v>
      </c>
      <c r="C724" s="1" t="n">
        <v>46076</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30508-2023</t>
        </is>
      </c>
      <c r="B725" s="1" t="n">
        <v>45111</v>
      </c>
      <c r="C725" s="1" t="n">
        <v>46076</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54907-2025</t>
        </is>
      </c>
      <c r="B726" s="1" t="n">
        <v>45967.37137731481</v>
      </c>
      <c r="C726" s="1" t="n">
        <v>46076</v>
      </c>
      <c r="D726" t="inlineStr">
        <is>
          <t>STOCKHOLMS LÄN</t>
        </is>
      </c>
      <c r="E726" t="inlineStr">
        <is>
          <t>NORRTÄLJE</t>
        </is>
      </c>
      <c r="G726" t="n">
        <v>2.3</v>
      </c>
      <c r="H726" t="n">
        <v>0</v>
      </c>
      <c r="I726" t="n">
        <v>0</v>
      </c>
      <c r="J726" t="n">
        <v>0</v>
      </c>
      <c r="K726" t="n">
        <v>0</v>
      </c>
      <c r="L726" t="n">
        <v>0</v>
      </c>
      <c r="M726" t="n">
        <v>0</v>
      </c>
      <c r="N726" t="n">
        <v>0</v>
      </c>
      <c r="O726" t="n">
        <v>0</v>
      </c>
      <c r="P726" t="n">
        <v>0</v>
      </c>
      <c r="Q726" t="n">
        <v>0</v>
      </c>
      <c r="R726" s="2" t="inlineStr"/>
    </row>
    <row r="727" ht="15" customHeight="1">
      <c r="A727" t="inlineStr">
        <is>
          <t>A 16008-2025</t>
        </is>
      </c>
      <c r="B727" s="1" t="n">
        <v>45749</v>
      </c>
      <c r="C727" s="1" t="n">
        <v>46076</v>
      </c>
      <c r="D727" t="inlineStr">
        <is>
          <t>STOCKHOLMS LÄN</t>
        </is>
      </c>
      <c r="E727" t="inlineStr">
        <is>
          <t>NORRTÄLJE</t>
        </is>
      </c>
      <c r="F727" t="inlineStr">
        <is>
          <t>Holmen skog AB</t>
        </is>
      </c>
      <c r="G727" t="n">
        <v>0.9</v>
      </c>
      <c r="H727" t="n">
        <v>0</v>
      </c>
      <c r="I727" t="n">
        <v>0</v>
      </c>
      <c r="J727" t="n">
        <v>0</v>
      </c>
      <c r="K727" t="n">
        <v>0</v>
      </c>
      <c r="L727" t="n">
        <v>0</v>
      </c>
      <c r="M727" t="n">
        <v>0</v>
      </c>
      <c r="N727" t="n">
        <v>0</v>
      </c>
      <c r="O727" t="n">
        <v>0</v>
      </c>
      <c r="P727" t="n">
        <v>0</v>
      </c>
      <c r="Q727" t="n">
        <v>0</v>
      </c>
      <c r="R727" s="2" t="inlineStr"/>
    </row>
    <row r="728" ht="15" customHeight="1">
      <c r="A728" t="inlineStr">
        <is>
          <t>A 55503-2025</t>
        </is>
      </c>
      <c r="B728" s="1" t="n">
        <v>45971</v>
      </c>
      <c r="C728" s="1" t="n">
        <v>46076</v>
      </c>
      <c r="D728" t="inlineStr">
        <is>
          <t>STOCKHOLMS LÄN</t>
        </is>
      </c>
      <c r="E728" t="inlineStr">
        <is>
          <t>NORRTÄLJE</t>
        </is>
      </c>
      <c r="G728" t="n">
        <v>3</v>
      </c>
      <c r="H728" t="n">
        <v>0</v>
      </c>
      <c r="I728" t="n">
        <v>0</v>
      </c>
      <c r="J728" t="n">
        <v>0</v>
      </c>
      <c r="K728" t="n">
        <v>0</v>
      </c>
      <c r="L728" t="n">
        <v>0</v>
      </c>
      <c r="M728" t="n">
        <v>0</v>
      </c>
      <c r="N728" t="n">
        <v>0</v>
      </c>
      <c r="O728" t="n">
        <v>0</v>
      </c>
      <c r="P728" t="n">
        <v>0</v>
      </c>
      <c r="Q728" t="n">
        <v>0</v>
      </c>
      <c r="R728" s="2" t="inlineStr"/>
    </row>
    <row r="729" ht="15" customHeight="1">
      <c r="A729" t="inlineStr">
        <is>
          <t>A 21158-2022</t>
        </is>
      </c>
      <c r="B729" s="1" t="n">
        <v>44704</v>
      </c>
      <c r="C729" s="1" t="n">
        <v>46076</v>
      </c>
      <c r="D729" t="inlineStr">
        <is>
          <t>STOCKHOLMS LÄN</t>
        </is>
      </c>
      <c r="E729" t="inlineStr">
        <is>
          <t>NORRTÄLJE</t>
        </is>
      </c>
      <c r="G729" t="n">
        <v>17.8</v>
      </c>
      <c r="H729" t="n">
        <v>0</v>
      </c>
      <c r="I729" t="n">
        <v>0</v>
      </c>
      <c r="J729" t="n">
        <v>0</v>
      </c>
      <c r="K729" t="n">
        <v>0</v>
      </c>
      <c r="L729" t="n">
        <v>0</v>
      </c>
      <c r="M729" t="n">
        <v>0</v>
      </c>
      <c r="N729" t="n">
        <v>0</v>
      </c>
      <c r="O729" t="n">
        <v>0</v>
      </c>
      <c r="P729" t="n">
        <v>0</v>
      </c>
      <c r="Q729" t="n">
        <v>0</v>
      </c>
      <c r="R729" s="2" t="inlineStr"/>
    </row>
    <row r="730" ht="15" customHeight="1">
      <c r="A730" t="inlineStr">
        <is>
          <t>A 32101-2022</t>
        </is>
      </c>
      <c r="B730" s="1" t="n">
        <v>44778.69210648148</v>
      </c>
      <c r="C730" s="1" t="n">
        <v>46076</v>
      </c>
      <c r="D730" t="inlineStr">
        <is>
          <t>STOCKHOLMS LÄN</t>
        </is>
      </c>
      <c r="E730" t="inlineStr">
        <is>
          <t>NORRTÄLJE</t>
        </is>
      </c>
      <c r="G730" t="n">
        <v>4.4</v>
      </c>
      <c r="H730" t="n">
        <v>0</v>
      </c>
      <c r="I730" t="n">
        <v>0</v>
      </c>
      <c r="J730" t="n">
        <v>0</v>
      </c>
      <c r="K730" t="n">
        <v>0</v>
      </c>
      <c r="L730" t="n">
        <v>0</v>
      </c>
      <c r="M730" t="n">
        <v>0</v>
      </c>
      <c r="N730" t="n">
        <v>0</v>
      </c>
      <c r="O730" t="n">
        <v>0</v>
      </c>
      <c r="P730" t="n">
        <v>0</v>
      </c>
      <c r="Q730" t="n">
        <v>0</v>
      </c>
      <c r="R730" s="2" t="inlineStr"/>
    </row>
    <row r="731" ht="15" customHeight="1">
      <c r="A731" t="inlineStr">
        <is>
          <t>A 23150-2024</t>
        </is>
      </c>
      <c r="B731" s="1" t="n">
        <v>45450.64643518518</v>
      </c>
      <c r="C731" s="1" t="n">
        <v>46076</v>
      </c>
      <c r="D731" t="inlineStr">
        <is>
          <t>STOCKHOLMS LÄN</t>
        </is>
      </c>
      <c r="E731" t="inlineStr">
        <is>
          <t>NORRTÄLJE</t>
        </is>
      </c>
      <c r="F731" t="inlineStr">
        <is>
          <t>Kommuner</t>
        </is>
      </c>
      <c r="G731" t="n">
        <v>2.7</v>
      </c>
      <c r="H731" t="n">
        <v>0</v>
      </c>
      <c r="I731" t="n">
        <v>0</v>
      </c>
      <c r="J731" t="n">
        <v>0</v>
      </c>
      <c r="K731" t="n">
        <v>0</v>
      </c>
      <c r="L731" t="n">
        <v>0</v>
      </c>
      <c r="M731" t="n">
        <v>0</v>
      </c>
      <c r="N731" t="n">
        <v>0</v>
      </c>
      <c r="O731" t="n">
        <v>0</v>
      </c>
      <c r="P731" t="n">
        <v>0</v>
      </c>
      <c r="Q731" t="n">
        <v>0</v>
      </c>
      <c r="R731" s="2" t="inlineStr"/>
    </row>
    <row r="732" ht="15" customHeight="1">
      <c r="A732" t="inlineStr">
        <is>
          <t>A 24933-2023</t>
        </is>
      </c>
      <c r="B732" s="1" t="n">
        <v>45085.5309375</v>
      </c>
      <c r="C732" s="1" t="n">
        <v>46076</v>
      </c>
      <c r="D732" t="inlineStr">
        <is>
          <t>STOCKHOLMS LÄN</t>
        </is>
      </c>
      <c r="E732" t="inlineStr">
        <is>
          <t>NORRTÄLJE</t>
        </is>
      </c>
      <c r="F732" t="inlineStr">
        <is>
          <t>Holmen skog AB</t>
        </is>
      </c>
      <c r="G732" t="n">
        <v>1.8</v>
      </c>
      <c r="H732" t="n">
        <v>0</v>
      </c>
      <c r="I732" t="n">
        <v>0</v>
      </c>
      <c r="J732" t="n">
        <v>0</v>
      </c>
      <c r="K732" t="n">
        <v>0</v>
      </c>
      <c r="L732" t="n">
        <v>0</v>
      </c>
      <c r="M732" t="n">
        <v>0</v>
      </c>
      <c r="N732" t="n">
        <v>0</v>
      </c>
      <c r="O732" t="n">
        <v>0</v>
      </c>
      <c r="P732" t="n">
        <v>0</v>
      </c>
      <c r="Q732" t="n">
        <v>0</v>
      </c>
      <c r="R732" s="2" t="inlineStr"/>
    </row>
    <row r="733" ht="15" customHeight="1">
      <c r="A733" t="inlineStr">
        <is>
          <t>A 55599-2025</t>
        </is>
      </c>
      <c r="B733" s="1" t="n">
        <v>45971.76810185185</v>
      </c>
      <c r="C733" s="1" t="n">
        <v>46076</v>
      </c>
      <c r="D733" t="inlineStr">
        <is>
          <t>STOCKHOLMS LÄN</t>
        </is>
      </c>
      <c r="E733" t="inlineStr">
        <is>
          <t>NORRTÄLJE</t>
        </is>
      </c>
      <c r="F733" t="inlineStr">
        <is>
          <t>Holmen skog AB</t>
        </is>
      </c>
      <c r="G733" t="n">
        <v>6.4</v>
      </c>
      <c r="H733" t="n">
        <v>0</v>
      </c>
      <c r="I733" t="n">
        <v>0</v>
      </c>
      <c r="J733" t="n">
        <v>0</v>
      </c>
      <c r="K733" t="n">
        <v>0</v>
      </c>
      <c r="L733" t="n">
        <v>0</v>
      </c>
      <c r="M733" t="n">
        <v>0</v>
      </c>
      <c r="N733" t="n">
        <v>0</v>
      </c>
      <c r="O733" t="n">
        <v>0</v>
      </c>
      <c r="P733" t="n">
        <v>0</v>
      </c>
      <c r="Q733" t="n">
        <v>0</v>
      </c>
      <c r="R733" s="2" t="inlineStr"/>
    </row>
    <row r="734" ht="15" customHeight="1">
      <c r="A734" t="inlineStr">
        <is>
          <t>A 56114-2025</t>
        </is>
      </c>
      <c r="B734" s="1" t="n">
        <v>45973.74474537037</v>
      </c>
      <c r="C734" s="1" t="n">
        <v>46076</v>
      </c>
      <c r="D734" t="inlineStr">
        <is>
          <t>STOCKHOLMS LÄN</t>
        </is>
      </c>
      <c r="E734" t="inlineStr">
        <is>
          <t>NORRTÄLJE</t>
        </is>
      </c>
      <c r="G734" t="n">
        <v>0.8</v>
      </c>
      <c r="H734" t="n">
        <v>0</v>
      </c>
      <c r="I734" t="n">
        <v>0</v>
      </c>
      <c r="J734" t="n">
        <v>0</v>
      </c>
      <c r="K734" t="n">
        <v>0</v>
      </c>
      <c r="L734" t="n">
        <v>0</v>
      </c>
      <c r="M734" t="n">
        <v>0</v>
      </c>
      <c r="N734" t="n">
        <v>0</v>
      </c>
      <c r="O734" t="n">
        <v>0</v>
      </c>
      <c r="P734" t="n">
        <v>0</v>
      </c>
      <c r="Q734" t="n">
        <v>0</v>
      </c>
      <c r="R734" s="2" t="inlineStr"/>
    </row>
    <row r="735" ht="15" customHeight="1">
      <c r="A735" t="inlineStr">
        <is>
          <t>A 56631-2024</t>
        </is>
      </c>
      <c r="B735" s="1" t="n">
        <v>45625</v>
      </c>
      <c r="C735" s="1" t="n">
        <v>46076</v>
      </c>
      <c r="D735" t="inlineStr">
        <is>
          <t>STOCKHOLMS LÄN</t>
        </is>
      </c>
      <c r="E735" t="inlineStr">
        <is>
          <t>NORRTÄLJE</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652-2025</t>
        </is>
      </c>
      <c r="B736" s="1" t="n">
        <v>45664</v>
      </c>
      <c r="C736" s="1" t="n">
        <v>46076</v>
      </c>
      <c r="D736" t="inlineStr">
        <is>
          <t>STOCKHOLMS LÄN</t>
        </is>
      </c>
      <c r="E736" t="inlineStr">
        <is>
          <t>NORRTÄLJE</t>
        </is>
      </c>
      <c r="G736" t="n">
        <v>2.5</v>
      </c>
      <c r="H736" t="n">
        <v>0</v>
      </c>
      <c r="I736" t="n">
        <v>0</v>
      </c>
      <c r="J736" t="n">
        <v>0</v>
      </c>
      <c r="K736" t="n">
        <v>0</v>
      </c>
      <c r="L736" t="n">
        <v>0</v>
      </c>
      <c r="M736" t="n">
        <v>0</v>
      </c>
      <c r="N736" t="n">
        <v>0</v>
      </c>
      <c r="O736" t="n">
        <v>0</v>
      </c>
      <c r="P736" t="n">
        <v>0</v>
      </c>
      <c r="Q736" t="n">
        <v>0</v>
      </c>
      <c r="R736" s="2" t="inlineStr"/>
    </row>
    <row r="737" ht="15" customHeight="1">
      <c r="A737" t="inlineStr">
        <is>
          <t>A 5389-2025</t>
        </is>
      </c>
      <c r="B737" s="1" t="n">
        <v>45692</v>
      </c>
      <c r="C737" s="1" t="n">
        <v>46076</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13051-2021</t>
        </is>
      </c>
      <c r="B738" s="1" t="n">
        <v>44272</v>
      </c>
      <c r="C738" s="1" t="n">
        <v>46076</v>
      </c>
      <c r="D738" t="inlineStr">
        <is>
          <t>STOCKHOLMS LÄN</t>
        </is>
      </c>
      <c r="E738" t="inlineStr">
        <is>
          <t>NORRTÄLJE</t>
        </is>
      </c>
      <c r="G738" t="n">
        <v>9.1</v>
      </c>
      <c r="H738" t="n">
        <v>0</v>
      </c>
      <c r="I738" t="n">
        <v>0</v>
      </c>
      <c r="J738" t="n">
        <v>0</v>
      </c>
      <c r="K738" t="n">
        <v>0</v>
      </c>
      <c r="L738" t="n">
        <v>0</v>
      </c>
      <c r="M738" t="n">
        <v>0</v>
      </c>
      <c r="N738" t="n">
        <v>0</v>
      </c>
      <c r="O738" t="n">
        <v>0</v>
      </c>
      <c r="P738" t="n">
        <v>0</v>
      </c>
      <c r="Q738" t="n">
        <v>0</v>
      </c>
      <c r="R738" s="2" t="inlineStr"/>
    </row>
    <row r="739" ht="15" customHeight="1">
      <c r="A739" t="inlineStr">
        <is>
          <t>A 56207-2025</t>
        </is>
      </c>
      <c r="B739" s="1" t="n">
        <v>45974.47329861111</v>
      </c>
      <c r="C739" s="1" t="n">
        <v>46076</v>
      </c>
      <c r="D739" t="inlineStr">
        <is>
          <t>STOCKHOLMS LÄN</t>
        </is>
      </c>
      <c r="E739" t="inlineStr">
        <is>
          <t>NORRTÄLJE</t>
        </is>
      </c>
      <c r="G739" t="n">
        <v>3.2</v>
      </c>
      <c r="H739" t="n">
        <v>0</v>
      </c>
      <c r="I739" t="n">
        <v>0</v>
      </c>
      <c r="J739" t="n">
        <v>0</v>
      </c>
      <c r="K739" t="n">
        <v>0</v>
      </c>
      <c r="L739" t="n">
        <v>0</v>
      </c>
      <c r="M739" t="n">
        <v>0</v>
      </c>
      <c r="N739" t="n">
        <v>0</v>
      </c>
      <c r="O739" t="n">
        <v>0</v>
      </c>
      <c r="P739" t="n">
        <v>0</v>
      </c>
      <c r="Q739" t="n">
        <v>0</v>
      </c>
      <c r="R739" s="2" t="inlineStr"/>
    </row>
    <row r="740" ht="15" customHeight="1">
      <c r="A740" t="inlineStr">
        <is>
          <t>A 11499-2023</t>
        </is>
      </c>
      <c r="B740" s="1" t="n">
        <v>44993.66707175926</v>
      </c>
      <c r="C740" s="1" t="n">
        <v>46076</v>
      </c>
      <c r="D740" t="inlineStr">
        <is>
          <t>STOCKHOLMS LÄN</t>
        </is>
      </c>
      <c r="E740" t="inlineStr">
        <is>
          <t>NORRTÄLJE</t>
        </is>
      </c>
      <c r="F740" t="inlineStr">
        <is>
          <t>Holmen skog AB</t>
        </is>
      </c>
      <c r="G740" t="n">
        <v>2.8</v>
      </c>
      <c r="H740" t="n">
        <v>0</v>
      </c>
      <c r="I740" t="n">
        <v>0</v>
      </c>
      <c r="J740" t="n">
        <v>0</v>
      </c>
      <c r="K740" t="n">
        <v>0</v>
      </c>
      <c r="L740" t="n">
        <v>0</v>
      </c>
      <c r="M740" t="n">
        <v>0</v>
      </c>
      <c r="N740" t="n">
        <v>0</v>
      </c>
      <c r="O740" t="n">
        <v>0</v>
      </c>
      <c r="P740" t="n">
        <v>0</v>
      </c>
      <c r="Q740" t="n">
        <v>0</v>
      </c>
      <c r="R740" s="2" t="inlineStr"/>
    </row>
    <row r="741" ht="15" customHeight="1">
      <c r="A741" t="inlineStr">
        <is>
          <t>A 576-2023</t>
        </is>
      </c>
      <c r="B741" s="1" t="n">
        <v>44925</v>
      </c>
      <c r="C741" s="1" t="n">
        <v>46076</v>
      </c>
      <c r="D741" t="inlineStr">
        <is>
          <t>STOCKHOLMS LÄN</t>
        </is>
      </c>
      <c r="E741" t="inlineStr">
        <is>
          <t>NORRTÄLJE</t>
        </is>
      </c>
      <c r="G741" t="n">
        <v>7.2</v>
      </c>
      <c r="H741" t="n">
        <v>0</v>
      </c>
      <c r="I741" t="n">
        <v>0</v>
      </c>
      <c r="J741" t="n">
        <v>0</v>
      </c>
      <c r="K741" t="n">
        <v>0</v>
      </c>
      <c r="L741" t="n">
        <v>0</v>
      </c>
      <c r="M741" t="n">
        <v>0</v>
      </c>
      <c r="N741" t="n">
        <v>0</v>
      </c>
      <c r="O741" t="n">
        <v>0</v>
      </c>
      <c r="P741" t="n">
        <v>0</v>
      </c>
      <c r="Q741" t="n">
        <v>0</v>
      </c>
      <c r="R741" s="2" t="inlineStr"/>
    </row>
    <row r="742" ht="15" customHeight="1">
      <c r="A742" t="inlineStr">
        <is>
          <t>A 10678-2025</t>
        </is>
      </c>
      <c r="B742" s="1" t="n">
        <v>45721.89123842592</v>
      </c>
      <c r="C742" s="1" t="n">
        <v>46076</v>
      </c>
      <c r="D742" t="inlineStr">
        <is>
          <t>STOCKHOLMS LÄN</t>
        </is>
      </c>
      <c r="E742" t="inlineStr">
        <is>
          <t>NORRTÄLJE</t>
        </is>
      </c>
      <c r="G742" t="n">
        <v>2.6</v>
      </c>
      <c r="H742" t="n">
        <v>0</v>
      </c>
      <c r="I742" t="n">
        <v>0</v>
      </c>
      <c r="J742" t="n">
        <v>0</v>
      </c>
      <c r="K742" t="n">
        <v>0</v>
      </c>
      <c r="L742" t="n">
        <v>0</v>
      </c>
      <c r="M742" t="n">
        <v>0</v>
      </c>
      <c r="N742" t="n">
        <v>0</v>
      </c>
      <c r="O742" t="n">
        <v>0</v>
      </c>
      <c r="P742" t="n">
        <v>0</v>
      </c>
      <c r="Q742" t="n">
        <v>0</v>
      </c>
      <c r="R742" s="2" t="inlineStr"/>
    </row>
    <row r="743" ht="15" customHeight="1">
      <c r="A743" t="inlineStr">
        <is>
          <t>A 31936-2022</t>
        </is>
      </c>
      <c r="B743" s="1" t="n">
        <v>44777</v>
      </c>
      <c r="C743" s="1" t="n">
        <v>46076</v>
      </c>
      <c r="D743" t="inlineStr">
        <is>
          <t>STOCKHOLMS LÄN</t>
        </is>
      </c>
      <c r="E743" t="inlineStr">
        <is>
          <t>NORRTÄLJE</t>
        </is>
      </c>
      <c r="G743" t="n">
        <v>5.2</v>
      </c>
      <c r="H743" t="n">
        <v>0</v>
      </c>
      <c r="I743" t="n">
        <v>0</v>
      </c>
      <c r="J743" t="n">
        <v>0</v>
      </c>
      <c r="K743" t="n">
        <v>0</v>
      </c>
      <c r="L743" t="n">
        <v>0</v>
      </c>
      <c r="M743" t="n">
        <v>0</v>
      </c>
      <c r="N743" t="n">
        <v>0</v>
      </c>
      <c r="O743" t="n">
        <v>0</v>
      </c>
      <c r="P743" t="n">
        <v>0</v>
      </c>
      <c r="Q743" t="n">
        <v>0</v>
      </c>
      <c r="R743" s="2" t="inlineStr"/>
    </row>
    <row r="744" ht="15" customHeight="1">
      <c r="A744" t="inlineStr">
        <is>
          <t>A 59873-2024</t>
        </is>
      </c>
      <c r="B744" s="1" t="n">
        <v>45640.57305555556</v>
      </c>
      <c r="C744" s="1" t="n">
        <v>46076</v>
      </c>
      <c r="D744" t="inlineStr">
        <is>
          <t>STOCKHOLMS LÄN</t>
        </is>
      </c>
      <c r="E744" t="inlineStr">
        <is>
          <t>NORRTÄLJE</t>
        </is>
      </c>
      <c r="G744" t="n">
        <v>3.3</v>
      </c>
      <c r="H744" t="n">
        <v>0</v>
      </c>
      <c r="I744" t="n">
        <v>0</v>
      </c>
      <c r="J744" t="n">
        <v>0</v>
      </c>
      <c r="K744" t="n">
        <v>0</v>
      </c>
      <c r="L744" t="n">
        <v>0</v>
      </c>
      <c r="M744" t="n">
        <v>0</v>
      </c>
      <c r="N744" t="n">
        <v>0</v>
      </c>
      <c r="O744" t="n">
        <v>0</v>
      </c>
      <c r="P744" t="n">
        <v>0</v>
      </c>
      <c r="Q744" t="n">
        <v>0</v>
      </c>
      <c r="R744" s="2" t="inlineStr"/>
    </row>
    <row r="745" ht="15" customHeight="1">
      <c r="A745" t="inlineStr">
        <is>
          <t>A 35916-2024</t>
        </is>
      </c>
      <c r="B745" s="1" t="n">
        <v>45533</v>
      </c>
      <c r="C745" s="1" t="n">
        <v>46076</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10098-2022</t>
        </is>
      </c>
      <c r="B746" s="1" t="n">
        <v>44621</v>
      </c>
      <c r="C746" s="1" t="n">
        <v>46076</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63161-2023</t>
        </is>
      </c>
      <c r="B747" s="1" t="n">
        <v>45273</v>
      </c>
      <c r="C747" s="1" t="n">
        <v>46076</v>
      </c>
      <c r="D747" t="inlineStr">
        <is>
          <t>STOCKHOLMS LÄN</t>
        </is>
      </c>
      <c r="E747" t="inlineStr">
        <is>
          <t>NORRTÄLJE</t>
        </is>
      </c>
      <c r="G747" t="n">
        <v>1.6</v>
      </c>
      <c r="H747" t="n">
        <v>0</v>
      </c>
      <c r="I747" t="n">
        <v>0</v>
      </c>
      <c r="J747" t="n">
        <v>0</v>
      </c>
      <c r="K747" t="n">
        <v>0</v>
      </c>
      <c r="L747" t="n">
        <v>0</v>
      </c>
      <c r="M747" t="n">
        <v>0</v>
      </c>
      <c r="N747" t="n">
        <v>0</v>
      </c>
      <c r="O747" t="n">
        <v>0</v>
      </c>
      <c r="P747" t="n">
        <v>0</v>
      </c>
      <c r="Q747" t="n">
        <v>0</v>
      </c>
      <c r="R747" s="2" t="inlineStr"/>
    </row>
    <row r="748" ht="15" customHeight="1">
      <c r="A748" t="inlineStr">
        <is>
          <t>A 7796-2025</t>
        </is>
      </c>
      <c r="B748" s="1" t="n">
        <v>45706.60130787037</v>
      </c>
      <c r="C748" s="1" t="n">
        <v>46076</v>
      </c>
      <c r="D748" t="inlineStr">
        <is>
          <t>STOCKHOLMS LÄN</t>
        </is>
      </c>
      <c r="E748" t="inlineStr">
        <is>
          <t>NORRTÄLJE</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15552-2021</t>
        </is>
      </c>
      <c r="B749" s="1" t="n">
        <v>44285</v>
      </c>
      <c r="C749" s="1" t="n">
        <v>46076</v>
      </c>
      <c r="D749" t="inlineStr">
        <is>
          <t>STOCKHOLMS LÄN</t>
        </is>
      </c>
      <c r="E749" t="inlineStr">
        <is>
          <t>NORRTÄLJE</t>
        </is>
      </c>
      <c r="G749" t="n">
        <v>10</v>
      </c>
      <c r="H749" t="n">
        <v>0</v>
      </c>
      <c r="I749" t="n">
        <v>0</v>
      </c>
      <c r="J749" t="n">
        <v>0</v>
      </c>
      <c r="K749" t="n">
        <v>0</v>
      </c>
      <c r="L749" t="n">
        <v>0</v>
      </c>
      <c r="M749" t="n">
        <v>0</v>
      </c>
      <c r="N749" t="n">
        <v>0</v>
      </c>
      <c r="O749" t="n">
        <v>0</v>
      </c>
      <c r="P749" t="n">
        <v>0</v>
      </c>
      <c r="Q749" t="n">
        <v>0</v>
      </c>
      <c r="R749" s="2" t="inlineStr"/>
    </row>
    <row r="750" ht="15" customHeight="1">
      <c r="A750" t="inlineStr">
        <is>
          <t>A 58040-2024</t>
        </is>
      </c>
      <c r="B750" s="1" t="n">
        <v>45631.73952546297</v>
      </c>
      <c r="C750" s="1" t="n">
        <v>46076</v>
      </c>
      <c r="D750" t="inlineStr">
        <is>
          <t>STOCKHOLMS LÄN</t>
        </is>
      </c>
      <c r="E750" t="inlineStr">
        <is>
          <t>NORRTÄLJE</t>
        </is>
      </c>
      <c r="G750" t="n">
        <v>2.1</v>
      </c>
      <c r="H750" t="n">
        <v>0</v>
      </c>
      <c r="I750" t="n">
        <v>0</v>
      </c>
      <c r="J750" t="n">
        <v>0</v>
      </c>
      <c r="K750" t="n">
        <v>0</v>
      </c>
      <c r="L750" t="n">
        <v>0</v>
      </c>
      <c r="M750" t="n">
        <v>0</v>
      </c>
      <c r="N750" t="n">
        <v>0</v>
      </c>
      <c r="O750" t="n">
        <v>0</v>
      </c>
      <c r="P750" t="n">
        <v>0</v>
      </c>
      <c r="Q750" t="n">
        <v>0</v>
      </c>
      <c r="R750" s="2" t="inlineStr"/>
    </row>
    <row r="751" ht="15" customHeight="1">
      <c r="A751" t="inlineStr">
        <is>
          <t>A 58041-2024</t>
        </is>
      </c>
      <c r="B751" s="1" t="n">
        <v>45631.74673611111</v>
      </c>
      <c r="C751" s="1" t="n">
        <v>46076</v>
      </c>
      <c r="D751" t="inlineStr">
        <is>
          <t>STOCKHOLMS LÄN</t>
        </is>
      </c>
      <c r="E751" t="inlineStr">
        <is>
          <t>NORRTÄLJE</t>
        </is>
      </c>
      <c r="G751" t="n">
        <v>0.7</v>
      </c>
      <c r="H751" t="n">
        <v>0</v>
      </c>
      <c r="I751" t="n">
        <v>0</v>
      </c>
      <c r="J751" t="n">
        <v>0</v>
      </c>
      <c r="K751" t="n">
        <v>0</v>
      </c>
      <c r="L751" t="n">
        <v>0</v>
      </c>
      <c r="M751" t="n">
        <v>0</v>
      </c>
      <c r="N751" t="n">
        <v>0</v>
      </c>
      <c r="O751" t="n">
        <v>0</v>
      </c>
      <c r="P751" t="n">
        <v>0</v>
      </c>
      <c r="Q751" t="n">
        <v>0</v>
      </c>
      <c r="R751" s="2" t="inlineStr"/>
    </row>
    <row r="752" ht="15" customHeight="1">
      <c r="A752" t="inlineStr">
        <is>
          <t>A 30268-2024</t>
        </is>
      </c>
      <c r="B752" s="1" t="n">
        <v>45490.60572916667</v>
      </c>
      <c r="C752" s="1" t="n">
        <v>46076</v>
      </c>
      <c r="D752" t="inlineStr">
        <is>
          <t>STOCKHOLMS LÄN</t>
        </is>
      </c>
      <c r="E752" t="inlineStr">
        <is>
          <t>NORRTÄLJE</t>
        </is>
      </c>
      <c r="G752" t="n">
        <v>5.6</v>
      </c>
      <c r="H752" t="n">
        <v>0</v>
      </c>
      <c r="I752" t="n">
        <v>0</v>
      </c>
      <c r="J752" t="n">
        <v>0</v>
      </c>
      <c r="K752" t="n">
        <v>0</v>
      </c>
      <c r="L752" t="n">
        <v>0</v>
      </c>
      <c r="M752" t="n">
        <v>0</v>
      </c>
      <c r="N752" t="n">
        <v>0</v>
      </c>
      <c r="O752" t="n">
        <v>0</v>
      </c>
      <c r="P752" t="n">
        <v>0</v>
      </c>
      <c r="Q752" t="n">
        <v>0</v>
      </c>
      <c r="R752" s="2" t="inlineStr"/>
    </row>
    <row r="753" ht="15" customHeight="1">
      <c r="A753" t="inlineStr">
        <is>
          <t>A 58403-2025</t>
        </is>
      </c>
      <c r="B753" s="1" t="n">
        <v>45985.56777777777</v>
      </c>
      <c r="C753" s="1" t="n">
        <v>46076</v>
      </c>
      <c r="D753" t="inlineStr">
        <is>
          <t>STOCKHOLMS LÄN</t>
        </is>
      </c>
      <c r="E753" t="inlineStr">
        <is>
          <t>NORRTÄLJE</t>
        </is>
      </c>
      <c r="F753" t="inlineStr">
        <is>
          <t>Naturvårdsverket</t>
        </is>
      </c>
      <c r="G753" t="n">
        <v>13.5</v>
      </c>
      <c r="H753" t="n">
        <v>0</v>
      </c>
      <c r="I753" t="n">
        <v>0</v>
      </c>
      <c r="J753" t="n">
        <v>0</v>
      </c>
      <c r="K753" t="n">
        <v>0</v>
      </c>
      <c r="L753" t="n">
        <v>0</v>
      </c>
      <c r="M753" t="n">
        <v>0</v>
      </c>
      <c r="N753" t="n">
        <v>0</v>
      </c>
      <c r="O753" t="n">
        <v>0</v>
      </c>
      <c r="P753" t="n">
        <v>0</v>
      </c>
      <c r="Q753" t="n">
        <v>0</v>
      </c>
      <c r="R753" s="2" t="inlineStr"/>
    </row>
    <row r="754" ht="15" customHeight="1">
      <c r="A754" t="inlineStr">
        <is>
          <t>A 12407-2025</t>
        </is>
      </c>
      <c r="B754" s="1" t="n">
        <v>45730.42851851852</v>
      </c>
      <c r="C754" s="1" t="n">
        <v>46076</v>
      </c>
      <c r="D754" t="inlineStr">
        <is>
          <t>STOCKHOLMS LÄN</t>
        </is>
      </c>
      <c r="E754" t="inlineStr">
        <is>
          <t>NORRTÄLJE</t>
        </is>
      </c>
      <c r="F754" t="inlineStr">
        <is>
          <t>Holmen skog AB</t>
        </is>
      </c>
      <c r="G754" t="n">
        <v>2.6</v>
      </c>
      <c r="H754" t="n">
        <v>0</v>
      </c>
      <c r="I754" t="n">
        <v>0</v>
      </c>
      <c r="J754" t="n">
        <v>0</v>
      </c>
      <c r="K754" t="n">
        <v>0</v>
      </c>
      <c r="L754" t="n">
        <v>0</v>
      </c>
      <c r="M754" t="n">
        <v>0</v>
      </c>
      <c r="N754" t="n">
        <v>0</v>
      </c>
      <c r="O754" t="n">
        <v>0</v>
      </c>
      <c r="P754" t="n">
        <v>0</v>
      </c>
      <c r="Q754" t="n">
        <v>0</v>
      </c>
      <c r="R754" s="2" t="inlineStr"/>
    </row>
    <row r="755" ht="15" customHeight="1">
      <c r="A755" t="inlineStr">
        <is>
          <t>A 19025-2025</t>
        </is>
      </c>
      <c r="B755" s="1" t="n">
        <v>45764.6359837963</v>
      </c>
      <c r="C755" s="1" t="n">
        <v>46076</v>
      </c>
      <c r="D755" t="inlineStr">
        <is>
          <t>STOCKHOLMS LÄN</t>
        </is>
      </c>
      <c r="E755" t="inlineStr">
        <is>
          <t>NORRTÄLJE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54276-2021</t>
        </is>
      </c>
      <c r="B756" s="1" t="n">
        <v>44470</v>
      </c>
      <c r="C756" s="1" t="n">
        <v>46076</v>
      </c>
      <c r="D756" t="inlineStr">
        <is>
          <t>STOCKHOLMS LÄN</t>
        </is>
      </c>
      <c r="E756" t="inlineStr">
        <is>
          <t>NORRTÄLJE</t>
        </is>
      </c>
      <c r="G756" t="n">
        <v>7.3</v>
      </c>
      <c r="H756" t="n">
        <v>0</v>
      </c>
      <c r="I756" t="n">
        <v>0</v>
      </c>
      <c r="J756" t="n">
        <v>0</v>
      </c>
      <c r="K756" t="n">
        <v>0</v>
      </c>
      <c r="L756" t="n">
        <v>0</v>
      </c>
      <c r="M756" t="n">
        <v>0</v>
      </c>
      <c r="N756" t="n">
        <v>0</v>
      </c>
      <c r="O756" t="n">
        <v>0</v>
      </c>
      <c r="P756" t="n">
        <v>0</v>
      </c>
      <c r="Q756" t="n">
        <v>0</v>
      </c>
      <c r="R756" s="2" t="inlineStr"/>
    </row>
    <row r="757" ht="15" customHeight="1">
      <c r="A757" t="inlineStr">
        <is>
          <t>A 4316-2023</t>
        </is>
      </c>
      <c r="B757" s="1" t="n">
        <v>44953.67443287037</v>
      </c>
      <c r="C757" s="1" t="n">
        <v>46076</v>
      </c>
      <c r="D757" t="inlineStr">
        <is>
          <t>STOCKHOLMS LÄN</t>
        </is>
      </c>
      <c r="E757" t="inlineStr">
        <is>
          <t>NORRTÄLJE</t>
        </is>
      </c>
      <c r="G757" t="n">
        <v>2.1</v>
      </c>
      <c r="H757" t="n">
        <v>0</v>
      </c>
      <c r="I757" t="n">
        <v>0</v>
      </c>
      <c r="J757" t="n">
        <v>0</v>
      </c>
      <c r="K757" t="n">
        <v>0</v>
      </c>
      <c r="L757" t="n">
        <v>0</v>
      </c>
      <c r="M757" t="n">
        <v>0</v>
      </c>
      <c r="N757" t="n">
        <v>0</v>
      </c>
      <c r="O757" t="n">
        <v>0</v>
      </c>
      <c r="P757" t="n">
        <v>0</v>
      </c>
      <c r="Q757" t="n">
        <v>0</v>
      </c>
      <c r="R757" s="2" t="inlineStr"/>
    </row>
    <row r="758" ht="15" customHeight="1">
      <c r="A758" t="inlineStr">
        <is>
          <t>A 58142-2025</t>
        </is>
      </c>
      <c r="B758" s="1" t="n">
        <v>45982.63791666667</v>
      </c>
      <c r="C758" s="1" t="n">
        <v>46076</v>
      </c>
      <c r="D758" t="inlineStr">
        <is>
          <t>STOCKHOLMS LÄN</t>
        </is>
      </c>
      <c r="E758" t="inlineStr">
        <is>
          <t>NORRTÄLJE</t>
        </is>
      </c>
      <c r="G758" t="n">
        <v>3.3</v>
      </c>
      <c r="H758" t="n">
        <v>0</v>
      </c>
      <c r="I758" t="n">
        <v>0</v>
      </c>
      <c r="J758" t="n">
        <v>0</v>
      </c>
      <c r="K758" t="n">
        <v>0</v>
      </c>
      <c r="L758" t="n">
        <v>0</v>
      </c>
      <c r="M758" t="n">
        <v>0</v>
      </c>
      <c r="N758" t="n">
        <v>0</v>
      </c>
      <c r="O758" t="n">
        <v>0</v>
      </c>
      <c r="P758" t="n">
        <v>0</v>
      </c>
      <c r="Q758" t="n">
        <v>0</v>
      </c>
      <c r="R758" s="2" t="inlineStr"/>
    </row>
    <row r="759" ht="15" customHeight="1">
      <c r="A759" t="inlineStr">
        <is>
          <t>A 57953-2025</t>
        </is>
      </c>
      <c r="B759" s="1" t="n">
        <v>45982.35016203704</v>
      </c>
      <c r="C759" s="1" t="n">
        <v>46076</v>
      </c>
      <c r="D759" t="inlineStr">
        <is>
          <t>STOCKHOLMS LÄN</t>
        </is>
      </c>
      <c r="E759" t="inlineStr">
        <is>
          <t>NORRTÄLJE</t>
        </is>
      </c>
      <c r="F759" t="inlineStr">
        <is>
          <t>Sveaskog</t>
        </is>
      </c>
      <c r="G759" t="n">
        <v>3</v>
      </c>
      <c r="H759" t="n">
        <v>0</v>
      </c>
      <c r="I759" t="n">
        <v>0</v>
      </c>
      <c r="J759" t="n">
        <v>0</v>
      </c>
      <c r="K759" t="n">
        <v>0</v>
      </c>
      <c r="L759" t="n">
        <v>0</v>
      </c>
      <c r="M759" t="n">
        <v>0</v>
      </c>
      <c r="N759" t="n">
        <v>0</v>
      </c>
      <c r="O759" t="n">
        <v>0</v>
      </c>
      <c r="P759" t="n">
        <v>0</v>
      </c>
      <c r="Q759" t="n">
        <v>0</v>
      </c>
      <c r="R759" s="2" t="inlineStr"/>
    </row>
    <row r="760" ht="15" customHeight="1">
      <c r="A760" t="inlineStr">
        <is>
          <t>A 41587-2023</t>
        </is>
      </c>
      <c r="B760" s="1" t="n">
        <v>45175</v>
      </c>
      <c r="C760" s="1" t="n">
        <v>46076</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58939-2025</t>
        </is>
      </c>
      <c r="B761" s="1" t="n">
        <v>45987.5681712963</v>
      </c>
      <c r="C761" s="1" t="n">
        <v>46076</v>
      </c>
      <c r="D761" t="inlineStr">
        <is>
          <t>STOCKHOLMS LÄN</t>
        </is>
      </c>
      <c r="E761" t="inlineStr">
        <is>
          <t>NORRTÄLJE</t>
        </is>
      </c>
      <c r="G761" t="n">
        <v>2</v>
      </c>
      <c r="H761" t="n">
        <v>0</v>
      </c>
      <c r="I761" t="n">
        <v>0</v>
      </c>
      <c r="J761" t="n">
        <v>0</v>
      </c>
      <c r="K761" t="n">
        <v>0</v>
      </c>
      <c r="L761" t="n">
        <v>0</v>
      </c>
      <c r="M761" t="n">
        <v>0</v>
      </c>
      <c r="N761" t="n">
        <v>0</v>
      </c>
      <c r="O761" t="n">
        <v>0</v>
      </c>
      <c r="P761" t="n">
        <v>0</v>
      </c>
      <c r="Q761" t="n">
        <v>0</v>
      </c>
      <c r="R761" s="2" t="inlineStr"/>
    </row>
    <row r="762" ht="15" customHeight="1">
      <c r="A762" t="inlineStr">
        <is>
          <t>A 17304-2024</t>
        </is>
      </c>
      <c r="B762" s="1" t="n">
        <v>45414</v>
      </c>
      <c r="C762" s="1" t="n">
        <v>46076</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11280-2023</t>
        </is>
      </c>
      <c r="B763" s="1" t="n">
        <v>44992</v>
      </c>
      <c r="C763" s="1" t="n">
        <v>46076</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26668-2024</t>
        </is>
      </c>
      <c r="B764" s="1" t="n">
        <v>45469</v>
      </c>
      <c r="C764" s="1" t="n">
        <v>46076</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31926-2022</t>
        </is>
      </c>
      <c r="B765" s="1" t="n">
        <v>44777</v>
      </c>
      <c r="C765" s="1" t="n">
        <v>46076</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21480-2022</t>
        </is>
      </c>
      <c r="B766" s="1" t="n">
        <v>44704</v>
      </c>
      <c r="C766" s="1" t="n">
        <v>46076</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11041-2025</t>
        </is>
      </c>
      <c r="B767" s="1" t="n">
        <v>45723</v>
      </c>
      <c r="C767" s="1" t="n">
        <v>46076</v>
      </c>
      <c r="D767" t="inlineStr">
        <is>
          <t>STOCKHOLMS LÄN</t>
        </is>
      </c>
      <c r="E767" t="inlineStr">
        <is>
          <t>NORRTÄLJE</t>
        </is>
      </c>
      <c r="F767" t="inlineStr">
        <is>
          <t>Övriga Aktiebolag</t>
        </is>
      </c>
      <c r="G767" t="n">
        <v>1.8</v>
      </c>
      <c r="H767" t="n">
        <v>0</v>
      </c>
      <c r="I767" t="n">
        <v>0</v>
      </c>
      <c r="J767" t="n">
        <v>0</v>
      </c>
      <c r="K767" t="n">
        <v>0</v>
      </c>
      <c r="L767" t="n">
        <v>0</v>
      </c>
      <c r="M767" t="n">
        <v>0</v>
      </c>
      <c r="N767" t="n">
        <v>0</v>
      </c>
      <c r="O767" t="n">
        <v>0</v>
      </c>
      <c r="P767" t="n">
        <v>0</v>
      </c>
      <c r="Q767" t="n">
        <v>0</v>
      </c>
      <c r="R767" s="2" t="inlineStr"/>
    </row>
    <row r="768" ht="15" customHeight="1">
      <c r="A768" t="inlineStr">
        <is>
          <t>A 9469-2021</t>
        </is>
      </c>
      <c r="B768" s="1" t="n">
        <v>44251</v>
      </c>
      <c r="C768" s="1" t="n">
        <v>46076</v>
      </c>
      <c r="D768" t="inlineStr">
        <is>
          <t>STOCKHOLMS LÄN</t>
        </is>
      </c>
      <c r="E768" t="inlineStr">
        <is>
          <t>NORRTÄLJE</t>
        </is>
      </c>
      <c r="G768" t="n">
        <v>2.5</v>
      </c>
      <c r="H768" t="n">
        <v>0</v>
      </c>
      <c r="I768" t="n">
        <v>0</v>
      </c>
      <c r="J768" t="n">
        <v>0</v>
      </c>
      <c r="K768" t="n">
        <v>0</v>
      </c>
      <c r="L768" t="n">
        <v>0</v>
      </c>
      <c r="M768" t="n">
        <v>0</v>
      </c>
      <c r="N768" t="n">
        <v>0</v>
      </c>
      <c r="O768" t="n">
        <v>0</v>
      </c>
      <c r="P768" t="n">
        <v>0</v>
      </c>
      <c r="Q768" t="n">
        <v>0</v>
      </c>
      <c r="R768" s="2" t="inlineStr"/>
    </row>
    <row r="769" ht="15" customHeight="1">
      <c r="A769" t="inlineStr">
        <is>
          <t>A 24024-2024</t>
        </is>
      </c>
      <c r="B769" s="1" t="n">
        <v>45456</v>
      </c>
      <c r="C769" s="1" t="n">
        <v>46076</v>
      </c>
      <c r="D769" t="inlineStr">
        <is>
          <t>STOCKHOLMS LÄN</t>
        </is>
      </c>
      <c r="E769" t="inlineStr">
        <is>
          <t>NORRTÄLJE</t>
        </is>
      </c>
      <c r="G769" t="n">
        <v>1.9</v>
      </c>
      <c r="H769" t="n">
        <v>0</v>
      </c>
      <c r="I769" t="n">
        <v>0</v>
      </c>
      <c r="J769" t="n">
        <v>0</v>
      </c>
      <c r="K769" t="n">
        <v>0</v>
      </c>
      <c r="L769" t="n">
        <v>0</v>
      </c>
      <c r="M769" t="n">
        <v>0</v>
      </c>
      <c r="N769" t="n">
        <v>0</v>
      </c>
      <c r="O769" t="n">
        <v>0</v>
      </c>
      <c r="P769" t="n">
        <v>0</v>
      </c>
      <c r="Q769" t="n">
        <v>0</v>
      </c>
      <c r="R769" s="2" t="inlineStr"/>
    </row>
    <row r="770" ht="15" customHeight="1">
      <c r="A770" t="inlineStr">
        <is>
          <t>A 28809-2023</t>
        </is>
      </c>
      <c r="B770" s="1" t="n">
        <v>45104</v>
      </c>
      <c r="C770" s="1" t="n">
        <v>46076</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28813-2023</t>
        </is>
      </c>
      <c r="B771" s="1" t="n">
        <v>45104</v>
      </c>
      <c r="C771" s="1" t="n">
        <v>46076</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40656-2022</t>
        </is>
      </c>
      <c r="B772" s="1" t="n">
        <v>44824.36069444445</v>
      </c>
      <c r="C772" s="1" t="n">
        <v>46076</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59041-2025</t>
        </is>
      </c>
      <c r="B773" s="1" t="n">
        <v>45988</v>
      </c>
      <c r="C773" s="1" t="n">
        <v>46076</v>
      </c>
      <c r="D773" t="inlineStr">
        <is>
          <t>STOCKHOLMS LÄN</t>
        </is>
      </c>
      <c r="E773" t="inlineStr">
        <is>
          <t>NORRTÄLJE</t>
        </is>
      </c>
      <c r="G773" t="n">
        <v>6.6</v>
      </c>
      <c r="H773" t="n">
        <v>0</v>
      </c>
      <c r="I773" t="n">
        <v>0</v>
      </c>
      <c r="J773" t="n">
        <v>0</v>
      </c>
      <c r="K773" t="n">
        <v>0</v>
      </c>
      <c r="L773" t="n">
        <v>0</v>
      </c>
      <c r="M773" t="n">
        <v>0</v>
      </c>
      <c r="N773" t="n">
        <v>0</v>
      </c>
      <c r="O773" t="n">
        <v>0</v>
      </c>
      <c r="P773" t="n">
        <v>0</v>
      </c>
      <c r="Q773" t="n">
        <v>0</v>
      </c>
      <c r="R773" s="2" t="inlineStr"/>
    </row>
    <row r="774" ht="15" customHeight="1">
      <c r="A774" t="inlineStr">
        <is>
          <t>A 60694-2024</t>
        </is>
      </c>
      <c r="B774" s="1" t="n">
        <v>45644.47878472223</v>
      </c>
      <c r="C774" s="1" t="n">
        <v>46076</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59914-2025</t>
        </is>
      </c>
      <c r="B775" s="1" t="n">
        <v>45993.37056712963</v>
      </c>
      <c r="C775" s="1" t="n">
        <v>46076</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59672-2025</t>
        </is>
      </c>
      <c r="B776" s="1" t="n">
        <v>45992.45884259259</v>
      </c>
      <c r="C776" s="1" t="n">
        <v>46076</v>
      </c>
      <c r="D776" t="inlineStr">
        <is>
          <t>STOCKHOLMS LÄN</t>
        </is>
      </c>
      <c r="E776" t="inlineStr">
        <is>
          <t>NORRTÄLJE</t>
        </is>
      </c>
      <c r="G776" t="n">
        <v>4</v>
      </c>
      <c r="H776" t="n">
        <v>0</v>
      </c>
      <c r="I776" t="n">
        <v>0</v>
      </c>
      <c r="J776" t="n">
        <v>0</v>
      </c>
      <c r="K776" t="n">
        <v>0</v>
      </c>
      <c r="L776" t="n">
        <v>0</v>
      </c>
      <c r="M776" t="n">
        <v>0</v>
      </c>
      <c r="N776" t="n">
        <v>0</v>
      </c>
      <c r="O776" t="n">
        <v>0</v>
      </c>
      <c r="P776" t="n">
        <v>0</v>
      </c>
      <c r="Q776" t="n">
        <v>0</v>
      </c>
      <c r="R776" s="2" t="inlineStr"/>
    </row>
    <row r="777" ht="15" customHeight="1">
      <c r="A777" t="inlineStr">
        <is>
          <t>A 57788-2025</t>
        </is>
      </c>
      <c r="B777" s="1" t="n">
        <v>45981.5778125</v>
      </c>
      <c r="C777" s="1" t="n">
        <v>46076</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59907-2025</t>
        </is>
      </c>
      <c r="B778" s="1" t="n">
        <v>45993.35350694445</v>
      </c>
      <c r="C778" s="1" t="n">
        <v>46076</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1755-2026</t>
        </is>
      </c>
      <c r="B779" s="1" t="n">
        <v>46034.66230324074</v>
      </c>
      <c r="C779" s="1" t="n">
        <v>46076</v>
      </c>
      <c r="D779" t="inlineStr">
        <is>
          <t>STOCKHOLMS LÄN</t>
        </is>
      </c>
      <c r="E779" t="inlineStr">
        <is>
          <t>NORRTÄLJE</t>
        </is>
      </c>
      <c r="F779" t="inlineStr">
        <is>
          <t>Holmen skog AB</t>
        </is>
      </c>
      <c r="G779" t="n">
        <v>3.5</v>
      </c>
      <c r="H779" t="n">
        <v>0</v>
      </c>
      <c r="I779" t="n">
        <v>0</v>
      </c>
      <c r="J779" t="n">
        <v>0</v>
      </c>
      <c r="K779" t="n">
        <v>0</v>
      </c>
      <c r="L779" t="n">
        <v>0</v>
      </c>
      <c r="M779" t="n">
        <v>0</v>
      </c>
      <c r="N779" t="n">
        <v>0</v>
      </c>
      <c r="O779" t="n">
        <v>0</v>
      </c>
      <c r="P779" t="n">
        <v>0</v>
      </c>
      <c r="Q779" t="n">
        <v>0</v>
      </c>
      <c r="R779" s="2" t="inlineStr"/>
    </row>
    <row r="780" ht="15" customHeight="1">
      <c r="A780" t="inlineStr">
        <is>
          <t>A 19450-2025</t>
        </is>
      </c>
      <c r="B780" s="1" t="n">
        <v>45770</v>
      </c>
      <c r="C780" s="1" t="n">
        <v>46076</v>
      </c>
      <c r="D780" t="inlineStr">
        <is>
          <t>STOCKHOLMS LÄN</t>
        </is>
      </c>
      <c r="E780" t="inlineStr">
        <is>
          <t>NORRTÄLJE</t>
        </is>
      </c>
      <c r="G780" t="n">
        <v>5.3</v>
      </c>
      <c r="H780" t="n">
        <v>0</v>
      </c>
      <c r="I780" t="n">
        <v>0</v>
      </c>
      <c r="J780" t="n">
        <v>0</v>
      </c>
      <c r="K780" t="n">
        <v>0</v>
      </c>
      <c r="L780" t="n">
        <v>0</v>
      </c>
      <c r="M780" t="n">
        <v>0</v>
      </c>
      <c r="N780" t="n">
        <v>0</v>
      </c>
      <c r="O780" t="n">
        <v>0</v>
      </c>
      <c r="P780" t="n">
        <v>0</v>
      </c>
      <c r="Q780" t="n">
        <v>0</v>
      </c>
      <c r="R780" s="2" t="inlineStr"/>
    </row>
    <row r="781" ht="15" customHeight="1">
      <c r="A781" t="inlineStr">
        <is>
          <t>A 59924-2025</t>
        </is>
      </c>
      <c r="B781" s="1" t="n">
        <v>45993.38928240741</v>
      </c>
      <c r="C781" s="1" t="n">
        <v>46076</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2116-2026</t>
        </is>
      </c>
      <c r="B782" s="1" t="n">
        <v>46036.38108796296</v>
      </c>
      <c r="C782" s="1" t="n">
        <v>46076</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60253-2025</t>
        </is>
      </c>
      <c r="B783" s="1" t="n">
        <v>45994.59827546297</v>
      </c>
      <c r="C783" s="1" t="n">
        <v>46076</v>
      </c>
      <c r="D783" t="inlineStr">
        <is>
          <t>STOCKHOLMS LÄN</t>
        </is>
      </c>
      <c r="E783" t="inlineStr">
        <is>
          <t>NORRTÄLJE</t>
        </is>
      </c>
      <c r="F783" t="inlineStr">
        <is>
          <t>Holmen skog AB</t>
        </is>
      </c>
      <c r="G783" t="n">
        <v>3.6</v>
      </c>
      <c r="H783" t="n">
        <v>0</v>
      </c>
      <c r="I783" t="n">
        <v>0</v>
      </c>
      <c r="J783" t="n">
        <v>0</v>
      </c>
      <c r="K783" t="n">
        <v>0</v>
      </c>
      <c r="L783" t="n">
        <v>0</v>
      </c>
      <c r="M783" t="n">
        <v>0</v>
      </c>
      <c r="N783" t="n">
        <v>0</v>
      </c>
      <c r="O783" t="n">
        <v>0</v>
      </c>
      <c r="P783" t="n">
        <v>0</v>
      </c>
      <c r="Q783" t="n">
        <v>0</v>
      </c>
      <c r="R783" s="2" t="inlineStr"/>
    </row>
    <row r="784" ht="15" customHeight="1">
      <c r="A784" t="inlineStr">
        <is>
          <t>A 33353-2023</t>
        </is>
      </c>
      <c r="B784" s="1" t="n">
        <v>45128</v>
      </c>
      <c r="C784" s="1" t="n">
        <v>46076</v>
      </c>
      <c r="D784" t="inlineStr">
        <is>
          <t>STOCKHOLMS LÄN</t>
        </is>
      </c>
      <c r="E784" t="inlineStr">
        <is>
          <t>NORRTÄLJE</t>
        </is>
      </c>
      <c r="G784" t="n">
        <v>0.8</v>
      </c>
      <c r="H784" t="n">
        <v>0</v>
      </c>
      <c r="I784" t="n">
        <v>0</v>
      </c>
      <c r="J784" t="n">
        <v>0</v>
      </c>
      <c r="K784" t="n">
        <v>0</v>
      </c>
      <c r="L784" t="n">
        <v>0</v>
      </c>
      <c r="M784" t="n">
        <v>0</v>
      </c>
      <c r="N784" t="n">
        <v>0</v>
      </c>
      <c r="O784" t="n">
        <v>0</v>
      </c>
      <c r="P784" t="n">
        <v>0</v>
      </c>
      <c r="Q784" t="n">
        <v>0</v>
      </c>
      <c r="R784" s="2" t="inlineStr"/>
    </row>
    <row r="785" ht="15" customHeight="1">
      <c r="A785" t="inlineStr">
        <is>
          <t>A 3966-2024</t>
        </is>
      </c>
      <c r="B785" s="1" t="n">
        <v>45322</v>
      </c>
      <c r="C785" s="1" t="n">
        <v>46076</v>
      </c>
      <c r="D785" t="inlineStr">
        <is>
          <t>STOCKHOLMS LÄN</t>
        </is>
      </c>
      <c r="E785" t="inlineStr">
        <is>
          <t>NORRTÄLJE</t>
        </is>
      </c>
      <c r="G785" t="n">
        <v>5.3</v>
      </c>
      <c r="H785" t="n">
        <v>0</v>
      </c>
      <c r="I785" t="n">
        <v>0</v>
      </c>
      <c r="J785" t="n">
        <v>0</v>
      </c>
      <c r="K785" t="n">
        <v>0</v>
      </c>
      <c r="L785" t="n">
        <v>0</v>
      </c>
      <c r="M785" t="n">
        <v>0</v>
      </c>
      <c r="N785" t="n">
        <v>0</v>
      </c>
      <c r="O785" t="n">
        <v>0</v>
      </c>
      <c r="P785" t="n">
        <v>0</v>
      </c>
      <c r="Q785" t="n">
        <v>0</v>
      </c>
      <c r="R785" s="2" t="inlineStr"/>
    </row>
    <row r="786" ht="15" customHeight="1">
      <c r="A786" t="inlineStr">
        <is>
          <t>A 60214-2025</t>
        </is>
      </c>
      <c r="B786" s="1" t="n">
        <v>45994.53761574074</v>
      </c>
      <c r="C786" s="1" t="n">
        <v>46076</v>
      </c>
      <c r="D786" t="inlineStr">
        <is>
          <t>STOCKHOLMS LÄN</t>
        </is>
      </c>
      <c r="E786" t="inlineStr">
        <is>
          <t>NORRTÄLJE</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2088-2026</t>
        </is>
      </c>
      <c r="B787" s="1" t="n">
        <v>46036.35909722222</v>
      </c>
      <c r="C787" s="1" t="n">
        <v>46076</v>
      </c>
      <c r="D787" t="inlineStr">
        <is>
          <t>STOCKHOLMS LÄN</t>
        </is>
      </c>
      <c r="E787" t="inlineStr">
        <is>
          <t>NORRTÄLJE</t>
        </is>
      </c>
      <c r="G787" t="n">
        <v>7</v>
      </c>
      <c r="H787" t="n">
        <v>0</v>
      </c>
      <c r="I787" t="n">
        <v>0</v>
      </c>
      <c r="J787" t="n">
        <v>0</v>
      </c>
      <c r="K787" t="n">
        <v>0</v>
      </c>
      <c r="L787" t="n">
        <v>0</v>
      </c>
      <c r="M787" t="n">
        <v>0</v>
      </c>
      <c r="N787" t="n">
        <v>0</v>
      </c>
      <c r="O787" t="n">
        <v>0</v>
      </c>
      <c r="P787" t="n">
        <v>0</v>
      </c>
      <c r="Q787" t="n">
        <v>0</v>
      </c>
      <c r="R787" s="2" t="inlineStr"/>
    </row>
    <row r="788" ht="15" customHeight="1">
      <c r="A788" t="inlineStr">
        <is>
          <t>A 60223-2025</t>
        </is>
      </c>
      <c r="B788" s="1" t="n">
        <v>45994.54497685185</v>
      </c>
      <c r="C788" s="1" t="n">
        <v>46076</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23262-2023</t>
        </is>
      </c>
      <c r="B789" s="1" t="n">
        <v>45075.90270833333</v>
      </c>
      <c r="C789" s="1" t="n">
        <v>46076</v>
      </c>
      <c r="D789" t="inlineStr">
        <is>
          <t>STOCKHOLMS LÄN</t>
        </is>
      </c>
      <c r="E789" t="inlineStr">
        <is>
          <t>NORRTÄLJE</t>
        </is>
      </c>
      <c r="F789" t="inlineStr">
        <is>
          <t>Kommuner</t>
        </is>
      </c>
      <c r="G789" t="n">
        <v>1.9</v>
      </c>
      <c r="H789" t="n">
        <v>0</v>
      </c>
      <c r="I789" t="n">
        <v>0</v>
      </c>
      <c r="J789" t="n">
        <v>0</v>
      </c>
      <c r="K789" t="n">
        <v>0</v>
      </c>
      <c r="L789" t="n">
        <v>0</v>
      </c>
      <c r="M789" t="n">
        <v>0</v>
      </c>
      <c r="N789" t="n">
        <v>0</v>
      </c>
      <c r="O789" t="n">
        <v>0</v>
      </c>
      <c r="P789" t="n">
        <v>0</v>
      </c>
      <c r="Q789" t="n">
        <v>0</v>
      </c>
      <c r="R789" s="2" t="inlineStr"/>
    </row>
    <row r="790" ht="15" customHeight="1">
      <c r="A790" t="inlineStr">
        <is>
          <t>A 23268-2023</t>
        </is>
      </c>
      <c r="B790" s="1" t="n">
        <v>45075.91042824074</v>
      </c>
      <c r="C790" s="1" t="n">
        <v>46076</v>
      </c>
      <c r="D790" t="inlineStr">
        <is>
          <t>STOCKHOLMS LÄN</t>
        </is>
      </c>
      <c r="E790" t="inlineStr">
        <is>
          <t>NORRTÄLJE</t>
        </is>
      </c>
      <c r="G790" t="n">
        <v>3.3</v>
      </c>
      <c r="H790" t="n">
        <v>0</v>
      </c>
      <c r="I790" t="n">
        <v>0</v>
      </c>
      <c r="J790" t="n">
        <v>0</v>
      </c>
      <c r="K790" t="n">
        <v>0</v>
      </c>
      <c r="L790" t="n">
        <v>0</v>
      </c>
      <c r="M790" t="n">
        <v>0</v>
      </c>
      <c r="N790" t="n">
        <v>0</v>
      </c>
      <c r="O790" t="n">
        <v>0</v>
      </c>
      <c r="P790" t="n">
        <v>0</v>
      </c>
      <c r="Q790" t="n">
        <v>0</v>
      </c>
      <c r="R790" s="2" t="inlineStr"/>
    </row>
    <row r="791" ht="15" customHeight="1">
      <c r="A791" t="inlineStr">
        <is>
          <t>A 23270-2023</t>
        </is>
      </c>
      <c r="B791" s="1" t="n">
        <v>45075.91265046296</v>
      </c>
      <c r="C791" s="1" t="n">
        <v>46076</v>
      </c>
      <c r="D791" t="inlineStr">
        <is>
          <t>STOCKHOLMS LÄN</t>
        </is>
      </c>
      <c r="E791" t="inlineStr">
        <is>
          <t>NORRTÄLJE</t>
        </is>
      </c>
      <c r="G791" t="n">
        <v>12.3</v>
      </c>
      <c r="H791" t="n">
        <v>0</v>
      </c>
      <c r="I791" t="n">
        <v>0</v>
      </c>
      <c r="J791" t="n">
        <v>0</v>
      </c>
      <c r="K791" t="n">
        <v>0</v>
      </c>
      <c r="L791" t="n">
        <v>0</v>
      </c>
      <c r="M791" t="n">
        <v>0</v>
      </c>
      <c r="N791" t="n">
        <v>0</v>
      </c>
      <c r="O791" t="n">
        <v>0</v>
      </c>
      <c r="P791" t="n">
        <v>0</v>
      </c>
      <c r="Q791" t="n">
        <v>0</v>
      </c>
      <c r="R791" s="2" t="inlineStr"/>
    </row>
    <row r="792" ht="15" customHeight="1">
      <c r="A792" t="inlineStr">
        <is>
          <t>A 23274-2023</t>
        </is>
      </c>
      <c r="B792" s="1" t="n">
        <v>45075.92153935185</v>
      </c>
      <c r="C792" s="1" t="n">
        <v>46076</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60745-2025</t>
        </is>
      </c>
      <c r="B793" s="1" t="n">
        <v>45999.37753472223</v>
      </c>
      <c r="C793" s="1" t="n">
        <v>46076</v>
      </c>
      <c r="D793" t="inlineStr">
        <is>
          <t>STOCKHOLMS LÄN</t>
        </is>
      </c>
      <c r="E793" t="inlineStr">
        <is>
          <t>NORRTÄLJE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17843-2024</t>
        </is>
      </c>
      <c r="B794" s="1" t="n">
        <v>45418</v>
      </c>
      <c r="C794" s="1" t="n">
        <v>46076</v>
      </c>
      <c r="D794" t="inlineStr">
        <is>
          <t>STOCKHOLMS LÄN</t>
        </is>
      </c>
      <c r="E794" t="inlineStr">
        <is>
          <t>NORRTÄLJE</t>
        </is>
      </c>
      <c r="G794" t="n">
        <v>5.4</v>
      </c>
      <c r="H794" t="n">
        <v>0</v>
      </c>
      <c r="I794" t="n">
        <v>0</v>
      </c>
      <c r="J794" t="n">
        <v>0</v>
      </c>
      <c r="K794" t="n">
        <v>0</v>
      </c>
      <c r="L794" t="n">
        <v>0</v>
      </c>
      <c r="M794" t="n">
        <v>0</v>
      </c>
      <c r="N794" t="n">
        <v>0</v>
      </c>
      <c r="O794" t="n">
        <v>0</v>
      </c>
      <c r="P794" t="n">
        <v>0</v>
      </c>
      <c r="Q794" t="n">
        <v>0</v>
      </c>
      <c r="R794" s="2" t="inlineStr"/>
    </row>
    <row r="795" ht="15" customHeight="1">
      <c r="A795" t="inlineStr">
        <is>
          <t>A 60649-2025</t>
        </is>
      </c>
      <c r="B795" s="1" t="n">
        <v>45996.4560300926</v>
      </c>
      <c r="C795" s="1" t="n">
        <v>46076</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60948-2025</t>
        </is>
      </c>
      <c r="B796" s="1" t="n">
        <v>45999.650625</v>
      </c>
      <c r="C796" s="1" t="n">
        <v>46076</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1789-2026</t>
        </is>
      </c>
      <c r="B797" s="1" t="n">
        <v>46034</v>
      </c>
      <c r="C797" s="1" t="n">
        <v>46076</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26636-2023</t>
        </is>
      </c>
      <c r="B798" s="1" t="n">
        <v>45092</v>
      </c>
      <c r="C798" s="1" t="n">
        <v>46076</v>
      </c>
      <c r="D798" t="inlineStr">
        <is>
          <t>STOCKHOLMS LÄN</t>
        </is>
      </c>
      <c r="E798" t="inlineStr">
        <is>
          <t>NORRTÄLJE</t>
        </is>
      </c>
      <c r="G798" t="n">
        <v>1.7</v>
      </c>
      <c r="H798" t="n">
        <v>0</v>
      </c>
      <c r="I798" t="n">
        <v>0</v>
      </c>
      <c r="J798" t="n">
        <v>0</v>
      </c>
      <c r="K798" t="n">
        <v>0</v>
      </c>
      <c r="L798" t="n">
        <v>0</v>
      </c>
      <c r="M798" t="n">
        <v>0</v>
      </c>
      <c r="N798" t="n">
        <v>0</v>
      </c>
      <c r="O798" t="n">
        <v>0</v>
      </c>
      <c r="P798" t="n">
        <v>0</v>
      </c>
      <c r="Q798" t="n">
        <v>0</v>
      </c>
      <c r="R798" s="2" t="inlineStr"/>
    </row>
    <row r="799" ht="15" customHeight="1">
      <c r="A799" t="inlineStr">
        <is>
          <t>A 26637-2023</t>
        </is>
      </c>
      <c r="B799" s="1" t="n">
        <v>45092</v>
      </c>
      <c r="C799" s="1" t="n">
        <v>46076</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72704-2021</t>
        </is>
      </c>
      <c r="B800" s="1" t="n">
        <v>44546</v>
      </c>
      <c r="C800" s="1" t="n">
        <v>46076</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52743-2024</t>
        </is>
      </c>
      <c r="B801" s="1" t="n">
        <v>45610.47414351852</v>
      </c>
      <c r="C801" s="1" t="n">
        <v>46076</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16852-2024</t>
        </is>
      </c>
      <c r="B802" s="1" t="n">
        <v>45411.54768518519</v>
      </c>
      <c r="C802" s="1" t="n">
        <v>46076</v>
      </c>
      <c r="D802" t="inlineStr">
        <is>
          <t>STOCKHOLMS LÄN</t>
        </is>
      </c>
      <c r="E802" t="inlineStr">
        <is>
          <t>NORRTÄLJE</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60928-2025</t>
        </is>
      </c>
      <c r="B803" s="1" t="n">
        <v>45999.633125</v>
      </c>
      <c r="C803" s="1" t="n">
        <v>46076</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3933-2026</t>
        </is>
      </c>
      <c r="B804" s="1" t="n">
        <v>46043.79916666666</v>
      </c>
      <c r="C804" s="1" t="n">
        <v>46076</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61160-2025</t>
        </is>
      </c>
      <c r="B805" s="1" t="n">
        <v>46000.55262731481</v>
      </c>
      <c r="C805" s="1" t="n">
        <v>46076</v>
      </c>
      <c r="D805" t="inlineStr">
        <is>
          <t>STOCKHOLMS LÄN</t>
        </is>
      </c>
      <c r="E805" t="inlineStr">
        <is>
          <t>NORRTÄLJE</t>
        </is>
      </c>
      <c r="G805" t="n">
        <v>5.3</v>
      </c>
      <c r="H805" t="n">
        <v>0</v>
      </c>
      <c r="I805" t="n">
        <v>0</v>
      </c>
      <c r="J805" t="n">
        <v>0</v>
      </c>
      <c r="K805" t="n">
        <v>0</v>
      </c>
      <c r="L805" t="n">
        <v>0</v>
      </c>
      <c r="M805" t="n">
        <v>0</v>
      </c>
      <c r="N805" t="n">
        <v>0</v>
      </c>
      <c r="O805" t="n">
        <v>0</v>
      </c>
      <c r="P805" t="n">
        <v>0</v>
      </c>
      <c r="Q805" t="n">
        <v>0</v>
      </c>
      <c r="R805" s="2" t="inlineStr"/>
    </row>
    <row r="806" ht="15" customHeight="1">
      <c r="A806" t="inlineStr">
        <is>
          <t>A 55755-2023</t>
        </is>
      </c>
      <c r="B806" s="1" t="n">
        <v>45239</v>
      </c>
      <c r="C806" s="1" t="n">
        <v>46076</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61419-2025</t>
        </is>
      </c>
      <c r="B807" s="1" t="n">
        <v>46001.54137731482</v>
      </c>
      <c r="C807" s="1" t="n">
        <v>46076</v>
      </c>
      <c r="D807" t="inlineStr">
        <is>
          <t>STOCKHOLMS LÄN</t>
        </is>
      </c>
      <c r="E807" t="inlineStr">
        <is>
          <t>NORRTÄLJE</t>
        </is>
      </c>
      <c r="G807" t="n">
        <v>5.2</v>
      </c>
      <c r="H807" t="n">
        <v>0</v>
      </c>
      <c r="I807" t="n">
        <v>0</v>
      </c>
      <c r="J807" t="n">
        <v>0</v>
      </c>
      <c r="K807" t="n">
        <v>0</v>
      </c>
      <c r="L807" t="n">
        <v>0</v>
      </c>
      <c r="M807" t="n">
        <v>0</v>
      </c>
      <c r="N807" t="n">
        <v>0</v>
      </c>
      <c r="O807" t="n">
        <v>0</v>
      </c>
      <c r="P807" t="n">
        <v>0</v>
      </c>
      <c r="Q807" t="n">
        <v>0</v>
      </c>
      <c r="R807" s="2" t="inlineStr"/>
    </row>
    <row r="808" ht="15" customHeight="1">
      <c r="A808" t="inlineStr">
        <is>
          <t>A 61430-2025</t>
        </is>
      </c>
      <c r="B808" s="1" t="n">
        <v>46001.55583333333</v>
      </c>
      <c r="C808" s="1" t="n">
        <v>46076</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17348-2024</t>
        </is>
      </c>
      <c r="B809" s="1" t="n">
        <v>45414.58650462963</v>
      </c>
      <c r="C809" s="1" t="n">
        <v>46076</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61452-2025</t>
        </is>
      </c>
      <c r="B810" s="1" t="n">
        <v>46001.58043981482</v>
      </c>
      <c r="C810" s="1" t="n">
        <v>46076</v>
      </c>
      <c r="D810" t="inlineStr">
        <is>
          <t>STOCKHOLMS LÄN</t>
        </is>
      </c>
      <c r="E810" t="inlineStr">
        <is>
          <t>NORRTÄLJE</t>
        </is>
      </c>
      <c r="F810" t="inlineStr">
        <is>
          <t>Holmen skog AB</t>
        </is>
      </c>
      <c r="G810" t="n">
        <v>3.7</v>
      </c>
      <c r="H810" t="n">
        <v>0</v>
      </c>
      <c r="I810" t="n">
        <v>0</v>
      </c>
      <c r="J810" t="n">
        <v>0</v>
      </c>
      <c r="K810" t="n">
        <v>0</v>
      </c>
      <c r="L810" t="n">
        <v>0</v>
      </c>
      <c r="M810" t="n">
        <v>0</v>
      </c>
      <c r="N810" t="n">
        <v>0</v>
      </c>
      <c r="O810" t="n">
        <v>0</v>
      </c>
      <c r="P810" t="n">
        <v>0</v>
      </c>
      <c r="Q810" t="n">
        <v>0</v>
      </c>
      <c r="R810" s="2" t="inlineStr"/>
    </row>
    <row r="811" ht="15" customHeight="1">
      <c r="A811" t="inlineStr">
        <is>
          <t>A 61289-2025</t>
        </is>
      </c>
      <c r="B811" s="1" t="n">
        <v>46000.73659722223</v>
      </c>
      <c r="C811" s="1" t="n">
        <v>46076</v>
      </c>
      <c r="D811" t="inlineStr">
        <is>
          <t>STOCKHOLMS LÄN</t>
        </is>
      </c>
      <c r="E811" t="inlineStr">
        <is>
          <t>NORRTÄLJE</t>
        </is>
      </c>
      <c r="G811" t="n">
        <v>0.6</v>
      </c>
      <c r="H811" t="n">
        <v>0</v>
      </c>
      <c r="I811" t="n">
        <v>0</v>
      </c>
      <c r="J811" t="n">
        <v>0</v>
      </c>
      <c r="K811" t="n">
        <v>0</v>
      </c>
      <c r="L811" t="n">
        <v>0</v>
      </c>
      <c r="M811" t="n">
        <v>0</v>
      </c>
      <c r="N811" t="n">
        <v>0</v>
      </c>
      <c r="O811" t="n">
        <v>0</v>
      </c>
      <c r="P811" t="n">
        <v>0</v>
      </c>
      <c r="Q811" t="n">
        <v>0</v>
      </c>
      <c r="R811" s="2" t="inlineStr"/>
    </row>
    <row r="812" ht="15" customHeight="1">
      <c r="A812" t="inlineStr">
        <is>
          <t>A 61769-2025</t>
        </is>
      </c>
      <c r="B812" s="1" t="n">
        <v>46002.64556712963</v>
      </c>
      <c r="C812" s="1" t="n">
        <v>46076</v>
      </c>
      <c r="D812" t="inlineStr">
        <is>
          <t>STOCKHOLMS LÄN</t>
        </is>
      </c>
      <c r="E812" t="inlineStr">
        <is>
          <t>NORRTÄLJE</t>
        </is>
      </c>
      <c r="G812" t="n">
        <v>2.9</v>
      </c>
      <c r="H812" t="n">
        <v>0</v>
      </c>
      <c r="I812" t="n">
        <v>0</v>
      </c>
      <c r="J812" t="n">
        <v>0</v>
      </c>
      <c r="K812" t="n">
        <v>0</v>
      </c>
      <c r="L812" t="n">
        <v>0</v>
      </c>
      <c r="M812" t="n">
        <v>0</v>
      </c>
      <c r="N812" t="n">
        <v>0</v>
      </c>
      <c r="O812" t="n">
        <v>0</v>
      </c>
      <c r="P812" t="n">
        <v>0</v>
      </c>
      <c r="Q812" t="n">
        <v>0</v>
      </c>
      <c r="R812" s="2" t="inlineStr"/>
    </row>
    <row r="813" ht="15" customHeight="1">
      <c r="A813" t="inlineStr">
        <is>
          <t>A 13089-2022</t>
        </is>
      </c>
      <c r="B813" s="1" t="n">
        <v>44643</v>
      </c>
      <c r="C813" s="1" t="n">
        <v>46076</v>
      </c>
      <c r="D813" t="inlineStr">
        <is>
          <t>STOCKHOLMS LÄN</t>
        </is>
      </c>
      <c r="E813" t="inlineStr">
        <is>
          <t>NORRTÄLJE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48145-2024</t>
        </is>
      </c>
      <c r="B814" s="1" t="n">
        <v>45589.6756712963</v>
      </c>
      <c r="C814" s="1" t="n">
        <v>46076</v>
      </c>
      <c r="D814" t="inlineStr">
        <is>
          <t>STOCKHOLMS LÄN</t>
        </is>
      </c>
      <c r="E814" t="inlineStr">
        <is>
          <t>NORRTÄLJE</t>
        </is>
      </c>
      <c r="G814" t="n">
        <v>3.4</v>
      </c>
      <c r="H814" t="n">
        <v>0</v>
      </c>
      <c r="I814" t="n">
        <v>0</v>
      </c>
      <c r="J814" t="n">
        <v>0</v>
      </c>
      <c r="K814" t="n">
        <v>0</v>
      </c>
      <c r="L814" t="n">
        <v>0</v>
      </c>
      <c r="M814" t="n">
        <v>0</v>
      </c>
      <c r="N814" t="n">
        <v>0</v>
      </c>
      <c r="O814" t="n">
        <v>0</v>
      </c>
      <c r="P814" t="n">
        <v>0</v>
      </c>
      <c r="Q814" t="n">
        <v>0</v>
      </c>
      <c r="R814" s="2" t="inlineStr"/>
    </row>
    <row r="815" ht="15" customHeight="1">
      <c r="A815" t="inlineStr">
        <is>
          <t>A 23998-2024</t>
        </is>
      </c>
      <c r="B815" s="1" t="n">
        <v>45456</v>
      </c>
      <c r="C815" s="1" t="n">
        <v>46076</v>
      </c>
      <c r="D815" t="inlineStr">
        <is>
          <t>STOCKHOLMS LÄN</t>
        </is>
      </c>
      <c r="E815" t="inlineStr">
        <is>
          <t>NORRTÄLJE</t>
        </is>
      </c>
      <c r="G815" t="n">
        <v>2.3</v>
      </c>
      <c r="H815" t="n">
        <v>0</v>
      </c>
      <c r="I815" t="n">
        <v>0</v>
      </c>
      <c r="J815" t="n">
        <v>0</v>
      </c>
      <c r="K815" t="n">
        <v>0</v>
      </c>
      <c r="L815" t="n">
        <v>0</v>
      </c>
      <c r="M815" t="n">
        <v>0</v>
      </c>
      <c r="N815" t="n">
        <v>0</v>
      </c>
      <c r="O815" t="n">
        <v>0</v>
      </c>
      <c r="P815" t="n">
        <v>0</v>
      </c>
      <c r="Q815" t="n">
        <v>0</v>
      </c>
      <c r="R815" s="2" t="inlineStr"/>
    </row>
    <row r="816" ht="15" customHeight="1">
      <c r="A816" t="inlineStr">
        <is>
          <t>A 15447-2023</t>
        </is>
      </c>
      <c r="B816" s="1" t="n">
        <v>45020</v>
      </c>
      <c r="C816" s="1" t="n">
        <v>46076</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61764-2025</t>
        </is>
      </c>
      <c r="B817" s="1" t="n">
        <v>46002.62763888889</v>
      </c>
      <c r="C817" s="1" t="n">
        <v>46076</v>
      </c>
      <c r="D817" t="inlineStr">
        <is>
          <t>STOCKHOLMS LÄN</t>
        </is>
      </c>
      <c r="E817" t="inlineStr">
        <is>
          <t>NORRTÄLJE</t>
        </is>
      </c>
      <c r="G817" t="n">
        <v>2.3</v>
      </c>
      <c r="H817" t="n">
        <v>0</v>
      </c>
      <c r="I817" t="n">
        <v>0</v>
      </c>
      <c r="J817" t="n">
        <v>0</v>
      </c>
      <c r="K817" t="n">
        <v>0</v>
      </c>
      <c r="L817" t="n">
        <v>0</v>
      </c>
      <c r="M817" t="n">
        <v>0</v>
      </c>
      <c r="N817" t="n">
        <v>0</v>
      </c>
      <c r="O817" t="n">
        <v>0</v>
      </c>
      <c r="P817" t="n">
        <v>0</v>
      </c>
      <c r="Q817" t="n">
        <v>0</v>
      </c>
      <c r="R817" s="2" t="inlineStr"/>
    </row>
    <row r="818" ht="15" customHeight="1">
      <c r="A818" t="inlineStr">
        <is>
          <t>A 4232-2026</t>
        </is>
      </c>
      <c r="B818" s="1" t="n">
        <v>46044.89594907407</v>
      </c>
      <c r="C818" s="1" t="n">
        <v>46076</v>
      </c>
      <c r="D818" t="inlineStr">
        <is>
          <t>STOCKHOLMS LÄN</t>
        </is>
      </c>
      <c r="E818" t="inlineStr">
        <is>
          <t>NORRTÄLJE</t>
        </is>
      </c>
      <c r="G818" t="n">
        <v>3.8</v>
      </c>
      <c r="H818" t="n">
        <v>0</v>
      </c>
      <c r="I818" t="n">
        <v>0</v>
      </c>
      <c r="J818" t="n">
        <v>0</v>
      </c>
      <c r="K818" t="n">
        <v>0</v>
      </c>
      <c r="L818" t="n">
        <v>0</v>
      </c>
      <c r="M818" t="n">
        <v>0</v>
      </c>
      <c r="N818" t="n">
        <v>0</v>
      </c>
      <c r="O818" t="n">
        <v>0</v>
      </c>
      <c r="P818" t="n">
        <v>0</v>
      </c>
      <c r="Q818" t="n">
        <v>0</v>
      </c>
      <c r="R818" s="2" t="inlineStr"/>
    </row>
    <row r="819" ht="15" customHeight="1">
      <c r="A819" t="inlineStr">
        <is>
          <t>A 54358-2022</t>
        </is>
      </c>
      <c r="B819" s="1" t="n">
        <v>44882</v>
      </c>
      <c r="C819" s="1" t="n">
        <v>46076</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23263-2023</t>
        </is>
      </c>
      <c r="B820" s="1" t="n">
        <v>45075</v>
      </c>
      <c r="C820" s="1" t="n">
        <v>46076</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23264-2023</t>
        </is>
      </c>
      <c r="B821" s="1" t="n">
        <v>45075</v>
      </c>
      <c r="C821" s="1" t="n">
        <v>46076</v>
      </c>
      <c r="D821" t="inlineStr">
        <is>
          <t>STOCKHOLMS LÄN</t>
        </is>
      </c>
      <c r="E821" t="inlineStr">
        <is>
          <t>NORRTÄLJE</t>
        </is>
      </c>
      <c r="G821" t="n">
        <v>2.9</v>
      </c>
      <c r="H821" t="n">
        <v>0</v>
      </c>
      <c r="I821" t="n">
        <v>0</v>
      </c>
      <c r="J821" t="n">
        <v>0</v>
      </c>
      <c r="K821" t="n">
        <v>0</v>
      </c>
      <c r="L821" t="n">
        <v>0</v>
      </c>
      <c r="M821" t="n">
        <v>0</v>
      </c>
      <c r="N821" t="n">
        <v>0</v>
      </c>
      <c r="O821" t="n">
        <v>0</v>
      </c>
      <c r="P821" t="n">
        <v>0</v>
      </c>
      <c r="Q821" t="n">
        <v>0</v>
      </c>
      <c r="R821" s="2" t="inlineStr"/>
    </row>
    <row r="822" ht="15" customHeight="1">
      <c r="A822" t="inlineStr">
        <is>
          <t>A 23267-2023</t>
        </is>
      </c>
      <c r="B822" s="1" t="n">
        <v>45075.90934027778</v>
      </c>
      <c r="C822" s="1" t="n">
        <v>46076</v>
      </c>
      <c r="D822" t="inlineStr">
        <is>
          <t>STOCKHOLMS LÄN</t>
        </is>
      </c>
      <c r="E822" t="inlineStr">
        <is>
          <t>NORRTÄLJE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23269-2023</t>
        </is>
      </c>
      <c r="B823" s="1" t="n">
        <v>45075.91148148148</v>
      </c>
      <c r="C823" s="1" t="n">
        <v>46076</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19911-2025</t>
        </is>
      </c>
      <c r="B824" s="1" t="n">
        <v>45771</v>
      </c>
      <c r="C824" s="1" t="n">
        <v>46076</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5831-2022</t>
        </is>
      </c>
      <c r="B825" s="1" t="n">
        <v>44596</v>
      </c>
      <c r="C825" s="1" t="n">
        <v>46076</v>
      </c>
      <c r="D825" t="inlineStr">
        <is>
          <t>STOCKHOLMS LÄN</t>
        </is>
      </c>
      <c r="E825" t="inlineStr">
        <is>
          <t>NORRTÄLJE</t>
        </is>
      </c>
      <c r="G825" t="n">
        <v>4.8</v>
      </c>
      <c r="H825" t="n">
        <v>0</v>
      </c>
      <c r="I825" t="n">
        <v>0</v>
      </c>
      <c r="J825" t="n">
        <v>0</v>
      </c>
      <c r="K825" t="n">
        <v>0</v>
      </c>
      <c r="L825" t="n">
        <v>0</v>
      </c>
      <c r="M825" t="n">
        <v>0</v>
      </c>
      <c r="N825" t="n">
        <v>0</v>
      </c>
      <c r="O825" t="n">
        <v>0</v>
      </c>
      <c r="P825" t="n">
        <v>0</v>
      </c>
      <c r="Q825" t="n">
        <v>0</v>
      </c>
      <c r="R825" s="2" t="inlineStr"/>
    </row>
    <row r="826" ht="15" customHeight="1">
      <c r="A826" t="inlineStr">
        <is>
          <t>A 5867-2022</t>
        </is>
      </c>
      <c r="B826" s="1" t="n">
        <v>44596.66335648148</v>
      </c>
      <c r="C826" s="1" t="n">
        <v>46076</v>
      </c>
      <c r="D826" t="inlineStr">
        <is>
          <t>STOCKHOLMS LÄN</t>
        </is>
      </c>
      <c r="E826" t="inlineStr">
        <is>
          <t>NORRTÄLJE</t>
        </is>
      </c>
      <c r="F826" t="inlineStr">
        <is>
          <t>Naturvårdsverket</t>
        </is>
      </c>
      <c r="G826" t="n">
        <v>1.6</v>
      </c>
      <c r="H826" t="n">
        <v>0</v>
      </c>
      <c r="I826" t="n">
        <v>0</v>
      </c>
      <c r="J826" t="n">
        <v>0</v>
      </c>
      <c r="K826" t="n">
        <v>0</v>
      </c>
      <c r="L826" t="n">
        <v>0</v>
      </c>
      <c r="M826" t="n">
        <v>0</v>
      </c>
      <c r="N826" t="n">
        <v>0</v>
      </c>
      <c r="O826" t="n">
        <v>0</v>
      </c>
      <c r="P826" t="n">
        <v>0</v>
      </c>
      <c r="Q826" t="n">
        <v>0</v>
      </c>
      <c r="R826" s="2" t="inlineStr"/>
    </row>
    <row r="827" ht="15" customHeight="1">
      <c r="A827" t="inlineStr">
        <is>
          <t>A 4230-2026</t>
        </is>
      </c>
      <c r="B827" s="1" t="n">
        <v>46044.89366898148</v>
      </c>
      <c r="C827" s="1" t="n">
        <v>46076</v>
      </c>
      <c r="D827" t="inlineStr">
        <is>
          <t>STOCKHOLMS LÄN</t>
        </is>
      </c>
      <c r="E827" t="inlineStr">
        <is>
          <t>NORRTÄLJE</t>
        </is>
      </c>
      <c r="G827" t="n">
        <v>10.8</v>
      </c>
      <c r="H827" t="n">
        <v>0</v>
      </c>
      <c r="I827" t="n">
        <v>0</v>
      </c>
      <c r="J827" t="n">
        <v>0</v>
      </c>
      <c r="K827" t="n">
        <v>0</v>
      </c>
      <c r="L827" t="n">
        <v>0</v>
      </c>
      <c r="M827" t="n">
        <v>0</v>
      </c>
      <c r="N827" t="n">
        <v>0</v>
      </c>
      <c r="O827" t="n">
        <v>0</v>
      </c>
      <c r="P827" t="n">
        <v>0</v>
      </c>
      <c r="Q827" t="n">
        <v>0</v>
      </c>
      <c r="R827" s="2" t="inlineStr"/>
    </row>
    <row r="828" ht="15" customHeight="1">
      <c r="A828" t="inlineStr">
        <is>
          <t>A 20244-2025</t>
        </is>
      </c>
      <c r="B828" s="1" t="n">
        <v>45772.71221064815</v>
      </c>
      <c r="C828" s="1" t="n">
        <v>46076</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48633-2023</t>
        </is>
      </c>
      <c r="B829" s="1" t="n">
        <v>45208.58004629629</v>
      </c>
      <c r="C829" s="1" t="n">
        <v>46076</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5227-2026</t>
        </is>
      </c>
      <c r="B830" s="1" t="n">
        <v>46049.80460648148</v>
      </c>
      <c r="C830" s="1" t="n">
        <v>46076</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5241-2026</t>
        </is>
      </c>
      <c r="B831" s="1" t="n">
        <v>46049.86471064815</v>
      </c>
      <c r="C831" s="1" t="n">
        <v>46076</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5224-2026</t>
        </is>
      </c>
      <c r="B832" s="1" t="n">
        <v>46049.79521990741</v>
      </c>
      <c r="C832" s="1" t="n">
        <v>46076</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39669-2024</t>
        </is>
      </c>
      <c r="B833" s="1" t="n">
        <v>45552.52827546297</v>
      </c>
      <c r="C833" s="1" t="n">
        <v>46076</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4886-2026</t>
        </is>
      </c>
      <c r="B834" s="1" t="n">
        <v>46048.66328703704</v>
      </c>
      <c r="C834" s="1" t="n">
        <v>46076</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5226-2026</t>
        </is>
      </c>
      <c r="B835" s="1" t="n">
        <v>46049.79961805556</v>
      </c>
      <c r="C835" s="1" t="n">
        <v>46076</v>
      </c>
      <c r="D835" t="inlineStr">
        <is>
          <t>STOCKHOLMS LÄN</t>
        </is>
      </c>
      <c r="E835" t="inlineStr">
        <is>
          <t>NORRTÄLJE</t>
        </is>
      </c>
      <c r="G835" t="n">
        <v>1.4</v>
      </c>
      <c r="H835" t="n">
        <v>0</v>
      </c>
      <c r="I835" t="n">
        <v>0</v>
      </c>
      <c r="J835" t="n">
        <v>0</v>
      </c>
      <c r="K835" t="n">
        <v>0</v>
      </c>
      <c r="L835" t="n">
        <v>0</v>
      </c>
      <c r="M835" t="n">
        <v>0</v>
      </c>
      <c r="N835" t="n">
        <v>0</v>
      </c>
      <c r="O835" t="n">
        <v>0</v>
      </c>
      <c r="P835" t="n">
        <v>0</v>
      </c>
      <c r="Q835" t="n">
        <v>0</v>
      </c>
      <c r="R835" s="2" t="inlineStr"/>
    </row>
    <row r="836" ht="15" customHeight="1">
      <c r="A836" t="inlineStr">
        <is>
          <t>A 33279-2025</t>
        </is>
      </c>
      <c r="B836" s="1" t="n">
        <v>45840</v>
      </c>
      <c r="C836" s="1" t="n">
        <v>46076</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53499-2025</t>
        </is>
      </c>
      <c r="B837" s="1" t="n">
        <v>45960</v>
      </c>
      <c r="C837" s="1" t="n">
        <v>46076</v>
      </c>
      <c r="D837" t="inlineStr">
        <is>
          <t>STOCKHOLMS LÄN</t>
        </is>
      </c>
      <c r="E837" t="inlineStr">
        <is>
          <t>NORRTÄLJE</t>
        </is>
      </c>
      <c r="G837" t="n">
        <v>23.8</v>
      </c>
      <c r="H837" t="n">
        <v>0</v>
      </c>
      <c r="I837" t="n">
        <v>0</v>
      </c>
      <c r="J837" t="n">
        <v>0</v>
      </c>
      <c r="K837" t="n">
        <v>0</v>
      </c>
      <c r="L837" t="n">
        <v>0</v>
      </c>
      <c r="M837" t="n">
        <v>0</v>
      </c>
      <c r="N837" t="n">
        <v>0</v>
      </c>
      <c r="O837" t="n">
        <v>0</v>
      </c>
      <c r="P837" t="n">
        <v>0</v>
      </c>
      <c r="Q837" t="n">
        <v>0</v>
      </c>
      <c r="R837" s="2" t="inlineStr"/>
    </row>
    <row r="838" ht="15" customHeight="1">
      <c r="A838" t="inlineStr">
        <is>
          <t>A 43170-2023</t>
        </is>
      </c>
      <c r="B838" s="1" t="n">
        <v>45183</v>
      </c>
      <c r="C838" s="1" t="n">
        <v>46076</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9-2024</t>
        </is>
      </c>
      <c r="B839" s="1" t="n">
        <v>45293</v>
      </c>
      <c r="C839" s="1" t="n">
        <v>46076</v>
      </c>
      <c r="D839" t="inlineStr">
        <is>
          <t>STOCKHOLMS LÄN</t>
        </is>
      </c>
      <c r="E839" t="inlineStr">
        <is>
          <t>NORRTÄLJE</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22832-2021</t>
        </is>
      </c>
      <c r="B840" s="1" t="n">
        <v>44325</v>
      </c>
      <c r="C840" s="1" t="n">
        <v>46076</v>
      </c>
      <c r="D840" t="inlineStr">
        <is>
          <t>STOCKHOLMS LÄN</t>
        </is>
      </c>
      <c r="E840" t="inlineStr">
        <is>
          <t>NORRTÄLJE</t>
        </is>
      </c>
      <c r="G840" t="n">
        <v>6.8</v>
      </c>
      <c r="H840" t="n">
        <v>0</v>
      </c>
      <c r="I840" t="n">
        <v>0</v>
      </c>
      <c r="J840" t="n">
        <v>0</v>
      </c>
      <c r="K840" t="n">
        <v>0</v>
      </c>
      <c r="L840" t="n">
        <v>0</v>
      </c>
      <c r="M840" t="n">
        <v>0</v>
      </c>
      <c r="N840" t="n">
        <v>0</v>
      </c>
      <c r="O840" t="n">
        <v>0</v>
      </c>
      <c r="P840" t="n">
        <v>0</v>
      </c>
      <c r="Q840" t="n">
        <v>0</v>
      </c>
      <c r="R840" s="2" t="inlineStr"/>
    </row>
    <row r="841" ht="15" customHeight="1">
      <c r="A841" t="inlineStr">
        <is>
          <t>A 16913-2025</t>
        </is>
      </c>
      <c r="B841" s="1" t="n">
        <v>45755.36583333334</v>
      </c>
      <c r="C841" s="1" t="n">
        <v>46076</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4035-2023</t>
        </is>
      </c>
      <c r="B842" s="1" t="n">
        <v>44952.57989583333</v>
      </c>
      <c r="C842" s="1" t="n">
        <v>46076</v>
      </c>
      <c r="D842" t="inlineStr">
        <is>
          <t>STOCKHOLMS LÄN</t>
        </is>
      </c>
      <c r="E842" t="inlineStr">
        <is>
          <t>NORRTÄLJE</t>
        </is>
      </c>
      <c r="F842" t="inlineStr">
        <is>
          <t>Holmen skog AB</t>
        </is>
      </c>
      <c r="G842" t="n">
        <v>1.5</v>
      </c>
      <c r="H842" t="n">
        <v>0</v>
      </c>
      <c r="I842" t="n">
        <v>0</v>
      </c>
      <c r="J842" t="n">
        <v>0</v>
      </c>
      <c r="K842" t="n">
        <v>0</v>
      </c>
      <c r="L842" t="n">
        <v>0</v>
      </c>
      <c r="M842" t="n">
        <v>0</v>
      </c>
      <c r="N842" t="n">
        <v>0</v>
      </c>
      <c r="O842" t="n">
        <v>0</v>
      </c>
      <c r="P842" t="n">
        <v>0</v>
      </c>
      <c r="Q842" t="n">
        <v>0</v>
      </c>
      <c r="R842" s="2" t="inlineStr"/>
    </row>
    <row r="843" ht="15" customHeight="1">
      <c r="A843" t="inlineStr">
        <is>
          <t>A 33793-2022</t>
        </is>
      </c>
      <c r="B843" s="1" t="n">
        <v>44790</v>
      </c>
      <c r="C843" s="1" t="n">
        <v>46076</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53600-2022</t>
        </is>
      </c>
      <c r="B844" s="1" t="n">
        <v>44879.70518518519</v>
      </c>
      <c r="C844" s="1" t="n">
        <v>46076</v>
      </c>
      <c r="D844" t="inlineStr">
        <is>
          <t>STOCKHOLMS LÄN</t>
        </is>
      </c>
      <c r="E844" t="inlineStr">
        <is>
          <t>NORRTÄLJE</t>
        </is>
      </c>
      <c r="G844" t="n">
        <v>4.3</v>
      </c>
      <c r="H844" t="n">
        <v>0</v>
      </c>
      <c r="I844" t="n">
        <v>0</v>
      </c>
      <c r="J844" t="n">
        <v>0</v>
      </c>
      <c r="K844" t="n">
        <v>0</v>
      </c>
      <c r="L844" t="n">
        <v>0</v>
      </c>
      <c r="M844" t="n">
        <v>0</v>
      </c>
      <c r="N844" t="n">
        <v>0</v>
      </c>
      <c r="O844" t="n">
        <v>0</v>
      </c>
      <c r="P844" t="n">
        <v>0</v>
      </c>
      <c r="Q844" t="n">
        <v>0</v>
      </c>
      <c r="R844" s="2" t="inlineStr"/>
    </row>
    <row r="845" ht="15" customHeight="1">
      <c r="A845" t="inlineStr">
        <is>
          <t>A 7697-2025</t>
        </is>
      </c>
      <c r="B845" s="1" t="n">
        <v>45706.40086805556</v>
      </c>
      <c r="C845" s="1" t="n">
        <v>46076</v>
      </c>
      <c r="D845" t="inlineStr">
        <is>
          <t>STOCKHOLMS LÄN</t>
        </is>
      </c>
      <c r="E845" t="inlineStr">
        <is>
          <t>NORRTÄLJE</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30221-2024</t>
        </is>
      </c>
      <c r="B846" s="1" t="n">
        <v>45490.45342592592</v>
      </c>
      <c r="C846" s="1" t="n">
        <v>46076</v>
      </c>
      <c r="D846" t="inlineStr">
        <is>
          <t>STOCKHOLMS LÄN</t>
        </is>
      </c>
      <c r="E846" t="inlineStr">
        <is>
          <t>NORRTÄLJE</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4227-2026</t>
        </is>
      </c>
      <c r="B847" s="1" t="n">
        <v>46044</v>
      </c>
      <c r="C847" s="1" t="n">
        <v>46076</v>
      </c>
      <c r="D847" t="inlineStr">
        <is>
          <t>STOCKHOLMS LÄN</t>
        </is>
      </c>
      <c r="E847" t="inlineStr">
        <is>
          <t>NORRTÄLJE</t>
        </is>
      </c>
      <c r="G847" t="n">
        <v>3.6</v>
      </c>
      <c r="H847" t="n">
        <v>0</v>
      </c>
      <c r="I847" t="n">
        <v>0</v>
      </c>
      <c r="J847" t="n">
        <v>0</v>
      </c>
      <c r="K847" t="n">
        <v>0</v>
      </c>
      <c r="L847" t="n">
        <v>0</v>
      </c>
      <c r="M847" t="n">
        <v>0</v>
      </c>
      <c r="N847" t="n">
        <v>0</v>
      </c>
      <c r="O847" t="n">
        <v>0</v>
      </c>
      <c r="P847" t="n">
        <v>0</v>
      </c>
      <c r="Q847" t="n">
        <v>0</v>
      </c>
      <c r="R847" s="2" t="inlineStr"/>
    </row>
    <row r="848" ht="15" customHeight="1">
      <c r="A848" t="inlineStr">
        <is>
          <t>A 4235-2026</t>
        </is>
      </c>
      <c r="B848" s="1" t="n">
        <v>46044</v>
      </c>
      <c r="C848" s="1" t="n">
        <v>46076</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62708-2025</t>
        </is>
      </c>
      <c r="B849" s="1" t="n">
        <v>46008.50986111111</v>
      </c>
      <c r="C849" s="1" t="n">
        <v>46076</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13-2024</t>
        </is>
      </c>
      <c r="B850" s="1" t="n">
        <v>45293.37263888889</v>
      </c>
      <c r="C850" s="1" t="n">
        <v>46076</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19-2024</t>
        </is>
      </c>
      <c r="B851" s="1" t="n">
        <v>45293</v>
      </c>
      <c r="C851" s="1" t="n">
        <v>46076</v>
      </c>
      <c r="D851" t="inlineStr">
        <is>
          <t>STOCKHOLMS LÄN</t>
        </is>
      </c>
      <c r="E851" t="inlineStr">
        <is>
          <t>NORRTÄLJE</t>
        </is>
      </c>
      <c r="G851" t="n">
        <v>0.3</v>
      </c>
      <c r="H851" t="n">
        <v>0</v>
      </c>
      <c r="I851" t="n">
        <v>0</v>
      </c>
      <c r="J851" t="n">
        <v>0</v>
      </c>
      <c r="K851" t="n">
        <v>0</v>
      </c>
      <c r="L851" t="n">
        <v>0</v>
      </c>
      <c r="M851" t="n">
        <v>0</v>
      </c>
      <c r="N851" t="n">
        <v>0</v>
      </c>
      <c r="O851" t="n">
        <v>0</v>
      </c>
      <c r="P851" t="n">
        <v>0</v>
      </c>
      <c r="Q851" t="n">
        <v>0</v>
      </c>
      <c r="R851" s="2" t="inlineStr"/>
    </row>
    <row r="852" ht="15" customHeight="1">
      <c r="A852" t="inlineStr">
        <is>
          <t>A 34478-2025</t>
        </is>
      </c>
      <c r="B852" s="1" t="n">
        <v>45847</v>
      </c>
      <c r="C852" s="1" t="n">
        <v>46076</v>
      </c>
      <c r="D852" t="inlineStr">
        <is>
          <t>STOCKHOLMS LÄN</t>
        </is>
      </c>
      <c r="E852" t="inlineStr">
        <is>
          <t>NORRTÄLJE</t>
        </is>
      </c>
      <c r="F852" t="inlineStr">
        <is>
          <t>Övriga Aktiebolag</t>
        </is>
      </c>
      <c r="G852" t="n">
        <v>10.8</v>
      </c>
      <c r="H852" t="n">
        <v>0</v>
      </c>
      <c r="I852" t="n">
        <v>0</v>
      </c>
      <c r="J852" t="n">
        <v>0</v>
      </c>
      <c r="K852" t="n">
        <v>0</v>
      </c>
      <c r="L852" t="n">
        <v>0</v>
      </c>
      <c r="M852" t="n">
        <v>0</v>
      </c>
      <c r="N852" t="n">
        <v>0</v>
      </c>
      <c r="O852" t="n">
        <v>0</v>
      </c>
      <c r="P852" t="n">
        <v>0</v>
      </c>
      <c r="Q852" t="n">
        <v>0</v>
      </c>
      <c r="R852" s="2" t="inlineStr"/>
    </row>
    <row r="853" ht="15" customHeight="1">
      <c r="A853" t="inlineStr">
        <is>
          <t>A 31559-2022</t>
        </is>
      </c>
      <c r="B853" s="1" t="n">
        <v>44775</v>
      </c>
      <c r="C853" s="1" t="n">
        <v>46076</v>
      </c>
      <c r="D853" t="inlineStr">
        <is>
          <t>STOCKHOLMS LÄN</t>
        </is>
      </c>
      <c r="E853" t="inlineStr">
        <is>
          <t>NORRTÄLJE</t>
        </is>
      </c>
      <c r="G853" t="n">
        <v>5.6</v>
      </c>
      <c r="H853" t="n">
        <v>0</v>
      </c>
      <c r="I853" t="n">
        <v>0</v>
      </c>
      <c r="J853" t="n">
        <v>0</v>
      </c>
      <c r="K853" t="n">
        <v>0</v>
      </c>
      <c r="L853" t="n">
        <v>0</v>
      </c>
      <c r="M853" t="n">
        <v>0</v>
      </c>
      <c r="N853" t="n">
        <v>0</v>
      </c>
      <c r="O853" t="n">
        <v>0</v>
      </c>
      <c r="P853" t="n">
        <v>0</v>
      </c>
      <c r="Q853" t="n">
        <v>0</v>
      </c>
      <c r="R853" s="2" t="inlineStr"/>
    </row>
    <row r="854" ht="15" customHeight="1">
      <c r="A854" t="inlineStr">
        <is>
          <t>A 8419-2025</t>
        </is>
      </c>
      <c r="B854" s="1" t="n">
        <v>45709.40231481481</v>
      </c>
      <c r="C854" s="1" t="n">
        <v>46076</v>
      </c>
      <c r="D854" t="inlineStr">
        <is>
          <t>STOCKHOLMS LÄN</t>
        </is>
      </c>
      <c r="E854" t="inlineStr">
        <is>
          <t>NORRTÄLJE</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4231-2026</t>
        </is>
      </c>
      <c r="B855" s="1" t="n">
        <v>46044</v>
      </c>
      <c r="C855" s="1" t="n">
        <v>46076</v>
      </c>
      <c r="D855" t="inlineStr">
        <is>
          <t>STOCKHOLMS LÄN</t>
        </is>
      </c>
      <c r="E855" t="inlineStr">
        <is>
          <t>NORRTÄLJE</t>
        </is>
      </c>
      <c r="G855" t="n">
        <v>2.9</v>
      </c>
      <c r="H855" t="n">
        <v>0</v>
      </c>
      <c r="I855" t="n">
        <v>0</v>
      </c>
      <c r="J855" t="n">
        <v>0</v>
      </c>
      <c r="K855" t="n">
        <v>0</v>
      </c>
      <c r="L855" t="n">
        <v>0</v>
      </c>
      <c r="M855" t="n">
        <v>0</v>
      </c>
      <c r="N855" t="n">
        <v>0</v>
      </c>
      <c r="O855" t="n">
        <v>0</v>
      </c>
      <c r="P855" t="n">
        <v>0</v>
      </c>
      <c r="Q855" t="n">
        <v>0</v>
      </c>
      <c r="R855" s="2" t="inlineStr"/>
    </row>
    <row r="856" ht="15" customHeight="1">
      <c r="A856" t="inlineStr">
        <is>
          <t>A 62681-2025</t>
        </is>
      </c>
      <c r="B856" s="1" t="n">
        <v>46008.45534722223</v>
      </c>
      <c r="C856" s="1" t="n">
        <v>46076</v>
      </c>
      <c r="D856" t="inlineStr">
        <is>
          <t>STOCKHOLMS LÄN</t>
        </is>
      </c>
      <c r="E856" t="inlineStr">
        <is>
          <t>NORRTÄLJE</t>
        </is>
      </c>
      <c r="G856" t="n">
        <v>2.4</v>
      </c>
      <c r="H856" t="n">
        <v>0</v>
      </c>
      <c r="I856" t="n">
        <v>0</v>
      </c>
      <c r="J856" t="n">
        <v>0</v>
      </c>
      <c r="K856" t="n">
        <v>0</v>
      </c>
      <c r="L856" t="n">
        <v>0</v>
      </c>
      <c r="M856" t="n">
        <v>0</v>
      </c>
      <c r="N856" t="n">
        <v>0</v>
      </c>
      <c r="O856" t="n">
        <v>0</v>
      </c>
      <c r="P856" t="n">
        <v>0</v>
      </c>
      <c r="Q856" t="n">
        <v>0</v>
      </c>
      <c r="R856" s="2" t="inlineStr"/>
    </row>
    <row r="857" ht="15" customHeight="1">
      <c r="A857" t="inlineStr">
        <is>
          <t>A 62922-2025</t>
        </is>
      </c>
      <c r="B857" s="1" t="n">
        <v>46009.38064814815</v>
      </c>
      <c r="C857" s="1" t="n">
        <v>46076</v>
      </c>
      <c r="D857" t="inlineStr">
        <is>
          <t>STOCKHOLMS LÄN</t>
        </is>
      </c>
      <c r="E857" t="inlineStr">
        <is>
          <t>NORRTÄLJE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35161-2022</t>
        </is>
      </c>
      <c r="B858" s="1" t="n">
        <v>44797</v>
      </c>
      <c r="C858" s="1" t="n">
        <v>46076</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58989-2021</t>
        </is>
      </c>
      <c r="B859" s="1" t="n">
        <v>44490.02482638889</v>
      </c>
      <c r="C859" s="1" t="n">
        <v>46076</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46988-2024</t>
        </is>
      </c>
      <c r="B860" s="1" t="n">
        <v>45586</v>
      </c>
      <c r="C860" s="1" t="n">
        <v>46076</v>
      </c>
      <c r="D860" t="inlineStr">
        <is>
          <t>STOCKHOLMS LÄN</t>
        </is>
      </c>
      <c r="E860" t="inlineStr">
        <is>
          <t>NORRTÄLJE</t>
        </is>
      </c>
      <c r="G860" t="n">
        <v>1.1</v>
      </c>
      <c r="H860" t="n">
        <v>0</v>
      </c>
      <c r="I860" t="n">
        <v>0</v>
      </c>
      <c r="J860" t="n">
        <v>0</v>
      </c>
      <c r="K860" t="n">
        <v>0</v>
      </c>
      <c r="L860" t="n">
        <v>0</v>
      </c>
      <c r="M860" t="n">
        <v>0</v>
      </c>
      <c r="N860" t="n">
        <v>0</v>
      </c>
      <c r="O860" t="n">
        <v>0</v>
      </c>
      <c r="P860" t="n">
        <v>0</v>
      </c>
      <c r="Q860" t="n">
        <v>0</v>
      </c>
      <c r="R860" s="2" t="inlineStr"/>
    </row>
    <row r="861" ht="15" customHeight="1">
      <c r="A861" t="inlineStr">
        <is>
          <t>A 21529-2021</t>
        </is>
      </c>
      <c r="B861" s="1" t="n">
        <v>44321</v>
      </c>
      <c r="C861" s="1" t="n">
        <v>46076</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13701-2022</t>
        </is>
      </c>
      <c r="B862" s="1" t="n">
        <v>44648</v>
      </c>
      <c r="C862" s="1" t="n">
        <v>46076</v>
      </c>
      <c r="D862" t="inlineStr">
        <is>
          <t>STOCKHOLMS LÄN</t>
        </is>
      </c>
      <c r="E862" t="inlineStr">
        <is>
          <t>NORRTÄLJE</t>
        </is>
      </c>
      <c r="G862" t="n">
        <v>1.6</v>
      </c>
      <c r="H862" t="n">
        <v>0</v>
      </c>
      <c r="I862" t="n">
        <v>0</v>
      </c>
      <c r="J862" t="n">
        <v>0</v>
      </c>
      <c r="K862" t="n">
        <v>0</v>
      </c>
      <c r="L862" t="n">
        <v>0</v>
      </c>
      <c r="M862" t="n">
        <v>0</v>
      </c>
      <c r="N862" t="n">
        <v>0</v>
      </c>
      <c r="O862" t="n">
        <v>0</v>
      </c>
      <c r="P862" t="n">
        <v>0</v>
      </c>
      <c r="Q862" t="n">
        <v>0</v>
      </c>
      <c r="R862" s="2" t="inlineStr"/>
    </row>
    <row r="863" ht="15" customHeight="1">
      <c r="A863" t="inlineStr">
        <is>
          <t>A 62689-2025</t>
        </is>
      </c>
      <c r="B863" s="1" t="n">
        <v>46008.47171296296</v>
      </c>
      <c r="C863" s="1" t="n">
        <v>46076</v>
      </c>
      <c r="D863" t="inlineStr">
        <is>
          <t>STOCKHOLMS LÄN</t>
        </is>
      </c>
      <c r="E863" t="inlineStr">
        <is>
          <t>NORRTÄLJE</t>
        </is>
      </c>
      <c r="F863" t="inlineStr">
        <is>
          <t>Kyrkan</t>
        </is>
      </c>
      <c r="G863" t="n">
        <v>0.7</v>
      </c>
      <c r="H863" t="n">
        <v>0</v>
      </c>
      <c r="I863" t="n">
        <v>0</v>
      </c>
      <c r="J863" t="n">
        <v>0</v>
      </c>
      <c r="K863" t="n">
        <v>0</v>
      </c>
      <c r="L863" t="n">
        <v>0</v>
      </c>
      <c r="M863" t="n">
        <v>0</v>
      </c>
      <c r="N863" t="n">
        <v>0</v>
      </c>
      <c r="O863" t="n">
        <v>0</v>
      </c>
      <c r="P863" t="n">
        <v>0</v>
      </c>
      <c r="Q863" t="n">
        <v>0</v>
      </c>
      <c r="R863" s="2" t="inlineStr"/>
    </row>
    <row r="864" ht="15" customHeight="1">
      <c r="A864" t="inlineStr">
        <is>
          <t>A 14132-2025</t>
        </is>
      </c>
      <c r="B864" s="1" t="n">
        <v>45740.47550925926</v>
      </c>
      <c r="C864" s="1" t="n">
        <v>46076</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14133-2025</t>
        </is>
      </c>
      <c r="B865" s="1" t="n">
        <v>45740.47724537037</v>
      </c>
      <c r="C865" s="1" t="n">
        <v>46076</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8792-2025</t>
        </is>
      </c>
      <c r="B866" s="1" t="n">
        <v>45712</v>
      </c>
      <c r="C866" s="1" t="n">
        <v>46076</v>
      </c>
      <c r="D866" t="inlineStr">
        <is>
          <t>STOCKHOLMS LÄN</t>
        </is>
      </c>
      <c r="E866" t="inlineStr">
        <is>
          <t>NORRTÄLJE</t>
        </is>
      </c>
      <c r="F866" t="inlineStr">
        <is>
          <t>Övriga Aktiebolag</t>
        </is>
      </c>
      <c r="G866" t="n">
        <v>6.6</v>
      </c>
      <c r="H866" t="n">
        <v>0</v>
      </c>
      <c r="I866" t="n">
        <v>0</v>
      </c>
      <c r="J866" t="n">
        <v>0</v>
      </c>
      <c r="K866" t="n">
        <v>0</v>
      </c>
      <c r="L866" t="n">
        <v>0</v>
      </c>
      <c r="M866" t="n">
        <v>0</v>
      </c>
      <c r="N866" t="n">
        <v>0</v>
      </c>
      <c r="O866" t="n">
        <v>0</v>
      </c>
      <c r="P866" t="n">
        <v>0</v>
      </c>
      <c r="Q866" t="n">
        <v>0</v>
      </c>
      <c r="R866" s="2" t="inlineStr"/>
    </row>
    <row r="867" ht="15" customHeight="1">
      <c r="A867" t="inlineStr">
        <is>
          <t>A 24887-2023</t>
        </is>
      </c>
      <c r="B867" s="1" t="n">
        <v>45085</v>
      </c>
      <c r="C867" s="1" t="n">
        <v>46076</v>
      </c>
      <c r="D867" t="inlineStr">
        <is>
          <t>STOCKHOLMS LÄN</t>
        </is>
      </c>
      <c r="E867" t="inlineStr">
        <is>
          <t>NORRTÄLJE</t>
        </is>
      </c>
      <c r="G867" t="n">
        <v>13.9</v>
      </c>
      <c r="H867" t="n">
        <v>0</v>
      </c>
      <c r="I867" t="n">
        <v>0</v>
      </c>
      <c r="J867" t="n">
        <v>0</v>
      </c>
      <c r="K867" t="n">
        <v>0</v>
      </c>
      <c r="L867" t="n">
        <v>0</v>
      </c>
      <c r="M867" t="n">
        <v>0</v>
      </c>
      <c r="N867" t="n">
        <v>0</v>
      </c>
      <c r="O867" t="n">
        <v>0</v>
      </c>
      <c r="P867" t="n">
        <v>0</v>
      </c>
      <c r="Q867" t="n">
        <v>0</v>
      </c>
      <c r="R867" s="2" t="inlineStr"/>
    </row>
    <row r="868" ht="15" customHeight="1">
      <c r="A868" t="inlineStr">
        <is>
          <t>A 38612-2022</t>
        </is>
      </c>
      <c r="B868" s="1" t="n">
        <v>44813</v>
      </c>
      <c r="C868" s="1" t="n">
        <v>46076</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4326-2023</t>
        </is>
      </c>
      <c r="B869" s="1" t="n">
        <v>44953.70481481482</v>
      </c>
      <c r="C869" s="1" t="n">
        <v>46076</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54504-2024</t>
        </is>
      </c>
      <c r="B870" s="1" t="n">
        <v>45617.58453703704</v>
      </c>
      <c r="C870" s="1" t="n">
        <v>46076</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5934-2026</t>
        </is>
      </c>
      <c r="B871" s="1" t="n">
        <v>46052.47082175926</v>
      </c>
      <c r="C871" s="1" t="n">
        <v>46076</v>
      </c>
      <c r="D871" t="inlineStr">
        <is>
          <t>STOCKHOLMS LÄN</t>
        </is>
      </c>
      <c r="E871" t="inlineStr">
        <is>
          <t>NORRTÄLJE</t>
        </is>
      </c>
      <c r="F871" t="inlineStr">
        <is>
          <t>Holmen skog AB</t>
        </is>
      </c>
      <c r="G871" t="n">
        <v>5.5</v>
      </c>
      <c r="H871" t="n">
        <v>0</v>
      </c>
      <c r="I871" t="n">
        <v>0</v>
      </c>
      <c r="J871" t="n">
        <v>0</v>
      </c>
      <c r="K871" t="n">
        <v>0</v>
      </c>
      <c r="L871" t="n">
        <v>0</v>
      </c>
      <c r="M871" t="n">
        <v>0</v>
      </c>
      <c r="N871" t="n">
        <v>0</v>
      </c>
      <c r="O871" t="n">
        <v>0</v>
      </c>
      <c r="P871" t="n">
        <v>0</v>
      </c>
      <c r="Q871" t="n">
        <v>0</v>
      </c>
      <c r="R871" s="2" t="inlineStr"/>
    </row>
    <row r="872" ht="15" customHeight="1">
      <c r="A872" t="inlineStr">
        <is>
          <t>A 21745-2023</t>
        </is>
      </c>
      <c r="B872" s="1" t="n">
        <v>45065.55917824074</v>
      </c>
      <c r="C872" s="1" t="n">
        <v>46076</v>
      </c>
      <c r="D872" t="inlineStr">
        <is>
          <t>STOCKHOLMS LÄN</t>
        </is>
      </c>
      <c r="E872" t="inlineStr">
        <is>
          <t>NORRTÄLJE</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21894-2023</t>
        </is>
      </c>
      <c r="B873" s="1" t="n">
        <v>45068.51783564815</v>
      </c>
      <c r="C873" s="1" t="n">
        <v>46076</v>
      </c>
      <c r="D873" t="inlineStr">
        <is>
          <t>STOCKHOLMS LÄN</t>
        </is>
      </c>
      <c r="E873" t="inlineStr">
        <is>
          <t>NORRTÄLJE</t>
        </is>
      </c>
      <c r="G873" t="n">
        <v>2.5</v>
      </c>
      <c r="H873" t="n">
        <v>0</v>
      </c>
      <c r="I873" t="n">
        <v>0</v>
      </c>
      <c r="J873" t="n">
        <v>0</v>
      </c>
      <c r="K873" t="n">
        <v>0</v>
      </c>
      <c r="L873" t="n">
        <v>0</v>
      </c>
      <c r="M873" t="n">
        <v>0</v>
      </c>
      <c r="N873" t="n">
        <v>0</v>
      </c>
      <c r="O873" t="n">
        <v>0</v>
      </c>
      <c r="P873" t="n">
        <v>0</v>
      </c>
      <c r="Q873" t="n">
        <v>0</v>
      </c>
      <c r="R873" s="2" t="inlineStr"/>
    </row>
    <row r="874" ht="15" customHeight="1">
      <c r="A874" t="inlineStr">
        <is>
          <t>A 13276-2022</t>
        </is>
      </c>
      <c r="B874" s="1" t="n">
        <v>44644</v>
      </c>
      <c r="C874" s="1" t="n">
        <v>46076</v>
      </c>
      <c r="D874" t="inlineStr">
        <is>
          <t>STOCKHOLMS LÄN</t>
        </is>
      </c>
      <c r="E874" t="inlineStr">
        <is>
          <t>NORRTÄLJE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28182-2022</t>
        </is>
      </c>
      <c r="B875" s="1" t="n">
        <v>44746.58530092592</v>
      </c>
      <c r="C875" s="1" t="n">
        <v>46076</v>
      </c>
      <c r="D875" t="inlineStr">
        <is>
          <t>STOCKHOLMS LÄN</t>
        </is>
      </c>
      <c r="E875" t="inlineStr">
        <is>
          <t>NORRTÄLJE</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34461-2023</t>
        </is>
      </c>
      <c r="B876" s="1" t="n">
        <v>45139</v>
      </c>
      <c r="C876" s="1" t="n">
        <v>46076</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51046-2023</t>
        </is>
      </c>
      <c r="B877" s="1" t="n">
        <v>45218</v>
      </c>
      <c r="C877" s="1" t="n">
        <v>46076</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4549-2026</t>
        </is>
      </c>
      <c r="B878" s="1" t="n">
        <v>46047</v>
      </c>
      <c r="C878" s="1" t="n">
        <v>46076</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17382-2024</t>
        </is>
      </c>
      <c r="B879" s="1" t="n">
        <v>45414.65855324074</v>
      </c>
      <c r="C879" s="1" t="n">
        <v>46076</v>
      </c>
      <c r="D879" t="inlineStr">
        <is>
          <t>STOCKHOLMS LÄN</t>
        </is>
      </c>
      <c r="E879" t="inlineStr">
        <is>
          <t>NORRTÄLJE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6701-2026</t>
        </is>
      </c>
      <c r="B880" s="1" t="n">
        <v>46056.64357638889</v>
      </c>
      <c r="C880" s="1" t="n">
        <v>46076</v>
      </c>
      <c r="D880" t="inlineStr">
        <is>
          <t>STOCKHOLMS LÄN</t>
        </is>
      </c>
      <c r="E880" t="inlineStr">
        <is>
          <t>NORRTÄLJE</t>
        </is>
      </c>
      <c r="G880" t="n">
        <v>0.8</v>
      </c>
      <c r="H880" t="n">
        <v>0</v>
      </c>
      <c r="I880" t="n">
        <v>0</v>
      </c>
      <c r="J880" t="n">
        <v>0</v>
      </c>
      <c r="K880" t="n">
        <v>0</v>
      </c>
      <c r="L880" t="n">
        <v>0</v>
      </c>
      <c r="M880" t="n">
        <v>0</v>
      </c>
      <c r="N880" t="n">
        <v>0</v>
      </c>
      <c r="O880" t="n">
        <v>0</v>
      </c>
      <c r="P880" t="n">
        <v>0</v>
      </c>
      <c r="Q880" t="n">
        <v>0</v>
      </c>
      <c r="R880" s="2" t="inlineStr"/>
    </row>
    <row r="881" ht="15" customHeight="1">
      <c r="A881" t="inlineStr">
        <is>
          <t>A 6724-2026</t>
        </is>
      </c>
      <c r="B881" s="1" t="n">
        <v>46056.67717592593</v>
      </c>
      <c r="C881" s="1" t="n">
        <v>46076</v>
      </c>
      <c r="D881" t="inlineStr">
        <is>
          <t>STOCKHOLMS LÄN</t>
        </is>
      </c>
      <c r="E881" t="inlineStr">
        <is>
          <t>NORRTÄLJE</t>
        </is>
      </c>
      <c r="F881" t="inlineStr">
        <is>
          <t>Holmen skog AB</t>
        </is>
      </c>
      <c r="G881" t="n">
        <v>16.2</v>
      </c>
      <c r="H881" t="n">
        <v>0</v>
      </c>
      <c r="I881" t="n">
        <v>0</v>
      </c>
      <c r="J881" t="n">
        <v>0</v>
      </c>
      <c r="K881" t="n">
        <v>0</v>
      </c>
      <c r="L881" t="n">
        <v>0</v>
      </c>
      <c r="M881" t="n">
        <v>0</v>
      </c>
      <c r="N881" t="n">
        <v>0</v>
      </c>
      <c r="O881" t="n">
        <v>0</v>
      </c>
      <c r="P881" t="n">
        <v>0</v>
      </c>
      <c r="Q881" t="n">
        <v>0</v>
      </c>
      <c r="R881" s="2" t="inlineStr"/>
    </row>
    <row r="882" ht="15" customHeight="1">
      <c r="A882" t="inlineStr">
        <is>
          <t>A 6838-2026</t>
        </is>
      </c>
      <c r="B882" s="1" t="n">
        <v>46057.41151620371</v>
      </c>
      <c r="C882" s="1" t="n">
        <v>46076</v>
      </c>
      <c r="D882" t="inlineStr">
        <is>
          <t>STOCKHOLMS LÄN</t>
        </is>
      </c>
      <c r="E882" t="inlineStr">
        <is>
          <t>NORRTÄLJE</t>
        </is>
      </c>
      <c r="F882" t="inlineStr">
        <is>
          <t>Holmen skog AB</t>
        </is>
      </c>
      <c r="G882" t="n">
        <v>1.7</v>
      </c>
      <c r="H882" t="n">
        <v>0</v>
      </c>
      <c r="I882" t="n">
        <v>0</v>
      </c>
      <c r="J882" t="n">
        <v>0</v>
      </c>
      <c r="K882" t="n">
        <v>0</v>
      </c>
      <c r="L882" t="n">
        <v>0</v>
      </c>
      <c r="M882" t="n">
        <v>0</v>
      </c>
      <c r="N882" t="n">
        <v>0</v>
      </c>
      <c r="O882" t="n">
        <v>0</v>
      </c>
      <c r="P882" t="n">
        <v>0</v>
      </c>
      <c r="Q882" t="n">
        <v>0</v>
      </c>
      <c r="R882" s="2" t="inlineStr"/>
    </row>
    <row r="883" ht="15" customHeight="1">
      <c r="A883" t="inlineStr">
        <is>
          <t>A 6070-2022</t>
        </is>
      </c>
      <c r="B883" s="1" t="n">
        <v>44599.58428240741</v>
      </c>
      <c r="C883" s="1" t="n">
        <v>46076</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17039-2024</t>
        </is>
      </c>
      <c r="B884" s="1" t="n">
        <v>45412.4104050926</v>
      </c>
      <c r="C884" s="1" t="n">
        <v>46076</v>
      </c>
      <c r="D884" t="inlineStr">
        <is>
          <t>STOCKHOLMS LÄN</t>
        </is>
      </c>
      <c r="E884" t="inlineStr">
        <is>
          <t>NORRTÄLJE</t>
        </is>
      </c>
      <c r="G884" t="n">
        <v>5.9</v>
      </c>
      <c r="H884" t="n">
        <v>0</v>
      </c>
      <c r="I884" t="n">
        <v>0</v>
      </c>
      <c r="J884" t="n">
        <v>0</v>
      </c>
      <c r="K884" t="n">
        <v>0</v>
      </c>
      <c r="L884" t="n">
        <v>0</v>
      </c>
      <c r="M884" t="n">
        <v>0</v>
      </c>
      <c r="N884" t="n">
        <v>0</v>
      </c>
      <c r="O884" t="n">
        <v>0</v>
      </c>
      <c r="P884" t="n">
        <v>0</v>
      </c>
      <c r="Q884" t="n">
        <v>0</v>
      </c>
      <c r="R884" s="2" t="inlineStr"/>
    </row>
    <row r="885" ht="15" customHeight="1">
      <c r="A885" t="inlineStr">
        <is>
          <t>A 6532-2026</t>
        </is>
      </c>
      <c r="B885" s="1" t="n">
        <v>46056.41300925926</v>
      </c>
      <c r="C885" s="1" t="n">
        <v>46076</v>
      </c>
      <c r="D885" t="inlineStr">
        <is>
          <t>STOCKHOLMS LÄN</t>
        </is>
      </c>
      <c r="E885" t="inlineStr">
        <is>
          <t>NORRTÄLJE</t>
        </is>
      </c>
      <c r="G885" t="n">
        <v>2.2</v>
      </c>
      <c r="H885" t="n">
        <v>0</v>
      </c>
      <c r="I885" t="n">
        <v>0</v>
      </c>
      <c r="J885" t="n">
        <v>0</v>
      </c>
      <c r="K885" t="n">
        <v>0</v>
      </c>
      <c r="L885" t="n">
        <v>0</v>
      </c>
      <c r="M885" t="n">
        <v>0</v>
      </c>
      <c r="N885" t="n">
        <v>0</v>
      </c>
      <c r="O885" t="n">
        <v>0</v>
      </c>
      <c r="P885" t="n">
        <v>0</v>
      </c>
      <c r="Q885" t="n">
        <v>0</v>
      </c>
      <c r="R885" s="2" t="inlineStr"/>
    </row>
    <row r="886" ht="15" customHeight="1">
      <c r="A886" t="inlineStr">
        <is>
          <t>A 48180-2023</t>
        </is>
      </c>
      <c r="B886" s="1" t="n">
        <v>45205</v>
      </c>
      <c r="C886" s="1" t="n">
        <v>46076</v>
      </c>
      <c r="D886" t="inlineStr">
        <is>
          <t>STOCKHOLMS LÄN</t>
        </is>
      </c>
      <c r="E886" t="inlineStr">
        <is>
          <t>NORRTÄLJE</t>
        </is>
      </c>
      <c r="G886" t="n">
        <v>1.5</v>
      </c>
      <c r="H886" t="n">
        <v>0</v>
      </c>
      <c r="I886" t="n">
        <v>0</v>
      </c>
      <c r="J886" t="n">
        <v>0</v>
      </c>
      <c r="K886" t="n">
        <v>0</v>
      </c>
      <c r="L886" t="n">
        <v>0</v>
      </c>
      <c r="M886" t="n">
        <v>0</v>
      </c>
      <c r="N886" t="n">
        <v>0</v>
      </c>
      <c r="O886" t="n">
        <v>0</v>
      </c>
      <c r="P886" t="n">
        <v>0</v>
      </c>
      <c r="Q886" t="n">
        <v>0</v>
      </c>
      <c r="R886" s="2" t="inlineStr"/>
    </row>
    <row r="887" ht="15" customHeight="1">
      <c r="A887" t="inlineStr">
        <is>
          <t>A 35695-2023</t>
        </is>
      </c>
      <c r="B887" s="1" t="n">
        <v>45147.65407407407</v>
      </c>
      <c r="C887" s="1" t="n">
        <v>46076</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45173-2023</t>
        </is>
      </c>
      <c r="B888" s="1" t="n">
        <v>45191</v>
      </c>
      <c r="C888" s="1" t="n">
        <v>46076</v>
      </c>
      <c r="D888" t="inlineStr">
        <is>
          <t>STOCKHOLMS LÄN</t>
        </is>
      </c>
      <c r="E888" t="inlineStr">
        <is>
          <t>NORRTÄLJE</t>
        </is>
      </c>
      <c r="F888" t="inlineStr">
        <is>
          <t>Sveaskog</t>
        </is>
      </c>
      <c r="G888" t="n">
        <v>3.6</v>
      </c>
      <c r="H888" t="n">
        <v>0</v>
      </c>
      <c r="I888" t="n">
        <v>0</v>
      </c>
      <c r="J888" t="n">
        <v>0</v>
      </c>
      <c r="K888" t="n">
        <v>0</v>
      </c>
      <c r="L888" t="n">
        <v>0</v>
      </c>
      <c r="M888" t="n">
        <v>0</v>
      </c>
      <c r="N888" t="n">
        <v>0</v>
      </c>
      <c r="O888" t="n">
        <v>0</v>
      </c>
      <c r="P888" t="n">
        <v>0</v>
      </c>
      <c r="Q888" t="n">
        <v>0</v>
      </c>
      <c r="R888" s="2" t="inlineStr"/>
    </row>
    <row r="889" ht="15" customHeight="1">
      <c r="A889" t="inlineStr">
        <is>
          <t>A 6874-2026</t>
        </is>
      </c>
      <c r="B889" s="1" t="n">
        <v>46057.45295138889</v>
      </c>
      <c r="C889" s="1" t="n">
        <v>46076</v>
      </c>
      <c r="D889" t="inlineStr">
        <is>
          <t>STOCKHOLMS LÄN</t>
        </is>
      </c>
      <c r="E889" t="inlineStr">
        <is>
          <t>NORRTÄLJE</t>
        </is>
      </c>
      <c r="F889" t="inlineStr">
        <is>
          <t>Holmen skog AB</t>
        </is>
      </c>
      <c r="G889" t="n">
        <v>1.4</v>
      </c>
      <c r="H889" t="n">
        <v>0</v>
      </c>
      <c r="I889" t="n">
        <v>0</v>
      </c>
      <c r="J889" t="n">
        <v>0</v>
      </c>
      <c r="K889" t="n">
        <v>0</v>
      </c>
      <c r="L889" t="n">
        <v>0</v>
      </c>
      <c r="M889" t="n">
        <v>0</v>
      </c>
      <c r="N889" t="n">
        <v>0</v>
      </c>
      <c r="O889" t="n">
        <v>0</v>
      </c>
      <c r="P889" t="n">
        <v>0</v>
      </c>
      <c r="Q889" t="n">
        <v>0</v>
      </c>
      <c r="R889" s="2" t="inlineStr"/>
    </row>
    <row r="890" ht="15" customHeight="1">
      <c r="A890" t="inlineStr">
        <is>
          <t>A 24705-2023</t>
        </is>
      </c>
      <c r="B890" s="1" t="n">
        <v>45084.54459490741</v>
      </c>
      <c r="C890" s="1" t="n">
        <v>46076</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7532-2026</t>
        </is>
      </c>
      <c r="B891" s="1" t="n">
        <v>46059.61903935186</v>
      </c>
      <c r="C891" s="1" t="n">
        <v>46076</v>
      </c>
      <c r="D891" t="inlineStr">
        <is>
          <t>STOCKHOLMS LÄN</t>
        </is>
      </c>
      <c r="E891" t="inlineStr">
        <is>
          <t>NORRTÄLJE</t>
        </is>
      </c>
      <c r="G891" t="n">
        <v>5.2</v>
      </c>
      <c r="H891" t="n">
        <v>0</v>
      </c>
      <c r="I891" t="n">
        <v>0</v>
      </c>
      <c r="J891" t="n">
        <v>0</v>
      </c>
      <c r="K891" t="n">
        <v>0</v>
      </c>
      <c r="L891" t="n">
        <v>0</v>
      </c>
      <c r="M891" t="n">
        <v>0</v>
      </c>
      <c r="N891" t="n">
        <v>0</v>
      </c>
      <c r="O891" t="n">
        <v>0</v>
      </c>
      <c r="P891" t="n">
        <v>0</v>
      </c>
      <c r="Q891" t="n">
        <v>0</v>
      </c>
      <c r="R891" s="2" t="inlineStr"/>
    </row>
    <row r="892" ht="15" customHeight="1">
      <c r="A892" t="inlineStr">
        <is>
          <t>A 21696-2024</t>
        </is>
      </c>
      <c r="B892" s="1" t="n">
        <v>45442.45686342593</v>
      </c>
      <c r="C892" s="1" t="n">
        <v>46076</v>
      </c>
      <c r="D892" t="inlineStr">
        <is>
          <t>STOCKHOLMS LÄN</t>
        </is>
      </c>
      <c r="E892" t="inlineStr">
        <is>
          <t>NORRTÄLJE</t>
        </is>
      </c>
      <c r="G892" t="n">
        <v>2.9</v>
      </c>
      <c r="H892" t="n">
        <v>0</v>
      </c>
      <c r="I892" t="n">
        <v>0</v>
      </c>
      <c r="J892" t="n">
        <v>0</v>
      </c>
      <c r="K892" t="n">
        <v>0</v>
      </c>
      <c r="L892" t="n">
        <v>0</v>
      </c>
      <c r="M892" t="n">
        <v>0</v>
      </c>
      <c r="N892" t="n">
        <v>0</v>
      </c>
      <c r="O892" t="n">
        <v>0</v>
      </c>
      <c r="P892" t="n">
        <v>0</v>
      </c>
      <c r="Q892" t="n">
        <v>0</v>
      </c>
      <c r="R892" s="2" t="inlineStr"/>
    </row>
    <row r="893" ht="15" customHeight="1">
      <c r="A893" t="inlineStr">
        <is>
          <t>A 67990-2021</t>
        </is>
      </c>
      <c r="B893" s="1" t="n">
        <v>44525</v>
      </c>
      <c r="C893" s="1" t="n">
        <v>46076</v>
      </c>
      <c r="D893" t="inlineStr">
        <is>
          <t>STOCKHOLMS LÄN</t>
        </is>
      </c>
      <c r="E893" t="inlineStr">
        <is>
          <t>NORRTÄLJE</t>
        </is>
      </c>
      <c r="F893" t="inlineStr">
        <is>
          <t>Sveaskog</t>
        </is>
      </c>
      <c r="G893" t="n">
        <v>7.8</v>
      </c>
      <c r="H893" t="n">
        <v>0</v>
      </c>
      <c r="I893" t="n">
        <v>0</v>
      </c>
      <c r="J893" t="n">
        <v>0</v>
      </c>
      <c r="K893" t="n">
        <v>0</v>
      </c>
      <c r="L893" t="n">
        <v>0</v>
      </c>
      <c r="M893" t="n">
        <v>0</v>
      </c>
      <c r="N893" t="n">
        <v>0</v>
      </c>
      <c r="O893" t="n">
        <v>0</v>
      </c>
      <c r="P893" t="n">
        <v>0</v>
      </c>
      <c r="Q893" t="n">
        <v>0</v>
      </c>
      <c r="R893" s="2" t="inlineStr"/>
    </row>
    <row r="894" ht="15" customHeight="1">
      <c r="A894" t="inlineStr">
        <is>
          <t>A 71552-2021</t>
        </is>
      </c>
      <c r="B894" s="1" t="n">
        <v>44540</v>
      </c>
      <c r="C894" s="1" t="n">
        <v>46076</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73992-2021</t>
        </is>
      </c>
      <c r="B895" s="1" t="n">
        <v>44556</v>
      </c>
      <c r="C895" s="1" t="n">
        <v>46076</v>
      </c>
      <c r="D895" t="inlineStr">
        <is>
          <t>STOCKHOLMS LÄN</t>
        </is>
      </c>
      <c r="E895" t="inlineStr">
        <is>
          <t>NORRTÄLJE</t>
        </is>
      </c>
      <c r="G895" t="n">
        <v>12.5</v>
      </c>
      <c r="H895" t="n">
        <v>0</v>
      </c>
      <c r="I895" t="n">
        <v>0</v>
      </c>
      <c r="J895" t="n">
        <v>0</v>
      </c>
      <c r="K895" t="n">
        <v>0</v>
      </c>
      <c r="L895" t="n">
        <v>0</v>
      </c>
      <c r="M895" t="n">
        <v>0</v>
      </c>
      <c r="N895" t="n">
        <v>0</v>
      </c>
      <c r="O895" t="n">
        <v>0</v>
      </c>
      <c r="P895" t="n">
        <v>0</v>
      </c>
      <c r="Q895" t="n">
        <v>0</v>
      </c>
      <c r="R895" s="2" t="inlineStr"/>
    </row>
    <row r="896" ht="15" customHeight="1">
      <c r="A896" t="inlineStr">
        <is>
          <t>A 3549-2026</t>
        </is>
      </c>
      <c r="B896" s="1" t="n">
        <v>46042</v>
      </c>
      <c r="C896" s="1" t="n">
        <v>46076</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26113-2024</t>
        </is>
      </c>
      <c r="B897" s="1" t="n">
        <v>45468.45541666666</v>
      </c>
      <c r="C897" s="1" t="n">
        <v>46076</v>
      </c>
      <c r="D897" t="inlineStr">
        <is>
          <t>STOCKHOLMS LÄN</t>
        </is>
      </c>
      <c r="E897" t="inlineStr">
        <is>
          <t>NORRTÄLJE</t>
        </is>
      </c>
      <c r="G897" t="n">
        <v>0.4</v>
      </c>
      <c r="H897" t="n">
        <v>0</v>
      </c>
      <c r="I897" t="n">
        <v>0</v>
      </c>
      <c r="J897" t="n">
        <v>0</v>
      </c>
      <c r="K897" t="n">
        <v>0</v>
      </c>
      <c r="L897" t="n">
        <v>0</v>
      </c>
      <c r="M897" t="n">
        <v>0</v>
      </c>
      <c r="N897" t="n">
        <v>0</v>
      </c>
      <c r="O897" t="n">
        <v>0</v>
      </c>
      <c r="P897" t="n">
        <v>0</v>
      </c>
      <c r="Q897" t="n">
        <v>0</v>
      </c>
      <c r="R897" s="2" t="inlineStr"/>
    </row>
    <row r="898" ht="15" customHeight="1">
      <c r="A898" t="inlineStr">
        <is>
          <t>A 26116-2024</t>
        </is>
      </c>
      <c r="B898" s="1" t="n">
        <v>45468.45747685185</v>
      </c>
      <c r="C898" s="1" t="n">
        <v>46076</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7308-2026</t>
        </is>
      </c>
      <c r="B899" s="1" t="n">
        <v>46058.66025462963</v>
      </c>
      <c r="C899" s="1" t="n">
        <v>46076</v>
      </c>
      <c r="D899" t="inlineStr">
        <is>
          <t>STOCKHOLMS LÄN</t>
        </is>
      </c>
      <c r="E899" t="inlineStr">
        <is>
          <t>NORRTÄLJE</t>
        </is>
      </c>
      <c r="F899" t="inlineStr">
        <is>
          <t>Holmen skog AB</t>
        </is>
      </c>
      <c r="G899" t="n">
        <v>1.7</v>
      </c>
      <c r="H899" t="n">
        <v>0</v>
      </c>
      <c r="I899" t="n">
        <v>0</v>
      </c>
      <c r="J899" t="n">
        <v>0</v>
      </c>
      <c r="K899" t="n">
        <v>0</v>
      </c>
      <c r="L899" t="n">
        <v>0</v>
      </c>
      <c r="M899" t="n">
        <v>0</v>
      </c>
      <c r="N899" t="n">
        <v>0</v>
      </c>
      <c r="O899" t="n">
        <v>0</v>
      </c>
      <c r="P899" t="n">
        <v>0</v>
      </c>
      <c r="Q899" t="n">
        <v>0</v>
      </c>
      <c r="R899" s="2" t="inlineStr"/>
    </row>
    <row r="900" ht="15" customHeight="1">
      <c r="A900" t="inlineStr">
        <is>
          <t>A 15978-2024</t>
        </is>
      </c>
      <c r="B900" s="1" t="n">
        <v>45405.57927083333</v>
      </c>
      <c r="C900" s="1" t="n">
        <v>46076</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11333-2025</t>
        </is>
      </c>
      <c r="B901" s="1" t="n">
        <v>45726.48377314815</v>
      </c>
      <c r="C901" s="1" t="n">
        <v>46076</v>
      </c>
      <c r="D901" t="inlineStr">
        <is>
          <t>STOCKHOLMS LÄN</t>
        </is>
      </c>
      <c r="E901" t="inlineStr">
        <is>
          <t>NORRTÄLJE</t>
        </is>
      </c>
      <c r="G901" t="n">
        <v>1.4</v>
      </c>
      <c r="H901" t="n">
        <v>0</v>
      </c>
      <c r="I901" t="n">
        <v>0</v>
      </c>
      <c r="J901" t="n">
        <v>0</v>
      </c>
      <c r="K901" t="n">
        <v>0</v>
      </c>
      <c r="L901" t="n">
        <v>0</v>
      </c>
      <c r="M901" t="n">
        <v>0</v>
      </c>
      <c r="N901" t="n">
        <v>0</v>
      </c>
      <c r="O901" t="n">
        <v>0</v>
      </c>
      <c r="P901" t="n">
        <v>0</v>
      </c>
      <c r="Q901" t="n">
        <v>0</v>
      </c>
      <c r="R901" s="2" t="inlineStr"/>
    </row>
    <row r="902" ht="15" customHeight="1">
      <c r="A902" t="inlineStr">
        <is>
          <t>A 7582-2026</t>
        </is>
      </c>
      <c r="B902" s="1" t="n">
        <v>46061.6455324074</v>
      </c>
      <c r="C902" s="1" t="n">
        <v>46076</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8091-2026</t>
        </is>
      </c>
      <c r="B903" s="1" t="n">
        <v>46063.70944444444</v>
      </c>
      <c r="C903" s="1" t="n">
        <v>46076</v>
      </c>
      <c r="D903" t="inlineStr">
        <is>
          <t>STOCKHOLMS LÄN</t>
        </is>
      </c>
      <c r="E903" t="inlineStr">
        <is>
          <t>NORRTÄLJE</t>
        </is>
      </c>
      <c r="G903" t="n">
        <v>4.7</v>
      </c>
      <c r="H903" t="n">
        <v>0</v>
      </c>
      <c r="I903" t="n">
        <v>0</v>
      </c>
      <c r="J903" t="n">
        <v>0</v>
      </c>
      <c r="K903" t="n">
        <v>0</v>
      </c>
      <c r="L903" t="n">
        <v>0</v>
      </c>
      <c r="M903" t="n">
        <v>0</v>
      </c>
      <c r="N903" t="n">
        <v>0</v>
      </c>
      <c r="O903" t="n">
        <v>0</v>
      </c>
      <c r="P903" t="n">
        <v>0</v>
      </c>
      <c r="Q903" t="n">
        <v>0</v>
      </c>
      <c r="R903" s="2" t="inlineStr"/>
    </row>
    <row r="904" ht="15" customHeight="1">
      <c r="A904" t="inlineStr">
        <is>
          <t>A 34391-2023</t>
        </is>
      </c>
      <c r="B904" s="1" t="n">
        <v>45139.51457175926</v>
      </c>
      <c r="C904" s="1" t="n">
        <v>46076</v>
      </c>
      <c r="D904" t="inlineStr">
        <is>
          <t>STOCKHOLMS LÄN</t>
        </is>
      </c>
      <c r="E904" t="inlineStr">
        <is>
          <t>NORRTÄLJE</t>
        </is>
      </c>
      <c r="G904" t="n">
        <v>0.9</v>
      </c>
      <c r="H904" t="n">
        <v>0</v>
      </c>
      <c r="I904" t="n">
        <v>0</v>
      </c>
      <c r="J904" t="n">
        <v>0</v>
      </c>
      <c r="K904" t="n">
        <v>0</v>
      </c>
      <c r="L904" t="n">
        <v>0</v>
      </c>
      <c r="M904" t="n">
        <v>0</v>
      </c>
      <c r="N904" t="n">
        <v>0</v>
      </c>
      <c r="O904" t="n">
        <v>0</v>
      </c>
      <c r="P904" t="n">
        <v>0</v>
      </c>
      <c r="Q904" t="n">
        <v>0</v>
      </c>
      <c r="R904" s="2" t="inlineStr"/>
    </row>
    <row r="905" ht="15" customHeight="1">
      <c r="A905" t="inlineStr">
        <is>
          <t>A 7793-2026</t>
        </is>
      </c>
      <c r="B905" s="1" t="n">
        <v>46062.59496527778</v>
      </c>
      <c r="C905" s="1" t="n">
        <v>46076</v>
      </c>
      <c r="D905" t="inlineStr">
        <is>
          <t>STOCKHOLMS LÄN</t>
        </is>
      </c>
      <c r="E905" t="inlineStr">
        <is>
          <t>NORRTÄLJE</t>
        </is>
      </c>
      <c r="F905" t="inlineStr">
        <is>
          <t>Holmen skog AB</t>
        </is>
      </c>
      <c r="G905" t="n">
        <v>3.8</v>
      </c>
      <c r="H905" t="n">
        <v>0</v>
      </c>
      <c r="I905" t="n">
        <v>0</v>
      </c>
      <c r="J905" t="n">
        <v>0</v>
      </c>
      <c r="K905" t="n">
        <v>0</v>
      </c>
      <c r="L905" t="n">
        <v>0</v>
      </c>
      <c r="M905" t="n">
        <v>0</v>
      </c>
      <c r="N905" t="n">
        <v>0</v>
      </c>
      <c r="O905" t="n">
        <v>0</v>
      </c>
      <c r="P905" t="n">
        <v>0</v>
      </c>
      <c r="Q905" t="n">
        <v>0</v>
      </c>
      <c r="R905" s="2" t="inlineStr"/>
    </row>
    <row r="906" ht="15" customHeight="1">
      <c r="A906" t="inlineStr">
        <is>
          <t>A 67921-2021</t>
        </is>
      </c>
      <c r="B906" s="1" t="n">
        <v>44525</v>
      </c>
      <c r="C906" s="1" t="n">
        <v>46076</v>
      </c>
      <c r="D906" t="inlineStr">
        <is>
          <t>STOCKHOLMS LÄN</t>
        </is>
      </c>
      <c r="E906" t="inlineStr">
        <is>
          <t>NORRTÄLJE</t>
        </is>
      </c>
      <c r="G906" t="n">
        <v>6.3</v>
      </c>
      <c r="H906" t="n">
        <v>0</v>
      </c>
      <c r="I906" t="n">
        <v>0</v>
      </c>
      <c r="J906" t="n">
        <v>0</v>
      </c>
      <c r="K906" t="n">
        <v>0</v>
      </c>
      <c r="L906" t="n">
        <v>0</v>
      </c>
      <c r="M906" t="n">
        <v>0</v>
      </c>
      <c r="N906" t="n">
        <v>0</v>
      </c>
      <c r="O906" t="n">
        <v>0</v>
      </c>
      <c r="P906" t="n">
        <v>0</v>
      </c>
      <c r="Q906" t="n">
        <v>0</v>
      </c>
      <c r="R906" s="2" t="inlineStr"/>
    </row>
    <row r="907" ht="15" customHeight="1">
      <c r="A907" t="inlineStr">
        <is>
          <t>A 7723-2026</t>
        </is>
      </c>
      <c r="B907" s="1" t="n">
        <v>46062.49905092592</v>
      </c>
      <c r="C907" s="1" t="n">
        <v>46076</v>
      </c>
      <c r="D907" t="inlineStr">
        <is>
          <t>STOCKHOLMS LÄN</t>
        </is>
      </c>
      <c r="E907" t="inlineStr">
        <is>
          <t>NORRTÄLJE</t>
        </is>
      </c>
      <c r="G907" t="n">
        <v>0.8</v>
      </c>
      <c r="H907" t="n">
        <v>0</v>
      </c>
      <c r="I907" t="n">
        <v>0</v>
      </c>
      <c r="J907" t="n">
        <v>0</v>
      </c>
      <c r="K907" t="n">
        <v>0</v>
      </c>
      <c r="L907" t="n">
        <v>0</v>
      </c>
      <c r="M907" t="n">
        <v>0</v>
      </c>
      <c r="N907" t="n">
        <v>0</v>
      </c>
      <c r="O907" t="n">
        <v>0</v>
      </c>
      <c r="P907" t="n">
        <v>0</v>
      </c>
      <c r="Q907" t="n">
        <v>0</v>
      </c>
      <c r="R907" s="2" t="inlineStr"/>
    </row>
    <row r="908" ht="15" customHeight="1">
      <c r="A908" t="inlineStr">
        <is>
          <t>A 25681-2024</t>
        </is>
      </c>
      <c r="B908" s="1" t="n">
        <v>45463.80486111111</v>
      </c>
      <c r="C908" s="1" t="n">
        <v>46076</v>
      </c>
      <c r="D908" t="inlineStr">
        <is>
          <t>STOCKHOLMS LÄN</t>
        </is>
      </c>
      <c r="E908" t="inlineStr">
        <is>
          <t>NORRTÄLJE</t>
        </is>
      </c>
      <c r="G908" t="n">
        <v>2.7</v>
      </c>
      <c r="H908" t="n">
        <v>0</v>
      </c>
      <c r="I908" t="n">
        <v>0</v>
      </c>
      <c r="J908" t="n">
        <v>0</v>
      </c>
      <c r="K908" t="n">
        <v>0</v>
      </c>
      <c r="L908" t="n">
        <v>0</v>
      </c>
      <c r="M908" t="n">
        <v>0</v>
      </c>
      <c r="N908" t="n">
        <v>0</v>
      </c>
      <c r="O908" t="n">
        <v>0</v>
      </c>
      <c r="P908" t="n">
        <v>0</v>
      </c>
      <c r="Q908" t="n">
        <v>0</v>
      </c>
      <c r="R908" s="2" t="inlineStr"/>
    </row>
    <row r="909" ht="15" customHeight="1">
      <c r="A909" t="inlineStr">
        <is>
          <t>A 58853-2024</t>
        </is>
      </c>
      <c r="B909" s="1" t="n">
        <v>45636.38974537037</v>
      </c>
      <c r="C909" s="1" t="n">
        <v>46076</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35438-2023</t>
        </is>
      </c>
      <c r="B910" s="1" t="n">
        <v>45146</v>
      </c>
      <c r="C910" s="1" t="n">
        <v>46076</v>
      </c>
      <c r="D910" t="inlineStr">
        <is>
          <t>STOCKHOLMS LÄN</t>
        </is>
      </c>
      <c r="E910" t="inlineStr">
        <is>
          <t>NORRTÄLJE</t>
        </is>
      </c>
      <c r="F910" t="inlineStr">
        <is>
          <t>Kommuner</t>
        </is>
      </c>
      <c r="G910" t="n">
        <v>1.9</v>
      </c>
      <c r="H910" t="n">
        <v>0</v>
      </c>
      <c r="I910" t="n">
        <v>0</v>
      </c>
      <c r="J910" t="n">
        <v>0</v>
      </c>
      <c r="K910" t="n">
        <v>0</v>
      </c>
      <c r="L910" t="n">
        <v>0</v>
      </c>
      <c r="M910" t="n">
        <v>0</v>
      </c>
      <c r="N910" t="n">
        <v>0</v>
      </c>
      <c r="O910" t="n">
        <v>0</v>
      </c>
      <c r="P910" t="n">
        <v>0</v>
      </c>
      <c r="Q910" t="n">
        <v>0</v>
      </c>
      <c r="R910" s="2" t="inlineStr"/>
    </row>
    <row r="911" ht="15" customHeight="1">
      <c r="A911" t="inlineStr">
        <is>
          <t>A 8096-2026</t>
        </is>
      </c>
      <c r="B911" s="1" t="n">
        <v>46063.714375</v>
      </c>
      <c r="C911" s="1" t="n">
        <v>46076</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8055-2026</t>
        </is>
      </c>
      <c r="B912" s="1" t="n">
        <v>46063.62002314815</v>
      </c>
      <c r="C912" s="1" t="n">
        <v>46076</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7729-2026</t>
        </is>
      </c>
      <c r="B913" s="1" t="n">
        <v>46062.51100694444</v>
      </c>
      <c r="C913" s="1" t="n">
        <v>46076</v>
      </c>
      <c r="D913" t="inlineStr">
        <is>
          <t>STOCKHOLMS LÄN</t>
        </is>
      </c>
      <c r="E913" t="inlineStr">
        <is>
          <t>NORRTÄLJE</t>
        </is>
      </c>
      <c r="G913" t="n">
        <v>6.6</v>
      </c>
      <c r="H913" t="n">
        <v>0</v>
      </c>
      <c r="I913" t="n">
        <v>0</v>
      </c>
      <c r="J913" t="n">
        <v>0</v>
      </c>
      <c r="K913" t="n">
        <v>0</v>
      </c>
      <c r="L913" t="n">
        <v>0</v>
      </c>
      <c r="M913" t="n">
        <v>0</v>
      </c>
      <c r="N913" t="n">
        <v>0</v>
      </c>
      <c r="O913" t="n">
        <v>0</v>
      </c>
      <c r="P913" t="n">
        <v>0</v>
      </c>
      <c r="Q913" t="n">
        <v>0</v>
      </c>
      <c r="R913" s="2" t="inlineStr"/>
    </row>
    <row r="914" ht="15" customHeight="1">
      <c r="A914" t="inlineStr">
        <is>
          <t>A 20291-2022</t>
        </is>
      </c>
      <c r="B914" s="1" t="n">
        <v>44698</v>
      </c>
      <c r="C914" s="1" t="n">
        <v>46076</v>
      </c>
      <c r="D914" t="inlineStr">
        <is>
          <t>STOCKHOLMS LÄN</t>
        </is>
      </c>
      <c r="E914" t="inlineStr">
        <is>
          <t>NORRTÄLJE</t>
        </is>
      </c>
      <c r="F914" t="inlineStr">
        <is>
          <t>Naturvårdsverket</t>
        </is>
      </c>
      <c r="G914" t="n">
        <v>2</v>
      </c>
      <c r="H914" t="n">
        <v>0</v>
      </c>
      <c r="I914" t="n">
        <v>0</v>
      </c>
      <c r="J914" t="n">
        <v>0</v>
      </c>
      <c r="K914" t="n">
        <v>0</v>
      </c>
      <c r="L914" t="n">
        <v>0</v>
      </c>
      <c r="M914" t="n">
        <v>0</v>
      </c>
      <c r="N914" t="n">
        <v>0</v>
      </c>
      <c r="O914" t="n">
        <v>0</v>
      </c>
      <c r="P914" t="n">
        <v>0</v>
      </c>
      <c r="Q914" t="n">
        <v>0</v>
      </c>
      <c r="R914" s="2" t="inlineStr"/>
    </row>
    <row r="915" ht="15" customHeight="1">
      <c r="A915" t="inlineStr">
        <is>
          <t>A 26115-2024</t>
        </is>
      </c>
      <c r="B915" s="1" t="n">
        <v>45468.45628472222</v>
      </c>
      <c r="C915" s="1" t="n">
        <v>46076</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8489-2026</t>
        </is>
      </c>
      <c r="B916" s="1" t="n">
        <v>46065.48268518518</v>
      </c>
      <c r="C916" s="1" t="n">
        <v>46076</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19118-2022</t>
        </is>
      </c>
      <c r="B917" s="1" t="n">
        <v>44691.5652662037</v>
      </c>
      <c r="C917" s="1" t="n">
        <v>46076</v>
      </c>
      <c r="D917" t="inlineStr">
        <is>
          <t>STOCKHOLMS LÄN</t>
        </is>
      </c>
      <c r="E917" t="inlineStr">
        <is>
          <t>NORRTÄLJE</t>
        </is>
      </c>
      <c r="G917" t="n">
        <v>0.5</v>
      </c>
      <c r="H917" t="n">
        <v>0</v>
      </c>
      <c r="I917" t="n">
        <v>0</v>
      </c>
      <c r="J917" t="n">
        <v>0</v>
      </c>
      <c r="K917" t="n">
        <v>0</v>
      </c>
      <c r="L917" t="n">
        <v>0</v>
      </c>
      <c r="M917" t="n">
        <v>0</v>
      </c>
      <c r="N917" t="n">
        <v>0</v>
      </c>
      <c r="O917" t="n">
        <v>0</v>
      </c>
      <c r="P917" t="n">
        <v>0</v>
      </c>
      <c r="Q917" t="n">
        <v>0</v>
      </c>
      <c r="R917" s="2" t="inlineStr"/>
    </row>
    <row r="918" ht="15" customHeight="1">
      <c r="A918" t="inlineStr">
        <is>
          <t>A 8410-2026</t>
        </is>
      </c>
      <c r="B918" s="1" t="n">
        <v>46065.34261574074</v>
      </c>
      <c r="C918" s="1" t="n">
        <v>46076</v>
      </c>
      <c r="D918" t="inlineStr">
        <is>
          <t>STOCKHOLMS LÄN</t>
        </is>
      </c>
      <c r="E918" t="inlineStr">
        <is>
          <t>NORRTÄLJE</t>
        </is>
      </c>
      <c r="G918" t="n">
        <v>3.9</v>
      </c>
      <c r="H918" t="n">
        <v>0</v>
      </c>
      <c r="I918" t="n">
        <v>0</v>
      </c>
      <c r="J918" t="n">
        <v>0</v>
      </c>
      <c r="K918" t="n">
        <v>0</v>
      </c>
      <c r="L918" t="n">
        <v>0</v>
      </c>
      <c r="M918" t="n">
        <v>0</v>
      </c>
      <c r="N918" t="n">
        <v>0</v>
      </c>
      <c r="O918" t="n">
        <v>0</v>
      </c>
      <c r="P918" t="n">
        <v>0</v>
      </c>
      <c r="Q918" t="n">
        <v>0</v>
      </c>
      <c r="R918" s="2" t="inlineStr"/>
    </row>
    <row r="919" ht="15" customHeight="1">
      <c r="A919" t="inlineStr">
        <is>
          <t>A 8454-2026</t>
        </is>
      </c>
      <c r="B919" s="1" t="n">
        <v>46065.42506944444</v>
      </c>
      <c r="C919" s="1" t="n">
        <v>46076</v>
      </c>
      <c r="D919" t="inlineStr">
        <is>
          <t>STOCKHOLMS LÄN</t>
        </is>
      </c>
      <c r="E919" t="inlineStr">
        <is>
          <t>NORRTÄLJE</t>
        </is>
      </c>
      <c r="G919" t="n">
        <v>3.2</v>
      </c>
      <c r="H919" t="n">
        <v>0</v>
      </c>
      <c r="I919" t="n">
        <v>0</v>
      </c>
      <c r="J919" t="n">
        <v>0</v>
      </c>
      <c r="K919" t="n">
        <v>0</v>
      </c>
      <c r="L919" t="n">
        <v>0</v>
      </c>
      <c r="M919" t="n">
        <v>0</v>
      </c>
      <c r="N919" t="n">
        <v>0</v>
      </c>
      <c r="O919" t="n">
        <v>0</v>
      </c>
      <c r="P919" t="n">
        <v>0</v>
      </c>
      <c r="Q919" t="n">
        <v>0</v>
      </c>
      <c r="R919" s="2" t="inlineStr"/>
    </row>
    <row r="920" ht="15" customHeight="1">
      <c r="A920" t="inlineStr">
        <is>
          <t>A 8739-2024</t>
        </is>
      </c>
      <c r="B920" s="1" t="n">
        <v>45356.47784722222</v>
      </c>
      <c r="C920" s="1" t="n">
        <v>46076</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8465-2026</t>
        </is>
      </c>
      <c r="B921" s="1" t="n">
        <v>46065.44141203703</v>
      </c>
      <c r="C921" s="1" t="n">
        <v>46076</v>
      </c>
      <c r="D921" t="inlineStr">
        <is>
          <t>STOCKHOLMS LÄN</t>
        </is>
      </c>
      <c r="E921" t="inlineStr">
        <is>
          <t>NORRTÄLJE</t>
        </is>
      </c>
      <c r="G921" t="n">
        <v>1.3</v>
      </c>
      <c r="H921" t="n">
        <v>0</v>
      </c>
      <c r="I921" t="n">
        <v>0</v>
      </c>
      <c r="J921" t="n">
        <v>0</v>
      </c>
      <c r="K921" t="n">
        <v>0</v>
      </c>
      <c r="L921" t="n">
        <v>0</v>
      </c>
      <c r="M921" t="n">
        <v>0</v>
      </c>
      <c r="N921" t="n">
        <v>0</v>
      </c>
      <c r="O921" t="n">
        <v>0</v>
      </c>
      <c r="P921" t="n">
        <v>0</v>
      </c>
      <c r="Q921" t="n">
        <v>0</v>
      </c>
      <c r="R921" s="2" t="inlineStr"/>
    </row>
    <row r="922" ht="15" customHeight="1">
      <c r="A922" t="inlineStr">
        <is>
          <t>A 38759-2022</t>
        </is>
      </c>
      <c r="B922" s="1" t="n">
        <v>44816</v>
      </c>
      <c r="C922" s="1" t="n">
        <v>46076</v>
      </c>
      <c r="D922" t="inlineStr">
        <is>
          <t>STOCKHOLMS LÄN</t>
        </is>
      </c>
      <c r="E922" t="inlineStr">
        <is>
          <t>NORRTÄLJE</t>
        </is>
      </c>
      <c r="G922" t="n">
        <v>2.8</v>
      </c>
      <c r="H922" t="n">
        <v>0</v>
      </c>
      <c r="I922" t="n">
        <v>0</v>
      </c>
      <c r="J922" t="n">
        <v>0</v>
      </c>
      <c r="K922" t="n">
        <v>0</v>
      </c>
      <c r="L922" t="n">
        <v>0</v>
      </c>
      <c r="M922" t="n">
        <v>0</v>
      </c>
      <c r="N922" t="n">
        <v>0</v>
      </c>
      <c r="O922" t="n">
        <v>0</v>
      </c>
      <c r="P922" t="n">
        <v>0</v>
      </c>
      <c r="Q922" t="n">
        <v>0</v>
      </c>
      <c r="R922" s="2" t="inlineStr"/>
    </row>
    <row r="923" ht="15" customHeight="1">
      <c r="A923" t="inlineStr">
        <is>
          <t>A 197-2026</t>
        </is>
      </c>
      <c r="B923" s="1" t="n">
        <v>46026</v>
      </c>
      <c r="C923" s="1" t="n">
        <v>46076</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32857-2021</t>
        </is>
      </c>
      <c r="B924" s="1" t="n">
        <v>44375</v>
      </c>
      <c r="C924" s="1" t="n">
        <v>46076</v>
      </c>
      <c r="D924" t="inlineStr">
        <is>
          <t>STOCKHOLMS LÄN</t>
        </is>
      </c>
      <c r="E924" t="inlineStr">
        <is>
          <t>NORRTÄLJE</t>
        </is>
      </c>
      <c r="G924" t="n">
        <v>2.9</v>
      </c>
      <c r="H924" t="n">
        <v>0</v>
      </c>
      <c r="I924" t="n">
        <v>0</v>
      </c>
      <c r="J924" t="n">
        <v>0</v>
      </c>
      <c r="K924" t="n">
        <v>0</v>
      </c>
      <c r="L924" t="n">
        <v>0</v>
      </c>
      <c r="M924" t="n">
        <v>0</v>
      </c>
      <c r="N924" t="n">
        <v>0</v>
      </c>
      <c r="O924" t="n">
        <v>0</v>
      </c>
      <c r="P924" t="n">
        <v>0</v>
      </c>
      <c r="Q924" t="n">
        <v>0</v>
      </c>
      <c r="R924" s="2" t="inlineStr"/>
    </row>
    <row r="925" ht="15" customHeight="1">
      <c r="A925" t="inlineStr">
        <is>
          <t>A 124-2026</t>
        </is>
      </c>
      <c r="B925" s="1" t="n">
        <v>46024.58378472222</v>
      </c>
      <c r="C925" s="1" t="n">
        <v>46076</v>
      </c>
      <c r="D925" t="inlineStr">
        <is>
          <t>STOCKHOLMS LÄN</t>
        </is>
      </c>
      <c r="E925" t="inlineStr">
        <is>
          <t>NORRTÄLJE</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29714-2023</t>
        </is>
      </c>
      <c r="B926" s="1" t="n">
        <v>45107.42538194444</v>
      </c>
      <c r="C926" s="1" t="n">
        <v>46076</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23271-2023</t>
        </is>
      </c>
      <c r="B927" s="1" t="n">
        <v>45075.91362268518</v>
      </c>
      <c r="C927" s="1" t="n">
        <v>46076</v>
      </c>
      <c r="D927" t="inlineStr">
        <is>
          <t>STOCKHOLMS LÄN</t>
        </is>
      </c>
      <c r="E927" t="inlineStr">
        <is>
          <t>NORRTÄLJE</t>
        </is>
      </c>
      <c r="G927" t="n">
        <v>5.1</v>
      </c>
      <c r="H927" t="n">
        <v>0</v>
      </c>
      <c r="I927" t="n">
        <v>0</v>
      </c>
      <c r="J927" t="n">
        <v>0</v>
      </c>
      <c r="K927" t="n">
        <v>0</v>
      </c>
      <c r="L927" t="n">
        <v>0</v>
      </c>
      <c r="M927" t="n">
        <v>0</v>
      </c>
      <c r="N927" t="n">
        <v>0</v>
      </c>
      <c r="O927" t="n">
        <v>0</v>
      </c>
      <c r="P927" t="n">
        <v>0</v>
      </c>
      <c r="Q927" t="n">
        <v>0</v>
      </c>
      <c r="R927" s="2" t="inlineStr"/>
    </row>
    <row r="928" ht="15" customHeight="1">
      <c r="A928" t="inlineStr">
        <is>
          <t>A 23273-2023</t>
        </is>
      </c>
      <c r="B928" s="1" t="n">
        <v>45075.91971064815</v>
      </c>
      <c r="C928" s="1" t="n">
        <v>46076</v>
      </c>
      <c r="D928" t="inlineStr">
        <is>
          <t>STOCKHOLMS LÄN</t>
        </is>
      </c>
      <c r="E928" t="inlineStr">
        <is>
          <t>NORRTÄLJE</t>
        </is>
      </c>
      <c r="G928" t="n">
        <v>7.5</v>
      </c>
      <c r="H928" t="n">
        <v>0</v>
      </c>
      <c r="I928" t="n">
        <v>0</v>
      </c>
      <c r="J928" t="n">
        <v>0</v>
      </c>
      <c r="K928" t="n">
        <v>0</v>
      </c>
      <c r="L928" t="n">
        <v>0</v>
      </c>
      <c r="M928" t="n">
        <v>0</v>
      </c>
      <c r="N928" t="n">
        <v>0</v>
      </c>
      <c r="O928" t="n">
        <v>0</v>
      </c>
      <c r="P928" t="n">
        <v>0</v>
      </c>
      <c r="Q928" t="n">
        <v>0</v>
      </c>
      <c r="R928" s="2" t="inlineStr"/>
    </row>
    <row r="929" ht="15" customHeight="1">
      <c r="A929" t="inlineStr">
        <is>
          <t>A 9103-2026</t>
        </is>
      </c>
      <c r="B929" s="1" t="n">
        <v>46069.65039351852</v>
      </c>
      <c r="C929" s="1" t="n">
        <v>46076</v>
      </c>
      <c r="D929" t="inlineStr">
        <is>
          <t>STOCKHOLMS LÄN</t>
        </is>
      </c>
      <c r="E929" t="inlineStr">
        <is>
          <t>NORRTÄLJE</t>
        </is>
      </c>
      <c r="F929" t="inlineStr">
        <is>
          <t>Holmen skog AB</t>
        </is>
      </c>
      <c r="G929" t="n">
        <v>3.6</v>
      </c>
      <c r="H929" t="n">
        <v>0</v>
      </c>
      <c r="I929" t="n">
        <v>0</v>
      </c>
      <c r="J929" t="n">
        <v>0</v>
      </c>
      <c r="K929" t="n">
        <v>0</v>
      </c>
      <c r="L929" t="n">
        <v>0</v>
      </c>
      <c r="M929" t="n">
        <v>0</v>
      </c>
      <c r="N929" t="n">
        <v>0</v>
      </c>
      <c r="O929" t="n">
        <v>0</v>
      </c>
      <c r="P929" t="n">
        <v>0</v>
      </c>
      <c r="Q929" t="n">
        <v>0</v>
      </c>
      <c r="R929" s="2" t="inlineStr"/>
    </row>
    <row r="930" ht="15" customHeight="1">
      <c r="A930" t="inlineStr">
        <is>
          <t>A 8962-2026</t>
        </is>
      </c>
      <c r="B930" s="1" t="n">
        <v>46069.41644675926</v>
      </c>
      <c r="C930" s="1" t="n">
        <v>46076</v>
      </c>
      <c r="D930" t="inlineStr">
        <is>
          <t>STOCKHOLMS LÄN</t>
        </is>
      </c>
      <c r="E930" t="inlineStr">
        <is>
          <t>NORRTÄLJE</t>
        </is>
      </c>
      <c r="F930" t="inlineStr">
        <is>
          <t>Holmen skog AB</t>
        </is>
      </c>
      <c r="G930" t="n">
        <v>4.1</v>
      </c>
      <c r="H930" t="n">
        <v>0</v>
      </c>
      <c r="I930" t="n">
        <v>0</v>
      </c>
      <c r="J930" t="n">
        <v>0</v>
      </c>
      <c r="K930" t="n">
        <v>0</v>
      </c>
      <c r="L930" t="n">
        <v>0</v>
      </c>
      <c r="M930" t="n">
        <v>0</v>
      </c>
      <c r="N930" t="n">
        <v>0</v>
      </c>
      <c r="O930" t="n">
        <v>0</v>
      </c>
      <c r="P930" t="n">
        <v>0</v>
      </c>
      <c r="Q930" t="n">
        <v>0</v>
      </c>
      <c r="R930" s="2" t="inlineStr"/>
    </row>
    <row r="931" ht="15" customHeight="1">
      <c r="A931" t="inlineStr">
        <is>
          <t>A 8989-2026</t>
        </is>
      </c>
      <c r="B931" s="1" t="n">
        <v>46069.45789351852</v>
      </c>
      <c r="C931" s="1" t="n">
        <v>46076</v>
      </c>
      <c r="D931" t="inlineStr">
        <is>
          <t>STOCKHOLMS LÄN</t>
        </is>
      </c>
      <c r="E931" t="inlineStr">
        <is>
          <t>NORRTÄLJE</t>
        </is>
      </c>
      <c r="F931" t="inlineStr">
        <is>
          <t>Holmen skog AB</t>
        </is>
      </c>
      <c r="G931" t="n">
        <v>0.8</v>
      </c>
      <c r="H931" t="n">
        <v>0</v>
      </c>
      <c r="I931" t="n">
        <v>0</v>
      </c>
      <c r="J931" t="n">
        <v>0</v>
      </c>
      <c r="K931" t="n">
        <v>0</v>
      </c>
      <c r="L931" t="n">
        <v>0</v>
      </c>
      <c r="M931" t="n">
        <v>0</v>
      </c>
      <c r="N931" t="n">
        <v>0</v>
      </c>
      <c r="O931" t="n">
        <v>0</v>
      </c>
      <c r="P931" t="n">
        <v>0</v>
      </c>
      <c r="Q931" t="n">
        <v>0</v>
      </c>
      <c r="R931" s="2" t="inlineStr"/>
    </row>
    <row r="932" ht="15" customHeight="1">
      <c r="A932" t="inlineStr">
        <is>
          <t>A 7603-2025</t>
        </is>
      </c>
      <c r="B932" s="1" t="n">
        <v>45705.66126157407</v>
      </c>
      <c r="C932" s="1" t="n">
        <v>46076</v>
      </c>
      <c r="D932" t="inlineStr">
        <is>
          <t>STOCKHOLMS LÄN</t>
        </is>
      </c>
      <c r="E932" t="inlineStr">
        <is>
          <t>NORRTÄLJE</t>
        </is>
      </c>
      <c r="F932" t="inlineStr">
        <is>
          <t>Holmen skog AB</t>
        </is>
      </c>
      <c r="G932" t="n">
        <v>2.4</v>
      </c>
      <c r="H932" t="n">
        <v>0</v>
      </c>
      <c r="I932" t="n">
        <v>0</v>
      </c>
      <c r="J932" t="n">
        <v>0</v>
      </c>
      <c r="K932" t="n">
        <v>0</v>
      </c>
      <c r="L932" t="n">
        <v>0</v>
      </c>
      <c r="M932" t="n">
        <v>0</v>
      </c>
      <c r="N932" t="n">
        <v>0</v>
      </c>
      <c r="O932" t="n">
        <v>0</v>
      </c>
      <c r="P932" t="n">
        <v>0</v>
      </c>
      <c r="Q932" t="n">
        <v>0</v>
      </c>
      <c r="R932" s="2" t="inlineStr"/>
    </row>
    <row r="933" ht="15" customHeight="1">
      <c r="A933" t="inlineStr">
        <is>
          <t>A 8985-2026</t>
        </is>
      </c>
      <c r="B933" s="1" t="n">
        <v>46069.45234953704</v>
      </c>
      <c r="C933" s="1" t="n">
        <v>46076</v>
      </c>
      <c r="D933" t="inlineStr">
        <is>
          <t>STOCKHOLMS LÄN</t>
        </is>
      </c>
      <c r="E933" t="inlineStr">
        <is>
          <t>NORRTÄLJE</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30802-2022</t>
        </is>
      </c>
      <c r="B934" s="1" t="n">
        <v>44764</v>
      </c>
      <c r="C934" s="1" t="n">
        <v>46076</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55369-2023</t>
        </is>
      </c>
      <c r="B935" s="1" t="n">
        <v>45238</v>
      </c>
      <c r="C935" s="1" t="n">
        <v>46076</v>
      </c>
      <c r="D935" t="inlineStr">
        <is>
          <t>STOCKHOLMS LÄN</t>
        </is>
      </c>
      <c r="E935" t="inlineStr">
        <is>
          <t>NORRTÄLJE</t>
        </is>
      </c>
      <c r="G935" t="n">
        <v>0.4</v>
      </c>
      <c r="H935" t="n">
        <v>0</v>
      </c>
      <c r="I935" t="n">
        <v>0</v>
      </c>
      <c r="J935" t="n">
        <v>0</v>
      </c>
      <c r="K935" t="n">
        <v>0</v>
      </c>
      <c r="L935" t="n">
        <v>0</v>
      </c>
      <c r="M935" t="n">
        <v>0</v>
      </c>
      <c r="N935" t="n">
        <v>0</v>
      </c>
      <c r="O935" t="n">
        <v>0</v>
      </c>
      <c r="P935" t="n">
        <v>0</v>
      </c>
      <c r="Q935" t="n">
        <v>0</v>
      </c>
      <c r="R935" s="2" t="inlineStr"/>
    </row>
    <row r="936" ht="15" customHeight="1">
      <c r="A936" t="inlineStr">
        <is>
          <t>A 718-2026</t>
        </is>
      </c>
      <c r="B936" s="1" t="n">
        <v>46029.63174768518</v>
      </c>
      <c r="C936" s="1" t="n">
        <v>46076</v>
      </c>
      <c r="D936" t="inlineStr">
        <is>
          <t>STOCKHOLMS LÄN</t>
        </is>
      </c>
      <c r="E936" t="inlineStr">
        <is>
          <t>NORRTÄLJE</t>
        </is>
      </c>
      <c r="G936" t="n">
        <v>2.4</v>
      </c>
      <c r="H936" t="n">
        <v>0</v>
      </c>
      <c r="I936" t="n">
        <v>0</v>
      </c>
      <c r="J936" t="n">
        <v>0</v>
      </c>
      <c r="K936" t="n">
        <v>0</v>
      </c>
      <c r="L936" t="n">
        <v>0</v>
      </c>
      <c r="M936" t="n">
        <v>0</v>
      </c>
      <c r="N936" t="n">
        <v>0</v>
      </c>
      <c r="O936" t="n">
        <v>0</v>
      </c>
      <c r="P936" t="n">
        <v>0</v>
      </c>
      <c r="Q936" t="n">
        <v>0</v>
      </c>
      <c r="R936" s="2" t="inlineStr"/>
    </row>
    <row r="937" ht="15" customHeight="1">
      <c r="A937" t="inlineStr">
        <is>
          <t>A 61113-2023</t>
        </is>
      </c>
      <c r="B937" s="1" t="n">
        <v>45261</v>
      </c>
      <c r="C937" s="1" t="n">
        <v>46076</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3283-2025</t>
        </is>
      </c>
      <c r="B938" s="1" t="n">
        <v>45679</v>
      </c>
      <c r="C938" s="1" t="n">
        <v>46076</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9447-2026</t>
        </is>
      </c>
      <c r="B939" s="1" t="n">
        <v>46071.47133101852</v>
      </c>
      <c r="C939" s="1" t="n">
        <v>46076</v>
      </c>
      <c r="D939" t="inlineStr">
        <is>
          <t>STOCKHOLMS LÄN</t>
        </is>
      </c>
      <c r="E939" t="inlineStr">
        <is>
          <t>NORRTÄLJE</t>
        </is>
      </c>
      <c r="G939" t="n">
        <v>28.6</v>
      </c>
      <c r="H939" t="n">
        <v>0</v>
      </c>
      <c r="I939" t="n">
        <v>0</v>
      </c>
      <c r="J939" t="n">
        <v>0</v>
      </c>
      <c r="K939" t="n">
        <v>0</v>
      </c>
      <c r="L939" t="n">
        <v>0</v>
      </c>
      <c r="M939" t="n">
        <v>0</v>
      </c>
      <c r="N939" t="n">
        <v>0</v>
      </c>
      <c r="O939" t="n">
        <v>0</v>
      </c>
      <c r="P939" t="n">
        <v>0</v>
      </c>
      <c r="Q939" t="n">
        <v>0</v>
      </c>
      <c r="R939" s="2" t="inlineStr"/>
    </row>
    <row r="940" ht="15" customHeight="1">
      <c r="A940" t="inlineStr">
        <is>
          <t>A 34295-2024</t>
        </is>
      </c>
      <c r="B940" s="1" t="n">
        <v>45524</v>
      </c>
      <c r="C940" s="1" t="n">
        <v>46076</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694-2026</t>
        </is>
      </c>
      <c r="B941" s="1" t="n">
        <v>46029.61375</v>
      </c>
      <c r="C941" s="1" t="n">
        <v>46076</v>
      </c>
      <c r="D941" t="inlineStr">
        <is>
          <t>STOCKHOLMS LÄN</t>
        </is>
      </c>
      <c r="E941" t="inlineStr">
        <is>
          <t>NORRTÄLJE</t>
        </is>
      </c>
      <c r="G941" t="n">
        <v>9.6</v>
      </c>
      <c r="H941" t="n">
        <v>0</v>
      </c>
      <c r="I941" t="n">
        <v>0</v>
      </c>
      <c r="J941" t="n">
        <v>0</v>
      </c>
      <c r="K941" t="n">
        <v>0</v>
      </c>
      <c r="L941" t="n">
        <v>0</v>
      </c>
      <c r="M941" t="n">
        <v>0</v>
      </c>
      <c r="N941" t="n">
        <v>0</v>
      </c>
      <c r="O941" t="n">
        <v>0</v>
      </c>
      <c r="P941" t="n">
        <v>0</v>
      </c>
      <c r="Q941" t="n">
        <v>0</v>
      </c>
      <c r="R941" s="2" t="inlineStr"/>
    </row>
    <row r="942" ht="15" customHeight="1">
      <c r="A942" t="inlineStr">
        <is>
          <t>A 58311-2023</t>
        </is>
      </c>
      <c r="B942" s="1" t="n">
        <v>45245</v>
      </c>
      <c r="C942" s="1" t="n">
        <v>46076</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23692-2024</t>
        </is>
      </c>
      <c r="B943" s="1" t="n">
        <v>45454.65774305556</v>
      </c>
      <c r="C943" s="1" t="n">
        <v>46076</v>
      </c>
      <c r="D943" t="inlineStr">
        <is>
          <t>STOCKHOLMS LÄN</t>
        </is>
      </c>
      <c r="E943" t="inlineStr">
        <is>
          <t>NORRTÄLJE</t>
        </is>
      </c>
      <c r="G943" t="n">
        <v>3.7</v>
      </c>
      <c r="H943" t="n">
        <v>0</v>
      </c>
      <c r="I943" t="n">
        <v>0</v>
      </c>
      <c r="J943" t="n">
        <v>0</v>
      </c>
      <c r="K943" t="n">
        <v>0</v>
      </c>
      <c r="L943" t="n">
        <v>0</v>
      </c>
      <c r="M943" t="n">
        <v>0</v>
      </c>
      <c r="N943" t="n">
        <v>0</v>
      </c>
      <c r="O943" t="n">
        <v>0</v>
      </c>
      <c r="P943" t="n">
        <v>0</v>
      </c>
      <c r="Q943" t="n">
        <v>0</v>
      </c>
      <c r="R943" s="2" t="inlineStr"/>
    </row>
    <row r="944" ht="15" customHeight="1">
      <c r="A944" t="inlineStr">
        <is>
          <t>A 20473-2021</t>
        </is>
      </c>
      <c r="B944" s="1" t="n">
        <v>44315</v>
      </c>
      <c r="C944" s="1" t="n">
        <v>46076</v>
      </c>
      <c r="D944" t="inlineStr">
        <is>
          <t>STOCKHOLMS LÄN</t>
        </is>
      </c>
      <c r="E944" t="inlineStr">
        <is>
          <t>NORRTÄLJE</t>
        </is>
      </c>
      <c r="F944" t="inlineStr">
        <is>
          <t>Övriga Aktiebolag</t>
        </is>
      </c>
      <c r="G944" t="n">
        <v>3.6</v>
      </c>
      <c r="H944" t="n">
        <v>0</v>
      </c>
      <c r="I944" t="n">
        <v>0</v>
      </c>
      <c r="J944" t="n">
        <v>0</v>
      </c>
      <c r="K944" t="n">
        <v>0</v>
      </c>
      <c r="L944" t="n">
        <v>0</v>
      </c>
      <c r="M944" t="n">
        <v>0</v>
      </c>
      <c r="N944" t="n">
        <v>0</v>
      </c>
      <c r="O944" t="n">
        <v>0</v>
      </c>
      <c r="P944" t="n">
        <v>0</v>
      </c>
      <c r="Q944" t="n">
        <v>0</v>
      </c>
      <c r="R944" s="2" t="inlineStr"/>
    </row>
    <row r="945" ht="15" customHeight="1">
      <c r="A945" t="inlineStr">
        <is>
          <t>A 693-2026</t>
        </is>
      </c>
      <c r="B945" s="1" t="n">
        <v>46029.6133449074</v>
      </c>
      <c r="C945" s="1" t="n">
        <v>46076</v>
      </c>
      <c r="D945" t="inlineStr">
        <is>
          <t>STOCKHOLMS LÄN</t>
        </is>
      </c>
      <c r="E945" t="inlineStr">
        <is>
          <t>NORRTÄLJE</t>
        </is>
      </c>
      <c r="G945" t="n">
        <v>9.6</v>
      </c>
      <c r="H945" t="n">
        <v>0</v>
      </c>
      <c r="I945" t="n">
        <v>0</v>
      </c>
      <c r="J945" t="n">
        <v>0</v>
      </c>
      <c r="K945" t="n">
        <v>0</v>
      </c>
      <c r="L945" t="n">
        <v>0</v>
      </c>
      <c r="M945" t="n">
        <v>0</v>
      </c>
      <c r="N945" t="n">
        <v>0</v>
      </c>
      <c r="O945" t="n">
        <v>0</v>
      </c>
      <c r="P945" t="n">
        <v>0</v>
      </c>
      <c r="Q945" t="n">
        <v>0</v>
      </c>
      <c r="R945" s="2" t="inlineStr"/>
    </row>
    <row r="946" ht="15" customHeight="1">
      <c r="A946" t="inlineStr">
        <is>
          <t>A 475-2026</t>
        </is>
      </c>
      <c r="B946" s="1" t="n">
        <v>46029.39351851852</v>
      </c>
      <c r="C946" s="1" t="n">
        <v>46076</v>
      </c>
      <c r="D946" t="inlineStr">
        <is>
          <t>STOCKHOLMS LÄN</t>
        </is>
      </c>
      <c r="E946" t="inlineStr">
        <is>
          <t>NORRTÄLJE</t>
        </is>
      </c>
      <c r="G946" t="n">
        <v>4.6</v>
      </c>
      <c r="H946" t="n">
        <v>0</v>
      </c>
      <c r="I946" t="n">
        <v>0</v>
      </c>
      <c r="J946" t="n">
        <v>0</v>
      </c>
      <c r="K946" t="n">
        <v>0</v>
      </c>
      <c r="L946" t="n">
        <v>0</v>
      </c>
      <c r="M946" t="n">
        <v>0</v>
      </c>
      <c r="N946" t="n">
        <v>0</v>
      </c>
      <c r="O946" t="n">
        <v>0</v>
      </c>
      <c r="P946" t="n">
        <v>0</v>
      </c>
      <c r="Q946" t="n">
        <v>0</v>
      </c>
      <c r="R946" s="2" t="inlineStr"/>
    </row>
    <row r="947" ht="15" customHeight="1">
      <c r="A947" t="inlineStr">
        <is>
          <t>A 717-2026</t>
        </is>
      </c>
      <c r="B947" s="1" t="n">
        <v>46029.63028935185</v>
      </c>
      <c r="C947" s="1" t="n">
        <v>46076</v>
      </c>
      <c r="D947" t="inlineStr">
        <is>
          <t>STOCKHOLMS LÄN</t>
        </is>
      </c>
      <c r="E947" t="inlineStr">
        <is>
          <t>NORRTÄLJE</t>
        </is>
      </c>
      <c r="G947" t="n">
        <v>2.4</v>
      </c>
      <c r="H947" t="n">
        <v>0</v>
      </c>
      <c r="I947" t="n">
        <v>0</v>
      </c>
      <c r="J947" t="n">
        <v>0</v>
      </c>
      <c r="K947" t="n">
        <v>0</v>
      </c>
      <c r="L947" t="n">
        <v>0</v>
      </c>
      <c r="M947" t="n">
        <v>0</v>
      </c>
      <c r="N947" t="n">
        <v>0</v>
      </c>
      <c r="O947" t="n">
        <v>0</v>
      </c>
      <c r="P947" t="n">
        <v>0</v>
      </c>
      <c r="Q947" t="n">
        <v>0</v>
      </c>
      <c r="R947" s="2" t="inlineStr"/>
    </row>
    <row r="948" ht="15" customHeight="1">
      <c r="A948" t="inlineStr">
        <is>
          <t>A 54273-2021</t>
        </is>
      </c>
      <c r="B948" s="1" t="n">
        <v>44470.72987268519</v>
      </c>
      <c r="C948" s="1" t="n">
        <v>46076</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812-2026</t>
        </is>
      </c>
      <c r="B949" s="1" t="n">
        <v>46030.33358796296</v>
      </c>
      <c r="C949" s="1" t="n">
        <v>46076</v>
      </c>
      <c r="D949" t="inlineStr">
        <is>
          <t>STOCKHOLMS LÄN</t>
        </is>
      </c>
      <c r="E949" t="inlineStr">
        <is>
          <t>NORRTÄLJE</t>
        </is>
      </c>
      <c r="G949" t="n">
        <v>2.4</v>
      </c>
      <c r="H949" t="n">
        <v>0</v>
      </c>
      <c r="I949" t="n">
        <v>0</v>
      </c>
      <c r="J949" t="n">
        <v>0</v>
      </c>
      <c r="K949" t="n">
        <v>0</v>
      </c>
      <c r="L949" t="n">
        <v>0</v>
      </c>
      <c r="M949" t="n">
        <v>0</v>
      </c>
      <c r="N949" t="n">
        <v>0</v>
      </c>
      <c r="O949" t="n">
        <v>0</v>
      </c>
      <c r="P949" t="n">
        <v>0</v>
      </c>
      <c r="Q949" t="n">
        <v>0</v>
      </c>
      <c r="R949" s="2" t="inlineStr"/>
    </row>
    <row r="950" ht="15" customHeight="1">
      <c r="A950" t="inlineStr">
        <is>
          <t>A 39610-2025</t>
        </is>
      </c>
      <c r="B950" s="1" t="n">
        <v>45890</v>
      </c>
      <c r="C950" s="1" t="n">
        <v>46076</v>
      </c>
      <c r="D950" t="inlineStr">
        <is>
          <t>STOCKHOLMS LÄN</t>
        </is>
      </c>
      <c r="E950" t="inlineStr">
        <is>
          <t>NORRTÄLJE</t>
        </is>
      </c>
      <c r="G950" t="n">
        <v>28.6</v>
      </c>
      <c r="H950" t="n">
        <v>0</v>
      </c>
      <c r="I950" t="n">
        <v>0</v>
      </c>
      <c r="J950" t="n">
        <v>0</v>
      </c>
      <c r="K950" t="n">
        <v>0</v>
      </c>
      <c r="L950" t="n">
        <v>0</v>
      </c>
      <c r="M950" t="n">
        <v>0</v>
      </c>
      <c r="N950" t="n">
        <v>0</v>
      </c>
      <c r="O950" t="n">
        <v>0</v>
      </c>
      <c r="P950" t="n">
        <v>0</v>
      </c>
      <c r="Q950" t="n">
        <v>0</v>
      </c>
      <c r="R950" s="2" t="inlineStr"/>
    </row>
    <row r="951" ht="15" customHeight="1">
      <c r="A951" t="inlineStr">
        <is>
          <t>A 7806-2025</t>
        </is>
      </c>
      <c r="B951" s="1" t="n">
        <v>45706.61178240741</v>
      </c>
      <c r="C951" s="1" t="n">
        <v>46076</v>
      </c>
      <c r="D951" t="inlineStr">
        <is>
          <t>STOCKHOLMS LÄN</t>
        </is>
      </c>
      <c r="E951" t="inlineStr">
        <is>
          <t>NORRTÄLJE</t>
        </is>
      </c>
      <c r="F951" t="inlineStr">
        <is>
          <t>Holmen skog AB</t>
        </is>
      </c>
      <c r="G951" t="n">
        <v>3.5</v>
      </c>
      <c r="H951" t="n">
        <v>0</v>
      </c>
      <c r="I951" t="n">
        <v>0</v>
      </c>
      <c r="J951" t="n">
        <v>0</v>
      </c>
      <c r="K951" t="n">
        <v>0</v>
      </c>
      <c r="L951" t="n">
        <v>0</v>
      </c>
      <c r="M951" t="n">
        <v>0</v>
      </c>
      <c r="N951" t="n">
        <v>0</v>
      </c>
      <c r="O951" t="n">
        <v>0</v>
      </c>
      <c r="P951" t="n">
        <v>0</v>
      </c>
      <c r="Q951" t="n">
        <v>0</v>
      </c>
      <c r="R951" s="2" t="inlineStr"/>
    </row>
    <row r="952" ht="15" customHeight="1">
      <c r="A952" t="inlineStr">
        <is>
          <t>A 53792-2023</t>
        </is>
      </c>
      <c r="B952" s="1" t="n">
        <v>45231.34144675926</v>
      </c>
      <c r="C952" s="1" t="n">
        <v>46076</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21329-2022</t>
        </is>
      </c>
      <c r="B953" s="1" t="n">
        <v>44705.60626157407</v>
      </c>
      <c r="C953" s="1" t="n">
        <v>46076</v>
      </c>
      <c r="D953" t="inlineStr">
        <is>
          <t>STOCKHOLMS LÄN</t>
        </is>
      </c>
      <c r="E953" t="inlineStr">
        <is>
          <t>NORRTÄLJE</t>
        </is>
      </c>
      <c r="G953" t="n">
        <v>4.1</v>
      </c>
      <c r="H953" t="n">
        <v>0</v>
      </c>
      <c r="I953" t="n">
        <v>0</v>
      </c>
      <c r="J953" t="n">
        <v>0</v>
      </c>
      <c r="K953" t="n">
        <v>0</v>
      </c>
      <c r="L953" t="n">
        <v>0</v>
      </c>
      <c r="M953" t="n">
        <v>0</v>
      </c>
      <c r="N953" t="n">
        <v>0</v>
      </c>
      <c r="O953" t="n">
        <v>0</v>
      </c>
      <c r="P953" t="n">
        <v>0</v>
      </c>
      <c r="Q953" t="n">
        <v>0</v>
      </c>
      <c r="R953" s="2" t="inlineStr"/>
    </row>
    <row r="954" ht="15" customHeight="1">
      <c r="A954" t="inlineStr">
        <is>
          <t>A 50569-2022</t>
        </is>
      </c>
      <c r="B954" s="1" t="n">
        <v>44866.63775462963</v>
      </c>
      <c r="C954" s="1" t="n">
        <v>46076</v>
      </c>
      <c r="D954" t="inlineStr">
        <is>
          <t>STOCKHOLMS LÄN</t>
        </is>
      </c>
      <c r="E954" t="inlineStr">
        <is>
          <t>NORRTÄLJE</t>
        </is>
      </c>
      <c r="G954" t="n">
        <v>1.2</v>
      </c>
      <c r="H954" t="n">
        <v>0</v>
      </c>
      <c r="I954" t="n">
        <v>0</v>
      </c>
      <c r="J954" t="n">
        <v>0</v>
      </c>
      <c r="K954" t="n">
        <v>0</v>
      </c>
      <c r="L954" t="n">
        <v>0</v>
      </c>
      <c r="M954" t="n">
        <v>0</v>
      </c>
      <c r="N954" t="n">
        <v>0</v>
      </c>
      <c r="O954" t="n">
        <v>0</v>
      </c>
      <c r="P954" t="n">
        <v>0</v>
      </c>
      <c r="Q954" t="n">
        <v>0</v>
      </c>
      <c r="R954" s="2" t="inlineStr"/>
    </row>
    <row r="955" ht="15" customHeight="1">
      <c r="A955" t="inlineStr">
        <is>
          <t>A 24501-2023</t>
        </is>
      </c>
      <c r="B955" s="1" t="n">
        <v>45082</v>
      </c>
      <c r="C955" s="1" t="n">
        <v>46076</v>
      </c>
      <c r="D955" t="inlineStr">
        <is>
          <t>STOCKHOLMS LÄN</t>
        </is>
      </c>
      <c r="E955" t="inlineStr">
        <is>
          <t>NORRTÄLJE</t>
        </is>
      </c>
      <c r="G955" t="n">
        <v>1.2</v>
      </c>
      <c r="H955" t="n">
        <v>0</v>
      </c>
      <c r="I955" t="n">
        <v>0</v>
      </c>
      <c r="J955" t="n">
        <v>0</v>
      </c>
      <c r="K955" t="n">
        <v>0</v>
      </c>
      <c r="L955" t="n">
        <v>0</v>
      </c>
      <c r="M955" t="n">
        <v>0</v>
      </c>
      <c r="N955" t="n">
        <v>0</v>
      </c>
      <c r="O955" t="n">
        <v>0</v>
      </c>
      <c r="P955" t="n">
        <v>0</v>
      </c>
      <c r="Q955" t="n">
        <v>0</v>
      </c>
      <c r="R955" s="2" t="inlineStr"/>
    </row>
    <row r="956" ht="15" customHeight="1">
      <c r="A956" t="inlineStr">
        <is>
          <t>A 24520-2023</t>
        </is>
      </c>
      <c r="B956" s="1" t="n">
        <v>45082.68922453704</v>
      </c>
      <c r="C956" s="1" t="n">
        <v>46076</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60654-2023</t>
        </is>
      </c>
      <c r="B957" s="1" t="n">
        <v>45260.43225694444</v>
      </c>
      <c r="C957" s="1" t="n">
        <v>46076</v>
      </c>
      <c r="D957" t="inlineStr">
        <is>
          <t>STOCKHOLMS LÄN</t>
        </is>
      </c>
      <c r="E957" t="inlineStr">
        <is>
          <t>NORRTÄLJE</t>
        </is>
      </c>
      <c r="G957" t="n">
        <v>2.1</v>
      </c>
      <c r="H957" t="n">
        <v>0</v>
      </c>
      <c r="I957" t="n">
        <v>0</v>
      </c>
      <c r="J957" t="n">
        <v>0</v>
      </c>
      <c r="K957" t="n">
        <v>0</v>
      </c>
      <c r="L957" t="n">
        <v>0</v>
      </c>
      <c r="M957" t="n">
        <v>0</v>
      </c>
      <c r="N957" t="n">
        <v>0</v>
      </c>
      <c r="O957" t="n">
        <v>0</v>
      </c>
      <c r="P957" t="n">
        <v>0</v>
      </c>
      <c r="Q957" t="n">
        <v>0</v>
      </c>
      <c r="R957" s="2" t="inlineStr"/>
    </row>
    <row r="958" ht="15" customHeight="1">
      <c r="A958" t="inlineStr">
        <is>
          <t>A 60656-2023</t>
        </is>
      </c>
      <c r="B958" s="1" t="n">
        <v>45260.4333449074</v>
      </c>
      <c r="C958" s="1" t="n">
        <v>46076</v>
      </c>
      <c r="D958" t="inlineStr">
        <is>
          <t>STOCKHOLMS LÄN</t>
        </is>
      </c>
      <c r="E958" t="inlineStr">
        <is>
          <t>NORRTÄLJE</t>
        </is>
      </c>
      <c r="G958" t="n">
        <v>4.8</v>
      </c>
      <c r="H958" t="n">
        <v>0</v>
      </c>
      <c r="I958" t="n">
        <v>0</v>
      </c>
      <c r="J958" t="n">
        <v>0</v>
      </c>
      <c r="K958" t="n">
        <v>0</v>
      </c>
      <c r="L958" t="n">
        <v>0</v>
      </c>
      <c r="M958" t="n">
        <v>0</v>
      </c>
      <c r="N958" t="n">
        <v>0</v>
      </c>
      <c r="O958" t="n">
        <v>0</v>
      </c>
      <c r="P958" t="n">
        <v>0</v>
      </c>
      <c r="Q958" t="n">
        <v>0</v>
      </c>
      <c r="R958" s="2" t="inlineStr"/>
    </row>
    <row r="959" ht="15" customHeight="1">
      <c r="A959" t="inlineStr">
        <is>
          <t>A 54496-2024</t>
        </is>
      </c>
      <c r="B959" s="1" t="n">
        <v>45617.57439814815</v>
      </c>
      <c r="C959" s="1" t="n">
        <v>46076</v>
      </c>
      <c r="D959" t="inlineStr">
        <is>
          <t>STOCKHOLMS LÄN</t>
        </is>
      </c>
      <c r="E959" t="inlineStr">
        <is>
          <t>NORRTÄLJE</t>
        </is>
      </c>
      <c r="G959" t="n">
        <v>2.2</v>
      </c>
      <c r="H959" t="n">
        <v>0</v>
      </c>
      <c r="I959" t="n">
        <v>0</v>
      </c>
      <c r="J959" t="n">
        <v>0</v>
      </c>
      <c r="K959" t="n">
        <v>0</v>
      </c>
      <c r="L959" t="n">
        <v>0</v>
      </c>
      <c r="M959" t="n">
        <v>0</v>
      </c>
      <c r="N959" t="n">
        <v>0</v>
      </c>
      <c r="O959" t="n">
        <v>0</v>
      </c>
      <c r="P959" t="n">
        <v>0</v>
      </c>
      <c r="Q959" t="n">
        <v>0</v>
      </c>
      <c r="R959" s="2" t="inlineStr"/>
    </row>
    <row r="960" ht="15" customHeight="1">
      <c r="A960" t="inlineStr">
        <is>
          <t>A 21386-2023</t>
        </is>
      </c>
      <c r="B960" s="1" t="n">
        <v>45063.35880787037</v>
      </c>
      <c r="C960" s="1" t="n">
        <v>46076</v>
      </c>
      <c r="D960" t="inlineStr">
        <is>
          <t>STOCKHOLMS LÄN</t>
        </is>
      </c>
      <c r="E960" t="inlineStr">
        <is>
          <t>NORRTÄLJE</t>
        </is>
      </c>
      <c r="G960" t="n">
        <v>1.8</v>
      </c>
      <c r="H960" t="n">
        <v>0</v>
      </c>
      <c r="I960" t="n">
        <v>0</v>
      </c>
      <c r="J960" t="n">
        <v>0</v>
      </c>
      <c r="K960" t="n">
        <v>0</v>
      </c>
      <c r="L960" t="n">
        <v>0</v>
      </c>
      <c r="M960" t="n">
        <v>0</v>
      </c>
      <c r="N960" t="n">
        <v>0</v>
      </c>
      <c r="O960" t="n">
        <v>0</v>
      </c>
      <c r="P960" t="n">
        <v>0</v>
      </c>
      <c r="Q960" t="n">
        <v>0</v>
      </c>
      <c r="R960" s="2" t="inlineStr"/>
    </row>
    <row r="961" ht="15" customHeight="1">
      <c r="A961" t="inlineStr">
        <is>
          <t>A 10642-2025</t>
        </is>
      </c>
      <c r="B961" s="1" t="n">
        <v>45721.65858796296</v>
      </c>
      <c r="C961" s="1" t="n">
        <v>46076</v>
      </c>
      <c r="D961" t="inlineStr">
        <is>
          <t>STOCKHOLMS LÄN</t>
        </is>
      </c>
      <c r="E961" t="inlineStr">
        <is>
          <t>NORRTÄLJE</t>
        </is>
      </c>
      <c r="G961" t="n">
        <v>2.6</v>
      </c>
      <c r="H961" t="n">
        <v>0</v>
      </c>
      <c r="I961" t="n">
        <v>0</v>
      </c>
      <c r="J961" t="n">
        <v>0</v>
      </c>
      <c r="K961" t="n">
        <v>0</v>
      </c>
      <c r="L961" t="n">
        <v>0</v>
      </c>
      <c r="M961" t="n">
        <v>0</v>
      </c>
      <c r="N961" t="n">
        <v>0</v>
      </c>
      <c r="O961" t="n">
        <v>0</v>
      </c>
      <c r="P961" t="n">
        <v>0</v>
      </c>
      <c r="Q961" t="n">
        <v>0</v>
      </c>
      <c r="R961" s="2" t="inlineStr"/>
    </row>
    <row r="962" ht="15" customHeight="1">
      <c r="A962" t="inlineStr">
        <is>
          <t>A 9720-2026</t>
        </is>
      </c>
      <c r="B962" s="1" t="n">
        <v>46072.45061342593</v>
      </c>
      <c r="C962" s="1" t="n">
        <v>46076</v>
      </c>
      <c r="D962" t="inlineStr">
        <is>
          <t>STOCKHOLMS LÄN</t>
        </is>
      </c>
      <c r="E962" t="inlineStr">
        <is>
          <t>NORRTÄLJE</t>
        </is>
      </c>
      <c r="G962" t="n">
        <v>3.6</v>
      </c>
      <c r="H962" t="n">
        <v>0</v>
      </c>
      <c r="I962" t="n">
        <v>0</v>
      </c>
      <c r="J962" t="n">
        <v>0</v>
      </c>
      <c r="K962" t="n">
        <v>0</v>
      </c>
      <c r="L962" t="n">
        <v>0</v>
      </c>
      <c r="M962" t="n">
        <v>0</v>
      </c>
      <c r="N962" t="n">
        <v>0</v>
      </c>
      <c r="O962" t="n">
        <v>0</v>
      </c>
      <c r="P962" t="n">
        <v>0</v>
      </c>
      <c r="Q962" t="n">
        <v>0</v>
      </c>
      <c r="R962" s="2" t="inlineStr"/>
    </row>
    <row r="963" ht="15" customHeight="1">
      <c r="A963" t="inlineStr">
        <is>
          <t>A 6828-2026</t>
        </is>
      </c>
      <c r="B963" s="1" t="n">
        <v>46057</v>
      </c>
      <c r="C963" s="1" t="n">
        <v>46076</v>
      </c>
      <c r="D963" t="inlineStr">
        <is>
          <t>STOCKHOLMS LÄN</t>
        </is>
      </c>
      <c r="E963" t="inlineStr">
        <is>
          <t>NORRTÄLJE</t>
        </is>
      </c>
      <c r="F963" t="inlineStr">
        <is>
          <t>Holmen skog AB</t>
        </is>
      </c>
      <c r="G963" t="n">
        <v>2.8</v>
      </c>
      <c r="H963" t="n">
        <v>0</v>
      </c>
      <c r="I963" t="n">
        <v>0</v>
      </c>
      <c r="J963" t="n">
        <v>0</v>
      </c>
      <c r="K963" t="n">
        <v>0</v>
      </c>
      <c r="L963" t="n">
        <v>0</v>
      </c>
      <c r="M963" t="n">
        <v>0</v>
      </c>
      <c r="N963" t="n">
        <v>0</v>
      </c>
      <c r="O963" t="n">
        <v>0</v>
      </c>
      <c r="P963" t="n">
        <v>0</v>
      </c>
      <c r="Q963" t="n">
        <v>0</v>
      </c>
      <c r="R963" s="2" t="inlineStr"/>
    </row>
    <row r="964" ht="15" customHeight="1">
      <c r="A964" t="inlineStr">
        <is>
          <t>A 20144-2023</t>
        </is>
      </c>
      <c r="B964" s="1" t="n">
        <v>45055.43509259259</v>
      </c>
      <c r="C964" s="1" t="n">
        <v>46076</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53312-2024</t>
        </is>
      </c>
      <c r="B965" s="1" t="n">
        <v>45614.39627314815</v>
      </c>
      <c r="C965" s="1" t="n">
        <v>46076</v>
      </c>
      <c r="D965" t="inlineStr">
        <is>
          <t>STOCKHOLMS LÄN</t>
        </is>
      </c>
      <c r="E965" t="inlineStr">
        <is>
          <t>NORRTÄLJE</t>
        </is>
      </c>
      <c r="G965" t="n">
        <v>0.6</v>
      </c>
      <c r="H965" t="n">
        <v>0</v>
      </c>
      <c r="I965" t="n">
        <v>0</v>
      </c>
      <c r="J965" t="n">
        <v>0</v>
      </c>
      <c r="K965" t="n">
        <v>0</v>
      </c>
      <c r="L965" t="n">
        <v>0</v>
      </c>
      <c r="M965" t="n">
        <v>0</v>
      </c>
      <c r="N965" t="n">
        <v>0</v>
      </c>
      <c r="O965" t="n">
        <v>0</v>
      </c>
      <c r="P965" t="n">
        <v>0</v>
      </c>
      <c r="Q965" t="n">
        <v>0</v>
      </c>
      <c r="R965" s="2" t="inlineStr"/>
    </row>
    <row r="966" ht="15" customHeight="1">
      <c r="A966" t="inlineStr">
        <is>
          <t>A 39202-2024</t>
        </is>
      </c>
      <c r="B966" s="1" t="n">
        <v>45548.72306712963</v>
      </c>
      <c r="C966" s="1" t="n">
        <v>46076</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22756-2022</t>
        </is>
      </c>
      <c r="B967" s="1" t="n">
        <v>44714.92253472222</v>
      </c>
      <c r="C967" s="1" t="n">
        <v>46076</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4581-2025</t>
        </is>
      </c>
      <c r="B968" s="1" t="n">
        <v>45687</v>
      </c>
      <c r="C968" s="1" t="n">
        <v>46076</v>
      </c>
      <c r="D968" t="inlineStr">
        <is>
          <t>STOCKHOLMS LÄN</t>
        </is>
      </c>
      <c r="E968" t="inlineStr">
        <is>
          <t>NORRTÄLJE</t>
        </is>
      </c>
      <c r="F968" t="inlineStr">
        <is>
          <t>Holmen skog AB</t>
        </is>
      </c>
      <c r="G968" t="n">
        <v>2.8</v>
      </c>
      <c r="H968" t="n">
        <v>0</v>
      </c>
      <c r="I968" t="n">
        <v>0</v>
      </c>
      <c r="J968" t="n">
        <v>0</v>
      </c>
      <c r="K968" t="n">
        <v>0</v>
      </c>
      <c r="L968" t="n">
        <v>0</v>
      </c>
      <c r="M968" t="n">
        <v>0</v>
      </c>
      <c r="N968" t="n">
        <v>0</v>
      </c>
      <c r="O968" t="n">
        <v>0</v>
      </c>
      <c r="P968" t="n">
        <v>0</v>
      </c>
      <c r="Q968" t="n">
        <v>0</v>
      </c>
      <c r="R968" s="2" t="inlineStr"/>
    </row>
    <row r="969" ht="15" customHeight="1">
      <c r="A969" t="inlineStr">
        <is>
          <t>A 60765-2023</t>
        </is>
      </c>
      <c r="B969" s="1" t="n">
        <v>45260</v>
      </c>
      <c r="C969" s="1" t="n">
        <v>46076</v>
      </c>
      <c r="D969" t="inlineStr">
        <is>
          <t>STOCKHOLMS LÄN</t>
        </is>
      </c>
      <c r="E969" t="inlineStr">
        <is>
          <t>NORRTÄLJE</t>
        </is>
      </c>
      <c r="G969" t="n">
        <v>3.7</v>
      </c>
      <c r="H969" t="n">
        <v>0</v>
      </c>
      <c r="I969" t="n">
        <v>0</v>
      </c>
      <c r="J969" t="n">
        <v>0</v>
      </c>
      <c r="K969" t="n">
        <v>0</v>
      </c>
      <c r="L969" t="n">
        <v>0</v>
      </c>
      <c r="M969" t="n">
        <v>0</v>
      </c>
      <c r="N969" t="n">
        <v>0</v>
      </c>
      <c r="O969" t="n">
        <v>0</v>
      </c>
      <c r="P969" t="n">
        <v>0</v>
      </c>
      <c r="Q969" t="n">
        <v>0</v>
      </c>
      <c r="R969" s="2" t="inlineStr"/>
    </row>
    <row r="970" ht="15" customHeight="1">
      <c r="A970" t="inlineStr">
        <is>
          <t>A 23801-2022</t>
        </is>
      </c>
      <c r="B970" s="1" t="n">
        <v>44722</v>
      </c>
      <c r="C970" s="1" t="n">
        <v>46076</v>
      </c>
      <c r="D970" t="inlineStr">
        <is>
          <t>STOCKHOLMS LÄN</t>
        </is>
      </c>
      <c r="E970" t="inlineStr">
        <is>
          <t>NORRTÄLJE</t>
        </is>
      </c>
      <c r="G970" t="n">
        <v>6.8</v>
      </c>
      <c r="H970" t="n">
        <v>0</v>
      </c>
      <c r="I970" t="n">
        <v>0</v>
      </c>
      <c r="J970" t="n">
        <v>0</v>
      </c>
      <c r="K970" t="n">
        <v>0</v>
      </c>
      <c r="L970" t="n">
        <v>0</v>
      </c>
      <c r="M970" t="n">
        <v>0</v>
      </c>
      <c r="N970" t="n">
        <v>0</v>
      </c>
      <c r="O970" t="n">
        <v>0</v>
      </c>
      <c r="P970" t="n">
        <v>0</v>
      </c>
      <c r="Q970" t="n">
        <v>0</v>
      </c>
      <c r="R970" s="2" t="inlineStr"/>
    </row>
    <row r="971" ht="15" customHeight="1">
      <c r="A971" t="inlineStr">
        <is>
          <t>A 59276-2023</t>
        </is>
      </c>
      <c r="B971" s="1" t="n">
        <v>45253.55641203704</v>
      </c>
      <c r="C971" s="1" t="n">
        <v>46076</v>
      </c>
      <c r="D971" t="inlineStr">
        <is>
          <t>STOCKHOLMS LÄN</t>
        </is>
      </c>
      <c r="E971" t="inlineStr">
        <is>
          <t>NORRTÄLJE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46914-2022</t>
        </is>
      </c>
      <c r="B972" s="1" t="n">
        <v>44851</v>
      </c>
      <c r="C972" s="1" t="n">
        <v>46076</v>
      </c>
      <c r="D972" t="inlineStr">
        <is>
          <t>STOCKHOLMS LÄN</t>
        </is>
      </c>
      <c r="E972" t="inlineStr">
        <is>
          <t>NORRTÄLJE</t>
        </is>
      </c>
      <c r="G972" t="n">
        <v>2.4</v>
      </c>
      <c r="H972" t="n">
        <v>0</v>
      </c>
      <c r="I972" t="n">
        <v>0</v>
      </c>
      <c r="J972" t="n">
        <v>0</v>
      </c>
      <c r="K972" t="n">
        <v>0</v>
      </c>
      <c r="L972" t="n">
        <v>0</v>
      </c>
      <c r="M972" t="n">
        <v>0</v>
      </c>
      <c r="N972" t="n">
        <v>0</v>
      </c>
      <c r="O972" t="n">
        <v>0</v>
      </c>
      <c r="P972" t="n">
        <v>0</v>
      </c>
      <c r="Q972" t="n">
        <v>0</v>
      </c>
      <c r="R972" s="2" t="inlineStr"/>
    </row>
    <row r="973" ht="15" customHeight="1">
      <c r="A973" t="inlineStr">
        <is>
          <t>A 18541-2023</t>
        </is>
      </c>
      <c r="B973" s="1" t="n">
        <v>45042.74291666667</v>
      </c>
      <c r="C973" s="1" t="n">
        <v>46076</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3509-2022</t>
        </is>
      </c>
      <c r="B974" s="1" t="n">
        <v>44585</v>
      </c>
      <c r="C974" s="1" t="n">
        <v>46076</v>
      </c>
      <c r="D974" t="inlineStr">
        <is>
          <t>STOCKHOLMS LÄN</t>
        </is>
      </c>
      <c r="E974" t="inlineStr">
        <is>
          <t>NORRTÄLJE</t>
        </is>
      </c>
      <c r="F974" t="inlineStr">
        <is>
          <t>Kommuner</t>
        </is>
      </c>
      <c r="G974" t="n">
        <v>0.8</v>
      </c>
      <c r="H974" t="n">
        <v>0</v>
      </c>
      <c r="I974" t="n">
        <v>0</v>
      </c>
      <c r="J974" t="n">
        <v>0</v>
      </c>
      <c r="K974" t="n">
        <v>0</v>
      </c>
      <c r="L974" t="n">
        <v>0</v>
      </c>
      <c r="M974" t="n">
        <v>0</v>
      </c>
      <c r="N974" t="n">
        <v>0</v>
      </c>
      <c r="O974" t="n">
        <v>0</v>
      </c>
      <c r="P974" t="n">
        <v>0</v>
      </c>
      <c r="Q974" t="n">
        <v>0</v>
      </c>
      <c r="R974" s="2" t="inlineStr"/>
    </row>
    <row r="975" ht="15" customHeight="1">
      <c r="A975" t="inlineStr">
        <is>
          <t>A 26407-2024</t>
        </is>
      </c>
      <c r="B975" s="1" t="n">
        <v>45469</v>
      </c>
      <c r="C975" s="1" t="n">
        <v>46076</v>
      </c>
      <c r="D975" t="inlineStr">
        <is>
          <t>STOCKHOLMS LÄN</t>
        </is>
      </c>
      <c r="E975" t="inlineStr">
        <is>
          <t>NORRTÄLJE</t>
        </is>
      </c>
      <c r="G975" t="n">
        <v>3.5</v>
      </c>
      <c r="H975" t="n">
        <v>0</v>
      </c>
      <c r="I975" t="n">
        <v>0</v>
      </c>
      <c r="J975" t="n">
        <v>0</v>
      </c>
      <c r="K975" t="n">
        <v>0</v>
      </c>
      <c r="L975" t="n">
        <v>0</v>
      </c>
      <c r="M975" t="n">
        <v>0</v>
      </c>
      <c r="N975" t="n">
        <v>0</v>
      </c>
      <c r="O975" t="n">
        <v>0</v>
      </c>
      <c r="P975" t="n">
        <v>0</v>
      </c>
      <c r="Q975" t="n">
        <v>0</v>
      </c>
      <c r="R975" s="2" t="inlineStr"/>
    </row>
    <row r="976" ht="15" customHeight="1">
      <c r="A976" t="inlineStr">
        <is>
          <t>A 12890-2024</t>
        </is>
      </c>
      <c r="B976" s="1" t="n">
        <v>45385.36243055556</v>
      </c>
      <c r="C976" s="1" t="n">
        <v>46076</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47419-2023</t>
        </is>
      </c>
      <c r="B977" s="1" t="n">
        <v>45202.65660879629</v>
      </c>
      <c r="C977" s="1" t="n">
        <v>46076</v>
      </c>
      <c r="D977" t="inlineStr">
        <is>
          <t>STOCKHOLMS LÄN</t>
        </is>
      </c>
      <c r="E977" t="inlineStr">
        <is>
          <t>NORRTÄLJE</t>
        </is>
      </c>
      <c r="G977" t="n">
        <v>11.4</v>
      </c>
      <c r="H977" t="n">
        <v>0</v>
      </c>
      <c r="I977" t="n">
        <v>0</v>
      </c>
      <c r="J977" t="n">
        <v>0</v>
      </c>
      <c r="K977" t="n">
        <v>0</v>
      </c>
      <c r="L977" t="n">
        <v>0</v>
      </c>
      <c r="M977" t="n">
        <v>0</v>
      </c>
      <c r="N977" t="n">
        <v>0</v>
      </c>
      <c r="O977" t="n">
        <v>0</v>
      </c>
      <c r="P977" t="n">
        <v>0</v>
      </c>
      <c r="Q977" t="n">
        <v>0</v>
      </c>
      <c r="R977" s="2" t="inlineStr"/>
    </row>
    <row r="978" ht="15" customHeight="1">
      <c r="A978" t="inlineStr">
        <is>
          <t>A 23070-2023</t>
        </is>
      </c>
      <c r="B978" s="1" t="n">
        <v>45075</v>
      </c>
      <c r="C978" s="1" t="n">
        <v>46076</v>
      </c>
      <c r="D978" t="inlineStr">
        <is>
          <t>STOCKHOLMS LÄN</t>
        </is>
      </c>
      <c r="E978" t="inlineStr">
        <is>
          <t>NORRTÄLJE</t>
        </is>
      </c>
      <c r="G978" t="n">
        <v>1.5</v>
      </c>
      <c r="H978" t="n">
        <v>0</v>
      </c>
      <c r="I978" t="n">
        <v>0</v>
      </c>
      <c r="J978" t="n">
        <v>0</v>
      </c>
      <c r="K978" t="n">
        <v>0</v>
      </c>
      <c r="L978" t="n">
        <v>0</v>
      </c>
      <c r="M978" t="n">
        <v>0</v>
      </c>
      <c r="N978" t="n">
        <v>0</v>
      </c>
      <c r="O978" t="n">
        <v>0</v>
      </c>
      <c r="P978" t="n">
        <v>0</v>
      </c>
      <c r="Q978" t="n">
        <v>0</v>
      </c>
      <c r="R978" s="2" t="inlineStr"/>
    </row>
    <row r="979" ht="15" customHeight="1">
      <c r="A979" t="inlineStr">
        <is>
          <t>A 27824-2022</t>
        </is>
      </c>
      <c r="B979" s="1" t="n">
        <v>44743.59331018518</v>
      </c>
      <c r="C979" s="1" t="n">
        <v>46076</v>
      </c>
      <c r="D979" t="inlineStr">
        <is>
          <t>STOCKHOLMS LÄN</t>
        </is>
      </c>
      <c r="E979" t="inlineStr">
        <is>
          <t>NORRTÄLJE</t>
        </is>
      </c>
      <c r="F979" t="inlineStr">
        <is>
          <t>Kommuner</t>
        </is>
      </c>
      <c r="G979" t="n">
        <v>3.1</v>
      </c>
      <c r="H979" t="n">
        <v>0</v>
      </c>
      <c r="I979" t="n">
        <v>0</v>
      </c>
      <c r="J979" t="n">
        <v>0</v>
      </c>
      <c r="K979" t="n">
        <v>0</v>
      </c>
      <c r="L979" t="n">
        <v>0</v>
      </c>
      <c r="M979" t="n">
        <v>0</v>
      </c>
      <c r="N979" t="n">
        <v>0</v>
      </c>
      <c r="O979" t="n">
        <v>0</v>
      </c>
      <c r="P979" t="n">
        <v>0</v>
      </c>
      <c r="Q979" t="n">
        <v>0</v>
      </c>
      <c r="R979" s="2" t="inlineStr"/>
    </row>
    <row r="980" ht="15" customHeight="1">
      <c r="A980" t="inlineStr">
        <is>
          <t>A 25619-2022</t>
        </is>
      </c>
      <c r="B980" s="1" t="n">
        <v>44732</v>
      </c>
      <c r="C980" s="1" t="n">
        <v>46076</v>
      </c>
      <c r="D980" t="inlineStr">
        <is>
          <t>STOCKHOLMS LÄN</t>
        </is>
      </c>
      <c r="E980" t="inlineStr">
        <is>
          <t>NORRTÄLJE</t>
        </is>
      </c>
      <c r="G980" t="n">
        <v>3.9</v>
      </c>
      <c r="H980" t="n">
        <v>0</v>
      </c>
      <c r="I980" t="n">
        <v>0</v>
      </c>
      <c r="J980" t="n">
        <v>0</v>
      </c>
      <c r="K980" t="n">
        <v>0</v>
      </c>
      <c r="L980" t="n">
        <v>0</v>
      </c>
      <c r="M980" t="n">
        <v>0</v>
      </c>
      <c r="N980" t="n">
        <v>0</v>
      </c>
      <c r="O980" t="n">
        <v>0</v>
      </c>
      <c r="P980" t="n">
        <v>0</v>
      </c>
      <c r="Q980" t="n">
        <v>0</v>
      </c>
      <c r="R980" s="2" t="inlineStr"/>
    </row>
    <row r="981" ht="15" customHeight="1">
      <c r="A981" t="inlineStr">
        <is>
          <t>A 36246-2021</t>
        </is>
      </c>
      <c r="B981" s="1" t="n">
        <v>44390</v>
      </c>
      <c r="C981" s="1" t="n">
        <v>46076</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19952-2023</t>
        </is>
      </c>
      <c r="B982" s="1" t="n">
        <v>45054.54091435186</v>
      </c>
      <c r="C982" s="1" t="n">
        <v>46076</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19994-2023</t>
        </is>
      </c>
      <c r="B983" s="1" t="n">
        <v>45054</v>
      </c>
      <c r="C983" s="1" t="n">
        <v>46076</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14130-2025</t>
        </is>
      </c>
      <c r="B984" s="1" t="n">
        <v>45740.47288194444</v>
      </c>
      <c r="C984" s="1" t="n">
        <v>46076</v>
      </c>
      <c r="D984" t="inlineStr">
        <is>
          <t>STOCKHOLMS LÄN</t>
        </is>
      </c>
      <c r="E984" t="inlineStr">
        <is>
          <t>NORRTÄLJE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574-2023</t>
        </is>
      </c>
      <c r="B985" s="1" t="n">
        <v>44925</v>
      </c>
      <c r="C985" s="1" t="n">
        <v>46076</v>
      </c>
      <c r="D985" t="inlineStr">
        <is>
          <t>STOCKHOLMS LÄN</t>
        </is>
      </c>
      <c r="E985" t="inlineStr">
        <is>
          <t>NORRTÄLJE</t>
        </is>
      </c>
      <c r="G985" t="n">
        <v>5</v>
      </c>
      <c r="H985" t="n">
        <v>0</v>
      </c>
      <c r="I985" t="n">
        <v>0</v>
      </c>
      <c r="J985" t="n">
        <v>0</v>
      </c>
      <c r="K985" t="n">
        <v>0</v>
      </c>
      <c r="L985" t="n">
        <v>0</v>
      </c>
      <c r="M985" t="n">
        <v>0</v>
      </c>
      <c r="N985" t="n">
        <v>0</v>
      </c>
      <c r="O985" t="n">
        <v>0</v>
      </c>
      <c r="P985" t="n">
        <v>0</v>
      </c>
      <c r="Q985" t="n">
        <v>0</v>
      </c>
      <c r="R985" s="2" t="inlineStr"/>
    </row>
    <row r="986" ht="15" customHeight="1">
      <c r="A986" t="inlineStr">
        <is>
          <t>A 30283-2022</t>
        </is>
      </c>
      <c r="B986" s="1" t="n">
        <v>44760</v>
      </c>
      <c r="C986" s="1" t="n">
        <v>46076</v>
      </c>
      <c r="D986" t="inlineStr">
        <is>
          <t>STOCKHOLMS LÄN</t>
        </is>
      </c>
      <c r="E986" t="inlineStr">
        <is>
          <t>NORRTÄLJE</t>
        </is>
      </c>
      <c r="G986" t="n">
        <v>6.2</v>
      </c>
      <c r="H986" t="n">
        <v>0</v>
      </c>
      <c r="I986" t="n">
        <v>0</v>
      </c>
      <c r="J986" t="n">
        <v>0</v>
      </c>
      <c r="K986" t="n">
        <v>0</v>
      </c>
      <c r="L986" t="n">
        <v>0</v>
      </c>
      <c r="M986" t="n">
        <v>0</v>
      </c>
      <c r="N986" t="n">
        <v>0</v>
      </c>
      <c r="O986" t="n">
        <v>0</v>
      </c>
      <c r="P986" t="n">
        <v>0</v>
      </c>
      <c r="Q986" t="n">
        <v>0</v>
      </c>
      <c r="R986" s="2" t="inlineStr"/>
    </row>
    <row r="987" ht="15" customHeight="1">
      <c r="A987" t="inlineStr">
        <is>
          <t>A 30290-2022</t>
        </is>
      </c>
      <c r="B987" s="1" t="n">
        <v>44760</v>
      </c>
      <c r="C987" s="1" t="n">
        <v>46076</v>
      </c>
      <c r="D987" t="inlineStr">
        <is>
          <t>STOCKHOLMS LÄN</t>
        </is>
      </c>
      <c r="E987" t="inlineStr">
        <is>
          <t>NORRTÄLJE</t>
        </is>
      </c>
      <c r="G987" t="n">
        <v>4.8</v>
      </c>
      <c r="H987" t="n">
        <v>0</v>
      </c>
      <c r="I987" t="n">
        <v>0</v>
      </c>
      <c r="J987" t="n">
        <v>0</v>
      </c>
      <c r="K987" t="n">
        <v>0</v>
      </c>
      <c r="L987" t="n">
        <v>0</v>
      </c>
      <c r="M987" t="n">
        <v>0</v>
      </c>
      <c r="N987" t="n">
        <v>0</v>
      </c>
      <c r="O987" t="n">
        <v>0</v>
      </c>
      <c r="P987" t="n">
        <v>0</v>
      </c>
      <c r="Q987" t="n">
        <v>0</v>
      </c>
      <c r="R987" s="2" t="inlineStr"/>
    </row>
    <row r="988" ht="15" customHeight="1">
      <c r="A988" t="inlineStr">
        <is>
          <t>A 29684-2021</t>
        </is>
      </c>
      <c r="B988" s="1" t="n">
        <v>44362.37172453704</v>
      </c>
      <c r="C988" s="1" t="n">
        <v>46076</v>
      </c>
      <c r="D988" t="inlineStr">
        <is>
          <t>STOCKHOLMS LÄN</t>
        </is>
      </c>
      <c r="E988" t="inlineStr">
        <is>
          <t>NORRTÄLJE</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60884-2024</t>
        </is>
      </c>
      <c r="B989" s="1" t="n">
        <v>45644.90815972222</v>
      </c>
      <c r="C989" s="1" t="n">
        <v>46076</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38610-2022</t>
        </is>
      </c>
      <c r="B990" s="1" t="n">
        <v>44813.59915509259</v>
      </c>
      <c r="C990" s="1" t="n">
        <v>46076</v>
      </c>
      <c r="D990" t="inlineStr">
        <is>
          <t>STOCKHOLMS LÄN</t>
        </is>
      </c>
      <c r="E990" t="inlineStr">
        <is>
          <t>NORRTÄLJE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10090-2022</t>
        </is>
      </c>
      <c r="B991" s="1" t="n">
        <v>44621</v>
      </c>
      <c r="C991" s="1" t="n">
        <v>46076</v>
      </c>
      <c r="D991" t="inlineStr">
        <is>
          <t>STOCKHOLMS LÄN</t>
        </is>
      </c>
      <c r="E991" t="inlineStr">
        <is>
          <t>NORRTÄLJE</t>
        </is>
      </c>
      <c r="G991" t="n">
        <v>5.2</v>
      </c>
      <c r="H991" t="n">
        <v>0</v>
      </c>
      <c r="I991" t="n">
        <v>0</v>
      </c>
      <c r="J991" t="n">
        <v>0</v>
      </c>
      <c r="K991" t="n">
        <v>0</v>
      </c>
      <c r="L991" t="n">
        <v>0</v>
      </c>
      <c r="M991" t="n">
        <v>0</v>
      </c>
      <c r="N991" t="n">
        <v>0</v>
      </c>
      <c r="O991" t="n">
        <v>0</v>
      </c>
      <c r="P991" t="n">
        <v>0</v>
      </c>
      <c r="Q991" t="n">
        <v>0</v>
      </c>
      <c r="R991" s="2" t="inlineStr"/>
    </row>
    <row r="992" ht="15" customHeight="1">
      <c r="A992" t="inlineStr">
        <is>
          <t>A 14724-2022</t>
        </is>
      </c>
      <c r="B992" s="1" t="n">
        <v>44656</v>
      </c>
      <c r="C992" s="1" t="n">
        <v>46076</v>
      </c>
      <c r="D992" t="inlineStr">
        <is>
          <t>STOCKHOLMS LÄN</t>
        </is>
      </c>
      <c r="E992" t="inlineStr">
        <is>
          <t>NORRTÄLJE</t>
        </is>
      </c>
      <c r="F992" t="inlineStr">
        <is>
          <t>Sveaskog</t>
        </is>
      </c>
      <c r="G992" t="n">
        <v>9</v>
      </c>
      <c r="H992" t="n">
        <v>0</v>
      </c>
      <c r="I992" t="n">
        <v>0</v>
      </c>
      <c r="J992" t="n">
        <v>0</v>
      </c>
      <c r="K992" t="n">
        <v>0</v>
      </c>
      <c r="L992" t="n">
        <v>0</v>
      </c>
      <c r="M992" t="n">
        <v>0</v>
      </c>
      <c r="N992" t="n">
        <v>0</v>
      </c>
      <c r="O992" t="n">
        <v>0</v>
      </c>
      <c r="P992" t="n">
        <v>0</v>
      </c>
      <c r="Q992" t="n">
        <v>0</v>
      </c>
      <c r="R992" s="2" t="inlineStr"/>
    </row>
    <row r="993" ht="15" customHeight="1">
      <c r="A993" t="inlineStr">
        <is>
          <t>A 18846-2022</t>
        </is>
      </c>
      <c r="B993" s="1" t="n">
        <v>44690</v>
      </c>
      <c r="C993" s="1" t="n">
        <v>46076</v>
      </c>
      <c r="D993" t="inlineStr">
        <is>
          <t>STOCKHOLMS LÄN</t>
        </is>
      </c>
      <c r="E993" t="inlineStr">
        <is>
          <t>NORRTÄLJE</t>
        </is>
      </c>
      <c r="G993" t="n">
        <v>7</v>
      </c>
      <c r="H993" t="n">
        <v>0</v>
      </c>
      <c r="I993" t="n">
        <v>0</v>
      </c>
      <c r="J993" t="n">
        <v>0</v>
      </c>
      <c r="K993" t="n">
        <v>0</v>
      </c>
      <c r="L993" t="n">
        <v>0</v>
      </c>
      <c r="M993" t="n">
        <v>0</v>
      </c>
      <c r="N993" t="n">
        <v>0</v>
      </c>
      <c r="O993" t="n">
        <v>0</v>
      </c>
      <c r="P993" t="n">
        <v>0</v>
      </c>
      <c r="Q993" t="n">
        <v>0</v>
      </c>
      <c r="R993" s="2" t="inlineStr"/>
    </row>
    <row r="994" ht="15" customHeight="1">
      <c r="A994" t="inlineStr">
        <is>
          <t>A 43300-2023</t>
        </is>
      </c>
      <c r="B994" s="1" t="n">
        <v>45183</v>
      </c>
      <c r="C994" s="1" t="n">
        <v>46076</v>
      </c>
      <c r="D994" t="inlineStr">
        <is>
          <t>STOCKHOLMS LÄN</t>
        </is>
      </c>
      <c r="E994" t="inlineStr">
        <is>
          <t>NORRTÄLJE</t>
        </is>
      </c>
      <c r="G994" t="n">
        <v>2.3</v>
      </c>
      <c r="H994" t="n">
        <v>0</v>
      </c>
      <c r="I994" t="n">
        <v>0</v>
      </c>
      <c r="J994" t="n">
        <v>0</v>
      </c>
      <c r="K994" t="n">
        <v>0</v>
      </c>
      <c r="L994" t="n">
        <v>0</v>
      </c>
      <c r="M994" t="n">
        <v>0</v>
      </c>
      <c r="N994" t="n">
        <v>0</v>
      </c>
      <c r="O994" t="n">
        <v>0</v>
      </c>
      <c r="P994" t="n">
        <v>0</v>
      </c>
      <c r="Q994" t="n">
        <v>0</v>
      </c>
      <c r="R994" s="2" t="inlineStr"/>
    </row>
    <row r="995" ht="15" customHeight="1">
      <c r="A995" t="inlineStr">
        <is>
          <t>A 25654-2023</t>
        </is>
      </c>
      <c r="B995" s="1" t="n">
        <v>45089</v>
      </c>
      <c r="C995" s="1" t="n">
        <v>46076</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23125-2022</t>
        </is>
      </c>
      <c r="B996" s="1" t="n">
        <v>44719</v>
      </c>
      <c r="C996" s="1" t="n">
        <v>46076</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20121-2022</t>
        </is>
      </c>
      <c r="B997" s="1" t="n">
        <v>44698</v>
      </c>
      <c r="C997" s="1" t="n">
        <v>46076</v>
      </c>
      <c r="D997" t="inlineStr">
        <is>
          <t>STOCKHOLMS LÄN</t>
        </is>
      </c>
      <c r="E997" t="inlineStr">
        <is>
          <t>NORRTÄLJE</t>
        </is>
      </c>
      <c r="G997" t="n">
        <v>4.2</v>
      </c>
      <c r="H997" t="n">
        <v>0</v>
      </c>
      <c r="I997" t="n">
        <v>0</v>
      </c>
      <c r="J997" t="n">
        <v>0</v>
      </c>
      <c r="K997" t="n">
        <v>0</v>
      </c>
      <c r="L997" t="n">
        <v>0</v>
      </c>
      <c r="M997" t="n">
        <v>0</v>
      </c>
      <c r="N997" t="n">
        <v>0</v>
      </c>
      <c r="O997" t="n">
        <v>0</v>
      </c>
      <c r="P997" t="n">
        <v>0</v>
      </c>
      <c r="Q997" t="n">
        <v>0</v>
      </c>
      <c r="R997" s="2" t="inlineStr"/>
    </row>
    <row r="998" ht="15" customHeight="1">
      <c r="A998" t="inlineStr">
        <is>
          <t>A 33385-2024</t>
        </is>
      </c>
      <c r="B998" s="1" t="n">
        <v>45519</v>
      </c>
      <c r="C998" s="1" t="n">
        <v>46076</v>
      </c>
      <c r="D998" t="inlineStr">
        <is>
          <t>STOCKHOLMS LÄN</t>
        </is>
      </c>
      <c r="E998" t="inlineStr">
        <is>
          <t>NORRTÄLJE</t>
        </is>
      </c>
      <c r="G998" t="n">
        <v>1.7</v>
      </c>
      <c r="H998" t="n">
        <v>0</v>
      </c>
      <c r="I998" t="n">
        <v>0</v>
      </c>
      <c r="J998" t="n">
        <v>0</v>
      </c>
      <c r="K998" t="n">
        <v>0</v>
      </c>
      <c r="L998" t="n">
        <v>0</v>
      </c>
      <c r="M998" t="n">
        <v>0</v>
      </c>
      <c r="N998" t="n">
        <v>0</v>
      </c>
      <c r="O998" t="n">
        <v>0</v>
      </c>
      <c r="P998" t="n">
        <v>0</v>
      </c>
      <c r="Q998" t="n">
        <v>0</v>
      </c>
      <c r="R998" s="2" t="inlineStr"/>
    </row>
    <row r="999" ht="15" customHeight="1">
      <c r="A999" t="inlineStr">
        <is>
          <t>A 41172-2023</t>
        </is>
      </c>
      <c r="B999" s="1" t="n">
        <v>45170</v>
      </c>
      <c r="C999" s="1" t="n">
        <v>46076</v>
      </c>
      <c r="D999" t="inlineStr">
        <is>
          <t>STOCKHOLMS LÄN</t>
        </is>
      </c>
      <c r="E999" t="inlineStr">
        <is>
          <t>NORRTÄLJE</t>
        </is>
      </c>
      <c r="G999" t="n">
        <v>1.6</v>
      </c>
      <c r="H999" t="n">
        <v>0</v>
      </c>
      <c r="I999" t="n">
        <v>0</v>
      </c>
      <c r="J999" t="n">
        <v>0</v>
      </c>
      <c r="K999" t="n">
        <v>0</v>
      </c>
      <c r="L999" t="n">
        <v>0</v>
      </c>
      <c r="M999" t="n">
        <v>0</v>
      </c>
      <c r="N999" t="n">
        <v>0</v>
      </c>
      <c r="O999" t="n">
        <v>0</v>
      </c>
      <c r="P999" t="n">
        <v>0</v>
      </c>
      <c r="Q999" t="n">
        <v>0</v>
      </c>
      <c r="R999" s="2" t="inlineStr"/>
    </row>
    <row r="1000" ht="15" customHeight="1">
      <c r="A1000" t="inlineStr">
        <is>
          <t>A 73307-2021</t>
        </is>
      </c>
      <c r="B1000" s="1" t="n">
        <v>44549</v>
      </c>
      <c r="C1000" s="1" t="n">
        <v>46076</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50534-2024</t>
        </is>
      </c>
      <c r="B1001" s="1" t="n">
        <v>45601.56726851852</v>
      </c>
      <c r="C1001" s="1" t="n">
        <v>46076</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11988-2021</t>
        </is>
      </c>
      <c r="B1002" s="1" t="n">
        <v>44266</v>
      </c>
      <c r="C1002" s="1" t="n">
        <v>46076</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12132-2021</t>
        </is>
      </c>
      <c r="B1003" s="1" t="n">
        <v>44266</v>
      </c>
      <c r="C1003" s="1" t="n">
        <v>46076</v>
      </c>
      <c r="D1003" t="inlineStr">
        <is>
          <t>STOCKHOLMS LÄN</t>
        </is>
      </c>
      <c r="E1003" t="inlineStr">
        <is>
          <t>NORRTÄLJE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65499-2021</t>
        </is>
      </c>
      <c r="B1004" s="1" t="n">
        <v>44516</v>
      </c>
      <c r="C1004" s="1" t="n">
        <v>46076</v>
      </c>
      <c r="D1004" t="inlineStr">
        <is>
          <t>STOCKHOLMS LÄN</t>
        </is>
      </c>
      <c r="E1004" t="inlineStr">
        <is>
          <t>NORRTÄLJE</t>
        </is>
      </c>
      <c r="F1004" t="inlineStr">
        <is>
          <t>Kommuner</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65511-2021</t>
        </is>
      </c>
      <c r="B1005" s="1" t="n">
        <v>44516.40674768519</v>
      </c>
      <c r="C1005" s="1" t="n">
        <v>46076</v>
      </c>
      <c r="D1005" t="inlineStr">
        <is>
          <t>STOCKHOLMS LÄN</t>
        </is>
      </c>
      <c r="E1005" t="inlineStr">
        <is>
          <t>NORRTÄLJE</t>
        </is>
      </c>
      <c r="F1005" t="inlineStr">
        <is>
          <t>Kommuner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22833-2024</t>
        </is>
      </c>
      <c r="B1006" s="1" t="n">
        <v>45448.56746527777</v>
      </c>
      <c r="C1006" s="1" t="n">
        <v>46076</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32514-2022</t>
        </is>
      </c>
      <c r="B1007" s="1" t="n">
        <v>44782</v>
      </c>
      <c r="C1007" s="1" t="n">
        <v>46076</v>
      </c>
      <c r="D1007" t="inlineStr">
        <is>
          <t>STOCKHOLMS LÄN</t>
        </is>
      </c>
      <c r="E1007" t="inlineStr">
        <is>
          <t>NORRTÄLJE</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29362-2022</t>
        </is>
      </c>
      <c r="B1008" s="1" t="n">
        <v>44753</v>
      </c>
      <c r="C1008" s="1" t="n">
        <v>46076</v>
      </c>
      <c r="D1008" t="inlineStr">
        <is>
          <t>STOCKHOLMS LÄN</t>
        </is>
      </c>
      <c r="E1008" t="inlineStr">
        <is>
          <t>NORRTÄLJE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58492-2022</t>
        </is>
      </c>
      <c r="B1009" s="1" t="n">
        <v>44902</v>
      </c>
      <c r="C1009" s="1" t="n">
        <v>46076</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51315-2021</t>
        </is>
      </c>
      <c r="B1010" s="1" t="n">
        <v>44461</v>
      </c>
      <c r="C1010" s="1" t="n">
        <v>46076</v>
      </c>
      <c r="D1010" t="inlineStr">
        <is>
          <t>STOCKHOLMS LÄN</t>
        </is>
      </c>
      <c r="E1010" t="inlineStr">
        <is>
          <t>NORRTÄLJE</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14873-2025</t>
        </is>
      </c>
      <c r="B1011" s="1" t="n">
        <v>45743.44953703704</v>
      </c>
      <c r="C1011" s="1" t="n">
        <v>46076</v>
      </c>
      <c r="D1011" t="inlineStr">
        <is>
          <t>STOCKHOLMS LÄN</t>
        </is>
      </c>
      <c r="E1011" t="inlineStr">
        <is>
          <t>NORRTÄLJE</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34773-2022</t>
        </is>
      </c>
      <c r="B1012" s="1" t="n">
        <v>44795</v>
      </c>
      <c r="C1012" s="1" t="n">
        <v>46076</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33173-2024</t>
        </is>
      </c>
      <c r="B1013" s="1" t="n">
        <v>45518</v>
      </c>
      <c r="C1013" s="1" t="n">
        <v>46076</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4484-2025</t>
        </is>
      </c>
      <c r="B1014" s="1" t="n">
        <v>45686.65545138889</v>
      </c>
      <c r="C1014" s="1" t="n">
        <v>46076</v>
      </c>
      <c r="D1014" t="inlineStr">
        <is>
          <t>STOCKHOLMS LÄN</t>
        </is>
      </c>
      <c r="E1014" t="inlineStr">
        <is>
          <t>NORRTÄLJE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33878-2024</t>
        </is>
      </c>
      <c r="B1015" s="1" t="n">
        <v>45522.44414351852</v>
      </c>
      <c r="C1015" s="1" t="n">
        <v>46076</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9246-2024</t>
        </is>
      </c>
      <c r="B1016" s="1" t="n">
        <v>45357</v>
      </c>
      <c r="C1016" s="1" t="n">
        <v>46076</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35698-2023</t>
        </is>
      </c>
      <c r="B1017" s="1" t="n">
        <v>45147</v>
      </c>
      <c r="C1017" s="1" t="n">
        <v>46076</v>
      </c>
      <c r="D1017" t="inlineStr">
        <is>
          <t>STOCKHOLMS LÄN</t>
        </is>
      </c>
      <c r="E1017" t="inlineStr">
        <is>
          <t>NORRTÄLJE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62398-2022</t>
        </is>
      </c>
      <c r="B1018" s="1" t="n">
        <v>44923.90159722222</v>
      </c>
      <c r="C1018" s="1" t="n">
        <v>46076</v>
      </c>
      <c r="D1018" t="inlineStr">
        <is>
          <t>STOCKHOLMS LÄN</t>
        </is>
      </c>
      <c r="E1018" t="inlineStr">
        <is>
          <t>NORRTÄLJE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49700-2023</t>
        </is>
      </c>
      <c r="B1019" s="1" t="n">
        <v>45212</v>
      </c>
      <c r="C1019" s="1" t="n">
        <v>46076</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32071-2023</t>
        </is>
      </c>
      <c r="B1020" s="1" t="n">
        <v>45119.57728009259</v>
      </c>
      <c r="C1020" s="1" t="n">
        <v>46076</v>
      </c>
      <c r="D1020" t="inlineStr">
        <is>
          <t>STOCKHOLMS LÄN</t>
        </is>
      </c>
      <c r="E1020" t="inlineStr">
        <is>
          <t>NORRTÄLJE</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1425-2025</t>
        </is>
      </c>
      <c r="B1021" s="1" t="n">
        <v>45668.67446759259</v>
      </c>
      <c r="C1021" s="1" t="n">
        <v>46076</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17775-2022</t>
        </is>
      </c>
      <c r="B1022" s="1" t="n">
        <v>44682.78430555556</v>
      </c>
      <c r="C1022" s="1" t="n">
        <v>46076</v>
      </c>
      <c r="D1022" t="inlineStr">
        <is>
          <t>STOCKHOLMS LÄN</t>
        </is>
      </c>
      <c r="E1022" t="inlineStr">
        <is>
          <t>NORRTÄLJE</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38720-2022</t>
        </is>
      </c>
      <c r="B1023" s="1" t="n">
        <v>44815.74539351852</v>
      </c>
      <c r="C1023" s="1" t="n">
        <v>46076</v>
      </c>
      <c r="D1023" t="inlineStr">
        <is>
          <t>STOCKHOLMS LÄN</t>
        </is>
      </c>
      <c r="E1023" t="inlineStr">
        <is>
          <t>NORRTÄLJE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10215-2023</t>
        </is>
      </c>
      <c r="B1024" s="1" t="n">
        <v>44986.5887962963</v>
      </c>
      <c r="C1024" s="1" t="n">
        <v>46076</v>
      </c>
      <c r="D1024" t="inlineStr">
        <is>
          <t>STOCKHOLMS LÄN</t>
        </is>
      </c>
      <c r="E1024" t="inlineStr">
        <is>
          <t>NORRTÄLJE</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25609-2023</t>
        </is>
      </c>
      <c r="B1025" s="1" t="n">
        <v>45089</v>
      </c>
      <c r="C1025" s="1" t="n">
        <v>46076</v>
      </c>
      <c r="D1025" t="inlineStr">
        <is>
          <t>STOCKHOLMS LÄN</t>
        </is>
      </c>
      <c r="E1025" t="inlineStr">
        <is>
          <t>NORRTÄLJE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20014-2025</t>
        </is>
      </c>
      <c r="B1026" s="1" t="n">
        <v>45772.3078125</v>
      </c>
      <c r="C1026" s="1" t="n">
        <v>46076</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20136-2025</t>
        </is>
      </c>
      <c r="B1027" s="1" t="n">
        <v>45772.51127314815</v>
      </c>
      <c r="C1027" s="1" t="n">
        <v>46076</v>
      </c>
      <c r="D1027" t="inlineStr">
        <is>
          <t>STOCKHOLMS LÄN</t>
        </is>
      </c>
      <c r="E1027" t="inlineStr">
        <is>
          <t>NORRTÄLJE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2287-2024</t>
        </is>
      </c>
      <c r="B1028" s="1" t="n">
        <v>45310</v>
      </c>
      <c r="C1028" s="1" t="n">
        <v>46076</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13785-2024</t>
        </is>
      </c>
      <c r="B1029" s="1" t="n">
        <v>45391.3395949074</v>
      </c>
      <c r="C1029" s="1" t="n">
        <v>46076</v>
      </c>
      <c r="D1029" t="inlineStr">
        <is>
          <t>STOCKHOLMS LÄN</t>
        </is>
      </c>
      <c r="E1029" t="inlineStr">
        <is>
          <t>NORRTÄLJE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50469-2022</t>
        </is>
      </c>
      <c r="B1030" s="1" t="n">
        <v>44866.49827546296</v>
      </c>
      <c r="C1030" s="1" t="n">
        <v>46076</v>
      </c>
      <c r="D1030" t="inlineStr">
        <is>
          <t>STOCKHOLMS LÄN</t>
        </is>
      </c>
      <c r="E1030" t="inlineStr">
        <is>
          <t>NORRTÄLJE</t>
        </is>
      </c>
      <c r="G1030" t="n">
        <v>8.199999999999999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51116-2022</t>
        </is>
      </c>
      <c r="B1031" s="1" t="n">
        <v>44868.45741898148</v>
      </c>
      <c r="C1031" s="1" t="n">
        <v>46076</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60217-2021</t>
        </is>
      </c>
      <c r="B1032" s="1" t="n">
        <v>44495.5893287037</v>
      </c>
      <c r="C1032" s="1" t="n">
        <v>46076</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5839-2023</t>
        </is>
      </c>
      <c r="B1033" s="1" t="n">
        <v>44963</v>
      </c>
      <c r="C1033" s="1" t="n">
        <v>46076</v>
      </c>
      <c r="D1033" t="inlineStr">
        <is>
          <t>STOCKHOLMS LÄN</t>
        </is>
      </c>
      <c r="E1033" t="inlineStr">
        <is>
          <t>NORRTÄLJE</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38985-2022</t>
        </is>
      </c>
      <c r="B1034" s="1" t="n">
        <v>44816</v>
      </c>
      <c r="C1034" s="1" t="n">
        <v>46076</v>
      </c>
      <c r="D1034" t="inlineStr">
        <is>
          <t>STOCKHOLMS LÄN</t>
        </is>
      </c>
      <c r="E1034" t="inlineStr">
        <is>
          <t>NORRTÄLJE</t>
        </is>
      </c>
      <c r="G1034" t="n">
        <v>10.1</v>
      </c>
      <c r="H1034" t="n">
        <v>0</v>
      </c>
      <c r="I1034" t="n">
        <v>0</v>
      </c>
      <c r="J1034" t="n">
        <v>0</v>
      </c>
      <c r="K1034" t="n">
        <v>0</v>
      </c>
      <c r="L1034" t="n">
        <v>0</v>
      </c>
      <c r="M1034" t="n">
        <v>0</v>
      </c>
      <c r="N1034" t="n">
        <v>0</v>
      </c>
      <c r="O1034" t="n">
        <v>0</v>
      </c>
      <c r="P1034" t="n">
        <v>0</v>
      </c>
      <c r="Q1034" t="n">
        <v>0</v>
      </c>
      <c r="R1034" s="2" t="inlineStr"/>
    </row>
    <row r="1035" ht="15" customHeight="1">
      <c r="A1035" t="inlineStr">
        <is>
          <t>A 5665-2025</t>
        </is>
      </c>
      <c r="B1035" s="1" t="n">
        <v>45693</v>
      </c>
      <c r="C1035" s="1" t="n">
        <v>46076</v>
      </c>
      <c r="D1035" t="inlineStr">
        <is>
          <t>STOCKHOLMS LÄN</t>
        </is>
      </c>
      <c r="E1035" t="inlineStr">
        <is>
          <t>NORRTÄLJE</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3426-2025</t>
        </is>
      </c>
      <c r="B1036" s="1" t="n">
        <v>45680.42665509259</v>
      </c>
      <c r="C1036" s="1" t="n">
        <v>46076</v>
      </c>
      <c r="D1036" t="inlineStr">
        <is>
          <t>STOCKHOLMS LÄN</t>
        </is>
      </c>
      <c r="E1036" t="inlineStr">
        <is>
          <t>NORRTÄLJE</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58530-2024</t>
        </is>
      </c>
      <c r="B1037" s="1" t="n">
        <v>45635.44788194444</v>
      </c>
      <c r="C1037" s="1" t="n">
        <v>46076</v>
      </c>
      <c r="D1037" t="inlineStr">
        <is>
          <t>STOCKHOLMS LÄN</t>
        </is>
      </c>
      <c r="E1037" t="inlineStr">
        <is>
          <t>NORRTÄLJE</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22421-2021</t>
        </is>
      </c>
      <c r="B1038" s="1" t="n">
        <v>44326</v>
      </c>
      <c r="C1038" s="1" t="n">
        <v>46076</v>
      </c>
      <c r="D1038" t="inlineStr">
        <is>
          <t>STOCKHOLMS LÄN</t>
        </is>
      </c>
      <c r="E1038" t="inlineStr">
        <is>
          <t>NORRTÄLJE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40761-2024</t>
        </is>
      </c>
      <c r="B1039" s="1" t="n">
        <v>45558.46283564815</v>
      </c>
      <c r="C1039" s="1" t="n">
        <v>46076</v>
      </c>
      <c r="D1039" t="inlineStr">
        <is>
          <t>STOCKHOLMS LÄN</t>
        </is>
      </c>
      <c r="E1039" t="inlineStr">
        <is>
          <t>NORRTÄLJE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4553-2023</t>
        </is>
      </c>
      <c r="B1040" s="1" t="n">
        <v>44956.65920138889</v>
      </c>
      <c r="C1040" s="1" t="n">
        <v>46076</v>
      </c>
      <c r="D1040" t="inlineStr">
        <is>
          <t>STOCKHOLMS LÄN</t>
        </is>
      </c>
      <c r="E1040" t="inlineStr">
        <is>
          <t>NORRTÄLJE</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4593-2023</t>
        </is>
      </c>
      <c r="B1041" s="1" t="n">
        <v>44956</v>
      </c>
      <c r="C1041" s="1" t="n">
        <v>46076</v>
      </c>
      <c r="D1041" t="inlineStr">
        <is>
          <t>STOCKHOLMS LÄN</t>
        </is>
      </c>
      <c r="E1041" t="inlineStr">
        <is>
          <t>NORRTÄLJE</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13171-2025</t>
        </is>
      </c>
      <c r="B1042" s="1" t="n">
        <v>45735.36594907408</v>
      </c>
      <c r="C1042" s="1" t="n">
        <v>46076</v>
      </c>
      <c r="D1042" t="inlineStr">
        <is>
          <t>STOCKHOLMS LÄN</t>
        </is>
      </c>
      <c r="E1042" t="inlineStr">
        <is>
          <t>NORRTÄLJE</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51978-2023</t>
        </is>
      </c>
      <c r="B1043" s="1" t="n">
        <v>45223</v>
      </c>
      <c r="C1043" s="1" t="n">
        <v>46076</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18092-2022</t>
        </is>
      </c>
      <c r="B1044" s="1" t="n">
        <v>44684</v>
      </c>
      <c r="C1044" s="1" t="n">
        <v>46076</v>
      </c>
      <c r="D1044" t="inlineStr">
        <is>
          <t>STOCKHOLMS LÄN</t>
        </is>
      </c>
      <c r="E1044" t="inlineStr">
        <is>
          <t>NORRTÄLJE</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59310-2023</t>
        </is>
      </c>
      <c r="B1045" s="1" t="n">
        <v>45253.61146990741</v>
      </c>
      <c r="C1045" s="1" t="n">
        <v>46076</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9329-2023</t>
        </is>
      </c>
      <c r="B1046" s="1" t="n">
        <v>44980</v>
      </c>
      <c r="C1046" s="1" t="n">
        <v>46076</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59878-2024</t>
        </is>
      </c>
      <c r="B1047" s="1" t="n">
        <v>45640.60240740741</v>
      </c>
      <c r="C1047" s="1" t="n">
        <v>46076</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41335-2023</t>
        </is>
      </c>
      <c r="B1048" s="1" t="n">
        <v>45174.68702546296</v>
      </c>
      <c r="C1048" s="1" t="n">
        <v>46076</v>
      </c>
      <c r="D1048" t="inlineStr">
        <is>
          <t>STOCKHOLMS LÄN</t>
        </is>
      </c>
      <c r="E1048" t="inlineStr">
        <is>
          <t>NORRTÄLJE</t>
        </is>
      </c>
      <c r="F1048" t="inlineStr">
        <is>
          <t>Holmen skog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33040-2021</t>
        </is>
      </c>
      <c r="B1049" s="1" t="n">
        <v>44376.50728009259</v>
      </c>
      <c r="C1049" s="1" t="n">
        <v>46076</v>
      </c>
      <c r="D1049" t="inlineStr">
        <is>
          <t>STOCKHOLMS LÄN</t>
        </is>
      </c>
      <c r="E1049" t="inlineStr">
        <is>
          <t>NORRTÄLJE</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33053-2021</t>
        </is>
      </c>
      <c r="B1050" s="1" t="n">
        <v>44376</v>
      </c>
      <c r="C1050" s="1" t="n">
        <v>46076</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43150-2023</t>
        </is>
      </c>
      <c r="B1051" s="1" t="n">
        <v>45183</v>
      </c>
      <c r="C1051" s="1" t="n">
        <v>46076</v>
      </c>
      <c r="D1051" t="inlineStr">
        <is>
          <t>STOCKHOLMS LÄN</t>
        </is>
      </c>
      <c r="E1051" t="inlineStr">
        <is>
          <t>NORRTÄLJE</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54259-2023</t>
        </is>
      </c>
      <c r="B1052" s="1" t="n">
        <v>45232</v>
      </c>
      <c r="C1052" s="1" t="n">
        <v>46076</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60822-2023</t>
        </is>
      </c>
      <c r="B1053" s="1" t="n">
        <v>45259</v>
      </c>
      <c r="C1053" s="1" t="n">
        <v>46076</v>
      </c>
      <c r="D1053" t="inlineStr">
        <is>
          <t>STOCKHOLMS LÄN</t>
        </is>
      </c>
      <c r="E1053" t="inlineStr">
        <is>
          <t>NORRTÄLJE</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12031-2021</t>
        </is>
      </c>
      <c r="B1054" s="1" t="n">
        <v>44266</v>
      </c>
      <c r="C1054" s="1" t="n">
        <v>46076</v>
      </c>
      <c r="D1054" t="inlineStr">
        <is>
          <t>STOCKHOLMS LÄN</t>
        </is>
      </c>
      <c r="E1054" t="inlineStr">
        <is>
          <t>NORRTÄLJE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27381-2024</t>
        </is>
      </c>
      <c r="B1055" s="1" t="n">
        <v>45473.94501157408</v>
      </c>
      <c r="C1055" s="1" t="n">
        <v>46076</v>
      </c>
      <c r="D1055" t="inlineStr">
        <is>
          <t>STOCKHOLMS LÄN</t>
        </is>
      </c>
      <c r="E1055" t="inlineStr">
        <is>
          <t>NORRTÄLJE</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23265-2023</t>
        </is>
      </c>
      <c r="B1056" s="1" t="n">
        <v>45075.90703703704</v>
      </c>
      <c r="C1056" s="1" t="n">
        <v>46076</v>
      </c>
      <c r="D1056" t="inlineStr">
        <is>
          <t>STOCKHOLMS LÄN</t>
        </is>
      </c>
      <c r="E1056" t="inlineStr">
        <is>
          <t>NORRTÄLJE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26117-2024</t>
        </is>
      </c>
      <c r="B1057" s="1" t="n">
        <v>45468.45877314815</v>
      </c>
      <c r="C1057" s="1" t="n">
        <v>46076</v>
      </c>
      <c r="D1057" t="inlineStr">
        <is>
          <t>STOCKHOLMS LÄN</t>
        </is>
      </c>
      <c r="E1057" t="inlineStr">
        <is>
          <t>NORRTÄLJE</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20336-2024</t>
        </is>
      </c>
      <c r="B1058" s="1" t="n">
        <v>45435.43123842592</v>
      </c>
      <c r="C1058" s="1" t="n">
        <v>46076</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1847-2023</t>
        </is>
      </c>
      <c r="B1059" s="1" t="n">
        <v>44938</v>
      </c>
      <c r="C1059" s="1" t="n">
        <v>46076</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59721-2024</t>
        </is>
      </c>
      <c r="B1060" s="1" t="n">
        <v>45639.47385416667</v>
      </c>
      <c r="C1060" s="1" t="n">
        <v>46076</v>
      </c>
      <c r="D1060" t="inlineStr">
        <is>
          <t>STOCKHOLMS LÄN</t>
        </is>
      </c>
      <c r="E1060" t="inlineStr">
        <is>
          <t>NORRTÄLJE</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37010-2022</t>
        </is>
      </c>
      <c r="B1061" s="1" t="n">
        <v>44806.41576388889</v>
      </c>
      <c r="C1061" s="1" t="n">
        <v>46076</v>
      </c>
      <c r="D1061" t="inlineStr">
        <is>
          <t>STOCKHOLMS LÄN</t>
        </is>
      </c>
      <c r="E1061" t="inlineStr">
        <is>
          <t>NORRTÄLJE</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951-2023</t>
        </is>
      </c>
      <c r="B1062" s="1" t="n">
        <v>44934</v>
      </c>
      <c r="C1062" s="1" t="n">
        <v>46076</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5423-2023</t>
        </is>
      </c>
      <c r="B1063" s="1" t="n">
        <v>44959.74533564815</v>
      </c>
      <c r="C1063" s="1" t="n">
        <v>46076</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50182-2024</t>
        </is>
      </c>
      <c r="B1064" s="1" t="n">
        <v>45600.47275462963</v>
      </c>
      <c r="C1064" s="1" t="n">
        <v>46076</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12629-2024</t>
        </is>
      </c>
      <c r="B1065" s="1" t="n">
        <v>45383</v>
      </c>
      <c r="C1065" s="1" t="n">
        <v>46076</v>
      </c>
      <c r="D1065" t="inlineStr">
        <is>
          <t>STOCKHOLMS LÄN</t>
        </is>
      </c>
      <c r="E1065" t="inlineStr">
        <is>
          <t>NORRTÄLJE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35708-2022</t>
        </is>
      </c>
      <c r="B1066" s="1" t="n">
        <v>44799.65013888889</v>
      </c>
      <c r="C1066" s="1" t="n">
        <v>46076</v>
      </c>
      <c r="D1066" t="inlineStr">
        <is>
          <t>STOCKHOLMS LÄN</t>
        </is>
      </c>
      <c r="E1066" t="inlineStr">
        <is>
          <t>NORRTÄLJE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45220-2024</t>
        </is>
      </c>
      <c r="B1067" s="1" t="n">
        <v>45575</v>
      </c>
      <c r="C1067" s="1" t="n">
        <v>46076</v>
      </c>
      <c r="D1067" t="inlineStr">
        <is>
          <t>STOCKHOLMS LÄN</t>
        </is>
      </c>
      <c r="E1067" t="inlineStr">
        <is>
          <t>NORRTÄLJE</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21731-2023</t>
        </is>
      </c>
      <c r="B1068" s="1" t="n">
        <v>45063</v>
      </c>
      <c r="C1068" s="1" t="n">
        <v>46076</v>
      </c>
      <c r="D1068" t="inlineStr">
        <is>
          <t>STOCKHOLMS LÄN</t>
        </is>
      </c>
      <c r="E1068" t="inlineStr">
        <is>
          <t>NORRTÄLJE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23266-2023</t>
        </is>
      </c>
      <c r="B1069" s="1" t="n">
        <v>45075.90817129629</v>
      </c>
      <c r="C1069" s="1" t="n">
        <v>46076</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47521-2024</t>
        </is>
      </c>
      <c r="B1070" s="1" t="n">
        <v>45587.62565972222</v>
      </c>
      <c r="C1070" s="1" t="n">
        <v>46076</v>
      </c>
      <c r="D1070" t="inlineStr">
        <is>
          <t>STOCKHOLMS LÄN</t>
        </is>
      </c>
      <c r="E1070" t="inlineStr">
        <is>
          <t>NORRTÄLJE</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58260-2023</t>
        </is>
      </c>
      <c r="B1071" s="1" t="n">
        <v>45245</v>
      </c>
      <c r="C1071" s="1" t="n">
        <v>46076</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58261-2023</t>
        </is>
      </c>
      <c r="B1072" s="1" t="n">
        <v>45245</v>
      </c>
      <c r="C1072" s="1" t="n">
        <v>46076</v>
      </c>
      <c r="D1072" t="inlineStr">
        <is>
          <t>STOCKHOLMS LÄN</t>
        </is>
      </c>
      <c r="E1072" t="inlineStr">
        <is>
          <t>NORRTÄLJE</t>
        </is>
      </c>
      <c r="G1072" t="n">
        <v>53.5</v>
      </c>
      <c r="H1072" t="n">
        <v>0</v>
      </c>
      <c r="I1072" t="n">
        <v>0</v>
      </c>
      <c r="J1072" t="n">
        <v>0</v>
      </c>
      <c r="K1072" t="n">
        <v>0</v>
      </c>
      <c r="L1072" t="n">
        <v>0</v>
      </c>
      <c r="M1072" t="n">
        <v>0</v>
      </c>
      <c r="N1072" t="n">
        <v>0</v>
      </c>
      <c r="O1072" t="n">
        <v>0</v>
      </c>
      <c r="P1072" t="n">
        <v>0</v>
      </c>
      <c r="Q1072" t="n">
        <v>0</v>
      </c>
      <c r="R1072" s="2" t="inlineStr"/>
    </row>
    <row r="1073" ht="15" customHeight="1">
      <c r="A1073" t="inlineStr">
        <is>
          <t>A 29266-2022</t>
        </is>
      </c>
      <c r="B1073" s="1" t="n">
        <v>44750.66068287037</v>
      </c>
      <c r="C1073" s="1" t="n">
        <v>46076</v>
      </c>
      <c r="D1073" t="inlineStr">
        <is>
          <t>STOCKHOLMS LÄN</t>
        </is>
      </c>
      <c r="E1073" t="inlineStr">
        <is>
          <t>NORRTÄLJE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29278-2022</t>
        </is>
      </c>
      <c r="B1074" s="1" t="n">
        <v>44750</v>
      </c>
      <c r="C1074" s="1" t="n">
        <v>46076</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37273-2024</t>
        </is>
      </c>
      <c r="B1075" s="1" t="n">
        <v>45540</v>
      </c>
      <c r="C1075" s="1" t="n">
        <v>46076</v>
      </c>
      <c r="D1075" t="inlineStr">
        <is>
          <t>STOCKHOLMS LÄN</t>
        </is>
      </c>
      <c r="E1075" t="inlineStr">
        <is>
          <t>NORRTÄLJE</t>
        </is>
      </c>
      <c r="F1075" t="inlineStr">
        <is>
          <t>Sveaskog</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12908-2025</t>
        </is>
      </c>
      <c r="B1076" s="1" t="n">
        <v>45733.82105324074</v>
      </c>
      <c r="C1076" s="1" t="n">
        <v>46076</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23060-2023</t>
        </is>
      </c>
      <c r="B1077" s="1" t="n">
        <v>45075</v>
      </c>
      <c r="C1077" s="1" t="n">
        <v>46076</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32103-2022</t>
        </is>
      </c>
      <c r="B1078" s="1" t="n">
        <v>44778</v>
      </c>
      <c r="C1078" s="1" t="n">
        <v>46076</v>
      </c>
      <c r="D1078" t="inlineStr">
        <is>
          <t>STOCKHOLMS LÄN</t>
        </is>
      </c>
      <c r="E1078" t="inlineStr">
        <is>
          <t>NORRTÄLJE</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6401-2024</t>
        </is>
      </c>
      <c r="B1079" s="1" t="n">
        <v>45338</v>
      </c>
      <c r="C1079" s="1" t="n">
        <v>46076</v>
      </c>
      <c r="D1079" t="inlineStr">
        <is>
          <t>STOCKHOLMS LÄN</t>
        </is>
      </c>
      <c r="E1079" t="inlineStr">
        <is>
          <t>NORRTÄLJE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59504-2023</t>
        </is>
      </c>
      <c r="B1080" s="1" t="n">
        <v>45254</v>
      </c>
      <c r="C1080" s="1" t="n">
        <v>46076</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52321-2024</t>
        </is>
      </c>
      <c r="B1081" s="1" t="n">
        <v>45608</v>
      </c>
      <c r="C1081" s="1" t="n">
        <v>46076</v>
      </c>
      <c r="D1081" t="inlineStr">
        <is>
          <t>STOCKHOLMS LÄN</t>
        </is>
      </c>
      <c r="E1081" t="inlineStr">
        <is>
          <t>NORRTÄLJE</t>
        </is>
      </c>
      <c r="G1081" t="n">
        <v>18.1</v>
      </c>
      <c r="H1081" t="n">
        <v>0</v>
      </c>
      <c r="I1081" t="n">
        <v>0</v>
      </c>
      <c r="J1081" t="n">
        <v>0</v>
      </c>
      <c r="K1081" t="n">
        <v>0</v>
      </c>
      <c r="L1081" t="n">
        <v>0</v>
      </c>
      <c r="M1081" t="n">
        <v>0</v>
      </c>
      <c r="N1081" t="n">
        <v>0</v>
      </c>
      <c r="O1081" t="n">
        <v>0</v>
      </c>
      <c r="P1081" t="n">
        <v>0</v>
      </c>
      <c r="Q1081" t="n">
        <v>0</v>
      </c>
      <c r="R1081" s="2" t="inlineStr"/>
    </row>
    <row r="1082" ht="15" customHeight="1">
      <c r="A1082" t="inlineStr">
        <is>
          <t>A 48151-2024</t>
        </is>
      </c>
      <c r="B1082" s="1" t="n">
        <v>45589.68289351852</v>
      </c>
      <c r="C1082" s="1" t="n">
        <v>46076</v>
      </c>
      <c r="D1082" t="inlineStr">
        <is>
          <t>STOCKHOLMS LÄN</t>
        </is>
      </c>
      <c r="E1082" t="inlineStr">
        <is>
          <t>NORRTÄLJE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20370-2025</t>
        </is>
      </c>
      <c r="B1083" s="1" t="n">
        <v>45775.41451388889</v>
      </c>
      <c r="C1083" s="1" t="n">
        <v>46076</v>
      </c>
      <c r="D1083" t="inlineStr">
        <is>
          <t>STOCKHOLMS LÄN</t>
        </is>
      </c>
      <c r="E1083" t="inlineStr">
        <is>
          <t>NORRTÄLJE</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19580-2022</t>
        </is>
      </c>
      <c r="B1084" s="1" t="n">
        <v>44693</v>
      </c>
      <c r="C1084" s="1" t="n">
        <v>46076</v>
      </c>
      <c r="D1084" t="inlineStr">
        <is>
          <t>STOCKHOLMS LÄN</t>
        </is>
      </c>
      <c r="E1084" t="inlineStr">
        <is>
          <t>NORRTÄLJE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30731-2023</t>
        </is>
      </c>
      <c r="B1085" s="1" t="n">
        <v>45112</v>
      </c>
      <c r="C1085" s="1" t="n">
        <v>46076</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4580-2025</t>
        </is>
      </c>
      <c r="B1086" s="1" t="n">
        <v>45687.5038425926</v>
      </c>
      <c r="C1086" s="1" t="n">
        <v>46076</v>
      </c>
      <c r="D1086" t="inlineStr">
        <is>
          <t>STOCKHOLMS LÄN</t>
        </is>
      </c>
      <c r="E1086" t="inlineStr">
        <is>
          <t>NORRTÄLJE</t>
        </is>
      </c>
      <c r="F1086" t="inlineStr">
        <is>
          <t>Holmen skog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31057-2022</t>
        </is>
      </c>
      <c r="B1087" s="1" t="n">
        <v>44769</v>
      </c>
      <c r="C1087" s="1" t="n">
        <v>46076</v>
      </c>
      <c r="D1087" t="inlineStr">
        <is>
          <t>STOCKHOLMS LÄN</t>
        </is>
      </c>
      <c r="E1087" t="inlineStr">
        <is>
          <t>NORRTÄLJE</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31140-2023</t>
        </is>
      </c>
      <c r="B1088" s="1" t="n">
        <v>45113</v>
      </c>
      <c r="C1088" s="1" t="n">
        <v>46076</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31149-2023</t>
        </is>
      </c>
      <c r="B1089" s="1" t="n">
        <v>45113</v>
      </c>
      <c r="C1089" s="1" t="n">
        <v>46076</v>
      </c>
      <c r="D1089" t="inlineStr">
        <is>
          <t>STOCKHOLMS LÄN</t>
        </is>
      </c>
      <c r="E1089" t="inlineStr">
        <is>
          <t>NORRTÄLJE</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4658-2024</t>
        </is>
      </c>
      <c r="B1090" s="1" t="n">
        <v>45328.46336805556</v>
      </c>
      <c r="C1090" s="1" t="n">
        <v>46076</v>
      </c>
      <c r="D1090" t="inlineStr">
        <is>
          <t>STOCKHOLMS LÄN</t>
        </is>
      </c>
      <c r="E1090" t="inlineStr">
        <is>
          <t>NORRTÄLJE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19131-2025</t>
        </is>
      </c>
      <c r="B1091" s="1" t="n">
        <v>45769</v>
      </c>
      <c r="C1091" s="1" t="n">
        <v>46076</v>
      </c>
      <c r="D1091" t="inlineStr">
        <is>
          <t>STOCKHOLMS LÄN</t>
        </is>
      </c>
      <c r="E1091" t="inlineStr">
        <is>
          <t>NORRTÄLJE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7571-2024</t>
        </is>
      </c>
      <c r="B1092" s="1" t="n">
        <v>45348.46300925926</v>
      </c>
      <c r="C1092" s="1" t="n">
        <v>46076</v>
      </c>
      <c r="D1092" t="inlineStr">
        <is>
          <t>STOCKHOLMS LÄN</t>
        </is>
      </c>
      <c r="E1092" t="inlineStr">
        <is>
          <t>NORRTÄLJE</t>
        </is>
      </c>
      <c r="F1092" t="inlineStr">
        <is>
          <t>Holmen skog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11849-2025</t>
        </is>
      </c>
      <c r="B1093" s="1" t="n">
        <v>45728.38409722222</v>
      </c>
      <c r="C1093" s="1" t="n">
        <v>46076</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40425-2021</t>
        </is>
      </c>
      <c r="B1094" s="1" t="n">
        <v>44419</v>
      </c>
      <c r="C1094" s="1" t="n">
        <v>46076</v>
      </c>
      <c r="D1094" t="inlineStr">
        <is>
          <t>STOCKHOLMS LÄN</t>
        </is>
      </c>
      <c r="E1094" t="inlineStr">
        <is>
          <t>NORRTÄLJE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58990-2021</t>
        </is>
      </c>
      <c r="B1095" s="1" t="n">
        <v>44490.03621527777</v>
      </c>
      <c r="C1095" s="1" t="n">
        <v>46076</v>
      </c>
      <c r="D1095" t="inlineStr">
        <is>
          <t>STOCKHOLMS LÄN</t>
        </is>
      </c>
      <c r="E1095" t="inlineStr">
        <is>
          <t>NORRTÄLJE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20790-2025</t>
        </is>
      </c>
      <c r="B1096" s="1" t="n">
        <v>45776.62563657408</v>
      </c>
      <c r="C1096" s="1" t="n">
        <v>46076</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20699-2025</t>
        </is>
      </c>
      <c r="B1097" s="1" t="n">
        <v>45776.47346064815</v>
      </c>
      <c r="C1097" s="1" t="n">
        <v>46076</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3152-2024</t>
        </is>
      </c>
      <c r="B1098" s="1" t="n">
        <v>45316.60306712963</v>
      </c>
      <c r="C1098" s="1" t="n">
        <v>46076</v>
      </c>
      <c r="D1098" t="inlineStr">
        <is>
          <t>STOCKHOLMS LÄN</t>
        </is>
      </c>
      <c r="E1098" t="inlineStr">
        <is>
          <t>NORRTÄLJE</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59326-2023</t>
        </is>
      </c>
      <c r="B1099" s="1" t="n">
        <v>45253.63089120371</v>
      </c>
      <c r="C1099" s="1" t="n">
        <v>46076</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44836-2023</t>
        </is>
      </c>
      <c r="B1100" s="1" t="n">
        <v>45190.55609953704</v>
      </c>
      <c r="C1100" s="1" t="n">
        <v>46076</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20779-2025</t>
        </is>
      </c>
      <c r="B1101" s="1" t="n">
        <v>45776.59871527777</v>
      </c>
      <c r="C1101" s="1" t="n">
        <v>46076</v>
      </c>
      <c r="D1101" t="inlineStr">
        <is>
          <t>STOCKHOLMS LÄN</t>
        </is>
      </c>
      <c r="E1101" t="inlineStr">
        <is>
          <t>NORRTÄLJE</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21771-2025</t>
        </is>
      </c>
      <c r="B1102" s="1" t="n">
        <v>45783</v>
      </c>
      <c r="C1102" s="1" t="n">
        <v>46076</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21778-2025</t>
        </is>
      </c>
      <c r="B1103" s="1" t="n">
        <v>45783.66429398148</v>
      </c>
      <c r="C1103" s="1" t="n">
        <v>46076</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22202-2025</t>
        </is>
      </c>
      <c r="B1104" s="1" t="n">
        <v>45785.65300925926</v>
      </c>
      <c r="C1104" s="1" t="n">
        <v>46076</v>
      </c>
      <c r="D1104" t="inlineStr">
        <is>
          <t>STOCKHOLMS LÄN</t>
        </is>
      </c>
      <c r="E1104" t="inlineStr">
        <is>
          <t>NORRTÄLJE</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16620-2024</t>
        </is>
      </c>
      <c r="B1105" s="1" t="n">
        <v>45408.57707175926</v>
      </c>
      <c r="C1105" s="1" t="n">
        <v>46076</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22416-2025</t>
        </is>
      </c>
      <c r="B1106" s="1" t="n">
        <v>45786.55645833333</v>
      </c>
      <c r="C1106" s="1" t="n">
        <v>46076</v>
      </c>
      <c r="D1106" t="inlineStr">
        <is>
          <t>STOCKHOLMS LÄN</t>
        </is>
      </c>
      <c r="E1106" t="inlineStr">
        <is>
          <t>NORRTÄLJE</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58785-2024</t>
        </is>
      </c>
      <c r="B1107" s="1" t="n">
        <v>45635.88849537037</v>
      </c>
      <c r="C1107" s="1" t="n">
        <v>46076</v>
      </c>
      <c r="D1107" t="inlineStr">
        <is>
          <t>STOCKHOLMS LÄN</t>
        </is>
      </c>
      <c r="E1107" t="inlineStr">
        <is>
          <t>NORRTÄLJE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2182-2022</t>
        </is>
      </c>
      <c r="B1108" s="1" t="n">
        <v>44578</v>
      </c>
      <c r="C1108" s="1" t="n">
        <v>46076</v>
      </c>
      <c r="D1108" t="inlineStr">
        <is>
          <t>STOCKHOLMS LÄN</t>
        </is>
      </c>
      <c r="E1108" t="inlineStr">
        <is>
          <t>NORRTÄLJE</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13268-2025</t>
        </is>
      </c>
      <c r="B1109" s="1" t="n">
        <v>45735</v>
      </c>
      <c r="C1109" s="1" t="n">
        <v>46076</v>
      </c>
      <c r="D1109" t="inlineStr">
        <is>
          <t>STOCKHOLMS LÄN</t>
        </is>
      </c>
      <c r="E1109" t="inlineStr">
        <is>
          <t>NORRTÄLJE</t>
        </is>
      </c>
      <c r="G1109" t="n">
        <v>11.4</v>
      </c>
      <c r="H1109" t="n">
        <v>0</v>
      </c>
      <c r="I1109" t="n">
        <v>0</v>
      </c>
      <c r="J1109" t="n">
        <v>0</v>
      </c>
      <c r="K1109" t="n">
        <v>0</v>
      </c>
      <c r="L1109" t="n">
        <v>0</v>
      </c>
      <c r="M1109" t="n">
        <v>0</v>
      </c>
      <c r="N1109" t="n">
        <v>0</v>
      </c>
      <c r="O1109" t="n">
        <v>0</v>
      </c>
      <c r="P1109" t="n">
        <v>0</v>
      </c>
      <c r="Q1109" t="n">
        <v>0</v>
      </c>
      <c r="R1109" s="2" t="inlineStr"/>
    </row>
    <row r="1110" ht="15" customHeight="1">
      <c r="A1110" t="inlineStr">
        <is>
          <t>A 8414-2025</t>
        </is>
      </c>
      <c r="B1110" s="1" t="n">
        <v>45709.39361111111</v>
      </c>
      <c r="C1110" s="1" t="n">
        <v>46076</v>
      </c>
      <c r="D1110" t="inlineStr">
        <is>
          <t>STOCKHOLMS LÄN</t>
        </is>
      </c>
      <c r="E1110" t="inlineStr">
        <is>
          <t>NORRTÄLJE</t>
        </is>
      </c>
      <c r="F1110" t="inlineStr">
        <is>
          <t>Holmen skog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36625-2024</t>
        </is>
      </c>
      <c r="B1111" s="1" t="n">
        <v>45537</v>
      </c>
      <c r="C1111" s="1" t="n">
        <v>46076</v>
      </c>
      <c r="D1111" t="inlineStr">
        <is>
          <t>STOCKHOLMS LÄN</t>
        </is>
      </c>
      <c r="E1111" t="inlineStr">
        <is>
          <t>NORRTÄLJE</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44891-2023</t>
        </is>
      </c>
      <c r="B1112" s="1" t="n">
        <v>45187</v>
      </c>
      <c r="C1112" s="1" t="n">
        <v>46076</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12902-2024</t>
        </is>
      </c>
      <c r="B1113" s="1" t="n">
        <v>45385.38146990741</v>
      </c>
      <c r="C1113" s="1" t="n">
        <v>46076</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44032-2024</t>
        </is>
      </c>
      <c r="B1114" s="1" t="n">
        <v>45572.57828703704</v>
      </c>
      <c r="C1114" s="1" t="n">
        <v>46076</v>
      </c>
      <c r="D1114" t="inlineStr">
        <is>
          <t>STOCKHOLMS LÄN</t>
        </is>
      </c>
      <c r="E1114" t="inlineStr">
        <is>
          <t>NORRTÄLJE</t>
        </is>
      </c>
      <c r="G1114" t="n">
        <v>8.6</v>
      </c>
      <c r="H1114" t="n">
        <v>0</v>
      </c>
      <c r="I1114" t="n">
        <v>0</v>
      </c>
      <c r="J1114" t="n">
        <v>0</v>
      </c>
      <c r="K1114" t="n">
        <v>0</v>
      </c>
      <c r="L1114" t="n">
        <v>0</v>
      </c>
      <c r="M1114" t="n">
        <v>0</v>
      </c>
      <c r="N1114" t="n">
        <v>0</v>
      </c>
      <c r="O1114" t="n">
        <v>0</v>
      </c>
      <c r="P1114" t="n">
        <v>0</v>
      </c>
      <c r="Q1114" t="n">
        <v>0</v>
      </c>
      <c r="R1114" s="2" t="inlineStr"/>
    </row>
    <row r="1115" ht="15" customHeight="1">
      <c r="A1115" t="inlineStr">
        <is>
          <t>A 24563-2024</t>
        </is>
      </c>
      <c r="B1115" s="1" t="n">
        <v>45460.44347222222</v>
      </c>
      <c r="C1115" s="1" t="n">
        <v>46076</v>
      </c>
      <c r="D1115" t="inlineStr">
        <is>
          <t>STOCKHOLMS LÄN</t>
        </is>
      </c>
      <c r="E1115" t="inlineStr">
        <is>
          <t>NORRTÄLJE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39237-2024</t>
        </is>
      </c>
      <c r="B1116" s="1" t="n">
        <v>45549</v>
      </c>
      <c r="C1116" s="1" t="n">
        <v>46076</v>
      </c>
      <c r="D1116" t="inlineStr">
        <is>
          <t>STOCKHOLMS LÄN</t>
        </is>
      </c>
      <c r="E1116" t="inlineStr">
        <is>
          <t>NORRTÄLJE</t>
        </is>
      </c>
      <c r="G1116" t="n">
        <v>13.3</v>
      </c>
      <c r="H1116" t="n">
        <v>0</v>
      </c>
      <c r="I1116" t="n">
        <v>0</v>
      </c>
      <c r="J1116" t="n">
        <v>0</v>
      </c>
      <c r="K1116" t="n">
        <v>0</v>
      </c>
      <c r="L1116" t="n">
        <v>0</v>
      </c>
      <c r="M1116" t="n">
        <v>0</v>
      </c>
      <c r="N1116" t="n">
        <v>0</v>
      </c>
      <c r="O1116" t="n">
        <v>0</v>
      </c>
      <c r="P1116" t="n">
        <v>0</v>
      </c>
      <c r="Q1116" t="n">
        <v>0</v>
      </c>
      <c r="R1116" s="2" t="inlineStr"/>
    </row>
    <row r="1117" ht="15" customHeight="1">
      <c r="A1117" t="inlineStr">
        <is>
          <t>A 45746-2024</t>
        </is>
      </c>
      <c r="B1117" s="1" t="n">
        <v>45579</v>
      </c>
      <c r="C1117" s="1" t="n">
        <v>46076</v>
      </c>
      <c r="D1117" t="inlineStr">
        <is>
          <t>STOCKHOLMS LÄN</t>
        </is>
      </c>
      <c r="E1117" t="inlineStr">
        <is>
          <t>NORRTÄLJE</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8400-2024</t>
        </is>
      </c>
      <c r="B1118" s="1" t="n">
        <v>45352.74090277778</v>
      </c>
      <c r="C1118" s="1" t="n">
        <v>46076</v>
      </c>
      <c r="D1118" t="inlineStr">
        <is>
          <t>STOCKHOLMS LÄN</t>
        </is>
      </c>
      <c r="E1118" t="inlineStr">
        <is>
          <t>NORRTÄLJE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62998-2023</t>
        </is>
      </c>
      <c r="B1119" s="1" t="n">
        <v>45272.64479166667</v>
      </c>
      <c r="C1119" s="1" t="n">
        <v>46076</v>
      </c>
      <c r="D1119" t="inlineStr">
        <is>
          <t>STOCKHOLMS LÄN</t>
        </is>
      </c>
      <c r="E1119" t="inlineStr">
        <is>
          <t>NORRTÄLJE</t>
        </is>
      </c>
      <c r="G1119" t="n">
        <v>16.3</v>
      </c>
      <c r="H1119" t="n">
        <v>0</v>
      </c>
      <c r="I1119" t="n">
        <v>0</v>
      </c>
      <c r="J1119" t="n">
        <v>0</v>
      </c>
      <c r="K1119" t="n">
        <v>0</v>
      </c>
      <c r="L1119" t="n">
        <v>0</v>
      </c>
      <c r="M1119" t="n">
        <v>0</v>
      </c>
      <c r="N1119" t="n">
        <v>0</v>
      </c>
      <c r="O1119" t="n">
        <v>0</v>
      </c>
      <c r="P1119" t="n">
        <v>0</v>
      </c>
      <c r="Q1119" t="n">
        <v>0</v>
      </c>
      <c r="R1119" s="2" t="inlineStr"/>
    </row>
    <row r="1120" ht="15" customHeight="1">
      <c r="A1120" t="inlineStr">
        <is>
          <t>A 63015-2023</t>
        </is>
      </c>
      <c r="B1120" s="1" t="n">
        <v>45272</v>
      </c>
      <c r="C1120" s="1" t="n">
        <v>46076</v>
      </c>
      <c r="D1120" t="inlineStr">
        <is>
          <t>STOCKHOLMS LÄN</t>
        </is>
      </c>
      <c r="E1120" t="inlineStr">
        <is>
          <t>NORRTÄLJE</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27831-2024</t>
        </is>
      </c>
      <c r="B1121" s="1" t="n">
        <v>45475.61896990741</v>
      </c>
      <c r="C1121" s="1" t="n">
        <v>46076</v>
      </c>
      <c r="D1121" t="inlineStr">
        <is>
          <t>STOCKHOLMS LÄN</t>
        </is>
      </c>
      <c r="E1121" t="inlineStr">
        <is>
          <t>NORRTÄLJE</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33175-2024</t>
        </is>
      </c>
      <c r="B1122" s="1" t="n">
        <v>45518</v>
      </c>
      <c r="C1122" s="1" t="n">
        <v>46076</v>
      </c>
      <c r="D1122" t="inlineStr">
        <is>
          <t>STOCKHOLMS LÄN</t>
        </is>
      </c>
      <c r="E1122" t="inlineStr">
        <is>
          <t>NORRTÄLJE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21803-2022</t>
        </is>
      </c>
      <c r="B1123" s="1" t="n">
        <v>44708.67822916667</v>
      </c>
      <c r="C1123" s="1" t="n">
        <v>46076</v>
      </c>
      <c r="D1123" t="inlineStr">
        <is>
          <t>STOCKHOLMS LÄN</t>
        </is>
      </c>
      <c r="E1123" t="inlineStr">
        <is>
          <t>NORRTÄLJE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20730-2024</t>
        </is>
      </c>
      <c r="B1124" s="1" t="n">
        <v>45436</v>
      </c>
      <c r="C1124" s="1" t="n">
        <v>46076</v>
      </c>
      <c r="D1124" t="inlineStr">
        <is>
          <t>STOCKHOLMS LÄN</t>
        </is>
      </c>
      <c r="E1124" t="inlineStr">
        <is>
          <t>NORRTÄLJE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12901-2024</t>
        </is>
      </c>
      <c r="B1125" s="1" t="n">
        <v>45385.37922453704</v>
      </c>
      <c r="C1125" s="1" t="n">
        <v>46076</v>
      </c>
      <c r="D1125" t="inlineStr">
        <is>
          <t>STOCKHOLMS LÄN</t>
        </is>
      </c>
      <c r="E1125" t="inlineStr">
        <is>
          <t>NORRTÄLJE</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8950-2025</t>
        </is>
      </c>
      <c r="B1126" s="1" t="n">
        <v>45713</v>
      </c>
      <c r="C1126" s="1" t="n">
        <v>46076</v>
      </c>
      <c r="D1126" t="inlineStr">
        <is>
          <t>STOCKHOLMS LÄN</t>
        </is>
      </c>
      <c r="E1126" t="inlineStr">
        <is>
          <t>NORRTÄLJE</t>
        </is>
      </c>
      <c r="F1126" t="inlineStr">
        <is>
          <t>Övriga Aktiebolag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12301-2025</t>
        </is>
      </c>
      <c r="B1127" s="1" t="n">
        <v>45729.7271875</v>
      </c>
      <c r="C1127" s="1" t="n">
        <v>46076</v>
      </c>
      <c r="D1127" t="inlineStr">
        <is>
          <t>STOCKHOLMS LÄN</t>
        </is>
      </c>
      <c r="E1127" t="inlineStr">
        <is>
          <t>NORRTÄLJE</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24351-2025</t>
        </is>
      </c>
      <c r="B1128" s="1" t="n">
        <v>45797.58399305555</v>
      </c>
      <c r="C1128" s="1" t="n">
        <v>46076</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13283-2025</t>
        </is>
      </c>
      <c r="B1129" s="1" t="n">
        <v>45735</v>
      </c>
      <c r="C1129" s="1" t="n">
        <v>46076</v>
      </c>
      <c r="D1129" t="inlineStr">
        <is>
          <t>STOCKHOLMS LÄN</t>
        </is>
      </c>
      <c r="E1129" t="inlineStr">
        <is>
          <t>NORRTÄLJE</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24687-2025</t>
        </is>
      </c>
      <c r="B1130" s="1" t="n">
        <v>45798.66767361111</v>
      </c>
      <c r="C1130" s="1" t="n">
        <v>46076</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24638-2025</t>
        </is>
      </c>
      <c r="B1131" s="1" t="n">
        <v>45798</v>
      </c>
      <c r="C1131" s="1" t="n">
        <v>46076</v>
      </c>
      <c r="D1131" t="inlineStr">
        <is>
          <t>STOCKHOLMS LÄN</t>
        </is>
      </c>
      <c r="E1131" t="inlineStr">
        <is>
          <t>NORRTÄLJE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28603-2024</t>
        </is>
      </c>
      <c r="B1132" s="1" t="n">
        <v>45478.42887731481</v>
      </c>
      <c r="C1132" s="1" t="n">
        <v>46076</v>
      </c>
      <c r="D1132" t="inlineStr">
        <is>
          <t>STOCKHOLMS LÄN</t>
        </is>
      </c>
      <c r="E1132" t="inlineStr">
        <is>
          <t>NORRTÄLJE</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24690-2025</t>
        </is>
      </c>
      <c r="B1133" s="1" t="n">
        <v>45798.67082175926</v>
      </c>
      <c r="C1133" s="1" t="n">
        <v>46076</v>
      </c>
      <c r="D1133" t="inlineStr">
        <is>
          <t>STOCKHOLMS LÄN</t>
        </is>
      </c>
      <c r="E1133" t="inlineStr">
        <is>
          <t>NORRTÄLJE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47259-2024</t>
        </is>
      </c>
      <c r="B1134" s="1" t="n">
        <v>45586</v>
      </c>
      <c r="C1134" s="1" t="n">
        <v>46076</v>
      </c>
      <c r="D1134" t="inlineStr">
        <is>
          <t>STOCKHOLMS LÄN</t>
        </is>
      </c>
      <c r="E1134" t="inlineStr">
        <is>
          <t>NORRTÄLJE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25702-2025</t>
        </is>
      </c>
      <c r="B1135" s="1" t="n">
        <v>45800</v>
      </c>
      <c r="C1135" s="1" t="n">
        <v>46076</v>
      </c>
      <c r="D1135" t="inlineStr">
        <is>
          <t>STOCKHOLMS LÄN</t>
        </is>
      </c>
      <c r="E1135" t="inlineStr">
        <is>
          <t>NORRTÄLJE</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25712-2025</t>
        </is>
      </c>
      <c r="B1136" s="1" t="n">
        <v>45803.69228009259</v>
      </c>
      <c r="C1136" s="1" t="n">
        <v>46076</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25733-2025</t>
        </is>
      </c>
      <c r="B1137" s="1" t="n">
        <v>45800</v>
      </c>
      <c r="C1137" s="1" t="n">
        <v>46076</v>
      </c>
      <c r="D1137" t="inlineStr">
        <is>
          <t>STOCKHOLMS LÄN</t>
        </is>
      </c>
      <c r="E1137" t="inlineStr">
        <is>
          <t>NORRTÄLJE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39238-2024</t>
        </is>
      </c>
      <c r="B1138" s="1" t="n">
        <v>45549</v>
      </c>
      <c r="C1138" s="1" t="n">
        <v>46076</v>
      </c>
      <c r="D1138" t="inlineStr">
        <is>
          <t>STOCKHOLMS LÄN</t>
        </is>
      </c>
      <c r="E1138" t="inlineStr">
        <is>
          <t>NORRTÄLJE</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25571-2025</t>
        </is>
      </c>
      <c r="B1139" s="1" t="n">
        <v>45803.4675</v>
      </c>
      <c r="C1139" s="1" t="n">
        <v>46076</v>
      </c>
      <c r="D1139" t="inlineStr">
        <is>
          <t>STOCKHOLMS LÄN</t>
        </is>
      </c>
      <c r="E1139" t="inlineStr">
        <is>
          <t>NORRTÄLJE</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25721-2025</t>
        </is>
      </c>
      <c r="B1140" s="1" t="n">
        <v>45800</v>
      </c>
      <c r="C1140" s="1" t="n">
        <v>46076</v>
      </c>
      <c r="D1140" t="inlineStr">
        <is>
          <t>STOCKHOLMS LÄN</t>
        </is>
      </c>
      <c r="E1140" t="inlineStr">
        <is>
          <t>NORRTÄLJE</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25697-2025</t>
        </is>
      </c>
      <c r="B1141" s="1" t="n">
        <v>45803.66587962963</v>
      </c>
      <c r="C1141" s="1" t="n">
        <v>46076</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41218-2024</t>
        </is>
      </c>
      <c r="B1142" s="1" t="n">
        <v>45559.54706018518</v>
      </c>
      <c r="C1142" s="1" t="n">
        <v>46076</v>
      </c>
      <c r="D1142" t="inlineStr">
        <is>
          <t>STOCKHOLMS LÄN</t>
        </is>
      </c>
      <c r="E1142" t="inlineStr">
        <is>
          <t>NORRTÄLJE</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38449-2022</t>
        </is>
      </c>
      <c r="B1143" s="1" t="n">
        <v>44813</v>
      </c>
      <c r="C1143" s="1" t="n">
        <v>46076</v>
      </c>
      <c r="D1143" t="inlineStr">
        <is>
          <t>STOCKHOLMS LÄN</t>
        </is>
      </c>
      <c r="E1143" t="inlineStr">
        <is>
          <t>NORRTÄLJE</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53561-2023</t>
        </is>
      </c>
      <c r="B1144" s="1" t="n">
        <v>45224</v>
      </c>
      <c r="C1144" s="1" t="n">
        <v>46076</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26051-2025</t>
        </is>
      </c>
      <c r="B1145" s="1" t="n">
        <v>45804.74479166666</v>
      </c>
      <c r="C1145" s="1" t="n">
        <v>46076</v>
      </c>
      <c r="D1145" t="inlineStr">
        <is>
          <t>STOCKHOLMS LÄN</t>
        </is>
      </c>
      <c r="E1145" t="inlineStr">
        <is>
          <t>NORRTÄLJE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26708-2025</t>
        </is>
      </c>
      <c r="B1146" s="1" t="n">
        <v>45810.45633101852</v>
      </c>
      <c r="C1146" s="1" t="n">
        <v>46076</v>
      </c>
      <c r="D1146" t="inlineStr">
        <is>
          <t>STOCKHOLMS LÄN</t>
        </is>
      </c>
      <c r="E1146" t="inlineStr">
        <is>
          <t>NORRTÄLJE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26702-2025</t>
        </is>
      </c>
      <c r="B1147" s="1" t="n">
        <v>45810.45236111111</v>
      </c>
      <c r="C1147" s="1" t="n">
        <v>46076</v>
      </c>
      <c r="D1147" t="inlineStr">
        <is>
          <t>STOCKHOLMS LÄN</t>
        </is>
      </c>
      <c r="E1147" t="inlineStr">
        <is>
          <t>NORRTÄLJE</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23061-2025</t>
        </is>
      </c>
      <c r="B1148" s="1" t="n">
        <v>45790.81410879629</v>
      </c>
      <c r="C1148" s="1" t="n">
        <v>46076</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27040-2025</t>
        </is>
      </c>
      <c r="B1149" s="1" t="n">
        <v>45811.60451388889</v>
      </c>
      <c r="C1149" s="1" t="n">
        <v>46076</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26747-2025</t>
        </is>
      </c>
      <c r="B1150" s="1" t="n">
        <v>45810.5333912037</v>
      </c>
      <c r="C1150" s="1" t="n">
        <v>46076</v>
      </c>
      <c r="D1150" t="inlineStr">
        <is>
          <t>STOCKHOLMS LÄN</t>
        </is>
      </c>
      <c r="E1150" t="inlineStr">
        <is>
          <t>NORRTÄLJE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26675-2025</t>
        </is>
      </c>
      <c r="B1151" s="1" t="n">
        <v>45810.42393518519</v>
      </c>
      <c r="C1151" s="1" t="n">
        <v>46076</v>
      </c>
      <c r="D1151" t="inlineStr">
        <is>
          <t>STOCKHOLMS LÄN</t>
        </is>
      </c>
      <c r="E1151" t="inlineStr">
        <is>
          <t>NORRTÄLJE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27554-2025</t>
        </is>
      </c>
      <c r="B1152" s="1" t="n">
        <v>45813.4709375</v>
      </c>
      <c r="C1152" s="1" t="n">
        <v>46076</v>
      </c>
      <c r="D1152" t="inlineStr">
        <is>
          <t>STOCKHOLMS LÄN</t>
        </is>
      </c>
      <c r="E1152" t="inlineStr">
        <is>
          <t>NORRTÄLJE</t>
        </is>
      </c>
      <c r="F1152" t="inlineStr">
        <is>
          <t>Övriga Aktiebolag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27700-2025</t>
        </is>
      </c>
      <c r="B1153" s="1" t="n">
        <v>45813.6799537037</v>
      </c>
      <c r="C1153" s="1" t="n">
        <v>46076</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27697-2025</t>
        </is>
      </c>
      <c r="B1154" s="1" t="n">
        <v>45813.66961805556</v>
      </c>
      <c r="C1154" s="1" t="n">
        <v>46076</v>
      </c>
      <c r="D1154" t="inlineStr">
        <is>
          <t>STOCKHOLMS LÄN</t>
        </is>
      </c>
      <c r="E1154" t="inlineStr">
        <is>
          <t>NORRTÄLJE</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27802-2025</t>
        </is>
      </c>
      <c r="B1155" s="1" t="n">
        <v>45817.2565625</v>
      </c>
      <c r="C1155" s="1" t="n">
        <v>46076</v>
      </c>
      <c r="D1155" t="inlineStr">
        <is>
          <t>STOCKHOLMS LÄN</t>
        </is>
      </c>
      <c r="E1155" t="inlineStr">
        <is>
          <t>NORRTÄLJE</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27806-2025</t>
        </is>
      </c>
      <c r="B1156" s="1" t="n">
        <v>45817.30329861111</v>
      </c>
      <c r="C1156" s="1" t="n">
        <v>46076</v>
      </c>
      <c r="D1156" t="inlineStr">
        <is>
          <t>STOCKHOLMS LÄN</t>
        </is>
      </c>
      <c r="E1156" t="inlineStr">
        <is>
          <t>NORRTÄLJE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27808-2025</t>
        </is>
      </c>
      <c r="B1157" s="1" t="n">
        <v>45817.31085648148</v>
      </c>
      <c r="C1157" s="1" t="n">
        <v>46076</v>
      </c>
      <c r="D1157" t="inlineStr">
        <is>
          <t>STOCKHOLMS LÄN</t>
        </is>
      </c>
      <c r="E1157" t="inlineStr">
        <is>
          <t>NORRTÄLJE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27810-2025</t>
        </is>
      </c>
      <c r="B1158" s="1" t="n">
        <v>45817.31708333334</v>
      </c>
      <c r="C1158" s="1" t="n">
        <v>46076</v>
      </c>
      <c r="D1158" t="inlineStr">
        <is>
          <t>STOCKHOLMS LÄN</t>
        </is>
      </c>
      <c r="E1158" t="inlineStr">
        <is>
          <t>NORRTÄLJE</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27811-2025</t>
        </is>
      </c>
      <c r="B1159" s="1" t="n">
        <v>45817.31986111111</v>
      </c>
      <c r="C1159" s="1" t="n">
        <v>46076</v>
      </c>
      <c r="D1159" t="inlineStr">
        <is>
          <t>STOCKHOLMS LÄN</t>
        </is>
      </c>
      <c r="E1159" t="inlineStr">
        <is>
          <t>NORRTÄLJE</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27818-2025</t>
        </is>
      </c>
      <c r="B1160" s="1" t="n">
        <v>45817.33503472222</v>
      </c>
      <c r="C1160" s="1" t="n">
        <v>46076</v>
      </c>
      <c r="D1160" t="inlineStr">
        <is>
          <t>STOCKHOLMS LÄN</t>
        </is>
      </c>
      <c r="E1160" t="inlineStr">
        <is>
          <t>NORRTÄLJE</t>
        </is>
      </c>
      <c r="F1160" t="inlineStr">
        <is>
          <t>Sveaskog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27801-2025</t>
        </is>
      </c>
      <c r="B1161" s="1" t="n">
        <v>45817.25471064815</v>
      </c>
      <c r="C1161" s="1" t="n">
        <v>46076</v>
      </c>
      <c r="D1161" t="inlineStr">
        <is>
          <t>STOCKHOLMS LÄN</t>
        </is>
      </c>
      <c r="E1161" t="inlineStr">
        <is>
          <t>NORRTÄLJE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27803-2025</t>
        </is>
      </c>
      <c r="B1162" s="1" t="n">
        <v>45817.291875</v>
      </c>
      <c r="C1162" s="1" t="n">
        <v>46076</v>
      </c>
      <c r="D1162" t="inlineStr">
        <is>
          <t>STOCKHOLMS LÄN</t>
        </is>
      </c>
      <c r="E1162" t="inlineStr">
        <is>
          <t>NORRTÄLJE</t>
        </is>
      </c>
      <c r="G1162" t="n">
        <v>8.300000000000001</v>
      </c>
      <c r="H1162" t="n">
        <v>0</v>
      </c>
      <c r="I1162" t="n">
        <v>0</v>
      </c>
      <c r="J1162" t="n">
        <v>0</v>
      </c>
      <c r="K1162" t="n">
        <v>0</v>
      </c>
      <c r="L1162" t="n">
        <v>0</v>
      </c>
      <c r="M1162" t="n">
        <v>0</v>
      </c>
      <c r="N1162" t="n">
        <v>0</v>
      </c>
      <c r="O1162" t="n">
        <v>0</v>
      </c>
      <c r="P1162" t="n">
        <v>0</v>
      </c>
      <c r="Q1162" t="n">
        <v>0</v>
      </c>
      <c r="R1162" s="2" t="inlineStr"/>
    </row>
    <row r="1163">
      <c r="A1163" t="inlineStr">
        <is>
          <t>A 27813-2025</t>
        </is>
      </c>
      <c r="B1163" s="1" t="n">
        <v>45817.32538194444</v>
      </c>
      <c r="C1163" s="1" t="n">
        <v>46076</v>
      </c>
      <c r="D1163" t="inlineStr">
        <is>
          <t>STOCKHOLMS LÄN</t>
        </is>
      </c>
      <c r="E1163" t="inlineStr">
        <is>
          <t>NORRTÄLJE</t>
        </is>
      </c>
      <c r="G1163" t="n">
        <v>1.6</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2026-02-23T11:03:47Z</dcterms:created>
  <dcterms:modified xmlns:dcterms="http://purl.org/dc/terms/" xmlns:xsi="http://www.w3.org/2001/XMLSchema-instance" xsi:type="dcterms:W3CDTF">2026-02-23T11:03:48Z</dcterms:modified>
</cp:coreProperties>
</file>