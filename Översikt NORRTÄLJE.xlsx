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46184</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46184</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46184</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46184</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46184</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21927-2025</t>
        </is>
      </c>
      <c r="B15" s="1" t="n">
        <v>45784.54878472222</v>
      </c>
      <c r="C15" s="1" t="n">
        <v>46184</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639-2026</t>
        </is>
      </c>
      <c r="B16" s="1" t="n">
        <v>46029</v>
      </c>
      <c r="C16" s="1" t="n">
        <v>46184</v>
      </c>
      <c r="D16" t="inlineStr">
        <is>
          <t>STOCKHOLMS LÄN</t>
        </is>
      </c>
      <c r="E16" t="inlineStr">
        <is>
          <t>NORRTÄLJE</t>
        </is>
      </c>
      <c r="G16" t="n">
        <v>24.7</v>
      </c>
      <c r="H16" t="n">
        <v>12</v>
      </c>
      <c r="I16" t="n">
        <v>0</v>
      </c>
      <c r="J16" t="n">
        <v>5</v>
      </c>
      <c r="K16" t="n">
        <v>1</v>
      </c>
      <c r="L16" t="n">
        <v>0</v>
      </c>
      <c r="M16" t="n">
        <v>0</v>
      </c>
      <c r="N16" t="n">
        <v>0</v>
      </c>
      <c r="O16" t="n">
        <v>6</v>
      </c>
      <c r="P16" t="n">
        <v>1</v>
      </c>
      <c r="Q16" t="n">
        <v>12</v>
      </c>
      <c r="R16" s="2" t="inlineStr">
        <is>
          <t>Stare
Entita
Gulsparv
Nordfladdermus
Rödvingetrast
Talltita
Enkelbeckasin
Grönsiska
Järnsparv
Kungsfågel
Större brunfladdermus
Blåsippa</t>
        </is>
      </c>
      <c r="S16">
        <f>HYPERLINK("https://klasma.github.io/Logging_0188/artfynd/A 639-2026 artfynd.xlsx", "A 639-2026")</f>
        <v/>
      </c>
      <c r="T16">
        <f>HYPERLINK("https://klasma.github.io/Logging_0188/kartor/A 639-2026 karta.png", "A 639-2026")</f>
        <v/>
      </c>
      <c r="V16">
        <f>HYPERLINK("https://klasma.github.io/Logging_0188/klagomål/A 639-2026 FSC-klagomål.docx", "A 639-2026")</f>
        <v/>
      </c>
      <c r="W16">
        <f>HYPERLINK("https://klasma.github.io/Logging_0188/klagomålsmail/A 639-2026 FSC-klagomål mail.docx", "A 639-2026")</f>
        <v/>
      </c>
      <c r="X16">
        <f>HYPERLINK("https://klasma.github.io/Logging_0188/tillsyn/A 639-2026 tillsynsbegäran.docx", "A 639-2026")</f>
        <v/>
      </c>
      <c r="Y16">
        <f>HYPERLINK("https://klasma.github.io/Logging_0188/tillsynsmail/A 639-2026 tillsynsbegäran mail.docx", "A 639-2026")</f>
        <v/>
      </c>
      <c r="Z16">
        <f>HYPERLINK("https://klasma.github.io/Logging_0188/fåglar/A 639-2026 prioriterade fågelarter.docx", "A 639-2026")</f>
        <v/>
      </c>
    </row>
    <row r="17" ht="15" customHeight="1">
      <c r="A17" t="inlineStr">
        <is>
          <t>A 17645-2026</t>
        </is>
      </c>
      <c r="B17" s="1" t="n">
        <v>46121.51921296296</v>
      </c>
      <c r="C17" s="1" t="n">
        <v>46184</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3472-2023</t>
        </is>
      </c>
      <c r="B18" s="1" t="n">
        <v>44949</v>
      </c>
      <c r="C18" s="1" t="n">
        <v>46184</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25732-2025</t>
        </is>
      </c>
      <c r="B19" s="1" t="n">
        <v>45800</v>
      </c>
      <c r="C19" s="1" t="n">
        <v>46184</v>
      </c>
      <c r="D19" t="inlineStr">
        <is>
          <t>STOCKHOLMS LÄN</t>
        </is>
      </c>
      <c r="E19" t="inlineStr">
        <is>
          <t>NORRTÄLJE</t>
        </is>
      </c>
      <c r="G19" t="n">
        <v>7.4</v>
      </c>
      <c r="H19" t="n">
        <v>5</v>
      </c>
      <c r="I19" t="n">
        <v>4</v>
      </c>
      <c r="J19" t="n">
        <v>5</v>
      </c>
      <c r="K19" t="n">
        <v>1</v>
      </c>
      <c r="L19" t="n">
        <v>0</v>
      </c>
      <c r="M19" t="n">
        <v>0</v>
      </c>
      <c r="N19" t="n">
        <v>0</v>
      </c>
      <c r="O19" t="n">
        <v>6</v>
      </c>
      <c r="P19" t="n">
        <v>1</v>
      </c>
      <c r="Q19" t="n">
        <v>11</v>
      </c>
      <c r="R19" s="2" t="inlineStr">
        <is>
          <t>Knärot
Blå taggsvamp
Motaggsvamp
Skrovlig taggsvamp
Spillkråka
Talltita
Björksplintborre
Dropptaggsvamp
Grönpyrola
Plattlummer
Kungsfågel</t>
        </is>
      </c>
      <c r="S19">
        <f>HYPERLINK("https://klasma.github.io/Logging_0188/artfynd/A 25732-2025 artfynd.xlsx", "A 25732-2025")</f>
        <v/>
      </c>
      <c r="T19">
        <f>HYPERLINK("https://klasma.github.io/Logging_0188/kartor/A 25732-2025 karta.png", "A 25732-2025")</f>
        <v/>
      </c>
      <c r="U19">
        <f>HYPERLINK("https://klasma.github.io/Logging_0188/knärot/A 25732-2025 karta knärot.png", "A 25732-2025")</f>
        <v/>
      </c>
      <c r="V19">
        <f>HYPERLINK("https://klasma.github.io/Logging_0188/klagomål/A 25732-2025 FSC-klagomål.docx", "A 25732-2025")</f>
        <v/>
      </c>
      <c r="W19">
        <f>HYPERLINK("https://klasma.github.io/Logging_0188/klagomålsmail/A 25732-2025 FSC-klagomål mail.docx", "A 25732-2025")</f>
        <v/>
      </c>
      <c r="X19">
        <f>HYPERLINK("https://klasma.github.io/Logging_0188/tillsyn/A 25732-2025 tillsynsbegäran.docx", "A 25732-2025")</f>
        <v/>
      </c>
      <c r="Y19">
        <f>HYPERLINK("https://klasma.github.io/Logging_0188/tillsynsmail/A 25732-2025 tillsynsbegäran mail.docx", "A 25732-2025")</f>
        <v/>
      </c>
      <c r="Z19">
        <f>HYPERLINK("https://klasma.github.io/Logging_0188/fåglar/A 25732-2025 prioriterade fågelarter.docx", "A 25732-2025")</f>
        <v/>
      </c>
    </row>
    <row r="20" ht="15" customHeight="1">
      <c r="A20" t="inlineStr">
        <is>
          <t>A 20722-2024</t>
        </is>
      </c>
      <c r="B20" s="1" t="n">
        <v>45436</v>
      </c>
      <c r="C20" s="1" t="n">
        <v>46184</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46184</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46184</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46184</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50326-2024</t>
        </is>
      </c>
      <c r="B24" s="1" t="n">
        <v>45600</v>
      </c>
      <c r="C24" s="1" t="n">
        <v>46184</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26081-2026</t>
        </is>
      </c>
      <c r="B25" s="1" t="n">
        <v>46181.62855324074</v>
      </c>
      <c r="C25" s="1" t="n">
        <v>46184</v>
      </c>
      <c r="D25" t="inlineStr">
        <is>
          <t>STOCKHOLMS LÄN</t>
        </is>
      </c>
      <c r="E25" t="inlineStr">
        <is>
          <t>NORRTÄLJE</t>
        </is>
      </c>
      <c r="G25" t="n">
        <v>13.9</v>
      </c>
      <c r="H25" t="n">
        <v>1</v>
      </c>
      <c r="I25" t="n">
        <v>4</v>
      </c>
      <c r="J25" t="n">
        <v>3</v>
      </c>
      <c r="K25" t="n">
        <v>1</v>
      </c>
      <c r="L25" t="n">
        <v>0</v>
      </c>
      <c r="M25" t="n">
        <v>0</v>
      </c>
      <c r="N25" t="n">
        <v>0</v>
      </c>
      <c r="O25" t="n">
        <v>4</v>
      </c>
      <c r="P25" t="n">
        <v>1</v>
      </c>
      <c r="Q25" t="n">
        <v>9</v>
      </c>
      <c r="R25" s="2" t="inlineStr">
        <is>
          <t>Koppartaggsvamp
Dofttaggsvamp
Orange taggsvamp
Ullticka
Fjällig taggsvamp s.str.
Grönpyrola
Kamjordstjärna
Svavelriska
Blåsippa</t>
        </is>
      </c>
      <c r="S25">
        <f>HYPERLINK("https://klasma.github.io/Logging_0188/artfynd/A 26081-2026 artfynd.xlsx", "A 26081-2026")</f>
        <v/>
      </c>
      <c r="T25">
        <f>HYPERLINK("https://klasma.github.io/Logging_0188/kartor/A 26081-2026 karta.png", "A 26081-2026")</f>
        <v/>
      </c>
      <c r="V25">
        <f>HYPERLINK("https://klasma.github.io/Logging_0188/klagomål/A 26081-2026 FSC-klagomål.docx", "A 26081-2026")</f>
        <v/>
      </c>
      <c r="W25">
        <f>HYPERLINK("https://klasma.github.io/Logging_0188/klagomålsmail/A 26081-2026 FSC-klagomål mail.docx", "A 26081-2026")</f>
        <v/>
      </c>
      <c r="X25">
        <f>HYPERLINK("https://klasma.github.io/Logging_0188/tillsyn/A 26081-2026 tillsynsbegäran.docx", "A 26081-2026")</f>
        <v/>
      </c>
      <c r="Y25">
        <f>HYPERLINK("https://klasma.github.io/Logging_0188/tillsynsmail/A 26081-2026 tillsynsbegäran mail.docx", "A 26081-2026")</f>
        <v/>
      </c>
    </row>
    <row r="26" ht="15" customHeight="1">
      <c r="A26" t="inlineStr">
        <is>
          <t>A 47274-2024</t>
        </is>
      </c>
      <c r="B26" s="1" t="n">
        <v>45586</v>
      </c>
      <c r="C26" s="1" t="n">
        <v>46184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61099-2025</t>
        </is>
      </c>
      <c r="B27" s="1" t="n">
        <v>46000.44185185185</v>
      </c>
      <c r="C27" s="1" t="n">
        <v>46184</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46184</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46184</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46184</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13933-2022</t>
        </is>
      </c>
      <c r="B31" s="1" t="n">
        <v>44650</v>
      </c>
      <c r="C31" s="1" t="n">
        <v>46184</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15278-2024</t>
        </is>
      </c>
      <c r="B32" s="1" t="n">
        <v>45400.5958912037</v>
      </c>
      <c r="C32" s="1" t="n">
        <v>46184</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34528-2025</t>
        </is>
      </c>
      <c r="B33" s="1" t="n">
        <v>45847.48436342592</v>
      </c>
      <c r="C33" s="1" t="n">
        <v>46184</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10430-2026</t>
        </is>
      </c>
      <c r="B34" s="1" t="n">
        <v>46077</v>
      </c>
      <c r="C34" s="1" t="n">
        <v>46184</v>
      </c>
      <c r="D34" t="inlineStr">
        <is>
          <t>STOCKHOLMS LÄN</t>
        </is>
      </c>
      <c r="E34" t="inlineStr">
        <is>
          <t>NORRTÄLJE</t>
        </is>
      </c>
      <c r="G34" t="n">
        <v>2</v>
      </c>
      <c r="H34" t="n">
        <v>0</v>
      </c>
      <c r="I34" t="n">
        <v>3</v>
      </c>
      <c r="J34" t="n">
        <v>2</v>
      </c>
      <c r="K34" t="n">
        <v>1</v>
      </c>
      <c r="L34" t="n">
        <v>0</v>
      </c>
      <c r="M34" t="n">
        <v>0</v>
      </c>
      <c r="N34" t="n">
        <v>0</v>
      </c>
      <c r="O34" t="n">
        <v>3</v>
      </c>
      <c r="P34" t="n">
        <v>1</v>
      </c>
      <c r="Q34" t="n">
        <v>6</v>
      </c>
      <c r="R34" s="2" t="inlineStr">
        <is>
          <t>Granrotspindling
Bittermusseron
Persiljespindling
Olivspindling
Skarp dropptaggsvamp
Svavelriska</t>
        </is>
      </c>
      <c r="S34">
        <f>HYPERLINK("https://klasma.github.io/Logging_0188/artfynd/A 10430-2026 artfynd.xlsx", "A 10430-2026")</f>
        <v/>
      </c>
      <c r="T34">
        <f>HYPERLINK("https://klasma.github.io/Logging_0188/kartor/A 10430-2026 karta.png", "A 10430-2026")</f>
        <v/>
      </c>
      <c r="V34">
        <f>HYPERLINK("https://klasma.github.io/Logging_0188/klagomål/A 10430-2026 FSC-klagomål.docx", "A 10430-2026")</f>
        <v/>
      </c>
      <c r="W34">
        <f>HYPERLINK("https://klasma.github.io/Logging_0188/klagomålsmail/A 10430-2026 FSC-klagomål mail.docx", "A 10430-2026")</f>
        <v/>
      </c>
      <c r="X34">
        <f>HYPERLINK("https://klasma.github.io/Logging_0188/tillsyn/A 10430-2026 tillsynsbegäran.docx", "A 10430-2026")</f>
        <v/>
      </c>
      <c r="Y34">
        <f>HYPERLINK("https://klasma.github.io/Logging_0188/tillsynsmail/A 10430-2026 tillsynsbegäran mail.docx", "A 10430-2026")</f>
        <v/>
      </c>
    </row>
    <row r="35" ht="15" customHeight="1">
      <c r="A35" t="inlineStr">
        <is>
          <t>A 1054-2022</t>
        </is>
      </c>
      <c r="B35" s="1" t="n">
        <v>44571</v>
      </c>
      <c r="C35" s="1" t="n">
        <v>46184</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30687-2025</t>
        </is>
      </c>
      <c r="B36" s="1" t="n">
        <v>45831.53390046296</v>
      </c>
      <c r="C36" s="1" t="n">
        <v>46184</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3444-2023</t>
        </is>
      </c>
      <c r="B37" s="1" t="n">
        <v>44949</v>
      </c>
      <c r="C37" s="1" t="n">
        <v>46184</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72111-2021</t>
        </is>
      </c>
      <c r="B38" s="1" t="n">
        <v>44544</v>
      </c>
      <c r="C38" s="1" t="n">
        <v>46184</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15913-2026</t>
        </is>
      </c>
      <c r="B39" s="1" t="n">
        <v>46107</v>
      </c>
      <c r="C39" s="1" t="n">
        <v>46184</v>
      </c>
      <c r="D39" t="inlineStr">
        <is>
          <t>STOCKHOLMS LÄN</t>
        </is>
      </c>
      <c r="E39" t="inlineStr">
        <is>
          <t>NORRTÄLJE</t>
        </is>
      </c>
      <c r="G39" t="n">
        <v>4.2</v>
      </c>
      <c r="H39" t="n">
        <v>4</v>
      </c>
      <c r="I39" t="n">
        <v>2</v>
      </c>
      <c r="J39" t="n">
        <v>1</v>
      </c>
      <c r="K39" t="n">
        <v>0</v>
      </c>
      <c r="L39" t="n">
        <v>0</v>
      </c>
      <c r="M39" t="n">
        <v>0</v>
      </c>
      <c r="N39" t="n">
        <v>0</v>
      </c>
      <c r="O39" t="n">
        <v>1</v>
      </c>
      <c r="P39" t="n">
        <v>0</v>
      </c>
      <c r="Q39" t="n">
        <v>5</v>
      </c>
      <c r="R39" s="2" t="inlineStr">
        <is>
          <t>Talltita
Fjällig taggsvamp s.str.
Nästrot
Nattviol
Blåsippa</t>
        </is>
      </c>
      <c r="S39">
        <f>HYPERLINK("https://klasma.github.io/Logging_0188/artfynd/A 15913-2026 artfynd.xlsx", "A 15913-2026")</f>
        <v/>
      </c>
      <c r="T39">
        <f>HYPERLINK("https://klasma.github.io/Logging_0188/kartor/A 15913-2026 karta.png", "A 15913-2026")</f>
        <v/>
      </c>
      <c r="U39">
        <f>HYPERLINK("https://klasma.github.io/Logging_0188/knärot/A 15913-2026 karta knärot.png", "A 15913-2026")</f>
        <v/>
      </c>
      <c r="V39">
        <f>HYPERLINK("https://klasma.github.io/Logging_0188/klagomål/A 15913-2026 FSC-klagomål.docx", "A 15913-2026")</f>
        <v/>
      </c>
      <c r="W39">
        <f>HYPERLINK("https://klasma.github.io/Logging_0188/klagomålsmail/A 15913-2026 FSC-klagomål mail.docx", "A 15913-2026")</f>
        <v/>
      </c>
      <c r="X39">
        <f>HYPERLINK("https://klasma.github.io/Logging_0188/tillsyn/A 15913-2026 tillsynsbegäran.docx", "A 15913-2026")</f>
        <v/>
      </c>
      <c r="Y39">
        <f>HYPERLINK("https://klasma.github.io/Logging_0188/tillsynsmail/A 15913-2026 tillsynsbegäran mail.docx", "A 15913-2026")</f>
        <v/>
      </c>
      <c r="Z39">
        <f>HYPERLINK("https://klasma.github.io/Logging_0188/fåglar/A 15913-2026 prioriterade fågelarter.docx", "A 15913-2026")</f>
        <v/>
      </c>
    </row>
    <row r="40" ht="15" customHeight="1">
      <c r="A40" t="inlineStr">
        <is>
          <t>A 15925-2026</t>
        </is>
      </c>
      <c r="B40" s="1" t="n">
        <v>46107</v>
      </c>
      <c r="C40" s="1" t="n">
        <v>46184</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21922-2023</t>
        </is>
      </c>
      <c r="B41" s="1" t="n">
        <v>45068</v>
      </c>
      <c r="C41" s="1" t="n">
        <v>46184</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22071-2022</t>
        </is>
      </c>
      <c r="B42" s="1" t="n">
        <v>44711</v>
      </c>
      <c r="C42" s="1" t="n">
        <v>46184</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21730-2025</t>
        </is>
      </c>
      <c r="B43" s="1" t="n">
        <v>45783.58123842593</v>
      </c>
      <c r="C43" s="1" t="n">
        <v>46184</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41276-2025</t>
        </is>
      </c>
      <c r="B44" s="1" t="n">
        <v>45898.62723379629</v>
      </c>
      <c r="C44" s="1" t="n">
        <v>46184</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34521-2025</t>
        </is>
      </c>
      <c r="B45" s="1" t="n">
        <v>45847.47052083333</v>
      </c>
      <c r="C45" s="1" t="n">
        <v>46184</v>
      </c>
      <c r="D45" t="inlineStr">
        <is>
          <t>STOCKHOLMS LÄN</t>
        </is>
      </c>
      <c r="E45" t="inlineStr">
        <is>
          <t>NORRTÄLJE</t>
        </is>
      </c>
      <c r="G45" t="n">
        <v>4.3</v>
      </c>
      <c r="H45" t="n">
        <v>0</v>
      </c>
      <c r="I45" t="n">
        <v>2</v>
      </c>
      <c r="J45" t="n">
        <v>2</v>
      </c>
      <c r="K45" t="n">
        <v>0</v>
      </c>
      <c r="L45" t="n">
        <v>0</v>
      </c>
      <c r="M45" t="n">
        <v>0</v>
      </c>
      <c r="N45" t="n">
        <v>0</v>
      </c>
      <c r="O45" t="n">
        <v>2</v>
      </c>
      <c r="P45" t="n">
        <v>0</v>
      </c>
      <c r="Q45" t="n">
        <v>4</v>
      </c>
      <c r="R45" s="2" t="inlineStr">
        <is>
          <t>Kandelabersvamp
Vedtrappmossa
Anisspindling
Stor aspticka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row>
    <row r="46" ht="15" customHeight="1">
      <c r="A46" t="inlineStr">
        <is>
          <t>A 72305-2021</t>
        </is>
      </c>
      <c r="B46" s="1" t="n">
        <v>44545</v>
      </c>
      <c r="C46" s="1" t="n">
        <v>46184</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44709-2022</t>
        </is>
      </c>
      <c r="B47" s="1" t="n">
        <v>44839</v>
      </c>
      <c r="C47" s="1" t="n">
        <v>46184</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45113-2022</t>
        </is>
      </c>
      <c r="B48" s="1" t="n">
        <v>44843</v>
      </c>
      <c r="C48" s="1" t="n">
        <v>46184</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46184</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54110-2024</t>
        </is>
      </c>
      <c r="B50" s="1" t="n">
        <v>45616.54866898148</v>
      </c>
      <c r="C50" s="1" t="n">
        <v>46184</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29185-2025</t>
        </is>
      </c>
      <c r="B51" s="1" t="n">
        <v>45821</v>
      </c>
      <c r="C51" s="1" t="n">
        <v>46184</v>
      </c>
      <c r="D51" t="inlineStr">
        <is>
          <t>STOCKHOLMS LÄN</t>
        </is>
      </c>
      <c r="E51" t="inlineStr">
        <is>
          <t>NORRTÄLJE</t>
        </is>
      </c>
      <c r="F51" t="inlineStr">
        <is>
          <t>Övriga Aktiebolag</t>
        </is>
      </c>
      <c r="G51" t="n">
        <v>8.5</v>
      </c>
      <c r="H51" t="n">
        <v>2</v>
      </c>
      <c r="I51" t="n">
        <v>1</v>
      </c>
      <c r="J51" t="n">
        <v>0</v>
      </c>
      <c r="K51" t="n">
        <v>0</v>
      </c>
      <c r="L51" t="n">
        <v>0</v>
      </c>
      <c r="M51" t="n">
        <v>0</v>
      </c>
      <c r="N51" t="n">
        <v>0</v>
      </c>
      <c r="O51" t="n">
        <v>0</v>
      </c>
      <c r="P51" t="n">
        <v>0</v>
      </c>
      <c r="Q51" t="n">
        <v>3</v>
      </c>
      <c r="R51" s="2" t="inlineStr">
        <is>
          <t>Vårärt
Fläcknycklar
Blåsippa</t>
        </is>
      </c>
      <c r="S51">
        <f>HYPERLINK("https://klasma.github.io/Logging_0188/artfynd/A 29185-2025 artfynd.xlsx", "A 29185-2025")</f>
        <v/>
      </c>
      <c r="T51">
        <f>HYPERLINK("https://klasma.github.io/Logging_0188/kartor/A 29185-2025 karta.png", "A 29185-2025")</f>
        <v/>
      </c>
      <c r="V51">
        <f>HYPERLINK("https://klasma.github.io/Logging_0188/klagomål/A 29185-2025 FSC-klagomål.docx", "A 29185-2025")</f>
        <v/>
      </c>
      <c r="W51">
        <f>HYPERLINK("https://klasma.github.io/Logging_0188/klagomålsmail/A 29185-2025 FSC-klagomål mail.docx", "A 29185-2025")</f>
        <v/>
      </c>
      <c r="X51">
        <f>HYPERLINK("https://klasma.github.io/Logging_0188/tillsyn/A 29185-2025 tillsynsbegäran.docx", "A 29185-2025")</f>
        <v/>
      </c>
      <c r="Y51">
        <f>HYPERLINK("https://klasma.github.io/Logging_0188/tillsynsmail/A 29185-2025 tillsynsbegäran mail.docx", "A 29185-2025")</f>
        <v/>
      </c>
    </row>
    <row r="52" ht="15" customHeight="1">
      <c r="A52" t="inlineStr">
        <is>
          <t>A 34524-2025</t>
        </is>
      </c>
      <c r="B52" s="1" t="n">
        <v>45847.47685185185</v>
      </c>
      <c r="C52" s="1" t="n">
        <v>46184</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22190-2024</t>
        </is>
      </c>
      <c r="B53" s="1" t="n">
        <v>45446.35888888889</v>
      </c>
      <c r="C53" s="1" t="n">
        <v>46184</v>
      </c>
      <c r="D53" t="inlineStr">
        <is>
          <t>STOCKHOLMS LÄN</t>
        </is>
      </c>
      <c r="E53" t="inlineStr">
        <is>
          <t>NORRTÄLJE</t>
        </is>
      </c>
      <c r="G53" t="n">
        <v>2.8</v>
      </c>
      <c r="H53" t="n">
        <v>3</v>
      </c>
      <c r="I53" t="n">
        <v>1</v>
      </c>
      <c r="J53" t="n">
        <v>0</v>
      </c>
      <c r="K53" t="n">
        <v>0</v>
      </c>
      <c r="L53" t="n">
        <v>0</v>
      </c>
      <c r="M53" t="n">
        <v>0</v>
      </c>
      <c r="N53" t="n">
        <v>0</v>
      </c>
      <c r="O53" t="n">
        <v>0</v>
      </c>
      <c r="P53" t="n">
        <v>0</v>
      </c>
      <c r="Q53" t="n">
        <v>3</v>
      </c>
      <c r="R53" s="2" t="inlineStr">
        <is>
          <t>Skogsknipprot
Åkergroda
Vanlig groda</t>
        </is>
      </c>
      <c r="S53">
        <f>HYPERLINK("https://klasma.github.io/Logging_0188/artfynd/A 22190-2024 artfynd.xlsx", "A 22190-2024")</f>
        <v/>
      </c>
      <c r="T53">
        <f>HYPERLINK("https://klasma.github.io/Logging_0188/kartor/A 22190-2024 karta.png", "A 22190-2024")</f>
        <v/>
      </c>
      <c r="V53">
        <f>HYPERLINK("https://klasma.github.io/Logging_0188/klagomål/A 22190-2024 FSC-klagomål.docx", "A 22190-2024")</f>
        <v/>
      </c>
      <c r="W53">
        <f>HYPERLINK("https://klasma.github.io/Logging_0188/klagomålsmail/A 22190-2024 FSC-klagomål mail.docx", "A 22190-2024")</f>
        <v/>
      </c>
      <c r="X53">
        <f>HYPERLINK("https://klasma.github.io/Logging_0188/tillsyn/A 22190-2024 tillsynsbegäran.docx", "A 22190-2024")</f>
        <v/>
      </c>
      <c r="Y53">
        <f>HYPERLINK("https://klasma.github.io/Logging_0188/tillsynsmail/A 22190-2024 tillsynsbegäran mail.docx", "A 22190-2024")</f>
        <v/>
      </c>
    </row>
    <row r="54" ht="15" customHeight="1">
      <c r="A54" t="inlineStr">
        <is>
          <t>A 27870-2022</t>
        </is>
      </c>
      <c r="B54" s="1" t="n">
        <v>44743.64592592593</v>
      </c>
      <c r="C54" s="1" t="n">
        <v>46184</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40192-2023</t>
        </is>
      </c>
      <c r="B55" s="1" t="n">
        <v>45169</v>
      </c>
      <c r="C55" s="1" t="n">
        <v>46184</v>
      </c>
      <c r="D55" t="inlineStr">
        <is>
          <t>STOCKHOLMS LÄN</t>
        </is>
      </c>
      <c r="E55" t="inlineStr">
        <is>
          <t>NORRTÄLJE</t>
        </is>
      </c>
      <c r="F55" t="inlineStr">
        <is>
          <t>Kyrkan</t>
        </is>
      </c>
      <c r="G55" t="n">
        <v>0.7</v>
      </c>
      <c r="H55" t="n">
        <v>3</v>
      </c>
      <c r="I55" t="n">
        <v>0</v>
      </c>
      <c r="J55" t="n">
        <v>0</v>
      </c>
      <c r="K55" t="n">
        <v>0</v>
      </c>
      <c r="L55" t="n">
        <v>0</v>
      </c>
      <c r="M55" t="n">
        <v>0</v>
      </c>
      <c r="N55" t="n">
        <v>0</v>
      </c>
      <c r="O55" t="n">
        <v>0</v>
      </c>
      <c r="P55" t="n">
        <v>0</v>
      </c>
      <c r="Q55" t="n">
        <v>3</v>
      </c>
      <c r="R55" s="2" t="inlineStr">
        <is>
          <t>Grönsiska
Skogsduva
Törnskata</t>
        </is>
      </c>
      <c r="S55">
        <f>HYPERLINK("https://klasma.github.io/Logging_0188/artfynd/A 40192-2023 artfynd.xlsx", "A 40192-2023")</f>
        <v/>
      </c>
      <c r="T55">
        <f>HYPERLINK("https://klasma.github.io/Logging_0188/kartor/A 40192-2023 karta.png", "A 40192-2023")</f>
        <v/>
      </c>
      <c r="V55">
        <f>HYPERLINK("https://klasma.github.io/Logging_0188/klagomål/A 40192-2023 FSC-klagomål.docx", "A 40192-2023")</f>
        <v/>
      </c>
      <c r="W55">
        <f>HYPERLINK("https://klasma.github.io/Logging_0188/klagomålsmail/A 40192-2023 FSC-klagomål mail.docx", "A 40192-2023")</f>
        <v/>
      </c>
      <c r="X55">
        <f>HYPERLINK("https://klasma.github.io/Logging_0188/tillsyn/A 40192-2023 tillsynsbegäran.docx", "A 40192-2023")</f>
        <v/>
      </c>
      <c r="Y55">
        <f>HYPERLINK("https://klasma.github.io/Logging_0188/tillsynsmail/A 40192-2023 tillsynsbegäran mail.docx", "A 40192-2023")</f>
        <v/>
      </c>
      <c r="Z55">
        <f>HYPERLINK("https://klasma.github.io/Logging_0188/fåglar/A 40192-2023 prioriterade fågelarter.docx", "A 40192-2023")</f>
        <v/>
      </c>
    </row>
    <row r="56" ht="15" customHeight="1">
      <c r="A56" t="inlineStr">
        <is>
          <t>A 50618-2022</t>
        </is>
      </c>
      <c r="B56" s="1" t="n">
        <v>44866</v>
      </c>
      <c r="C56" s="1" t="n">
        <v>46184</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25913-2026</t>
        </is>
      </c>
      <c r="B57" s="1" t="n">
        <v>46178.72743055555</v>
      </c>
      <c r="C57" s="1" t="n">
        <v>46184</v>
      </c>
      <c r="D57" t="inlineStr">
        <is>
          <t>STOCKHOLMS LÄN</t>
        </is>
      </c>
      <c r="E57" t="inlineStr">
        <is>
          <t>NORRTÄLJE</t>
        </is>
      </c>
      <c r="G57" t="n">
        <v>10.3</v>
      </c>
      <c r="H57" t="n">
        <v>2</v>
      </c>
      <c r="I57" t="n">
        <v>0</v>
      </c>
      <c r="J57" t="n">
        <v>3</v>
      </c>
      <c r="K57" t="n">
        <v>0</v>
      </c>
      <c r="L57" t="n">
        <v>0</v>
      </c>
      <c r="M57" t="n">
        <v>0</v>
      </c>
      <c r="N57" t="n">
        <v>0</v>
      </c>
      <c r="O57" t="n">
        <v>3</v>
      </c>
      <c r="P57" t="n">
        <v>0</v>
      </c>
      <c r="Q57" t="n">
        <v>3</v>
      </c>
      <c r="R57" s="2" t="inlineStr">
        <is>
          <t>Havsörn
Igelkott
Talltita</t>
        </is>
      </c>
      <c r="S57">
        <f>HYPERLINK("https://klasma.github.io/Logging_0188/artfynd/A 25913-2026 artfynd.xlsx", "A 25913-2026")</f>
        <v/>
      </c>
      <c r="T57">
        <f>HYPERLINK("https://klasma.github.io/Logging_0188/kartor/A 25913-2026 karta.png", "A 25913-2026")</f>
        <v/>
      </c>
      <c r="V57">
        <f>HYPERLINK("https://klasma.github.io/Logging_0188/klagomål/A 25913-2026 FSC-klagomål.docx", "A 25913-2026")</f>
        <v/>
      </c>
      <c r="W57">
        <f>HYPERLINK("https://klasma.github.io/Logging_0188/klagomålsmail/A 25913-2026 FSC-klagomål mail.docx", "A 25913-2026")</f>
        <v/>
      </c>
      <c r="X57">
        <f>HYPERLINK("https://klasma.github.io/Logging_0188/tillsyn/A 25913-2026 tillsynsbegäran.docx", "A 25913-2026")</f>
        <v/>
      </c>
      <c r="Y57">
        <f>HYPERLINK("https://klasma.github.io/Logging_0188/tillsynsmail/A 25913-2026 tillsynsbegäran mail.docx", "A 25913-2026")</f>
        <v/>
      </c>
      <c r="Z57">
        <f>HYPERLINK("https://klasma.github.io/Logging_0188/fåglar/A 25913-2026 prioriterade fågelarter.docx", "A 25913-2026")</f>
        <v/>
      </c>
    </row>
    <row r="58" ht="15" customHeight="1">
      <c r="A58" t="inlineStr">
        <is>
          <t>A 20185-2022</t>
        </is>
      </c>
      <c r="B58" s="1" t="n">
        <v>44698</v>
      </c>
      <c r="C58" s="1" t="n">
        <v>46184</v>
      </c>
      <c r="D58" t="inlineStr">
        <is>
          <t>STOCKHOLMS LÄN</t>
        </is>
      </c>
      <c r="E58" t="inlineStr">
        <is>
          <t>NORRTÄLJE</t>
        </is>
      </c>
      <c r="G58" t="n">
        <v>8.4</v>
      </c>
      <c r="H58" t="n">
        <v>1</v>
      </c>
      <c r="I58" t="n">
        <v>2</v>
      </c>
      <c r="J58" t="n">
        <v>0</v>
      </c>
      <c r="K58" t="n">
        <v>1</v>
      </c>
      <c r="L58" t="n">
        <v>0</v>
      </c>
      <c r="M58" t="n">
        <v>0</v>
      </c>
      <c r="N58" t="n">
        <v>0</v>
      </c>
      <c r="O58" t="n">
        <v>1</v>
      </c>
      <c r="P58" t="n">
        <v>1</v>
      </c>
      <c r="Q58" t="n">
        <v>3</v>
      </c>
      <c r="R58" s="2" t="inlineStr">
        <is>
          <t>Tallbit
Gullgröppa
Vedticka</t>
        </is>
      </c>
      <c r="S58">
        <f>HYPERLINK("https://klasma.github.io/Logging_0188/artfynd/A 20185-2022 artfynd.xlsx", "A 20185-2022")</f>
        <v/>
      </c>
      <c r="T58">
        <f>HYPERLINK("https://klasma.github.io/Logging_0188/kartor/A 20185-2022 karta.png", "A 20185-2022")</f>
        <v/>
      </c>
      <c r="V58">
        <f>HYPERLINK("https://klasma.github.io/Logging_0188/klagomål/A 20185-2022 FSC-klagomål.docx", "A 20185-2022")</f>
        <v/>
      </c>
      <c r="W58">
        <f>HYPERLINK("https://klasma.github.io/Logging_0188/klagomålsmail/A 20185-2022 FSC-klagomål mail.docx", "A 20185-2022")</f>
        <v/>
      </c>
      <c r="X58">
        <f>HYPERLINK("https://klasma.github.io/Logging_0188/tillsyn/A 20185-2022 tillsynsbegäran.docx", "A 20185-2022")</f>
        <v/>
      </c>
      <c r="Y58">
        <f>HYPERLINK("https://klasma.github.io/Logging_0188/tillsynsmail/A 20185-2022 tillsynsbegäran mail.docx", "A 20185-2022")</f>
        <v/>
      </c>
      <c r="Z58">
        <f>HYPERLINK("https://klasma.github.io/Logging_0188/fåglar/A 20185-2022 prioriterade fågelarter.docx", "A 20185-2022")</f>
        <v/>
      </c>
    </row>
    <row r="59" ht="15" customHeight="1">
      <c r="A59" t="inlineStr">
        <is>
          <t>A 26221-2026</t>
        </is>
      </c>
      <c r="B59" s="1" t="n">
        <v>46182.45509259259</v>
      </c>
      <c r="C59" s="1" t="n">
        <v>46184</v>
      </c>
      <c r="D59" t="inlineStr">
        <is>
          <t>STOCKHOLMS LÄN</t>
        </is>
      </c>
      <c r="E59" t="inlineStr">
        <is>
          <t>NORRTÄLJE</t>
        </is>
      </c>
      <c r="G59" t="n">
        <v>4.1</v>
      </c>
      <c r="H59" t="n">
        <v>3</v>
      </c>
      <c r="I59" t="n">
        <v>0</v>
      </c>
      <c r="J59" t="n">
        <v>3</v>
      </c>
      <c r="K59" t="n">
        <v>0</v>
      </c>
      <c r="L59" t="n">
        <v>0</v>
      </c>
      <c r="M59" t="n">
        <v>0</v>
      </c>
      <c r="N59" t="n">
        <v>0</v>
      </c>
      <c r="O59" t="n">
        <v>3</v>
      </c>
      <c r="P59" t="n">
        <v>0</v>
      </c>
      <c r="Q59" t="n">
        <v>3</v>
      </c>
      <c r="R59" s="2" t="inlineStr">
        <is>
          <t>Duvhök
Havsörn
Kråka</t>
        </is>
      </c>
      <c r="S59">
        <f>HYPERLINK("https://klasma.github.io/Logging_0188/artfynd/A 26221-2026 artfynd.xlsx", "A 26221-2026")</f>
        <v/>
      </c>
      <c r="T59">
        <f>HYPERLINK("https://klasma.github.io/Logging_0188/kartor/A 26221-2026 karta.png", "A 26221-2026")</f>
        <v/>
      </c>
      <c r="V59">
        <f>HYPERLINK("https://klasma.github.io/Logging_0188/klagomål/A 26221-2026 FSC-klagomål.docx", "A 26221-2026")</f>
        <v/>
      </c>
      <c r="W59">
        <f>HYPERLINK("https://klasma.github.io/Logging_0188/klagomålsmail/A 26221-2026 FSC-klagomål mail.docx", "A 26221-2026")</f>
        <v/>
      </c>
      <c r="X59">
        <f>HYPERLINK("https://klasma.github.io/Logging_0188/tillsyn/A 26221-2026 tillsynsbegäran.docx", "A 26221-2026")</f>
        <v/>
      </c>
      <c r="Y59">
        <f>HYPERLINK("https://klasma.github.io/Logging_0188/tillsynsmail/A 26221-2026 tillsynsbegäran mail.docx", "A 26221-2026")</f>
        <v/>
      </c>
      <c r="Z59">
        <f>HYPERLINK("https://klasma.github.io/Logging_0188/fåglar/A 26221-2026 prioriterade fågelarter.docx", "A 26221-2026")</f>
        <v/>
      </c>
    </row>
    <row r="60" ht="15" customHeight="1">
      <c r="A60" t="inlineStr">
        <is>
          <t>A 52133-2022</t>
        </is>
      </c>
      <c r="B60" s="1" t="n">
        <v>44868</v>
      </c>
      <c r="C60" s="1" t="n">
        <v>46184</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46184</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46184</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46184</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50697-2025</t>
        </is>
      </c>
      <c r="B64" s="1" t="n">
        <v>45945.90854166666</v>
      </c>
      <c r="C64" s="1" t="n">
        <v>46184</v>
      </c>
      <c r="D64" t="inlineStr">
        <is>
          <t>STOCKHOLMS LÄN</t>
        </is>
      </c>
      <c r="E64" t="inlineStr">
        <is>
          <t>NORRTÄLJE</t>
        </is>
      </c>
      <c r="G64" t="n">
        <v>5.5</v>
      </c>
      <c r="H64" t="n">
        <v>0</v>
      </c>
      <c r="I64" t="n">
        <v>0</v>
      </c>
      <c r="J64" t="n">
        <v>2</v>
      </c>
      <c r="K64" t="n">
        <v>0</v>
      </c>
      <c r="L64" t="n">
        <v>0</v>
      </c>
      <c r="M64" t="n">
        <v>0</v>
      </c>
      <c r="N64" t="n">
        <v>0</v>
      </c>
      <c r="O64" t="n">
        <v>2</v>
      </c>
      <c r="P64" t="n">
        <v>0</v>
      </c>
      <c r="Q64" t="n">
        <v>2</v>
      </c>
      <c r="R64" s="2" t="inlineStr">
        <is>
          <t>Skogsklocka
Småflikig brosklav</t>
        </is>
      </c>
      <c r="S64">
        <f>HYPERLINK("https://klasma.github.io/Logging_0188/artfynd/A 50697-2025 artfynd.xlsx", "A 50697-2025")</f>
        <v/>
      </c>
      <c r="T64">
        <f>HYPERLINK("https://klasma.github.io/Logging_0188/kartor/A 50697-2025 karta.png", "A 50697-2025")</f>
        <v/>
      </c>
      <c r="V64">
        <f>HYPERLINK("https://klasma.github.io/Logging_0188/klagomål/A 50697-2025 FSC-klagomål.docx", "A 50697-2025")</f>
        <v/>
      </c>
      <c r="W64">
        <f>HYPERLINK("https://klasma.github.io/Logging_0188/klagomålsmail/A 50697-2025 FSC-klagomål mail.docx", "A 50697-2025")</f>
        <v/>
      </c>
      <c r="X64">
        <f>HYPERLINK("https://klasma.github.io/Logging_0188/tillsyn/A 50697-2025 tillsynsbegäran.docx", "A 50697-2025")</f>
        <v/>
      </c>
      <c r="Y64">
        <f>HYPERLINK("https://klasma.github.io/Logging_0188/tillsynsmail/A 50697-2025 tillsynsbegäran mail.docx", "A 50697-2025")</f>
        <v/>
      </c>
    </row>
    <row r="65" ht="15" customHeight="1">
      <c r="A65" t="inlineStr">
        <is>
          <t>A 30693-2022</t>
        </is>
      </c>
      <c r="B65" s="1" t="n">
        <v>44763</v>
      </c>
      <c r="C65" s="1" t="n">
        <v>46184</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17952-2022</t>
        </is>
      </c>
      <c r="B66" s="1" t="n">
        <v>44683</v>
      </c>
      <c r="C66" s="1" t="n">
        <v>46184</v>
      </c>
      <c r="D66" t="inlineStr">
        <is>
          <t>STOCKHOLMS LÄN</t>
        </is>
      </c>
      <c r="E66" t="inlineStr">
        <is>
          <t>NORRTÄLJE</t>
        </is>
      </c>
      <c r="G66" t="n">
        <v>51.1</v>
      </c>
      <c r="H66" t="n">
        <v>1</v>
      </c>
      <c r="I66" t="n">
        <v>0</v>
      </c>
      <c r="J66" t="n">
        <v>0</v>
      </c>
      <c r="K66" t="n">
        <v>1</v>
      </c>
      <c r="L66" t="n">
        <v>0</v>
      </c>
      <c r="M66" t="n">
        <v>0</v>
      </c>
      <c r="N66" t="n">
        <v>0</v>
      </c>
      <c r="O66" t="n">
        <v>1</v>
      </c>
      <c r="P66" t="n">
        <v>1</v>
      </c>
      <c r="Q66" t="n">
        <v>2</v>
      </c>
      <c r="R66" s="2" t="inlineStr">
        <is>
          <t>Kattunvisslare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row>
    <row r="67" ht="15" customHeight="1">
      <c r="A67" t="inlineStr">
        <is>
          <t>A 51980-2022</t>
        </is>
      </c>
      <c r="B67" s="1" t="n">
        <v>44872</v>
      </c>
      <c r="C67" s="1" t="n">
        <v>46184</v>
      </c>
      <c r="D67" t="inlineStr">
        <is>
          <t>STOCKHOLMS LÄN</t>
        </is>
      </c>
      <c r="E67" t="inlineStr">
        <is>
          <t>NORRTÄLJE</t>
        </is>
      </c>
      <c r="G67" t="n">
        <v>7.9</v>
      </c>
      <c r="H67" t="n">
        <v>1</v>
      </c>
      <c r="I67" t="n">
        <v>2</v>
      </c>
      <c r="J67" t="n">
        <v>0</v>
      </c>
      <c r="K67" t="n">
        <v>0</v>
      </c>
      <c r="L67" t="n">
        <v>0</v>
      </c>
      <c r="M67" t="n">
        <v>0</v>
      </c>
      <c r="N67" t="n">
        <v>0</v>
      </c>
      <c r="O67" t="n">
        <v>0</v>
      </c>
      <c r="P67" t="n">
        <v>0</v>
      </c>
      <c r="Q67" t="n">
        <v>2</v>
      </c>
      <c r="R67" s="2" t="inlineStr">
        <is>
          <t>Rödgul trumpetsvamp
Skogsknipprot</t>
        </is>
      </c>
      <c r="S67">
        <f>HYPERLINK("https://klasma.github.io/Logging_0188/artfynd/A 51980-2022 artfynd.xlsx", "A 51980-2022")</f>
        <v/>
      </c>
      <c r="T67">
        <f>HYPERLINK("https://klasma.github.io/Logging_0188/kartor/A 51980-2022 karta.png", "A 51980-2022")</f>
        <v/>
      </c>
      <c r="V67">
        <f>HYPERLINK("https://klasma.github.io/Logging_0188/klagomål/A 51980-2022 FSC-klagomål.docx", "A 51980-2022")</f>
        <v/>
      </c>
      <c r="W67">
        <f>HYPERLINK("https://klasma.github.io/Logging_0188/klagomålsmail/A 51980-2022 FSC-klagomål mail.docx", "A 51980-2022")</f>
        <v/>
      </c>
      <c r="X67">
        <f>HYPERLINK("https://klasma.github.io/Logging_0188/tillsyn/A 51980-2022 tillsynsbegäran.docx", "A 51980-2022")</f>
        <v/>
      </c>
      <c r="Y67">
        <f>HYPERLINK("https://klasma.github.io/Logging_0188/tillsynsmail/A 51980-2022 tillsynsbegäran mail.docx", "A 51980-2022")</f>
        <v/>
      </c>
    </row>
    <row r="68" ht="15" customHeight="1">
      <c r="A68" t="inlineStr">
        <is>
          <t>A 53608-2025</t>
        </is>
      </c>
      <c r="B68" s="1" t="n">
        <v>45960</v>
      </c>
      <c r="C68" s="1" t="n">
        <v>46184</v>
      </c>
      <c r="D68" t="inlineStr">
        <is>
          <t>STOCKHOLMS LÄN</t>
        </is>
      </c>
      <c r="E68" t="inlineStr">
        <is>
          <t>NORRTÄLJE</t>
        </is>
      </c>
      <c r="F68" t="inlineStr">
        <is>
          <t>Holmen skog AB</t>
        </is>
      </c>
      <c r="G68" t="n">
        <v>3.2</v>
      </c>
      <c r="H68" t="n">
        <v>2</v>
      </c>
      <c r="I68" t="n">
        <v>0</v>
      </c>
      <c r="J68" t="n">
        <v>1</v>
      </c>
      <c r="K68" t="n">
        <v>0</v>
      </c>
      <c r="L68" t="n">
        <v>1</v>
      </c>
      <c r="M68" t="n">
        <v>0</v>
      </c>
      <c r="N68" t="n">
        <v>0</v>
      </c>
      <c r="O68" t="n">
        <v>2</v>
      </c>
      <c r="P68" t="n">
        <v>1</v>
      </c>
      <c r="Q68" t="n">
        <v>2</v>
      </c>
      <c r="R68" s="2" t="inlineStr">
        <is>
          <t>Asknätfjäril
Spillkråka</t>
        </is>
      </c>
      <c r="S68">
        <f>HYPERLINK("https://klasma.github.io/Logging_0188/artfynd/A 53608-2025 artfynd.xlsx", "A 53608-2025")</f>
        <v/>
      </c>
      <c r="T68">
        <f>HYPERLINK("https://klasma.github.io/Logging_0188/kartor/A 53608-2025 karta.png", "A 53608-2025")</f>
        <v/>
      </c>
      <c r="V68">
        <f>HYPERLINK("https://klasma.github.io/Logging_0188/klagomål/A 53608-2025 FSC-klagomål.docx", "A 53608-2025")</f>
        <v/>
      </c>
      <c r="W68">
        <f>HYPERLINK("https://klasma.github.io/Logging_0188/klagomålsmail/A 53608-2025 FSC-klagomål mail.docx", "A 53608-2025")</f>
        <v/>
      </c>
      <c r="X68">
        <f>HYPERLINK("https://klasma.github.io/Logging_0188/tillsyn/A 53608-2025 tillsynsbegäran.docx", "A 53608-2025")</f>
        <v/>
      </c>
      <c r="Y68">
        <f>HYPERLINK("https://klasma.github.io/Logging_0188/tillsynsmail/A 53608-2025 tillsynsbegäran mail.docx", "A 53608-2025")</f>
        <v/>
      </c>
      <c r="Z68">
        <f>HYPERLINK("https://klasma.github.io/Logging_0188/fåglar/A 53608-2025 prioriterade fågelarter.docx", "A 53608-2025")</f>
        <v/>
      </c>
    </row>
    <row r="69" ht="15" customHeight="1">
      <c r="A69" t="inlineStr">
        <is>
          <t>A 21781-2026</t>
        </is>
      </c>
      <c r="B69" s="1" t="n">
        <v>46150.37699074074</v>
      </c>
      <c r="C69" s="1" t="n">
        <v>46184</v>
      </c>
      <c r="D69" t="inlineStr">
        <is>
          <t>STOCKHOLMS LÄN</t>
        </is>
      </c>
      <c r="E69" t="inlineStr">
        <is>
          <t>NORRTÄLJE</t>
        </is>
      </c>
      <c r="G69" t="n">
        <v>6.2</v>
      </c>
      <c r="H69" t="n">
        <v>1</v>
      </c>
      <c r="I69" t="n">
        <v>0</v>
      </c>
      <c r="J69" t="n">
        <v>1</v>
      </c>
      <c r="K69" t="n">
        <v>1</v>
      </c>
      <c r="L69" t="n">
        <v>0</v>
      </c>
      <c r="M69" t="n">
        <v>0</v>
      </c>
      <c r="N69" t="n">
        <v>0</v>
      </c>
      <c r="O69" t="n">
        <v>2</v>
      </c>
      <c r="P69" t="n">
        <v>1</v>
      </c>
      <c r="Q69" t="n">
        <v>2</v>
      </c>
      <c r="R69" s="2" t="inlineStr">
        <is>
          <t>Hällebräcka
Slåtterfibbla</t>
        </is>
      </c>
      <c r="S69">
        <f>HYPERLINK("https://klasma.github.io/Logging_0188/artfynd/A 21781-2026 artfynd.xlsx", "A 21781-2026")</f>
        <v/>
      </c>
      <c r="T69">
        <f>HYPERLINK("https://klasma.github.io/Logging_0188/kartor/A 21781-2026 karta.png", "A 21781-2026")</f>
        <v/>
      </c>
      <c r="V69">
        <f>HYPERLINK("https://klasma.github.io/Logging_0188/klagomål/A 21781-2026 FSC-klagomål.docx", "A 21781-2026")</f>
        <v/>
      </c>
      <c r="W69">
        <f>HYPERLINK("https://klasma.github.io/Logging_0188/klagomålsmail/A 21781-2026 FSC-klagomål mail.docx", "A 21781-2026")</f>
        <v/>
      </c>
      <c r="X69">
        <f>HYPERLINK("https://klasma.github.io/Logging_0188/tillsyn/A 21781-2026 tillsynsbegäran.docx", "A 21781-2026")</f>
        <v/>
      </c>
      <c r="Y69">
        <f>HYPERLINK("https://klasma.github.io/Logging_0188/tillsynsmail/A 21781-2026 tillsynsbegäran mail.docx", "A 21781-2026")</f>
        <v/>
      </c>
    </row>
    <row r="70" ht="15" customHeight="1">
      <c r="A70" t="inlineStr">
        <is>
          <t>A 51220-2023</t>
        </is>
      </c>
      <c r="B70" s="1" t="n">
        <v>45219</v>
      </c>
      <c r="C70" s="1" t="n">
        <v>46184</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23548-2026</t>
        </is>
      </c>
      <c r="B71" s="1" t="n">
        <v>46163.57045138889</v>
      </c>
      <c r="C71" s="1" t="n">
        <v>46184</v>
      </c>
      <c r="D71" t="inlineStr">
        <is>
          <t>STOCKHOLMS LÄN</t>
        </is>
      </c>
      <c r="E71" t="inlineStr">
        <is>
          <t>NORRTÄLJE</t>
        </is>
      </c>
      <c r="G71" t="n">
        <v>2.3</v>
      </c>
      <c r="H71" t="n">
        <v>2</v>
      </c>
      <c r="I71" t="n">
        <v>0</v>
      </c>
      <c r="J71" t="n">
        <v>0</v>
      </c>
      <c r="K71" t="n">
        <v>0</v>
      </c>
      <c r="L71" t="n">
        <v>0</v>
      </c>
      <c r="M71" t="n">
        <v>0</v>
      </c>
      <c r="N71" t="n">
        <v>0</v>
      </c>
      <c r="O71" t="n">
        <v>0</v>
      </c>
      <c r="P71" t="n">
        <v>0</v>
      </c>
      <c r="Q71" t="n">
        <v>2</v>
      </c>
      <c r="R71" s="2" t="inlineStr">
        <is>
          <t>Nattviol × grönvit nattviol
Ängsnattviol × grönvit nattviol</t>
        </is>
      </c>
      <c r="S71">
        <f>HYPERLINK("https://klasma.github.io/Logging_0188/artfynd/A 23548-2026 artfynd.xlsx", "A 23548-2026")</f>
        <v/>
      </c>
      <c r="T71">
        <f>HYPERLINK("https://klasma.github.io/Logging_0188/kartor/A 23548-2026 karta.png", "A 23548-2026")</f>
        <v/>
      </c>
      <c r="V71">
        <f>HYPERLINK("https://klasma.github.io/Logging_0188/klagomål/A 23548-2026 FSC-klagomål.docx", "A 23548-2026")</f>
        <v/>
      </c>
      <c r="W71">
        <f>HYPERLINK("https://klasma.github.io/Logging_0188/klagomålsmail/A 23548-2026 FSC-klagomål mail.docx", "A 23548-2026")</f>
        <v/>
      </c>
      <c r="X71">
        <f>HYPERLINK("https://klasma.github.io/Logging_0188/tillsyn/A 23548-2026 tillsynsbegäran.docx", "A 23548-2026")</f>
        <v/>
      </c>
      <c r="Y71">
        <f>HYPERLINK("https://klasma.github.io/Logging_0188/tillsynsmail/A 23548-2026 tillsynsbegäran mail.docx", "A 23548-2026")</f>
        <v/>
      </c>
    </row>
    <row r="72" ht="15" customHeight="1">
      <c r="A72" t="inlineStr">
        <is>
          <t>A 52124-2022</t>
        </is>
      </c>
      <c r="B72" s="1" t="n">
        <v>44868</v>
      </c>
      <c r="C72" s="1" t="n">
        <v>46184</v>
      </c>
      <c r="D72" t="inlineStr">
        <is>
          <t>STOCKHOLMS LÄN</t>
        </is>
      </c>
      <c r="E72" t="inlineStr">
        <is>
          <t>NORRTÄLJE</t>
        </is>
      </c>
      <c r="G72" t="n">
        <v>4.8</v>
      </c>
      <c r="H72" t="n">
        <v>1</v>
      </c>
      <c r="I72" t="n">
        <v>0</v>
      </c>
      <c r="J72" t="n">
        <v>1</v>
      </c>
      <c r="K72" t="n">
        <v>0</v>
      </c>
      <c r="L72" t="n">
        <v>0</v>
      </c>
      <c r="M72" t="n">
        <v>0</v>
      </c>
      <c r="N72" t="n">
        <v>0</v>
      </c>
      <c r="O72" t="n">
        <v>1</v>
      </c>
      <c r="P72" t="n">
        <v>0</v>
      </c>
      <c r="Q72" t="n">
        <v>2</v>
      </c>
      <c r="R72" s="2" t="inlineStr">
        <is>
          <t>Kandelabersvamp
Blåsippa</t>
        </is>
      </c>
      <c r="S72">
        <f>HYPERLINK("https://klasma.github.io/Logging_0188/artfynd/A 52124-2022 artfynd.xlsx", "A 52124-2022")</f>
        <v/>
      </c>
      <c r="T72">
        <f>HYPERLINK("https://klasma.github.io/Logging_0188/kartor/A 52124-2022 karta.png", "A 52124-2022")</f>
        <v/>
      </c>
      <c r="V72">
        <f>HYPERLINK("https://klasma.github.io/Logging_0188/klagomål/A 52124-2022 FSC-klagomål.docx", "A 52124-2022")</f>
        <v/>
      </c>
      <c r="W72">
        <f>HYPERLINK("https://klasma.github.io/Logging_0188/klagomålsmail/A 52124-2022 FSC-klagomål mail.docx", "A 52124-2022")</f>
        <v/>
      </c>
      <c r="X72">
        <f>HYPERLINK("https://klasma.github.io/Logging_0188/tillsyn/A 52124-2022 tillsynsbegäran.docx", "A 52124-2022")</f>
        <v/>
      </c>
      <c r="Y72">
        <f>HYPERLINK("https://klasma.github.io/Logging_0188/tillsynsmail/A 52124-2022 tillsynsbegäran mail.docx", "A 52124-2022")</f>
        <v/>
      </c>
    </row>
    <row r="73" ht="15" customHeight="1">
      <c r="A73" t="inlineStr">
        <is>
          <t>A 52825-2023</t>
        </is>
      </c>
      <c r="B73" s="1" t="n">
        <v>45226</v>
      </c>
      <c r="C73" s="1" t="n">
        <v>46184</v>
      </c>
      <c r="D73" t="inlineStr">
        <is>
          <t>STOCKHOLMS LÄN</t>
        </is>
      </c>
      <c r="E73" t="inlineStr">
        <is>
          <t>NORRTÄLJE</t>
        </is>
      </c>
      <c r="G73" t="n">
        <v>1</v>
      </c>
      <c r="H73" t="n">
        <v>0</v>
      </c>
      <c r="I73" t="n">
        <v>2</v>
      </c>
      <c r="J73" t="n">
        <v>0</v>
      </c>
      <c r="K73" t="n">
        <v>0</v>
      </c>
      <c r="L73" t="n">
        <v>0</v>
      </c>
      <c r="M73" t="n">
        <v>0</v>
      </c>
      <c r="N73" t="n">
        <v>0</v>
      </c>
      <c r="O73" t="n">
        <v>0</v>
      </c>
      <c r="P73" t="n">
        <v>0</v>
      </c>
      <c r="Q73" t="n">
        <v>2</v>
      </c>
      <c r="R73" s="2" t="inlineStr">
        <is>
          <t>Fjällig taggsvamp s.str.
Strimspindling</t>
        </is>
      </c>
      <c r="S73">
        <f>HYPERLINK("https://klasma.github.io/Logging_0188/artfynd/A 52825-2023 artfynd.xlsx", "A 52825-2023")</f>
        <v/>
      </c>
      <c r="T73">
        <f>HYPERLINK("https://klasma.github.io/Logging_0188/kartor/A 52825-2023 karta.png", "A 52825-2023")</f>
        <v/>
      </c>
      <c r="V73">
        <f>HYPERLINK("https://klasma.github.io/Logging_0188/klagomål/A 52825-2023 FSC-klagomål.docx", "A 52825-2023")</f>
        <v/>
      </c>
      <c r="W73">
        <f>HYPERLINK("https://klasma.github.io/Logging_0188/klagomålsmail/A 52825-2023 FSC-klagomål mail.docx", "A 52825-2023")</f>
        <v/>
      </c>
      <c r="X73">
        <f>HYPERLINK("https://klasma.github.io/Logging_0188/tillsyn/A 52825-2023 tillsynsbegäran.docx", "A 52825-2023")</f>
        <v/>
      </c>
      <c r="Y73">
        <f>HYPERLINK("https://klasma.github.io/Logging_0188/tillsynsmail/A 52825-2023 tillsynsbegäran mail.docx", "A 52825-2023")</f>
        <v/>
      </c>
    </row>
    <row r="74" ht="15" customHeight="1">
      <c r="A74" t="inlineStr">
        <is>
          <t>A 52360-2024</t>
        </is>
      </c>
      <c r="B74" s="1" t="n">
        <v>45609.37094907407</v>
      </c>
      <c r="C74" s="1" t="n">
        <v>46184</v>
      </c>
      <c r="D74" t="inlineStr">
        <is>
          <t>STOCKHOLMS LÄN</t>
        </is>
      </c>
      <c r="E74" t="inlineStr">
        <is>
          <t>NORRTÄLJE</t>
        </is>
      </c>
      <c r="G74" t="n">
        <v>2.2</v>
      </c>
      <c r="H74" t="n">
        <v>1</v>
      </c>
      <c r="I74" t="n">
        <v>1</v>
      </c>
      <c r="J74" t="n">
        <v>0</v>
      </c>
      <c r="K74" t="n">
        <v>0</v>
      </c>
      <c r="L74" t="n">
        <v>0</v>
      </c>
      <c r="M74" t="n">
        <v>0</v>
      </c>
      <c r="N74" t="n">
        <v>0</v>
      </c>
      <c r="O74" t="n">
        <v>0</v>
      </c>
      <c r="P74" t="n">
        <v>0</v>
      </c>
      <c r="Q74" t="n">
        <v>2</v>
      </c>
      <c r="R74" s="2" t="inlineStr">
        <is>
          <t>Brandticka
Blåsippa</t>
        </is>
      </c>
      <c r="S74">
        <f>HYPERLINK("https://klasma.github.io/Logging_0188/artfynd/A 52360-2024 artfynd.xlsx", "A 52360-2024")</f>
        <v/>
      </c>
      <c r="T74">
        <f>HYPERLINK("https://klasma.github.io/Logging_0188/kartor/A 52360-2024 karta.png", "A 52360-2024")</f>
        <v/>
      </c>
      <c r="V74">
        <f>HYPERLINK("https://klasma.github.io/Logging_0188/klagomål/A 52360-2024 FSC-klagomål.docx", "A 52360-2024")</f>
        <v/>
      </c>
      <c r="W74">
        <f>HYPERLINK("https://klasma.github.io/Logging_0188/klagomålsmail/A 52360-2024 FSC-klagomål mail.docx", "A 52360-2024")</f>
        <v/>
      </c>
      <c r="X74">
        <f>HYPERLINK("https://klasma.github.io/Logging_0188/tillsyn/A 52360-2024 tillsynsbegäran.docx", "A 52360-2024")</f>
        <v/>
      </c>
      <c r="Y74">
        <f>HYPERLINK("https://klasma.github.io/Logging_0188/tillsynsmail/A 52360-2024 tillsynsbegäran mail.docx", "A 52360-2024")</f>
        <v/>
      </c>
    </row>
    <row r="75" ht="15" customHeight="1">
      <c r="A75" t="inlineStr">
        <is>
          <t>A 26207-2026</t>
        </is>
      </c>
      <c r="B75" s="1" t="n">
        <v>46182.42454861111</v>
      </c>
      <c r="C75" s="1" t="n">
        <v>46184</v>
      </c>
      <c r="D75" t="inlineStr">
        <is>
          <t>STOCKHOLMS LÄN</t>
        </is>
      </c>
      <c r="E75" t="inlineStr">
        <is>
          <t>NORRTÄLJE</t>
        </is>
      </c>
      <c r="G75" t="n">
        <v>4.2</v>
      </c>
      <c r="H75" t="n">
        <v>2</v>
      </c>
      <c r="I75" t="n">
        <v>0</v>
      </c>
      <c r="J75" t="n">
        <v>1</v>
      </c>
      <c r="K75" t="n">
        <v>0</v>
      </c>
      <c r="L75" t="n">
        <v>0</v>
      </c>
      <c r="M75" t="n">
        <v>0</v>
      </c>
      <c r="N75" t="n">
        <v>0</v>
      </c>
      <c r="O75" t="n">
        <v>1</v>
      </c>
      <c r="P75" t="n">
        <v>0</v>
      </c>
      <c r="Q75" t="n">
        <v>2</v>
      </c>
      <c r="R75" s="2" t="inlineStr">
        <is>
          <t>Björktrast
Grönsiska</t>
        </is>
      </c>
      <c r="S75">
        <f>HYPERLINK("https://klasma.github.io/Logging_0188/artfynd/A 26207-2026 artfynd.xlsx", "A 26207-2026")</f>
        <v/>
      </c>
      <c r="T75">
        <f>HYPERLINK("https://klasma.github.io/Logging_0188/kartor/A 26207-2026 karta.png", "A 26207-2026")</f>
        <v/>
      </c>
      <c r="V75">
        <f>HYPERLINK("https://klasma.github.io/Logging_0188/klagomål/A 26207-2026 FSC-klagomål.docx", "A 26207-2026")</f>
        <v/>
      </c>
      <c r="W75">
        <f>HYPERLINK("https://klasma.github.io/Logging_0188/klagomålsmail/A 26207-2026 FSC-klagomål mail.docx", "A 26207-2026")</f>
        <v/>
      </c>
      <c r="X75">
        <f>HYPERLINK("https://klasma.github.io/Logging_0188/tillsyn/A 26207-2026 tillsynsbegäran.docx", "A 26207-2026")</f>
        <v/>
      </c>
      <c r="Y75">
        <f>HYPERLINK("https://klasma.github.io/Logging_0188/tillsynsmail/A 26207-2026 tillsynsbegäran mail.docx", "A 26207-2026")</f>
        <v/>
      </c>
      <c r="Z75">
        <f>HYPERLINK("https://klasma.github.io/Logging_0188/fåglar/A 26207-2026 prioriterade fågelarter.docx", "A 26207-2026")</f>
        <v/>
      </c>
    </row>
    <row r="76" ht="15" customHeight="1">
      <c r="A76" t="inlineStr">
        <is>
          <t>A 1547-2022</t>
        </is>
      </c>
      <c r="B76" s="1" t="n">
        <v>44573</v>
      </c>
      <c r="C76" s="1" t="n">
        <v>46184</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46184</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46184</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46184</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58888-2021</t>
        </is>
      </c>
      <c r="B80" s="1" t="n">
        <v>44489</v>
      </c>
      <c r="C80" s="1" t="n">
        <v>46184</v>
      </c>
      <c r="D80" t="inlineStr">
        <is>
          <t>STOCKHOLMS LÄN</t>
        </is>
      </c>
      <c r="E80" t="inlineStr">
        <is>
          <t>NORRTÄLJE</t>
        </is>
      </c>
      <c r="F80" t="inlineStr">
        <is>
          <t>Holmen skog AB</t>
        </is>
      </c>
      <c r="G80" t="n">
        <v>2.5</v>
      </c>
      <c r="H80" t="n">
        <v>1</v>
      </c>
      <c r="I80" t="n">
        <v>0</v>
      </c>
      <c r="J80" t="n">
        <v>0</v>
      </c>
      <c r="K80" t="n">
        <v>0</v>
      </c>
      <c r="L80" t="n">
        <v>1</v>
      </c>
      <c r="M80" t="n">
        <v>0</v>
      </c>
      <c r="N80" t="n">
        <v>0</v>
      </c>
      <c r="O80" t="n">
        <v>1</v>
      </c>
      <c r="P80" t="n">
        <v>1</v>
      </c>
      <c r="Q80" t="n">
        <v>1</v>
      </c>
      <c r="R80" s="2" t="inlineStr">
        <is>
          <t>Asknätfjäril</t>
        </is>
      </c>
      <c r="S80">
        <f>HYPERLINK("https://klasma.github.io/Logging_0188/artfynd/A 58888-2021 artfynd.xlsx", "A 58888-2021")</f>
        <v/>
      </c>
      <c r="T80">
        <f>HYPERLINK("https://klasma.github.io/Logging_0188/kartor/A 58888-2021 karta.png", "A 58888-2021")</f>
        <v/>
      </c>
      <c r="V80">
        <f>HYPERLINK("https://klasma.github.io/Logging_0188/klagomål/A 58888-2021 FSC-klagomål.docx", "A 58888-2021")</f>
        <v/>
      </c>
      <c r="W80">
        <f>HYPERLINK("https://klasma.github.io/Logging_0188/klagomålsmail/A 58888-2021 FSC-klagomål mail.docx", "A 58888-2021")</f>
        <v/>
      </c>
      <c r="X80">
        <f>HYPERLINK("https://klasma.github.io/Logging_0188/tillsyn/A 58888-2021 tillsynsbegäran.docx", "A 58888-2021")</f>
        <v/>
      </c>
      <c r="Y80">
        <f>HYPERLINK("https://klasma.github.io/Logging_0188/tillsynsmail/A 58888-2021 tillsynsbegäran mail.docx", "A 58888-2021")</f>
        <v/>
      </c>
    </row>
    <row r="81" ht="15" customHeight="1">
      <c r="A81" t="inlineStr">
        <is>
          <t>A 11429-2023</t>
        </is>
      </c>
      <c r="B81" s="1" t="n">
        <v>44993</v>
      </c>
      <c r="C81" s="1" t="n">
        <v>46184</v>
      </c>
      <c r="D81" t="inlineStr">
        <is>
          <t>STOCKHOLMS LÄN</t>
        </is>
      </c>
      <c r="E81" t="inlineStr">
        <is>
          <t>NORRTÄLJE</t>
        </is>
      </c>
      <c r="G81" t="n">
        <v>2</v>
      </c>
      <c r="H81" t="n">
        <v>0</v>
      </c>
      <c r="I81" t="n">
        <v>0</v>
      </c>
      <c r="J81" t="n">
        <v>1</v>
      </c>
      <c r="K81" t="n">
        <v>0</v>
      </c>
      <c r="L81" t="n">
        <v>0</v>
      </c>
      <c r="M81" t="n">
        <v>0</v>
      </c>
      <c r="N81" t="n">
        <v>0</v>
      </c>
      <c r="O81" t="n">
        <v>1</v>
      </c>
      <c r="P81" t="n">
        <v>0</v>
      </c>
      <c r="Q81" t="n">
        <v>1</v>
      </c>
      <c r="R81" s="2" t="inlineStr">
        <is>
          <t>Skogsklocka</t>
        </is>
      </c>
      <c r="S81">
        <f>HYPERLINK("https://klasma.github.io/Logging_0188/artfynd/A 11429-2023 artfynd.xlsx", "A 11429-2023")</f>
        <v/>
      </c>
      <c r="T81">
        <f>HYPERLINK("https://klasma.github.io/Logging_0188/kartor/A 11429-2023 karta.png", "A 11429-2023")</f>
        <v/>
      </c>
      <c r="V81">
        <f>HYPERLINK("https://klasma.github.io/Logging_0188/klagomål/A 11429-2023 FSC-klagomål.docx", "A 11429-2023")</f>
        <v/>
      </c>
      <c r="W81">
        <f>HYPERLINK("https://klasma.github.io/Logging_0188/klagomålsmail/A 11429-2023 FSC-klagomål mail.docx", "A 11429-2023")</f>
        <v/>
      </c>
      <c r="X81">
        <f>HYPERLINK("https://klasma.github.io/Logging_0188/tillsyn/A 11429-2023 tillsynsbegäran.docx", "A 11429-2023")</f>
        <v/>
      </c>
      <c r="Y81">
        <f>HYPERLINK("https://klasma.github.io/Logging_0188/tillsynsmail/A 11429-2023 tillsynsbegäran mail.docx", "A 11429-2023")</f>
        <v/>
      </c>
    </row>
    <row r="82" ht="15" customHeight="1">
      <c r="A82" t="inlineStr">
        <is>
          <t>A 9955-2022</t>
        </is>
      </c>
      <c r="B82" s="1" t="n">
        <v>44620</v>
      </c>
      <c r="C82" s="1" t="n">
        <v>46184</v>
      </c>
      <c r="D82" t="inlineStr">
        <is>
          <t>STOCKHOLMS LÄN</t>
        </is>
      </c>
      <c r="E82" t="inlineStr">
        <is>
          <t>NORRTÄLJE</t>
        </is>
      </c>
      <c r="G82" t="n">
        <v>7.8</v>
      </c>
      <c r="H82" t="n">
        <v>1</v>
      </c>
      <c r="I82" t="n">
        <v>0</v>
      </c>
      <c r="J82" t="n">
        <v>0</v>
      </c>
      <c r="K82" t="n">
        <v>0</v>
      </c>
      <c r="L82" t="n">
        <v>0</v>
      </c>
      <c r="M82" t="n">
        <v>0</v>
      </c>
      <c r="N82" t="n">
        <v>0</v>
      </c>
      <c r="O82" t="n">
        <v>0</v>
      </c>
      <c r="P82" t="n">
        <v>0</v>
      </c>
      <c r="Q82" t="n">
        <v>1</v>
      </c>
      <c r="R82" s="2" t="inlineStr">
        <is>
          <t>Åkergroda</t>
        </is>
      </c>
      <c r="S82">
        <f>HYPERLINK("https://klasma.github.io/Logging_0188/artfynd/A 9955-2022 artfynd.xlsx", "A 9955-2022")</f>
        <v/>
      </c>
      <c r="T82">
        <f>HYPERLINK("https://klasma.github.io/Logging_0188/kartor/A 9955-2022 karta.png", "A 9955-2022")</f>
        <v/>
      </c>
      <c r="V82">
        <f>HYPERLINK("https://klasma.github.io/Logging_0188/klagomål/A 9955-2022 FSC-klagomål.docx", "A 9955-2022")</f>
        <v/>
      </c>
      <c r="W82">
        <f>HYPERLINK("https://klasma.github.io/Logging_0188/klagomålsmail/A 9955-2022 FSC-klagomål mail.docx", "A 9955-2022")</f>
        <v/>
      </c>
      <c r="X82">
        <f>HYPERLINK("https://klasma.github.io/Logging_0188/tillsyn/A 9955-2022 tillsynsbegäran.docx", "A 9955-2022")</f>
        <v/>
      </c>
      <c r="Y82">
        <f>HYPERLINK("https://klasma.github.io/Logging_0188/tillsynsmail/A 9955-2022 tillsynsbegäran mail.docx", "A 9955-2022")</f>
        <v/>
      </c>
    </row>
    <row r="83" ht="15" customHeight="1">
      <c r="A83" t="inlineStr">
        <is>
          <t>A 40861-2025</t>
        </is>
      </c>
      <c r="B83" s="1" t="n">
        <v>45897.56356481482</v>
      </c>
      <c r="C83" s="1" t="n">
        <v>46184</v>
      </c>
      <c r="D83" t="inlineStr">
        <is>
          <t>STOCKHOLMS LÄN</t>
        </is>
      </c>
      <c r="E83" t="inlineStr">
        <is>
          <t>NORRTÄLJE</t>
        </is>
      </c>
      <c r="G83" t="n">
        <v>4</v>
      </c>
      <c r="H83" t="n">
        <v>0</v>
      </c>
      <c r="I83" t="n">
        <v>0</v>
      </c>
      <c r="J83" t="n">
        <v>1</v>
      </c>
      <c r="K83" t="n">
        <v>0</v>
      </c>
      <c r="L83" t="n">
        <v>0</v>
      </c>
      <c r="M83" t="n">
        <v>0</v>
      </c>
      <c r="N83" t="n">
        <v>0</v>
      </c>
      <c r="O83" t="n">
        <v>1</v>
      </c>
      <c r="P83" t="n">
        <v>0</v>
      </c>
      <c r="Q83" t="n">
        <v>1</v>
      </c>
      <c r="R83" s="2" t="inlineStr">
        <is>
          <t>Skogsklocka</t>
        </is>
      </c>
      <c r="S83">
        <f>HYPERLINK("https://klasma.github.io/Logging_0188/artfynd/A 40861-2025 artfynd.xlsx", "A 40861-2025")</f>
        <v/>
      </c>
      <c r="T83">
        <f>HYPERLINK("https://klasma.github.io/Logging_0188/kartor/A 40861-2025 karta.png", "A 40861-2025")</f>
        <v/>
      </c>
      <c r="V83">
        <f>HYPERLINK("https://klasma.github.io/Logging_0188/klagomål/A 40861-2025 FSC-klagomål.docx", "A 40861-2025")</f>
        <v/>
      </c>
      <c r="W83">
        <f>HYPERLINK("https://klasma.github.io/Logging_0188/klagomålsmail/A 40861-2025 FSC-klagomål mail.docx", "A 40861-2025")</f>
        <v/>
      </c>
      <c r="X83">
        <f>HYPERLINK("https://klasma.github.io/Logging_0188/tillsyn/A 40861-2025 tillsynsbegäran.docx", "A 40861-2025")</f>
        <v/>
      </c>
      <c r="Y83">
        <f>HYPERLINK("https://klasma.github.io/Logging_0188/tillsynsmail/A 40861-2025 tillsynsbegäran mail.docx", "A 40861-2025")</f>
        <v/>
      </c>
    </row>
    <row r="84" ht="15" customHeight="1">
      <c r="A84" t="inlineStr">
        <is>
          <t>A 23905-2025</t>
        </is>
      </c>
      <c r="B84" s="1" t="n">
        <v>45794.63298611111</v>
      </c>
      <c r="C84" s="1" t="n">
        <v>46184</v>
      </c>
      <c r="D84" t="inlineStr">
        <is>
          <t>STOCKHOLMS LÄN</t>
        </is>
      </c>
      <c r="E84" t="inlineStr">
        <is>
          <t>NORRTÄLJE</t>
        </is>
      </c>
      <c r="G84" t="n">
        <v>8.4</v>
      </c>
      <c r="H84" t="n">
        <v>1</v>
      </c>
      <c r="I84" t="n">
        <v>0</v>
      </c>
      <c r="J84" t="n">
        <v>0</v>
      </c>
      <c r="K84" t="n">
        <v>0</v>
      </c>
      <c r="L84" t="n">
        <v>0</v>
      </c>
      <c r="M84" t="n">
        <v>0</v>
      </c>
      <c r="N84" t="n">
        <v>0</v>
      </c>
      <c r="O84" t="n">
        <v>0</v>
      </c>
      <c r="P84" t="n">
        <v>0</v>
      </c>
      <c r="Q84" t="n">
        <v>1</v>
      </c>
      <c r="R84" s="2" t="inlineStr">
        <is>
          <t>Blåsippa</t>
        </is>
      </c>
      <c r="S84">
        <f>HYPERLINK("https://klasma.github.io/Logging_0188/artfynd/A 23905-2025 artfynd.xlsx", "A 23905-2025")</f>
        <v/>
      </c>
      <c r="T84">
        <f>HYPERLINK("https://klasma.github.io/Logging_0188/kartor/A 23905-2025 karta.png", "A 23905-2025")</f>
        <v/>
      </c>
      <c r="V84">
        <f>HYPERLINK("https://klasma.github.io/Logging_0188/klagomål/A 23905-2025 FSC-klagomål.docx", "A 23905-2025")</f>
        <v/>
      </c>
      <c r="W84">
        <f>HYPERLINK("https://klasma.github.io/Logging_0188/klagomålsmail/A 23905-2025 FSC-klagomål mail.docx", "A 23905-2025")</f>
        <v/>
      </c>
      <c r="X84">
        <f>HYPERLINK("https://klasma.github.io/Logging_0188/tillsyn/A 23905-2025 tillsynsbegäran.docx", "A 23905-2025")</f>
        <v/>
      </c>
      <c r="Y84">
        <f>HYPERLINK("https://klasma.github.io/Logging_0188/tillsynsmail/A 23905-2025 tillsynsbegäran mail.docx", "A 23905-2025")</f>
        <v/>
      </c>
    </row>
    <row r="85" ht="15" customHeight="1">
      <c r="A85" t="inlineStr">
        <is>
          <t>A 42313-2025</t>
        </is>
      </c>
      <c r="B85" s="1" t="n">
        <v>45904.6575</v>
      </c>
      <c r="C85" s="1" t="n">
        <v>46184</v>
      </c>
      <c r="D85" t="inlineStr">
        <is>
          <t>STOCKHOLMS LÄN</t>
        </is>
      </c>
      <c r="E85" t="inlineStr">
        <is>
          <t>NORRTÄLJE</t>
        </is>
      </c>
      <c r="G85" t="n">
        <v>1.7</v>
      </c>
      <c r="H85" t="n">
        <v>1</v>
      </c>
      <c r="I85" t="n">
        <v>0</v>
      </c>
      <c r="J85" t="n">
        <v>0</v>
      </c>
      <c r="K85" t="n">
        <v>0</v>
      </c>
      <c r="L85" t="n">
        <v>0</v>
      </c>
      <c r="M85" t="n">
        <v>0</v>
      </c>
      <c r="N85" t="n">
        <v>0</v>
      </c>
      <c r="O85" t="n">
        <v>0</v>
      </c>
      <c r="P85" t="n">
        <v>0</v>
      </c>
      <c r="Q85" t="n">
        <v>1</v>
      </c>
      <c r="R85" s="2" t="inlineStr">
        <is>
          <t>Vanlig padda</t>
        </is>
      </c>
      <c r="S85">
        <f>HYPERLINK("https://klasma.github.io/Logging_0188/artfynd/A 42313-2025 artfynd.xlsx", "A 42313-2025")</f>
        <v/>
      </c>
      <c r="T85">
        <f>HYPERLINK("https://klasma.github.io/Logging_0188/kartor/A 42313-2025 karta.png", "A 42313-2025")</f>
        <v/>
      </c>
      <c r="V85">
        <f>HYPERLINK("https://klasma.github.io/Logging_0188/klagomål/A 42313-2025 FSC-klagomål.docx", "A 42313-2025")</f>
        <v/>
      </c>
      <c r="W85">
        <f>HYPERLINK("https://klasma.github.io/Logging_0188/klagomålsmail/A 42313-2025 FSC-klagomål mail.docx", "A 42313-2025")</f>
        <v/>
      </c>
      <c r="X85">
        <f>HYPERLINK("https://klasma.github.io/Logging_0188/tillsyn/A 42313-2025 tillsynsbegäran.docx", "A 42313-2025")</f>
        <v/>
      </c>
      <c r="Y85">
        <f>HYPERLINK("https://klasma.github.io/Logging_0188/tillsynsmail/A 42313-2025 tillsynsbegäran mail.docx", "A 42313-2025")</f>
        <v/>
      </c>
    </row>
    <row r="86" ht="15" customHeight="1">
      <c r="A86" t="inlineStr">
        <is>
          <t>A 25669-2025</t>
        </is>
      </c>
      <c r="B86" s="1" t="n">
        <v>45803.62766203703</v>
      </c>
      <c r="C86" s="1" t="n">
        <v>46184</v>
      </c>
      <c r="D86" t="inlineStr">
        <is>
          <t>STOCKHOLMS LÄN</t>
        </is>
      </c>
      <c r="E86" t="inlineStr">
        <is>
          <t>NORRTÄLJE</t>
        </is>
      </c>
      <c r="F86" t="inlineStr">
        <is>
          <t>Holmen skog AB</t>
        </is>
      </c>
      <c r="G86" t="n">
        <v>3.1</v>
      </c>
      <c r="H86" t="n">
        <v>1</v>
      </c>
      <c r="I86" t="n">
        <v>0</v>
      </c>
      <c r="J86" t="n">
        <v>0</v>
      </c>
      <c r="K86" t="n">
        <v>0</v>
      </c>
      <c r="L86" t="n">
        <v>0</v>
      </c>
      <c r="M86" t="n">
        <v>0</v>
      </c>
      <c r="N86" t="n">
        <v>0</v>
      </c>
      <c r="O86" t="n">
        <v>0</v>
      </c>
      <c r="P86" t="n">
        <v>0</v>
      </c>
      <c r="Q86" t="n">
        <v>1</v>
      </c>
      <c r="R86" s="2" t="inlineStr">
        <is>
          <t>Tjäder</t>
        </is>
      </c>
      <c r="S86">
        <f>HYPERLINK("https://klasma.github.io/Logging_0188/artfynd/A 25669-2025 artfynd.xlsx", "A 25669-2025")</f>
        <v/>
      </c>
      <c r="T86">
        <f>HYPERLINK("https://klasma.github.io/Logging_0188/kartor/A 25669-2025 karta.png", "A 25669-2025")</f>
        <v/>
      </c>
      <c r="V86">
        <f>HYPERLINK("https://klasma.github.io/Logging_0188/klagomål/A 25669-2025 FSC-klagomål.docx", "A 25669-2025")</f>
        <v/>
      </c>
      <c r="W86">
        <f>HYPERLINK("https://klasma.github.io/Logging_0188/klagomålsmail/A 25669-2025 FSC-klagomål mail.docx", "A 25669-2025")</f>
        <v/>
      </c>
      <c r="X86">
        <f>HYPERLINK("https://klasma.github.io/Logging_0188/tillsyn/A 25669-2025 tillsynsbegäran.docx", "A 25669-2025")</f>
        <v/>
      </c>
      <c r="Y86">
        <f>HYPERLINK("https://klasma.github.io/Logging_0188/tillsynsmail/A 25669-2025 tillsynsbegäran mail.docx", "A 25669-2025")</f>
        <v/>
      </c>
      <c r="Z86">
        <f>HYPERLINK("https://klasma.github.io/Logging_0188/fåglar/A 25669-2025 prioriterade fågelarter.docx", "A 25669-2025")</f>
        <v/>
      </c>
    </row>
    <row r="87" ht="15" customHeight="1">
      <c r="A87" t="inlineStr">
        <is>
          <t>A 35764-2024</t>
        </is>
      </c>
      <c r="B87" s="1" t="n">
        <v>45532</v>
      </c>
      <c r="C87" s="1" t="n">
        <v>46184</v>
      </c>
      <c r="D87" t="inlineStr">
        <is>
          <t>STOCKHOLMS LÄN</t>
        </is>
      </c>
      <c r="E87" t="inlineStr">
        <is>
          <t>NORRTÄLJE</t>
        </is>
      </c>
      <c r="G87" t="n">
        <v>14.2</v>
      </c>
      <c r="H87" t="n">
        <v>1</v>
      </c>
      <c r="I87" t="n">
        <v>0</v>
      </c>
      <c r="J87" t="n">
        <v>0</v>
      </c>
      <c r="K87" t="n">
        <v>1</v>
      </c>
      <c r="L87" t="n">
        <v>0</v>
      </c>
      <c r="M87" t="n">
        <v>0</v>
      </c>
      <c r="N87" t="n">
        <v>0</v>
      </c>
      <c r="O87" t="n">
        <v>1</v>
      </c>
      <c r="P87" t="n">
        <v>1</v>
      </c>
      <c r="Q87" t="n">
        <v>1</v>
      </c>
      <c r="R87" s="2" t="inlineStr">
        <is>
          <t>Knärot</t>
        </is>
      </c>
      <c r="S87">
        <f>HYPERLINK("https://klasma.github.io/Logging_0188/artfynd/A 35764-2024 artfynd.xlsx", "A 35764-2024")</f>
        <v/>
      </c>
      <c r="T87">
        <f>HYPERLINK("https://klasma.github.io/Logging_0188/kartor/A 35764-2024 karta.png", "A 35764-2024")</f>
        <v/>
      </c>
      <c r="U87">
        <f>HYPERLINK("https://klasma.github.io/Logging_0188/knärot/A 35764-2024 karta knärot.png", "A 35764-2024")</f>
        <v/>
      </c>
      <c r="V87">
        <f>HYPERLINK("https://klasma.github.io/Logging_0188/klagomål/A 35764-2024 FSC-klagomål.docx", "A 35764-2024")</f>
        <v/>
      </c>
      <c r="W87">
        <f>HYPERLINK("https://klasma.github.io/Logging_0188/klagomålsmail/A 35764-2024 FSC-klagomål mail.docx", "A 35764-2024")</f>
        <v/>
      </c>
      <c r="X87">
        <f>HYPERLINK("https://klasma.github.io/Logging_0188/tillsyn/A 35764-2024 tillsynsbegäran.docx", "A 35764-2024")</f>
        <v/>
      </c>
      <c r="Y87">
        <f>HYPERLINK("https://klasma.github.io/Logging_0188/tillsynsmail/A 35764-2024 tillsynsbegäran mail.docx", "A 35764-2024")</f>
        <v/>
      </c>
    </row>
    <row r="88" ht="15" customHeight="1">
      <c r="A88" t="inlineStr">
        <is>
          <t>A 4595-2023</t>
        </is>
      </c>
      <c r="B88" s="1" t="n">
        <v>44956</v>
      </c>
      <c r="C88" s="1" t="n">
        <v>46184</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35649-2023</t>
        </is>
      </c>
      <c r="B89" s="1" t="n">
        <v>45146</v>
      </c>
      <c r="C89" s="1" t="n">
        <v>46184</v>
      </c>
      <c r="D89" t="inlineStr">
        <is>
          <t>STOCKHOLMS LÄN</t>
        </is>
      </c>
      <c r="E89" t="inlineStr">
        <is>
          <t>NORRTÄLJE</t>
        </is>
      </c>
      <c r="G89" t="n">
        <v>25.1</v>
      </c>
      <c r="H89" t="n">
        <v>0</v>
      </c>
      <c r="I89" t="n">
        <v>0</v>
      </c>
      <c r="J89" t="n">
        <v>1</v>
      </c>
      <c r="K89" t="n">
        <v>0</v>
      </c>
      <c r="L89" t="n">
        <v>0</v>
      </c>
      <c r="M89" t="n">
        <v>0</v>
      </c>
      <c r="N89" t="n">
        <v>0</v>
      </c>
      <c r="O89" t="n">
        <v>1</v>
      </c>
      <c r="P89" t="n">
        <v>0</v>
      </c>
      <c r="Q89" t="n">
        <v>1</v>
      </c>
      <c r="R89" s="2" t="inlineStr">
        <is>
          <t>Månlåsbräken</t>
        </is>
      </c>
      <c r="S89">
        <f>HYPERLINK("https://klasma.github.io/Logging_0188/artfynd/A 35649-2023 artfynd.xlsx", "A 35649-2023")</f>
        <v/>
      </c>
      <c r="T89">
        <f>HYPERLINK("https://klasma.github.io/Logging_0188/kartor/A 35649-2023 karta.png", "A 35649-2023")</f>
        <v/>
      </c>
      <c r="V89">
        <f>HYPERLINK("https://klasma.github.io/Logging_0188/klagomål/A 35649-2023 FSC-klagomål.docx", "A 35649-2023")</f>
        <v/>
      </c>
      <c r="W89">
        <f>HYPERLINK("https://klasma.github.io/Logging_0188/klagomålsmail/A 35649-2023 FSC-klagomål mail.docx", "A 35649-2023")</f>
        <v/>
      </c>
      <c r="X89">
        <f>HYPERLINK("https://klasma.github.io/Logging_0188/tillsyn/A 35649-2023 tillsynsbegäran.docx", "A 35649-2023")</f>
        <v/>
      </c>
      <c r="Y89">
        <f>HYPERLINK("https://klasma.github.io/Logging_0188/tillsynsmail/A 35649-2023 tillsynsbegäran mail.docx", "A 35649-2023")</f>
        <v/>
      </c>
    </row>
    <row r="90" ht="15" customHeight="1">
      <c r="A90" t="inlineStr">
        <is>
          <t>A 24535-2023</t>
        </is>
      </c>
      <c r="B90" s="1" t="n">
        <v>45082</v>
      </c>
      <c r="C90" s="1" t="n">
        <v>46184</v>
      </c>
      <c r="D90" t="inlineStr">
        <is>
          <t>STOCKHOLMS LÄN</t>
        </is>
      </c>
      <c r="E90" t="inlineStr">
        <is>
          <t>NORRTÄLJE</t>
        </is>
      </c>
      <c r="F90" t="inlineStr">
        <is>
          <t>Kommuner</t>
        </is>
      </c>
      <c r="G90" t="n">
        <v>2</v>
      </c>
      <c r="H90" t="n">
        <v>1</v>
      </c>
      <c r="I90" t="n">
        <v>0</v>
      </c>
      <c r="J90" t="n">
        <v>0</v>
      </c>
      <c r="K90" t="n">
        <v>0</v>
      </c>
      <c r="L90" t="n">
        <v>0</v>
      </c>
      <c r="M90" t="n">
        <v>0</v>
      </c>
      <c r="N90" t="n">
        <v>0</v>
      </c>
      <c r="O90" t="n">
        <v>0</v>
      </c>
      <c r="P90" t="n">
        <v>0</v>
      </c>
      <c r="Q90" t="n">
        <v>1</v>
      </c>
      <c r="R90" s="2" t="inlineStr">
        <is>
          <t>Blåsippa</t>
        </is>
      </c>
      <c r="S90">
        <f>HYPERLINK("https://klasma.github.io/Logging_0188/artfynd/A 24535-2023 artfynd.xlsx", "A 24535-2023")</f>
        <v/>
      </c>
      <c r="T90">
        <f>HYPERLINK("https://klasma.github.io/Logging_0188/kartor/A 24535-2023 karta.png", "A 24535-2023")</f>
        <v/>
      </c>
      <c r="V90">
        <f>HYPERLINK("https://klasma.github.io/Logging_0188/klagomål/A 24535-2023 FSC-klagomål.docx", "A 24535-2023")</f>
        <v/>
      </c>
      <c r="W90">
        <f>HYPERLINK("https://klasma.github.io/Logging_0188/klagomålsmail/A 24535-2023 FSC-klagomål mail.docx", "A 24535-2023")</f>
        <v/>
      </c>
      <c r="X90">
        <f>HYPERLINK("https://klasma.github.io/Logging_0188/tillsyn/A 24535-2023 tillsynsbegäran.docx", "A 24535-2023")</f>
        <v/>
      </c>
      <c r="Y90">
        <f>HYPERLINK("https://klasma.github.io/Logging_0188/tillsynsmail/A 24535-2023 tillsynsbegäran mail.docx", "A 24535-2023")</f>
        <v/>
      </c>
    </row>
    <row r="91" ht="15" customHeight="1">
      <c r="A91" t="inlineStr">
        <is>
          <t>A 6381-2023</t>
        </is>
      </c>
      <c r="B91" s="1" t="n">
        <v>44965</v>
      </c>
      <c r="C91" s="1" t="n">
        <v>46184</v>
      </c>
      <c r="D91" t="inlineStr">
        <is>
          <t>STOCKHOLMS LÄN</t>
        </is>
      </c>
      <c r="E91" t="inlineStr">
        <is>
          <t>NORRTÄLJE</t>
        </is>
      </c>
      <c r="G91" t="n">
        <v>3.5</v>
      </c>
      <c r="H91" t="n">
        <v>1</v>
      </c>
      <c r="I91" t="n">
        <v>1</v>
      </c>
      <c r="J91" t="n">
        <v>0</v>
      </c>
      <c r="K91" t="n">
        <v>0</v>
      </c>
      <c r="L91" t="n">
        <v>0</v>
      </c>
      <c r="M91" t="n">
        <v>0</v>
      </c>
      <c r="N91" t="n">
        <v>0</v>
      </c>
      <c r="O91" t="n">
        <v>0</v>
      </c>
      <c r="P91" t="n">
        <v>0</v>
      </c>
      <c r="Q91" t="n">
        <v>1</v>
      </c>
      <c r="R91" s="2" t="inlineStr">
        <is>
          <t>Guckusko</t>
        </is>
      </c>
      <c r="S91">
        <f>HYPERLINK("https://klasma.github.io/Logging_0188/artfynd/A 6381-2023 artfynd.xlsx", "A 6381-2023")</f>
        <v/>
      </c>
      <c r="T91">
        <f>HYPERLINK("https://klasma.github.io/Logging_0188/kartor/A 6381-2023 karta.png", "A 6381-2023")</f>
        <v/>
      </c>
      <c r="V91">
        <f>HYPERLINK("https://klasma.github.io/Logging_0188/klagomål/A 6381-2023 FSC-klagomål.docx", "A 6381-2023")</f>
        <v/>
      </c>
      <c r="W91">
        <f>HYPERLINK("https://klasma.github.io/Logging_0188/klagomålsmail/A 6381-2023 FSC-klagomål mail.docx", "A 6381-2023")</f>
        <v/>
      </c>
      <c r="X91">
        <f>HYPERLINK("https://klasma.github.io/Logging_0188/tillsyn/A 6381-2023 tillsynsbegäran.docx", "A 6381-2023")</f>
        <v/>
      </c>
      <c r="Y91">
        <f>HYPERLINK("https://klasma.github.io/Logging_0188/tillsynsmail/A 6381-2023 tillsynsbegäran mail.docx", "A 6381-2023")</f>
        <v/>
      </c>
    </row>
    <row r="92" ht="15" customHeight="1">
      <c r="A92" t="inlineStr">
        <is>
          <t>A 29946-2025</t>
        </is>
      </c>
      <c r="B92" s="1" t="n">
        <v>45826.46392361111</v>
      </c>
      <c r="C92" s="1" t="n">
        <v>46184</v>
      </c>
      <c r="D92" t="inlineStr">
        <is>
          <t>STOCKHOLMS LÄN</t>
        </is>
      </c>
      <c r="E92" t="inlineStr">
        <is>
          <t>NORRTÄLJE</t>
        </is>
      </c>
      <c r="F92" t="inlineStr">
        <is>
          <t>Holmen skog AB</t>
        </is>
      </c>
      <c r="G92" t="n">
        <v>3.6</v>
      </c>
      <c r="H92" t="n">
        <v>1</v>
      </c>
      <c r="I92" t="n">
        <v>0</v>
      </c>
      <c r="J92" t="n">
        <v>0</v>
      </c>
      <c r="K92" t="n">
        <v>0</v>
      </c>
      <c r="L92" t="n">
        <v>1</v>
      </c>
      <c r="M92" t="n">
        <v>0</v>
      </c>
      <c r="N92" t="n">
        <v>0</v>
      </c>
      <c r="O92" t="n">
        <v>1</v>
      </c>
      <c r="P92" t="n">
        <v>1</v>
      </c>
      <c r="Q92" t="n">
        <v>1</v>
      </c>
      <c r="R92" s="2" t="inlineStr">
        <is>
          <t>Asknätfjäril</t>
        </is>
      </c>
      <c r="S92">
        <f>HYPERLINK("https://klasma.github.io/Logging_0188/artfynd/A 29946-2025 artfynd.xlsx", "A 29946-2025")</f>
        <v/>
      </c>
      <c r="T92">
        <f>HYPERLINK("https://klasma.github.io/Logging_0188/kartor/A 29946-2025 karta.png", "A 29946-2025")</f>
        <v/>
      </c>
      <c r="V92">
        <f>HYPERLINK("https://klasma.github.io/Logging_0188/klagomål/A 29946-2025 FSC-klagomål.docx", "A 29946-2025")</f>
        <v/>
      </c>
      <c r="W92">
        <f>HYPERLINK("https://klasma.github.io/Logging_0188/klagomålsmail/A 29946-2025 FSC-klagomål mail.docx", "A 29946-2025")</f>
        <v/>
      </c>
      <c r="X92">
        <f>HYPERLINK("https://klasma.github.io/Logging_0188/tillsyn/A 29946-2025 tillsynsbegäran.docx", "A 29946-2025")</f>
        <v/>
      </c>
      <c r="Y92">
        <f>HYPERLINK("https://klasma.github.io/Logging_0188/tillsynsmail/A 29946-2025 tillsynsbegäran mail.docx", "A 29946-2025")</f>
        <v/>
      </c>
    </row>
    <row r="93" ht="15" customHeight="1">
      <c r="A93" t="inlineStr">
        <is>
          <t>A 52775-2025</t>
        </is>
      </c>
      <c r="B93" s="1" t="n">
        <v>45957.41608796296</v>
      </c>
      <c r="C93" s="1" t="n">
        <v>46184</v>
      </c>
      <c r="D93" t="inlineStr">
        <is>
          <t>STOCKHOLMS LÄN</t>
        </is>
      </c>
      <c r="E93" t="inlineStr">
        <is>
          <t>NORRTÄLJE</t>
        </is>
      </c>
      <c r="F93" t="inlineStr">
        <is>
          <t>Sveaskog</t>
        </is>
      </c>
      <c r="G93" t="n">
        <v>5.6</v>
      </c>
      <c r="H93" t="n">
        <v>0</v>
      </c>
      <c r="I93" t="n">
        <v>0</v>
      </c>
      <c r="J93" t="n">
        <v>1</v>
      </c>
      <c r="K93" t="n">
        <v>0</v>
      </c>
      <c r="L93" t="n">
        <v>0</v>
      </c>
      <c r="M93" t="n">
        <v>0</v>
      </c>
      <c r="N93" t="n">
        <v>0</v>
      </c>
      <c r="O93" t="n">
        <v>1</v>
      </c>
      <c r="P93" t="n">
        <v>0</v>
      </c>
      <c r="Q93" t="n">
        <v>1</v>
      </c>
      <c r="R93" s="2" t="inlineStr">
        <is>
          <t>Vedtrappmossa</t>
        </is>
      </c>
      <c r="S93">
        <f>HYPERLINK("https://klasma.github.io/Logging_0188/artfynd/A 52775-2025 artfynd.xlsx", "A 52775-2025")</f>
        <v/>
      </c>
      <c r="T93">
        <f>HYPERLINK("https://klasma.github.io/Logging_0188/kartor/A 52775-2025 karta.png", "A 52775-2025")</f>
        <v/>
      </c>
      <c r="V93">
        <f>HYPERLINK("https://klasma.github.io/Logging_0188/klagomål/A 52775-2025 FSC-klagomål.docx", "A 52775-2025")</f>
        <v/>
      </c>
      <c r="W93">
        <f>HYPERLINK("https://klasma.github.io/Logging_0188/klagomålsmail/A 52775-2025 FSC-klagomål mail.docx", "A 52775-2025")</f>
        <v/>
      </c>
      <c r="X93">
        <f>HYPERLINK("https://klasma.github.io/Logging_0188/tillsyn/A 52775-2025 tillsynsbegäran.docx", "A 52775-2025")</f>
        <v/>
      </c>
      <c r="Y93">
        <f>HYPERLINK("https://klasma.github.io/Logging_0188/tillsynsmail/A 52775-2025 tillsynsbegäran mail.docx", "A 52775-2025")</f>
        <v/>
      </c>
    </row>
    <row r="94" ht="15" customHeight="1">
      <c r="A94" t="inlineStr">
        <is>
          <t>A 31281-2022</t>
        </is>
      </c>
      <c r="B94" s="1" t="n">
        <v>44771</v>
      </c>
      <c r="C94" s="1" t="n">
        <v>46184</v>
      </c>
      <c r="D94" t="inlineStr">
        <is>
          <t>STOCKHOLMS LÄN</t>
        </is>
      </c>
      <c r="E94" t="inlineStr">
        <is>
          <t>NORRTÄLJE</t>
        </is>
      </c>
      <c r="F94" t="inlineStr">
        <is>
          <t>Holmen skog AB</t>
        </is>
      </c>
      <c r="G94" t="n">
        <v>5.2</v>
      </c>
      <c r="H94" t="n">
        <v>1</v>
      </c>
      <c r="I94" t="n">
        <v>0</v>
      </c>
      <c r="J94" t="n">
        <v>1</v>
      </c>
      <c r="K94" t="n">
        <v>0</v>
      </c>
      <c r="L94" t="n">
        <v>0</v>
      </c>
      <c r="M94" t="n">
        <v>0</v>
      </c>
      <c r="N94" t="n">
        <v>0</v>
      </c>
      <c r="O94" t="n">
        <v>1</v>
      </c>
      <c r="P94" t="n">
        <v>0</v>
      </c>
      <c r="Q94" t="n">
        <v>1</v>
      </c>
      <c r="R94" s="2" t="inlineStr">
        <is>
          <t>Kråka</t>
        </is>
      </c>
      <c r="S94">
        <f>HYPERLINK("https://klasma.github.io/Logging_0188/artfynd/A 31281-2022 artfynd.xlsx", "A 31281-2022")</f>
        <v/>
      </c>
      <c r="T94">
        <f>HYPERLINK("https://klasma.github.io/Logging_0188/kartor/A 31281-2022 karta.png", "A 31281-2022")</f>
        <v/>
      </c>
      <c r="V94">
        <f>HYPERLINK("https://klasma.github.io/Logging_0188/klagomål/A 31281-2022 FSC-klagomål.docx", "A 31281-2022")</f>
        <v/>
      </c>
      <c r="W94">
        <f>HYPERLINK("https://klasma.github.io/Logging_0188/klagomålsmail/A 31281-2022 FSC-klagomål mail.docx", "A 31281-2022")</f>
        <v/>
      </c>
      <c r="X94">
        <f>HYPERLINK("https://klasma.github.io/Logging_0188/tillsyn/A 31281-2022 tillsynsbegäran.docx", "A 31281-2022")</f>
        <v/>
      </c>
      <c r="Y94">
        <f>HYPERLINK("https://klasma.github.io/Logging_0188/tillsynsmail/A 31281-2022 tillsynsbegäran mail.docx", "A 31281-2022")</f>
        <v/>
      </c>
      <c r="Z94">
        <f>HYPERLINK("https://klasma.github.io/Logging_0188/fåglar/A 31281-2022 prioriterade fågelarter.docx", "A 31281-2022")</f>
        <v/>
      </c>
    </row>
    <row r="95" ht="15" customHeight="1">
      <c r="A95" t="inlineStr">
        <is>
          <t>A 4532-2025</t>
        </is>
      </c>
      <c r="B95" s="1" t="n">
        <v>45687.34177083334</v>
      </c>
      <c r="C95" s="1" t="n">
        <v>46184</v>
      </c>
      <c r="D95" t="inlineStr">
        <is>
          <t>STOCKHOLMS LÄN</t>
        </is>
      </c>
      <c r="E95" t="inlineStr">
        <is>
          <t>NORRTÄLJE</t>
        </is>
      </c>
      <c r="F95" t="inlineStr">
        <is>
          <t>Holmen skog AB</t>
        </is>
      </c>
      <c r="G95" t="n">
        <v>6.4</v>
      </c>
      <c r="H95" t="n">
        <v>1</v>
      </c>
      <c r="I95" t="n">
        <v>0</v>
      </c>
      <c r="J95" t="n">
        <v>0</v>
      </c>
      <c r="K95" t="n">
        <v>0</v>
      </c>
      <c r="L95" t="n">
        <v>1</v>
      </c>
      <c r="M95" t="n">
        <v>0</v>
      </c>
      <c r="N95" t="n">
        <v>0</v>
      </c>
      <c r="O95" t="n">
        <v>1</v>
      </c>
      <c r="P95" t="n">
        <v>1</v>
      </c>
      <c r="Q95" t="n">
        <v>1</v>
      </c>
      <c r="R95" s="2" t="inlineStr">
        <is>
          <t>Asknätfjäril</t>
        </is>
      </c>
      <c r="S95">
        <f>HYPERLINK("https://klasma.github.io/Logging_0188/artfynd/A 4532-2025 artfynd.xlsx", "A 4532-2025")</f>
        <v/>
      </c>
      <c r="T95">
        <f>HYPERLINK("https://klasma.github.io/Logging_0188/kartor/A 4532-2025 karta.png", "A 4532-2025")</f>
        <v/>
      </c>
      <c r="V95">
        <f>HYPERLINK("https://klasma.github.io/Logging_0188/klagomål/A 4532-2025 FSC-klagomål.docx", "A 4532-2025")</f>
        <v/>
      </c>
      <c r="W95">
        <f>HYPERLINK("https://klasma.github.io/Logging_0188/klagomålsmail/A 4532-2025 FSC-klagomål mail.docx", "A 4532-2025")</f>
        <v/>
      </c>
      <c r="X95">
        <f>HYPERLINK("https://klasma.github.io/Logging_0188/tillsyn/A 4532-2025 tillsynsbegäran.docx", "A 4532-2025")</f>
        <v/>
      </c>
      <c r="Y95">
        <f>HYPERLINK("https://klasma.github.io/Logging_0188/tillsynsmail/A 4532-2025 tillsynsbegäran mail.docx", "A 4532-2025")</f>
        <v/>
      </c>
    </row>
    <row r="96" ht="15" customHeight="1">
      <c r="A96" t="inlineStr">
        <is>
          <t>A 35691-2023</t>
        </is>
      </c>
      <c r="B96" s="1" t="n">
        <v>45147.65222222222</v>
      </c>
      <c r="C96" s="1" t="n">
        <v>46184</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46184</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53716-2025</t>
        </is>
      </c>
      <c r="B98" s="1" t="n">
        <v>45960.61782407408</v>
      </c>
      <c r="C98" s="1" t="n">
        <v>46184</v>
      </c>
      <c r="D98" t="inlineStr">
        <is>
          <t>STOCKHOLMS LÄN</t>
        </is>
      </c>
      <c r="E98" t="inlineStr">
        <is>
          <t>NORRTÄLJE</t>
        </is>
      </c>
      <c r="G98" t="n">
        <v>3.4</v>
      </c>
      <c r="H98" t="n">
        <v>0</v>
      </c>
      <c r="I98" t="n">
        <v>0</v>
      </c>
      <c r="J98" t="n">
        <v>0</v>
      </c>
      <c r="K98" t="n">
        <v>0</v>
      </c>
      <c r="L98" t="n">
        <v>1</v>
      </c>
      <c r="M98" t="n">
        <v>0</v>
      </c>
      <c r="N98" t="n">
        <v>0</v>
      </c>
      <c r="O98" t="n">
        <v>1</v>
      </c>
      <c r="P98" t="n">
        <v>1</v>
      </c>
      <c r="Q98" t="n">
        <v>1</v>
      </c>
      <c r="R98" s="2" t="inlineStr">
        <is>
          <t>Fältgentiana</t>
        </is>
      </c>
      <c r="S98">
        <f>HYPERLINK("https://klasma.github.io/Logging_0188/artfynd/A 53716-2025 artfynd.xlsx", "A 53716-2025")</f>
        <v/>
      </c>
      <c r="T98">
        <f>HYPERLINK("https://klasma.github.io/Logging_0188/kartor/A 53716-2025 karta.png", "A 53716-2025")</f>
        <v/>
      </c>
      <c r="V98">
        <f>HYPERLINK("https://klasma.github.io/Logging_0188/klagomål/A 53716-2025 FSC-klagomål.docx", "A 53716-2025")</f>
        <v/>
      </c>
      <c r="W98">
        <f>HYPERLINK("https://klasma.github.io/Logging_0188/klagomålsmail/A 53716-2025 FSC-klagomål mail.docx", "A 53716-2025")</f>
        <v/>
      </c>
      <c r="X98">
        <f>HYPERLINK("https://klasma.github.io/Logging_0188/tillsyn/A 53716-2025 tillsynsbegäran.docx", "A 53716-2025")</f>
        <v/>
      </c>
      <c r="Y98">
        <f>HYPERLINK("https://klasma.github.io/Logging_0188/tillsynsmail/A 53716-2025 tillsynsbegäran mail.docx", "A 53716-2025")</f>
        <v/>
      </c>
    </row>
    <row r="99" ht="15" customHeight="1">
      <c r="A99" t="inlineStr">
        <is>
          <t>A 50854-2022</t>
        </is>
      </c>
      <c r="B99" s="1" t="n">
        <v>44863</v>
      </c>
      <c r="C99" s="1" t="n">
        <v>46184</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8371-2025</t>
        </is>
      </c>
      <c r="B100" s="1" t="n">
        <v>45708</v>
      </c>
      <c r="C100" s="1" t="n">
        <v>46184</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59682-2025</t>
        </is>
      </c>
      <c r="B101" s="1" t="n">
        <v>45992.47116898148</v>
      </c>
      <c r="C101" s="1" t="n">
        <v>46184</v>
      </c>
      <c r="D101" t="inlineStr">
        <is>
          <t>STOCKHOLMS LÄN</t>
        </is>
      </c>
      <c r="E101" t="inlineStr">
        <is>
          <t>NORRTÄLJE</t>
        </is>
      </c>
      <c r="G101" t="n">
        <v>1.6</v>
      </c>
      <c r="H101" t="n">
        <v>0</v>
      </c>
      <c r="I101" t="n">
        <v>1</v>
      </c>
      <c r="J101" t="n">
        <v>0</v>
      </c>
      <c r="K101" t="n">
        <v>0</v>
      </c>
      <c r="L101" t="n">
        <v>0</v>
      </c>
      <c r="M101" t="n">
        <v>0</v>
      </c>
      <c r="N101" t="n">
        <v>0</v>
      </c>
      <c r="O101" t="n">
        <v>0</v>
      </c>
      <c r="P101" t="n">
        <v>0</v>
      </c>
      <c r="Q101" t="n">
        <v>1</v>
      </c>
      <c r="R101" s="2" t="inlineStr">
        <is>
          <t>Grönpyrola</t>
        </is>
      </c>
      <c r="S101">
        <f>HYPERLINK("https://klasma.github.io/Logging_0188/artfynd/A 59682-2025 artfynd.xlsx", "A 59682-2025")</f>
        <v/>
      </c>
      <c r="T101">
        <f>HYPERLINK("https://klasma.github.io/Logging_0188/kartor/A 59682-2025 karta.png", "A 59682-2025")</f>
        <v/>
      </c>
      <c r="V101">
        <f>HYPERLINK("https://klasma.github.io/Logging_0188/klagomål/A 59682-2025 FSC-klagomål.docx", "A 59682-2025")</f>
        <v/>
      </c>
      <c r="W101">
        <f>HYPERLINK("https://klasma.github.io/Logging_0188/klagomålsmail/A 59682-2025 FSC-klagomål mail.docx", "A 59682-2025")</f>
        <v/>
      </c>
      <c r="X101">
        <f>HYPERLINK("https://klasma.github.io/Logging_0188/tillsyn/A 59682-2025 tillsynsbegäran.docx", "A 59682-2025")</f>
        <v/>
      </c>
      <c r="Y101">
        <f>HYPERLINK("https://klasma.github.io/Logging_0188/tillsynsmail/A 59682-2025 tillsynsbegäran mail.docx", "A 59682-2025")</f>
        <v/>
      </c>
    </row>
    <row r="102" ht="15" customHeight="1">
      <c r="A102" t="inlineStr">
        <is>
          <t>A 26120-2024</t>
        </is>
      </c>
      <c r="B102" s="1" t="n">
        <v>45468.45995370371</v>
      </c>
      <c r="C102" s="1" t="n">
        <v>46184</v>
      </c>
      <c r="D102" t="inlineStr">
        <is>
          <t>STOCKHOLMS LÄN</t>
        </is>
      </c>
      <c r="E102" t="inlineStr">
        <is>
          <t>NORRTÄLJE</t>
        </is>
      </c>
      <c r="G102" t="n">
        <v>1.8</v>
      </c>
      <c r="H102" t="n">
        <v>0</v>
      </c>
      <c r="I102" t="n">
        <v>0</v>
      </c>
      <c r="J102" t="n">
        <v>1</v>
      </c>
      <c r="K102" t="n">
        <v>0</v>
      </c>
      <c r="L102" t="n">
        <v>0</v>
      </c>
      <c r="M102" t="n">
        <v>0</v>
      </c>
      <c r="N102" t="n">
        <v>0</v>
      </c>
      <c r="O102" t="n">
        <v>1</v>
      </c>
      <c r="P102" t="n">
        <v>0</v>
      </c>
      <c r="Q102" t="n">
        <v>1</v>
      </c>
      <c r="R102" s="2" t="inlineStr">
        <is>
          <t>Majviva</t>
        </is>
      </c>
      <c r="S102">
        <f>HYPERLINK("https://klasma.github.io/Logging_0188/artfynd/A 26120-2024 artfynd.xlsx", "A 26120-2024")</f>
        <v/>
      </c>
      <c r="T102">
        <f>HYPERLINK("https://klasma.github.io/Logging_0188/kartor/A 26120-2024 karta.png", "A 26120-2024")</f>
        <v/>
      </c>
      <c r="V102">
        <f>HYPERLINK("https://klasma.github.io/Logging_0188/klagomål/A 26120-2024 FSC-klagomål.docx", "A 26120-2024")</f>
        <v/>
      </c>
      <c r="W102">
        <f>HYPERLINK("https://klasma.github.io/Logging_0188/klagomålsmail/A 26120-2024 FSC-klagomål mail.docx", "A 26120-2024")</f>
        <v/>
      </c>
      <c r="X102">
        <f>HYPERLINK("https://klasma.github.io/Logging_0188/tillsyn/A 26120-2024 tillsynsbegäran.docx", "A 26120-2024")</f>
        <v/>
      </c>
      <c r="Y102">
        <f>HYPERLINK("https://klasma.github.io/Logging_0188/tillsynsmail/A 26120-2024 tillsynsbegäran mail.docx", "A 26120-2024")</f>
        <v/>
      </c>
    </row>
    <row r="103" ht="15" customHeight="1">
      <c r="A103" t="inlineStr">
        <is>
          <t>A 64456-2023</t>
        </is>
      </c>
      <c r="B103" s="1" t="n">
        <v>45280</v>
      </c>
      <c r="C103" s="1" t="n">
        <v>46184</v>
      </c>
      <c r="D103" t="inlineStr">
        <is>
          <t>STOCKHOLMS LÄN</t>
        </is>
      </c>
      <c r="E103" t="inlineStr">
        <is>
          <t>NORRTÄLJE</t>
        </is>
      </c>
      <c r="G103" t="n">
        <v>2.5</v>
      </c>
      <c r="H103" t="n">
        <v>0</v>
      </c>
      <c r="I103" t="n">
        <v>1</v>
      </c>
      <c r="J103" t="n">
        <v>0</v>
      </c>
      <c r="K103" t="n">
        <v>0</v>
      </c>
      <c r="L103" t="n">
        <v>0</v>
      </c>
      <c r="M103" t="n">
        <v>0</v>
      </c>
      <c r="N103" t="n">
        <v>0</v>
      </c>
      <c r="O103" t="n">
        <v>0</v>
      </c>
      <c r="P103" t="n">
        <v>0</v>
      </c>
      <c r="Q103" t="n">
        <v>1</v>
      </c>
      <c r="R103" s="2" t="inlineStr">
        <is>
          <t>Rödgul trumpetsvamp</t>
        </is>
      </c>
      <c r="S103">
        <f>HYPERLINK("https://klasma.github.io/Logging_0188/artfynd/A 64456-2023 artfynd.xlsx", "A 64456-2023")</f>
        <v/>
      </c>
      <c r="T103">
        <f>HYPERLINK("https://klasma.github.io/Logging_0188/kartor/A 64456-2023 karta.png", "A 64456-2023")</f>
        <v/>
      </c>
      <c r="V103">
        <f>HYPERLINK("https://klasma.github.io/Logging_0188/klagomål/A 64456-2023 FSC-klagomål.docx", "A 64456-2023")</f>
        <v/>
      </c>
      <c r="W103">
        <f>HYPERLINK("https://klasma.github.io/Logging_0188/klagomålsmail/A 64456-2023 FSC-klagomål mail.docx", "A 64456-2023")</f>
        <v/>
      </c>
      <c r="X103">
        <f>HYPERLINK("https://klasma.github.io/Logging_0188/tillsyn/A 64456-2023 tillsynsbegäran.docx", "A 64456-2023")</f>
        <v/>
      </c>
      <c r="Y103">
        <f>HYPERLINK("https://klasma.github.io/Logging_0188/tillsynsmail/A 64456-2023 tillsynsbegäran mail.docx", "A 64456-2023")</f>
        <v/>
      </c>
    </row>
    <row r="104" ht="15" customHeight="1">
      <c r="A104" t="inlineStr">
        <is>
          <t>A 62715-2025</t>
        </is>
      </c>
      <c r="B104" s="1" t="n">
        <v>46008.52034722222</v>
      </c>
      <c r="C104" s="1" t="n">
        <v>46184</v>
      </c>
      <c r="D104" t="inlineStr">
        <is>
          <t>STOCKHOLMS LÄN</t>
        </is>
      </c>
      <c r="E104" t="inlineStr">
        <is>
          <t>NORRTÄLJE</t>
        </is>
      </c>
      <c r="G104" t="n">
        <v>0.8</v>
      </c>
      <c r="H104" t="n">
        <v>0</v>
      </c>
      <c r="I104" t="n">
        <v>1</v>
      </c>
      <c r="J104" t="n">
        <v>0</v>
      </c>
      <c r="K104" t="n">
        <v>0</v>
      </c>
      <c r="L104" t="n">
        <v>0</v>
      </c>
      <c r="M104" t="n">
        <v>0</v>
      </c>
      <c r="N104" t="n">
        <v>0</v>
      </c>
      <c r="O104" t="n">
        <v>0</v>
      </c>
      <c r="P104" t="n">
        <v>0</v>
      </c>
      <c r="Q104" t="n">
        <v>1</v>
      </c>
      <c r="R104" s="2" t="inlineStr">
        <is>
          <t>Granbarkgnagare</t>
        </is>
      </c>
      <c r="S104">
        <f>HYPERLINK("https://klasma.github.io/Logging_0188/artfynd/A 62715-2025 artfynd.xlsx", "A 62715-2025")</f>
        <v/>
      </c>
      <c r="T104">
        <f>HYPERLINK("https://klasma.github.io/Logging_0188/kartor/A 62715-2025 karta.png", "A 62715-2025")</f>
        <v/>
      </c>
      <c r="V104">
        <f>HYPERLINK("https://klasma.github.io/Logging_0188/klagomål/A 62715-2025 FSC-klagomål.docx", "A 62715-2025")</f>
        <v/>
      </c>
      <c r="W104">
        <f>HYPERLINK("https://klasma.github.io/Logging_0188/klagomålsmail/A 62715-2025 FSC-klagomål mail.docx", "A 62715-2025")</f>
        <v/>
      </c>
      <c r="X104">
        <f>HYPERLINK("https://klasma.github.io/Logging_0188/tillsyn/A 62715-2025 tillsynsbegäran.docx", "A 62715-2025")</f>
        <v/>
      </c>
      <c r="Y104">
        <f>HYPERLINK("https://klasma.github.io/Logging_0188/tillsynsmail/A 62715-2025 tillsynsbegäran mail.docx", "A 62715-2025")</f>
        <v/>
      </c>
    </row>
    <row r="105" ht="15" customHeight="1">
      <c r="A105" t="inlineStr">
        <is>
          <t>A 364-2026</t>
        </is>
      </c>
      <c r="B105" s="1" t="n">
        <v>46027.67134259259</v>
      </c>
      <c r="C105" s="1" t="n">
        <v>46184</v>
      </c>
      <c r="D105" t="inlineStr">
        <is>
          <t>STOCKHOLMS LÄN</t>
        </is>
      </c>
      <c r="E105" t="inlineStr">
        <is>
          <t>NORRTÄLJE</t>
        </is>
      </c>
      <c r="F105" t="inlineStr">
        <is>
          <t>Holmen skog AB</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364-2026 artfynd.xlsx", "A 364-2026")</f>
        <v/>
      </c>
      <c r="T105">
        <f>HYPERLINK("https://klasma.github.io/Logging_0188/kartor/A 364-2026 karta.png", "A 364-2026")</f>
        <v/>
      </c>
      <c r="V105">
        <f>HYPERLINK("https://klasma.github.io/Logging_0188/klagomål/A 364-2026 FSC-klagomål.docx", "A 364-2026")</f>
        <v/>
      </c>
      <c r="W105">
        <f>HYPERLINK("https://klasma.github.io/Logging_0188/klagomålsmail/A 364-2026 FSC-klagomål mail.docx", "A 364-2026")</f>
        <v/>
      </c>
      <c r="X105">
        <f>HYPERLINK("https://klasma.github.io/Logging_0188/tillsyn/A 364-2026 tillsynsbegäran.docx", "A 364-2026")</f>
        <v/>
      </c>
      <c r="Y105">
        <f>HYPERLINK("https://klasma.github.io/Logging_0188/tillsynsmail/A 364-2026 tillsynsbegäran mail.docx", "A 364-2026")</f>
        <v/>
      </c>
    </row>
    <row r="106" ht="15" customHeight="1">
      <c r="A106" t="inlineStr">
        <is>
          <t>A 24330-2023</t>
        </is>
      </c>
      <c r="B106" s="1" t="n">
        <v>45081</v>
      </c>
      <c r="C106" s="1" t="n">
        <v>46184</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52611-2024</t>
        </is>
      </c>
      <c r="B107" s="1" t="n">
        <v>45609.83747685186</v>
      </c>
      <c r="C107" s="1" t="n">
        <v>46184</v>
      </c>
      <c r="D107" t="inlineStr">
        <is>
          <t>STOCKHOLMS LÄN</t>
        </is>
      </c>
      <c r="E107" t="inlineStr">
        <is>
          <t>NORRTÄLJE</t>
        </is>
      </c>
      <c r="G107" t="n">
        <v>10.6</v>
      </c>
      <c r="H107" t="n">
        <v>1</v>
      </c>
      <c r="I107" t="n">
        <v>0</v>
      </c>
      <c r="J107" t="n">
        <v>0</v>
      </c>
      <c r="K107" t="n">
        <v>0</v>
      </c>
      <c r="L107" t="n">
        <v>0</v>
      </c>
      <c r="M107" t="n">
        <v>0</v>
      </c>
      <c r="N107" t="n">
        <v>0</v>
      </c>
      <c r="O107" t="n">
        <v>0</v>
      </c>
      <c r="P107" t="n">
        <v>0</v>
      </c>
      <c r="Q107" t="n">
        <v>1</v>
      </c>
      <c r="R107" s="2" t="inlineStr">
        <is>
          <t>Blåsippa</t>
        </is>
      </c>
      <c r="S107">
        <f>HYPERLINK("https://klasma.github.io/Logging_0188/artfynd/A 52611-2024 artfynd.xlsx", "A 52611-2024")</f>
        <v/>
      </c>
      <c r="T107">
        <f>HYPERLINK("https://klasma.github.io/Logging_0188/kartor/A 52611-2024 karta.png", "A 52611-2024")</f>
        <v/>
      </c>
      <c r="V107">
        <f>HYPERLINK("https://klasma.github.io/Logging_0188/klagomål/A 52611-2024 FSC-klagomål.docx", "A 52611-2024")</f>
        <v/>
      </c>
      <c r="W107">
        <f>HYPERLINK("https://klasma.github.io/Logging_0188/klagomålsmail/A 52611-2024 FSC-klagomål mail.docx", "A 52611-2024")</f>
        <v/>
      </c>
      <c r="X107">
        <f>HYPERLINK("https://klasma.github.io/Logging_0188/tillsyn/A 52611-2024 tillsynsbegäran.docx", "A 52611-2024")</f>
        <v/>
      </c>
      <c r="Y107">
        <f>HYPERLINK("https://klasma.github.io/Logging_0188/tillsynsmail/A 52611-2024 tillsynsbegäran mail.docx", "A 52611-2024")</f>
        <v/>
      </c>
    </row>
    <row r="108" ht="15" customHeight="1">
      <c r="A108" t="inlineStr">
        <is>
          <t>A 26635-2023</t>
        </is>
      </c>
      <c r="B108" s="1" t="n">
        <v>45092</v>
      </c>
      <c r="C108" s="1" t="n">
        <v>46184</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47898-2022</t>
        </is>
      </c>
      <c r="B109" s="1" t="n">
        <v>44855</v>
      </c>
      <c r="C109" s="1" t="n">
        <v>46184</v>
      </c>
      <c r="D109" t="inlineStr">
        <is>
          <t>STOCKHOLMS LÄN</t>
        </is>
      </c>
      <c r="E109" t="inlineStr">
        <is>
          <t>NORRTÄLJE</t>
        </is>
      </c>
      <c r="G109" t="n">
        <v>6.7</v>
      </c>
      <c r="H109" t="n">
        <v>1</v>
      </c>
      <c r="I109" t="n">
        <v>1</v>
      </c>
      <c r="J109" t="n">
        <v>0</v>
      </c>
      <c r="K109" t="n">
        <v>0</v>
      </c>
      <c r="L109" t="n">
        <v>0</v>
      </c>
      <c r="M109" t="n">
        <v>0</v>
      </c>
      <c r="N109" t="n">
        <v>0</v>
      </c>
      <c r="O109" t="n">
        <v>0</v>
      </c>
      <c r="P109" t="n">
        <v>0</v>
      </c>
      <c r="Q109" t="n">
        <v>1</v>
      </c>
      <c r="R109" s="2" t="inlineStr">
        <is>
          <t>Guckusko</t>
        </is>
      </c>
      <c r="S109">
        <f>HYPERLINK("https://klasma.github.io/Logging_0188/artfynd/A 47898-2022 artfynd.xlsx", "A 47898-2022")</f>
        <v/>
      </c>
      <c r="T109">
        <f>HYPERLINK("https://klasma.github.io/Logging_0188/kartor/A 47898-2022 karta.png", "A 47898-2022")</f>
        <v/>
      </c>
      <c r="V109">
        <f>HYPERLINK("https://klasma.github.io/Logging_0188/klagomål/A 47898-2022 FSC-klagomål.docx", "A 47898-2022")</f>
        <v/>
      </c>
      <c r="W109">
        <f>HYPERLINK("https://klasma.github.io/Logging_0188/klagomålsmail/A 47898-2022 FSC-klagomål mail.docx", "A 47898-2022")</f>
        <v/>
      </c>
      <c r="X109">
        <f>HYPERLINK("https://klasma.github.io/Logging_0188/tillsyn/A 47898-2022 tillsynsbegäran.docx", "A 47898-2022")</f>
        <v/>
      </c>
      <c r="Y109">
        <f>HYPERLINK("https://klasma.github.io/Logging_0188/tillsynsmail/A 47898-2022 tillsynsbegäran mail.docx", "A 47898-2022")</f>
        <v/>
      </c>
    </row>
    <row r="110" ht="15" customHeight="1">
      <c r="A110" t="inlineStr">
        <is>
          <t>A 15886-2026</t>
        </is>
      </c>
      <c r="B110" s="1" t="n">
        <v>46107</v>
      </c>
      <c r="C110" s="1" t="n">
        <v>46184</v>
      </c>
      <c r="D110" t="inlineStr">
        <is>
          <t>STOCKHOLMS LÄN</t>
        </is>
      </c>
      <c r="E110" t="inlineStr">
        <is>
          <t>NORRTÄLJE</t>
        </is>
      </c>
      <c r="G110" t="n">
        <v>1.3</v>
      </c>
      <c r="H110" t="n">
        <v>1</v>
      </c>
      <c r="I110" t="n">
        <v>0</v>
      </c>
      <c r="J110" t="n">
        <v>0</v>
      </c>
      <c r="K110" t="n">
        <v>0</v>
      </c>
      <c r="L110" t="n">
        <v>1</v>
      </c>
      <c r="M110" t="n">
        <v>0</v>
      </c>
      <c r="N110" t="n">
        <v>0</v>
      </c>
      <c r="O110" t="n">
        <v>1</v>
      </c>
      <c r="P110" t="n">
        <v>1</v>
      </c>
      <c r="Q110" t="n">
        <v>1</v>
      </c>
      <c r="R110" s="2" t="inlineStr">
        <is>
          <t>Grönfink</t>
        </is>
      </c>
      <c r="S110">
        <f>HYPERLINK("https://klasma.github.io/Logging_0188/artfynd/A 15886-2026 artfynd.xlsx", "A 15886-2026")</f>
        <v/>
      </c>
      <c r="T110">
        <f>HYPERLINK("https://klasma.github.io/Logging_0188/kartor/A 15886-2026 karta.png", "A 15886-2026")</f>
        <v/>
      </c>
      <c r="V110">
        <f>HYPERLINK("https://klasma.github.io/Logging_0188/klagomål/A 15886-2026 FSC-klagomål.docx", "A 15886-2026")</f>
        <v/>
      </c>
      <c r="W110">
        <f>HYPERLINK("https://klasma.github.io/Logging_0188/klagomålsmail/A 15886-2026 FSC-klagomål mail.docx", "A 15886-2026")</f>
        <v/>
      </c>
      <c r="X110">
        <f>HYPERLINK("https://klasma.github.io/Logging_0188/tillsyn/A 15886-2026 tillsynsbegäran.docx", "A 15886-2026")</f>
        <v/>
      </c>
      <c r="Y110">
        <f>HYPERLINK("https://klasma.github.io/Logging_0188/tillsynsmail/A 15886-2026 tillsynsbegäran mail.docx", "A 15886-2026")</f>
        <v/>
      </c>
      <c r="Z110">
        <f>HYPERLINK("https://klasma.github.io/Logging_0188/fåglar/A 15886-2026 prioriterade fågelarter.docx", "A 15886-2026")</f>
        <v/>
      </c>
    </row>
    <row r="111" ht="15" customHeight="1">
      <c r="A111" t="inlineStr">
        <is>
          <t>A 21821-2026</t>
        </is>
      </c>
      <c r="B111" s="1" t="n">
        <v>46150.48150462963</v>
      </c>
      <c r="C111" s="1" t="n">
        <v>46184</v>
      </c>
      <c r="D111" t="inlineStr">
        <is>
          <t>STOCKHOLMS LÄN</t>
        </is>
      </c>
      <c r="E111" t="inlineStr">
        <is>
          <t>NORRTÄLJE</t>
        </is>
      </c>
      <c r="G111" t="n">
        <v>2.6</v>
      </c>
      <c r="H111" t="n">
        <v>1</v>
      </c>
      <c r="I111" t="n">
        <v>0</v>
      </c>
      <c r="J111" t="n">
        <v>0</v>
      </c>
      <c r="K111" t="n">
        <v>0</v>
      </c>
      <c r="L111" t="n">
        <v>1</v>
      </c>
      <c r="M111" t="n">
        <v>0</v>
      </c>
      <c r="N111" t="n">
        <v>0</v>
      </c>
      <c r="O111" t="n">
        <v>1</v>
      </c>
      <c r="P111" t="n">
        <v>1</v>
      </c>
      <c r="Q111" t="n">
        <v>1</v>
      </c>
      <c r="R111" s="2" t="inlineStr">
        <is>
          <t>Bredgentiana</t>
        </is>
      </c>
      <c r="S111">
        <f>HYPERLINK("https://klasma.github.io/Logging_0188/artfynd/A 21821-2026 artfynd.xlsx", "A 21821-2026")</f>
        <v/>
      </c>
      <c r="T111">
        <f>HYPERLINK("https://klasma.github.io/Logging_0188/kartor/A 21821-2026 karta.png", "A 21821-2026")</f>
        <v/>
      </c>
      <c r="V111">
        <f>HYPERLINK("https://klasma.github.io/Logging_0188/klagomål/A 21821-2026 FSC-klagomål.docx", "A 21821-2026")</f>
        <v/>
      </c>
      <c r="W111">
        <f>HYPERLINK("https://klasma.github.io/Logging_0188/klagomålsmail/A 21821-2026 FSC-klagomål mail.docx", "A 21821-2026")</f>
        <v/>
      </c>
      <c r="X111">
        <f>HYPERLINK("https://klasma.github.io/Logging_0188/tillsyn/A 21821-2026 tillsynsbegäran.docx", "A 21821-2026")</f>
        <v/>
      </c>
      <c r="Y111">
        <f>HYPERLINK("https://klasma.github.io/Logging_0188/tillsynsmail/A 21821-2026 tillsynsbegäran mail.docx", "A 21821-2026")</f>
        <v/>
      </c>
    </row>
    <row r="112" ht="15" customHeight="1">
      <c r="A112" t="inlineStr">
        <is>
          <t>A 14365-2025</t>
        </is>
      </c>
      <c r="B112" s="1" t="n">
        <v>45741.38688657407</v>
      </c>
      <c r="C112" s="1" t="n">
        <v>46184</v>
      </c>
      <c r="D112" t="inlineStr">
        <is>
          <t>STOCKHOLMS LÄN</t>
        </is>
      </c>
      <c r="E112" t="inlineStr">
        <is>
          <t>NORRTÄLJE</t>
        </is>
      </c>
      <c r="G112" t="n">
        <v>2.4</v>
      </c>
      <c r="H112" t="n">
        <v>0</v>
      </c>
      <c r="I112" t="n">
        <v>0</v>
      </c>
      <c r="J112" t="n">
        <v>1</v>
      </c>
      <c r="K112" t="n">
        <v>0</v>
      </c>
      <c r="L112" t="n">
        <v>0</v>
      </c>
      <c r="M112" t="n">
        <v>0</v>
      </c>
      <c r="N112" t="n">
        <v>0</v>
      </c>
      <c r="O112" t="n">
        <v>1</v>
      </c>
      <c r="P112" t="n">
        <v>0</v>
      </c>
      <c r="Q112" t="n">
        <v>1</v>
      </c>
      <c r="R112" s="2" t="inlineStr">
        <is>
          <t>Granticka</t>
        </is>
      </c>
      <c r="S112">
        <f>HYPERLINK("https://klasma.github.io/Logging_0188/artfynd/A 14365-2025 artfynd.xlsx", "A 14365-2025")</f>
        <v/>
      </c>
      <c r="T112">
        <f>HYPERLINK("https://klasma.github.io/Logging_0188/kartor/A 14365-2025 karta.png", "A 14365-2025")</f>
        <v/>
      </c>
      <c r="V112">
        <f>HYPERLINK("https://klasma.github.io/Logging_0188/klagomål/A 14365-2025 FSC-klagomål.docx", "A 14365-2025")</f>
        <v/>
      </c>
      <c r="W112">
        <f>HYPERLINK("https://klasma.github.io/Logging_0188/klagomålsmail/A 14365-2025 FSC-klagomål mail.docx", "A 14365-2025")</f>
        <v/>
      </c>
      <c r="X112">
        <f>HYPERLINK("https://klasma.github.io/Logging_0188/tillsyn/A 14365-2025 tillsynsbegäran.docx", "A 14365-2025")</f>
        <v/>
      </c>
      <c r="Y112">
        <f>HYPERLINK("https://klasma.github.io/Logging_0188/tillsynsmail/A 14365-2025 tillsynsbegäran mail.docx", "A 14365-2025")</f>
        <v/>
      </c>
    </row>
    <row r="113" ht="15" customHeight="1">
      <c r="A113" t="inlineStr">
        <is>
          <t>A 32111-2022</t>
        </is>
      </c>
      <c r="B113" s="1" t="n">
        <v>44778.92797453704</v>
      </c>
      <c r="C113" s="1" t="n">
        <v>46184</v>
      </c>
      <c r="D113" t="inlineStr">
        <is>
          <t>STOCKHOLMS LÄN</t>
        </is>
      </c>
      <c r="E113" t="inlineStr">
        <is>
          <t>NORRTÄLJE</t>
        </is>
      </c>
      <c r="G113" t="n">
        <v>3.1</v>
      </c>
      <c r="H113" t="n">
        <v>0</v>
      </c>
      <c r="I113" t="n">
        <v>0</v>
      </c>
      <c r="J113" t="n">
        <v>1</v>
      </c>
      <c r="K113" t="n">
        <v>0</v>
      </c>
      <c r="L113" t="n">
        <v>0</v>
      </c>
      <c r="M113" t="n">
        <v>0</v>
      </c>
      <c r="N113" t="n">
        <v>0</v>
      </c>
      <c r="O113" t="n">
        <v>1</v>
      </c>
      <c r="P113" t="n">
        <v>0</v>
      </c>
      <c r="Q113" t="n">
        <v>1</v>
      </c>
      <c r="R113" s="2" t="inlineStr">
        <is>
          <t>Orange taggsvamp</t>
        </is>
      </c>
      <c r="S113">
        <f>HYPERLINK("https://klasma.github.io/Logging_0188/artfynd/A 32111-2022 artfynd.xlsx", "A 32111-2022")</f>
        <v/>
      </c>
      <c r="T113">
        <f>HYPERLINK("https://klasma.github.io/Logging_0188/kartor/A 32111-2022 karta.png", "A 32111-2022")</f>
        <v/>
      </c>
      <c r="V113">
        <f>HYPERLINK("https://klasma.github.io/Logging_0188/klagomål/A 32111-2022 FSC-klagomål.docx", "A 32111-2022")</f>
        <v/>
      </c>
      <c r="W113">
        <f>HYPERLINK("https://klasma.github.io/Logging_0188/klagomålsmail/A 32111-2022 FSC-klagomål mail.docx", "A 32111-2022")</f>
        <v/>
      </c>
      <c r="X113">
        <f>HYPERLINK("https://klasma.github.io/Logging_0188/tillsyn/A 32111-2022 tillsynsbegäran.docx", "A 32111-2022")</f>
        <v/>
      </c>
      <c r="Y113">
        <f>HYPERLINK("https://klasma.github.io/Logging_0188/tillsynsmail/A 32111-2022 tillsynsbegäran mail.docx", "A 32111-2022")</f>
        <v/>
      </c>
    </row>
    <row r="114" ht="15" customHeight="1">
      <c r="A114" t="inlineStr">
        <is>
          <t>A 4385-2023</t>
        </is>
      </c>
      <c r="B114" s="1" t="n">
        <v>44955.71322916666</v>
      </c>
      <c r="C114" s="1" t="n">
        <v>46184</v>
      </c>
      <c r="D114" t="inlineStr">
        <is>
          <t>STOCKHOLMS LÄN</t>
        </is>
      </c>
      <c r="E114" t="inlineStr">
        <is>
          <t>NORRTÄLJE</t>
        </is>
      </c>
      <c r="G114" t="n">
        <v>7.8</v>
      </c>
      <c r="H114" t="n">
        <v>1</v>
      </c>
      <c r="I114" t="n">
        <v>1</v>
      </c>
      <c r="J114" t="n">
        <v>0</v>
      </c>
      <c r="K114" t="n">
        <v>0</v>
      </c>
      <c r="L114" t="n">
        <v>0</v>
      </c>
      <c r="M114" t="n">
        <v>0</v>
      </c>
      <c r="N114" t="n">
        <v>0</v>
      </c>
      <c r="O114" t="n">
        <v>0</v>
      </c>
      <c r="P114" t="n">
        <v>0</v>
      </c>
      <c r="Q114" t="n">
        <v>1</v>
      </c>
      <c r="R114" s="2" t="inlineStr">
        <is>
          <t>Skogsknipprot</t>
        </is>
      </c>
      <c r="S114">
        <f>HYPERLINK("https://klasma.github.io/Logging_0188/artfynd/A 4385-2023 artfynd.xlsx", "A 4385-2023")</f>
        <v/>
      </c>
      <c r="T114">
        <f>HYPERLINK("https://klasma.github.io/Logging_0188/kartor/A 4385-2023 karta.png", "A 4385-2023")</f>
        <v/>
      </c>
      <c r="V114">
        <f>HYPERLINK("https://klasma.github.io/Logging_0188/klagomål/A 4385-2023 FSC-klagomål.docx", "A 4385-2023")</f>
        <v/>
      </c>
      <c r="W114">
        <f>HYPERLINK("https://klasma.github.io/Logging_0188/klagomålsmail/A 4385-2023 FSC-klagomål mail.docx", "A 4385-2023")</f>
        <v/>
      </c>
      <c r="X114">
        <f>HYPERLINK("https://klasma.github.io/Logging_0188/tillsyn/A 4385-2023 tillsynsbegäran.docx", "A 4385-2023")</f>
        <v/>
      </c>
      <c r="Y114">
        <f>HYPERLINK("https://klasma.github.io/Logging_0188/tillsynsmail/A 4385-2023 tillsynsbegäran mail.docx", "A 4385-2023")</f>
        <v/>
      </c>
    </row>
    <row r="115" ht="15" customHeight="1">
      <c r="A115" t="inlineStr">
        <is>
          <t>A 4860-2022</t>
        </is>
      </c>
      <c r="B115" s="1" t="n">
        <v>44592</v>
      </c>
      <c r="C115" s="1" t="n">
        <v>46184</v>
      </c>
      <c r="D115" t="inlineStr">
        <is>
          <t>STOCKHOLMS LÄN</t>
        </is>
      </c>
      <c r="E115" t="inlineStr">
        <is>
          <t>NORRTÄLJE</t>
        </is>
      </c>
      <c r="G115" t="n">
        <v>22.3</v>
      </c>
      <c r="H115" t="n">
        <v>0</v>
      </c>
      <c r="I115" t="n">
        <v>0</v>
      </c>
      <c r="J115" t="n">
        <v>1</v>
      </c>
      <c r="K115" t="n">
        <v>0</v>
      </c>
      <c r="L115" t="n">
        <v>0</v>
      </c>
      <c r="M115" t="n">
        <v>0</v>
      </c>
      <c r="N115" t="n">
        <v>0</v>
      </c>
      <c r="O115" t="n">
        <v>1</v>
      </c>
      <c r="P115" t="n">
        <v>0</v>
      </c>
      <c r="Q115" t="n">
        <v>1</v>
      </c>
      <c r="R115" s="2" t="inlineStr">
        <is>
          <t>Igelkott</t>
        </is>
      </c>
      <c r="S115">
        <f>HYPERLINK("https://klasma.github.io/Logging_0188/artfynd/A 4860-2022 artfynd.xlsx", "A 4860-2022")</f>
        <v/>
      </c>
      <c r="T115">
        <f>HYPERLINK("https://klasma.github.io/Logging_0188/kartor/A 4860-2022 karta.png", "A 4860-2022")</f>
        <v/>
      </c>
      <c r="V115">
        <f>HYPERLINK("https://klasma.github.io/Logging_0188/klagomål/A 4860-2022 FSC-klagomål.docx", "A 4860-2022")</f>
        <v/>
      </c>
      <c r="W115">
        <f>HYPERLINK("https://klasma.github.io/Logging_0188/klagomålsmail/A 4860-2022 FSC-klagomål mail.docx", "A 4860-2022")</f>
        <v/>
      </c>
      <c r="X115">
        <f>HYPERLINK("https://klasma.github.io/Logging_0188/tillsyn/A 4860-2022 tillsynsbegäran.docx", "A 4860-2022")</f>
        <v/>
      </c>
      <c r="Y115">
        <f>HYPERLINK("https://klasma.github.io/Logging_0188/tillsynsmail/A 4860-2022 tillsynsbegäran mail.docx", "A 4860-2022")</f>
        <v/>
      </c>
    </row>
    <row r="116" ht="15" customHeight="1">
      <c r="A116" t="inlineStr">
        <is>
          <t>A 19829-2022</t>
        </is>
      </c>
      <c r="B116" s="1" t="n">
        <v>44695.43527777777</v>
      </c>
      <c r="C116" s="1" t="n">
        <v>46184</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28816-2023</t>
        </is>
      </c>
      <c r="B117" s="1" t="n">
        <v>45104</v>
      </c>
      <c r="C117" s="1" t="n">
        <v>46184</v>
      </c>
      <c r="D117" t="inlineStr">
        <is>
          <t>STOCKHOLMS LÄN</t>
        </is>
      </c>
      <c r="E117" t="inlineStr">
        <is>
          <t>NORRTÄLJE</t>
        </is>
      </c>
      <c r="F117" t="inlineStr">
        <is>
          <t>Kommuner</t>
        </is>
      </c>
      <c r="G117" t="n">
        <v>0.5</v>
      </c>
      <c r="H117" t="n">
        <v>1</v>
      </c>
      <c r="I117" t="n">
        <v>0</v>
      </c>
      <c r="J117" t="n">
        <v>0</v>
      </c>
      <c r="K117" t="n">
        <v>0</v>
      </c>
      <c r="L117" t="n">
        <v>0</v>
      </c>
      <c r="M117" t="n">
        <v>0</v>
      </c>
      <c r="N117" t="n">
        <v>0</v>
      </c>
      <c r="O117" t="n">
        <v>0</v>
      </c>
      <c r="P117" t="n">
        <v>0</v>
      </c>
      <c r="Q117" t="n">
        <v>1</v>
      </c>
      <c r="R117" s="2" t="inlineStr">
        <is>
          <t>Kungsfågel</t>
        </is>
      </c>
      <c r="S117">
        <f>HYPERLINK("https://klasma.github.io/Logging_0188/artfynd/A 28816-2023 artfynd.xlsx", "A 28816-2023")</f>
        <v/>
      </c>
      <c r="T117">
        <f>HYPERLINK("https://klasma.github.io/Logging_0188/kartor/A 28816-2023 karta.png", "A 28816-2023")</f>
        <v/>
      </c>
      <c r="V117">
        <f>HYPERLINK("https://klasma.github.io/Logging_0188/klagomål/A 28816-2023 FSC-klagomål.docx", "A 28816-2023")</f>
        <v/>
      </c>
      <c r="W117">
        <f>HYPERLINK("https://klasma.github.io/Logging_0188/klagomålsmail/A 28816-2023 FSC-klagomål mail.docx", "A 28816-2023")</f>
        <v/>
      </c>
      <c r="X117">
        <f>HYPERLINK("https://klasma.github.io/Logging_0188/tillsyn/A 28816-2023 tillsynsbegäran.docx", "A 28816-2023")</f>
        <v/>
      </c>
      <c r="Y117">
        <f>HYPERLINK("https://klasma.github.io/Logging_0188/tillsynsmail/A 28816-2023 tillsynsbegäran mail.docx", "A 28816-2023")</f>
        <v/>
      </c>
      <c r="Z117">
        <f>HYPERLINK("https://klasma.github.io/Logging_0188/fåglar/A 28816-2023 prioriterade fågelarter.docx", "A 28816-2023")</f>
        <v/>
      </c>
    </row>
    <row r="118" ht="15" customHeight="1">
      <c r="A118" t="inlineStr">
        <is>
          <t>A 19355-2026</t>
        </is>
      </c>
      <c r="B118" s="1" t="n">
        <v>46133.49074074074</v>
      </c>
      <c r="C118" s="1" t="n">
        <v>46184</v>
      </c>
      <c r="D118" t="inlineStr">
        <is>
          <t>STOCKHOLMS LÄN</t>
        </is>
      </c>
      <c r="E118" t="inlineStr">
        <is>
          <t>NORRTÄLJE</t>
        </is>
      </c>
      <c r="G118" t="n">
        <v>22.5</v>
      </c>
      <c r="H118" t="n">
        <v>0</v>
      </c>
      <c r="I118" t="n">
        <v>1</v>
      </c>
      <c r="J118" t="n">
        <v>0</v>
      </c>
      <c r="K118" t="n">
        <v>0</v>
      </c>
      <c r="L118" t="n">
        <v>0</v>
      </c>
      <c r="M118" t="n">
        <v>0</v>
      </c>
      <c r="N118" t="n">
        <v>0</v>
      </c>
      <c r="O118" t="n">
        <v>0</v>
      </c>
      <c r="P118" t="n">
        <v>0</v>
      </c>
      <c r="Q118" t="n">
        <v>1</v>
      </c>
      <c r="R118" s="2" t="inlineStr">
        <is>
          <t>Mönjevaxing</t>
        </is>
      </c>
      <c r="S118">
        <f>HYPERLINK("https://klasma.github.io/Logging_0188/artfynd/A 19355-2026 artfynd.xlsx", "A 19355-2026")</f>
        <v/>
      </c>
      <c r="T118">
        <f>HYPERLINK("https://klasma.github.io/Logging_0188/kartor/A 19355-2026 karta.png", "A 19355-2026")</f>
        <v/>
      </c>
      <c r="V118">
        <f>HYPERLINK("https://klasma.github.io/Logging_0188/klagomål/A 19355-2026 FSC-klagomål.docx", "A 19355-2026")</f>
        <v/>
      </c>
      <c r="W118">
        <f>HYPERLINK("https://klasma.github.io/Logging_0188/klagomålsmail/A 19355-2026 FSC-klagomål mail.docx", "A 19355-2026")</f>
        <v/>
      </c>
      <c r="X118">
        <f>HYPERLINK("https://klasma.github.io/Logging_0188/tillsyn/A 19355-2026 tillsynsbegäran.docx", "A 19355-2026")</f>
        <v/>
      </c>
      <c r="Y118">
        <f>HYPERLINK("https://klasma.github.io/Logging_0188/tillsynsmail/A 19355-2026 tillsynsbegäran mail.docx", "A 19355-2026")</f>
        <v/>
      </c>
    </row>
    <row r="119" ht="15" customHeight="1">
      <c r="A119" t="inlineStr">
        <is>
          <t>A 25911-2026</t>
        </is>
      </c>
      <c r="B119" s="1" t="n">
        <v>46178.71341435185</v>
      </c>
      <c r="C119" s="1" t="n">
        <v>46184</v>
      </c>
      <c r="D119" t="inlineStr">
        <is>
          <t>STOCKHOLMS LÄN</t>
        </is>
      </c>
      <c r="E119" t="inlineStr">
        <is>
          <t>NORRTÄLJE</t>
        </is>
      </c>
      <c r="G119" t="n">
        <v>11.3</v>
      </c>
      <c r="H119" t="n">
        <v>1</v>
      </c>
      <c r="I119" t="n">
        <v>0</v>
      </c>
      <c r="J119" t="n">
        <v>1</v>
      </c>
      <c r="K119" t="n">
        <v>0</v>
      </c>
      <c r="L119" t="n">
        <v>0</v>
      </c>
      <c r="M119" t="n">
        <v>0</v>
      </c>
      <c r="N119" t="n">
        <v>0</v>
      </c>
      <c r="O119" t="n">
        <v>1</v>
      </c>
      <c r="P119" t="n">
        <v>0</v>
      </c>
      <c r="Q119" t="n">
        <v>1</v>
      </c>
      <c r="R119" s="2" t="inlineStr">
        <is>
          <t>Talltita</t>
        </is>
      </c>
      <c r="S119">
        <f>HYPERLINK("https://klasma.github.io/Logging_0188/artfynd/A 25911-2026 artfynd.xlsx", "A 25911-2026")</f>
        <v/>
      </c>
      <c r="T119">
        <f>HYPERLINK("https://klasma.github.io/Logging_0188/kartor/A 25911-2026 karta.png", "A 25911-2026")</f>
        <v/>
      </c>
      <c r="V119">
        <f>HYPERLINK("https://klasma.github.io/Logging_0188/klagomål/A 25911-2026 FSC-klagomål.docx", "A 25911-2026")</f>
        <v/>
      </c>
      <c r="W119">
        <f>HYPERLINK("https://klasma.github.io/Logging_0188/klagomålsmail/A 25911-2026 FSC-klagomål mail.docx", "A 25911-2026")</f>
        <v/>
      </c>
      <c r="X119">
        <f>HYPERLINK("https://klasma.github.io/Logging_0188/tillsyn/A 25911-2026 tillsynsbegäran.docx", "A 25911-2026")</f>
        <v/>
      </c>
      <c r="Y119">
        <f>HYPERLINK("https://klasma.github.io/Logging_0188/tillsynsmail/A 25911-2026 tillsynsbegäran mail.docx", "A 25911-2026")</f>
        <v/>
      </c>
      <c r="Z119">
        <f>HYPERLINK("https://klasma.github.io/Logging_0188/fåglar/A 25911-2026 prioriterade fågelarter.docx", "A 25911-2026")</f>
        <v/>
      </c>
    </row>
    <row r="120" ht="15" customHeight="1">
      <c r="A120" t="inlineStr">
        <is>
          <t>A 7734-2026</t>
        </is>
      </c>
      <c r="B120" s="1" t="n">
        <v>46062.52902777777</v>
      </c>
      <c r="C120" s="1" t="n">
        <v>46184</v>
      </c>
      <c r="D120" t="inlineStr">
        <is>
          <t>STOCKHOLMS LÄN</t>
        </is>
      </c>
      <c r="E120" t="inlineStr">
        <is>
          <t>NORRTÄLJE</t>
        </is>
      </c>
      <c r="G120" t="n">
        <v>6.6</v>
      </c>
      <c r="H120" t="n">
        <v>0</v>
      </c>
      <c r="I120" t="n">
        <v>1</v>
      </c>
      <c r="J120" t="n">
        <v>0</v>
      </c>
      <c r="K120" t="n">
        <v>0</v>
      </c>
      <c r="L120" t="n">
        <v>0</v>
      </c>
      <c r="M120" t="n">
        <v>0</v>
      </c>
      <c r="N120" t="n">
        <v>0</v>
      </c>
      <c r="O120" t="n">
        <v>0</v>
      </c>
      <c r="P120" t="n">
        <v>0</v>
      </c>
      <c r="Q120" t="n">
        <v>1</v>
      </c>
      <c r="R120" s="2" t="inlineStr">
        <is>
          <t>Kastanjefjällskivling</t>
        </is>
      </c>
      <c r="S120">
        <f>HYPERLINK("https://klasma.github.io/Logging_0188/artfynd/A 7734-2026 artfynd.xlsx", "A 7734-2026")</f>
        <v/>
      </c>
      <c r="T120">
        <f>HYPERLINK("https://klasma.github.io/Logging_0188/kartor/A 7734-2026 karta.png", "A 7734-2026")</f>
        <v/>
      </c>
      <c r="V120">
        <f>HYPERLINK("https://klasma.github.io/Logging_0188/klagomål/A 7734-2026 FSC-klagomål.docx", "A 7734-2026")</f>
        <v/>
      </c>
      <c r="W120">
        <f>HYPERLINK("https://klasma.github.io/Logging_0188/klagomålsmail/A 7734-2026 FSC-klagomål mail.docx", "A 7734-2026")</f>
        <v/>
      </c>
      <c r="X120">
        <f>HYPERLINK("https://klasma.github.io/Logging_0188/tillsyn/A 7734-2026 tillsynsbegäran.docx", "A 7734-2026")</f>
        <v/>
      </c>
      <c r="Y120">
        <f>HYPERLINK("https://klasma.github.io/Logging_0188/tillsynsmail/A 7734-2026 tillsynsbegäran mail.docx", "A 7734-2026")</f>
        <v/>
      </c>
    </row>
    <row r="121" ht="15" customHeight="1">
      <c r="A121" t="inlineStr">
        <is>
          <t>A 33546-2025</t>
        </is>
      </c>
      <c r="B121" s="1" t="n">
        <v>45841.56996527778</v>
      </c>
      <c r="C121" s="1" t="n">
        <v>46184</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63292-2025</t>
        </is>
      </c>
      <c r="B122" s="1" t="n">
        <v>46010.59232638889</v>
      </c>
      <c r="C122" s="1" t="n">
        <v>46184</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25916-2026</t>
        </is>
      </c>
      <c r="B123" s="1" t="n">
        <v>46178.73321759259</v>
      </c>
      <c r="C123" s="1" t="n">
        <v>46184</v>
      </c>
      <c r="D123" t="inlineStr">
        <is>
          <t>STOCKHOLMS LÄN</t>
        </is>
      </c>
      <c r="E123" t="inlineStr">
        <is>
          <t>NORRTÄLJE</t>
        </is>
      </c>
      <c r="G123" t="n">
        <v>9.5</v>
      </c>
      <c r="H123" t="n">
        <v>0</v>
      </c>
      <c r="I123" t="n">
        <v>0</v>
      </c>
      <c r="J123" t="n">
        <v>0</v>
      </c>
      <c r="K123" t="n">
        <v>1</v>
      </c>
      <c r="L123" t="n">
        <v>0</v>
      </c>
      <c r="M123" t="n">
        <v>0</v>
      </c>
      <c r="N123" t="n">
        <v>0</v>
      </c>
      <c r="O123" t="n">
        <v>1</v>
      </c>
      <c r="P123" t="n">
        <v>1</v>
      </c>
      <c r="Q123" t="n">
        <v>1</v>
      </c>
      <c r="R123" s="2" t="inlineStr">
        <is>
          <t>Violgubbe</t>
        </is>
      </c>
      <c r="S123">
        <f>HYPERLINK("https://klasma.github.io/Logging_0188/artfynd/A 25916-2026 artfynd.xlsx", "A 25916-2026")</f>
        <v/>
      </c>
      <c r="T123">
        <f>HYPERLINK("https://klasma.github.io/Logging_0188/kartor/A 25916-2026 karta.png", "A 25916-2026")</f>
        <v/>
      </c>
      <c r="V123">
        <f>HYPERLINK("https://klasma.github.io/Logging_0188/klagomål/A 25916-2026 FSC-klagomål.docx", "A 25916-2026")</f>
        <v/>
      </c>
      <c r="W123">
        <f>HYPERLINK("https://klasma.github.io/Logging_0188/klagomålsmail/A 25916-2026 FSC-klagomål mail.docx", "A 25916-2026")</f>
        <v/>
      </c>
      <c r="X123">
        <f>HYPERLINK("https://klasma.github.io/Logging_0188/tillsyn/A 25916-2026 tillsynsbegäran.docx", "A 25916-2026")</f>
        <v/>
      </c>
      <c r="Y123">
        <f>HYPERLINK("https://klasma.github.io/Logging_0188/tillsynsmail/A 25916-2026 tillsynsbegäran mail.docx", "A 25916-2026")</f>
        <v/>
      </c>
    </row>
    <row r="124" ht="15" customHeight="1">
      <c r="A124" t="inlineStr">
        <is>
          <t>A 16870-2025</t>
        </is>
      </c>
      <c r="B124" s="1" t="n">
        <v>45754</v>
      </c>
      <c r="C124" s="1" t="n">
        <v>46184</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52508-2023</t>
        </is>
      </c>
      <c r="B125" s="1" t="n">
        <v>45225</v>
      </c>
      <c r="C125" s="1" t="n">
        <v>46184</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26415-2026</t>
        </is>
      </c>
      <c r="B126" s="1" t="n">
        <v>46183.41864583334</v>
      </c>
      <c r="C126" s="1" t="n">
        <v>46184</v>
      </c>
      <c r="D126" t="inlineStr">
        <is>
          <t>STOCKHOLMS LÄN</t>
        </is>
      </c>
      <c r="E126" t="inlineStr">
        <is>
          <t>NORRTÄLJE</t>
        </is>
      </c>
      <c r="G126" t="n">
        <v>2.3</v>
      </c>
      <c r="H126" t="n">
        <v>1</v>
      </c>
      <c r="I126" t="n">
        <v>1</v>
      </c>
      <c r="J126" t="n">
        <v>0</v>
      </c>
      <c r="K126" t="n">
        <v>0</v>
      </c>
      <c r="L126" t="n">
        <v>0</v>
      </c>
      <c r="M126" t="n">
        <v>0</v>
      </c>
      <c r="N126" t="n">
        <v>0</v>
      </c>
      <c r="O126" t="n">
        <v>0</v>
      </c>
      <c r="P126" t="n">
        <v>0</v>
      </c>
      <c r="Q126" t="n">
        <v>1</v>
      </c>
      <c r="R126" s="2" t="inlineStr">
        <is>
          <t>Korallrot</t>
        </is>
      </c>
      <c r="S126">
        <f>HYPERLINK("https://klasma.github.io/Logging_0188/artfynd/A 26415-2026 artfynd.xlsx", "A 26415-2026")</f>
        <v/>
      </c>
      <c r="T126">
        <f>HYPERLINK("https://klasma.github.io/Logging_0188/kartor/A 26415-2026 karta.png", "A 26415-2026")</f>
        <v/>
      </c>
      <c r="V126">
        <f>HYPERLINK("https://klasma.github.io/Logging_0188/klagomål/A 26415-2026 FSC-klagomål.docx", "A 26415-2026")</f>
        <v/>
      </c>
      <c r="W126">
        <f>HYPERLINK("https://klasma.github.io/Logging_0188/klagomålsmail/A 26415-2026 FSC-klagomål mail.docx", "A 26415-2026")</f>
        <v/>
      </c>
      <c r="X126">
        <f>HYPERLINK("https://klasma.github.io/Logging_0188/tillsyn/A 26415-2026 tillsynsbegäran.docx", "A 26415-2026")</f>
        <v/>
      </c>
      <c r="Y126">
        <f>HYPERLINK("https://klasma.github.io/Logging_0188/tillsynsmail/A 26415-2026 tillsynsbegäran mail.docx", "A 26415-2026")</f>
        <v/>
      </c>
    </row>
    <row r="127" ht="15" customHeight="1">
      <c r="A127" t="inlineStr">
        <is>
          <t>A 27827-2022</t>
        </is>
      </c>
      <c r="B127" s="1" t="n">
        <v>44743.59504629629</v>
      </c>
      <c r="C127" s="1" t="n">
        <v>46184</v>
      </c>
      <c r="D127" t="inlineStr">
        <is>
          <t>STOCKHOLMS LÄN</t>
        </is>
      </c>
      <c r="E127" t="inlineStr">
        <is>
          <t>NORRTÄLJE</t>
        </is>
      </c>
      <c r="F127" t="inlineStr">
        <is>
          <t>Holmen skog AB</t>
        </is>
      </c>
      <c r="G127" t="n">
        <v>4.7</v>
      </c>
      <c r="H127" t="n">
        <v>1</v>
      </c>
      <c r="I127" t="n">
        <v>0</v>
      </c>
      <c r="J127" t="n">
        <v>1</v>
      </c>
      <c r="K127" t="n">
        <v>0</v>
      </c>
      <c r="L127" t="n">
        <v>0</v>
      </c>
      <c r="M127" t="n">
        <v>0</v>
      </c>
      <c r="N127" t="n">
        <v>0</v>
      </c>
      <c r="O127" t="n">
        <v>1</v>
      </c>
      <c r="P127" t="n">
        <v>0</v>
      </c>
      <c r="Q127" t="n">
        <v>1</v>
      </c>
      <c r="R127" s="2" t="inlineStr">
        <is>
          <t>Nordfladdermus</t>
        </is>
      </c>
      <c r="S127">
        <f>HYPERLINK("https://klasma.github.io/Logging_0188/artfynd/A 27827-2022 artfynd.xlsx", "A 27827-2022")</f>
        <v/>
      </c>
      <c r="T127">
        <f>HYPERLINK("https://klasma.github.io/Logging_0188/kartor/A 27827-2022 karta.png", "A 27827-2022")</f>
        <v/>
      </c>
      <c r="V127">
        <f>HYPERLINK("https://klasma.github.io/Logging_0188/klagomål/A 27827-2022 FSC-klagomål.docx", "A 27827-2022")</f>
        <v/>
      </c>
      <c r="W127">
        <f>HYPERLINK("https://klasma.github.io/Logging_0188/klagomålsmail/A 27827-2022 FSC-klagomål mail.docx", "A 27827-2022")</f>
        <v/>
      </c>
      <c r="X127">
        <f>HYPERLINK("https://klasma.github.io/Logging_0188/tillsyn/A 27827-2022 tillsynsbegäran.docx", "A 27827-2022")</f>
        <v/>
      </c>
      <c r="Y127">
        <f>HYPERLINK("https://klasma.github.io/Logging_0188/tillsynsmail/A 27827-2022 tillsynsbegäran mail.docx", "A 27827-2022")</f>
        <v/>
      </c>
    </row>
    <row r="128" ht="15" customHeight="1">
      <c r="A128" t="inlineStr">
        <is>
          <t>A 23146-2024</t>
        </is>
      </c>
      <c r="B128" s="1" t="n">
        <v>45450.63958333333</v>
      </c>
      <c r="C128" s="1" t="n">
        <v>46184</v>
      </c>
      <c r="D128" t="inlineStr">
        <is>
          <t>STOCKHOLMS LÄN</t>
        </is>
      </c>
      <c r="E128" t="inlineStr">
        <is>
          <t>NORRTÄLJE</t>
        </is>
      </c>
      <c r="F128" t="inlineStr">
        <is>
          <t>Kommuner</t>
        </is>
      </c>
      <c r="G128" t="n">
        <v>6</v>
      </c>
      <c r="H128" t="n">
        <v>0</v>
      </c>
      <c r="I128" t="n">
        <v>0</v>
      </c>
      <c r="J128" t="n">
        <v>1</v>
      </c>
      <c r="K128" t="n">
        <v>0</v>
      </c>
      <c r="L128" t="n">
        <v>0</v>
      </c>
      <c r="M128" t="n">
        <v>0</v>
      </c>
      <c r="N128" t="n">
        <v>0</v>
      </c>
      <c r="O128" t="n">
        <v>1</v>
      </c>
      <c r="P128" t="n">
        <v>0</v>
      </c>
      <c r="Q128" t="n">
        <v>1</v>
      </c>
      <c r="R128" s="2" t="inlineStr">
        <is>
          <t>Motaggsvamp</t>
        </is>
      </c>
      <c r="S128">
        <f>HYPERLINK("https://klasma.github.io/Logging_0188/artfynd/A 23146-2024 artfynd.xlsx", "A 23146-2024")</f>
        <v/>
      </c>
      <c r="T128">
        <f>HYPERLINK("https://klasma.github.io/Logging_0188/kartor/A 23146-2024 karta.png", "A 23146-2024")</f>
        <v/>
      </c>
      <c r="V128">
        <f>HYPERLINK("https://klasma.github.io/Logging_0188/klagomål/A 23146-2024 FSC-klagomål.docx", "A 23146-2024")</f>
        <v/>
      </c>
      <c r="W128">
        <f>HYPERLINK("https://klasma.github.io/Logging_0188/klagomålsmail/A 23146-2024 FSC-klagomål mail.docx", "A 23146-2024")</f>
        <v/>
      </c>
      <c r="X128">
        <f>HYPERLINK("https://klasma.github.io/Logging_0188/tillsyn/A 23146-2024 tillsynsbegäran.docx", "A 23146-2024")</f>
        <v/>
      </c>
      <c r="Y128">
        <f>HYPERLINK("https://klasma.github.io/Logging_0188/tillsynsmail/A 23146-2024 tillsynsbegäran mail.docx", "A 23146-2024")</f>
        <v/>
      </c>
    </row>
    <row r="129" ht="15" customHeight="1">
      <c r="A129" t="inlineStr">
        <is>
          <t>A 27538-2024</t>
        </is>
      </c>
      <c r="B129" s="1" t="n">
        <v>45474</v>
      </c>
      <c r="C129" s="1" t="n">
        <v>46184</v>
      </c>
      <c r="D129" t="inlineStr">
        <is>
          <t>STOCKHOLMS LÄN</t>
        </is>
      </c>
      <c r="E129" t="inlineStr">
        <is>
          <t>NORRTÄLJE</t>
        </is>
      </c>
      <c r="G129" t="n">
        <v>1.5</v>
      </c>
      <c r="H129" t="n">
        <v>1</v>
      </c>
      <c r="I129" t="n">
        <v>1</v>
      </c>
      <c r="J129" t="n">
        <v>0</v>
      </c>
      <c r="K129" t="n">
        <v>0</v>
      </c>
      <c r="L129" t="n">
        <v>0</v>
      </c>
      <c r="M129" t="n">
        <v>0</v>
      </c>
      <c r="N129" t="n">
        <v>0</v>
      </c>
      <c r="O129" t="n">
        <v>0</v>
      </c>
      <c r="P129" t="n">
        <v>0</v>
      </c>
      <c r="Q129" t="n">
        <v>1</v>
      </c>
      <c r="R129" s="2" t="inlineStr">
        <is>
          <t>Skogsknipprot</t>
        </is>
      </c>
      <c r="S129">
        <f>HYPERLINK("https://klasma.github.io/Logging_0188/artfynd/A 27538-2024 artfynd.xlsx", "A 27538-2024")</f>
        <v/>
      </c>
      <c r="T129">
        <f>HYPERLINK("https://klasma.github.io/Logging_0188/kartor/A 27538-2024 karta.png", "A 27538-2024")</f>
        <v/>
      </c>
      <c r="V129">
        <f>HYPERLINK("https://klasma.github.io/Logging_0188/klagomål/A 27538-2024 FSC-klagomål.docx", "A 27538-2024")</f>
        <v/>
      </c>
      <c r="W129">
        <f>HYPERLINK("https://klasma.github.io/Logging_0188/klagomålsmail/A 27538-2024 FSC-klagomål mail.docx", "A 27538-2024")</f>
        <v/>
      </c>
      <c r="X129">
        <f>HYPERLINK("https://klasma.github.io/Logging_0188/tillsyn/A 27538-2024 tillsynsbegäran.docx", "A 27538-2024")</f>
        <v/>
      </c>
      <c r="Y129">
        <f>HYPERLINK("https://klasma.github.io/Logging_0188/tillsynsmail/A 27538-2024 tillsynsbegäran mail.docx", "A 27538-2024")</f>
        <v/>
      </c>
    </row>
    <row r="130" ht="15" customHeight="1">
      <c r="A130" t="inlineStr">
        <is>
          <t>A 48131-2023</t>
        </is>
      </c>
      <c r="B130" s="1" t="n">
        <v>45205</v>
      </c>
      <c r="C130" s="1" t="n">
        <v>46184</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21150-2022</t>
        </is>
      </c>
      <c r="B131" s="1" t="n">
        <v>44704</v>
      </c>
      <c r="C131" s="1" t="n">
        <v>46184</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12877-2022</t>
        </is>
      </c>
      <c r="B132" s="1" t="n">
        <v>44642</v>
      </c>
      <c r="C132" s="1" t="n">
        <v>46184</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46184</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46184</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46184</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46184</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40542-2021</t>
        </is>
      </c>
      <c r="B137" s="1" t="n">
        <v>44420</v>
      </c>
      <c r="C137" s="1" t="n">
        <v>46184</v>
      </c>
      <c r="D137" t="inlineStr">
        <is>
          <t>STOCKHOLMS LÄN</t>
        </is>
      </c>
      <c r="E137" t="inlineStr">
        <is>
          <t>NORRTÄLJE</t>
        </is>
      </c>
      <c r="G137" t="n">
        <v>0.4</v>
      </c>
      <c r="H137" t="n">
        <v>0</v>
      </c>
      <c r="I137" t="n">
        <v>0</v>
      </c>
      <c r="J137" t="n">
        <v>0</v>
      </c>
      <c r="K137" t="n">
        <v>0</v>
      </c>
      <c r="L137" t="n">
        <v>0</v>
      </c>
      <c r="M137" t="n">
        <v>0</v>
      </c>
      <c r="N137" t="n">
        <v>0</v>
      </c>
      <c r="O137" t="n">
        <v>0</v>
      </c>
      <c r="P137" t="n">
        <v>0</v>
      </c>
      <c r="Q137" t="n">
        <v>0</v>
      </c>
      <c r="R137" s="2" t="inlineStr"/>
    </row>
    <row r="138" ht="15" customHeight="1">
      <c r="A138" t="inlineStr">
        <is>
          <t>A 40546-2021</t>
        </is>
      </c>
      <c r="B138" s="1" t="n">
        <v>44420</v>
      </c>
      <c r="C138" s="1" t="n">
        <v>46184</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24977-2022</t>
        </is>
      </c>
      <c r="B139" s="1" t="n">
        <v>44728.73465277778</v>
      </c>
      <c r="C139" s="1" t="n">
        <v>46184</v>
      </c>
      <c r="D139" t="inlineStr">
        <is>
          <t>STOCKHOLMS LÄN</t>
        </is>
      </c>
      <c r="E139" t="inlineStr">
        <is>
          <t>NORRTÄLJE</t>
        </is>
      </c>
      <c r="F139" t="inlineStr">
        <is>
          <t>Kyrkan</t>
        </is>
      </c>
      <c r="G139" t="n">
        <v>1</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46184</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37815-2022</t>
        </is>
      </c>
      <c r="B141" s="1" t="n">
        <v>44810.85092592592</v>
      </c>
      <c r="C141" s="1" t="n">
        <v>46184</v>
      </c>
      <c r="D141" t="inlineStr">
        <is>
          <t>STOCKHOLMS LÄN</t>
        </is>
      </c>
      <c r="E141" t="inlineStr">
        <is>
          <t>NORRTÄLJE</t>
        </is>
      </c>
      <c r="G141" t="n">
        <v>1.3</v>
      </c>
      <c r="H141" t="n">
        <v>0</v>
      </c>
      <c r="I141" t="n">
        <v>0</v>
      </c>
      <c r="J141" t="n">
        <v>0</v>
      </c>
      <c r="K141" t="n">
        <v>0</v>
      </c>
      <c r="L141" t="n">
        <v>0</v>
      </c>
      <c r="M141" t="n">
        <v>0</v>
      </c>
      <c r="N141" t="n">
        <v>0</v>
      </c>
      <c r="O141" t="n">
        <v>0</v>
      </c>
      <c r="P141" t="n">
        <v>0</v>
      </c>
      <c r="Q141" t="n">
        <v>0</v>
      </c>
      <c r="R141" s="2" t="inlineStr"/>
    </row>
    <row r="142" ht="15" customHeight="1">
      <c r="A142" t="inlineStr">
        <is>
          <t>A 73855-2021</t>
        </is>
      </c>
      <c r="B142" s="1" t="n">
        <v>44552</v>
      </c>
      <c r="C142" s="1" t="n">
        <v>46184</v>
      </c>
      <c r="D142" t="inlineStr">
        <is>
          <t>STOCKHOLMS LÄN</t>
        </is>
      </c>
      <c r="E142" t="inlineStr">
        <is>
          <t>NORRTÄLJE</t>
        </is>
      </c>
      <c r="F142" t="inlineStr">
        <is>
          <t>Övriga Aktiebolag</t>
        </is>
      </c>
      <c r="G142" t="n">
        <v>4</v>
      </c>
      <c r="H142" t="n">
        <v>0</v>
      </c>
      <c r="I142" t="n">
        <v>0</v>
      </c>
      <c r="J142" t="n">
        <v>0</v>
      </c>
      <c r="K142" t="n">
        <v>0</v>
      </c>
      <c r="L142" t="n">
        <v>0</v>
      </c>
      <c r="M142" t="n">
        <v>0</v>
      </c>
      <c r="N142" t="n">
        <v>0</v>
      </c>
      <c r="O142" t="n">
        <v>0</v>
      </c>
      <c r="P142" t="n">
        <v>0</v>
      </c>
      <c r="Q142" t="n">
        <v>0</v>
      </c>
      <c r="R142" s="2" t="inlineStr"/>
    </row>
    <row r="143" ht="15" customHeight="1">
      <c r="A143" t="inlineStr">
        <is>
          <t>A 74468-2021</t>
        </is>
      </c>
      <c r="B143" s="1" t="n">
        <v>44560</v>
      </c>
      <c r="C143" s="1" t="n">
        <v>46184</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11821-2022</t>
        </is>
      </c>
      <c r="B144" s="1" t="n">
        <v>44634</v>
      </c>
      <c r="C144" s="1" t="n">
        <v>46184</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2977-2022</t>
        </is>
      </c>
      <c r="B145" s="1" t="n">
        <v>44581.75819444445</v>
      </c>
      <c r="C145" s="1" t="n">
        <v>46184</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31283-2022</t>
        </is>
      </c>
      <c r="B146" s="1" t="n">
        <v>44771</v>
      </c>
      <c r="C146" s="1" t="n">
        <v>46184</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56225-2021</t>
        </is>
      </c>
      <c r="B147" s="1" t="n">
        <v>44477.94327546296</v>
      </c>
      <c r="C147" s="1" t="n">
        <v>46184</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34436-2021</t>
        </is>
      </c>
      <c r="B148" s="1" t="n">
        <v>44380</v>
      </c>
      <c r="C148" s="1" t="n">
        <v>46184</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67525-2021</t>
        </is>
      </c>
      <c r="B149" s="1" t="n">
        <v>44524</v>
      </c>
      <c r="C149" s="1" t="n">
        <v>46184</v>
      </c>
      <c r="D149" t="inlineStr">
        <is>
          <t>STOCKHOLMS LÄN</t>
        </is>
      </c>
      <c r="E149" t="inlineStr">
        <is>
          <t>NORRTÄLJE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65737-2021</t>
        </is>
      </c>
      <c r="B150" s="1" t="n">
        <v>44516.72827546296</v>
      </c>
      <c r="C150" s="1" t="n">
        <v>46184</v>
      </c>
      <c r="D150" t="inlineStr">
        <is>
          <t>STOCKHOLMS LÄN</t>
        </is>
      </c>
      <c r="E150" t="inlineStr">
        <is>
          <t>NORRTÄLJE</t>
        </is>
      </c>
      <c r="G150" t="n">
        <v>3</v>
      </c>
      <c r="H150" t="n">
        <v>0</v>
      </c>
      <c r="I150" t="n">
        <v>0</v>
      </c>
      <c r="J150" t="n">
        <v>0</v>
      </c>
      <c r="K150" t="n">
        <v>0</v>
      </c>
      <c r="L150" t="n">
        <v>0</v>
      </c>
      <c r="M150" t="n">
        <v>0</v>
      </c>
      <c r="N150" t="n">
        <v>0</v>
      </c>
      <c r="O150" t="n">
        <v>0</v>
      </c>
      <c r="P150" t="n">
        <v>0</v>
      </c>
      <c r="Q150" t="n">
        <v>0</v>
      </c>
      <c r="R150" s="2" t="inlineStr"/>
    </row>
    <row r="151" ht="15" customHeight="1">
      <c r="A151" t="inlineStr">
        <is>
          <t>A 1704-2022</t>
        </is>
      </c>
      <c r="B151" s="1" t="n">
        <v>44574.42978009259</v>
      </c>
      <c r="C151" s="1" t="n">
        <v>46184</v>
      </c>
      <c r="D151" t="inlineStr">
        <is>
          <t>STOCKHOLMS LÄN</t>
        </is>
      </c>
      <c r="E151" t="inlineStr">
        <is>
          <t>NORRTÄLJE</t>
        </is>
      </c>
      <c r="G151" t="n">
        <v>6.2</v>
      </c>
      <c r="H151" t="n">
        <v>0</v>
      </c>
      <c r="I151" t="n">
        <v>0</v>
      </c>
      <c r="J151" t="n">
        <v>0</v>
      </c>
      <c r="K151" t="n">
        <v>0</v>
      </c>
      <c r="L151" t="n">
        <v>0</v>
      </c>
      <c r="M151" t="n">
        <v>0</v>
      </c>
      <c r="N151" t="n">
        <v>0</v>
      </c>
      <c r="O151" t="n">
        <v>0</v>
      </c>
      <c r="P151" t="n">
        <v>0</v>
      </c>
      <c r="Q151" t="n">
        <v>0</v>
      </c>
      <c r="R151" s="2" t="inlineStr"/>
    </row>
    <row r="152" ht="15" customHeight="1">
      <c r="A152" t="inlineStr">
        <is>
          <t>A 43374-2022</t>
        </is>
      </c>
      <c r="B152" s="1" t="n">
        <v>44834</v>
      </c>
      <c r="C152" s="1" t="n">
        <v>46184</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46184</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48384-2021</t>
        </is>
      </c>
      <c r="B154" s="1" t="n">
        <v>44451</v>
      </c>
      <c r="C154" s="1" t="n">
        <v>46184</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46184</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46184</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46184</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46184</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46184</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46184</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46184</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46184</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46184</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24534-2022</t>
        </is>
      </c>
      <c r="B164" s="1" t="n">
        <v>44727</v>
      </c>
      <c r="C164" s="1" t="n">
        <v>46184</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45539-2022</t>
        </is>
      </c>
      <c r="B165" s="1" t="n">
        <v>44845.47585648148</v>
      </c>
      <c r="C165" s="1" t="n">
        <v>46184</v>
      </c>
      <c r="D165" t="inlineStr">
        <is>
          <t>STOCKHOLMS LÄN</t>
        </is>
      </c>
      <c r="E165" t="inlineStr">
        <is>
          <t>NORRTÄLJE</t>
        </is>
      </c>
      <c r="G165" t="n">
        <v>0.3</v>
      </c>
      <c r="H165" t="n">
        <v>0</v>
      </c>
      <c r="I165" t="n">
        <v>0</v>
      </c>
      <c r="J165" t="n">
        <v>0</v>
      </c>
      <c r="K165" t="n">
        <v>0</v>
      </c>
      <c r="L165" t="n">
        <v>0</v>
      </c>
      <c r="M165" t="n">
        <v>0</v>
      </c>
      <c r="N165" t="n">
        <v>0</v>
      </c>
      <c r="O165" t="n">
        <v>0</v>
      </c>
      <c r="P165" t="n">
        <v>0</v>
      </c>
      <c r="Q165" t="n">
        <v>0</v>
      </c>
      <c r="R165" s="2" t="inlineStr"/>
    </row>
    <row r="166" ht="15" customHeight="1">
      <c r="A166" t="inlineStr">
        <is>
          <t>A 71876-2021</t>
        </is>
      </c>
      <c r="B166" s="1" t="n">
        <v>44543</v>
      </c>
      <c r="C166" s="1" t="n">
        <v>46184</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71878-2021</t>
        </is>
      </c>
      <c r="B167" s="1" t="n">
        <v>44543</v>
      </c>
      <c r="C167" s="1" t="n">
        <v>46184</v>
      </c>
      <c r="D167" t="inlineStr">
        <is>
          <t>STOCKHOLMS LÄN</t>
        </is>
      </c>
      <c r="E167" t="inlineStr">
        <is>
          <t>NORRTÄLJE</t>
        </is>
      </c>
      <c r="G167" t="n">
        <v>1.2</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46184</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46184</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54355-2022</t>
        </is>
      </c>
      <c r="B170" s="1" t="n">
        <v>44882</v>
      </c>
      <c r="C170" s="1" t="n">
        <v>46184</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72308-2021</t>
        </is>
      </c>
      <c r="B171" s="1" t="n">
        <v>44545.4189699074</v>
      </c>
      <c r="C171" s="1" t="n">
        <v>46184</v>
      </c>
      <c r="D171" t="inlineStr">
        <is>
          <t>STOCKHOLMS LÄN</t>
        </is>
      </c>
      <c r="E171" t="inlineStr">
        <is>
          <t>NORRTÄLJE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23770-2022</t>
        </is>
      </c>
      <c r="B172" s="1" t="n">
        <v>44722</v>
      </c>
      <c r="C172" s="1" t="n">
        <v>46184</v>
      </c>
      <c r="D172" t="inlineStr">
        <is>
          <t>STOCKHOLMS LÄN</t>
        </is>
      </c>
      <c r="E172" t="inlineStr">
        <is>
          <t>NORRTÄLJE</t>
        </is>
      </c>
      <c r="G172" t="n">
        <v>1.6</v>
      </c>
      <c r="H172" t="n">
        <v>0</v>
      </c>
      <c r="I172" t="n">
        <v>0</v>
      </c>
      <c r="J172" t="n">
        <v>0</v>
      </c>
      <c r="K172" t="n">
        <v>0</v>
      </c>
      <c r="L172" t="n">
        <v>0</v>
      </c>
      <c r="M172" t="n">
        <v>0</v>
      </c>
      <c r="N172" t="n">
        <v>0</v>
      </c>
      <c r="O172" t="n">
        <v>0</v>
      </c>
      <c r="P172" t="n">
        <v>0</v>
      </c>
      <c r="Q172" t="n">
        <v>0</v>
      </c>
      <c r="R172" s="2" t="inlineStr"/>
    </row>
    <row r="173" ht="15" customHeight="1">
      <c r="A173" t="inlineStr">
        <is>
          <t>A 27538-2022</t>
        </is>
      </c>
      <c r="B173" s="1" t="n">
        <v>44742</v>
      </c>
      <c r="C173" s="1" t="n">
        <v>46184</v>
      </c>
      <c r="D173" t="inlineStr">
        <is>
          <t>STOCKHOLMS LÄN</t>
        </is>
      </c>
      <c r="E173" t="inlineStr">
        <is>
          <t>NORRTÄLJE</t>
        </is>
      </c>
      <c r="G173" t="n">
        <v>2.2</v>
      </c>
      <c r="H173" t="n">
        <v>0</v>
      </c>
      <c r="I173" t="n">
        <v>0</v>
      </c>
      <c r="J173" t="n">
        <v>0</v>
      </c>
      <c r="K173" t="n">
        <v>0</v>
      </c>
      <c r="L173" t="n">
        <v>0</v>
      </c>
      <c r="M173" t="n">
        <v>0</v>
      </c>
      <c r="N173" t="n">
        <v>0</v>
      </c>
      <c r="O173" t="n">
        <v>0</v>
      </c>
      <c r="P173" t="n">
        <v>0</v>
      </c>
      <c r="Q173" t="n">
        <v>0</v>
      </c>
      <c r="R173" s="2" t="inlineStr"/>
    </row>
    <row r="174" ht="15" customHeight="1">
      <c r="A174" t="inlineStr">
        <is>
          <t>A 29868-2022</t>
        </is>
      </c>
      <c r="B174" s="1" t="n">
        <v>44756.40881944444</v>
      </c>
      <c r="C174" s="1" t="n">
        <v>46184</v>
      </c>
      <c r="D174" t="inlineStr">
        <is>
          <t>STOCKHOLMS LÄN</t>
        </is>
      </c>
      <c r="E174" t="inlineStr">
        <is>
          <t>NORRTÄLJE</t>
        </is>
      </c>
      <c r="G174" t="n">
        <v>1.8</v>
      </c>
      <c r="H174" t="n">
        <v>0</v>
      </c>
      <c r="I174" t="n">
        <v>0</v>
      </c>
      <c r="J174" t="n">
        <v>0</v>
      </c>
      <c r="K174" t="n">
        <v>0</v>
      </c>
      <c r="L174" t="n">
        <v>0</v>
      </c>
      <c r="M174" t="n">
        <v>0</v>
      </c>
      <c r="N174" t="n">
        <v>0</v>
      </c>
      <c r="O174" t="n">
        <v>0</v>
      </c>
      <c r="P174" t="n">
        <v>0</v>
      </c>
      <c r="Q174" t="n">
        <v>0</v>
      </c>
      <c r="R174" s="2" t="inlineStr"/>
    </row>
    <row r="175" ht="15" customHeight="1">
      <c r="A175" t="inlineStr">
        <is>
          <t>A 36975-2022</t>
        </is>
      </c>
      <c r="B175" s="1" t="n">
        <v>44806.34577546296</v>
      </c>
      <c r="C175" s="1" t="n">
        <v>46184</v>
      </c>
      <c r="D175" t="inlineStr">
        <is>
          <t>STOCKHOLMS LÄN</t>
        </is>
      </c>
      <c r="E175" t="inlineStr">
        <is>
          <t>NORRTÄLJE</t>
        </is>
      </c>
      <c r="G175" t="n">
        <v>4.7</v>
      </c>
      <c r="H175" t="n">
        <v>0</v>
      </c>
      <c r="I175" t="n">
        <v>0</v>
      </c>
      <c r="J175" t="n">
        <v>0</v>
      </c>
      <c r="K175" t="n">
        <v>0</v>
      </c>
      <c r="L175" t="n">
        <v>0</v>
      </c>
      <c r="M175" t="n">
        <v>0</v>
      </c>
      <c r="N175" t="n">
        <v>0</v>
      </c>
      <c r="O175" t="n">
        <v>0</v>
      </c>
      <c r="P175" t="n">
        <v>0</v>
      </c>
      <c r="Q175" t="n">
        <v>0</v>
      </c>
      <c r="R175" s="2" t="inlineStr"/>
    </row>
    <row r="176" ht="15" customHeight="1">
      <c r="A176" t="inlineStr">
        <is>
          <t>A 64599-2021</t>
        </is>
      </c>
      <c r="B176" s="1" t="n">
        <v>44511.69885416667</v>
      </c>
      <c r="C176" s="1" t="n">
        <v>46184</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64212-2021</t>
        </is>
      </c>
      <c r="B177" s="1" t="n">
        <v>44510</v>
      </c>
      <c r="C177" s="1" t="n">
        <v>46184</v>
      </c>
      <c r="D177" t="inlineStr">
        <is>
          <t>STOCKHOLMS LÄN</t>
        </is>
      </c>
      <c r="E177" t="inlineStr">
        <is>
          <t>NORRTÄLJE</t>
        </is>
      </c>
      <c r="G177" t="n">
        <v>28.7</v>
      </c>
      <c r="H177" t="n">
        <v>0</v>
      </c>
      <c r="I177" t="n">
        <v>0</v>
      </c>
      <c r="J177" t="n">
        <v>0</v>
      </c>
      <c r="K177" t="n">
        <v>0</v>
      </c>
      <c r="L177" t="n">
        <v>0</v>
      </c>
      <c r="M177" t="n">
        <v>0</v>
      </c>
      <c r="N177" t="n">
        <v>0</v>
      </c>
      <c r="O177" t="n">
        <v>0</v>
      </c>
      <c r="P177" t="n">
        <v>0</v>
      </c>
      <c r="Q177" t="n">
        <v>0</v>
      </c>
      <c r="R177" s="2" t="inlineStr"/>
    </row>
    <row r="178" ht="15" customHeight="1">
      <c r="A178" t="inlineStr">
        <is>
          <t>A 47349-2021</t>
        </is>
      </c>
      <c r="B178" s="1" t="n">
        <v>44447</v>
      </c>
      <c r="C178" s="1" t="n">
        <v>46184</v>
      </c>
      <c r="D178" t="inlineStr">
        <is>
          <t>STOCKHOLMS LÄN</t>
        </is>
      </c>
      <c r="E178" t="inlineStr">
        <is>
          <t>NORRTÄLJE</t>
        </is>
      </c>
      <c r="G178" t="n">
        <v>3.3</v>
      </c>
      <c r="H178" t="n">
        <v>0</v>
      </c>
      <c r="I178" t="n">
        <v>0</v>
      </c>
      <c r="J178" t="n">
        <v>0</v>
      </c>
      <c r="K178" t="n">
        <v>0</v>
      </c>
      <c r="L178" t="n">
        <v>0</v>
      </c>
      <c r="M178" t="n">
        <v>0</v>
      </c>
      <c r="N178" t="n">
        <v>0</v>
      </c>
      <c r="O178" t="n">
        <v>0</v>
      </c>
      <c r="P178" t="n">
        <v>0</v>
      </c>
      <c r="Q178" t="n">
        <v>0</v>
      </c>
      <c r="R178" s="2" t="inlineStr"/>
    </row>
    <row r="179" ht="15" customHeight="1">
      <c r="A179" t="inlineStr">
        <is>
          <t>A 44274-2021</t>
        </is>
      </c>
      <c r="B179" s="1" t="n">
        <v>44435</v>
      </c>
      <c r="C179" s="1" t="n">
        <v>46184</v>
      </c>
      <c r="D179" t="inlineStr">
        <is>
          <t>STOCKHOLMS LÄN</t>
        </is>
      </c>
      <c r="E179" t="inlineStr">
        <is>
          <t>NORRTÄLJE</t>
        </is>
      </c>
      <c r="G179" t="n">
        <v>1</v>
      </c>
      <c r="H179" t="n">
        <v>0</v>
      </c>
      <c r="I179" t="n">
        <v>0</v>
      </c>
      <c r="J179" t="n">
        <v>0</v>
      </c>
      <c r="K179" t="n">
        <v>0</v>
      </c>
      <c r="L179" t="n">
        <v>0</v>
      </c>
      <c r="M179" t="n">
        <v>0</v>
      </c>
      <c r="N179" t="n">
        <v>0</v>
      </c>
      <c r="O179" t="n">
        <v>0</v>
      </c>
      <c r="P179" t="n">
        <v>0</v>
      </c>
      <c r="Q179" t="n">
        <v>0</v>
      </c>
      <c r="R179" s="2" t="inlineStr"/>
    </row>
    <row r="180" ht="15" customHeight="1">
      <c r="A180" t="inlineStr">
        <is>
          <t>A 36565-2021</t>
        </is>
      </c>
      <c r="B180" s="1" t="n">
        <v>44391.5580787037</v>
      </c>
      <c r="C180" s="1" t="n">
        <v>46184</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50970-2022</t>
        </is>
      </c>
      <c r="B181" s="1" t="n">
        <v>44867</v>
      </c>
      <c r="C181" s="1" t="n">
        <v>46184</v>
      </c>
      <c r="D181" t="inlineStr">
        <is>
          <t>STOCKHOLMS LÄN</t>
        </is>
      </c>
      <c r="E181" t="inlineStr">
        <is>
          <t>NORRTÄLJE</t>
        </is>
      </c>
      <c r="G181" t="n">
        <v>9</v>
      </c>
      <c r="H181" t="n">
        <v>0</v>
      </c>
      <c r="I181" t="n">
        <v>0</v>
      </c>
      <c r="J181" t="n">
        <v>0</v>
      </c>
      <c r="K181" t="n">
        <v>0</v>
      </c>
      <c r="L181" t="n">
        <v>0</v>
      </c>
      <c r="M181" t="n">
        <v>0</v>
      </c>
      <c r="N181" t="n">
        <v>0</v>
      </c>
      <c r="O181" t="n">
        <v>0</v>
      </c>
      <c r="P181" t="n">
        <v>0</v>
      </c>
      <c r="Q181" t="n">
        <v>0</v>
      </c>
      <c r="R181" s="2" t="inlineStr"/>
    </row>
    <row r="182" ht="15" customHeight="1">
      <c r="A182" t="inlineStr">
        <is>
          <t>A 49113-2021</t>
        </is>
      </c>
      <c r="B182" s="1" t="n">
        <v>44453</v>
      </c>
      <c r="C182" s="1" t="n">
        <v>46184</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64628-2021</t>
        </is>
      </c>
      <c r="B183" s="1" t="n">
        <v>44511</v>
      </c>
      <c r="C183" s="1" t="n">
        <v>46184</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60209-2021</t>
        </is>
      </c>
      <c r="B184" s="1" t="n">
        <v>44495</v>
      </c>
      <c r="C184" s="1" t="n">
        <v>46184</v>
      </c>
      <c r="D184" t="inlineStr">
        <is>
          <t>STOCKHOLMS LÄN</t>
        </is>
      </c>
      <c r="E184" t="inlineStr">
        <is>
          <t>NORRTÄLJE</t>
        </is>
      </c>
      <c r="G184" t="n">
        <v>4.3</v>
      </c>
      <c r="H184" t="n">
        <v>0</v>
      </c>
      <c r="I184" t="n">
        <v>0</v>
      </c>
      <c r="J184" t="n">
        <v>0</v>
      </c>
      <c r="K184" t="n">
        <v>0</v>
      </c>
      <c r="L184" t="n">
        <v>0</v>
      </c>
      <c r="M184" t="n">
        <v>0</v>
      </c>
      <c r="N184" t="n">
        <v>0</v>
      </c>
      <c r="O184" t="n">
        <v>0</v>
      </c>
      <c r="P184" t="n">
        <v>0</v>
      </c>
      <c r="Q184" t="n">
        <v>0</v>
      </c>
      <c r="R184" s="2" t="inlineStr"/>
    </row>
    <row r="185" ht="15" customHeight="1">
      <c r="A185" t="inlineStr">
        <is>
          <t>A 17803-2022</t>
        </is>
      </c>
      <c r="B185" s="1" t="n">
        <v>44683</v>
      </c>
      <c r="C185" s="1" t="n">
        <v>46184</v>
      </c>
      <c r="D185" t="inlineStr">
        <is>
          <t>STOCKHOLMS LÄN</t>
        </is>
      </c>
      <c r="E185" t="inlineStr">
        <is>
          <t>NORRTÄLJE</t>
        </is>
      </c>
      <c r="G185" t="n">
        <v>1.4</v>
      </c>
      <c r="H185" t="n">
        <v>0</v>
      </c>
      <c r="I185" t="n">
        <v>0</v>
      </c>
      <c r="J185" t="n">
        <v>0</v>
      </c>
      <c r="K185" t="n">
        <v>0</v>
      </c>
      <c r="L185" t="n">
        <v>0</v>
      </c>
      <c r="M185" t="n">
        <v>0</v>
      </c>
      <c r="N185" t="n">
        <v>0</v>
      </c>
      <c r="O185" t="n">
        <v>0</v>
      </c>
      <c r="P185" t="n">
        <v>0</v>
      </c>
      <c r="Q185" t="n">
        <v>0</v>
      </c>
      <c r="R185" s="2" t="inlineStr"/>
    </row>
    <row r="186" ht="15" customHeight="1">
      <c r="A186" t="inlineStr">
        <is>
          <t>A 32561-2021</t>
        </is>
      </c>
      <c r="B186" s="1" t="n">
        <v>44375</v>
      </c>
      <c r="C186" s="1" t="n">
        <v>46184</v>
      </c>
      <c r="D186" t="inlineStr">
        <is>
          <t>STOCKHOLMS LÄN</t>
        </is>
      </c>
      <c r="E186" t="inlineStr">
        <is>
          <t>NORRTÄLJE</t>
        </is>
      </c>
      <c r="G186" t="n">
        <v>3.4</v>
      </c>
      <c r="H186" t="n">
        <v>0</v>
      </c>
      <c r="I186" t="n">
        <v>0</v>
      </c>
      <c r="J186" t="n">
        <v>0</v>
      </c>
      <c r="K186" t="n">
        <v>0</v>
      </c>
      <c r="L186" t="n">
        <v>0</v>
      </c>
      <c r="M186" t="n">
        <v>0</v>
      </c>
      <c r="N186" t="n">
        <v>0</v>
      </c>
      <c r="O186" t="n">
        <v>0</v>
      </c>
      <c r="P186" t="n">
        <v>0</v>
      </c>
      <c r="Q186" t="n">
        <v>0</v>
      </c>
      <c r="R186" s="2" t="inlineStr"/>
    </row>
    <row r="187" ht="15" customHeight="1">
      <c r="A187" t="inlineStr">
        <is>
          <t>A 71325-2021</t>
        </is>
      </c>
      <c r="B187" s="1" t="n">
        <v>44539</v>
      </c>
      <c r="C187" s="1" t="n">
        <v>46184</v>
      </c>
      <c r="D187" t="inlineStr">
        <is>
          <t>STOCKHOLMS LÄN</t>
        </is>
      </c>
      <c r="E187" t="inlineStr">
        <is>
          <t>NORRTÄLJE</t>
        </is>
      </c>
      <c r="G187" t="n">
        <v>2.1</v>
      </c>
      <c r="H187" t="n">
        <v>0</v>
      </c>
      <c r="I187" t="n">
        <v>0</v>
      </c>
      <c r="J187" t="n">
        <v>0</v>
      </c>
      <c r="K187" t="n">
        <v>0</v>
      </c>
      <c r="L187" t="n">
        <v>0</v>
      </c>
      <c r="M187" t="n">
        <v>0</v>
      </c>
      <c r="N187" t="n">
        <v>0</v>
      </c>
      <c r="O187" t="n">
        <v>0</v>
      </c>
      <c r="P187" t="n">
        <v>0</v>
      </c>
      <c r="Q187" t="n">
        <v>0</v>
      </c>
      <c r="R187" s="2" t="inlineStr"/>
    </row>
    <row r="188" ht="15" customHeight="1">
      <c r="A188" t="inlineStr">
        <is>
          <t>A 65611-2021</t>
        </is>
      </c>
      <c r="B188" s="1" t="n">
        <v>44516.5275462963</v>
      </c>
      <c r="C188" s="1" t="n">
        <v>46184</v>
      </c>
      <c r="D188" t="inlineStr">
        <is>
          <t>STOCKHOLMS LÄN</t>
        </is>
      </c>
      <c r="E188" t="inlineStr">
        <is>
          <t>NORRTÄLJE</t>
        </is>
      </c>
      <c r="G188" t="n">
        <v>2.5</v>
      </c>
      <c r="H188" t="n">
        <v>0</v>
      </c>
      <c r="I188" t="n">
        <v>0</v>
      </c>
      <c r="J188" t="n">
        <v>0</v>
      </c>
      <c r="K188" t="n">
        <v>0</v>
      </c>
      <c r="L188" t="n">
        <v>0</v>
      </c>
      <c r="M188" t="n">
        <v>0</v>
      </c>
      <c r="N188" t="n">
        <v>0</v>
      </c>
      <c r="O188" t="n">
        <v>0</v>
      </c>
      <c r="P188" t="n">
        <v>0</v>
      </c>
      <c r="Q188" t="n">
        <v>0</v>
      </c>
      <c r="R188" s="2" t="inlineStr"/>
    </row>
    <row r="189" ht="15" customHeight="1">
      <c r="A189" t="inlineStr">
        <is>
          <t>A 60813-2021</t>
        </is>
      </c>
      <c r="B189" s="1" t="n">
        <v>44496</v>
      </c>
      <c r="C189" s="1" t="n">
        <v>46184</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39497-2021</t>
        </is>
      </c>
      <c r="B190" s="1" t="n">
        <v>44414.81494212963</v>
      </c>
      <c r="C190" s="1" t="n">
        <v>46184</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5351-2022</t>
        </is>
      </c>
      <c r="B191" s="1" t="n">
        <v>44594.75950231482</v>
      </c>
      <c r="C191" s="1" t="n">
        <v>46184</v>
      </c>
      <c r="D191" t="inlineStr">
        <is>
          <t>STOCKHOLMS LÄN</t>
        </is>
      </c>
      <c r="E191" t="inlineStr">
        <is>
          <t>NORRTÄLJE</t>
        </is>
      </c>
      <c r="G191" t="n">
        <v>4</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46184</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30129-2021</t>
        </is>
      </c>
      <c r="B193" s="1" t="n">
        <v>44363.5784375</v>
      </c>
      <c r="C193" s="1" t="n">
        <v>46184</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22316-2022</t>
        </is>
      </c>
      <c r="B194" s="1" t="n">
        <v>44712.83118055556</v>
      </c>
      <c r="C194" s="1" t="n">
        <v>46184</v>
      </c>
      <c r="D194" t="inlineStr">
        <is>
          <t>STOCKHOLMS LÄN</t>
        </is>
      </c>
      <c r="E194" t="inlineStr">
        <is>
          <t>NORRTÄLJE</t>
        </is>
      </c>
      <c r="G194" t="n">
        <v>6.3</v>
      </c>
      <c r="H194" t="n">
        <v>0</v>
      </c>
      <c r="I194" t="n">
        <v>0</v>
      </c>
      <c r="J194" t="n">
        <v>0</v>
      </c>
      <c r="K194" t="n">
        <v>0</v>
      </c>
      <c r="L194" t="n">
        <v>0</v>
      </c>
      <c r="M194" t="n">
        <v>0</v>
      </c>
      <c r="N194" t="n">
        <v>0</v>
      </c>
      <c r="O194" t="n">
        <v>0</v>
      </c>
      <c r="P194" t="n">
        <v>0</v>
      </c>
      <c r="Q194" t="n">
        <v>0</v>
      </c>
      <c r="R194" s="2" t="inlineStr"/>
    </row>
    <row r="195" ht="15" customHeight="1">
      <c r="A195" t="inlineStr">
        <is>
          <t>A 31092-2022</t>
        </is>
      </c>
      <c r="B195" s="1" t="n">
        <v>44769.62320601852</v>
      </c>
      <c r="C195" s="1" t="n">
        <v>46184</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71871-2021</t>
        </is>
      </c>
      <c r="B196" s="1" t="n">
        <v>44543</v>
      </c>
      <c r="C196" s="1" t="n">
        <v>46184</v>
      </c>
      <c r="D196" t="inlineStr">
        <is>
          <t>STOCKHOLMS LÄN</t>
        </is>
      </c>
      <c r="E196" t="inlineStr">
        <is>
          <t>NORRTÄLJE</t>
        </is>
      </c>
      <c r="G196" t="n">
        <v>2.5</v>
      </c>
      <c r="H196" t="n">
        <v>0</v>
      </c>
      <c r="I196" t="n">
        <v>0</v>
      </c>
      <c r="J196" t="n">
        <v>0</v>
      </c>
      <c r="K196" t="n">
        <v>0</v>
      </c>
      <c r="L196" t="n">
        <v>0</v>
      </c>
      <c r="M196" t="n">
        <v>0</v>
      </c>
      <c r="N196" t="n">
        <v>0</v>
      </c>
      <c r="O196" t="n">
        <v>0</v>
      </c>
      <c r="P196" t="n">
        <v>0</v>
      </c>
      <c r="Q196" t="n">
        <v>0</v>
      </c>
      <c r="R196" s="2" t="inlineStr"/>
    </row>
    <row r="197" ht="15" customHeight="1">
      <c r="A197" t="inlineStr">
        <is>
          <t>A 71873-2021</t>
        </is>
      </c>
      <c r="B197" s="1" t="n">
        <v>44543</v>
      </c>
      <c r="C197" s="1" t="n">
        <v>46184</v>
      </c>
      <c r="D197" t="inlineStr">
        <is>
          <t>STOCKHOLMS LÄN</t>
        </is>
      </c>
      <c r="E197" t="inlineStr">
        <is>
          <t>NORRTÄLJE</t>
        </is>
      </c>
      <c r="G197" t="n">
        <v>1.4</v>
      </c>
      <c r="H197" t="n">
        <v>0</v>
      </c>
      <c r="I197" t="n">
        <v>0</v>
      </c>
      <c r="J197" t="n">
        <v>0</v>
      </c>
      <c r="K197" t="n">
        <v>0</v>
      </c>
      <c r="L197" t="n">
        <v>0</v>
      </c>
      <c r="M197" t="n">
        <v>0</v>
      </c>
      <c r="N197" t="n">
        <v>0</v>
      </c>
      <c r="O197" t="n">
        <v>0</v>
      </c>
      <c r="P197" t="n">
        <v>0</v>
      </c>
      <c r="Q197" t="n">
        <v>0</v>
      </c>
      <c r="R197" s="2" t="inlineStr"/>
    </row>
    <row r="198" ht="15" customHeight="1">
      <c r="A198" t="inlineStr">
        <is>
          <t>A 72355-2021</t>
        </is>
      </c>
      <c r="B198" s="1" t="n">
        <v>44545</v>
      </c>
      <c r="C198" s="1" t="n">
        <v>46184</v>
      </c>
      <c r="D198" t="inlineStr">
        <is>
          <t>STOCKHOLMS LÄN</t>
        </is>
      </c>
      <c r="E198" t="inlineStr">
        <is>
          <t>NORRTÄLJE</t>
        </is>
      </c>
      <c r="G198" t="n">
        <v>3.6</v>
      </c>
      <c r="H198" t="n">
        <v>0</v>
      </c>
      <c r="I198" t="n">
        <v>0</v>
      </c>
      <c r="J198" t="n">
        <v>0</v>
      </c>
      <c r="K198" t="n">
        <v>0</v>
      </c>
      <c r="L198" t="n">
        <v>0</v>
      </c>
      <c r="M198" t="n">
        <v>0</v>
      </c>
      <c r="N198" t="n">
        <v>0</v>
      </c>
      <c r="O198" t="n">
        <v>0</v>
      </c>
      <c r="P198" t="n">
        <v>0</v>
      </c>
      <c r="Q198" t="n">
        <v>0</v>
      </c>
      <c r="R198" s="2" t="inlineStr"/>
    </row>
    <row r="199" ht="15" customHeight="1">
      <c r="A199" t="inlineStr">
        <is>
          <t>A 72357-2021</t>
        </is>
      </c>
      <c r="B199" s="1" t="n">
        <v>44545</v>
      </c>
      <c r="C199" s="1" t="n">
        <v>46184</v>
      </c>
      <c r="D199" t="inlineStr">
        <is>
          <t>STOCKHOLMS LÄN</t>
        </is>
      </c>
      <c r="E199" t="inlineStr">
        <is>
          <t>NORRTÄLJE</t>
        </is>
      </c>
      <c r="G199" t="n">
        <v>5.1</v>
      </c>
      <c r="H199" t="n">
        <v>0</v>
      </c>
      <c r="I199" t="n">
        <v>0</v>
      </c>
      <c r="J199" t="n">
        <v>0</v>
      </c>
      <c r="K199" t="n">
        <v>0</v>
      </c>
      <c r="L199" t="n">
        <v>0</v>
      </c>
      <c r="M199" t="n">
        <v>0</v>
      </c>
      <c r="N199" t="n">
        <v>0</v>
      </c>
      <c r="O199" t="n">
        <v>0</v>
      </c>
      <c r="P199" t="n">
        <v>0</v>
      </c>
      <c r="Q199" t="n">
        <v>0</v>
      </c>
      <c r="R199" s="2" t="inlineStr"/>
    </row>
    <row r="200" ht="15" customHeight="1">
      <c r="A200" t="inlineStr">
        <is>
          <t>A 9988-2022</t>
        </is>
      </c>
      <c r="B200" s="1" t="n">
        <v>44621</v>
      </c>
      <c r="C200" s="1" t="n">
        <v>46184</v>
      </c>
      <c r="D200" t="inlineStr">
        <is>
          <t>STOCKHOLMS LÄN</t>
        </is>
      </c>
      <c r="E200" t="inlineStr">
        <is>
          <t>NORRTÄLJE</t>
        </is>
      </c>
      <c r="G200" t="n">
        <v>1.3</v>
      </c>
      <c r="H200" t="n">
        <v>0</v>
      </c>
      <c r="I200" t="n">
        <v>0</v>
      </c>
      <c r="J200" t="n">
        <v>0</v>
      </c>
      <c r="K200" t="n">
        <v>0</v>
      </c>
      <c r="L200" t="n">
        <v>0</v>
      </c>
      <c r="M200" t="n">
        <v>0</v>
      </c>
      <c r="N200" t="n">
        <v>0</v>
      </c>
      <c r="O200" t="n">
        <v>0</v>
      </c>
      <c r="P200" t="n">
        <v>0</v>
      </c>
      <c r="Q200" t="n">
        <v>0</v>
      </c>
      <c r="R200" s="2" t="inlineStr"/>
    </row>
    <row r="201" ht="15" customHeight="1">
      <c r="A201" t="inlineStr">
        <is>
          <t>A 60733-2021</t>
        </is>
      </c>
      <c r="B201" s="1" t="n">
        <v>44496.77542824074</v>
      </c>
      <c r="C201" s="1" t="n">
        <v>46184</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53884-2022</t>
        </is>
      </c>
      <c r="B202" s="1" t="n">
        <v>44880.68423611111</v>
      </c>
      <c r="C202" s="1" t="n">
        <v>46184</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12357-2022</t>
        </is>
      </c>
      <c r="B203" s="1" t="n">
        <v>44637</v>
      </c>
      <c r="C203" s="1" t="n">
        <v>46184</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26335-2022</t>
        </is>
      </c>
      <c r="B204" s="1" t="n">
        <v>44735</v>
      </c>
      <c r="C204" s="1" t="n">
        <v>46184</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30624-2022</t>
        </is>
      </c>
      <c r="B205" s="1" t="n">
        <v>44763.4182175926</v>
      </c>
      <c r="C205" s="1" t="n">
        <v>46184</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33046-2021</t>
        </is>
      </c>
      <c r="B206" s="1" t="n">
        <v>44376</v>
      </c>
      <c r="C206" s="1" t="n">
        <v>46184</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26328-2022</t>
        </is>
      </c>
      <c r="B207" s="1" t="n">
        <v>44735</v>
      </c>
      <c r="C207" s="1" t="n">
        <v>46184</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67598-2021</t>
        </is>
      </c>
      <c r="B208" s="1" t="n">
        <v>44524</v>
      </c>
      <c r="C208" s="1" t="n">
        <v>46184</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34520-2021</t>
        </is>
      </c>
      <c r="B209" s="1" t="n">
        <v>44379</v>
      </c>
      <c r="C209" s="1" t="n">
        <v>46184</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1968-2022</t>
        </is>
      </c>
      <c r="B210" s="1" t="n">
        <v>44575.52831018518</v>
      </c>
      <c r="C210" s="1" t="n">
        <v>46184</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1229-2022</t>
        </is>
      </c>
      <c r="B211" s="1" t="n">
        <v>44572</v>
      </c>
      <c r="C211" s="1" t="n">
        <v>46184</v>
      </c>
      <c r="D211" t="inlineStr">
        <is>
          <t>STOCKHOLMS LÄN</t>
        </is>
      </c>
      <c r="E211" t="inlineStr">
        <is>
          <t>NORRTÄLJE</t>
        </is>
      </c>
      <c r="G211" t="n">
        <v>11.5</v>
      </c>
      <c r="H211" t="n">
        <v>0</v>
      </c>
      <c r="I211" t="n">
        <v>0</v>
      </c>
      <c r="J211" t="n">
        <v>0</v>
      </c>
      <c r="K211" t="n">
        <v>0</v>
      </c>
      <c r="L211" t="n">
        <v>0</v>
      </c>
      <c r="M211" t="n">
        <v>0</v>
      </c>
      <c r="N211" t="n">
        <v>0</v>
      </c>
      <c r="O211" t="n">
        <v>0</v>
      </c>
      <c r="P211" t="n">
        <v>0</v>
      </c>
      <c r="Q211" t="n">
        <v>0</v>
      </c>
      <c r="R211" s="2" t="inlineStr"/>
    </row>
    <row r="212" ht="15" customHeight="1">
      <c r="A212" t="inlineStr">
        <is>
          <t>A 14051-2022</t>
        </is>
      </c>
      <c r="B212" s="1" t="n">
        <v>44650.92714120371</v>
      </c>
      <c r="C212" s="1" t="n">
        <v>46184</v>
      </c>
      <c r="D212" t="inlineStr">
        <is>
          <t>STOCKHOLMS LÄN</t>
        </is>
      </c>
      <c r="E212" t="inlineStr">
        <is>
          <t>NORRTÄLJE</t>
        </is>
      </c>
      <c r="G212" t="n">
        <v>2.3</v>
      </c>
      <c r="H212" t="n">
        <v>0</v>
      </c>
      <c r="I212" t="n">
        <v>0</v>
      </c>
      <c r="J212" t="n">
        <v>0</v>
      </c>
      <c r="K212" t="n">
        <v>0</v>
      </c>
      <c r="L212" t="n">
        <v>0</v>
      </c>
      <c r="M212" t="n">
        <v>0</v>
      </c>
      <c r="N212" t="n">
        <v>0</v>
      </c>
      <c r="O212" t="n">
        <v>0</v>
      </c>
      <c r="P212" t="n">
        <v>0</v>
      </c>
      <c r="Q212" t="n">
        <v>0</v>
      </c>
      <c r="R212" s="2" t="inlineStr"/>
    </row>
    <row r="213" ht="15" customHeight="1">
      <c r="A213" t="inlineStr">
        <is>
          <t>A 24167-2022</t>
        </is>
      </c>
      <c r="B213" s="1" t="n">
        <v>44725.49491898148</v>
      </c>
      <c r="C213" s="1" t="n">
        <v>46184</v>
      </c>
      <c r="D213" t="inlineStr">
        <is>
          <t>STOCKHOLMS LÄN</t>
        </is>
      </c>
      <c r="E213" t="inlineStr">
        <is>
          <t>NORRTÄLJE</t>
        </is>
      </c>
      <c r="G213" t="n">
        <v>3.4</v>
      </c>
      <c r="H213" t="n">
        <v>0</v>
      </c>
      <c r="I213" t="n">
        <v>0</v>
      </c>
      <c r="J213" t="n">
        <v>0</v>
      </c>
      <c r="K213" t="n">
        <v>0</v>
      </c>
      <c r="L213" t="n">
        <v>0</v>
      </c>
      <c r="M213" t="n">
        <v>0</v>
      </c>
      <c r="N213" t="n">
        <v>0</v>
      </c>
      <c r="O213" t="n">
        <v>0</v>
      </c>
      <c r="P213" t="n">
        <v>0</v>
      </c>
      <c r="Q213" t="n">
        <v>0</v>
      </c>
      <c r="R213" s="2" t="inlineStr"/>
    </row>
    <row r="214" ht="15" customHeight="1">
      <c r="A214" t="inlineStr">
        <is>
          <t>A 42396-2021</t>
        </is>
      </c>
      <c r="B214" s="1" t="n">
        <v>44427</v>
      </c>
      <c r="C214" s="1" t="n">
        <v>46184</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2732-2022</t>
        </is>
      </c>
      <c r="B215" s="1" t="n">
        <v>44580</v>
      </c>
      <c r="C215" s="1" t="n">
        <v>46184</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31924-2022</t>
        </is>
      </c>
      <c r="B216" s="1" t="n">
        <v>44777</v>
      </c>
      <c r="C216" s="1" t="n">
        <v>46184</v>
      </c>
      <c r="D216" t="inlineStr">
        <is>
          <t>STOCKHOLMS LÄN</t>
        </is>
      </c>
      <c r="E216" t="inlineStr">
        <is>
          <t>NORRTÄLJE</t>
        </is>
      </c>
      <c r="G216" t="n">
        <v>0.7</v>
      </c>
      <c r="H216" t="n">
        <v>0</v>
      </c>
      <c r="I216" t="n">
        <v>0</v>
      </c>
      <c r="J216" t="n">
        <v>0</v>
      </c>
      <c r="K216" t="n">
        <v>0</v>
      </c>
      <c r="L216" t="n">
        <v>0</v>
      </c>
      <c r="M216" t="n">
        <v>0</v>
      </c>
      <c r="N216" t="n">
        <v>0</v>
      </c>
      <c r="O216" t="n">
        <v>0</v>
      </c>
      <c r="P216" t="n">
        <v>0</v>
      </c>
      <c r="Q216" t="n">
        <v>0</v>
      </c>
      <c r="R216" s="2" t="inlineStr"/>
    </row>
    <row r="217" ht="15" customHeight="1">
      <c r="A217" t="inlineStr">
        <is>
          <t>A 16119-2022</t>
        </is>
      </c>
      <c r="B217" s="1" t="n">
        <v>44665.66407407408</v>
      </c>
      <c r="C217" s="1" t="n">
        <v>46184</v>
      </c>
      <c r="D217" t="inlineStr">
        <is>
          <t>STOCKHOLMS LÄN</t>
        </is>
      </c>
      <c r="E217" t="inlineStr">
        <is>
          <t>NORRTÄLJE</t>
        </is>
      </c>
      <c r="G217" t="n">
        <v>3.9</v>
      </c>
      <c r="H217" t="n">
        <v>0</v>
      </c>
      <c r="I217" t="n">
        <v>0</v>
      </c>
      <c r="J217" t="n">
        <v>0</v>
      </c>
      <c r="K217" t="n">
        <v>0</v>
      </c>
      <c r="L217" t="n">
        <v>0</v>
      </c>
      <c r="M217" t="n">
        <v>0</v>
      </c>
      <c r="N217" t="n">
        <v>0</v>
      </c>
      <c r="O217" t="n">
        <v>0</v>
      </c>
      <c r="P217" t="n">
        <v>0</v>
      </c>
      <c r="Q217" t="n">
        <v>0</v>
      </c>
      <c r="R217" s="2" t="inlineStr"/>
    </row>
    <row r="218" ht="15" customHeight="1">
      <c r="A218" t="inlineStr">
        <is>
          <t>A 12270-2022</t>
        </is>
      </c>
      <c r="B218" s="1" t="n">
        <v>44637</v>
      </c>
      <c r="C218" s="1" t="n">
        <v>46184</v>
      </c>
      <c r="D218" t="inlineStr">
        <is>
          <t>STOCKHOLMS LÄN</t>
        </is>
      </c>
      <c r="E218" t="inlineStr">
        <is>
          <t>NORRTÄLJE</t>
        </is>
      </c>
      <c r="G218" t="n">
        <v>2.3</v>
      </c>
      <c r="H218" t="n">
        <v>0</v>
      </c>
      <c r="I218" t="n">
        <v>0</v>
      </c>
      <c r="J218" t="n">
        <v>0</v>
      </c>
      <c r="K218" t="n">
        <v>0</v>
      </c>
      <c r="L218" t="n">
        <v>0</v>
      </c>
      <c r="M218" t="n">
        <v>0</v>
      </c>
      <c r="N218" t="n">
        <v>0</v>
      </c>
      <c r="O218" t="n">
        <v>0</v>
      </c>
      <c r="P218" t="n">
        <v>0</v>
      </c>
      <c r="Q218" t="n">
        <v>0</v>
      </c>
      <c r="R218" s="2" t="inlineStr"/>
    </row>
    <row r="219" ht="15" customHeight="1">
      <c r="A219" t="inlineStr">
        <is>
          <t>A 14543-2022</t>
        </is>
      </c>
      <c r="B219" s="1" t="n">
        <v>44655.45373842592</v>
      </c>
      <c r="C219" s="1" t="n">
        <v>46184</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5513-2022</t>
        </is>
      </c>
      <c r="B220" s="1" t="n">
        <v>44595</v>
      </c>
      <c r="C220" s="1" t="n">
        <v>46184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28042-2022</t>
        </is>
      </c>
      <c r="B221" s="1" t="n">
        <v>44744</v>
      </c>
      <c r="C221" s="1" t="n">
        <v>46184</v>
      </c>
      <c r="D221" t="inlineStr">
        <is>
          <t>STOCKHOLMS LÄN</t>
        </is>
      </c>
      <c r="E221" t="inlineStr">
        <is>
          <t>NORRTÄLJE</t>
        </is>
      </c>
      <c r="G221" t="n">
        <v>0.2</v>
      </c>
      <c r="H221" t="n">
        <v>0</v>
      </c>
      <c r="I221" t="n">
        <v>0</v>
      </c>
      <c r="J221" t="n">
        <v>0</v>
      </c>
      <c r="K221" t="n">
        <v>0</v>
      </c>
      <c r="L221" t="n">
        <v>0</v>
      </c>
      <c r="M221" t="n">
        <v>0</v>
      </c>
      <c r="N221" t="n">
        <v>0</v>
      </c>
      <c r="O221" t="n">
        <v>0</v>
      </c>
      <c r="P221" t="n">
        <v>0</v>
      </c>
      <c r="Q221" t="n">
        <v>0</v>
      </c>
      <c r="R221" s="2" t="inlineStr"/>
    </row>
    <row r="222" ht="15" customHeight="1">
      <c r="A222" t="inlineStr">
        <is>
          <t>A 41398-2022</t>
        </is>
      </c>
      <c r="B222" s="1" t="n">
        <v>44826</v>
      </c>
      <c r="C222" s="1" t="n">
        <v>46184</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45541-2022</t>
        </is>
      </c>
      <c r="B223" s="1" t="n">
        <v>44845.47672453704</v>
      </c>
      <c r="C223" s="1" t="n">
        <v>46184</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68273-2021</t>
        </is>
      </c>
      <c r="B224" s="1" t="n">
        <v>44526</v>
      </c>
      <c r="C224" s="1" t="n">
        <v>46184</v>
      </c>
      <c r="D224" t="inlineStr">
        <is>
          <t>STOCKHOLMS LÄN</t>
        </is>
      </c>
      <c r="E224" t="inlineStr">
        <is>
          <t>NORRTÄLJE</t>
        </is>
      </c>
      <c r="G224" t="n">
        <v>5.3</v>
      </c>
      <c r="H224" t="n">
        <v>0</v>
      </c>
      <c r="I224" t="n">
        <v>0</v>
      </c>
      <c r="J224" t="n">
        <v>0</v>
      </c>
      <c r="K224" t="n">
        <v>0</v>
      </c>
      <c r="L224" t="n">
        <v>0</v>
      </c>
      <c r="M224" t="n">
        <v>0</v>
      </c>
      <c r="N224" t="n">
        <v>0</v>
      </c>
      <c r="O224" t="n">
        <v>0</v>
      </c>
      <c r="P224" t="n">
        <v>0</v>
      </c>
      <c r="Q224" t="n">
        <v>0</v>
      </c>
      <c r="R224" s="2" t="inlineStr"/>
    </row>
    <row r="225" ht="15" customHeight="1">
      <c r="A225" t="inlineStr">
        <is>
          <t>A 52139-2022</t>
        </is>
      </c>
      <c r="B225" s="1" t="n">
        <v>44868</v>
      </c>
      <c r="C225" s="1" t="n">
        <v>46184</v>
      </c>
      <c r="D225" t="inlineStr">
        <is>
          <t>STOCKHOLMS LÄN</t>
        </is>
      </c>
      <c r="E225" t="inlineStr">
        <is>
          <t>NORRTÄLJE</t>
        </is>
      </c>
      <c r="G225" t="n">
        <v>3.2</v>
      </c>
      <c r="H225" t="n">
        <v>0</v>
      </c>
      <c r="I225" t="n">
        <v>0</v>
      </c>
      <c r="J225" t="n">
        <v>0</v>
      </c>
      <c r="K225" t="n">
        <v>0</v>
      </c>
      <c r="L225" t="n">
        <v>0</v>
      </c>
      <c r="M225" t="n">
        <v>0</v>
      </c>
      <c r="N225" t="n">
        <v>0</v>
      </c>
      <c r="O225" t="n">
        <v>0</v>
      </c>
      <c r="P225" t="n">
        <v>0</v>
      </c>
      <c r="Q225" t="n">
        <v>0</v>
      </c>
      <c r="R225" s="2" t="inlineStr"/>
      <c r="U225">
        <f>HYPERLINK("https://klasma.github.io/Logging_0188/knärot/A 52139-2022 karta knärot.png", "A 52139-2022")</f>
        <v/>
      </c>
      <c r="V225">
        <f>HYPERLINK("https://klasma.github.io/Logging_0188/klagomål/A 52139-2022 FSC-klagomål.docx", "A 52139-2022")</f>
        <v/>
      </c>
      <c r="W225">
        <f>HYPERLINK("https://klasma.github.io/Logging_0188/klagomålsmail/A 52139-2022 FSC-klagomål mail.docx", "A 52139-2022")</f>
        <v/>
      </c>
      <c r="X225">
        <f>HYPERLINK("https://klasma.github.io/Logging_0188/tillsyn/A 52139-2022 tillsynsbegäran.docx", "A 52139-2022")</f>
        <v/>
      </c>
      <c r="Y225">
        <f>HYPERLINK("https://klasma.github.io/Logging_0188/tillsynsmail/A 52139-2022 tillsynsbegäran mail.docx", "A 52139-2022")</f>
        <v/>
      </c>
    </row>
    <row r="226" ht="15" customHeight="1">
      <c r="A226" t="inlineStr">
        <is>
          <t>A 12875-2022</t>
        </is>
      </c>
      <c r="B226" s="1" t="n">
        <v>44642.55565972222</v>
      </c>
      <c r="C226" s="1" t="n">
        <v>46184</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62030-2021</t>
        </is>
      </c>
      <c r="B227" s="1" t="n">
        <v>44502</v>
      </c>
      <c r="C227" s="1" t="n">
        <v>46184</v>
      </c>
      <c r="D227" t="inlineStr">
        <is>
          <t>STOCKHOLMS LÄN</t>
        </is>
      </c>
      <c r="E227" t="inlineStr">
        <is>
          <t>NORRTÄLJE</t>
        </is>
      </c>
      <c r="G227" t="n">
        <v>4.7</v>
      </c>
      <c r="H227" t="n">
        <v>0</v>
      </c>
      <c r="I227" t="n">
        <v>0</v>
      </c>
      <c r="J227" t="n">
        <v>0</v>
      </c>
      <c r="K227" t="n">
        <v>0</v>
      </c>
      <c r="L227" t="n">
        <v>0</v>
      </c>
      <c r="M227" t="n">
        <v>0</v>
      </c>
      <c r="N227" t="n">
        <v>0</v>
      </c>
      <c r="O227" t="n">
        <v>0</v>
      </c>
      <c r="P227" t="n">
        <v>0</v>
      </c>
      <c r="Q227" t="n">
        <v>0</v>
      </c>
      <c r="R227" s="2" t="inlineStr"/>
    </row>
    <row r="228" ht="15" customHeight="1">
      <c r="A228" t="inlineStr">
        <is>
          <t>A 12355-2022</t>
        </is>
      </c>
      <c r="B228" s="1" t="n">
        <v>44637</v>
      </c>
      <c r="C228" s="1" t="n">
        <v>46184</v>
      </c>
      <c r="D228" t="inlineStr">
        <is>
          <t>STOCKHOLMS LÄN</t>
        </is>
      </c>
      <c r="E228" t="inlineStr">
        <is>
          <t>NORRTÄLJE</t>
        </is>
      </c>
      <c r="G228" t="n">
        <v>10.4</v>
      </c>
      <c r="H228" t="n">
        <v>0</v>
      </c>
      <c r="I228" t="n">
        <v>0</v>
      </c>
      <c r="J228" t="n">
        <v>0</v>
      </c>
      <c r="K228" t="n">
        <v>0</v>
      </c>
      <c r="L228" t="n">
        <v>0</v>
      </c>
      <c r="M228" t="n">
        <v>0</v>
      </c>
      <c r="N228" t="n">
        <v>0</v>
      </c>
      <c r="O228" t="n">
        <v>0</v>
      </c>
      <c r="P228" t="n">
        <v>0</v>
      </c>
      <c r="Q228" t="n">
        <v>0</v>
      </c>
      <c r="R228" s="2" t="inlineStr"/>
    </row>
    <row r="229" ht="15" customHeight="1">
      <c r="A229" t="inlineStr">
        <is>
          <t>A 41822-2021</t>
        </is>
      </c>
      <c r="B229" s="1" t="n">
        <v>44425</v>
      </c>
      <c r="C229" s="1" t="n">
        <v>46184</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41823-2021</t>
        </is>
      </c>
      <c r="B230" s="1" t="n">
        <v>44425</v>
      </c>
      <c r="C230" s="1" t="n">
        <v>46184</v>
      </c>
      <c r="D230" t="inlineStr">
        <is>
          <t>STOCKHOLMS LÄN</t>
        </is>
      </c>
      <c r="E230" t="inlineStr">
        <is>
          <t>NORRTÄLJE</t>
        </is>
      </c>
      <c r="G230" t="n">
        <v>2.4</v>
      </c>
      <c r="H230" t="n">
        <v>0</v>
      </c>
      <c r="I230" t="n">
        <v>0</v>
      </c>
      <c r="J230" t="n">
        <v>0</v>
      </c>
      <c r="K230" t="n">
        <v>0</v>
      </c>
      <c r="L230" t="n">
        <v>0</v>
      </c>
      <c r="M230" t="n">
        <v>0</v>
      </c>
      <c r="N230" t="n">
        <v>0</v>
      </c>
      <c r="O230" t="n">
        <v>0</v>
      </c>
      <c r="P230" t="n">
        <v>0</v>
      </c>
      <c r="Q230" t="n">
        <v>0</v>
      </c>
      <c r="R230" s="2" t="inlineStr"/>
    </row>
    <row r="231" ht="15" customHeight="1">
      <c r="A231" t="inlineStr">
        <is>
          <t>A 7565-2022</t>
        </is>
      </c>
      <c r="B231" s="1" t="n">
        <v>44607</v>
      </c>
      <c r="C231" s="1" t="n">
        <v>46184</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37415-2021</t>
        </is>
      </c>
      <c r="B232" s="1" t="n">
        <v>44397</v>
      </c>
      <c r="C232" s="1" t="n">
        <v>46184</v>
      </c>
      <c r="D232" t="inlineStr">
        <is>
          <t>STOCKHOLMS LÄN</t>
        </is>
      </c>
      <c r="E232" t="inlineStr">
        <is>
          <t>NORRTÄLJE</t>
        </is>
      </c>
      <c r="F232" t="inlineStr">
        <is>
          <t>Övriga Aktiebolag</t>
        </is>
      </c>
      <c r="G232" t="n">
        <v>3</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46184</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8160-2022</t>
        </is>
      </c>
      <c r="B234" s="1" t="n">
        <v>44609</v>
      </c>
      <c r="C234" s="1" t="n">
        <v>46184</v>
      </c>
      <c r="D234" t="inlineStr">
        <is>
          <t>STOCKHOLMS LÄN</t>
        </is>
      </c>
      <c r="E234" t="inlineStr">
        <is>
          <t>NORRTÄLJE</t>
        </is>
      </c>
      <c r="G234" t="n">
        <v>3.9</v>
      </c>
      <c r="H234" t="n">
        <v>0</v>
      </c>
      <c r="I234" t="n">
        <v>0</v>
      </c>
      <c r="J234" t="n">
        <v>0</v>
      </c>
      <c r="K234" t="n">
        <v>0</v>
      </c>
      <c r="L234" t="n">
        <v>0</v>
      </c>
      <c r="M234" t="n">
        <v>0</v>
      </c>
      <c r="N234" t="n">
        <v>0</v>
      </c>
      <c r="O234" t="n">
        <v>0</v>
      </c>
      <c r="P234" t="n">
        <v>0</v>
      </c>
      <c r="Q234" t="n">
        <v>0</v>
      </c>
      <c r="R234" s="2" t="inlineStr"/>
    </row>
    <row r="235" ht="15" customHeight="1">
      <c r="A235" t="inlineStr">
        <is>
          <t>A 30286-2022</t>
        </is>
      </c>
      <c r="B235" s="1" t="n">
        <v>44760</v>
      </c>
      <c r="C235" s="1" t="n">
        <v>46184</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39319-2022</t>
        </is>
      </c>
      <c r="B236" s="1" t="n">
        <v>44817.70516203704</v>
      </c>
      <c r="C236" s="1" t="n">
        <v>46184</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56219-2021</t>
        </is>
      </c>
      <c r="B237" s="1" t="n">
        <v>44477</v>
      </c>
      <c r="C237" s="1" t="n">
        <v>46184</v>
      </c>
      <c r="D237" t="inlineStr">
        <is>
          <t>STOCKHOLMS LÄN</t>
        </is>
      </c>
      <c r="E237" t="inlineStr">
        <is>
          <t>NORRTÄLJE</t>
        </is>
      </c>
      <c r="F237" t="inlineStr">
        <is>
          <t>Kommuner</t>
        </is>
      </c>
      <c r="G237" t="n">
        <v>2.3</v>
      </c>
      <c r="H237" t="n">
        <v>0</v>
      </c>
      <c r="I237" t="n">
        <v>0</v>
      </c>
      <c r="J237" t="n">
        <v>0</v>
      </c>
      <c r="K237" t="n">
        <v>0</v>
      </c>
      <c r="L237" t="n">
        <v>0</v>
      </c>
      <c r="M237" t="n">
        <v>0</v>
      </c>
      <c r="N237" t="n">
        <v>0</v>
      </c>
      <c r="O237" t="n">
        <v>0</v>
      </c>
      <c r="P237" t="n">
        <v>0</v>
      </c>
      <c r="Q237" t="n">
        <v>0</v>
      </c>
      <c r="R237" s="2" t="inlineStr"/>
    </row>
    <row r="238" ht="15" customHeight="1">
      <c r="A238" t="inlineStr">
        <is>
          <t>A 3300-2022</t>
        </is>
      </c>
      <c r="B238" s="1" t="n">
        <v>44584.91538194445</v>
      </c>
      <c r="C238" s="1" t="n">
        <v>46184</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17388-2022</t>
        </is>
      </c>
      <c r="B239" s="1" t="n">
        <v>44678</v>
      </c>
      <c r="C239" s="1" t="n">
        <v>46184</v>
      </c>
      <c r="D239" t="inlineStr">
        <is>
          <t>STOCKHOLMS LÄN</t>
        </is>
      </c>
      <c r="E239" t="inlineStr">
        <is>
          <t>NORRTÄLJE</t>
        </is>
      </c>
      <c r="G239" t="n">
        <v>2.4</v>
      </c>
      <c r="H239" t="n">
        <v>0</v>
      </c>
      <c r="I239" t="n">
        <v>0</v>
      </c>
      <c r="J239" t="n">
        <v>0</v>
      </c>
      <c r="K239" t="n">
        <v>0</v>
      </c>
      <c r="L239" t="n">
        <v>0</v>
      </c>
      <c r="M239" t="n">
        <v>0</v>
      </c>
      <c r="N239" t="n">
        <v>0</v>
      </c>
      <c r="O239" t="n">
        <v>0</v>
      </c>
      <c r="P239" t="n">
        <v>0</v>
      </c>
      <c r="Q239" t="n">
        <v>0</v>
      </c>
      <c r="R239" s="2" t="inlineStr"/>
    </row>
    <row r="240" ht="15" customHeight="1">
      <c r="A240" t="inlineStr">
        <is>
          <t>A 15226-2022</t>
        </is>
      </c>
      <c r="B240" s="1" t="n">
        <v>44658</v>
      </c>
      <c r="C240" s="1" t="n">
        <v>46184</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row>
    <row r="241" ht="15" customHeight="1">
      <c r="A241" t="inlineStr">
        <is>
          <t>A 10521-2022</t>
        </is>
      </c>
      <c r="B241" s="1" t="n">
        <v>44623</v>
      </c>
      <c r="C241" s="1" t="n">
        <v>46184</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17771-2022</t>
        </is>
      </c>
      <c r="B242" s="1" t="n">
        <v>44682.75924768519</v>
      </c>
      <c r="C242" s="1" t="n">
        <v>46184</v>
      </c>
      <c r="D242" t="inlineStr">
        <is>
          <t>STOCKHOLMS LÄN</t>
        </is>
      </c>
      <c r="E242" t="inlineStr">
        <is>
          <t>NORRTÄLJE</t>
        </is>
      </c>
      <c r="G242" t="n">
        <v>13.3</v>
      </c>
      <c r="H242" t="n">
        <v>0</v>
      </c>
      <c r="I242" t="n">
        <v>0</v>
      </c>
      <c r="J242" t="n">
        <v>0</v>
      </c>
      <c r="K242" t="n">
        <v>0</v>
      </c>
      <c r="L242" t="n">
        <v>0</v>
      </c>
      <c r="M242" t="n">
        <v>0</v>
      </c>
      <c r="N242" t="n">
        <v>0</v>
      </c>
      <c r="O242" t="n">
        <v>0</v>
      </c>
      <c r="P242" t="n">
        <v>0</v>
      </c>
      <c r="Q242" t="n">
        <v>0</v>
      </c>
      <c r="R242" s="2" t="inlineStr"/>
    </row>
    <row r="243" ht="15" customHeight="1">
      <c r="A243" t="inlineStr">
        <is>
          <t>A 17773-2022</t>
        </is>
      </c>
      <c r="B243" s="1" t="n">
        <v>44682.77616898148</v>
      </c>
      <c r="C243" s="1" t="n">
        <v>46184</v>
      </c>
      <c r="D243" t="inlineStr">
        <is>
          <t>STOCKHOLMS LÄN</t>
        </is>
      </c>
      <c r="E243" t="inlineStr">
        <is>
          <t>NORRTÄLJE</t>
        </is>
      </c>
      <c r="G243" t="n">
        <v>10.8</v>
      </c>
      <c r="H243" t="n">
        <v>0</v>
      </c>
      <c r="I243" t="n">
        <v>0</v>
      </c>
      <c r="J243" t="n">
        <v>0</v>
      </c>
      <c r="K243" t="n">
        <v>0</v>
      </c>
      <c r="L243" t="n">
        <v>0</v>
      </c>
      <c r="M243" t="n">
        <v>0</v>
      </c>
      <c r="N243" t="n">
        <v>0</v>
      </c>
      <c r="O243" t="n">
        <v>0</v>
      </c>
      <c r="P243" t="n">
        <v>0</v>
      </c>
      <c r="Q243" t="n">
        <v>0</v>
      </c>
      <c r="R243" s="2" t="inlineStr"/>
    </row>
    <row r="244" ht="15" customHeight="1">
      <c r="A244" t="inlineStr">
        <is>
          <t>A 16117-2022</t>
        </is>
      </c>
      <c r="B244" s="1" t="n">
        <v>44665.65474537037</v>
      </c>
      <c r="C244" s="1" t="n">
        <v>46184</v>
      </c>
      <c r="D244" t="inlineStr">
        <is>
          <t>STOCKHOLMS LÄN</t>
        </is>
      </c>
      <c r="E244" t="inlineStr">
        <is>
          <t>NORRTÄLJE</t>
        </is>
      </c>
      <c r="G244" t="n">
        <v>8.1</v>
      </c>
      <c r="H244" t="n">
        <v>0</v>
      </c>
      <c r="I244" t="n">
        <v>0</v>
      </c>
      <c r="J244" t="n">
        <v>0</v>
      </c>
      <c r="K244" t="n">
        <v>0</v>
      </c>
      <c r="L244" t="n">
        <v>0</v>
      </c>
      <c r="M244" t="n">
        <v>0</v>
      </c>
      <c r="N244" t="n">
        <v>0</v>
      </c>
      <c r="O244" t="n">
        <v>0</v>
      </c>
      <c r="P244" t="n">
        <v>0</v>
      </c>
      <c r="Q244" t="n">
        <v>0</v>
      </c>
      <c r="R244" s="2" t="inlineStr"/>
    </row>
    <row r="245" ht="15" customHeight="1">
      <c r="A245" t="inlineStr">
        <is>
          <t>A 16132-2022</t>
        </is>
      </c>
      <c r="B245" s="1" t="n">
        <v>44665.78351851852</v>
      </c>
      <c r="C245" s="1" t="n">
        <v>46184</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70170-2021</t>
        </is>
      </c>
      <c r="B246" s="1" t="n">
        <v>44533</v>
      </c>
      <c r="C246" s="1" t="n">
        <v>46184</v>
      </c>
      <c r="D246" t="inlineStr">
        <is>
          <t>STOCKHOLMS LÄN</t>
        </is>
      </c>
      <c r="E246" t="inlineStr">
        <is>
          <t>NORRTÄLJE</t>
        </is>
      </c>
      <c r="G246" t="n">
        <v>2.7</v>
      </c>
      <c r="H246" t="n">
        <v>0</v>
      </c>
      <c r="I246" t="n">
        <v>0</v>
      </c>
      <c r="J246" t="n">
        <v>0</v>
      </c>
      <c r="K246" t="n">
        <v>0</v>
      </c>
      <c r="L246" t="n">
        <v>0</v>
      </c>
      <c r="M246" t="n">
        <v>0</v>
      </c>
      <c r="N246" t="n">
        <v>0</v>
      </c>
      <c r="O246" t="n">
        <v>0</v>
      </c>
      <c r="P246" t="n">
        <v>0</v>
      </c>
      <c r="Q246" t="n">
        <v>0</v>
      </c>
      <c r="R246" s="2" t="inlineStr"/>
    </row>
    <row r="247" ht="15" customHeight="1">
      <c r="A247" t="inlineStr">
        <is>
          <t>A 21102-2022</t>
        </is>
      </c>
      <c r="B247" s="1" t="n">
        <v>44704</v>
      </c>
      <c r="C247" s="1" t="n">
        <v>46184</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17772-2022</t>
        </is>
      </c>
      <c r="B248" s="1" t="n">
        <v>44682.76528935185</v>
      </c>
      <c r="C248" s="1" t="n">
        <v>46184</v>
      </c>
      <c r="D248" t="inlineStr">
        <is>
          <t>STOCKHOLMS LÄN</t>
        </is>
      </c>
      <c r="E248" t="inlineStr">
        <is>
          <t>NORRTÄLJE</t>
        </is>
      </c>
      <c r="G248" t="n">
        <v>4</v>
      </c>
      <c r="H248" t="n">
        <v>0</v>
      </c>
      <c r="I248" t="n">
        <v>0</v>
      </c>
      <c r="J248" t="n">
        <v>0</v>
      </c>
      <c r="K248" t="n">
        <v>0</v>
      </c>
      <c r="L248" t="n">
        <v>0</v>
      </c>
      <c r="M248" t="n">
        <v>0</v>
      </c>
      <c r="N248" t="n">
        <v>0</v>
      </c>
      <c r="O248" t="n">
        <v>0</v>
      </c>
      <c r="P248" t="n">
        <v>0</v>
      </c>
      <c r="Q248" t="n">
        <v>0</v>
      </c>
      <c r="R248" s="2" t="inlineStr"/>
    </row>
    <row r="249" ht="15" customHeight="1">
      <c r="A249" t="inlineStr">
        <is>
          <t>A 71880-2021</t>
        </is>
      </c>
      <c r="B249" s="1" t="n">
        <v>44543</v>
      </c>
      <c r="C249" s="1" t="n">
        <v>46184</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24101-2022</t>
        </is>
      </c>
      <c r="B250" s="1" t="n">
        <v>44725</v>
      </c>
      <c r="C250" s="1" t="n">
        <v>46184</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67285-2021</t>
        </is>
      </c>
      <c r="B251" s="1" t="n">
        <v>44523.61635416667</v>
      </c>
      <c r="C251" s="1" t="n">
        <v>46184</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5611-2022</t>
        </is>
      </c>
      <c r="B252" s="1" t="n">
        <v>44595</v>
      </c>
      <c r="C252" s="1" t="n">
        <v>46184</v>
      </c>
      <c r="D252" t="inlineStr">
        <is>
          <t>STOCKHOLMS LÄN</t>
        </is>
      </c>
      <c r="E252" t="inlineStr">
        <is>
          <t>NORRTÄLJE</t>
        </is>
      </c>
      <c r="G252" t="n">
        <v>0.5</v>
      </c>
      <c r="H252" t="n">
        <v>0</v>
      </c>
      <c r="I252" t="n">
        <v>0</v>
      </c>
      <c r="J252" t="n">
        <v>0</v>
      </c>
      <c r="K252" t="n">
        <v>0</v>
      </c>
      <c r="L252" t="n">
        <v>0</v>
      </c>
      <c r="M252" t="n">
        <v>0</v>
      </c>
      <c r="N252" t="n">
        <v>0</v>
      </c>
      <c r="O252" t="n">
        <v>0</v>
      </c>
      <c r="P252" t="n">
        <v>0</v>
      </c>
      <c r="Q252" t="n">
        <v>0</v>
      </c>
      <c r="R252" s="2" t="inlineStr"/>
    </row>
    <row r="253" ht="15" customHeight="1">
      <c r="A253" t="inlineStr">
        <is>
          <t>A 32055-2021</t>
        </is>
      </c>
      <c r="B253" s="1" t="n">
        <v>44370.72197916666</v>
      </c>
      <c r="C253" s="1" t="n">
        <v>46184</v>
      </c>
      <c r="D253" t="inlineStr">
        <is>
          <t>STOCKHOLMS LÄN</t>
        </is>
      </c>
      <c r="E253" t="inlineStr">
        <is>
          <t>NORRTÄLJE</t>
        </is>
      </c>
      <c r="G253" t="n">
        <v>1.2</v>
      </c>
      <c r="H253" t="n">
        <v>0</v>
      </c>
      <c r="I253" t="n">
        <v>0</v>
      </c>
      <c r="J253" t="n">
        <v>0</v>
      </c>
      <c r="K253" t="n">
        <v>0</v>
      </c>
      <c r="L253" t="n">
        <v>0</v>
      </c>
      <c r="M253" t="n">
        <v>0</v>
      </c>
      <c r="N253" t="n">
        <v>0</v>
      </c>
      <c r="O253" t="n">
        <v>0</v>
      </c>
      <c r="P253" t="n">
        <v>0</v>
      </c>
      <c r="Q253" t="n">
        <v>0</v>
      </c>
      <c r="R253" s="2" t="inlineStr"/>
    </row>
    <row r="254" ht="15" customHeight="1">
      <c r="A254" t="inlineStr">
        <is>
          <t>A 38721-2022</t>
        </is>
      </c>
      <c r="B254" s="1" t="n">
        <v>44815</v>
      </c>
      <c r="C254" s="1" t="n">
        <v>46184</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60184-2021</t>
        </is>
      </c>
      <c r="B255" s="1" t="n">
        <v>44495</v>
      </c>
      <c r="C255" s="1" t="n">
        <v>46184</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27828-2022</t>
        </is>
      </c>
      <c r="B256" s="1" t="n">
        <v>44743.59765046297</v>
      </c>
      <c r="C256" s="1" t="n">
        <v>46184</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15915-2023</t>
        </is>
      </c>
      <c r="B257" s="1" t="n">
        <v>45022</v>
      </c>
      <c r="C257" s="1" t="n">
        <v>46184</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16229-2022</t>
        </is>
      </c>
      <c r="B258" s="1" t="n">
        <v>44670.4190162037</v>
      </c>
      <c r="C258" s="1" t="n">
        <v>46184</v>
      </c>
      <c r="D258" t="inlineStr">
        <is>
          <t>STOCKHOLMS LÄN</t>
        </is>
      </c>
      <c r="E258" t="inlineStr">
        <is>
          <t>NORRTÄLJE</t>
        </is>
      </c>
      <c r="G258" t="n">
        <v>7.4</v>
      </c>
      <c r="H258" t="n">
        <v>0</v>
      </c>
      <c r="I258" t="n">
        <v>0</v>
      </c>
      <c r="J258" t="n">
        <v>0</v>
      </c>
      <c r="K258" t="n">
        <v>0</v>
      </c>
      <c r="L258" t="n">
        <v>0</v>
      </c>
      <c r="M258" t="n">
        <v>0</v>
      </c>
      <c r="N258" t="n">
        <v>0</v>
      </c>
      <c r="O258" t="n">
        <v>0</v>
      </c>
      <c r="P258" t="n">
        <v>0</v>
      </c>
      <c r="Q258" t="n">
        <v>0</v>
      </c>
      <c r="R258" s="2" t="inlineStr"/>
    </row>
    <row r="259" ht="15" customHeight="1">
      <c r="A259" t="inlineStr">
        <is>
          <t>A 33226-2024</t>
        </is>
      </c>
      <c r="B259" s="1" t="n">
        <v>45518</v>
      </c>
      <c r="C259" s="1" t="n">
        <v>46184</v>
      </c>
      <c r="D259" t="inlineStr">
        <is>
          <t>STOCKHOLMS LÄN</t>
        </is>
      </c>
      <c r="E259" t="inlineStr">
        <is>
          <t>NORRTÄLJE</t>
        </is>
      </c>
      <c r="G259" t="n">
        <v>13.8</v>
      </c>
      <c r="H259" t="n">
        <v>0</v>
      </c>
      <c r="I259" t="n">
        <v>0</v>
      </c>
      <c r="J259" t="n">
        <v>0</v>
      </c>
      <c r="K259" t="n">
        <v>0</v>
      </c>
      <c r="L259" t="n">
        <v>0</v>
      </c>
      <c r="M259" t="n">
        <v>0</v>
      </c>
      <c r="N259" t="n">
        <v>0</v>
      </c>
      <c r="O259" t="n">
        <v>0</v>
      </c>
      <c r="P259" t="n">
        <v>0</v>
      </c>
      <c r="Q259" t="n">
        <v>0</v>
      </c>
      <c r="R259" s="2" t="inlineStr"/>
    </row>
    <row r="260" ht="15" customHeight="1">
      <c r="A260" t="inlineStr">
        <is>
          <t>A 22008-2024</t>
        </is>
      </c>
      <c r="B260" s="1" t="n">
        <v>45443</v>
      </c>
      <c r="C260" s="1" t="n">
        <v>46184</v>
      </c>
      <c r="D260" t="inlineStr">
        <is>
          <t>STOCKHOLMS LÄN</t>
        </is>
      </c>
      <c r="E260" t="inlineStr">
        <is>
          <t>NORRTÄLJE</t>
        </is>
      </c>
      <c r="G260" t="n">
        <v>2</v>
      </c>
      <c r="H260" t="n">
        <v>0</v>
      </c>
      <c r="I260" t="n">
        <v>0</v>
      </c>
      <c r="J260" t="n">
        <v>0</v>
      </c>
      <c r="K260" t="n">
        <v>0</v>
      </c>
      <c r="L260" t="n">
        <v>0</v>
      </c>
      <c r="M260" t="n">
        <v>0</v>
      </c>
      <c r="N260" t="n">
        <v>0</v>
      </c>
      <c r="O260" t="n">
        <v>0</v>
      </c>
      <c r="P260" t="n">
        <v>0</v>
      </c>
      <c r="Q260" t="n">
        <v>0</v>
      </c>
      <c r="R260" s="2" t="inlineStr"/>
    </row>
    <row r="261" ht="15" customHeight="1">
      <c r="A261" t="inlineStr">
        <is>
          <t>A 55243-2023</t>
        </is>
      </c>
      <c r="B261" s="1" t="n">
        <v>45237</v>
      </c>
      <c r="C261" s="1" t="n">
        <v>46184</v>
      </c>
      <c r="D261" t="inlineStr">
        <is>
          <t>STOCKHOLMS LÄN</t>
        </is>
      </c>
      <c r="E261" t="inlineStr">
        <is>
          <t>NORRTÄLJE</t>
        </is>
      </c>
      <c r="G261" t="n">
        <v>6.5</v>
      </c>
      <c r="H261" t="n">
        <v>0</v>
      </c>
      <c r="I261" t="n">
        <v>0</v>
      </c>
      <c r="J261" t="n">
        <v>0</v>
      </c>
      <c r="K261" t="n">
        <v>0</v>
      </c>
      <c r="L261" t="n">
        <v>0</v>
      </c>
      <c r="M261" t="n">
        <v>0</v>
      </c>
      <c r="N261" t="n">
        <v>0</v>
      </c>
      <c r="O261" t="n">
        <v>0</v>
      </c>
      <c r="P261" t="n">
        <v>0</v>
      </c>
      <c r="Q261" t="n">
        <v>0</v>
      </c>
      <c r="R261" s="2" t="inlineStr"/>
    </row>
    <row r="262" ht="15" customHeight="1">
      <c r="A262" t="inlineStr">
        <is>
          <t>A 52260-2022</t>
        </is>
      </c>
      <c r="B262" s="1" t="n">
        <v>44869</v>
      </c>
      <c r="C262" s="1" t="n">
        <v>46184</v>
      </c>
      <c r="D262" t="inlineStr">
        <is>
          <t>STOCKHOLMS LÄN</t>
        </is>
      </c>
      <c r="E262" t="inlineStr">
        <is>
          <t>NORRTÄLJE</t>
        </is>
      </c>
      <c r="G262" t="n">
        <v>3.1</v>
      </c>
      <c r="H262" t="n">
        <v>0</v>
      </c>
      <c r="I262" t="n">
        <v>0</v>
      </c>
      <c r="J262" t="n">
        <v>0</v>
      </c>
      <c r="K262" t="n">
        <v>0</v>
      </c>
      <c r="L262" t="n">
        <v>0</v>
      </c>
      <c r="M262" t="n">
        <v>0</v>
      </c>
      <c r="N262" t="n">
        <v>0</v>
      </c>
      <c r="O262" t="n">
        <v>0</v>
      </c>
      <c r="P262" t="n">
        <v>0</v>
      </c>
      <c r="Q262" t="n">
        <v>0</v>
      </c>
      <c r="R262" s="2" t="inlineStr"/>
    </row>
    <row r="263" ht="15" customHeight="1">
      <c r="A263" t="inlineStr">
        <is>
          <t>A 25557-2023</t>
        </is>
      </c>
      <c r="B263" s="1" t="n">
        <v>45089</v>
      </c>
      <c r="C263" s="1" t="n">
        <v>46184</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27715-2022</t>
        </is>
      </c>
      <c r="B264" s="1" t="n">
        <v>44743.47407407407</v>
      </c>
      <c r="C264" s="1" t="n">
        <v>46184</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13053-2022</t>
        </is>
      </c>
      <c r="B265" s="1" t="n">
        <v>44643</v>
      </c>
      <c r="C265" s="1" t="n">
        <v>46184</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64137-2021</t>
        </is>
      </c>
      <c r="B266" s="1" t="n">
        <v>44510.51422453704</v>
      </c>
      <c r="C266" s="1" t="n">
        <v>46184</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29972-2024</t>
        </is>
      </c>
      <c r="B267" s="1" t="n">
        <v>45485</v>
      </c>
      <c r="C267" s="1" t="n">
        <v>46184</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12268-2022</t>
        </is>
      </c>
      <c r="B268" s="1" t="n">
        <v>44637</v>
      </c>
      <c r="C268" s="1" t="n">
        <v>46184</v>
      </c>
      <c r="D268" t="inlineStr">
        <is>
          <t>STOCKHOLMS LÄN</t>
        </is>
      </c>
      <c r="E268" t="inlineStr">
        <is>
          <t>NORRTÄLJE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48716-2023</t>
        </is>
      </c>
      <c r="B269" s="1" t="n">
        <v>45208.69671296296</v>
      </c>
      <c r="C269" s="1" t="n">
        <v>46184</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65499-2021</t>
        </is>
      </c>
      <c r="B270" s="1" t="n">
        <v>44516</v>
      </c>
      <c r="C270" s="1" t="n">
        <v>46184</v>
      </c>
      <c r="D270" t="inlineStr">
        <is>
          <t>STOCKHOLMS LÄN</t>
        </is>
      </c>
      <c r="E270" t="inlineStr">
        <is>
          <t>NORRTÄLJE</t>
        </is>
      </c>
      <c r="F270" t="inlineStr">
        <is>
          <t>Kommuner</t>
        </is>
      </c>
      <c r="G270" t="n">
        <v>5.2</v>
      </c>
      <c r="H270" t="n">
        <v>0</v>
      </c>
      <c r="I270" t="n">
        <v>0</v>
      </c>
      <c r="J270" t="n">
        <v>0</v>
      </c>
      <c r="K270" t="n">
        <v>0</v>
      </c>
      <c r="L270" t="n">
        <v>0</v>
      </c>
      <c r="M270" t="n">
        <v>0</v>
      </c>
      <c r="N270" t="n">
        <v>0</v>
      </c>
      <c r="O270" t="n">
        <v>0</v>
      </c>
      <c r="P270" t="n">
        <v>0</v>
      </c>
      <c r="Q270" t="n">
        <v>0</v>
      </c>
      <c r="R270" s="2" t="inlineStr"/>
    </row>
    <row r="271" ht="15" customHeight="1">
      <c r="A271" t="inlineStr">
        <is>
          <t>A 20015-2023</t>
        </is>
      </c>
      <c r="B271" s="1" t="n">
        <v>45054</v>
      </c>
      <c r="C271" s="1" t="n">
        <v>46184</v>
      </c>
      <c r="D271" t="inlineStr">
        <is>
          <t>STOCKHOLMS LÄN</t>
        </is>
      </c>
      <c r="E271" t="inlineStr">
        <is>
          <t>NORRTÄLJE</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7571-2024</t>
        </is>
      </c>
      <c r="B272" s="1" t="n">
        <v>45348.46300925926</v>
      </c>
      <c r="C272" s="1" t="n">
        <v>46184</v>
      </c>
      <c r="D272" t="inlineStr">
        <is>
          <t>STOCKHOLMS LÄN</t>
        </is>
      </c>
      <c r="E272" t="inlineStr">
        <is>
          <t>NORRTÄLJE</t>
        </is>
      </c>
      <c r="F272" t="inlineStr">
        <is>
          <t>Holmen skog AB</t>
        </is>
      </c>
      <c r="G272" t="n">
        <v>1.8</v>
      </c>
      <c r="H272" t="n">
        <v>0</v>
      </c>
      <c r="I272" t="n">
        <v>0</v>
      </c>
      <c r="J272" t="n">
        <v>0</v>
      </c>
      <c r="K272" t="n">
        <v>0</v>
      </c>
      <c r="L272" t="n">
        <v>0</v>
      </c>
      <c r="M272" t="n">
        <v>0</v>
      </c>
      <c r="N272" t="n">
        <v>0</v>
      </c>
      <c r="O272" t="n">
        <v>0</v>
      </c>
      <c r="P272" t="n">
        <v>0</v>
      </c>
      <c r="Q272" t="n">
        <v>0</v>
      </c>
      <c r="R272" s="2" t="inlineStr"/>
    </row>
    <row r="273" ht="15" customHeight="1">
      <c r="A273" t="inlineStr">
        <is>
          <t>A 24245-2024</t>
        </is>
      </c>
      <c r="B273" s="1" t="n">
        <v>45457</v>
      </c>
      <c r="C273" s="1" t="n">
        <v>46184</v>
      </c>
      <c r="D273" t="inlineStr">
        <is>
          <t>STOCKHOLMS LÄN</t>
        </is>
      </c>
      <c r="E273" t="inlineStr">
        <is>
          <t>NORRTÄLJE</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5027-2025</t>
        </is>
      </c>
      <c r="B274" s="1" t="n">
        <v>45691.41101851852</v>
      </c>
      <c r="C274" s="1" t="n">
        <v>46184</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15256-2023</t>
        </is>
      </c>
      <c r="B275" s="1" t="n">
        <v>45019.3959837963</v>
      </c>
      <c r="C275" s="1" t="n">
        <v>46184</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20428-2024</t>
        </is>
      </c>
      <c r="B276" s="1" t="n">
        <v>45435</v>
      </c>
      <c r="C276" s="1" t="n">
        <v>46184</v>
      </c>
      <c r="D276" t="inlineStr">
        <is>
          <t>STOCKHOLMS LÄN</t>
        </is>
      </c>
      <c r="E276" t="inlineStr">
        <is>
          <t>NORRTÄLJE</t>
        </is>
      </c>
      <c r="G276" t="n">
        <v>3.7</v>
      </c>
      <c r="H276" t="n">
        <v>0</v>
      </c>
      <c r="I276" t="n">
        <v>0</v>
      </c>
      <c r="J276" t="n">
        <v>0</v>
      </c>
      <c r="K276" t="n">
        <v>0</v>
      </c>
      <c r="L276" t="n">
        <v>0</v>
      </c>
      <c r="M276" t="n">
        <v>0</v>
      </c>
      <c r="N276" t="n">
        <v>0</v>
      </c>
      <c r="O276" t="n">
        <v>0</v>
      </c>
      <c r="P276" t="n">
        <v>0</v>
      </c>
      <c r="Q276" t="n">
        <v>0</v>
      </c>
      <c r="R276" s="2" t="inlineStr"/>
    </row>
    <row r="277" ht="15" customHeight="1">
      <c r="A277" t="inlineStr">
        <is>
          <t>A 11849-2025</t>
        </is>
      </c>
      <c r="B277" s="1" t="n">
        <v>45728.38409722222</v>
      </c>
      <c r="C277" s="1" t="n">
        <v>46184</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40425-2021</t>
        </is>
      </c>
      <c r="B278" s="1" t="n">
        <v>44419</v>
      </c>
      <c r="C278" s="1" t="n">
        <v>46184</v>
      </c>
      <c r="D278" t="inlineStr">
        <is>
          <t>STOCKHOLMS LÄN</t>
        </is>
      </c>
      <c r="E278" t="inlineStr">
        <is>
          <t>NORRTÄLJE</t>
        </is>
      </c>
      <c r="G278" t="n">
        <v>5</v>
      </c>
      <c r="H278" t="n">
        <v>0</v>
      </c>
      <c r="I278" t="n">
        <v>0</v>
      </c>
      <c r="J278" t="n">
        <v>0</v>
      </c>
      <c r="K278" t="n">
        <v>0</v>
      </c>
      <c r="L278" t="n">
        <v>0</v>
      </c>
      <c r="M278" t="n">
        <v>0</v>
      </c>
      <c r="N278" t="n">
        <v>0</v>
      </c>
      <c r="O278" t="n">
        <v>0</v>
      </c>
      <c r="P278" t="n">
        <v>0</v>
      </c>
      <c r="Q278" t="n">
        <v>0</v>
      </c>
      <c r="R278" s="2" t="inlineStr"/>
    </row>
    <row r="279" ht="15" customHeight="1">
      <c r="A279" t="inlineStr">
        <is>
          <t>A 48370-2025</t>
        </is>
      </c>
      <c r="B279" s="1" t="n">
        <v>45933.67854166667</v>
      </c>
      <c r="C279" s="1" t="n">
        <v>46184</v>
      </c>
      <c r="D279" t="inlineStr">
        <is>
          <t>STOCKHOLMS LÄN</t>
        </is>
      </c>
      <c r="E279" t="inlineStr">
        <is>
          <t>NORRTÄLJE</t>
        </is>
      </c>
      <c r="G279" t="n">
        <v>4.5</v>
      </c>
      <c r="H279" t="n">
        <v>0</v>
      </c>
      <c r="I279" t="n">
        <v>0</v>
      </c>
      <c r="J279" t="n">
        <v>0</v>
      </c>
      <c r="K279" t="n">
        <v>0</v>
      </c>
      <c r="L279" t="n">
        <v>0</v>
      </c>
      <c r="M279" t="n">
        <v>0</v>
      </c>
      <c r="N279" t="n">
        <v>0</v>
      </c>
      <c r="O279" t="n">
        <v>0</v>
      </c>
      <c r="P279" t="n">
        <v>0</v>
      </c>
      <c r="Q279" t="n">
        <v>0</v>
      </c>
      <c r="R279" s="2" t="inlineStr"/>
    </row>
    <row r="280" ht="15" customHeight="1">
      <c r="A280" t="inlineStr">
        <is>
          <t>A 58990-2021</t>
        </is>
      </c>
      <c r="B280" s="1" t="n">
        <v>44490.03621527777</v>
      </c>
      <c r="C280" s="1" t="n">
        <v>46184</v>
      </c>
      <c r="D280" t="inlineStr">
        <is>
          <t>STOCKHOLMS LÄN</t>
        </is>
      </c>
      <c r="E280" t="inlineStr">
        <is>
          <t>NORRTÄLJE</t>
        </is>
      </c>
      <c r="G280" t="n">
        <v>4.2</v>
      </c>
      <c r="H280" t="n">
        <v>0</v>
      </c>
      <c r="I280" t="n">
        <v>0</v>
      </c>
      <c r="J280" t="n">
        <v>0</v>
      </c>
      <c r="K280" t="n">
        <v>0</v>
      </c>
      <c r="L280" t="n">
        <v>0</v>
      </c>
      <c r="M280" t="n">
        <v>0</v>
      </c>
      <c r="N280" t="n">
        <v>0</v>
      </c>
      <c r="O280" t="n">
        <v>0</v>
      </c>
      <c r="P280" t="n">
        <v>0</v>
      </c>
      <c r="Q280" t="n">
        <v>0</v>
      </c>
      <c r="R280" s="2" t="inlineStr"/>
    </row>
    <row r="281" ht="15" customHeight="1">
      <c r="A281" t="inlineStr">
        <is>
          <t>A 48364-2025</t>
        </is>
      </c>
      <c r="B281" s="1" t="n">
        <v>45933.66796296297</v>
      </c>
      <c r="C281" s="1" t="n">
        <v>46184</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48174-2025</t>
        </is>
      </c>
      <c r="B282" s="1" t="n">
        <v>45933.44230324074</v>
      </c>
      <c r="C282" s="1" t="n">
        <v>46184</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20699-2025</t>
        </is>
      </c>
      <c r="B283" s="1" t="n">
        <v>45776.47346064815</v>
      </c>
      <c r="C283" s="1" t="n">
        <v>46184</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3152-2024</t>
        </is>
      </c>
      <c r="B284" s="1" t="n">
        <v>45316.60306712963</v>
      </c>
      <c r="C284" s="1" t="n">
        <v>46184</v>
      </c>
      <c r="D284" t="inlineStr">
        <is>
          <t>STOCKHOLMS LÄN</t>
        </is>
      </c>
      <c r="E284" t="inlineStr">
        <is>
          <t>NORRTÄLJE</t>
        </is>
      </c>
      <c r="G284" t="n">
        <v>7.9</v>
      </c>
      <c r="H284" t="n">
        <v>0</v>
      </c>
      <c r="I284" t="n">
        <v>0</v>
      </c>
      <c r="J284" t="n">
        <v>0</v>
      </c>
      <c r="K284" t="n">
        <v>0</v>
      </c>
      <c r="L284" t="n">
        <v>0</v>
      </c>
      <c r="M284" t="n">
        <v>0</v>
      </c>
      <c r="N284" t="n">
        <v>0</v>
      </c>
      <c r="O284" t="n">
        <v>0</v>
      </c>
      <c r="P284" t="n">
        <v>0</v>
      </c>
      <c r="Q284" t="n">
        <v>0</v>
      </c>
      <c r="R284" s="2" t="inlineStr"/>
    </row>
    <row r="285" ht="15" customHeight="1">
      <c r="A285" t="inlineStr">
        <is>
          <t>A 59326-2023</t>
        </is>
      </c>
      <c r="B285" s="1" t="n">
        <v>45253.63089120371</v>
      </c>
      <c r="C285" s="1" t="n">
        <v>46184</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38720-2025</t>
        </is>
      </c>
      <c r="B286" s="1" t="n">
        <v>45886</v>
      </c>
      <c r="C286" s="1" t="n">
        <v>46184</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44836-2023</t>
        </is>
      </c>
      <c r="B287" s="1" t="n">
        <v>45190.55609953704</v>
      </c>
      <c r="C287" s="1" t="n">
        <v>46184</v>
      </c>
      <c r="D287" t="inlineStr">
        <is>
          <t>STOCKHOLMS LÄN</t>
        </is>
      </c>
      <c r="E287" t="inlineStr">
        <is>
          <t>NORRTÄLJE</t>
        </is>
      </c>
      <c r="G287" t="n">
        <v>2.3</v>
      </c>
      <c r="H287" t="n">
        <v>0</v>
      </c>
      <c r="I287" t="n">
        <v>0</v>
      </c>
      <c r="J287" t="n">
        <v>0</v>
      </c>
      <c r="K287" t="n">
        <v>0</v>
      </c>
      <c r="L287" t="n">
        <v>0</v>
      </c>
      <c r="M287" t="n">
        <v>0</v>
      </c>
      <c r="N287" t="n">
        <v>0</v>
      </c>
      <c r="O287" t="n">
        <v>0</v>
      </c>
      <c r="P287" t="n">
        <v>0</v>
      </c>
      <c r="Q287" t="n">
        <v>0</v>
      </c>
      <c r="R287" s="2" t="inlineStr"/>
    </row>
    <row r="288" ht="15" customHeight="1">
      <c r="A288" t="inlineStr">
        <is>
          <t>A 64145-2021</t>
        </is>
      </c>
      <c r="B288" s="1" t="n">
        <v>44510</v>
      </c>
      <c r="C288" s="1" t="n">
        <v>46184</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1740-2023</t>
        </is>
      </c>
      <c r="B289" s="1" t="n">
        <v>44938</v>
      </c>
      <c r="C289" s="1" t="n">
        <v>46184</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4596-2023</t>
        </is>
      </c>
      <c r="B290" s="1" t="n">
        <v>44956</v>
      </c>
      <c r="C290" s="1" t="n">
        <v>46184</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48718-2025</t>
        </is>
      </c>
      <c r="B291" s="1" t="n">
        <v>45936</v>
      </c>
      <c r="C291" s="1" t="n">
        <v>46184</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10676-2025</t>
        </is>
      </c>
      <c r="B292" s="1" t="n">
        <v>45721.88684027778</v>
      </c>
      <c r="C292" s="1" t="n">
        <v>46184</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21771-2025</t>
        </is>
      </c>
      <c r="B293" s="1" t="n">
        <v>45783</v>
      </c>
      <c r="C293" s="1" t="n">
        <v>46184</v>
      </c>
      <c r="D293" t="inlineStr">
        <is>
          <t>STOCKHOLMS LÄN</t>
        </is>
      </c>
      <c r="E293" t="inlineStr">
        <is>
          <t>NORRTÄLJE</t>
        </is>
      </c>
      <c r="G293" t="n">
        <v>0.7</v>
      </c>
      <c r="H293" t="n">
        <v>0</v>
      </c>
      <c r="I293" t="n">
        <v>0</v>
      </c>
      <c r="J293" t="n">
        <v>0</v>
      </c>
      <c r="K293" t="n">
        <v>0</v>
      </c>
      <c r="L293" t="n">
        <v>0</v>
      </c>
      <c r="M293" t="n">
        <v>0</v>
      </c>
      <c r="N293" t="n">
        <v>0</v>
      </c>
      <c r="O293" t="n">
        <v>0</v>
      </c>
      <c r="P293" t="n">
        <v>0</v>
      </c>
      <c r="Q293" t="n">
        <v>0</v>
      </c>
      <c r="R293" s="2" t="inlineStr"/>
    </row>
    <row r="294" ht="15" customHeight="1">
      <c r="A294" t="inlineStr">
        <is>
          <t>A 22456-2023</t>
        </is>
      </c>
      <c r="B294" s="1" t="n">
        <v>45070</v>
      </c>
      <c r="C294" s="1" t="n">
        <v>46184</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17785-2024</t>
        </is>
      </c>
      <c r="B295" s="1" t="n">
        <v>45418.6968287037</v>
      </c>
      <c r="C295" s="1" t="n">
        <v>46184</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21778-2025</t>
        </is>
      </c>
      <c r="B296" s="1" t="n">
        <v>45783.66429398148</v>
      </c>
      <c r="C296" s="1" t="n">
        <v>46184</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48443-2025</t>
        </is>
      </c>
      <c r="B297" s="1" t="n">
        <v>45935.55326388889</v>
      </c>
      <c r="C297" s="1" t="n">
        <v>46184</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48780-2025</t>
        </is>
      </c>
      <c r="B298" s="1" t="n">
        <v>45937.30377314815</v>
      </c>
      <c r="C298" s="1" t="n">
        <v>46184</v>
      </c>
      <c r="D298" t="inlineStr">
        <is>
          <t>STOCKHOLMS LÄN</t>
        </is>
      </c>
      <c r="E298" t="inlineStr">
        <is>
          <t>NORRTÄLJE</t>
        </is>
      </c>
      <c r="G298" t="n">
        <v>7.7</v>
      </c>
      <c r="H298" t="n">
        <v>0</v>
      </c>
      <c r="I298" t="n">
        <v>0</v>
      </c>
      <c r="J298" t="n">
        <v>0</v>
      </c>
      <c r="K298" t="n">
        <v>0</v>
      </c>
      <c r="L298" t="n">
        <v>0</v>
      </c>
      <c r="M298" t="n">
        <v>0</v>
      </c>
      <c r="N298" t="n">
        <v>0</v>
      </c>
      <c r="O298" t="n">
        <v>0</v>
      </c>
      <c r="P298" t="n">
        <v>0</v>
      </c>
      <c r="Q298" t="n">
        <v>0</v>
      </c>
      <c r="R298" s="2" t="inlineStr"/>
    </row>
    <row r="299" ht="15" customHeight="1">
      <c r="A299" t="inlineStr">
        <is>
          <t>A 22202-2025</t>
        </is>
      </c>
      <c r="B299" s="1" t="n">
        <v>45785.65300925926</v>
      </c>
      <c r="C299" s="1" t="n">
        <v>46184</v>
      </c>
      <c r="D299" t="inlineStr">
        <is>
          <t>STOCKHOLMS LÄN</t>
        </is>
      </c>
      <c r="E299" t="inlineStr">
        <is>
          <t>NORRTÄLJE</t>
        </is>
      </c>
      <c r="G299" t="n">
        <v>10.2</v>
      </c>
      <c r="H299" t="n">
        <v>0</v>
      </c>
      <c r="I299" t="n">
        <v>0</v>
      </c>
      <c r="J299" t="n">
        <v>0</v>
      </c>
      <c r="K299" t="n">
        <v>0</v>
      </c>
      <c r="L299" t="n">
        <v>0</v>
      </c>
      <c r="M299" t="n">
        <v>0</v>
      </c>
      <c r="N299" t="n">
        <v>0</v>
      </c>
      <c r="O299" t="n">
        <v>0</v>
      </c>
      <c r="P299" t="n">
        <v>0</v>
      </c>
      <c r="Q299" t="n">
        <v>0</v>
      </c>
      <c r="R299" s="2" t="inlineStr"/>
    </row>
    <row r="300" ht="15" customHeight="1">
      <c r="A300" t="inlineStr">
        <is>
          <t>A 16620-2024</t>
        </is>
      </c>
      <c r="B300" s="1" t="n">
        <v>45408.57707175926</v>
      </c>
      <c r="C300" s="1" t="n">
        <v>46184</v>
      </c>
      <c r="D300" t="inlineStr">
        <is>
          <t>STOCKHOLMS LÄN</t>
        </is>
      </c>
      <c r="E300" t="inlineStr">
        <is>
          <t>NORRTÄLJE</t>
        </is>
      </c>
      <c r="G300" t="n">
        <v>2.7</v>
      </c>
      <c r="H300" t="n">
        <v>0</v>
      </c>
      <c r="I300" t="n">
        <v>0</v>
      </c>
      <c r="J300" t="n">
        <v>0</v>
      </c>
      <c r="K300" t="n">
        <v>0</v>
      </c>
      <c r="L300" t="n">
        <v>0</v>
      </c>
      <c r="M300" t="n">
        <v>0</v>
      </c>
      <c r="N300" t="n">
        <v>0</v>
      </c>
      <c r="O300" t="n">
        <v>0</v>
      </c>
      <c r="P300" t="n">
        <v>0</v>
      </c>
      <c r="Q300" t="n">
        <v>0</v>
      </c>
      <c r="R300" s="2" t="inlineStr"/>
    </row>
    <row r="301" ht="15" customHeight="1">
      <c r="A301" t="inlineStr">
        <is>
          <t>A 22416-2025</t>
        </is>
      </c>
      <c r="B301" s="1" t="n">
        <v>45786.55645833333</v>
      </c>
      <c r="C301" s="1" t="n">
        <v>46184</v>
      </c>
      <c r="D301" t="inlineStr">
        <is>
          <t>STOCKHOLMS LÄN</t>
        </is>
      </c>
      <c r="E301" t="inlineStr">
        <is>
          <t>NORRTÄLJE</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19982-2022</t>
        </is>
      </c>
      <c r="B302" s="1" t="n">
        <v>44697</v>
      </c>
      <c r="C302" s="1" t="n">
        <v>46184</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42075-2023</t>
        </is>
      </c>
      <c r="B303" s="1" t="n">
        <v>45177</v>
      </c>
      <c r="C303" s="1" t="n">
        <v>46184</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58785-2024</t>
        </is>
      </c>
      <c r="B304" s="1" t="n">
        <v>45635.88849537037</v>
      </c>
      <c r="C304" s="1" t="n">
        <v>46184</v>
      </c>
      <c r="D304" t="inlineStr">
        <is>
          <t>STOCKHOLMS LÄN</t>
        </is>
      </c>
      <c r="E304" t="inlineStr">
        <is>
          <t>NORRTÄLJE</t>
        </is>
      </c>
      <c r="G304" t="n">
        <v>3.3</v>
      </c>
      <c r="H304" t="n">
        <v>0</v>
      </c>
      <c r="I304" t="n">
        <v>0</v>
      </c>
      <c r="J304" t="n">
        <v>0</v>
      </c>
      <c r="K304" t="n">
        <v>0</v>
      </c>
      <c r="L304" t="n">
        <v>0</v>
      </c>
      <c r="M304" t="n">
        <v>0</v>
      </c>
      <c r="N304" t="n">
        <v>0</v>
      </c>
      <c r="O304" t="n">
        <v>0</v>
      </c>
      <c r="P304" t="n">
        <v>0</v>
      </c>
      <c r="Q304" t="n">
        <v>0</v>
      </c>
      <c r="R304" s="2" t="inlineStr"/>
    </row>
    <row r="305" ht="15" customHeight="1">
      <c r="A305" t="inlineStr">
        <is>
          <t>A 27677-2025</t>
        </is>
      </c>
      <c r="B305" s="1" t="n">
        <v>45813.63650462963</v>
      </c>
      <c r="C305" s="1" t="n">
        <v>46184</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39152-2025</t>
        </is>
      </c>
      <c r="B306" s="1" t="n">
        <v>45888</v>
      </c>
      <c r="C306" s="1" t="n">
        <v>46184</v>
      </c>
      <c r="D306" t="inlineStr">
        <is>
          <t>STOCKHOLMS LÄN</t>
        </is>
      </c>
      <c r="E306" t="inlineStr">
        <is>
          <t>NORRTÄLJE</t>
        </is>
      </c>
      <c r="G306" t="n">
        <v>4.6</v>
      </c>
      <c r="H306" t="n">
        <v>0</v>
      </c>
      <c r="I306" t="n">
        <v>0</v>
      </c>
      <c r="J306" t="n">
        <v>0</v>
      </c>
      <c r="K306" t="n">
        <v>0</v>
      </c>
      <c r="L306" t="n">
        <v>0</v>
      </c>
      <c r="M306" t="n">
        <v>0</v>
      </c>
      <c r="N306" t="n">
        <v>0</v>
      </c>
      <c r="O306" t="n">
        <v>0</v>
      </c>
      <c r="P306" t="n">
        <v>0</v>
      </c>
      <c r="Q306" t="n">
        <v>0</v>
      </c>
      <c r="R306" s="2" t="inlineStr"/>
    </row>
    <row r="307" ht="15" customHeight="1">
      <c r="A307" t="inlineStr">
        <is>
          <t>A 49129-2025</t>
        </is>
      </c>
      <c r="B307" s="1" t="n">
        <v>45937.89517361111</v>
      </c>
      <c r="C307" s="1" t="n">
        <v>46184</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50108-2021</t>
        </is>
      </c>
      <c r="B308" s="1" t="n">
        <v>44456</v>
      </c>
      <c r="C308" s="1" t="n">
        <v>46184</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2182-2022</t>
        </is>
      </c>
      <c r="B309" s="1" t="n">
        <v>44578</v>
      </c>
      <c r="C309" s="1" t="n">
        <v>46184</v>
      </c>
      <c r="D309" t="inlineStr">
        <is>
          <t>STOCKHOLMS LÄN</t>
        </is>
      </c>
      <c r="E309" t="inlineStr">
        <is>
          <t>NORRTÄLJE</t>
        </is>
      </c>
      <c r="G309" t="n">
        <v>7.2</v>
      </c>
      <c r="H309" t="n">
        <v>0</v>
      </c>
      <c r="I309" t="n">
        <v>0</v>
      </c>
      <c r="J309" t="n">
        <v>0</v>
      </c>
      <c r="K309" t="n">
        <v>0</v>
      </c>
      <c r="L309" t="n">
        <v>0</v>
      </c>
      <c r="M309" t="n">
        <v>0</v>
      </c>
      <c r="N309" t="n">
        <v>0</v>
      </c>
      <c r="O309" t="n">
        <v>0</v>
      </c>
      <c r="P309" t="n">
        <v>0</v>
      </c>
      <c r="Q309" t="n">
        <v>0</v>
      </c>
      <c r="R309" s="2" t="inlineStr"/>
    </row>
    <row r="310" ht="15" customHeight="1">
      <c r="A310" t="inlineStr">
        <is>
          <t>A 13268-2025</t>
        </is>
      </c>
      <c r="B310" s="1" t="n">
        <v>45735</v>
      </c>
      <c r="C310" s="1" t="n">
        <v>46184</v>
      </c>
      <c r="D310" t="inlineStr">
        <is>
          <t>STOCKHOLMS LÄN</t>
        </is>
      </c>
      <c r="E310" t="inlineStr">
        <is>
          <t>NORRTÄLJE</t>
        </is>
      </c>
      <c r="G310" t="n">
        <v>11.4</v>
      </c>
      <c r="H310" t="n">
        <v>0</v>
      </c>
      <c r="I310" t="n">
        <v>0</v>
      </c>
      <c r="J310" t="n">
        <v>0</v>
      </c>
      <c r="K310" t="n">
        <v>0</v>
      </c>
      <c r="L310" t="n">
        <v>0</v>
      </c>
      <c r="M310" t="n">
        <v>0</v>
      </c>
      <c r="N310" t="n">
        <v>0</v>
      </c>
      <c r="O310" t="n">
        <v>0</v>
      </c>
      <c r="P310" t="n">
        <v>0</v>
      </c>
      <c r="Q310" t="n">
        <v>0</v>
      </c>
      <c r="R310" s="2" t="inlineStr"/>
    </row>
    <row r="311" ht="15" customHeight="1">
      <c r="A311" t="inlineStr">
        <is>
          <t>A 8414-2025</t>
        </is>
      </c>
      <c r="B311" s="1" t="n">
        <v>45709.39361111111</v>
      </c>
      <c r="C311" s="1" t="n">
        <v>46184</v>
      </c>
      <c r="D311" t="inlineStr">
        <is>
          <t>STOCKHOLMS LÄN</t>
        </is>
      </c>
      <c r="E311" t="inlineStr">
        <is>
          <t>NORRTÄLJE</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36625-2024</t>
        </is>
      </c>
      <c r="B312" s="1" t="n">
        <v>45537</v>
      </c>
      <c r="C312" s="1" t="n">
        <v>46184</v>
      </c>
      <c r="D312" t="inlineStr">
        <is>
          <t>STOCKHOLMS LÄN</t>
        </is>
      </c>
      <c r="E312" t="inlineStr">
        <is>
          <t>NORRTÄLJE</t>
        </is>
      </c>
      <c r="G312" t="n">
        <v>3.8</v>
      </c>
      <c r="H312" t="n">
        <v>0</v>
      </c>
      <c r="I312" t="n">
        <v>0</v>
      </c>
      <c r="J312" t="n">
        <v>0</v>
      </c>
      <c r="K312" t="n">
        <v>0</v>
      </c>
      <c r="L312" t="n">
        <v>0</v>
      </c>
      <c r="M312" t="n">
        <v>0</v>
      </c>
      <c r="N312" t="n">
        <v>0</v>
      </c>
      <c r="O312" t="n">
        <v>0</v>
      </c>
      <c r="P312" t="n">
        <v>0</v>
      </c>
      <c r="Q312" t="n">
        <v>0</v>
      </c>
      <c r="R312" s="2" t="inlineStr"/>
    </row>
    <row r="313" ht="15" customHeight="1">
      <c r="A313" t="inlineStr">
        <is>
          <t>A 44891-2023</t>
        </is>
      </c>
      <c r="B313" s="1" t="n">
        <v>45187</v>
      </c>
      <c r="C313" s="1" t="n">
        <v>46184</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12902-2024</t>
        </is>
      </c>
      <c r="B314" s="1" t="n">
        <v>45385.38146990741</v>
      </c>
      <c r="C314" s="1" t="n">
        <v>46184</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44032-2024</t>
        </is>
      </c>
      <c r="B315" s="1" t="n">
        <v>45572.57828703704</v>
      </c>
      <c r="C315" s="1" t="n">
        <v>46184</v>
      </c>
      <c r="D315" t="inlineStr">
        <is>
          <t>STOCKHOLMS LÄN</t>
        </is>
      </c>
      <c r="E315" t="inlineStr">
        <is>
          <t>NORRTÄLJE</t>
        </is>
      </c>
      <c r="G315" t="n">
        <v>8.6</v>
      </c>
      <c r="H315" t="n">
        <v>0</v>
      </c>
      <c r="I315" t="n">
        <v>0</v>
      </c>
      <c r="J315" t="n">
        <v>0</v>
      </c>
      <c r="K315" t="n">
        <v>0</v>
      </c>
      <c r="L315" t="n">
        <v>0</v>
      </c>
      <c r="M315" t="n">
        <v>0</v>
      </c>
      <c r="N315" t="n">
        <v>0</v>
      </c>
      <c r="O315" t="n">
        <v>0</v>
      </c>
      <c r="P315" t="n">
        <v>0</v>
      </c>
      <c r="Q315" t="n">
        <v>0</v>
      </c>
      <c r="R315" s="2" t="inlineStr"/>
    </row>
    <row r="316" ht="15" customHeight="1">
      <c r="A316" t="inlineStr">
        <is>
          <t>A 24563-2024</t>
        </is>
      </c>
      <c r="B316" s="1" t="n">
        <v>45460.44347222222</v>
      </c>
      <c r="C316" s="1" t="n">
        <v>46184</v>
      </c>
      <c r="D316" t="inlineStr">
        <is>
          <t>STOCKHOLMS LÄN</t>
        </is>
      </c>
      <c r="E316" t="inlineStr">
        <is>
          <t>NORRTÄLJE</t>
        </is>
      </c>
      <c r="G316" t="n">
        <v>1.9</v>
      </c>
      <c r="H316" t="n">
        <v>0</v>
      </c>
      <c r="I316" t="n">
        <v>0</v>
      </c>
      <c r="J316" t="n">
        <v>0</v>
      </c>
      <c r="K316" t="n">
        <v>0</v>
      </c>
      <c r="L316" t="n">
        <v>0</v>
      </c>
      <c r="M316" t="n">
        <v>0</v>
      </c>
      <c r="N316" t="n">
        <v>0</v>
      </c>
      <c r="O316" t="n">
        <v>0</v>
      </c>
      <c r="P316" t="n">
        <v>0</v>
      </c>
      <c r="Q316" t="n">
        <v>0</v>
      </c>
      <c r="R316" s="2" t="inlineStr"/>
    </row>
    <row r="317" ht="15" customHeight="1">
      <c r="A317" t="inlineStr">
        <is>
          <t>A 39237-2024</t>
        </is>
      </c>
      <c r="B317" s="1" t="n">
        <v>45549</v>
      </c>
      <c r="C317" s="1" t="n">
        <v>46184</v>
      </c>
      <c r="D317" t="inlineStr">
        <is>
          <t>STOCKHOLMS LÄN</t>
        </is>
      </c>
      <c r="E317" t="inlineStr">
        <is>
          <t>NORRTÄLJE</t>
        </is>
      </c>
      <c r="G317" t="n">
        <v>13.3</v>
      </c>
      <c r="H317" t="n">
        <v>0</v>
      </c>
      <c r="I317" t="n">
        <v>0</v>
      </c>
      <c r="J317" t="n">
        <v>0</v>
      </c>
      <c r="K317" t="n">
        <v>0</v>
      </c>
      <c r="L317" t="n">
        <v>0</v>
      </c>
      <c r="M317" t="n">
        <v>0</v>
      </c>
      <c r="N317" t="n">
        <v>0</v>
      </c>
      <c r="O317" t="n">
        <v>0</v>
      </c>
      <c r="P317" t="n">
        <v>0</v>
      </c>
      <c r="Q317" t="n">
        <v>0</v>
      </c>
      <c r="R317" s="2" t="inlineStr"/>
    </row>
    <row r="318" ht="15" customHeight="1">
      <c r="A318" t="inlineStr">
        <is>
          <t>A 45746-2024</t>
        </is>
      </c>
      <c r="B318" s="1" t="n">
        <v>45579</v>
      </c>
      <c r="C318" s="1" t="n">
        <v>46184</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39692-2025</t>
        </is>
      </c>
      <c r="B319" s="1" t="n">
        <v>45890.68083333333</v>
      </c>
      <c r="C319" s="1" t="n">
        <v>46184</v>
      </c>
      <c r="D319" t="inlineStr">
        <is>
          <t>STOCKHOLMS LÄN</t>
        </is>
      </c>
      <c r="E319" t="inlineStr">
        <is>
          <t>NORRTÄLJE</t>
        </is>
      </c>
      <c r="G319" t="n">
        <v>10.5</v>
      </c>
      <c r="H319" t="n">
        <v>0</v>
      </c>
      <c r="I319" t="n">
        <v>0</v>
      </c>
      <c r="J319" t="n">
        <v>0</v>
      </c>
      <c r="K319" t="n">
        <v>0</v>
      </c>
      <c r="L319" t="n">
        <v>0</v>
      </c>
      <c r="M319" t="n">
        <v>0</v>
      </c>
      <c r="N319" t="n">
        <v>0</v>
      </c>
      <c r="O319" t="n">
        <v>0</v>
      </c>
      <c r="P319" t="n">
        <v>0</v>
      </c>
      <c r="Q319" t="n">
        <v>0</v>
      </c>
      <c r="R319" s="2" t="inlineStr"/>
    </row>
    <row r="320" ht="15" customHeight="1">
      <c r="A320" t="inlineStr">
        <is>
          <t>A 8400-2024</t>
        </is>
      </c>
      <c r="B320" s="1" t="n">
        <v>45352.74090277778</v>
      </c>
      <c r="C320" s="1" t="n">
        <v>46184</v>
      </c>
      <c r="D320" t="inlineStr">
        <is>
          <t>STOCKHOLMS LÄN</t>
        </is>
      </c>
      <c r="E320" t="inlineStr">
        <is>
          <t>NORRTÄLJE</t>
        </is>
      </c>
      <c r="G320" t="n">
        <v>4.7</v>
      </c>
      <c r="H320" t="n">
        <v>0</v>
      </c>
      <c r="I320" t="n">
        <v>0</v>
      </c>
      <c r="J320" t="n">
        <v>0</v>
      </c>
      <c r="K320" t="n">
        <v>0</v>
      </c>
      <c r="L320" t="n">
        <v>0</v>
      </c>
      <c r="M320" t="n">
        <v>0</v>
      </c>
      <c r="N320" t="n">
        <v>0</v>
      </c>
      <c r="O320" t="n">
        <v>0</v>
      </c>
      <c r="P320" t="n">
        <v>0</v>
      </c>
      <c r="Q320" t="n">
        <v>0</v>
      </c>
      <c r="R320" s="2" t="inlineStr"/>
    </row>
    <row r="321" ht="15" customHeight="1">
      <c r="A321" t="inlineStr">
        <is>
          <t>A 50355-2024</t>
        </is>
      </c>
      <c r="B321" s="1" t="n">
        <v>45600.86128472222</v>
      </c>
      <c r="C321" s="1" t="n">
        <v>46184</v>
      </c>
      <c r="D321" t="inlineStr">
        <is>
          <t>STOCKHOLMS LÄN</t>
        </is>
      </c>
      <c r="E321" t="inlineStr">
        <is>
          <t>NORRTÄLJE</t>
        </is>
      </c>
      <c r="F321" t="inlineStr">
        <is>
          <t>Kommuner</t>
        </is>
      </c>
      <c r="G321" t="n">
        <v>1</v>
      </c>
      <c r="H321" t="n">
        <v>0</v>
      </c>
      <c r="I321" t="n">
        <v>0</v>
      </c>
      <c r="J321" t="n">
        <v>0</v>
      </c>
      <c r="K321" t="n">
        <v>0</v>
      </c>
      <c r="L321" t="n">
        <v>0</v>
      </c>
      <c r="M321" t="n">
        <v>0</v>
      </c>
      <c r="N321" t="n">
        <v>0</v>
      </c>
      <c r="O321" t="n">
        <v>0</v>
      </c>
      <c r="P321" t="n">
        <v>0</v>
      </c>
      <c r="Q321" t="n">
        <v>0</v>
      </c>
      <c r="R321" s="2" t="inlineStr"/>
    </row>
    <row r="322" ht="15" customHeight="1">
      <c r="A322" t="inlineStr">
        <is>
          <t>A 35639-2025</t>
        </is>
      </c>
      <c r="B322" s="1" t="n">
        <v>45859</v>
      </c>
      <c r="C322" s="1" t="n">
        <v>46184</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44917-2022</t>
        </is>
      </c>
      <c r="B323" s="1" t="n">
        <v>44841.52804398148</v>
      </c>
      <c r="C323" s="1" t="n">
        <v>46184</v>
      </c>
      <c r="D323" t="inlineStr">
        <is>
          <t>STOCKHOLMS LÄN</t>
        </is>
      </c>
      <c r="E323" t="inlineStr">
        <is>
          <t>NORRTÄLJE</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35636-2025</t>
        </is>
      </c>
      <c r="B324" s="1" t="n">
        <v>45859</v>
      </c>
      <c r="C324" s="1" t="n">
        <v>46184</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40172-2025</t>
        </is>
      </c>
      <c r="B325" s="1" t="n">
        <v>45894.6353125</v>
      </c>
      <c r="C325" s="1" t="n">
        <v>46184</v>
      </c>
      <c r="D325" t="inlineStr">
        <is>
          <t>STOCKHOLMS LÄN</t>
        </is>
      </c>
      <c r="E325" t="inlineStr">
        <is>
          <t>NORRTÄLJE</t>
        </is>
      </c>
      <c r="G325" t="n">
        <v>6</v>
      </c>
      <c r="H325" t="n">
        <v>0</v>
      </c>
      <c r="I325" t="n">
        <v>0</v>
      </c>
      <c r="J325" t="n">
        <v>0</v>
      </c>
      <c r="K325" t="n">
        <v>0</v>
      </c>
      <c r="L325" t="n">
        <v>0</v>
      </c>
      <c r="M325" t="n">
        <v>0</v>
      </c>
      <c r="N325" t="n">
        <v>0</v>
      </c>
      <c r="O325" t="n">
        <v>0</v>
      </c>
      <c r="P325" t="n">
        <v>0</v>
      </c>
      <c r="Q325" t="n">
        <v>0</v>
      </c>
      <c r="R325" s="2" t="inlineStr"/>
    </row>
    <row r="326" ht="15" customHeight="1">
      <c r="A326" t="inlineStr">
        <is>
          <t>A 40033-2025</t>
        </is>
      </c>
      <c r="B326" s="1" t="n">
        <v>45893</v>
      </c>
      <c r="C326" s="1" t="n">
        <v>46184</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55058-2021</t>
        </is>
      </c>
      <c r="B327" s="1" t="n">
        <v>44474.62141203704</v>
      </c>
      <c r="C327" s="1" t="n">
        <v>46184</v>
      </c>
      <c r="D327" t="inlineStr">
        <is>
          <t>STOCKHOLMS LÄN</t>
        </is>
      </c>
      <c r="E327" t="inlineStr">
        <is>
          <t>NORRTÄLJE</t>
        </is>
      </c>
      <c r="G327" t="n">
        <v>1.9</v>
      </c>
      <c r="H327" t="n">
        <v>0</v>
      </c>
      <c r="I327" t="n">
        <v>0</v>
      </c>
      <c r="J327" t="n">
        <v>0</v>
      </c>
      <c r="K327" t="n">
        <v>0</v>
      </c>
      <c r="L327" t="n">
        <v>0</v>
      </c>
      <c r="M327" t="n">
        <v>0</v>
      </c>
      <c r="N327" t="n">
        <v>0</v>
      </c>
      <c r="O327" t="n">
        <v>0</v>
      </c>
      <c r="P327" t="n">
        <v>0</v>
      </c>
      <c r="Q327" t="n">
        <v>0</v>
      </c>
      <c r="R327" s="2" t="inlineStr"/>
    </row>
    <row r="328" ht="15" customHeight="1">
      <c r="A328" t="inlineStr">
        <is>
          <t>A 40032-2025</t>
        </is>
      </c>
      <c r="B328" s="1" t="n">
        <v>45893</v>
      </c>
      <c r="C328" s="1" t="n">
        <v>46184</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40292-2025</t>
        </is>
      </c>
      <c r="B329" s="1" t="n">
        <v>45895.3867824074</v>
      </c>
      <c r="C329" s="1" t="n">
        <v>46184</v>
      </c>
      <c r="D329" t="inlineStr">
        <is>
          <t>STOCKHOLMS LÄN</t>
        </is>
      </c>
      <c r="E329" t="inlineStr">
        <is>
          <t>NORRTÄLJE</t>
        </is>
      </c>
      <c r="G329" t="n">
        <v>3.5</v>
      </c>
      <c r="H329" t="n">
        <v>0</v>
      </c>
      <c r="I329" t="n">
        <v>0</v>
      </c>
      <c r="J329" t="n">
        <v>0</v>
      </c>
      <c r="K329" t="n">
        <v>0</v>
      </c>
      <c r="L329" t="n">
        <v>0</v>
      </c>
      <c r="M329" t="n">
        <v>0</v>
      </c>
      <c r="N329" t="n">
        <v>0</v>
      </c>
      <c r="O329" t="n">
        <v>0</v>
      </c>
      <c r="P329" t="n">
        <v>0</v>
      </c>
      <c r="Q329" t="n">
        <v>0</v>
      </c>
      <c r="R329" s="2" t="inlineStr"/>
    </row>
    <row r="330" ht="15" customHeight="1">
      <c r="A330" t="inlineStr">
        <is>
          <t>A 40228-2025</t>
        </is>
      </c>
      <c r="B330" s="1" t="n">
        <v>45894.70854166667</v>
      </c>
      <c r="C330" s="1" t="n">
        <v>46184</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40230-2025</t>
        </is>
      </c>
      <c r="B331" s="1" t="n">
        <v>45894.71101851852</v>
      </c>
      <c r="C331" s="1" t="n">
        <v>46184</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40217-2025</t>
        </is>
      </c>
      <c r="B332" s="1" t="n">
        <v>45894.68864583333</v>
      </c>
      <c r="C332" s="1" t="n">
        <v>46184</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55012-2024</t>
        </is>
      </c>
      <c r="B333" s="1" t="n">
        <v>45621.34813657407</v>
      </c>
      <c r="C333" s="1" t="n">
        <v>46184</v>
      </c>
      <c r="D333" t="inlineStr">
        <is>
          <t>STOCKHOLMS LÄN</t>
        </is>
      </c>
      <c r="E333" t="inlineStr">
        <is>
          <t>NORRTÄLJE</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40097-2025</t>
        </is>
      </c>
      <c r="B334" s="1" t="n">
        <v>45894.48322916667</v>
      </c>
      <c r="C334" s="1" t="n">
        <v>46184</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40829-2025</t>
        </is>
      </c>
      <c r="B335" s="1" t="n">
        <v>45897.50802083333</v>
      </c>
      <c r="C335" s="1" t="n">
        <v>46184</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40837-2025</t>
        </is>
      </c>
      <c r="B336" s="1" t="n">
        <v>45897.51328703704</v>
      </c>
      <c r="C336" s="1" t="n">
        <v>46184</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40529-2025</t>
        </is>
      </c>
      <c r="B337" s="1" t="n">
        <v>45896.38466435186</v>
      </c>
      <c r="C337" s="1" t="n">
        <v>46184</v>
      </c>
      <c r="D337" t="inlineStr">
        <is>
          <t>STOCKHOLMS LÄN</t>
        </is>
      </c>
      <c r="E337" t="inlineStr">
        <is>
          <t>NORRTÄLJE</t>
        </is>
      </c>
      <c r="G337" t="n">
        <v>0.5</v>
      </c>
      <c r="H337" t="n">
        <v>0</v>
      </c>
      <c r="I337" t="n">
        <v>0</v>
      </c>
      <c r="J337" t="n">
        <v>0</v>
      </c>
      <c r="K337" t="n">
        <v>0</v>
      </c>
      <c r="L337" t="n">
        <v>0</v>
      </c>
      <c r="M337" t="n">
        <v>0</v>
      </c>
      <c r="N337" t="n">
        <v>0</v>
      </c>
      <c r="O337" t="n">
        <v>0</v>
      </c>
      <c r="P337" t="n">
        <v>0</v>
      </c>
      <c r="Q337" t="n">
        <v>0</v>
      </c>
      <c r="R337" s="2" t="inlineStr"/>
    </row>
    <row r="338" ht="15" customHeight="1">
      <c r="A338" t="inlineStr">
        <is>
          <t>A 40831-2025</t>
        </is>
      </c>
      <c r="B338" s="1" t="n">
        <v>45897.51077546296</v>
      </c>
      <c r="C338" s="1" t="n">
        <v>46184</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50097-2025</t>
        </is>
      </c>
      <c r="B339" s="1" t="n">
        <v>45943.50207175926</v>
      </c>
      <c r="C339" s="1" t="n">
        <v>46184</v>
      </c>
      <c r="D339" t="inlineStr">
        <is>
          <t>STOCKHOLMS LÄN</t>
        </is>
      </c>
      <c r="E339" t="inlineStr">
        <is>
          <t>NORRTÄLJE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58863-2024</t>
        </is>
      </c>
      <c r="B340" s="1" t="n">
        <v>45636.41572916666</v>
      </c>
      <c r="C340" s="1" t="n">
        <v>46184</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62998-2023</t>
        </is>
      </c>
      <c r="B341" s="1" t="n">
        <v>45272.64479166667</v>
      </c>
      <c r="C341" s="1" t="n">
        <v>46184</v>
      </c>
      <c r="D341" t="inlineStr">
        <is>
          <t>STOCKHOLMS LÄN</t>
        </is>
      </c>
      <c r="E341" t="inlineStr">
        <is>
          <t>NORRTÄLJE</t>
        </is>
      </c>
      <c r="G341" t="n">
        <v>16.3</v>
      </c>
      <c r="H341" t="n">
        <v>0</v>
      </c>
      <c r="I341" t="n">
        <v>0</v>
      </c>
      <c r="J341" t="n">
        <v>0</v>
      </c>
      <c r="K341" t="n">
        <v>0</v>
      </c>
      <c r="L341" t="n">
        <v>0</v>
      </c>
      <c r="M341" t="n">
        <v>0</v>
      </c>
      <c r="N341" t="n">
        <v>0</v>
      </c>
      <c r="O341" t="n">
        <v>0</v>
      </c>
      <c r="P341" t="n">
        <v>0</v>
      </c>
      <c r="Q341" t="n">
        <v>0</v>
      </c>
      <c r="R341" s="2" t="inlineStr"/>
    </row>
    <row r="342" ht="15" customHeight="1">
      <c r="A342" t="inlineStr">
        <is>
          <t>A 63015-2023</t>
        </is>
      </c>
      <c r="B342" s="1" t="n">
        <v>45272</v>
      </c>
      <c r="C342" s="1" t="n">
        <v>46184</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41158-2025</t>
        </is>
      </c>
      <c r="B343" s="1" t="n">
        <v>45898.5315625</v>
      </c>
      <c r="C343" s="1" t="n">
        <v>46184</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27831-2024</t>
        </is>
      </c>
      <c r="B344" s="1" t="n">
        <v>45475.61896990741</v>
      </c>
      <c r="C344" s="1" t="n">
        <v>46184</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19058-2024</t>
        </is>
      </c>
      <c r="B345" s="1" t="n">
        <v>45427.89121527778</v>
      </c>
      <c r="C345" s="1" t="n">
        <v>46184</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33175-2024</t>
        </is>
      </c>
      <c r="B346" s="1" t="n">
        <v>45518</v>
      </c>
      <c r="C346" s="1" t="n">
        <v>46184</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21803-2022</t>
        </is>
      </c>
      <c r="B347" s="1" t="n">
        <v>44708.67822916667</v>
      </c>
      <c r="C347" s="1" t="n">
        <v>46184</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20730-2024</t>
        </is>
      </c>
      <c r="B348" s="1" t="n">
        <v>45436</v>
      </c>
      <c r="C348" s="1" t="n">
        <v>46184</v>
      </c>
      <c r="D348" t="inlineStr">
        <is>
          <t>STOCKHOLMS LÄN</t>
        </is>
      </c>
      <c r="E348" t="inlineStr">
        <is>
          <t>NORRTÄLJE</t>
        </is>
      </c>
      <c r="G348" t="n">
        <v>7.3</v>
      </c>
      <c r="H348" t="n">
        <v>0</v>
      </c>
      <c r="I348" t="n">
        <v>0</v>
      </c>
      <c r="J348" t="n">
        <v>0</v>
      </c>
      <c r="K348" t="n">
        <v>0</v>
      </c>
      <c r="L348" t="n">
        <v>0</v>
      </c>
      <c r="M348" t="n">
        <v>0</v>
      </c>
      <c r="N348" t="n">
        <v>0</v>
      </c>
      <c r="O348" t="n">
        <v>0</v>
      </c>
      <c r="P348" t="n">
        <v>0</v>
      </c>
      <c r="Q348" t="n">
        <v>0</v>
      </c>
      <c r="R348" s="2" t="inlineStr"/>
    </row>
    <row r="349" ht="15" customHeight="1">
      <c r="A349" t="inlineStr">
        <is>
          <t>A 11900-2024</t>
        </is>
      </c>
      <c r="B349" s="1" t="n">
        <v>45376.55484953704</v>
      </c>
      <c r="C349" s="1" t="n">
        <v>46184</v>
      </c>
      <c r="D349" t="inlineStr">
        <is>
          <t>STOCKHOLMS LÄN</t>
        </is>
      </c>
      <c r="E349" t="inlineStr">
        <is>
          <t>NORRTÄLJE</t>
        </is>
      </c>
      <c r="G349" t="n">
        <v>4.2</v>
      </c>
      <c r="H349" t="n">
        <v>0</v>
      </c>
      <c r="I349" t="n">
        <v>0</v>
      </c>
      <c r="J349" t="n">
        <v>0</v>
      </c>
      <c r="K349" t="n">
        <v>0</v>
      </c>
      <c r="L349" t="n">
        <v>0</v>
      </c>
      <c r="M349" t="n">
        <v>0</v>
      </c>
      <c r="N349" t="n">
        <v>0</v>
      </c>
      <c r="O349" t="n">
        <v>0</v>
      </c>
      <c r="P349" t="n">
        <v>0</v>
      </c>
      <c r="Q349" t="n">
        <v>0</v>
      </c>
      <c r="R349" s="2" t="inlineStr"/>
    </row>
    <row r="350" ht="15" customHeight="1">
      <c r="A350" t="inlineStr">
        <is>
          <t>A 41174-2025</t>
        </is>
      </c>
      <c r="B350" s="1" t="n">
        <v>45898.54921296296</v>
      </c>
      <c r="C350" s="1" t="n">
        <v>46184</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41110-2025</t>
        </is>
      </c>
      <c r="B351" s="1" t="n">
        <v>45898.45976851852</v>
      </c>
      <c r="C351" s="1" t="n">
        <v>46184</v>
      </c>
      <c r="D351" t="inlineStr">
        <is>
          <t>STOCKHOLMS LÄN</t>
        </is>
      </c>
      <c r="E351" t="inlineStr">
        <is>
          <t>NORRTÄLJE</t>
        </is>
      </c>
      <c r="F351" t="inlineStr">
        <is>
          <t>Holmen skog AB</t>
        </is>
      </c>
      <c r="G351" t="n">
        <v>6.7</v>
      </c>
      <c r="H351" t="n">
        <v>0</v>
      </c>
      <c r="I351" t="n">
        <v>0</v>
      </c>
      <c r="J351" t="n">
        <v>0</v>
      </c>
      <c r="K351" t="n">
        <v>0</v>
      </c>
      <c r="L351" t="n">
        <v>0</v>
      </c>
      <c r="M351" t="n">
        <v>0</v>
      </c>
      <c r="N351" t="n">
        <v>0</v>
      </c>
      <c r="O351" t="n">
        <v>0</v>
      </c>
      <c r="P351" t="n">
        <v>0</v>
      </c>
      <c r="Q351" t="n">
        <v>0</v>
      </c>
      <c r="R351" s="2" t="inlineStr"/>
    </row>
    <row r="352" ht="15" customHeight="1">
      <c r="A352" t="inlineStr">
        <is>
          <t>A 10511-2025</t>
        </is>
      </c>
      <c r="B352" s="1" t="n">
        <v>45721.40780092592</v>
      </c>
      <c r="C352" s="1" t="n">
        <v>46184</v>
      </c>
      <c r="D352" t="inlineStr">
        <is>
          <t>STOCKHOLMS LÄN</t>
        </is>
      </c>
      <c r="E352" t="inlineStr">
        <is>
          <t>NORRTÄLJE</t>
        </is>
      </c>
      <c r="G352" t="n">
        <v>2.6</v>
      </c>
      <c r="H352" t="n">
        <v>0</v>
      </c>
      <c r="I352" t="n">
        <v>0</v>
      </c>
      <c r="J352" t="n">
        <v>0</v>
      </c>
      <c r="K352" t="n">
        <v>0</v>
      </c>
      <c r="L352" t="n">
        <v>0</v>
      </c>
      <c r="M352" t="n">
        <v>0</v>
      </c>
      <c r="N352" t="n">
        <v>0</v>
      </c>
      <c r="O352" t="n">
        <v>0</v>
      </c>
      <c r="P352" t="n">
        <v>0</v>
      </c>
      <c r="Q352" t="n">
        <v>0</v>
      </c>
      <c r="R352" s="2" t="inlineStr"/>
    </row>
    <row r="353" ht="15" customHeight="1">
      <c r="A353" t="inlineStr">
        <is>
          <t>A 12901-2024</t>
        </is>
      </c>
      <c r="B353" s="1" t="n">
        <v>45385.37922453704</v>
      </c>
      <c r="C353" s="1" t="n">
        <v>46184</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8950-2025</t>
        </is>
      </c>
      <c r="B354" s="1" t="n">
        <v>45713</v>
      </c>
      <c r="C354" s="1" t="n">
        <v>46184</v>
      </c>
      <c r="D354" t="inlineStr">
        <is>
          <t>STOCKHOLMS LÄN</t>
        </is>
      </c>
      <c r="E354" t="inlineStr">
        <is>
          <t>NORRTÄLJE</t>
        </is>
      </c>
      <c r="F354" t="inlineStr">
        <is>
          <t>Övriga Aktiebolag</t>
        </is>
      </c>
      <c r="G354" t="n">
        <v>3.6</v>
      </c>
      <c r="H354" t="n">
        <v>0</v>
      </c>
      <c r="I354" t="n">
        <v>0</v>
      </c>
      <c r="J354" t="n">
        <v>0</v>
      </c>
      <c r="K354" t="n">
        <v>0</v>
      </c>
      <c r="L354" t="n">
        <v>0</v>
      </c>
      <c r="M354" t="n">
        <v>0</v>
      </c>
      <c r="N354" t="n">
        <v>0</v>
      </c>
      <c r="O354" t="n">
        <v>0</v>
      </c>
      <c r="P354" t="n">
        <v>0</v>
      </c>
      <c r="Q354" t="n">
        <v>0</v>
      </c>
      <c r="R354" s="2" t="inlineStr"/>
    </row>
    <row r="355" ht="15" customHeight="1">
      <c r="A355" t="inlineStr">
        <is>
          <t>A 12301-2025</t>
        </is>
      </c>
      <c r="B355" s="1" t="n">
        <v>45729.7271875</v>
      </c>
      <c r="C355" s="1" t="n">
        <v>46184</v>
      </c>
      <c r="D355" t="inlineStr">
        <is>
          <t>STOCKHOLMS LÄN</t>
        </is>
      </c>
      <c r="E355" t="inlineStr">
        <is>
          <t>NORRTÄLJE</t>
        </is>
      </c>
      <c r="G355" t="n">
        <v>3.2</v>
      </c>
      <c r="H355" t="n">
        <v>0</v>
      </c>
      <c r="I355" t="n">
        <v>0</v>
      </c>
      <c r="J355" t="n">
        <v>0</v>
      </c>
      <c r="K355" t="n">
        <v>0</v>
      </c>
      <c r="L355" t="n">
        <v>0</v>
      </c>
      <c r="M355" t="n">
        <v>0</v>
      </c>
      <c r="N355" t="n">
        <v>0</v>
      </c>
      <c r="O355" t="n">
        <v>0</v>
      </c>
      <c r="P355" t="n">
        <v>0</v>
      </c>
      <c r="Q355" t="n">
        <v>0</v>
      </c>
      <c r="R355" s="2" t="inlineStr"/>
    </row>
    <row r="356" ht="15" customHeight="1">
      <c r="A356" t="inlineStr">
        <is>
          <t>A 42867-2022</t>
        </is>
      </c>
      <c r="B356" s="1" t="n">
        <v>44832</v>
      </c>
      <c r="C356" s="1" t="n">
        <v>46184</v>
      </c>
      <c r="D356" t="inlineStr">
        <is>
          <t>STOCKHOLMS LÄN</t>
        </is>
      </c>
      <c r="E356" t="inlineStr">
        <is>
          <t>NORRTÄLJE</t>
        </is>
      </c>
      <c r="G356" t="n">
        <v>6.4</v>
      </c>
      <c r="H356" t="n">
        <v>0</v>
      </c>
      <c r="I356" t="n">
        <v>0</v>
      </c>
      <c r="J356" t="n">
        <v>0</v>
      </c>
      <c r="K356" t="n">
        <v>0</v>
      </c>
      <c r="L356" t="n">
        <v>0</v>
      </c>
      <c r="M356" t="n">
        <v>0</v>
      </c>
      <c r="N356" t="n">
        <v>0</v>
      </c>
      <c r="O356" t="n">
        <v>0</v>
      </c>
      <c r="P356" t="n">
        <v>0</v>
      </c>
      <c r="Q356" t="n">
        <v>0</v>
      </c>
      <c r="R356" s="2" t="inlineStr"/>
    </row>
    <row r="357" ht="15" customHeight="1">
      <c r="A357" t="inlineStr">
        <is>
          <t>A 13283-2025</t>
        </is>
      </c>
      <c r="B357" s="1" t="n">
        <v>45735</v>
      </c>
      <c r="C357" s="1" t="n">
        <v>46184</v>
      </c>
      <c r="D357" t="inlineStr">
        <is>
          <t>STOCKHOLMS LÄN</t>
        </is>
      </c>
      <c r="E357" t="inlineStr">
        <is>
          <t>NORRTÄLJE</t>
        </is>
      </c>
      <c r="G357" t="n">
        <v>4.9</v>
      </c>
      <c r="H357" t="n">
        <v>0</v>
      </c>
      <c r="I357" t="n">
        <v>0</v>
      </c>
      <c r="J357" t="n">
        <v>0</v>
      </c>
      <c r="K357" t="n">
        <v>0</v>
      </c>
      <c r="L357" t="n">
        <v>0</v>
      </c>
      <c r="M357" t="n">
        <v>0</v>
      </c>
      <c r="N357" t="n">
        <v>0</v>
      </c>
      <c r="O357" t="n">
        <v>0</v>
      </c>
      <c r="P357" t="n">
        <v>0</v>
      </c>
      <c r="Q357" t="n">
        <v>0</v>
      </c>
      <c r="R357" s="2" t="inlineStr"/>
    </row>
    <row r="358" ht="15" customHeight="1">
      <c r="A358" t="inlineStr">
        <is>
          <t>A 50327-2025</t>
        </is>
      </c>
      <c r="B358" s="1" t="n">
        <v>45944.46387731482</v>
      </c>
      <c r="C358" s="1" t="n">
        <v>46184</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50563-2025</t>
        </is>
      </c>
      <c r="B359" s="1" t="n">
        <v>45944</v>
      </c>
      <c r="C359" s="1" t="n">
        <v>46184</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24687-2025</t>
        </is>
      </c>
      <c r="B360" s="1" t="n">
        <v>45798.66767361111</v>
      </c>
      <c r="C360" s="1" t="n">
        <v>46184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23749-2024</t>
        </is>
      </c>
      <c r="B361" s="1" t="n">
        <v>45455.33037037037</v>
      </c>
      <c r="C361" s="1" t="n">
        <v>46184</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51233-2025</t>
        </is>
      </c>
      <c r="B362" s="1" t="n">
        <v>45947.68232638889</v>
      </c>
      <c r="C362" s="1" t="n">
        <v>46184</v>
      </c>
      <c r="D362" t="inlineStr">
        <is>
          <t>STOCKHOLMS LÄN</t>
        </is>
      </c>
      <c r="E362" t="inlineStr">
        <is>
          <t>NORRTÄLJE</t>
        </is>
      </c>
      <c r="F362" t="inlineStr">
        <is>
          <t>Naturvårdsverket</t>
        </is>
      </c>
      <c r="G362" t="n">
        <v>8.1</v>
      </c>
      <c r="H362" t="n">
        <v>0</v>
      </c>
      <c r="I362" t="n">
        <v>0</v>
      </c>
      <c r="J362" t="n">
        <v>0</v>
      </c>
      <c r="K362" t="n">
        <v>0</v>
      </c>
      <c r="L362" t="n">
        <v>0</v>
      </c>
      <c r="M362" t="n">
        <v>0</v>
      </c>
      <c r="N362" t="n">
        <v>0</v>
      </c>
      <c r="O362" t="n">
        <v>0</v>
      </c>
      <c r="P362" t="n">
        <v>0</v>
      </c>
      <c r="Q362" t="n">
        <v>0</v>
      </c>
      <c r="R362" s="2" t="inlineStr"/>
    </row>
    <row r="363" ht="15" customHeight="1">
      <c r="A363" t="inlineStr">
        <is>
          <t>A 51236-2025</t>
        </is>
      </c>
      <c r="B363" s="1" t="n">
        <v>45947.69078703703</v>
      </c>
      <c r="C363" s="1" t="n">
        <v>46184</v>
      </c>
      <c r="D363" t="inlineStr">
        <is>
          <t>STOCKHOLMS LÄN</t>
        </is>
      </c>
      <c r="E363" t="inlineStr">
        <is>
          <t>NORRTÄLJE</t>
        </is>
      </c>
      <c r="F363" t="inlineStr">
        <is>
          <t>Naturvårdsverket</t>
        </is>
      </c>
      <c r="G363" t="n">
        <v>6.3</v>
      </c>
      <c r="H363" t="n">
        <v>0</v>
      </c>
      <c r="I363" t="n">
        <v>0</v>
      </c>
      <c r="J363" t="n">
        <v>0</v>
      </c>
      <c r="K363" t="n">
        <v>0</v>
      </c>
      <c r="L363" t="n">
        <v>0</v>
      </c>
      <c r="M363" t="n">
        <v>0</v>
      </c>
      <c r="N363" t="n">
        <v>0</v>
      </c>
      <c r="O363" t="n">
        <v>0</v>
      </c>
      <c r="P363" t="n">
        <v>0</v>
      </c>
      <c r="Q363" t="n">
        <v>0</v>
      </c>
      <c r="R363" s="2" t="inlineStr"/>
    </row>
    <row r="364" ht="15" customHeight="1">
      <c r="A364" t="inlineStr">
        <is>
          <t>A 51241-2025</t>
        </is>
      </c>
      <c r="B364" s="1" t="n">
        <v>45947.71726851852</v>
      </c>
      <c r="C364" s="1" t="n">
        <v>46184</v>
      </c>
      <c r="D364" t="inlineStr">
        <is>
          <t>STOCKHOLMS LÄN</t>
        </is>
      </c>
      <c r="E364" t="inlineStr">
        <is>
          <t>NORRTÄLJE</t>
        </is>
      </c>
      <c r="F364" t="inlineStr">
        <is>
          <t>Naturvårdsverket</t>
        </is>
      </c>
      <c r="G364" t="n">
        <v>6.4</v>
      </c>
      <c r="H364" t="n">
        <v>0</v>
      </c>
      <c r="I364" t="n">
        <v>0</v>
      </c>
      <c r="J364" t="n">
        <v>0</v>
      </c>
      <c r="K364" t="n">
        <v>0</v>
      </c>
      <c r="L364" t="n">
        <v>0</v>
      </c>
      <c r="M364" t="n">
        <v>0</v>
      </c>
      <c r="N364" t="n">
        <v>0</v>
      </c>
      <c r="O364" t="n">
        <v>0</v>
      </c>
      <c r="P364" t="n">
        <v>0</v>
      </c>
      <c r="Q364" t="n">
        <v>0</v>
      </c>
      <c r="R364" s="2" t="inlineStr"/>
    </row>
    <row r="365" ht="15" customHeight="1">
      <c r="A365" t="inlineStr">
        <is>
          <t>A 58277-2023</t>
        </is>
      </c>
      <c r="B365" s="1" t="n">
        <v>45245</v>
      </c>
      <c r="C365" s="1" t="n">
        <v>46184</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24638-2025</t>
        </is>
      </c>
      <c r="B366" s="1" t="n">
        <v>45798</v>
      </c>
      <c r="C366" s="1" t="n">
        <v>46184</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51240-2025</t>
        </is>
      </c>
      <c r="B367" s="1" t="n">
        <v>45947.70420138889</v>
      </c>
      <c r="C367" s="1" t="n">
        <v>46184</v>
      </c>
      <c r="D367" t="inlineStr">
        <is>
          <t>STOCKHOLMS LÄN</t>
        </is>
      </c>
      <c r="E367" t="inlineStr">
        <is>
          <t>NORRTÄLJE</t>
        </is>
      </c>
      <c r="F367" t="inlineStr">
        <is>
          <t>Naturvårdsverket</t>
        </is>
      </c>
      <c r="G367" t="n">
        <v>3</v>
      </c>
      <c r="H367" t="n">
        <v>0</v>
      </c>
      <c r="I367" t="n">
        <v>0</v>
      </c>
      <c r="J367" t="n">
        <v>0</v>
      </c>
      <c r="K367" t="n">
        <v>0</v>
      </c>
      <c r="L367" t="n">
        <v>0</v>
      </c>
      <c r="M367" t="n">
        <v>0</v>
      </c>
      <c r="N367" t="n">
        <v>0</v>
      </c>
      <c r="O367" t="n">
        <v>0</v>
      </c>
      <c r="P367" t="n">
        <v>0</v>
      </c>
      <c r="Q367" t="n">
        <v>0</v>
      </c>
      <c r="R367" s="2" t="inlineStr"/>
    </row>
    <row r="368" ht="15" customHeight="1">
      <c r="A368" t="inlineStr">
        <is>
          <t>A 30699-2025</t>
        </is>
      </c>
      <c r="B368" s="1" t="n">
        <v>45831.54618055555</v>
      </c>
      <c r="C368" s="1" t="n">
        <v>46184</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32705-2022</t>
        </is>
      </c>
      <c r="B369" s="1" t="n">
        <v>44783</v>
      </c>
      <c r="C369" s="1" t="n">
        <v>46184</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51121-2025</t>
        </is>
      </c>
      <c r="B370" s="1" t="n">
        <v>45947.53293981482</v>
      </c>
      <c r="C370" s="1" t="n">
        <v>46184</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47481-2024</t>
        </is>
      </c>
      <c r="B371" s="1" t="n">
        <v>45587</v>
      </c>
      <c r="C371" s="1" t="n">
        <v>46184</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57037-2022</t>
        </is>
      </c>
      <c r="B372" s="1" t="n">
        <v>44895</v>
      </c>
      <c r="C372" s="1" t="n">
        <v>46184</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28603-2024</t>
        </is>
      </c>
      <c r="B373" s="1" t="n">
        <v>45478.42887731481</v>
      </c>
      <c r="C373" s="1" t="n">
        <v>46184</v>
      </c>
      <c r="D373" t="inlineStr">
        <is>
          <t>STOCKHOLMS LÄN</t>
        </is>
      </c>
      <c r="E373" t="inlineStr">
        <is>
          <t>NORRTÄLJE</t>
        </is>
      </c>
      <c r="G373" t="n">
        <v>5.6</v>
      </c>
      <c r="H373" t="n">
        <v>0</v>
      </c>
      <c r="I373" t="n">
        <v>0</v>
      </c>
      <c r="J373" t="n">
        <v>0</v>
      </c>
      <c r="K373" t="n">
        <v>0</v>
      </c>
      <c r="L373" t="n">
        <v>0</v>
      </c>
      <c r="M373" t="n">
        <v>0</v>
      </c>
      <c r="N373" t="n">
        <v>0</v>
      </c>
      <c r="O373" t="n">
        <v>0</v>
      </c>
      <c r="P373" t="n">
        <v>0</v>
      </c>
      <c r="Q373" t="n">
        <v>0</v>
      </c>
      <c r="R373" s="2" t="inlineStr"/>
    </row>
    <row r="374" ht="15" customHeight="1">
      <c r="A374" t="inlineStr">
        <is>
          <t>A 20011-2025</t>
        </is>
      </c>
      <c r="B374" s="1" t="n">
        <v>45772.29622685185</v>
      </c>
      <c r="C374" s="1" t="n">
        <v>46184</v>
      </c>
      <c r="D374" t="inlineStr">
        <is>
          <t>STOCKHOLMS LÄN</t>
        </is>
      </c>
      <c r="E374" t="inlineStr">
        <is>
          <t>NORRTÄLJE</t>
        </is>
      </c>
      <c r="G374" t="n">
        <v>3.5</v>
      </c>
      <c r="H374" t="n">
        <v>0</v>
      </c>
      <c r="I374" t="n">
        <v>0</v>
      </c>
      <c r="J374" t="n">
        <v>0</v>
      </c>
      <c r="K374" t="n">
        <v>0</v>
      </c>
      <c r="L374" t="n">
        <v>0</v>
      </c>
      <c r="M374" t="n">
        <v>0</v>
      </c>
      <c r="N374" t="n">
        <v>0</v>
      </c>
      <c r="O374" t="n">
        <v>0</v>
      </c>
      <c r="P374" t="n">
        <v>0</v>
      </c>
      <c r="Q374" t="n">
        <v>0</v>
      </c>
      <c r="R374" s="2" t="inlineStr"/>
    </row>
    <row r="375" ht="15" customHeight="1">
      <c r="A375" t="inlineStr">
        <is>
          <t>A 42856-2025</t>
        </is>
      </c>
      <c r="B375" s="1" t="n">
        <v>45908</v>
      </c>
      <c r="C375" s="1" t="n">
        <v>46184</v>
      </c>
      <c r="D375" t="inlineStr">
        <is>
          <t>STOCKHOLMS LÄN</t>
        </is>
      </c>
      <c r="E375" t="inlineStr">
        <is>
          <t>NORRTÄLJE</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11940-2023</t>
        </is>
      </c>
      <c r="B376" s="1" t="n">
        <v>44995</v>
      </c>
      <c r="C376" s="1" t="n">
        <v>46184</v>
      </c>
      <c r="D376" t="inlineStr">
        <is>
          <t>STOCKHOLMS LÄN</t>
        </is>
      </c>
      <c r="E376" t="inlineStr">
        <is>
          <t>NORRTÄLJE</t>
        </is>
      </c>
      <c r="G376" t="n">
        <v>0.7</v>
      </c>
      <c r="H376" t="n">
        <v>0</v>
      </c>
      <c r="I376" t="n">
        <v>0</v>
      </c>
      <c r="J376" t="n">
        <v>0</v>
      </c>
      <c r="K376" t="n">
        <v>0</v>
      </c>
      <c r="L376" t="n">
        <v>0</v>
      </c>
      <c r="M376" t="n">
        <v>0</v>
      </c>
      <c r="N376" t="n">
        <v>0</v>
      </c>
      <c r="O376" t="n">
        <v>0</v>
      </c>
      <c r="P376" t="n">
        <v>0</v>
      </c>
      <c r="Q376" t="n">
        <v>0</v>
      </c>
      <c r="R376" s="2" t="inlineStr"/>
    </row>
    <row r="377" ht="15" customHeight="1">
      <c r="A377" t="inlineStr">
        <is>
          <t>A 51532-2025</t>
        </is>
      </c>
      <c r="B377" s="1" t="n">
        <v>45950.68297453703</v>
      </c>
      <c r="C377" s="1" t="n">
        <v>46184</v>
      </c>
      <c r="D377" t="inlineStr">
        <is>
          <t>STOCKHOLMS LÄN</t>
        </is>
      </c>
      <c r="E377" t="inlineStr">
        <is>
          <t>NORRTÄLJE</t>
        </is>
      </c>
      <c r="F377" t="inlineStr">
        <is>
          <t>Naturvårdsverket</t>
        </is>
      </c>
      <c r="G377" t="n">
        <v>17.3</v>
      </c>
      <c r="H377" t="n">
        <v>0</v>
      </c>
      <c r="I377" t="n">
        <v>0</v>
      </c>
      <c r="J377" t="n">
        <v>0</v>
      </c>
      <c r="K377" t="n">
        <v>0</v>
      </c>
      <c r="L377" t="n">
        <v>0</v>
      </c>
      <c r="M377" t="n">
        <v>0</v>
      </c>
      <c r="N377" t="n">
        <v>0</v>
      </c>
      <c r="O377" t="n">
        <v>0</v>
      </c>
      <c r="P377" t="n">
        <v>0</v>
      </c>
      <c r="Q377" t="n">
        <v>0</v>
      </c>
      <c r="R377" s="2" t="inlineStr"/>
    </row>
    <row r="378" ht="15" customHeight="1">
      <c r="A378" t="inlineStr">
        <is>
          <t>A 51789-2025</t>
        </is>
      </c>
      <c r="B378" s="1" t="n">
        <v>45951.68046296296</v>
      </c>
      <c r="C378" s="1" t="n">
        <v>46184</v>
      </c>
      <c r="D378" t="inlineStr">
        <is>
          <t>STOCKHOLMS LÄN</t>
        </is>
      </c>
      <c r="E378" t="inlineStr">
        <is>
          <t>NORRTÄLJE</t>
        </is>
      </c>
      <c r="F378" t="inlineStr">
        <is>
          <t>Naturvårdsverket</t>
        </is>
      </c>
      <c r="G378" t="n">
        <v>8.9</v>
      </c>
      <c r="H378" t="n">
        <v>0</v>
      </c>
      <c r="I378" t="n">
        <v>0</v>
      </c>
      <c r="J378" t="n">
        <v>0</v>
      </c>
      <c r="K378" t="n">
        <v>0</v>
      </c>
      <c r="L378" t="n">
        <v>0</v>
      </c>
      <c r="M378" t="n">
        <v>0</v>
      </c>
      <c r="N378" t="n">
        <v>0</v>
      </c>
      <c r="O378" t="n">
        <v>0</v>
      </c>
      <c r="P378" t="n">
        <v>0</v>
      </c>
      <c r="Q378" t="n">
        <v>0</v>
      </c>
      <c r="R378" s="2" t="inlineStr"/>
    </row>
    <row r="379" ht="15" customHeight="1">
      <c r="A379" t="inlineStr">
        <is>
          <t>A 24690-2025</t>
        </is>
      </c>
      <c r="B379" s="1" t="n">
        <v>45798.67082175926</v>
      </c>
      <c r="C379" s="1" t="n">
        <v>46184</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2281-2024</t>
        </is>
      </c>
      <c r="B380" s="1" t="n">
        <v>45310.40628472222</v>
      </c>
      <c r="C380" s="1" t="n">
        <v>46184</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47259-2024</t>
        </is>
      </c>
      <c r="B381" s="1" t="n">
        <v>45586</v>
      </c>
      <c r="C381" s="1" t="n">
        <v>46184</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60525-2022</t>
        </is>
      </c>
      <c r="B382" s="1" t="n">
        <v>44904</v>
      </c>
      <c r="C382" s="1" t="n">
        <v>46184</v>
      </c>
      <c r="D382" t="inlineStr">
        <is>
          <t>STOCKHOLMS LÄN</t>
        </is>
      </c>
      <c r="E382" t="inlineStr">
        <is>
          <t>NORRTÄLJE</t>
        </is>
      </c>
      <c r="G382" t="n">
        <v>13.4</v>
      </c>
      <c r="H382" t="n">
        <v>0</v>
      </c>
      <c r="I382" t="n">
        <v>0</v>
      </c>
      <c r="J382" t="n">
        <v>0</v>
      </c>
      <c r="K382" t="n">
        <v>0</v>
      </c>
      <c r="L382" t="n">
        <v>0</v>
      </c>
      <c r="M382" t="n">
        <v>0</v>
      </c>
      <c r="N382" t="n">
        <v>0</v>
      </c>
      <c r="O382" t="n">
        <v>0</v>
      </c>
      <c r="P382" t="n">
        <v>0</v>
      </c>
      <c r="Q382" t="n">
        <v>0</v>
      </c>
      <c r="R382" s="2" t="inlineStr"/>
    </row>
    <row r="383" ht="15" customHeight="1">
      <c r="A383" t="inlineStr">
        <is>
          <t>A 25712-2025</t>
        </is>
      </c>
      <c r="B383" s="1" t="n">
        <v>45803.69228009259</v>
      </c>
      <c r="C383" s="1" t="n">
        <v>46184</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39238-2024</t>
        </is>
      </c>
      <c r="B384" s="1" t="n">
        <v>45549</v>
      </c>
      <c r="C384" s="1" t="n">
        <v>46184</v>
      </c>
      <c r="D384" t="inlineStr">
        <is>
          <t>STOCKHOLMS LÄN</t>
        </is>
      </c>
      <c r="E384" t="inlineStr">
        <is>
          <t>NORRTÄLJE</t>
        </is>
      </c>
      <c r="G384" t="n">
        <v>3.6</v>
      </c>
      <c r="H384" t="n">
        <v>0</v>
      </c>
      <c r="I384" t="n">
        <v>0</v>
      </c>
      <c r="J384" t="n">
        <v>0</v>
      </c>
      <c r="K384" t="n">
        <v>0</v>
      </c>
      <c r="L384" t="n">
        <v>0</v>
      </c>
      <c r="M384" t="n">
        <v>0</v>
      </c>
      <c r="N384" t="n">
        <v>0</v>
      </c>
      <c r="O384" t="n">
        <v>0</v>
      </c>
      <c r="P384" t="n">
        <v>0</v>
      </c>
      <c r="Q384" t="n">
        <v>0</v>
      </c>
      <c r="R384" s="2" t="inlineStr"/>
    </row>
    <row r="385" ht="15" customHeight="1">
      <c r="A385" t="inlineStr">
        <is>
          <t>A 25571-2025</t>
        </is>
      </c>
      <c r="B385" s="1" t="n">
        <v>45803.4675</v>
      </c>
      <c r="C385" s="1" t="n">
        <v>46184</v>
      </c>
      <c r="D385" t="inlineStr">
        <is>
          <t>STOCKHOLMS LÄN</t>
        </is>
      </c>
      <c r="E385" t="inlineStr">
        <is>
          <t>NORRTÄLJE</t>
        </is>
      </c>
      <c r="G385" t="n">
        <v>5.4</v>
      </c>
      <c r="H385" t="n">
        <v>0</v>
      </c>
      <c r="I385" t="n">
        <v>0</v>
      </c>
      <c r="J385" t="n">
        <v>0</v>
      </c>
      <c r="K385" t="n">
        <v>0</v>
      </c>
      <c r="L385" t="n">
        <v>0</v>
      </c>
      <c r="M385" t="n">
        <v>0</v>
      </c>
      <c r="N385" t="n">
        <v>0</v>
      </c>
      <c r="O385" t="n">
        <v>0</v>
      </c>
      <c r="P385" t="n">
        <v>0</v>
      </c>
      <c r="Q385" t="n">
        <v>0</v>
      </c>
      <c r="R385" s="2" t="inlineStr"/>
    </row>
    <row r="386" ht="15" customHeight="1">
      <c r="A386" t="inlineStr">
        <is>
          <t>A 25721-2025</t>
        </is>
      </c>
      <c r="B386" s="1" t="n">
        <v>45800</v>
      </c>
      <c r="C386" s="1" t="n">
        <v>46184</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41218-2024</t>
        </is>
      </c>
      <c r="B387" s="1" t="n">
        <v>45559.54706018518</v>
      </c>
      <c r="C387" s="1" t="n">
        <v>46184</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38449-2022</t>
        </is>
      </c>
      <c r="B388" s="1" t="n">
        <v>44813</v>
      </c>
      <c r="C388" s="1" t="n">
        <v>46184</v>
      </c>
      <c r="D388" t="inlineStr">
        <is>
          <t>STOCKHOLMS LÄN</t>
        </is>
      </c>
      <c r="E388" t="inlineStr">
        <is>
          <t>NORRTÄLJE</t>
        </is>
      </c>
      <c r="G388" t="n">
        <v>4.2</v>
      </c>
      <c r="H388" t="n">
        <v>0</v>
      </c>
      <c r="I388" t="n">
        <v>0</v>
      </c>
      <c r="J388" t="n">
        <v>0</v>
      </c>
      <c r="K388" t="n">
        <v>0</v>
      </c>
      <c r="L388" t="n">
        <v>0</v>
      </c>
      <c r="M388" t="n">
        <v>0</v>
      </c>
      <c r="N388" t="n">
        <v>0</v>
      </c>
      <c r="O388" t="n">
        <v>0</v>
      </c>
      <c r="P388" t="n">
        <v>0</v>
      </c>
      <c r="Q388" t="n">
        <v>0</v>
      </c>
      <c r="R388" s="2" t="inlineStr"/>
    </row>
    <row r="389" ht="15" customHeight="1">
      <c r="A389" t="inlineStr">
        <is>
          <t>A 39213-2022</t>
        </is>
      </c>
      <c r="B389" s="1" t="n">
        <v>44817.56120370371</v>
      </c>
      <c r="C389" s="1" t="n">
        <v>46184</v>
      </c>
      <c r="D389" t="inlineStr">
        <is>
          <t>STOCKHOLMS LÄN</t>
        </is>
      </c>
      <c r="E389" t="inlineStr">
        <is>
          <t>NORRTÄLJE</t>
        </is>
      </c>
      <c r="G389" t="n">
        <v>3.4</v>
      </c>
      <c r="H389" t="n">
        <v>0</v>
      </c>
      <c r="I389" t="n">
        <v>0</v>
      </c>
      <c r="J389" t="n">
        <v>0</v>
      </c>
      <c r="K389" t="n">
        <v>0</v>
      </c>
      <c r="L389" t="n">
        <v>0</v>
      </c>
      <c r="M389" t="n">
        <v>0</v>
      </c>
      <c r="N389" t="n">
        <v>0</v>
      </c>
      <c r="O389" t="n">
        <v>0</v>
      </c>
      <c r="P389" t="n">
        <v>0</v>
      </c>
      <c r="Q389" t="n">
        <v>0</v>
      </c>
      <c r="R389" s="2" t="inlineStr"/>
    </row>
    <row r="390" ht="15" customHeight="1">
      <c r="A390" t="inlineStr">
        <is>
          <t>A 41976-2024</t>
        </is>
      </c>
      <c r="B390" s="1" t="n">
        <v>45561.62141203704</v>
      </c>
      <c r="C390" s="1" t="n">
        <v>46184</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51960-2025</t>
        </is>
      </c>
      <c r="B391" s="1" t="n">
        <v>45952.54755787037</v>
      </c>
      <c r="C391" s="1" t="n">
        <v>46184</v>
      </c>
      <c r="D391" t="inlineStr">
        <is>
          <t>STOCKHOLMS LÄN</t>
        </is>
      </c>
      <c r="E391" t="inlineStr">
        <is>
          <t>NORRTÄLJE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30719-2025</t>
        </is>
      </c>
      <c r="B392" s="1" t="n">
        <v>45831</v>
      </c>
      <c r="C392" s="1" t="n">
        <v>46184</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43269-2025</t>
        </is>
      </c>
      <c r="B393" s="1" t="n">
        <v>45910.5819212963</v>
      </c>
      <c r="C393" s="1" t="n">
        <v>46184</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51325-2023</t>
        </is>
      </c>
      <c r="B394" s="1" t="n">
        <v>45219</v>
      </c>
      <c r="C394" s="1" t="n">
        <v>46184</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53561-2023</t>
        </is>
      </c>
      <c r="B395" s="1" t="n">
        <v>45224</v>
      </c>
      <c r="C395" s="1" t="n">
        <v>46184</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31107-2022</t>
        </is>
      </c>
      <c r="B396" s="1" t="n">
        <v>44769.66864583334</v>
      </c>
      <c r="C396" s="1" t="n">
        <v>46184</v>
      </c>
      <c r="D396" t="inlineStr">
        <is>
          <t>STOCKHOLMS LÄN</t>
        </is>
      </c>
      <c r="E396" t="inlineStr">
        <is>
          <t>NORRTÄLJE</t>
        </is>
      </c>
      <c r="G396" t="n">
        <v>3.8</v>
      </c>
      <c r="H396" t="n">
        <v>0</v>
      </c>
      <c r="I396" t="n">
        <v>0</v>
      </c>
      <c r="J396" t="n">
        <v>0</v>
      </c>
      <c r="K396" t="n">
        <v>0</v>
      </c>
      <c r="L396" t="n">
        <v>0</v>
      </c>
      <c r="M396" t="n">
        <v>0</v>
      </c>
      <c r="N396" t="n">
        <v>0</v>
      </c>
      <c r="O396" t="n">
        <v>0</v>
      </c>
      <c r="P396" t="n">
        <v>0</v>
      </c>
      <c r="Q396" t="n">
        <v>0</v>
      </c>
      <c r="R396" s="2" t="inlineStr"/>
    </row>
    <row r="397" ht="15" customHeight="1">
      <c r="A397" t="inlineStr">
        <is>
          <t>A 13860-2023</t>
        </is>
      </c>
      <c r="B397" s="1" t="n">
        <v>45007</v>
      </c>
      <c r="C397" s="1" t="n">
        <v>46184</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6855-2025</t>
        </is>
      </c>
      <c r="B398" s="1" t="n">
        <v>45700</v>
      </c>
      <c r="C398" s="1" t="n">
        <v>46184</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34432-2021</t>
        </is>
      </c>
      <c r="B399" s="1" t="n">
        <v>44380.77346064815</v>
      </c>
      <c r="C399" s="1" t="n">
        <v>46184</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26708-2025</t>
        </is>
      </c>
      <c r="B400" s="1" t="n">
        <v>45810.45633101852</v>
      </c>
      <c r="C400" s="1" t="n">
        <v>46184</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26702-2025</t>
        </is>
      </c>
      <c r="B401" s="1" t="n">
        <v>45810.45236111111</v>
      </c>
      <c r="C401" s="1" t="n">
        <v>46184</v>
      </c>
      <c r="D401" t="inlineStr">
        <is>
          <t>STOCKHOLMS LÄN</t>
        </is>
      </c>
      <c r="E401" t="inlineStr">
        <is>
          <t>NORRTÄLJE</t>
        </is>
      </c>
      <c r="G401" t="n">
        <v>7.3</v>
      </c>
      <c r="H401" t="n">
        <v>0</v>
      </c>
      <c r="I401" t="n">
        <v>0</v>
      </c>
      <c r="J401" t="n">
        <v>0</v>
      </c>
      <c r="K401" t="n">
        <v>0</v>
      </c>
      <c r="L401" t="n">
        <v>0</v>
      </c>
      <c r="M401" t="n">
        <v>0</v>
      </c>
      <c r="N401" t="n">
        <v>0</v>
      </c>
      <c r="O401" t="n">
        <v>0</v>
      </c>
      <c r="P401" t="n">
        <v>0</v>
      </c>
      <c r="Q401" t="n">
        <v>0</v>
      </c>
      <c r="R401" s="2" t="inlineStr"/>
    </row>
    <row r="402" ht="15" customHeight="1">
      <c r="A402" t="inlineStr">
        <is>
          <t>A 52061-2025</t>
        </is>
      </c>
      <c r="B402" s="1" t="n">
        <v>45952.63679398148</v>
      </c>
      <c r="C402" s="1" t="n">
        <v>46184</v>
      </c>
      <c r="D402" t="inlineStr">
        <is>
          <t>STOCKHOLMS LÄN</t>
        </is>
      </c>
      <c r="E402" t="inlineStr">
        <is>
          <t>NORRTÄLJE</t>
        </is>
      </c>
      <c r="G402" t="n">
        <v>9.5</v>
      </c>
      <c r="H402" t="n">
        <v>0</v>
      </c>
      <c r="I402" t="n">
        <v>0</v>
      </c>
      <c r="J402" t="n">
        <v>0</v>
      </c>
      <c r="K402" t="n">
        <v>0</v>
      </c>
      <c r="L402" t="n">
        <v>0</v>
      </c>
      <c r="M402" t="n">
        <v>0</v>
      </c>
      <c r="N402" t="n">
        <v>0</v>
      </c>
      <c r="O402" t="n">
        <v>0</v>
      </c>
      <c r="P402" t="n">
        <v>0</v>
      </c>
      <c r="Q402" t="n">
        <v>0</v>
      </c>
      <c r="R402" s="2" t="inlineStr"/>
    </row>
    <row r="403" ht="15" customHeight="1">
      <c r="A403" t="inlineStr">
        <is>
          <t>A 23061-2025</t>
        </is>
      </c>
      <c r="B403" s="1" t="n">
        <v>45790.81410879629</v>
      </c>
      <c r="C403" s="1" t="n">
        <v>46184</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44311-2025</t>
        </is>
      </c>
      <c r="B404" s="1" t="n">
        <v>45916.38394675926</v>
      </c>
      <c r="C404" s="1" t="n">
        <v>46184</v>
      </c>
      <c r="D404" t="inlineStr">
        <is>
          <t>STOCKHOLMS LÄN</t>
        </is>
      </c>
      <c r="E404" t="inlineStr">
        <is>
          <t>NORRTÄLJE</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27040-2025</t>
        </is>
      </c>
      <c r="B405" s="1" t="n">
        <v>45811.60451388889</v>
      </c>
      <c r="C405" s="1" t="n">
        <v>46184</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26747-2025</t>
        </is>
      </c>
      <c r="B406" s="1" t="n">
        <v>45810.5333912037</v>
      </c>
      <c r="C406" s="1" t="n">
        <v>46184</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51945-2025</t>
        </is>
      </c>
      <c r="B407" s="1" t="n">
        <v>45952.52679398148</v>
      </c>
      <c r="C407" s="1" t="n">
        <v>46184</v>
      </c>
      <c r="D407" t="inlineStr">
        <is>
          <t>STOCKHOLMS LÄN</t>
        </is>
      </c>
      <c r="E407" t="inlineStr">
        <is>
          <t>NORRTÄLJE</t>
        </is>
      </c>
      <c r="G407" t="n">
        <v>7</v>
      </c>
      <c r="H407" t="n">
        <v>0</v>
      </c>
      <c r="I407" t="n">
        <v>0</v>
      </c>
      <c r="J407" t="n">
        <v>0</v>
      </c>
      <c r="K407" t="n">
        <v>0</v>
      </c>
      <c r="L407" t="n">
        <v>0</v>
      </c>
      <c r="M407" t="n">
        <v>0</v>
      </c>
      <c r="N407" t="n">
        <v>0</v>
      </c>
      <c r="O407" t="n">
        <v>0</v>
      </c>
      <c r="P407" t="n">
        <v>0</v>
      </c>
      <c r="Q407" t="n">
        <v>0</v>
      </c>
      <c r="R407" s="2" t="inlineStr"/>
    </row>
    <row r="408" ht="15" customHeight="1">
      <c r="A408" t="inlineStr">
        <is>
          <t>A 23149-2024</t>
        </is>
      </c>
      <c r="B408" s="1" t="n">
        <v>45450.64208333333</v>
      </c>
      <c r="C408" s="1" t="n">
        <v>46184</v>
      </c>
      <c r="D408" t="inlineStr">
        <is>
          <t>STOCKHOLMS LÄN</t>
        </is>
      </c>
      <c r="E408" t="inlineStr">
        <is>
          <t>NORRTÄLJE</t>
        </is>
      </c>
      <c r="F408" t="inlineStr">
        <is>
          <t>Kommuner</t>
        </is>
      </c>
      <c r="G408" t="n">
        <v>1.3</v>
      </c>
      <c r="H408" t="n">
        <v>0</v>
      </c>
      <c r="I408" t="n">
        <v>0</v>
      </c>
      <c r="J408" t="n">
        <v>0</v>
      </c>
      <c r="K408" t="n">
        <v>0</v>
      </c>
      <c r="L408" t="n">
        <v>0</v>
      </c>
      <c r="M408" t="n">
        <v>0</v>
      </c>
      <c r="N408" t="n">
        <v>0</v>
      </c>
      <c r="O408" t="n">
        <v>0</v>
      </c>
      <c r="P408" t="n">
        <v>0</v>
      </c>
      <c r="Q408" t="n">
        <v>0</v>
      </c>
      <c r="R408" s="2" t="inlineStr"/>
    </row>
    <row r="409" ht="15" customHeight="1">
      <c r="A409" t="inlineStr">
        <is>
          <t>A 23151-2024</t>
        </is>
      </c>
      <c r="B409" s="1" t="n">
        <v>45450</v>
      </c>
      <c r="C409" s="1" t="n">
        <v>46184</v>
      </c>
      <c r="D409" t="inlineStr">
        <is>
          <t>STOCKHOLMS LÄN</t>
        </is>
      </c>
      <c r="E409" t="inlineStr">
        <is>
          <t>NORRTÄLJE</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44937-2025</t>
        </is>
      </c>
      <c r="B410" s="1" t="n">
        <v>45918</v>
      </c>
      <c r="C410" s="1" t="n">
        <v>46184</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52773-2025</t>
        </is>
      </c>
      <c r="B411" s="1" t="n">
        <v>45957.41457175926</v>
      </c>
      <c r="C411" s="1" t="n">
        <v>46184</v>
      </c>
      <c r="D411" t="inlineStr">
        <is>
          <t>STOCKHOLMS LÄN</t>
        </is>
      </c>
      <c r="E411" t="inlineStr">
        <is>
          <t>NORRTÄLJE</t>
        </is>
      </c>
      <c r="F411" t="inlineStr">
        <is>
          <t>Sveaskog</t>
        </is>
      </c>
      <c r="G411" t="n">
        <v>10.5</v>
      </c>
      <c r="H411" t="n">
        <v>0</v>
      </c>
      <c r="I411" t="n">
        <v>0</v>
      </c>
      <c r="J411" t="n">
        <v>0</v>
      </c>
      <c r="K411" t="n">
        <v>0</v>
      </c>
      <c r="L411" t="n">
        <v>0</v>
      </c>
      <c r="M411" t="n">
        <v>0</v>
      </c>
      <c r="N411" t="n">
        <v>0</v>
      </c>
      <c r="O411" t="n">
        <v>0</v>
      </c>
      <c r="P411" t="n">
        <v>0</v>
      </c>
      <c r="Q411" t="n">
        <v>0</v>
      </c>
      <c r="R411" s="2" t="inlineStr"/>
    </row>
    <row r="412" ht="15" customHeight="1">
      <c r="A412" t="inlineStr">
        <is>
          <t>A 52001-2023</t>
        </is>
      </c>
      <c r="B412" s="1" t="n">
        <v>45223</v>
      </c>
      <c r="C412" s="1" t="n">
        <v>46184</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60185-2024</t>
        </is>
      </c>
      <c r="B413" s="1" t="n">
        <v>45642.64634259259</v>
      </c>
      <c r="C413" s="1" t="n">
        <v>46184</v>
      </c>
      <c r="D413" t="inlineStr">
        <is>
          <t>STOCKHOLMS LÄN</t>
        </is>
      </c>
      <c r="E413" t="inlineStr">
        <is>
          <t>NORRTÄLJE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52777-2025</t>
        </is>
      </c>
      <c r="B414" s="1" t="n">
        <v>45957.41832175926</v>
      </c>
      <c r="C414" s="1" t="n">
        <v>46184</v>
      </c>
      <c r="D414" t="inlineStr">
        <is>
          <t>STOCKHOLMS LÄN</t>
        </is>
      </c>
      <c r="E414" t="inlineStr">
        <is>
          <t>NORRTÄLJE</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48686-2023</t>
        </is>
      </c>
      <c r="B415" s="1" t="n">
        <v>45208</v>
      </c>
      <c r="C415" s="1" t="n">
        <v>46184</v>
      </c>
      <c r="D415" t="inlineStr">
        <is>
          <t>STOCKHOLMS LÄN</t>
        </is>
      </c>
      <c r="E415" t="inlineStr">
        <is>
          <t>NORRTÄLJE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48691-2023</t>
        </is>
      </c>
      <c r="B416" s="1" t="n">
        <v>45208</v>
      </c>
      <c r="C416" s="1" t="n">
        <v>46184</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27700-2025</t>
        </is>
      </c>
      <c r="B417" s="1" t="n">
        <v>45813.6799537037</v>
      </c>
      <c r="C417" s="1" t="n">
        <v>46184</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52526-2025</t>
        </is>
      </c>
      <c r="B418" s="1" t="n">
        <v>45954.53061342592</v>
      </c>
      <c r="C418" s="1" t="n">
        <v>46184</v>
      </c>
      <c r="D418" t="inlineStr">
        <is>
          <t>STOCKHOLMS LÄN</t>
        </is>
      </c>
      <c r="E418" t="inlineStr">
        <is>
          <t>NORRTÄLJE</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53000-2025</t>
        </is>
      </c>
      <c r="B419" s="1" t="n">
        <v>45957.74357638889</v>
      </c>
      <c r="C419" s="1" t="n">
        <v>46184</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22359-2025</t>
        </is>
      </c>
      <c r="B420" s="1" t="n">
        <v>45786</v>
      </c>
      <c r="C420" s="1" t="n">
        <v>46184</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27808-2025</t>
        </is>
      </c>
      <c r="B421" s="1" t="n">
        <v>45817.31085648148</v>
      </c>
      <c r="C421" s="1" t="n">
        <v>46184</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27818-2025</t>
        </is>
      </c>
      <c r="B422" s="1" t="n">
        <v>45817.33503472222</v>
      </c>
      <c r="C422" s="1" t="n">
        <v>46184</v>
      </c>
      <c r="D422" t="inlineStr">
        <is>
          <t>STOCKHOLMS LÄN</t>
        </is>
      </c>
      <c r="E422" t="inlineStr">
        <is>
          <t>NORRTÄLJE</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52703-2025</t>
        </is>
      </c>
      <c r="B423" s="1" t="n">
        <v>45956.88643518519</v>
      </c>
      <c r="C423" s="1" t="n">
        <v>46184</v>
      </c>
      <c r="D423" t="inlineStr">
        <is>
          <t>STOCKHOLMS LÄN</t>
        </is>
      </c>
      <c r="E423" t="inlineStr">
        <is>
          <t>NORRTÄLJE</t>
        </is>
      </c>
      <c r="G423" t="n">
        <v>4.7</v>
      </c>
      <c r="H423" t="n">
        <v>0</v>
      </c>
      <c r="I423" t="n">
        <v>0</v>
      </c>
      <c r="J423" t="n">
        <v>0</v>
      </c>
      <c r="K423" t="n">
        <v>0</v>
      </c>
      <c r="L423" t="n">
        <v>0</v>
      </c>
      <c r="M423" t="n">
        <v>0</v>
      </c>
      <c r="N423" t="n">
        <v>0</v>
      </c>
      <c r="O423" t="n">
        <v>0</v>
      </c>
      <c r="P423" t="n">
        <v>0</v>
      </c>
      <c r="Q423" t="n">
        <v>0</v>
      </c>
      <c r="R423" s="2" t="inlineStr"/>
    </row>
    <row r="424" ht="15" customHeight="1">
      <c r="A424" t="inlineStr">
        <is>
          <t>A 52729-2025</t>
        </is>
      </c>
      <c r="B424" s="1" t="n">
        <v>45957.3636574074</v>
      </c>
      <c r="C424" s="1" t="n">
        <v>46184</v>
      </c>
      <c r="D424" t="inlineStr">
        <is>
          <t>STOCKHOLMS LÄN</t>
        </is>
      </c>
      <c r="E424" t="inlineStr">
        <is>
          <t>NORRTÄLJE</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45697-2025</t>
        </is>
      </c>
      <c r="B425" s="1" t="n">
        <v>45923.39877314815</v>
      </c>
      <c r="C425" s="1" t="n">
        <v>46184</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21726-2022</t>
        </is>
      </c>
      <c r="B426" s="1" t="n">
        <v>44708</v>
      </c>
      <c r="C426" s="1" t="n">
        <v>46184</v>
      </c>
      <c r="D426" t="inlineStr">
        <is>
          <t>STOCKHOLMS LÄN</t>
        </is>
      </c>
      <c r="E426" t="inlineStr">
        <is>
          <t>NORRTÄLJE</t>
        </is>
      </c>
      <c r="G426" t="n">
        <v>0.2</v>
      </c>
      <c r="H426" t="n">
        <v>0</v>
      </c>
      <c r="I426" t="n">
        <v>0</v>
      </c>
      <c r="J426" t="n">
        <v>0</v>
      </c>
      <c r="K426" t="n">
        <v>0</v>
      </c>
      <c r="L426" t="n">
        <v>0</v>
      </c>
      <c r="M426" t="n">
        <v>0</v>
      </c>
      <c r="N426" t="n">
        <v>0</v>
      </c>
      <c r="O426" t="n">
        <v>0</v>
      </c>
      <c r="P426" t="n">
        <v>0</v>
      </c>
      <c r="Q426" t="n">
        <v>0</v>
      </c>
      <c r="R426" s="2" t="inlineStr"/>
    </row>
    <row r="427" ht="15" customHeight="1">
      <c r="A427" t="inlineStr">
        <is>
          <t>A 21739-2022</t>
        </is>
      </c>
      <c r="B427" s="1" t="n">
        <v>44708.36708333333</v>
      </c>
      <c r="C427" s="1" t="n">
        <v>46184</v>
      </c>
      <c r="D427" t="inlineStr">
        <is>
          <t>STOCKHOLMS LÄN</t>
        </is>
      </c>
      <c r="E427" t="inlineStr">
        <is>
          <t>NORRTÄLJE</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27821-2025</t>
        </is>
      </c>
      <c r="B428" s="1" t="n">
        <v>45817.34083333334</v>
      </c>
      <c r="C428" s="1" t="n">
        <v>46184</v>
      </c>
      <c r="D428" t="inlineStr">
        <is>
          <t>STOCKHOLMS LÄN</t>
        </is>
      </c>
      <c r="E428" t="inlineStr">
        <is>
          <t>NORRTÄLJE</t>
        </is>
      </c>
      <c r="G428" t="n">
        <v>3.2</v>
      </c>
      <c r="H428" t="n">
        <v>0</v>
      </c>
      <c r="I428" t="n">
        <v>0</v>
      </c>
      <c r="J428" t="n">
        <v>0</v>
      </c>
      <c r="K428" t="n">
        <v>0</v>
      </c>
      <c r="L428" t="n">
        <v>0</v>
      </c>
      <c r="M428" t="n">
        <v>0</v>
      </c>
      <c r="N428" t="n">
        <v>0</v>
      </c>
      <c r="O428" t="n">
        <v>0</v>
      </c>
      <c r="P428" t="n">
        <v>0</v>
      </c>
      <c r="Q428" t="n">
        <v>0</v>
      </c>
      <c r="R428" s="2" t="inlineStr"/>
    </row>
    <row r="429" ht="15" customHeight="1">
      <c r="A429" t="inlineStr">
        <is>
          <t>A 35210-2023</t>
        </is>
      </c>
      <c r="B429" s="1" t="n">
        <v>45145.63584490741</v>
      </c>
      <c r="C429" s="1" t="n">
        <v>46184</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52734-2025</t>
        </is>
      </c>
      <c r="B430" s="1" t="n">
        <v>45957.3710300926</v>
      </c>
      <c r="C430" s="1" t="n">
        <v>46184</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15528-2025</t>
        </is>
      </c>
      <c r="B431" s="1" t="n">
        <v>45747.63471064815</v>
      </c>
      <c r="C431" s="1" t="n">
        <v>46184</v>
      </c>
      <c r="D431" t="inlineStr">
        <is>
          <t>STOCKHOLMS LÄN</t>
        </is>
      </c>
      <c r="E431" t="inlineStr">
        <is>
          <t>NORRTÄLJE</t>
        </is>
      </c>
      <c r="G431" t="n">
        <v>10</v>
      </c>
      <c r="H431" t="n">
        <v>0</v>
      </c>
      <c r="I431" t="n">
        <v>0</v>
      </c>
      <c r="J431" t="n">
        <v>0</v>
      </c>
      <c r="K431" t="n">
        <v>0</v>
      </c>
      <c r="L431" t="n">
        <v>0</v>
      </c>
      <c r="M431" t="n">
        <v>0</v>
      </c>
      <c r="N431" t="n">
        <v>0</v>
      </c>
      <c r="O431" t="n">
        <v>0</v>
      </c>
      <c r="P431" t="n">
        <v>0</v>
      </c>
      <c r="Q431" t="n">
        <v>0</v>
      </c>
      <c r="R431" s="2" t="inlineStr"/>
    </row>
    <row r="432" ht="15" customHeight="1">
      <c r="A432" t="inlineStr">
        <is>
          <t>A 11901-2024</t>
        </is>
      </c>
      <c r="B432" s="1" t="n">
        <v>45376.55638888889</v>
      </c>
      <c r="C432" s="1" t="n">
        <v>46184</v>
      </c>
      <c r="D432" t="inlineStr">
        <is>
          <t>STOCKHOLMS LÄN</t>
        </is>
      </c>
      <c r="E432" t="inlineStr">
        <is>
          <t>NORRTÄLJE</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59767-2022</t>
        </is>
      </c>
      <c r="B433" s="1" t="n">
        <v>44900</v>
      </c>
      <c r="C433" s="1" t="n">
        <v>46184</v>
      </c>
      <c r="D433" t="inlineStr">
        <is>
          <t>STOCKHOLMS LÄN</t>
        </is>
      </c>
      <c r="E433" t="inlineStr">
        <is>
          <t>NORRTÄLJE</t>
        </is>
      </c>
      <c r="G433" t="n">
        <v>2.2</v>
      </c>
      <c r="H433" t="n">
        <v>0</v>
      </c>
      <c r="I433" t="n">
        <v>0</v>
      </c>
      <c r="J433" t="n">
        <v>0</v>
      </c>
      <c r="K433" t="n">
        <v>0</v>
      </c>
      <c r="L433" t="n">
        <v>0</v>
      </c>
      <c r="M433" t="n">
        <v>0</v>
      </c>
      <c r="N433" t="n">
        <v>0</v>
      </c>
      <c r="O433" t="n">
        <v>0</v>
      </c>
      <c r="P433" t="n">
        <v>0</v>
      </c>
      <c r="Q433" t="n">
        <v>0</v>
      </c>
      <c r="R433" s="2" t="inlineStr"/>
    </row>
    <row r="434" ht="15" customHeight="1">
      <c r="A434" t="inlineStr">
        <is>
          <t>A 5823-2023</t>
        </is>
      </c>
      <c r="B434" s="1" t="n">
        <v>44963</v>
      </c>
      <c r="C434" s="1" t="n">
        <v>46184</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19915-2024</t>
        </is>
      </c>
      <c r="B435" s="1" t="n">
        <v>45433.58431712963</v>
      </c>
      <c r="C435" s="1" t="n">
        <v>46184</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52776-2025</t>
        </is>
      </c>
      <c r="B436" s="1" t="n">
        <v>45957.41724537037</v>
      </c>
      <c r="C436" s="1" t="n">
        <v>46184</v>
      </c>
      <c r="D436" t="inlineStr">
        <is>
          <t>STOCKHOLMS LÄN</t>
        </is>
      </c>
      <c r="E436" t="inlineStr">
        <is>
          <t>NORRTÄLJE</t>
        </is>
      </c>
      <c r="F436" t="inlineStr">
        <is>
          <t>Sveaskog</t>
        </is>
      </c>
      <c r="G436" t="n">
        <v>2.5</v>
      </c>
      <c r="H436" t="n">
        <v>0</v>
      </c>
      <c r="I436" t="n">
        <v>0</v>
      </c>
      <c r="J436" t="n">
        <v>0</v>
      </c>
      <c r="K436" t="n">
        <v>0</v>
      </c>
      <c r="L436" t="n">
        <v>0</v>
      </c>
      <c r="M436" t="n">
        <v>0</v>
      </c>
      <c r="N436" t="n">
        <v>0</v>
      </c>
      <c r="O436" t="n">
        <v>0</v>
      </c>
      <c r="P436" t="n">
        <v>0</v>
      </c>
      <c r="Q436" t="n">
        <v>0</v>
      </c>
      <c r="R436" s="2" t="inlineStr"/>
    </row>
    <row r="437" ht="15" customHeight="1">
      <c r="A437" t="inlineStr">
        <is>
          <t>A 29176-2024</t>
        </is>
      </c>
      <c r="B437" s="1" t="n">
        <v>45482.53388888889</v>
      </c>
      <c r="C437" s="1" t="n">
        <v>46184</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36430-2024</t>
        </is>
      </c>
      <c r="B438" s="1" t="n">
        <v>45536</v>
      </c>
      <c r="C438" s="1" t="n">
        <v>46184</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51312-2023</t>
        </is>
      </c>
      <c r="B439" s="1" t="n">
        <v>45219.56697916667</v>
      </c>
      <c r="C439" s="1" t="n">
        <v>46184</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35640-2024</t>
        </is>
      </c>
      <c r="B440" s="1" t="n">
        <v>45531</v>
      </c>
      <c r="C440" s="1" t="n">
        <v>46184</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35256-2025</t>
        </is>
      </c>
      <c r="B441" s="1" t="n">
        <v>45853</v>
      </c>
      <c r="C441" s="1" t="n">
        <v>46184</v>
      </c>
      <c r="D441" t="inlineStr">
        <is>
          <t>STOCKHOLMS LÄN</t>
        </is>
      </c>
      <c r="E441" t="inlineStr">
        <is>
          <t>NORRTÄLJE</t>
        </is>
      </c>
      <c r="G441" t="n">
        <v>6.4</v>
      </c>
      <c r="H441" t="n">
        <v>0</v>
      </c>
      <c r="I441" t="n">
        <v>0</v>
      </c>
      <c r="J441" t="n">
        <v>0</v>
      </c>
      <c r="K441" t="n">
        <v>0</v>
      </c>
      <c r="L441" t="n">
        <v>0</v>
      </c>
      <c r="M441" t="n">
        <v>0</v>
      </c>
      <c r="N441" t="n">
        <v>0</v>
      </c>
      <c r="O441" t="n">
        <v>0</v>
      </c>
      <c r="P441" t="n">
        <v>0</v>
      </c>
      <c r="Q441" t="n">
        <v>0</v>
      </c>
      <c r="R441" s="2" t="inlineStr"/>
    </row>
    <row r="442" ht="15" customHeight="1">
      <c r="A442" t="inlineStr">
        <is>
          <t>A 43212-2022</t>
        </is>
      </c>
      <c r="B442" s="1" t="n">
        <v>44834.38636574074</v>
      </c>
      <c r="C442" s="1" t="n">
        <v>46184</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51653-2022</t>
        </is>
      </c>
      <c r="B443" s="1" t="n">
        <v>44867</v>
      </c>
      <c r="C443" s="1" t="n">
        <v>46184</v>
      </c>
      <c r="D443" t="inlineStr">
        <is>
          <t>STOCKHOLMS LÄN</t>
        </is>
      </c>
      <c r="E443" t="inlineStr">
        <is>
          <t>NORRTÄLJE</t>
        </is>
      </c>
      <c r="G443" t="n">
        <v>6.6</v>
      </c>
      <c r="H443" t="n">
        <v>0</v>
      </c>
      <c r="I443" t="n">
        <v>0</v>
      </c>
      <c r="J443" t="n">
        <v>0</v>
      </c>
      <c r="K443" t="n">
        <v>0</v>
      </c>
      <c r="L443" t="n">
        <v>0</v>
      </c>
      <c r="M443" t="n">
        <v>0</v>
      </c>
      <c r="N443" t="n">
        <v>0</v>
      </c>
      <c r="O443" t="n">
        <v>0</v>
      </c>
      <c r="P443" t="n">
        <v>0</v>
      </c>
      <c r="Q443" t="n">
        <v>0</v>
      </c>
      <c r="R443" s="2" t="inlineStr"/>
    </row>
    <row r="444" ht="15" customHeight="1">
      <c r="A444" t="inlineStr">
        <is>
          <t>A 29250-2025</t>
        </is>
      </c>
      <c r="B444" s="1" t="n">
        <v>45824.37275462963</v>
      </c>
      <c r="C444" s="1" t="n">
        <v>46184</v>
      </c>
      <c r="D444" t="inlineStr">
        <is>
          <t>STOCKHOLMS LÄN</t>
        </is>
      </c>
      <c r="E444" t="inlineStr">
        <is>
          <t>NORRTÄLJE</t>
        </is>
      </c>
      <c r="F444" t="inlineStr">
        <is>
          <t>Sveaskog</t>
        </is>
      </c>
      <c r="G444" t="n">
        <v>6.4</v>
      </c>
      <c r="H444" t="n">
        <v>0</v>
      </c>
      <c r="I444" t="n">
        <v>0</v>
      </c>
      <c r="J444" t="n">
        <v>0</v>
      </c>
      <c r="K444" t="n">
        <v>0</v>
      </c>
      <c r="L444" t="n">
        <v>0</v>
      </c>
      <c r="M444" t="n">
        <v>0</v>
      </c>
      <c r="N444" t="n">
        <v>0</v>
      </c>
      <c r="O444" t="n">
        <v>0</v>
      </c>
      <c r="P444" t="n">
        <v>0</v>
      </c>
      <c r="Q444" t="n">
        <v>0</v>
      </c>
      <c r="R444" s="2" t="inlineStr"/>
    </row>
    <row r="445" ht="15" customHeight="1">
      <c r="A445" t="inlineStr">
        <is>
          <t>A 4322-2023</t>
        </is>
      </c>
      <c r="B445" s="1" t="n">
        <v>44953.69298611111</v>
      </c>
      <c r="C445" s="1" t="n">
        <v>46184</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52529-2025</t>
        </is>
      </c>
      <c r="B446" s="1" t="n">
        <v>45954.53229166667</v>
      </c>
      <c r="C446" s="1" t="n">
        <v>46184</v>
      </c>
      <c r="D446" t="inlineStr">
        <is>
          <t>STOCKHOLMS LÄN</t>
        </is>
      </c>
      <c r="E446" t="inlineStr">
        <is>
          <t>NORRTÄLJE</t>
        </is>
      </c>
      <c r="F446" t="inlineStr">
        <is>
          <t>Sveaskog</t>
        </is>
      </c>
      <c r="G446" t="n">
        <v>7.8</v>
      </c>
      <c r="H446" t="n">
        <v>0</v>
      </c>
      <c r="I446" t="n">
        <v>0</v>
      </c>
      <c r="J446" t="n">
        <v>0</v>
      </c>
      <c r="K446" t="n">
        <v>0</v>
      </c>
      <c r="L446" t="n">
        <v>0</v>
      </c>
      <c r="M446" t="n">
        <v>0</v>
      </c>
      <c r="N446" t="n">
        <v>0</v>
      </c>
      <c r="O446" t="n">
        <v>0</v>
      </c>
      <c r="P446" t="n">
        <v>0</v>
      </c>
      <c r="Q446" t="n">
        <v>0</v>
      </c>
      <c r="R446" s="2" t="inlineStr"/>
    </row>
    <row r="447" ht="15" customHeight="1">
      <c r="A447" t="inlineStr">
        <is>
          <t>A 52704-2025</t>
        </is>
      </c>
      <c r="B447" s="1" t="n">
        <v>45956.89097222222</v>
      </c>
      <c r="C447" s="1" t="n">
        <v>46184</v>
      </c>
      <c r="D447" t="inlineStr">
        <is>
          <t>STOCKHOLMS LÄN</t>
        </is>
      </c>
      <c r="E447" t="inlineStr">
        <is>
          <t>NORRTÄLJE</t>
        </is>
      </c>
      <c r="G447" t="n">
        <v>2.3</v>
      </c>
      <c r="H447" t="n">
        <v>0</v>
      </c>
      <c r="I447" t="n">
        <v>0</v>
      </c>
      <c r="J447" t="n">
        <v>0</v>
      </c>
      <c r="K447" t="n">
        <v>0</v>
      </c>
      <c r="L447" t="n">
        <v>0</v>
      </c>
      <c r="M447" t="n">
        <v>0</v>
      </c>
      <c r="N447" t="n">
        <v>0</v>
      </c>
      <c r="O447" t="n">
        <v>0</v>
      </c>
      <c r="P447" t="n">
        <v>0</v>
      </c>
      <c r="Q447" t="n">
        <v>0</v>
      </c>
      <c r="R447" s="2" t="inlineStr"/>
    </row>
    <row r="448" ht="15" customHeight="1">
      <c r="A448" t="inlineStr">
        <is>
          <t>A 52553-2025</t>
        </is>
      </c>
      <c r="B448" s="1" t="n">
        <v>45954.5624537037</v>
      </c>
      <c r="C448" s="1" t="n">
        <v>46184</v>
      </c>
      <c r="D448" t="inlineStr">
        <is>
          <t>STOCKHOLMS LÄN</t>
        </is>
      </c>
      <c r="E448" t="inlineStr">
        <is>
          <t>NORRTÄLJE</t>
        </is>
      </c>
      <c r="G448" t="n">
        <v>4.4</v>
      </c>
      <c r="H448" t="n">
        <v>0</v>
      </c>
      <c r="I448" t="n">
        <v>0</v>
      </c>
      <c r="J448" t="n">
        <v>0</v>
      </c>
      <c r="K448" t="n">
        <v>0</v>
      </c>
      <c r="L448" t="n">
        <v>0</v>
      </c>
      <c r="M448" t="n">
        <v>0</v>
      </c>
      <c r="N448" t="n">
        <v>0</v>
      </c>
      <c r="O448" t="n">
        <v>0</v>
      </c>
      <c r="P448" t="n">
        <v>0</v>
      </c>
      <c r="Q448" t="n">
        <v>0</v>
      </c>
      <c r="R448" s="2" t="inlineStr"/>
    </row>
    <row r="449" ht="15" customHeight="1">
      <c r="A449" t="inlineStr">
        <is>
          <t>A 38990-2022</t>
        </is>
      </c>
      <c r="B449" s="1" t="n">
        <v>44816</v>
      </c>
      <c r="C449" s="1" t="n">
        <v>46184</v>
      </c>
      <c r="D449" t="inlineStr">
        <is>
          <t>STOCKHOLMS LÄN</t>
        </is>
      </c>
      <c r="E449" t="inlineStr">
        <is>
          <t>NORRTÄLJE</t>
        </is>
      </c>
      <c r="G449" t="n">
        <v>5.7</v>
      </c>
      <c r="H449" t="n">
        <v>0</v>
      </c>
      <c r="I449" t="n">
        <v>0</v>
      </c>
      <c r="J449" t="n">
        <v>0</v>
      </c>
      <c r="K449" t="n">
        <v>0</v>
      </c>
      <c r="L449" t="n">
        <v>0</v>
      </c>
      <c r="M449" t="n">
        <v>0</v>
      </c>
      <c r="N449" t="n">
        <v>0</v>
      </c>
      <c r="O449" t="n">
        <v>0</v>
      </c>
      <c r="P449" t="n">
        <v>0</v>
      </c>
      <c r="Q449" t="n">
        <v>0</v>
      </c>
      <c r="R449" s="2" t="inlineStr"/>
    </row>
    <row r="450" ht="15" customHeight="1">
      <c r="A450" t="inlineStr">
        <is>
          <t>A 47498-2025</t>
        </is>
      </c>
      <c r="B450" s="1" t="n">
        <v>45930.8134375</v>
      </c>
      <c r="C450" s="1" t="n">
        <v>46184</v>
      </c>
      <c r="D450" t="inlineStr">
        <is>
          <t>STOCKHOLMS LÄN</t>
        </is>
      </c>
      <c r="E450" t="inlineStr">
        <is>
          <t>NORRTÄLJE</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47496-2025</t>
        </is>
      </c>
      <c r="B451" s="1" t="n">
        <v>45930.79252314815</v>
      </c>
      <c r="C451" s="1" t="n">
        <v>46184</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47497-2025</t>
        </is>
      </c>
      <c r="B452" s="1" t="n">
        <v>45930.80217592593</v>
      </c>
      <c r="C452" s="1" t="n">
        <v>46184</v>
      </c>
      <c r="D452" t="inlineStr">
        <is>
          <t>STOCKHOLMS LÄN</t>
        </is>
      </c>
      <c r="E452" t="inlineStr">
        <is>
          <t>NORRTÄLJE</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17956-2025</t>
        </is>
      </c>
      <c r="B453" s="1" t="n">
        <v>45760.91174768518</v>
      </c>
      <c r="C453" s="1" t="n">
        <v>46184</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875-2023</t>
        </is>
      </c>
      <c r="B454" s="1" t="n">
        <v>44931.65626157408</v>
      </c>
      <c r="C454" s="1" t="n">
        <v>46184</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31236-2022</t>
        </is>
      </c>
      <c r="B455" s="1" t="n">
        <v>44771</v>
      </c>
      <c r="C455" s="1" t="n">
        <v>46184</v>
      </c>
      <c r="D455" t="inlineStr">
        <is>
          <t>STOCKHOLMS LÄN</t>
        </is>
      </c>
      <c r="E455" t="inlineStr">
        <is>
          <t>NORRTÄLJE</t>
        </is>
      </c>
      <c r="G455" t="n">
        <v>1.7</v>
      </c>
      <c r="H455" t="n">
        <v>0</v>
      </c>
      <c r="I455" t="n">
        <v>0</v>
      </c>
      <c r="J455" t="n">
        <v>0</v>
      </c>
      <c r="K455" t="n">
        <v>0</v>
      </c>
      <c r="L455" t="n">
        <v>0</v>
      </c>
      <c r="M455" t="n">
        <v>0</v>
      </c>
      <c r="N455" t="n">
        <v>0</v>
      </c>
      <c r="O455" t="n">
        <v>0</v>
      </c>
      <c r="P455" t="n">
        <v>0</v>
      </c>
      <c r="Q455" t="n">
        <v>0</v>
      </c>
      <c r="R455" s="2" t="inlineStr"/>
    </row>
    <row r="456" ht="15" customHeight="1">
      <c r="A456" t="inlineStr">
        <is>
          <t>A 30639-2025</t>
        </is>
      </c>
      <c r="B456" s="1" t="n">
        <v>45831.4844212963</v>
      </c>
      <c r="C456" s="1" t="n">
        <v>46184</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30668-2025</t>
        </is>
      </c>
      <c r="B457" s="1" t="n">
        <v>45831.51659722222</v>
      </c>
      <c r="C457" s="1" t="n">
        <v>46184</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18665-2022</t>
        </is>
      </c>
      <c r="B458" s="1" t="n">
        <v>44687</v>
      </c>
      <c r="C458" s="1" t="n">
        <v>46184</v>
      </c>
      <c r="D458" t="inlineStr">
        <is>
          <t>STOCKHOLMS LÄN</t>
        </is>
      </c>
      <c r="E458" t="inlineStr">
        <is>
          <t>NORRTÄLJE</t>
        </is>
      </c>
      <c r="F458" t="inlineStr">
        <is>
          <t>Kyrkan</t>
        </is>
      </c>
      <c r="G458" t="n">
        <v>1.1</v>
      </c>
      <c r="H458" t="n">
        <v>0</v>
      </c>
      <c r="I458" t="n">
        <v>0</v>
      </c>
      <c r="J458" t="n">
        <v>0</v>
      </c>
      <c r="K458" t="n">
        <v>0</v>
      </c>
      <c r="L458" t="n">
        <v>0</v>
      </c>
      <c r="M458" t="n">
        <v>0</v>
      </c>
      <c r="N458" t="n">
        <v>0</v>
      </c>
      <c r="O458" t="n">
        <v>0</v>
      </c>
      <c r="P458" t="n">
        <v>0</v>
      </c>
      <c r="Q458" t="n">
        <v>0</v>
      </c>
      <c r="R458" s="2" t="inlineStr"/>
    </row>
    <row r="459" ht="15" customHeight="1">
      <c r="A459" t="inlineStr">
        <is>
          <t>A 31880-2025</t>
        </is>
      </c>
      <c r="B459" s="1" t="n">
        <v>45834.65538194445</v>
      </c>
      <c r="C459" s="1" t="n">
        <v>46184</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53087-2025</t>
        </is>
      </c>
      <c r="B460" s="1" t="n">
        <v>45958.41065972222</v>
      </c>
      <c r="C460" s="1" t="n">
        <v>46184</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53629-2025</t>
        </is>
      </c>
      <c r="B461" s="1" t="n">
        <v>45960.49570601852</v>
      </c>
      <c r="C461" s="1" t="n">
        <v>46184</v>
      </c>
      <c r="D461" t="inlineStr">
        <is>
          <t>STOCKHOLMS LÄN</t>
        </is>
      </c>
      <c r="E461" t="inlineStr">
        <is>
          <t>NORRTÄLJE</t>
        </is>
      </c>
      <c r="F461" t="inlineStr">
        <is>
          <t>Naturvårdsverket</t>
        </is>
      </c>
      <c r="G461" t="n">
        <v>7.9</v>
      </c>
      <c r="H461" t="n">
        <v>0</v>
      </c>
      <c r="I461" t="n">
        <v>0</v>
      </c>
      <c r="J461" t="n">
        <v>0</v>
      </c>
      <c r="K461" t="n">
        <v>0</v>
      </c>
      <c r="L461" t="n">
        <v>0</v>
      </c>
      <c r="M461" t="n">
        <v>0</v>
      </c>
      <c r="N461" t="n">
        <v>0</v>
      </c>
      <c r="O461" t="n">
        <v>0</v>
      </c>
      <c r="P461" t="n">
        <v>0</v>
      </c>
      <c r="Q461" t="n">
        <v>0</v>
      </c>
      <c r="R461" s="2" t="inlineStr"/>
    </row>
    <row r="462" ht="15" customHeight="1">
      <c r="A462" t="inlineStr">
        <is>
          <t>A 58302-2022</t>
        </is>
      </c>
      <c r="B462" s="1" t="n">
        <v>44901</v>
      </c>
      <c r="C462" s="1" t="n">
        <v>46184</v>
      </c>
      <c r="D462" t="inlineStr">
        <is>
          <t>STOCKHOLMS LÄN</t>
        </is>
      </c>
      <c r="E462" t="inlineStr">
        <is>
          <t>NORRTÄLJE</t>
        </is>
      </c>
      <c r="G462" t="n">
        <v>3.9</v>
      </c>
      <c r="H462" t="n">
        <v>0</v>
      </c>
      <c r="I462" t="n">
        <v>0</v>
      </c>
      <c r="J462" t="n">
        <v>0</v>
      </c>
      <c r="K462" t="n">
        <v>0</v>
      </c>
      <c r="L462" t="n">
        <v>0</v>
      </c>
      <c r="M462" t="n">
        <v>0</v>
      </c>
      <c r="N462" t="n">
        <v>0</v>
      </c>
      <c r="O462" t="n">
        <v>0</v>
      </c>
      <c r="P462" t="n">
        <v>0</v>
      </c>
      <c r="Q462" t="n">
        <v>0</v>
      </c>
      <c r="R462" s="2" t="inlineStr"/>
    </row>
    <row r="463" ht="15" customHeight="1">
      <c r="A463" t="inlineStr">
        <is>
          <t>A 31868-2025</t>
        </is>
      </c>
      <c r="B463" s="1" t="n">
        <v>45834.6447337963</v>
      </c>
      <c r="C463" s="1" t="n">
        <v>46184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53747-2025</t>
        </is>
      </c>
      <c r="B464" s="1" t="n">
        <v>45960.65415509259</v>
      </c>
      <c r="C464" s="1" t="n">
        <v>46184</v>
      </c>
      <c r="D464" t="inlineStr">
        <is>
          <t>STOCKHOLMS LÄN</t>
        </is>
      </c>
      <c r="E464" t="inlineStr">
        <is>
          <t>NORRTÄLJE</t>
        </is>
      </c>
      <c r="G464" t="n">
        <v>1.8</v>
      </c>
      <c r="H464" t="n">
        <v>0</v>
      </c>
      <c r="I464" t="n">
        <v>0</v>
      </c>
      <c r="J464" t="n">
        <v>0</v>
      </c>
      <c r="K464" t="n">
        <v>0</v>
      </c>
      <c r="L464" t="n">
        <v>0</v>
      </c>
      <c r="M464" t="n">
        <v>0</v>
      </c>
      <c r="N464" t="n">
        <v>0</v>
      </c>
      <c r="O464" t="n">
        <v>0</v>
      </c>
      <c r="P464" t="n">
        <v>0</v>
      </c>
      <c r="Q464" t="n">
        <v>0</v>
      </c>
      <c r="R464" s="2" t="inlineStr"/>
    </row>
    <row r="465" ht="15" customHeight="1">
      <c r="A465" t="inlineStr">
        <is>
          <t>A 38591-2023</t>
        </is>
      </c>
      <c r="B465" s="1" t="n">
        <v>45162</v>
      </c>
      <c r="C465" s="1" t="n">
        <v>46184</v>
      </c>
      <c r="D465" t="inlineStr">
        <is>
          <t>STOCKHOLMS LÄN</t>
        </is>
      </c>
      <c r="E465" t="inlineStr">
        <is>
          <t>NORRTÄLJE</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32283-2025</t>
        </is>
      </c>
      <c r="B466" s="1" t="n">
        <v>45835.68076388889</v>
      </c>
      <c r="C466" s="1" t="n">
        <v>46184</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30338-2022</t>
        </is>
      </c>
      <c r="B467" s="1" t="n">
        <v>44760</v>
      </c>
      <c r="C467" s="1" t="n">
        <v>46184</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2888-2022</t>
        </is>
      </c>
      <c r="B468" s="1" t="n">
        <v>44581</v>
      </c>
      <c r="C468" s="1" t="n">
        <v>46184</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31874-2025</t>
        </is>
      </c>
      <c r="B469" s="1" t="n">
        <v>45834</v>
      </c>
      <c r="C469" s="1" t="n">
        <v>46184</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52686-2024</t>
        </is>
      </c>
      <c r="B470" s="1" t="n">
        <v>45610.39271990741</v>
      </c>
      <c r="C470" s="1" t="n">
        <v>46184</v>
      </c>
      <c r="D470" t="inlineStr">
        <is>
          <t>STOCKHOLMS LÄN</t>
        </is>
      </c>
      <c r="E470" t="inlineStr">
        <is>
          <t>NORRTÄLJE</t>
        </is>
      </c>
      <c r="G470" t="n">
        <v>5.7</v>
      </c>
      <c r="H470" t="n">
        <v>0</v>
      </c>
      <c r="I470" t="n">
        <v>0</v>
      </c>
      <c r="J470" t="n">
        <v>0</v>
      </c>
      <c r="K470" t="n">
        <v>0</v>
      </c>
      <c r="L470" t="n">
        <v>0</v>
      </c>
      <c r="M470" t="n">
        <v>0</v>
      </c>
      <c r="N470" t="n">
        <v>0</v>
      </c>
      <c r="O470" t="n">
        <v>0</v>
      </c>
      <c r="P470" t="n">
        <v>0</v>
      </c>
      <c r="Q470" t="n">
        <v>0</v>
      </c>
      <c r="R470" s="2" t="inlineStr"/>
    </row>
    <row r="471" ht="15" customHeight="1">
      <c r="A471" t="inlineStr">
        <is>
          <t>A 9765-2024</t>
        </is>
      </c>
      <c r="B471" s="1" t="n">
        <v>45362.62811342593</v>
      </c>
      <c r="C471" s="1" t="n">
        <v>46184</v>
      </c>
      <c r="D471" t="inlineStr">
        <is>
          <t>STOCKHOLMS LÄN</t>
        </is>
      </c>
      <c r="E471" t="inlineStr">
        <is>
          <t>NORRTÄLJE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59875-2024</t>
        </is>
      </c>
      <c r="B472" s="1" t="n">
        <v>45640.58716435185</v>
      </c>
      <c r="C472" s="1" t="n">
        <v>46184</v>
      </c>
      <c r="D472" t="inlineStr">
        <is>
          <t>STOCKHOLMS LÄN</t>
        </is>
      </c>
      <c r="E472" t="inlineStr">
        <is>
          <t>NORRTÄLJE</t>
        </is>
      </c>
      <c r="G472" t="n">
        <v>0.3</v>
      </c>
      <c r="H472" t="n">
        <v>0</v>
      </c>
      <c r="I472" t="n">
        <v>0</v>
      </c>
      <c r="J472" t="n">
        <v>0</v>
      </c>
      <c r="K472" t="n">
        <v>0</v>
      </c>
      <c r="L472" t="n">
        <v>0</v>
      </c>
      <c r="M472" t="n">
        <v>0</v>
      </c>
      <c r="N472" t="n">
        <v>0</v>
      </c>
      <c r="O472" t="n">
        <v>0</v>
      </c>
      <c r="P472" t="n">
        <v>0</v>
      </c>
      <c r="Q472" t="n">
        <v>0</v>
      </c>
      <c r="R472" s="2" t="inlineStr"/>
    </row>
    <row r="473" ht="15" customHeight="1">
      <c r="A473" t="inlineStr">
        <is>
          <t>A 32480-2025</t>
        </is>
      </c>
      <c r="B473" s="1" t="n">
        <v>45838.43261574074</v>
      </c>
      <c r="C473" s="1" t="n">
        <v>46184</v>
      </c>
      <c r="D473" t="inlineStr">
        <is>
          <t>STOCKHOLMS LÄN</t>
        </is>
      </c>
      <c r="E473" t="inlineStr">
        <is>
          <t>NORRTÄLJE</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32872-2025</t>
        </is>
      </c>
      <c r="B474" s="1" t="n">
        <v>45839</v>
      </c>
      <c r="C474" s="1" t="n">
        <v>46184</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11-2024</t>
        </is>
      </c>
      <c r="B475" s="1" t="n">
        <v>45293</v>
      </c>
      <c r="C475" s="1" t="n">
        <v>46184</v>
      </c>
      <c r="D475" t="inlineStr">
        <is>
          <t>STOCKHOLMS LÄN</t>
        </is>
      </c>
      <c r="E475" t="inlineStr">
        <is>
          <t>NORRTÄLJE</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14559-2024</t>
        </is>
      </c>
      <c r="B476" s="1" t="n">
        <v>45394.72869212963</v>
      </c>
      <c r="C476" s="1" t="n">
        <v>46184</v>
      </c>
      <c r="D476" t="inlineStr">
        <is>
          <t>STOCKHOLMS LÄN</t>
        </is>
      </c>
      <c r="E476" t="inlineStr">
        <is>
          <t>NORRTÄLJE</t>
        </is>
      </c>
      <c r="G476" t="n">
        <v>4.2</v>
      </c>
      <c r="H476" t="n">
        <v>0</v>
      </c>
      <c r="I476" t="n">
        <v>0</v>
      </c>
      <c r="J476" t="n">
        <v>0</v>
      </c>
      <c r="K476" t="n">
        <v>0</v>
      </c>
      <c r="L476" t="n">
        <v>0</v>
      </c>
      <c r="M476" t="n">
        <v>0</v>
      </c>
      <c r="N476" t="n">
        <v>0</v>
      </c>
      <c r="O476" t="n">
        <v>0</v>
      </c>
      <c r="P476" t="n">
        <v>0</v>
      </c>
      <c r="Q476" t="n">
        <v>0</v>
      </c>
      <c r="R476" s="2" t="inlineStr"/>
    </row>
    <row r="477" ht="15" customHeight="1">
      <c r="A477" t="inlineStr">
        <is>
          <t>A 8433-2022</t>
        </is>
      </c>
      <c r="B477" s="1" t="n">
        <v>44611</v>
      </c>
      <c r="C477" s="1" t="n">
        <v>46184</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25525-2022</t>
        </is>
      </c>
      <c r="B478" s="1" t="n">
        <v>44732</v>
      </c>
      <c r="C478" s="1" t="n">
        <v>46184</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38889-2024</t>
        </is>
      </c>
      <c r="B479" s="1" t="n">
        <v>45547</v>
      </c>
      <c r="C479" s="1" t="n">
        <v>46184</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45451-2024</t>
        </is>
      </c>
      <c r="B480" s="1" t="n">
        <v>45576</v>
      </c>
      <c r="C480" s="1" t="n">
        <v>46184</v>
      </c>
      <c r="D480" t="inlineStr">
        <is>
          <t>STOCKHOLMS LÄN</t>
        </is>
      </c>
      <c r="E480" t="inlineStr">
        <is>
          <t>NORRTÄLJE</t>
        </is>
      </c>
      <c r="G480" t="n">
        <v>1.3</v>
      </c>
      <c r="H480" t="n">
        <v>0</v>
      </c>
      <c r="I480" t="n">
        <v>0</v>
      </c>
      <c r="J480" t="n">
        <v>0</v>
      </c>
      <c r="K480" t="n">
        <v>0</v>
      </c>
      <c r="L480" t="n">
        <v>0</v>
      </c>
      <c r="M480" t="n">
        <v>0</v>
      </c>
      <c r="N480" t="n">
        <v>0</v>
      </c>
      <c r="O480" t="n">
        <v>0</v>
      </c>
      <c r="P480" t="n">
        <v>0</v>
      </c>
      <c r="Q480" t="n">
        <v>0</v>
      </c>
      <c r="R480" s="2" t="inlineStr"/>
    </row>
    <row r="481" ht="15" customHeight="1">
      <c r="A481" t="inlineStr">
        <is>
          <t>A 33211-2025</t>
        </is>
      </c>
      <c r="B481" s="1" t="n">
        <v>45840.62755787037</v>
      </c>
      <c r="C481" s="1" t="n">
        <v>46184</v>
      </c>
      <c r="D481" t="inlineStr">
        <is>
          <t>STOCKHOLMS LÄN</t>
        </is>
      </c>
      <c r="E481" t="inlineStr">
        <is>
          <t>NORRTÄLJE</t>
        </is>
      </c>
      <c r="G481" t="n">
        <v>5.1</v>
      </c>
      <c r="H481" t="n">
        <v>0</v>
      </c>
      <c r="I481" t="n">
        <v>0</v>
      </c>
      <c r="J481" t="n">
        <v>0</v>
      </c>
      <c r="K481" t="n">
        <v>0</v>
      </c>
      <c r="L481" t="n">
        <v>0</v>
      </c>
      <c r="M481" t="n">
        <v>0</v>
      </c>
      <c r="N481" t="n">
        <v>0</v>
      </c>
      <c r="O481" t="n">
        <v>0</v>
      </c>
      <c r="P481" t="n">
        <v>0</v>
      </c>
      <c r="Q481" t="n">
        <v>0</v>
      </c>
      <c r="R481" s="2" t="inlineStr"/>
    </row>
    <row r="482" ht="15" customHeight="1">
      <c r="A482" t="inlineStr">
        <is>
          <t>A 33552-2025</t>
        </is>
      </c>
      <c r="B482" s="1" t="n">
        <v>45841.5737962963</v>
      </c>
      <c r="C482" s="1" t="n">
        <v>46184</v>
      </c>
      <c r="D482" t="inlineStr">
        <is>
          <t>STOCKHOLMS LÄN</t>
        </is>
      </c>
      <c r="E482" t="inlineStr">
        <is>
          <t>NORRTÄLJE</t>
        </is>
      </c>
      <c r="G482" t="n">
        <v>8.9</v>
      </c>
      <c r="H482" t="n">
        <v>0</v>
      </c>
      <c r="I482" t="n">
        <v>0</v>
      </c>
      <c r="J482" t="n">
        <v>0</v>
      </c>
      <c r="K482" t="n">
        <v>0</v>
      </c>
      <c r="L482" t="n">
        <v>0</v>
      </c>
      <c r="M482" t="n">
        <v>0</v>
      </c>
      <c r="N482" t="n">
        <v>0</v>
      </c>
      <c r="O482" t="n">
        <v>0</v>
      </c>
      <c r="P482" t="n">
        <v>0</v>
      </c>
      <c r="Q482" t="n">
        <v>0</v>
      </c>
      <c r="R482" s="2" t="inlineStr"/>
    </row>
    <row r="483" ht="15" customHeight="1">
      <c r="A483" t="inlineStr">
        <is>
          <t>A 33336-2025</t>
        </is>
      </c>
      <c r="B483" s="1" t="n">
        <v>45841.35611111111</v>
      </c>
      <c r="C483" s="1" t="n">
        <v>46184</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33824-2025</t>
        </is>
      </c>
      <c r="B484" s="1" t="n">
        <v>45842.46885416667</v>
      </c>
      <c r="C484" s="1" t="n">
        <v>46184</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34139-2025</t>
        </is>
      </c>
      <c r="B485" s="1" t="n">
        <v>45845</v>
      </c>
      <c r="C485" s="1" t="n">
        <v>46184</v>
      </c>
      <c r="D485" t="inlineStr">
        <is>
          <t>STOCKHOLMS LÄN</t>
        </is>
      </c>
      <c r="E485" t="inlineStr">
        <is>
          <t>NORRTÄLJE</t>
        </is>
      </c>
      <c r="G485" t="n">
        <v>5.5</v>
      </c>
      <c r="H485" t="n">
        <v>0</v>
      </c>
      <c r="I485" t="n">
        <v>0</v>
      </c>
      <c r="J485" t="n">
        <v>0</v>
      </c>
      <c r="K485" t="n">
        <v>0</v>
      </c>
      <c r="L485" t="n">
        <v>0</v>
      </c>
      <c r="M485" t="n">
        <v>0</v>
      </c>
      <c r="N485" t="n">
        <v>0</v>
      </c>
      <c r="O485" t="n">
        <v>0</v>
      </c>
      <c r="P485" t="n">
        <v>0</v>
      </c>
      <c r="Q485" t="n">
        <v>0</v>
      </c>
      <c r="R485" s="2" t="inlineStr"/>
    </row>
    <row r="486" ht="15" customHeight="1">
      <c r="A486" t="inlineStr">
        <is>
          <t>A 34010-2025</t>
        </is>
      </c>
      <c r="B486" s="1" t="n">
        <v>45844.91234953704</v>
      </c>
      <c r="C486" s="1" t="n">
        <v>46184</v>
      </c>
      <c r="D486" t="inlineStr">
        <is>
          <t>STOCKHOLMS LÄN</t>
        </is>
      </c>
      <c r="E486" t="inlineStr">
        <is>
          <t>NORRTÄLJE</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36689-2023</t>
        </is>
      </c>
      <c r="B487" s="1" t="n">
        <v>45152</v>
      </c>
      <c r="C487" s="1" t="n">
        <v>46184</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46073-2024</t>
        </is>
      </c>
      <c r="B488" s="1" t="n">
        <v>45581</v>
      </c>
      <c r="C488" s="1" t="n">
        <v>46184</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54907-2025</t>
        </is>
      </c>
      <c r="B489" s="1" t="n">
        <v>45967.37137731481</v>
      </c>
      <c r="C489" s="1" t="n">
        <v>46184</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26644-2024</t>
        </is>
      </c>
      <c r="B490" s="1" t="n">
        <v>45469</v>
      </c>
      <c r="C490" s="1" t="n">
        <v>46184</v>
      </c>
      <c r="D490" t="inlineStr">
        <is>
          <t>STOCKHOLMS LÄN</t>
        </is>
      </c>
      <c r="E490" t="inlineStr">
        <is>
          <t>NORRTÄLJE</t>
        </is>
      </c>
      <c r="G490" t="n">
        <v>4.3</v>
      </c>
      <c r="H490" t="n">
        <v>0</v>
      </c>
      <c r="I490" t="n">
        <v>0</v>
      </c>
      <c r="J490" t="n">
        <v>0</v>
      </c>
      <c r="K490" t="n">
        <v>0</v>
      </c>
      <c r="L490" t="n">
        <v>0</v>
      </c>
      <c r="M490" t="n">
        <v>0</v>
      </c>
      <c r="N490" t="n">
        <v>0</v>
      </c>
      <c r="O490" t="n">
        <v>0</v>
      </c>
      <c r="P490" t="n">
        <v>0</v>
      </c>
      <c r="Q490" t="n">
        <v>0</v>
      </c>
      <c r="R490" s="2" t="inlineStr"/>
    </row>
    <row r="491" ht="15" customHeight="1">
      <c r="A491" t="inlineStr">
        <is>
          <t>A 2982-2023</t>
        </is>
      </c>
      <c r="B491" s="1" t="n">
        <v>44945.67409722223</v>
      </c>
      <c r="C491" s="1" t="n">
        <v>46184</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37136-2023</t>
        </is>
      </c>
      <c r="B492" s="1" t="n">
        <v>45155</v>
      </c>
      <c r="C492" s="1" t="n">
        <v>46184</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35110-2025</t>
        </is>
      </c>
      <c r="B493" s="1" t="n">
        <v>45852.58030092593</v>
      </c>
      <c r="C493" s="1" t="n">
        <v>46184</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18787-2022</t>
        </is>
      </c>
      <c r="B494" s="1" t="n">
        <v>44687</v>
      </c>
      <c r="C494" s="1" t="n">
        <v>46184</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13718-2022</t>
        </is>
      </c>
      <c r="B495" s="1" t="n">
        <v>44649</v>
      </c>
      <c r="C495" s="1" t="n">
        <v>46184</v>
      </c>
      <c r="D495" t="inlineStr">
        <is>
          <t>STOCKHOLMS LÄN</t>
        </is>
      </c>
      <c r="E495" t="inlineStr">
        <is>
          <t>NORRTÄLJE</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35479-2025</t>
        </is>
      </c>
      <c r="B496" s="1" t="n">
        <v>45855.69387731481</v>
      </c>
      <c r="C496" s="1" t="n">
        <v>46184</v>
      </c>
      <c r="D496" t="inlineStr">
        <is>
          <t>STOCKHOLMS LÄN</t>
        </is>
      </c>
      <c r="E496" t="inlineStr">
        <is>
          <t>NORRTÄLJE</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35451-2025</t>
        </is>
      </c>
      <c r="B497" s="1" t="n">
        <v>45855.57033564815</v>
      </c>
      <c r="C497" s="1" t="n">
        <v>46184</v>
      </c>
      <c r="D497" t="inlineStr">
        <is>
          <t>STOCKHOLMS LÄN</t>
        </is>
      </c>
      <c r="E497" t="inlineStr">
        <is>
          <t>NORRTÄLJE</t>
        </is>
      </c>
      <c r="F497" t="inlineStr">
        <is>
          <t>Holmen skog AB</t>
        </is>
      </c>
      <c r="G497" t="n">
        <v>7.4</v>
      </c>
      <c r="H497" t="n">
        <v>0</v>
      </c>
      <c r="I497" t="n">
        <v>0</v>
      </c>
      <c r="J497" t="n">
        <v>0</v>
      </c>
      <c r="K497" t="n">
        <v>0</v>
      </c>
      <c r="L497" t="n">
        <v>0</v>
      </c>
      <c r="M497" t="n">
        <v>0</v>
      </c>
      <c r="N497" t="n">
        <v>0</v>
      </c>
      <c r="O497" t="n">
        <v>0</v>
      </c>
      <c r="P497" t="n">
        <v>0</v>
      </c>
      <c r="Q497" t="n">
        <v>0</v>
      </c>
      <c r="R497" s="2" t="inlineStr"/>
    </row>
    <row r="498" ht="15" customHeight="1">
      <c r="A498" t="inlineStr">
        <is>
          <t>A 35478-2025</t>
        </is>
      </c>
      <c r="B498" s="1" t="n">
        <v>45855.68413194444</v>
      </c>
      <c r="C498" s="1" t="n">
        <v>46184</v>
      </c>
      <c r="D498" t="inlineStr">
        <is>
          <t>STOCKHOLMS LÄN</t>
        </is>
      </c>
      <c r="E498" t="inlineStr">
        <is>
          <t>NORRTÄLJE</t>
        </is>
      </c>
      <c r="F498" t="inlineStr">
        <is>
          <t>Holmen skog AB</t>
        </is>
      </c>
      <c r="G498" t="n">
        <v>2.7</v>
      </c>
      <c r="H498" t="n">
        <v>0</v>
      </c>
      <c r="I498" t="n">
        <v>0</v>
      </c>
      <c r="J498" t="n">
        <v>0</v>
      </c>
      <c r="K498" t="n">
        <v>0</v>
      </c>
      <c r="L498" t="n">
        <v>0</v>
      </c>
      <c r="M498" t="n">
        <v>0</v>
      </c>
      <c r="N498" t="n">
        <v>0</v>
      </c>
      <c r="O498" t="n">
        <v>0</v>
      </c>
      <c r="P498" t="n">
        <v>0</v>
      </c>
      <c r="Q498" t="n">
        <v>0</v>
      </c>
      <c r="R498" s="2" t="inlineStr"/>
    </row>
    <row r="499" ht="15" customHeight="1">
      <c r="A499" t="inlineStr">
        <is>
          <t>A 36269-2022</t>
        </is>
      </c>
      <c r="B499" s="1" t="n">
        <v>44803</v>
      </c>
      <c r="C499" s="1" t="n">
        <v>46184</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36308-2022</t>
        </is>
      </c>
      <c r="B500" s="1" t="n">
        <v>44803</v>
      </c>
      <c r="C500" s="1" t="n">
        <v>46184</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55599-2025</t>
        </is>
      </c>
      <c r="B501" s="1" t="n">
        <v>45971.76810185185</v>
      </c>
      <c r="C501" s="1" t="n">
        <v>46184</v>
      </c>
      <c r="D501" t="inlineStr">
        <is>
          <t>STOCKHOLMS LÄN</t>
        </is>
      </c>
      <c r="E501" t="inlineStr">
        <is>
          <t>NORRTÄLJE</t>
        </is>
      </c>
      <c r="F501" t="inlineStr">
        <is>
          <t>Holmen skog AB</t>
        </is>
      </c>
      <c r="G501" t="n">
        <v>6.4</v>
      </c>
      <c r="H501" t="n">
        <v>0</v>
      </c>
      <c r="I501" t="n">
        <v>0</v>
      </c>
      <c r="J501" t="n">
        <v>0</v>
      </c>
      <c r="K501" t="n">
        <v>0</v>
      </c>
      <c r="L501" t="n">
        <v>0</v>
      </c>
      <c r="M501" t="n">
        <v>0</v>
      </c>
      <c r="N501" t="n">
        <v>0</v>
      </c>
      <c r="O501" t="n">
        <v>0</v>
      </c>
      <c r="P501" t="n">
        <v>0</v>
      </c>
      <c r="Q501" t="n">
        <v>0</v>
      </c>
      <c r="R501" s="2" t="inlineStr"/>
    </row>
    <row r="502" ht="15" customHeight="1">
      <c r="A502" t="inlineStr">
        <is>
          <t>A 56114-2025</t>
        </is>
      </c>
      <c r="B502" s="1" t="n">
        <v>45973.74474537037</v>
      </c>
      <c r="C502" s="1" t="n">
        <v>46184</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6919-2025</t>
        </is>
      </c>
      <c r="B503" s="1" t="n">
        <v>45701.44372685185</v>
      </c>
      <c r="C503" s="1" t="n">
        <v>46184</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32100-2022</t>
        </is>
      </c>
      <c r="B504" s="1" t="n">
        <v>44778</v>
      </c>
      <c r="C504" s="1" t="n">
        <v>46184</v>
      </c>
      <c r="D504" t="inlineStr">
        <is>
          <t>STOCKHOLMS LÄN</t>
        </is>
      </c>
      <c r="E504" t="inlineStr">
        <is>
          <t>NORRTÄLJE</t>
        </is>
      </c>
      <c r="G504" t="n">
        <v>3.3</v>
      </c>
      <c r="H504" t="n">
        <v>0</v>
      </c>
      <c r="I504" t="n">
        <v>0</v>
      </c>
      <c r="J504" t="n">
        <v>0</v>
      </c>
      <c r="K504" t="n">
        <v>0</v>
      </c>
      <c r="L504" t="n">
        <v>0</v>
      </c>
      <c r="M504" t="n">
        <v>0</v>
      </c>
      <c r="N504" t="n">
        <v>0</v>
      </c>
      <c r="O504" t="n">
        <v>0</v>
      </c>
      <c r="P504" t="n">
        <v>0</v>
      </c>
      <c r="Q504" t="n">
        <v>0</v>
      </c>
      <c r="R504" s="2" t="inlineStr"/>
    </row>
    <row r="505" ht="15" customHeight="1">
      <c r="A505" t="inlineStr">
        <is>
          <t>A 37444-2021</t>
        </is>
      </c>
      <c r="B505" s="1" t="n">
        <v>44398</v>
      </c>
      <c r="C505" s="1" t="n">
        <v>46184</v>
      </c>
      <c r="D505" t="inlineStr">
        <is>
          <t>STOCKHOLMS LÄN</t>
        </is>
      </c>
      <c r="E505" t="inlineStr">
        <is>
          <t>NORRTÄLJE</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30886-2022</t>
        </is>
      </c>
      <c r="B506" s="1" t="n">
        <v>44767.60601851852</v>
      </c>
      <c r="C506" s="1" t="n">
        <v>46184</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9654-2022</t>
        </is>
      </c>
      <c r="B507" s="1" t="n">
        <v>44617</v>
      </c>
      <c r="C507" s="1" t="n">
        <v>46184</v>
      </c>
      <c r="D507" t="inlineStr">
        <is>
          <t>STOCKHOLMS LÄN</t>
        </is>
      </c>
      <c r="E507" t="inlineStr">
        <is>
          <t>NORRTÄLJE</t>
        </is>
      </c>
      <c r="G507" t="n">
        <v>6.4</v>
      </c>
      <c r="H507" t="n">
        <v>0</v>
      </c>
      <c r="I507" t="n">
        <v>0</v>
      </c>
      <c r="J507" t="n">
        <v>0</v>
      </c>
      <c r="K507" t="n">
        <v>0</v>
      </c>
      <c r="L507" t="n">
        <v>0</v>
      </c>
      <c r="M507" t="n">
        <v>0</v>
      </c>
      <c r="N507" t="n">
        <v>0</v>
      </c>
      <c r="O507" t="n">
        <v>0</v>
      </c>
      <c r="P507" t="n">
        <v>0</v>
      </c>
      <c r="Q507" t="n">
        <v>0</v>
      </c>
      <c r="R507" s="2" t="inlineStr"/>
    </row>
    <row r="508" ht="15" customHeight="1">
      <c r="A508" t="inlineStr">
        <is>
          <t>A 1453-2025</t>
        </is>
      </c>
      <c r="B508" s="1" t="n">
        <v>45670.3079050926</v>
      </c>
      <c r="C508" s="1" t="n">
        <v>46184</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34444-2024</t>
        </is>
      </c>
      <c r="B509" s="1" t="n">
        <v>45525</v>
      </c>
      <c r="C509" s="1" t="n">
        <v>46184</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20698-2025</t>
        </is>
      </c>
      <c r="B510" s="1" t="n">
        <v>45776.47122685185</v>
      </c>
      <c r="C510" s="1" t="n">
        <v>46184</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50907-2022</t>
        </is>
      </c>
      <c r="B511" s="1" t="n">
        <v>44867.62090277778</v>
      </c>
      <c r="C511" s="1" t="n">
        <v>46184</v>
      </c>
      <c r="D511" t="inlineStr">
        <is>
          <t>STOCKHOLMS LÄN</t>
        </is>
      </c>
      <c r="E511" t="inlineStr">
        <is>
          <t>NORRTÄLJE</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29003-2023</t>
        </is>
      </c>
      <c r="B512" s="1" t="n">
        <v>45104</v>
      </c>
      <c r="C512" s="1" t="n">
        <v>46184</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33295-2023</t>
        </is>
      </c>
      <c r="B513" s="1" t="n">
        <v>45127.69371527778</v>
      </c>
      <c r="C513" s="1" t="n">
        <v>46184</v>
      </c>
      <c r="D513" t="inlineStr">
        <is>
          <t>STOCKHOLMS LÄN</t>
        </is>
      </c>
      <c r="E513" t="inlineStr">
        <is>
          <t>NORRTÄLJE</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16980-2023</t>
        </is>
      </c>
      <c r="B514" s="1" t="n">
        <v>45033</v>
      </c>
      <c r="C514" s="1" t="n">
        <v>46184</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22232-2024</t>
        </is>
      </c>
      <c r="B515" s="1" t="n">
        <v>45446.4287962963</v>
      </c>
      <c r="C515" s="1" t="n">
        <v>46184</v>
      </c>
      <c r="D515" t="inlineStr">
        <is>
          <t>STOCKHOLMS LÄN</t>
        </is>
      </c>
      <c r="E515" t="inlineStr">
        <is>
          <t>NORRTÄLJE</t>
        </is>
      </c>
      <c r="G515" t="n">
        <v>12.8</v>
      </c>
      <c r="H515" t="n">
        <v>0</v>
      </c>
      <c r="I515" t="n">
        <v>0</v>
      </c>
      <c r="J515" t="n">
        <v>0</v>
      </c>
      <c r="K515" t="n">
        <v>0</v>
      </c>
      <c r="L515" t="n">
        <v>0</v>
      </c>
      <c r="M515" t="n">
        <v>0</v>
      </c>
      <c r="N515" t="n">
        <v>0</v>
      </c>
      <c r="O515" t="n">
        <v>0</v>
      </c>
      <c r="P515" t="n">
        <v>0</v>
      </c>
      <c r="Q515" t="n">
        <v>0</v>
      </c>
      <c r="R515" s="2" t="inlineStr"/>
    </row>
    <row r="516" ht="15" customHeight="1">
      <c r="A516" t="inlineStr">
        <is>
          <t>A 32595-2023</t>
        </is>
      </c>
      <c r="B516" s="1" t="n">
        <v>45121</v>
      </c>
      <c r="C516" s="1" t="n">
        <v>46184</v>
      </c>
      <c r="D516" t="inlineStr">
        <is>
          <t>STOCKHOLMS LÄN</t>
        </is>
      </c>
      <c r="E516" t="inlineStr">
        <is>
          <t>NORRTÄLJE</t>
        </is>
      </c>
      <c r="G516" t="n">
        <v>2.4</v>
      </c>
      <c r="H516" t="n">
        <v>0</v>
      </c>
      <c r="I516" t="n">
        <v>0</v>
      </c>
      <c r="J516" t="n">
        <v>0</v>
      </c>
      <c r="K516" t="n">
        <v>0</v>
      </c>
      <c r="L516" t="n">
        <v>0</v>
      </c>
      <c r="M516" t="n">
        <v>0</v>
      </c>
      <c r="N516" t="n">
        <v>0</v>
      </c>
      <c r="O516" t="n">
        <v>0</v>
      </c>
      <c r="P516" t="n">
        <v>0</v>
      </c>
      <c r="Q516" t="n">
        <v>0</v>
      </c>
      <c r="R516" s="2" t="inlineStr"/>
    </row>
    <row r="517" ht="15" customHeight="1">
      <c r="A517" t="inlineStr">
        <is>
          <t>A 37550-2022</t>
        </is>
      </c>
      <c r="B517" s="1" t="n">
        <v>44809</v>
      </c>
      <c r="C517" s="1" t="n">
        <v>46184</v>
      </c>
      <c r="D517" t="inlineStr">
        <is>
          <t>STOCKHOLMS LÄN</t>
        </is>
      </c>
      <c r="E517" t="inlineStr">
        <is>
          <t>NORRTÄLJE</t>
        </is>
      </c>
      <c r="G517" t="n">
        <v>1</v>
      </c>
      <c r="H517" t="n">
        <v>0</v>
      </c>
      <c r="I517" t="n">
        <v>0</v>
      </c>
      <c r="J517" t="n">
        <v>0</v>
      </c>
      <c r="K517" t="n">
        <v>0</v>
      </c>
      <c r="L517" t="n">
        <v>0</v>
      </c>
      <c r="M517" t="n">
        <v>0</v>
      </c>
      <c r="N517" t="n">
        <v>0</v>
      </c>
      <c r="O517" t="n">
        <v>0</v>
      </c>
      <c r="P517" t="n">
        <v>0</v>
      </c>
      <c r="Q517" t="n">
        <v>0</v>
      </c>
      <c r="R517" s="2" t="inlineStr"/>
    </row>
    <row r="518" ht="15" customHeight="1">
      <c r="A518" t="inlineStr">
        <is>
          <t>A 56207-2025</t>
        </is>
      </c>
      <c r="B518" s="1" t="n">
        <v>45974.47329861111</v>
      </c>
      <c r="C518" s="1" t="n">
        <v>46184</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48161-2022</t>
        </is>
      </c>
      <c r="B519" s="1" t="n">
        <v>44858</v>
      </c>
      <c r="C519" s="1" t="n">
        <v>46184</v>
      </c>
      <c r="D519" t="inlineStr">
        <is>
          <t>STOCKHOLMS LÄN</t>
        </is>
      </c>
      <c r="E519" t="inlineStr">
        <is>
          <t>NORRTÄLJE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48798-2021</t>
        </is>
      </c>
      <c r="B520" s="1" t="n">
        <v>44452</v>
      </c>
      <c r="C520" s="1" t="n">
        <v>46184</v>
      </c>
      <c r="D520" t="inlineStr">
        <is>
          <t>STOCKHOLMS LÄN</t>
        </is>
      </c>
      <c r="E520" t="inlineStr">
        <is>
          <t>NORRTÄLJE</t>
        </is>
      </c>
      <c r="G520" t="n">
        <v>2</v>
      </c>
      <c r="H520" t="n">
        <v>0</v>
      </c>
      <c r="I520" t="n">
        <v>0</v>
      </c>
      <c r="J520" t="n">
        <v>0</v>
      </c>
      <c r="K520" t="n">
        <v>0</v>
      </c>
      <c r="L520" t="n">
        <v>0</v>
      </c>
      <c r="M520" t="n">
        <v>0</v>
      </c>
      <c r="N520" t="n">
        <v>0</v>
      </c>
      <c r="O520" t="n">
        <v>0</v>
      </c>
      <c r="P520" t="n">
        <v>0</v>
      </c>
      <c r="Q520" t="n">
        <v>0</v>
      </c>
      <c r="R520" s="2" t="inlineStr"/>
    </row>
    <row r="521" ht="15" customHeight="1">
      <c r="A521" t="inlineStr">
        <is>
          <t>A 54776-2023</t>
        </is>
      </c>
      <c r="B521" s="1" t="n">
        <v>45236.46369212963</v>
      </c>
      <c r="C521" s="1" t="n">
        <v>46184</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57442-2021</t>
        </is>
      </c>
      <c r="B522" s="1" t="n">
        <v>44483</v>
      </c>
      <c r="C522" s="1" t="n">
        <v>46184</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55952-2024</t>
        </is>
      </c>
      <c r="B523" s="1" t="n">
        <v>45623.62563657408</v>
      </c>
      <c r="C523" s="1" t="n">
        <v>46184</v>
      </c>
      <c r="D523" t="inlineStr">
        <is>
          <t>STOCKHOLMS LÄN</t>
        </is>
      </c>
      <c r="E523" t="inlineStr">
        <is>
          <t>NORRTÄLJE</t>
        </is>
      </c>
      <c r="F523" t="inlineStr">
        <is>
          <t>Holmen skog AB</t>
        </is>
      </c>
      <c r="G523" t="n">
        <v>2.8</v>
      </c>
      <c r="H523" t="n">
        <v>0</v>
      </c>
      <c r="I523" t="n">
        <v>0</v>
      </c>
      <c r="J523" t="n">
        <v>0</v>
      </c>
      <c r="K523" t="n">
        <v>0</v>
      </c>
      <c r="L523" t="n">
        <v>0</v>
      </c>
      <c r="M523" t="n">
        <v>0</v>
      </c>
      <c r="N523" t="n">
        <v>0</v>
      </c>
      <c r="O523" t="n">
        <v>0</v>
      </c>
      <c r="P523" t="n">
        <v>0</v>
      </c>
      <c r="Q523" t="n">
        <v>0</v>
      </c>
      <c r="R523" s="2" t="inlineStr"/>
    </row>
    <row r="524" ht="15" customHeight="1">
      <c r="A524" t="inlineStr">
        <is>
          <t>A 8135-2025</t>
        </is>
      </c>
      <c r="B524" s="1" t="n">
        <v>45707.84997685185</v>
      </c>
      <c r="C524" s="1" t="n">
        <v>46184</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3383-2023</t>
        </is>
      </c>
      <c r="B525" s="1" t="n">
        <v>44949</v>
      </c>
      <c r="C525" s="1" t="n">
        <v>46184</v>
      </c>
      <c r="D525" t="inlineStr">
        <is>
          <t>STOCKHOLMS LÄN</t>
        </is>
      </c>
      <c r="E525" t="inlineStr">
        <is>
          <t>NORRTÄLJE</t>
        </is>
      </c>
      <c r="G525" t="n">
        <v>14.6</v>
      </c>
      <c r="H525" t="n">
        <v>0</v>
      </c>
      <c r="I525" t="n">
        <v>0</v>
      </c>
      <c r="J525" t="n">
        <v>0</v>
      </c>
      <c r="K525" t="n">
        <v>0</v>
      </c>
      <c r="L525" t="n">
        <v>0</v>
      </c>
      <c r="M525" t="n">
        <v>0</v>
      </c>
      <c r="N525" t="n">
        <v>0</v>
      </c>
      <c r="O525" t="n">
        <v>0</v>
      </c>
      <c r="P525" t="n">
        <v>0</v>
      </c>
      <c r="Q525" t="n">
        <v>0</v>
      </c>
      <c r="R525" s="2" t="inlineStr"/>
    </row>
    <row r="526" ht="15" customHeight="1">
      <c r="A526" t="inlineStr">
        <is>
          <t>A 21732-2023</t>
        </is>
      </c>
      <c r="B526" s="1" t="n">
        <v>45063</v>
      </c>
      <c r="C526" s="1" t="n">
        <v>46184</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37632-2025</t>
        </is>
      </c>
      <c r="B527" s="1" t="n">
        <v>45880.46524305556</v>
      </c>
      <c r="C527" s="1" t="n">
        <v>46184</v>
      </c>
      <c r="D527" t="inlineStr">
        <is>
          <t>STOCKHOLMS LÄN</t>
        </is>
      </c>
      <c r="E527" t="inlineStr">
        <is>
          <t>NORRTÄLJE</t>
        </is>
      </c>
      <c r="F527" t="inlineStr">
        <is>
          <t>Sveaskog</t>
        </is>
      </c>
      <c r="G527" t="n">
        <v>6.4</v>
      </c>
      <c r="H527" t="n">
        <v>0</v>
      </c>
      <c r="I527" t="n">
        <v>0</v>
      </c>
      <c r="J527" t="n">
        <v>0</v>
      </c>
      <c r="K527" t="n">
        <v>0</v>
      </c>
      <c r="L527" t="n">
        <v>0</v>
      </c>
      <c r="M527" t="n">
        <v>0</v>
      </c>
      <c r="N527" t="n">
        <v>0</v>
      </c>
      <c r="O527" t="n">
        <v>0</v>
      </c>
      <c r="P527" t="n">
        <v>0</v>
      </c>
      <c r="Q527" t="n">
        <v>0</v>
      </c>
      <c r="R527" s="2" t="inlineStr"/>
    </row>
    <row r="528" ht="15" customHeight="1">
      <c r="A528" t="inlineStr">
        <is>
          <t>A 23307-2024</t>
        </is>
      </c>
      <c r="B528" s="1" t="n">
        <v>45453</v>
      </c>
      <c r="C528" s="1" t="n">
        <v>46184</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20692-2025</t>
        </is>
      </c>
      <c r="B529" s="1" t="n">
        <v>45776.46369212963</v>
      </c>
      <c r="C529" s="1" t="n">
        <v>46184</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46071-2024</t>
        </is>
      </c>
      <c r="B530" s="1" t="n">
        <v>45581</v>
      </c>
      <c r="C530" s="1" t="n">
        <v>46184</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13137-2024</t>
        </is>
      </c>
      <c r="B531" s="1" t="n">
        <v>45386.34175925926</v>
      </c>
      <c r="C531" s="1" t="n">
        <v>46184</v>
      </c>
      <c r="D531" t="inlineStr">
        <is>
          <t>STOCKHOLMS LÄN</t>
        </is>
      </c>
      <c r="E531" t="inlineStr">
        <is>
          <t>NORRTÄLJE</t>
        </is>
      </c>
      <c r="G531" t="n">
        <v>5</v>
      </c>
      <c r="H531" t="n">
        <v>0</v>
      </c>
      <c r="I531" t="n">
        <v>0</v>
      </c>
      <c r="J531" t="n">
        <v>0</v>
      </c>
      <c r="K531" t="n">
        <v>0</v>
      </c>
      <c r="L531" t="n">
        <v>0</v>
      </c>
      <c r="M531" t="n">
        <v>0</v>
      </c>
      <c r="N531" t="n">
        <v>0</v>
      </c>
      <c r="O531" t="n">
        <v>0</v>
      </c>
      <c r="P531" t="n">
        <v>0</v>
      </c>
      <c r="Q531" t="n">
        <v>0</v>
      </c>
      <c r="R531" s="2" t="inlineStr"/>
    </row>
    <row r="532" ht="15" customHeight="1">
      <c r="A532" t="inlineStr">
        <is>
          <t>A 26703-2025</t>
        </is>
      </c>
      <c r="B532" s="1" t="n">
        <v>45810.45263888889</v>
      </c>
      <c r="C532" s="1" t="n">
        <v>46184</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37085-2021</t>
        </is>
      </c>
      <c r="B533" s="1" t="n">
        <v>44395</v>
      </c>
      <c r="C533" s="1" t="n">
        <v>46184</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56428-2023</t>
        </is>
      </c>
      <c r="B534" s="1" t="n">
        <v>45243.45289351852</v>
      </c>
      <c r="C534" s="1" t="n">
        <v>46184</v>
      </c>
      <c r="D534" t="inlineStr">
        <is>
          <t>STOCKHOLMS LÄN</t>
        </is>
      </c>
      <c r="E534" t="inlineStr">
        <is>
          <t>NORRTÄLJE</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38153-2025</t>
        </is>
      </c>
      <c r="B535" s="1" t="n">
        <v>45882.59722222222</v>
      </c>
      <c r="C535" s="1" t="n">
        <v>46184</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17556-2025</t>
        </is>
      </c>
      <c r="B536" s="1" t="n">
        <v>45757.62482638889</v>
      </c>
      <c r="C536" s="1" t="n">
        <v>46184</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42094-2023</t>
        </is>
      </c>
      <c r="B537" s="1" t="n">
        <v>45177.61498842593</v>
      </c>
      <c r="C537" s="1" t="n">
        <v>46184</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58403-2025</t>
        </is>
      </c>
      <c r="B538" s="1" t="n">
        <v>45985.56777777777</v>
      </c>
      <c r="C538" s="1" t="n">
        <v>46184</v>
      </c>
      <c r="D538" t="inlineStr">
        <is>
          <t>STOCKHOLMS LÄN</t>
        </is>
      </c>
      <c r="E538" t="inlineStr">
        <is>
          <t>NORRTÄLJE</t>
        </is>
      </c>
      <c r="F538" t="inlineStr">
        <is>
          <t>Naturvårdsverket</t>
        </is>
      </c>
      <c r="G538" t="n">
        <v>13.5</v>
      </c>
      <c r="H538" t="n">
        <v>0</v>
      </c>
      <c r="I538" t="n">
        <v>0</v>
      </c>
      <c r="J538" t="n">
        <v>0</v>
      </c>
      <c r="K538" t="n">
        <v>0</v>
      </c>
      <c r="L538" t="n">
        <v>0</v>
      </c>
      <c r="M538" t="n">
        <v>0</v>
      </c>
      <c r="N538" t="n">
        <v>0</v>
      </c>
      <c r="O538" t="n">
        <v>0</v>
      </c>
      <c r="P538" t="n">
        <v>0</v>
      </c>
      <c r="Q538" t="n">
        <v>0</v>
      </c>
      <c r="R538" s="2" t="inlineStr"/>
    </row>
    <row r="539" ht="15" customHeight="1">
      <c r="A539" t="inlineStr">
        <is>
          <t>A 57953-2025</t>
        </is>
      </c>
      <c r="B539" s="1" t="n">
        <v>45982.35016203704</v>
      </c>
      <c r="C539" s="1" t="n">
        <v>46184</v>
      </c>
      <c r="D539" t="inlineStr">
        <is>
          <t>STOCKHOLMS LÄN</t>
        </is>
      </c>
      <c r="E539" t="inlineStr">
        <is>
          <t>NORRTÄLJE</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58939-2025</t>
        </is>
      </c>
      <c r="B540" s="1" t="n">
        <v>45987.5681712963</v>
      </c>
      <c r="C540" s="1" t="n">
        <v>46184</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8370-2025</t>
        </is>
      </c>
      <c r="B541" s="1" t="n">
        <v>45708</v>
      </c>
      <c r="C541" s="1" t="n">
        <v>46184</v>
      </c>
      <c r="D541" t="inlineStr">
        <is>
          <t>STOCKHOLMS LÄN</t>
        </is>
      </c>
      <c r="E541" t="inlineStr">
        <is>
          <t>NORRTÄLJE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3299-2022</t>
        </is>
      </c>
      <c r="B542" s="1" t="n">
        <v>44584.91001157407</v>
      </c>
      <c r="C542" s="1" t="n">
        <v>46184</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67921-2021</t>
        </is>
      </c>
      <c r="B543" s="1" t="n">
        <v>44525</v>
      </c>
      <c r="C543" s="1" t="n">
        <v>46184</v>
      </c>
      <c r="D543" t="inlineStr">
        <is>
          <t>STOCKHOLMS LÄN</t>
        </is>
      </c>
      <c r="E543" t="inlineStr">
        <is>
          <t>NORRTÄLJE</t>
        </is>
      </c>
      <c r="G543" t="n">
        <v>6.3</v>
      </c>
      <c r="H543" t="n">
        <v>0</v>
      </c>
      <c r="I543" t="n">
        <v>0</v>
      </c>
      <c r="J543" t="n">
        <v>0</v>
      </c>
      <c r="K543" t="n">
        <v>0</v>
      </c>
      <c r="L543" t="n">
        <v>0</v>
      </c>
      <c r="M543" t="n">
        <v>0</v>
      </c>
      <c r="N543" t="n">
        <v>0</v>
      </c>
      <c r="O543" t="n">
        <v>0</v>
      </c>
      <c r="P543" t="n">
        <v>0</v>
      </c>
      <c r="Q543" t="n">
        <v>0</v>
      </c>
      <c r="R543" s="2" t="inlineStr"/>
    </row>
    <row r="544" ht="15" customHeight="1">
      <c r="A544" t="inlineStr">
        <is>
          <t>A 12348-2025</t>
        </is>
      </c>
      <c r="B544" s="1" t="n">
        <v>45730.35026620371</v>
      </c>
      <c r="C544" s="1" t="n">
        <v>46184</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25094-2023</t>
        </is>
      </c>
      <c r="B545" s="1" t="n">
        <v>45086.3629050926</v>
      </c>
      <c r="C545" s="1" t="n">
        <v>46184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47694-2023</t>
        </is>
      </c>
      <c r="B546" s="1" t="n">
        <v>45203.63303240741</v>
      </c>
      <c r="C546" s="1" t="n">
        <v>46184</v>
      </c>
      <c r="D546" t="inlineStr">
        <is>
          <t>STOCKHOLMS LÄN</t>
        </is>
      </c>
      <c r="E546" t="inlineStr">
        <is>
          <t>NORRTÄLJE</t>
        </is>
      </c>
      <c r="G546" t="n">
        <v>5.2</v>
      </c>
      <c r="H546" t="n">
        <v>0</v>
      </c>
      <c r="I546" t="n">
        <v>0</v>
      </c>
      <c r="J546" t="n">
        <v>0</v>
      </c>
      <c r="K546" t="n">
        <v>0</v>
      </c>
      <c r="L546" t="n">
        <v>0</v>
      </c>
      <c r="M546" t="n">
        <v>0</v>
      </c>
      <c r="N546" t="n">
        <v>0</v>
      </c>
      <c r="O546" t="n">
        <v>0</v>
      </c>
      <c r="P546" t="n">
        <v>0</v>
      </c>
      <c r="Q546" t="n">
        <v>0</v>
      </c>
      <c r="R546" s="2" t="inlineStr"/>
    </row>
    <row r="547" ht="15" customHeight="1">
      <c r="A547" t="inlineStr">
        <is>
          <t>A 35532-2024</t>
        </is>
      </c>
      <c r="B547" s="1" t="n">
        <v>45531</v>
      </c>
      <c r="C547" s="1" t="n">
        <v>46184</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62644-2023</t>
        </is>
      </c>
      <c r="B548" s="1" t="n">
        <v>45271</v>
      </c>
      <c r="C548" s="1" t="n">
        <v>46184</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59914-2025</t>
        </is>
      </c>
      <c r="B549" s="1" t="n">
        <v>45993.37056712963</v>
      </c>
      <c r="C549" s="1" t="n">
        <v>46184</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59672-2025</t>
        </is>
      </c>
      <c r="B550" s="1" t="n">
        <v>45992.45884259259</v>
      </c>
      <c r="C550" s="1" t="n">
        <v>46184</v>
      </c>
      <c r="D550" t="inlineStr">
        <is>
          <t>STOCKHOLMS LÄN</t>
        </is>
      </c>
      <c r="E550" t="inlineStr">
        <is>
          <t>NORRTÄLJE</t>
        </is>
      </c>
      <c r="G550" t="n">
        <v>4</v>
      </c>
      <c r="H550" t="n">
        <v>0</v>
      </c>
      <c r="I550" t="n">
        <v>0</v>
      </c>
      <c r="J550" t="n">
        <v>0</v>
      </c>
      <c r="K550" t="n">
        <v>0</v>
      </c>
      <c r="L550" t="n">
        <v>0</v>
      </c>
      <c r="M550" t="n">
        <v>0</v>
      </c>
      <c r="N550" t="n">
        <v>0</v>
      </c>
      <c r="O550" t="n">
        <v>0</v>
      </c>
      <c r="P550" t="n">
        <v>0</v>
      </c>
      <c r="Q550" t="n">
        <v>0</v>
      </c>
      <c r="R550" s="2" t="inlineStr"/>
    </row>
    <row r="551" ht="15" customHeight="1">
      <c r="A551" t="inlineStr">
        <is>
          <t>A 59907-2025</t>
        </is>
      </c>
      <c r="B551" s="1" t="n">
        <v>45993.35350694445</v>
      </c>
      <c r="C551" s="1" t="n">
        <v>46184</v>
      </c>
      <c r="D551" t="inlineStr">
        <is>
          <t>STOCKHOLMS LÄN</t>
        </is>
      </c>
      <c r="E551" t="inlineStr">
        <is>
          <t>NORRTÄLJE</t>
        </is>
      </c>
      <c r="G551" t="n">
        <v>1.2</v>
      </c>
      <c r="H551" t="n">
        <v>0</v>
      </c>
      <c r="I551" t="n">
        <v>0</v>
      </c>
      <c r="J551" t="n">
        <v>0</v>
      </c>
      <c r="K551" t="n">
        <v>0</v>
      </c>
      <c r="L551" t="n">
        <v>0</v>
      </c>
      <c r="M551" t="n">
        <v>0</v>
      </c>
      <c r="N551" t="n">
        <v>0</v>
      </c>
      <c r="O551" t="n">
        <v>0</v>
      </c>
      <c r="P551" t="n">
        <v>0</v>
      </c>
      <c r="Q551" t="n">
        <v>0</v>
      </c>
      <c r="R551" s="2" t="inlineStr"/>
    </row>
    <row r="552" ht="15" customHeight="1">
      <c r="A552" t="inlineStr">
        <is>
          <t>A 57353-2024</t>
        </is>
      </c>
      <c r="B552" s="1" t="n">
        <v>45629.65143518519</v>
      </c>
      <c r="C552" s="1" t="n">
        <v>46184</v>
      </c>
      <c r="D552" t="inlineStr">
        <is>
          <t>STOCKHOLMS LÄN</t>
        </is>
      </c>
      <c r="E552" t="inlineStr">
        <is>
          <t>NORRTÄLJE</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48587-2023</t>
        </is>
      </c>
      <c r="B553" s="1" t="n">
        <v>45208</v>
      </c>
      <c r="C553" s="1" t="n">
        <v>46184</v>
      </c>
      <c r="D553" t="inlineStr">
        <is>
          <t>STOCKHOLMS LÄN</t>
        </is>
      </c>
      <c r="E553" t="inlineStr">
        <is>
          <t>NORRTÄLJE</t>
        </is>
      </c>
      <c r="G553" t="n">
        <v>7</v>
      </c>
      <c r="H553" t="n">
        <v>0</v>
      </c>
      <c r="I553" t="n">
        <v>0</v>
      </c>
      <c r="J553" t="n">
        <v>0</v>
      </c>
      <c r="K553" t="n">
        <v>0</v>
      </c>
      <c r="L553" t="n">
        <v>0</v>
      </c>
      <c r="M553" t="n">
        <v>0</v>
      </c>
      <c r="N553" t="n">
        <v>0</v>
      </c>
      <c r="O553" t="n">
        <v>0</v>
      </c>
      <c r="P553" t="n">
        <v>0</v>
      </c>
      <c r="Q553" t="n">
        <v>0</v>
      </c>
      <c r="R553" s="2" t="inlineStr"/>
    </row>
    <row r="554" ht="15" customHeight="1">
      <c r="A554" t="inlineStr">
        <is>
          <t>A 59924-2025</t>
        </is>
      </c>
      <c r="B554" s="1" t="n">
        <v>45993.38928240741</v>
      </c>
      <c r="C554" s="1" t="n">
        <v>46184</v>
      </c>
      <c r="D554" t="inlineStr">
        <is>
          <t>STOCKHOLMS LÄN</t>
        </is>
      </c>
      <c r="E554" t="inlineStr">
        <is>
          <t>NORRTÄLJE</t>
        </is>
      </c>
      <c r="G554" t="n">
        <v>2.1</v>
      </c>
      <c r="H554" t="n">
        <v>0</v>
      </c>
      <c r="I554" t="n">
        <v>0</v>
      </c>
      <c r="J554" t="n">
        <v>0</v>
      </c>
      <c r="K554" t="n">
        <v>0</v>
      </c>
      <c r="L554" t="n">
        <v>0</v>
      </c>
      <c r="M554" t="n">
        <v>0</v>
      </c>
      <c r="N554" t="n">
        <v>0</v>
      </c>
      <c r="O554" t="n">
        <v>0</v>
      </c>
      <c r="P554" t="n">
        <v>0</v>
      </c>
      <c r="Q554" t="n">
        <v>0</v>
      </c>
      <c r="R554" s="2" t="inlineStr"/>
    </row>
    <row r="555" ht="15" customHeight="1">
      <c r="A555" t="inlineStr">
        <is>
          <t>A 2549-2022</t>
        </is>
      </c>
      <c r="B555" s="1" t="n">
        <v>44580</v>
      </c>
      <c r="C555" s="1" t="n">
        <v>46184</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60253-2025</t>
        </is>
      </c>
      <c r="B556" s="1" t="n">
        <v>45994.59827546297</v>
      </c>
      <c r="C556" s="1" t="n">
        <v>46184</v>
      </c>
      <c r="D556" t="inlineStr">
        <is>
          <t>STOCKHOLMS LÄN</t>
        </is>
      </c>
      <c r="E556" t="inlineStr">
        <is>
          <t>NORRTÄLJE</t>
        </is>
      </c>
      <c r="F556" t="inlineStr">
        <is>
          <t>Holmen skog AB</t>
        </is>
      </c>
      <c r="G556" t="n">
        <v>3.6</v>
      </c>
      <c r="H556" t="n">
        <v>0</v>
      </c>
      <c r="I556" t="n">
        <v>0</v>
      </c>
      <c r="J556" t="n">
        <v>0</v>
      </c>
      <c r="K556" t="n">
        <v>0</v>
      </c>
      <c r="L556" t="n">
        <v>0</v>
      </c>
      <c r="M556" t="n">
        <v>0</v>
      </c>
      <c r="N556" t="n">
        <v>0</v>
      </c>
      <c r="O556" t="n">
        <v>0</v>
      </c>
      <c r="P556" t="n">
        <v>0</v>
      </c>
      <c r="Q556" t="n">
        <v>0</v>
      </c>
      <c r="R556" s="2" t="inlineStr"/>
    </row>
    <row r="557" ht="15" customHeight="1">
      <c r="A557" t="inlineStr">
        <is>
          <t>A 4438-2023</t>
        </is>
      </c>
      <c r="B557" s="1" t="n">
        <v>44956</v>
      </c>
      <c r="C557" s="1" t="n">
        <v>46184</v>
      </c>
      <c r="D557" t="inlineStr">
        <is>
          <t>STOCKHOLMS LÄN</t>
        </is>
      </c>
      <c r="E557" t="inlineStr">
        <is>
          <t>NORRTÄLJE</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60214-2025</t>
        </is>
      </c>
      <c r="B558" s="1" t="n">
        <v>45994.53761574074</v>
      </c>
      <c r="C558" s="1" t="n">
        <v>46184</v>
      </c>
      <c r="D558" t="inlineStr">
        <is>
          <t>STOCKHOLMS LÄN</t>
        </is>
      </c>
      <c r="E558" t="inlineStr">
        <is>
          <t>NORRTÄLJE</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60223-2025</t>
        </is>
      </c>
      <c r="B559" s="1" t="n">
        <v>45994.54497685185</v>
      </c>
      <c r="C559" s="1" t="n">
        <v>46184</v>
      </c>
      <c r="D559" t="inlineStr">
        <is>
          <t>STOCKHOLMS LÄN</t>
        </is>
      </c>
      <c r="E559" t="inlineStr">
        <is>
          <t>NORRTÄLJE</t>
        </is>
      </c>
      <c r="G559" t="n">
        <v>2.4</v>
      </c>
      <c r="H559" t="n">
        <v>0</v>
      </c>
      <c r="I559" t="n">
        <v>0</v>
      </c>
      <c r="J559" t="n">
        <v>0</v>
      </c>
      <c r="K559" t="n">
        <v>0</v>
      </c>
      <c r="L559" t="n">
        <v>0</v>
      </c>
      <c r="M559" t="n">
        <v>0</v>
      </c>
      <c r="N559" t="n">
        <v>0</v>
      </c>
      <c r="O559" t="n">
        <v>0</v>
      </c>
      <c r="P559" t="n">
        <v>0</v>
      </c>
      <c r="Q559" t="n">
        <v>0</v>
      </c>
      <c r="R559" s="2" t="inlineStr"/>
    </row>
    <row r="560" ht="15" customHeight="1">
      <c r="A560" t="inlineStr">
        <is>
          <t>A 60649-2025</t>
        </is>
      </c>
      <c r="B560" s="1" t="n">
        <v>45996.4560300926</v>
      </c>
      <c r="C560" s="1" t="n">
        <v>46184</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60948-2025</t>
        </is>
      </c>
      <c r="B561" s="1" t="n">
        <v>45999.650625</v>
      </c>
      <c r="C561" s="1" t="n">
        <v>46184</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47758-2023</t>
        </is>
      </c>
      <c r="B562" s="1" t="n">
        <v>45203.83891203703</v>
      </c>
      <c r="C562" s="1" t="n">
        <v>46184</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51061-2023</t>
        </is>
      </c>
      <c r="B563" s="1" t="n">
        <v>45218.65849537037</v>
      </c>
      <c r="C563" s="1" t="n">
        <v>46184</v>
      </c>
      <c r="D563" t="inlineStr">
        <is>
          <t>STOCKHOLMS LÄN</t>
        </is>
      </c>
      <c r="E563" t="inlineStr">
        <is>
          <t>NORRTÄLJE</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61160-2025</t>
        </is>
      </c>
      <c r="B564" s="1" t="n">
        <v>46000.55262731481</v>
      </c>
      <c r="C564" s="1" t="n">
        <v>46184</v>
      </c>
      <c r="D564" t="inlineStr">
        <is>
          <t>STOCKHOLMS LÄN</t>
        </is>
      </c>
      <c r="E564" t="inlineStr">
        <is>
          <t>NORRTÄLJE</t>
        </is>
      </c>
      <c r="G564" t="n">
        <v>5.3</v>
      </c>
      <c r="H564" t="n">
        <v>0</v>
      </c>
      <c r="I564" t="n">
        <v>0</v>
      </c>
      <c r="J564" t="n">
        <v>0</v>
      </c>
      <c r="K564" t="n">
        <v>0</v>
      </c>
      <c r="L564" t="n">
        <v>0</v>
      </c>
      <c r="M564" t="n">
        <v>0</v>
      </c>
      <c r="N564" t="n">
        <v>0</v>
      </c>
      <c r="O564" t="n">
        <v>0</v>
      </c>
      <c r="P564" t="n">
        <v>0</v>
      </c>
      <c r="Q564" t="n">
        <v>0</v>
      </c>
      <c r="R564" s="2" t="inlineStr"/>
    </row>
    <row r="565" ht="15" customHeight="1">
      <c r="A565" t="inlineStr">
        <is>
          <t>A 22697-2022</t>
        </is>
      </c>
      <c r="B565" s="1" t="n">
        <v>44714.56040509259</v>
      </c>
      <c r="C565" s="1" t="n">
        <v>46184</v>
      </c>
      <c r="D565" t="inlineStr">
        <is>
          <t>STOCKHOLMS LÄN</t>
        </is>
      </c>
      <c r="E565" t="inlineStr">
        <is>
          <t>NORRTÄLJE</t>
        </is>
      </c>
      <c r="G565" t="n">
        <v>5.6</v>
      </c>
      <c r="H565" t="n">
        <v>0</v>
      </c>
      <c r="I565" t="n">
        <v>0</v>
      </c>
      <c r="J565" t="n">
        <v>0</v>
      </c>
      <c r="K565" t="n">
        <v>0</v>
      </c>
      <c r="L565" t="n">
        <v>0</v>
      </c>
      <c r="M565" t="n">
        <v>0</v>
      </c>
      <c r="N565" t="n">
        <v>0</v>
      </c>
      <c r="O565" t="n">
        <v>0</v>
      </c>
      <c r="P565" t="n">
        <v>0</v>
      </c>
      <c r="Q565" t="n">
        <v>0</v>
      </c>
      <c r="R565" s="2" t="inlineStr"/>
    </row>
    <row r="566" ht="15" customHeight="1">
      <c r="A566" t="inlineStr">
        <is>
          <t>A 61430-2025</t>
        </is>
      </c>
      <c r="B566" s="1" t="n">
        <v>46001.55583333333</v>
      </c>
      <c r="C566" s="1" t="n">
        <v>46184</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45549-2022</t>
        </is>
      </c>
      <c r="B567" s="1" t="n">
        <v>44845.48064814815</v>
      </c>
      <c r="C567" s="1" t="n">
        <v>46184</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54396-2021</t>
        </is>
      </c>
      <c r="B568" s="1" t="n">
        <v>44472</v>
      </c>
      <c r="C568" s="1" t="n">
        <v>46184</v>
      </c>
      <c r="D568" t="inlineStr">
        <is>
          <t>STOCKHOLMS LÄN</t>
        </is>
      </c>
      <c r="E568" t="inlineStr">
        <is>
          <t>NORRTÄLJE</t>
        </is>
      </c>
      <c r="G568" t="n">
        <v>2.6</v>
      </c>
      <c r="H568" t="n">
        <v>0</v>
      </c>
      <c r="I568" t="n">
        <v>0</v>
      </c>
      <c r="J568" t="n">
        <v>0</v>
      </c>
      <c r="K568" t="n">
        <v>0</v>
      </c>
      <c r="L568" t="n">
        <v>0</v>
      </c>
      <c r="M568" t="n">
        <v>0</v>
      </c>
      <c r="N568" t="n">
        <v>0</v>
      </c>
      <c r="O568" t="n">
        <v>0</v>
      </c>
      <c r="P568" t="n">
        <v>0</v>
      </c>
      <c r="Q568" t="n">
        <v>0</v>
      </c>
      <c r="R568" s="2" t="inlineStr"/>
    </row>
    <row r="569" ht="15" customHeight="1">
      <c r="A569" t="inlineStr">
        <is>
          <t>A 24727-2023</t>
        </is>
      </c>
      <c r="B569" s="1" t="n">
        <v>45084.57695601852</v>
      </c>
      <c r="C569" s="1" t="n">
        <v>46184</v>
      </c>
      <c r="D569" t="inlineStr">
        <is>
          <t>STOCKHOLMS LÄN</t>
        </is>
      </c>
      <c r="E569" t="inlineStr">
        <is>
          <t>NORRTÄLJE</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48722-2023</t>
        </is>
      </c>
      <c r="B570" s="1" t="n">
        <v>45208.70996527778</v>
      </c>
      <c r="C570" s="1" t="n">
        <v>46184</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61289-2025</t>
        </is>
      </c>
      <c r="B571" s="1" t="n">
        <v>46000.73659722223</v>
      </c>
      <c r="C571" s="1" t="n">
        <v>46184</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35235-2024</t>
        </is>
      </c>
      <c r="B572" s="1" t="n">
        <v>45530</v>
      </c>
      <c r="C572" s="1" t="n">
        <v>46184</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61769-2025</t>
        </is>
      </c>
      <c r="B573" s="1" t="n">
        <v>46002.64556712963</v>
      </c>
      <c r="C573" s="1" t="n">
        <v>46184</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1448-2023</t>
        </is>
      </c>
      <c r="B574" s="1" t="n">
        <v>44937</v>
      </c>
      <c r="C574" s="1" t="n">
        <v>46184</v>
      </c>
      <c r="D574" t="inlineStr">
        <is>
          <t>STOCKHOLMS LÄN</t>
        </is>
      </c>
      <c r="E574" t="inlineStr">
        <is>
          <t>NORRTÄLJE</t>
        </is>
      </c>
      <c r="G574" t="n">
        <v>1.9</v>
      </c>
      <c r="H574" t="n">
        <v>0</v>
      </c>
      <c r="I574" t="n">
        <v>0</v>
      </c>
      <c r="J574" t="n">
        <v>0</v>
      </c>
      <c r="K574" t="n">
        <v>0</v>
      </c>
      <c r="L574" t="n">
        <v>0</v>
      </c>
      <c r="M574" t="n">
        <v>0</v>
      </c>
      <c r="N574" t="n">
        <v>0</v>
      </c>
      <c r="O574" t="n">
        <v>0</v>
      </c>
      <c r="P574" t="n">
        <v>0</v>
      </c>
      <c r="Q574" t="n">
        <v>0</v>
      </c>
      <c r="R574" s="2" t="inlineStr"/>
    </row>
    <row r="575" ht="15" customHeight="1">
      <c r="A575" t="inlineStr">
        <is>
          <t>A 8736-2024</t>
        </is>
      </c>
      <c r="B575" s="1" t="n">
        <v>45356.4722800926</v>
      </c>
      <c r="C575" s="1" t="n">
        <v>46184</v>
      </c>
      <c r="D575" t="inlineStr">
        <is>
          <t>STOCKHOLMS LÄN</t>
        </is>
      </c>
      <c r="E575" t="inlineStr">
        <is>
          <t>NORRTÄLJE</t>
        </is>
      </c>
      <c r="G575" t="n">
        <v>8.9</v>
      </c>
      <c r="H575" t="n">
        <v>0</v>
      </c>
      <c r="I575" t="n">
        <v>0</v>
      </c>
      <c r="J575" t="n">
        <v>0</v>
      </c>
      <c r="K575" t="n">
        <v>0</v>
      </c>
      <c r="L575" t="n">
        <v>0</v>
      </c>
      <c r="M575" t="n">
        <v>0</v>
      </c>
      <c r="N575" t="n">
        <v>0</v>
      </c>
      <c r="O575" t="n">
        <v>0</v>
      </c>
      <c r="P575" t="n">
        <v>0</v>
      </c>
      <c r="Q575" t="n">
        <v>0</v>
      </c>
      <c r="R575" s="2" t="inlineStr"/>
    </row>
    <row r="576" ht="15" customHeight="1">
      <c r="A576" t="inlineStr">
        <is>
          <t>A 61764-2025</t>
        </is>
      </c>
      <c r="B576" s="1" t="n">
        <v>46002.62763888889</v>
      </c>
      <c r="C576" s="1" t="n">
        <v>46184</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33149-2022</t>
        </is>
      </c>
      <c r="B577" s="1" t="n">
        <v>44785</v>
      </c>
      <c r="C577" s="1" t="n">
        <v>46184</v>
      </c>
      <c r="D577" t="inlineStr">
        <is>
          <t>STOCKHOLMS LÄN</t>
        </is>
      </c>
      <c r="E577" t="inlineStr">
        <is>
          <t>NORRTÄLJE</t>
        </is>
      </c>
      <c r="F577" t="inlineStr">
        <is>
          <t>Holmen skog AB</t>
        </is>
      </c>
      <c r="G577" t="n">
        <v>4.4</v>
      </c>
      <c r="H577" t="n">
        <v>0</v>
      </c>
      <c r="I577" t="n">
        <v>0</v>
      </c>
      <c r="J577" t="n">
        <v>0</v>
      </c>
      <c r="K577" t="n">
        <v>0</v>
      </c>
      <c r="L577" t="n">
        <v>0</v>
      </c>
      <c r="M577" t="n">
        <v>0</v>
      </c>
      <c r="N577" t="n">
        <v>0</v>
      </c>
      <c r="O577" t="n">
        <v>0</v>
      </c>
      <c r="P577" t="n">
        <v>0</v>
      </c>
      <c r="Q577" t="n">
        <v>0</v>
      </c>
      <c r="R577" s="2" t="inlineStr"/>
    </row>
    <row r="578" ht="15" customHeight="1">
      <c r="A578" t="inlineStr">
        <is>
          <t>A 33279-2025</t>
        </is>
      </c>
      <c r="B578" s="1" t="n">
        <v>45840</v>
      </c>
      <c r="C578" s="1" t="n">
        <v>46184</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53499-2025</t>
        </is>
      </c>
      <c r="B579" s="1" t="n">
        <v>45960</v>
      </c>
      <c r="C579" s="1" t="n">
        <v>46184</v>
      </c>
      <c r="D579" t="inlineStr">
        <is>
          <t>STOCKHOLMS LÄN</t>
        </is>
      </c>
      <c r="E579" t="inlineStr">
        <is>
          <t>NORRTÄLJE</t>
        </is>
      </c>
      <c r="G579" t="n">
        <v>23.8</v>
      </c>
      <c r="H579" t="n">
        <v>0</v>
      </c>
      <c r="I579" t="n">
        <v>0</v>
      </c>
      <c r="J579" t="n">
        <v>0</v>
      </c>
      <c r="K579" t="n">
        <v>0</v>
      </c>
      <c r="L579" t="n">
        <v>0</v>
      </c>
      <c r="M579" t="n">
        <v>0</v>
      </c>
      <c r="N579" t="n">
        <v>0</v>
      </c>
      <c r="O579" t="n">
        <v>0</v>
      </c>
      <c r="P579" t="n">
        <v>0</v>
      </c>
      <c r="Q579" t="n">
        <v>0</v>
      </c>
      <c r="R579" s="2" t="inlineStr"/>
    </row>
    <row r="580" ht="15" customHeight="1">
      <c r="A580" t="inlineStr">
        <is>
          <t>A 6537-2024</t>
        </is>
      </c>
      <c r="B580" s="1" t="n">
        <v>45341.39853009259</v>
      </c>
      <c r="C580" s="1" t="n">
        <v>46184</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62708-2025</t>
        </is>
      </c>
      <c r="B581" s="1" t="n">
        <v>46008.50986111111</v>
      </c>
      <c r="C581" s="1" t="n">
        <v>46184</v>
      </c>
      <c r="D581" t="inlineStr">
        <is>
          <t>STOCKHOLMS LÄN</t>
        </is>
      </c>
      <c r="E581" t="inlineStr">
        <is>
          <t>NORRTÄLJE</t>
        </is>
      </c>
      <c r="G581" t="n">
        <v>1.2</v>
      </c>
      <c r="H581" t="n">
        <v>0</v>
      </c>
      <c r="I581" t="n">
        <v>0</v>
      </c>
      <c r="J581" t="n">
        <v>0</v>
      </c>
      <c r="K581" t="n">
        <v>0</v>
      </c>
      <c r="L581" t="n">
        <v>0</v>
      </c>
      <c r="M581" t="n">
        <v>0</v>
      </c>
      <c r="N581" t="n">
        <v>0</v>
      </c>
      <c r="O581" t="n">
        <v>0</v>
      </c>
      <c r="P581" t="n">
        <v>0</v>
      </c>
      <c r="Q581" t="n">
        <v>0</v>
      </c>
      <c r="R581" s="2" t="inlineStr"/>
    </row>
    <row r="582" ht="15" customHeight="1">
      <c r="A582" t="inlineStr">
        <is>
          <t>A 40175-2024</t>
        </is>
      </c>
      <c r="B582" s="1" t="n">
        <v>45554.55707175926</v>
      </c>
      <c r="C582" s="1" t="n">
        <v>46184</v>
      </c>
      <c r="D582" t="inlineStr">
        <is>
          <t>STOCKHOLMS LÄN</t>
        </is>
      </c>
      <c r="E582" t="inlineStr">
        <is>
          <t>NORRTÄLJE</t>
        </is>
      </c>
      <c r="G582" t="n">
        <v>7.7</v>
      </c>
      <c r="H582" t="n">
        <v>0</v>
      </c>
      <c r="I582" t="n">
        <v>0</v>
      </c>
      <c r="J582" t="n">
        <v>0</v>
      </c>
      <c r="K582" t="n">
        <v>0</v>
      </c>
      <c r="L582" t="n">
        <v>0</v>
      </c>
      <c r="M582" t="n">
        <v>0</v>
      </c>
      <c r="N582" t="n">
        <v>0</v>
      </c>
      <c r="O582" t="n">
        <v>0</v>
      </c>
      <c r="P582" t="n">
        <v>0</v>
      </c>
      <c r="Q582" t="n">
        <v>0</v>
      </c>
      <c r="R582" s="2" t="inlineStr"/>
    </row>
    <row r="583" ht="15" customHeight="1">
      <c r="A583" t="inlineStr">
        <is>
          <t>A 34478-2025</t>
        </is>
      </c>
      <c r="B583" s="1" t="n">
        <v>45847</v>
      </c>
      <c r="C583" s="1" t="n">
        <v>46184</v>
      </c>
      <c r="D583" t="inlineStr">
        <is>
          <t>STOCKHOLMS LÄN</t>
        </is>
      </c>
      <c r="E583" t="inlineStr">
        <is>
          <t>NORRTÄLJE</t>
        </is>
      </c>
      <c r="F583" t="inlineStr">
        <is>
          <t>Övriga Aktiebolag</t>
        </is>
      </c>
      <c r="G583" t="n">
        <v>10.8</v>
      </c>
      <c r="H583" t="n">
        <v>0</v>
      </c>
      <c r="I583" t="n">
        <v>0</v>
      </c>
      <c r="J583" t="n">
        <v>0</v>
      </c>
      <c r="K583" t="n">
        <v>0</v>
      </c>
      <c r="L583" t="n">
        <v>0</v>
      </c>
      <c r="M583" t="n">
        <v>0</v>
      </c>
      <c r="N583" t="n">
        <v>0</v>
      </c>
      <c r="O583" t="n">
        <v>0</v>
      </c>
      <c r="P583" t="n">
        <v>0</v>
      </c>
      <c r="Q583" t="n">
        <v>0</v>
      </c>
      <c r="R583" s="2" t="inlineStr"/>
    </row>
    <row r="584" ht="15" customHeight="1">
      <c r="A584" t="inlineStr">
        <is>
          <t>A 62681-2025</t>
        </is>
      </c>
      <c r="B584" s="1" t="n">
        <v>46008.45534722223</v>
      </c>
      <c r="C584" s="1" t="n">
        <v>46184</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62922-2025</t>
        </is>
      </c>
      <c r="B585" s="1" t="n">
        <v>46009.38064814815</v>
      </c>
      <c r="C585" s="1" t="n">
        <v>46184</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23056-2023</t>
        </is>
      </c>
      <c r="B586" s="1" t="n">
        <v>45075</v>
      </c>
      <c r="C586" s="1" t="n">
        <v>46184</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47431-2023</t>
        </is>
      </c>
      <c r="B587" s="1" t="n">
        <v>45202</v>
      </c>
      <c r="C587" s="1" t="n">
        <v>46184</v>
      </c>
      <c r="D587" t="inlineStr">
        <is>
          <t>STOCKHOLMS LÄN</t>
        </is>
      </c>
      <c r="E587" t="inlineStr">
        <is>
          <t>NORRTÄLJE</t>
        </is>
      </c>
      <c r="F587" t="inlineStr">
        <is>
          <t>Naturvårdsverket</t>
        </is>
      </c>
      <c r="G587" t="n">
        <v>1.2</v>
      </c>
      <c r="H587" t="n">
        <v>0</v>
      </c>
      <c r="I587" t="n">
        <v>0</v>
      </c>
      <c r="J587" t="n">
        <v>0</v>
      </c>
      <c r="K587" t="n">
        <v>0</v>
      </c>
      <c r="L587" t="n">
        <v>0</v>
      </c>
      <c r="M587" t="n">
        <v>0</v>
      </c>
      <c r="N587" t="n">
        <v>0</v>
      </c>
      <c r="O587" t="n">
        <v>0</v>
      </c>
      <c r="P587" t="n">
        <v>0</v>
      </c>
      <c r="Q587" t="n">
        <v>0</v>
      </c>
      <c r="R587" s="2" t="inlineStr"/>
    </row>
    <row r="588" ht="15" customHeight="1">
      <c r="A588" t="inlineStr">
        <is>
          <t>A 59499-2023</t>
        </is>
      </c>
      <c r="B588" s="1" t="n">
        <v>45254</v>
      </c>
      <c r="C588" s="1" t="n">
        <v>46184</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62689-2025</t>
        </is>
      </c>
      <c r="B589" s="1" t="n">
        <v>46008.47171296296</v>
      </c>
      <c r="C589" s="1" t="n">
        <v>46184</v>
      </c>
      <c r="D589" t="inlineStr">
        <is>
          <t>STOCKHOLMS LÄN</t>
        </is>
      </c>
      <c r="E589" t="inlineStr">
        <is>
          <t>NORRTÄLJE</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59468-2023</t>
        </is>
      </c>
      <c r="B590" s="1" t="n">
        <v>45254.41509259259</v>
      </c>
      <c r="C590" s="1" t="n">
        <v>46184</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12532-2025</t>
        </is>
      </c>
      <c r="B591" s="1" t="n">
        <v>45730.69143518519</v>
      </c>
      <c r="C591" s="1" t="n">
        <v>46184</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5732-2023</t>
        </is>
      </c>
      <c r="B592" s="1" t="n">
        <v>44962</v>
      </c>
      <c r="C592" s="1" t="n">
        <v>46184</v>
      </c>
      <c r="D592" t="inlineStr">
        <is>
          <t>STOCKHOLMS LÄN</t>
        </is>
      </c>
      <c r="E592" t="inlineStr">
        <is>
          <t>NORRTÄLJE</t>
        </is>
      </c>
      <c r="G592" t="n">
        <v>0.5</v>
      </c>
      <c r="H592" t="n">
        <v>0</v>
      </c>
      <c r="I592" t="n">
        <v>0</v>
      </c>
      <c r="J592" t="n">
        <v>0</v>
      </c>
      <c r="K592" t="n">
        <v>0</v>
      </c>
      <c r="L592" t="n">
        <v>0</v>
      </c>
      <c r="M592" t="n">
        <v>0</v>
      </c>
      <c r="N592" t="n">
        <v>0</v>
      </c>
      <c r="O592" t="n">
        <v>0</v>
      </c>
      <c r="P592" t="n">
        <v>0</v>
      </c>
      <c r="Q592" t="n">
        <v>0</v>
      </c>
      <c r="R592" s="2" t="inlineStr"/>
    </row>
    <row r="593" ht="15" customHeight="1">
      <c r="A593" t="inlineStr">
        <is>
          <t>A 10653-2022</t>
        </is>
      </c>
      <c r="B593" s="1" t="n">
        <v>44624.59434027778</v>
      </c>
      <c r="C593" s="1" t="n">
        <v>46184</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21729-2024</t>
        </is>
      </c>
      <c r="B594" s="1" t="n">
        <v>45442</v>
      </c>
      <c r="C594" s="1" t="n">
        <v>46184</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59712-2024</t>
        </is>
      </c>
      <c r="B595" s="1" t="n">
        <v>45639.45166666667</v>
      </c>
      <c r="C595" s="1" t="n">
        <v>46184</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35127-2023</t>
        </is>
      </c>
      <c r="B596" s="1" t="n">
        <v>45145.51</v>
      </c>
      <c r="C596" s="1" t="n">
        <v>46184</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45255-2022</t>
        </is>
      </c>
      <c r="B597" s="1" t="n">
        <v>44840</v>
      </c>
      <c r="C597" s="1" t="n">
        <v>46184</v>
      </c>
      <c r="D597" t="inlineStr">
        <is>
          <t>STOCKHOLMS LÄN</t>
        </is>
      </c>
      <c r="E597" t="inlineStr">
        <is>
          <t>NORRTÄLJE</t>
        </is>
      </c>
      <c r="G597" t="n">
        <v>4.1</v>
      </c>
      <c r="H597" t="n">
        <v>0</v>
      </c>
      <c r="I597" t="n">
        <v>0</v>
      </c>
      <c r="J597" t="n">
        <v>0</v>
      </c>
      <c r="K597" t="n">
        <v>0</v>
      </c>
      <c r="L597" t="n">
        <v>0</v>
      </c>
      <c r="M597" t="n">
        <v>0</v>
      </c>
      <c r="N597" t="n">
        <v>0</v>
      </c>
      <c r="O597" t="n">
        <v>0</v>
      </c>
      <c r="P597" t="n">
        <v>0</v>
      </c>
      <c r="Q597" t="n">
        <v>0</v>
      </c>
      <c r="R597" s="2" t="inlineStr"/>
    </row>
    <row r="598" ht="15" customHeight="1">
      <c r="A598" t="inlineStr">
        <is>
          <t>A 59893-2022</t>
        </is>
      </c>
      <c r="B598" s="1" t="n">
        <v>44908.77368055555</v>
      </c>
      <c r="C598" s="1" t="n">
        <v>46184</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39905-2023</t>
        </is>
      </c>
      <c r="B599" s="1" t="n">
        <v>45168.44489583333</v>
      </c>
      <c r="C599" s="1" t="n">
        <v>46184</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5645-2023</t>
        </is>
      </c>
      <c r="B600" s="1" t="n">
        <v>44960.60469907407</v>
      </c>
      <c r="C600" s="1" t="n">
        <v>46184</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60529-2023</t>
        </is>
      </c>
      <c r="B601" s="1" t="n">
        <v>45259</v>
      </c>
      <c r="C601" s="1" t="n">
        <v>46184</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718-2026</t>
        </is>
      </c>
      <c r="B602" s="1" t="n">
        <v>46029.63174768518</v>
      </c>
      <c r="C602" s="1" t="n">
        <v>46184</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694-2026</t>
        </is>
      </c>
      <c r="B603" s="1" t="n">
        <v>46029.61375</v>
      </c>
      <c r="C603" s="1" t="n">
        <v>46184</v>
      </c>
      <c r="D603" t="inlineStr">
        <is>
          <t>STOCKHOLMS LÄN</t>
        </is>
      </c>
      <c r="E603" t="inlineStr">
        <is>
          <t>NORRTÄLJE</t>
        </is>
      </c>
      <c r="G603" t="n">
        <v>9.6</v>
      </c>
      <c r="H603" t="n">
        <v>0</v>
      </c>
      <c r="I603" t="n">
        <v>0</v>
      </c>
      <c r="J603" t="n">
        <v>0</v>
      </c>
      <c r="K603" t="n">
        <v>0</v>
      </c>
      <c r="L603" t="n">
        <v>0</v>
      </c>
      <c r="M603" t="n">
        <v>0</v>
      </c>
      <c r="N603" t="n">
        <v>0</v>
      </c>
      <c r="O603" t="n">
        <v>0</v>
      </c>
      <c r="P603" t="n">
        <v>0</v>
      </c>
      <c r="Q603" t="n">
        <v>0</v>
      </c>
      <c r="R603" s="2" t="inlineStr"/>
    </row>
    <row r="604" ht="15" customHeight="1">
      <c r="A604" t="inlineStr">
        <is>
          <t>A 19706-2023</t>
        </is>
      </c>
      <c r="B604" s="1" t="n">
        <v>45051.455</v>
      </c>
      <c r="C604" s="1" t="n">
        <v>46184</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693-2026</t>
        </is>
      </c>
      <c r="B605" s="1" t="n">
        <v>46029.6133449074</v>
      </c>
      <c r="C605" s="1" t="n">
        <v>46184</v>
      </c>
      <c r="D605" t="inlineStr">
        <is>
          <t>STOCKHOLMS LÄN</t>
        </is>
      </c>
      <c r="E605" t="inlineStr">
        <is>
          <t>NORRTÄLJE</t>
        </is>
      </c>
      <c r="G605" t="n">
        <v>9.6</v>
      </c>
      <c r="H605" t="n">
        <v>0</v>
      </c>
      <c r="I605" t="n">
        <v>0</v>
      </c>
      <c r="J605" t="n">
        <v>0</v>
      </c>
      <c r="K605" t="n">
        <v>0</v>
      </c>
      <c r="L605" t="n">
        <v>0</v>
      </c>
      <c r="M605" t="n">
        <v>0</v>
      </c>
      <c r="N605" t="n">
        <v>0</v>
      </c>
      <c r="O605" t="n">
        <v>0</v>
      </c>
      <c r="P605" t="n">
        <v>0</v>
      </c>
      <c r="Q605" t="n">
        <v>0</v>
      </c>
      <c r="R605" s="2" t="inlineStr"/>
    </row>
    <row r="606" ht="15" customHeight="1">
      <c r="A606" t="inlineStr">
        <is>
          <t>A 475-2026</t>
        </is>
      </c>
      <c r="B606" s="1" t="n">
        <v>46029.39351851852</v>
      </c>
      <c r="C606" s="1" t="n">
        <v>46184</v>
      </c>
      <c r="D606" t="inlineStr">
        <is>
          <t>STOCKHOLMS LÄN</t>
        </is>
      </c>
      <c r="E606" t="inlineStr">
        <is>
          <t>NORRTÄLJE</t>
        </is>
      </c>
      <c r="G606" t="n">
        <v>4.6</v>
      </c>
      <c r="H606" t="n">
        <v>0</v>
      </c>
      <c r="I606" t="n">
        <v>0</v>
      </c>
      <c r="J606" t="n">
        <v>0</v>
      </c>
      <c r="K606" t="n">
        <v>0</v>
      </c>
      <c r="L606" t="n">
        <v>0</v>
      </c>
      <c r="M606" t="n">
        <v>0</v>
      </c>
      <c r="N606" t="n">
        <v>0</v>
      </c>
      <c r="O606" t="n">
        <v>0</v>
      </c>
      <c r="P606" t="n">
        <v>0</v>
      </c>
      <c r="Q606" t="n">
        <v>0</v>
      </c>
      <c r="R606" s="2" t="inlineStr"/>
    </row>
    <row r="607" ht="15" customHeight="1">
      <c r="A607" t="inlineStr">
        <is>
          <t>A 717-2026</t>
        </is>
      </c>
      <c r="B607" s="1" t="n">
        <v>46029.63028935185</v>
      </c>
      <c r="C607" s="1" t="n">
        <v>46184</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16835-2022</t>
        </is>
      </c>
      <c r="B608" s="1" t="n">
        <v>44673</v>
      </c>
      <c r="C608" s="1" t="n">
        <v>46184</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812-2026</t>
        </is>
      </c>
      <c r="B609" s="1" t="n">
        <v>46030.33358796296</v>
      </c>
      <c r="C609" s="1" t="n">
        <v>46184</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62765-2022</t>
        </is>
      </c>
      <c r="B610" s="1" t="n">
        <v>44637</v>
      </c>
      <c r="C610" s="1" t="n">
        <v>46184</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58404-2023</t>
        </is>
      </c>
      <c r="B611" s="1" t="n">
        <v>45245</v>
      </c>
      <c r="C611" s="1" t="n">
        <v>46184</v>
      </c>
      <c r="D611" t="inlineStr">
        <is>
          <t>STOCKHOLMS LÄN</t>
        </is>
      </c>
      <c r="E611" t="inlineStr">
        <is>
          <t>NORRTÄLJE</t>
        </is>
      </c>
      <c r="G611" t="n">
        <v>53.5</v>
      </c>
      <c r="H611" t="n">
        <v>0</v>
      </c>
      <c r="I611" t="n">
        <v>0</v>
      </c>
      <c r="J611" t="n">
        <v>0</v>
      </c>
      <c r="K611" t="n">
        <v>0</v>
      </c>
      <c r="L611" t="n">
        <v>0</v>
      </c>
      <c r="M611" t="n">
        <v>0</v>
      </c>
      <c r="N611" t="n">
        <v>0</v>
      </c>
      <c r="O611" t="n">
        <v>0</v>
      </c>
      <c r="P611" t="n">
        <v>0</v>
      </c>
      <c r="Q611" t="n">
        <v>0</v>
      </c>
      <c r="R611" s="2" t="inlineStr"/>
    </row>
    <row r="612" ht="15" customHeight="1">
      <c r="A612" t="inlineStr">
        <is>
          <t>A 16202-2022</t>
        </is>
      </c>
      <c r="B612" s="1" t="n">
        <v>44670</v>
      </c>
      <c r="C612" s="1" t="n">
        <v>46184</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55018-2024</t>
        </is>
      </c>
      <c r="B613" s="1" t="n">
        <v>45621.35712962963</v>
      </c>
      <c r="C613" s="1" t="n">
        <v>46184</v>
      </c>
      <c r="D613" t="inlineStr">
        <is>
          <t>STOCKHOLMS LÄN</t>
        </is>
      </c>
      <c r="E613" t="inlineStr">
        <is>
          <t>NORRTÄLJE</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50136-2023</t>
        </is>
      </c>
      <c r="B614" s="1" t="n">
        <v>45215</v>
      </c>
      <c r="C614" s="1" t="n">
        <v>46184</v>
      </c>
      <c r="D614" t="inlineStr">
        <is>
          <t>STOCKHOLMS LÄN</t>
        </is>
      </c>
      <c r="E614" t="inlineStr">
        <is>
          <t>NORRTÄLJE</t>
        </is>
      </c>
      <c r="G614" t="n">
        <v>5.2</v>
      </c>
      <c r="H614" t="n">
        <v>0</v>
      </c>
      <c r="I614" t="n">
        <v>0</v>
      </c>
      <c r="J614" t="n">
        <v>0</v>
      </c>
      <c r="K614" t="n">
        <v>0</v>
      </c>
      <c r="L614" t="n">
        <v>0</v>
      </c>
      <c r="M614" t="n">
        <v>0</v>
      </c>
      <c r="N614" t="n">
        <v>0</v>
      </c>
      <c r="O614" t="n">
        <v>0</v>
      </c>
      <c r="P614" t="n">
        <v>0</v>
      </c>
      <c r="Q614" t="n">
        <v>0</v>
      </c>
      <c r="R614" s="2" t="inlineStr"/>
    </row>
    <row r="615" ht="15" customHeight="1">
      <c r="A615" t="inlineStr">
        <is>
          <t>A 25656-2023</t>
        </is>
      </c>
      <c r="B615" s="1" t="n">
        <v>45089</v>
      </c>
      <c r="C615" s="1" t="n">
        <v>46184</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6003-2025</t>
        </is>
      </c>
      <c r="B616" s="1" t="n">
        <v>45695.57881944445</v>
      </c>
      <c r="C616" s="1" t="n">
        <v>46184</v>
      </c>
      <c r="D616" t="inlineStr">
        <is>
          <t>STOCKHOLMS LÄN</t>
        </is>
      </c>
      <c r="E616" t="inlineStr">
        <is>
          <t>NORRTÄLJE</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1755-2026</t>
        </is>
      </c>
      <c r="B617" s="1" t="n">
        <v>46034.66230324074</v>
      </c>
      <c r="C617" s="1" t="n">
        <v>46184</v>
      </c>
      <c r="D617" t="inlineStr">
        <is>
          <t>STOCKHOLMS LÄN</t>
        </is>
      </c>
      <c r="E617" t="inlineStr">
        <is>
          <t>NORRTÄLJE</t>
        </is>
      </c>
      <c r="F617" t="inlineStr">
        <is>
          <t>Holmen skog AB</t>
        </is>
      </c>
      <c r="G617" t="n">
        <v>3.5</v>
      </c>
      <c r="H617" t="n">
        <v>0</v>
      </c>
      <c r="I617" t="n">
        <v>0</v>
      </c>
      <c r="J617" t="n">
        <v>0</v>
      </c>
      <c r="K617" t="n">
        <v>0</v>
      </c>
      <c r="L617" t="n">
        <v>0</v>
      </c>
      <c r="M617" t="n">
        <v>0</v>
      </c>
      <c r="N617" t="n">
        <v>0</v>
      </c>
      <c r="O617" t="n">
        <v>0</v>
      </c>
      <c r="P617" t="n">
        <v>0</v>
      </c>
      <c r="Q617" t="n">
        <v>0</v>
      </c>
      <c r="R617" s="2" t="inlineStr"/>
    </row>
    <row r="618" ht="15" customHeight="1">
      <c r="A618" t="inlineStr">
        <is>
          <t>A 1789-2026</t>
        </is>
      </c>
      <c r="B618" s="1" t="n">
        <v>46034</v>
      </c>
      <c r="C618" s="1" t="n">
        <v>46184</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11902-2024</t>
        </is>
      </c>
      <c r="B619" s="1" t="n">
        <v>45376.55704861111</v>
      </c>
      <c r="C619" s="1" t="n">
        <v>46184</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38049-2023</t>
        </is>
      </c>
      <c r="B620" s="1" t="n">
        <v>45159</v>
      </c>
      <c r="C620" s="1" t="n">
        <v>46184</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2088-2026</t>
        </is>
      </c>
      <c r="B621" s="1" t="n">
        <v>46036.35909722222</v>
      </c>
      <c r="C621" s="1" t="n">
        <v>46184</v>
      </c>
      <c r="D621" t="inlineStr">
        <is>
          <t>STOCKHOLMS LÄN</t>
        </is>
      </c>
      <c r="E621" t="inlineStr">
        <is>
          <t>NORRTÄLJE</t>
        </is>
      </c>
      <c r="G621" t="n">
        <v>7</v>
      </c>
      <c r="H621" t="n">
        <v>0</v>
      </c>
      <c r="I621" t="n">
        <v>0</v>
      </c>
      <c r="J621" t="n">
        <v>0</v>
      </c>
      <c r="K621" t="n">
        <v>0</v>
      </c>
      <c r="L621" t="n">
        <v>0</v>
      </c>
      <c r="M621" t="n">
        <v>0</v>
      </c>
      <c r="N621" t="n">
        <v>0</v>
      </c>
      <c r="O621" t="n">
        <v>0</v>
      </c>
      <c r="P621" t="n">
        <v>0</v>
      </c>
      <c r="Q621" t="n">
        <v>0</v>
      </c>
      <c r="R621" s="2" t="inlineStr"/>
    </row>
    <row r="622" ht="15" customHeight="1">
      <c r="A622" t="inlineStr">
        <is>
          <t>A 4183-2025</t>
        </is>
      </c>
      <c r="B622" s="1" t="n">
        <v>45685.44592592592</v>
      </c>
      <c r="C622" s="1" t="n">
        <v>46184</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2116-2026</t>
        </is>
      </c>
      <c r="B623" s="1" t="n">
        <v>46036.38108796296</v>
      </c>
      <c r="C623" s="1" t="n">
        <v>46184</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24522-2023</t>
        </is>
      </c>
      <c r="B624" s="1" t="n">
        <v>45082.69179398148</v>
      </c>
      <c r="C624" s="1" t="n">
        <v>46184</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25625-2023</t>
        </is>
      </c>
      <c r="B625" s="1" t="n">
        <v>45089</v>
      </c>
      <c r="C625" s="1" t="n">
        <v>46184</v>
      </c>
      <c r="D625" t="inlineStr">
        <is>
          <t>STOCKHOLMS LÄN</t>
        </is>
      </c>
      <c r="E625" t="inlineStr">
        <is>
          <t>NORRTÄLJE</t>
        </is>
      </c>
      <c r="G625" t="n">
        <v>5.5</v>
      </c>
      <c r="H625" t="n">
        <v>0</v>
      </c>
      <c r="I625" t="n">
        <v>0</v>
      </c>
      <c r="J625" t="n">
        <v>0</v>
      </c>
      <c r="K625" t="n">
        <v>0</v>
      </c>
      <c r="L625" t="n">
        <v>0</v>
      </c>
      <c r="M625" t="n">
        <v>0</v>
      </c>
      <c r="N625" t="n">
        <v>0</v>
      </c>
      <c r="O625" t="n">
        <v>0</v>
      </c>
      <c r="P625" t="n">
        <v>0</v>
      </c>
      <c r="Q625" t="n">
        <v>0</v>
      </c>
      <c r="R625" s="2" t="inlineStr"/>
    </row>
    <row r="626" ht="15" customHeight="1">
      <c r="A626" t="inlineStr">
        <is>
          <t>A 37147-2023</t>
        </is>
      </c>
      <c r="B626" s="1" t="n">
        <v>45155</v>
      </c>
      <c r="C626" s="1" t="n">
        <v>46184</v>
      </c>
      <c r="D626" t="inlineStr">
        <is>
          <t>STOCKHOLMS LÄN</t>
        </is>
      </c>
      <c r="E626" t="inlineStr">
        <is>
          <t>NORRTÄLJE</t>
        </is>
      </c>
      <c r="G626" t="n">
        <v>8</v>
      </c>
      <c r="H626" t="n">
        <v>0</v>
      </c>
      <c r="I626" t="n">
        <v>0</v>
      </c>
      <c r="J626" t="n">
        <v>0</v>
      </c>
      <c r="K626" t="n">
        <v>0</v>
      </c>
      <c r="L626" t="n">
        <v>0</v>
      </c>
      <c r="M626" t="n">
        <v>0</v>
      </c>
      <c r="N626" t="n">
        <v>0</v>
      </c>
      <c r="O626" t="n">
        <v>0</v>
      </c>
      <c r="P626" t="n">
        <v>0</v>
      </c>
      <c r="Q626" t="n">
        <v>0</v>
      </c>
      <c r="R626" s="2" t="inlineStr"/>
    </row>
    <row r="627" ht="15" customHeight="1">
      <c r="A627" t="inlineStr">
        <is>
          <t>A 7186-2024</t>
        </is>
      </c>
      <c r="B627" s="1" t="n">
        <v>45344</v>
      </c>
      <c r="C627" s="1" t="n">
        <v>46184</v>
      </c>
      <c r="D627" t="inlineStr">
        <is>
          <t>STOCKHOLMS LÄN</t>
        </is>
      </c>
      <c r="E627" t="inlineStr">
        <is>
          <t>NORRTÄLJE</t>
        </is>
      </c>
      <c r="G627" t="n">
        <v>4.9</v>
      </c>
      <c r="H627" t="n">
        <v>0</v>
      </c>
      <c r="I627" t="n">
        <v>0</v>
      </c>
      <c r="J627" t="n">
        <v>0</v>
      </c>
      <c r="K627" t="n">
        <v>0</v>
      </c>
      <c r="L627" t="n">
        <v>0</v>
      </c>
      <c r="M627" t="n">
        <v>0</v>
      </c>
      <c r="N627" t="n">
        <v>0</v>
      </c>
      <c r="O627" t="n">
        <v>0</v>
      </c>
      <c r="P627" t="n">
        <v>0</v>
      </c>
      <c r="Q627" t="n">
        <v>0</v>
      </c>
      <c r="R627" s="2" t="inlineStr"/>
    </row>
    <row r="628" ht="15" customHeight="1">
      <c r="A628" t="inlineStr">
        <is>
          <t>A 3549-2026</t>
        </is>
      </c>
      <c r="B628" s="1" t="n">
        <v>46042</v>
      </c>
      <c r="C628" s="1" t="n">
        <v>46184</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50602-2021</t>
        </is>
      </c>
      <c r="B629" s="1" t="n">
        <v>44459</v>
      </c>
      <c r="C629" s="1" t="n">
        <v>46184</v>
      </c>
      <c r="D629" t="inlineStr">
        <is>
          <t>STOCKHOLMS LÄN</t>
        </is>
      </c>
      <c r="E629" t="inlineStr">
        <is>
          <t>NORRTÄLJE</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26365-2024</t>
        </is>
      </c>
      <c r="B630" s="1" t="n">
        <v>45469</v>
      </c>
      <c r="C630" s="1" t="n">
        <v>46184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26640-2023</t>
        </is>
      </c>
      <c r="B631" s="1" t="n">
        <v>45092</v>
      </c>
      <c r="C631" s="1" t="n">
        <v>46184</v>
      </c>
      <c r="D631" t="inlineStr">
        <is>
          <t>STOCKHOLMS LÄN</t>
        </is>
      </c>
      <c r="E631" t="inlineStr">
        <is>
          <t>NORRTÄLJE</t>
        </is>
      </c>
      <c r="G631" t="n">
        <v>5.7</v>
      </c>
      <c r="H631" t="n">
        <v>0</v>
      </c>
      <c r="I631" t="n">
        <v>0</v>
      </c>
      <c r="J631" t="n">
        <v>0</v>
      </c>
      <c r="K631" t="n">
        <v>0</v>
      </c>
      <c r="L631" t="n">
        <v>0</v>
      </c>
      <c r="M631" t="n">
        <v>0</v>
      </c>
      <c r="N631" t="n">
        <v>0</v>
      </c>
      <c r="O631" t="n">
        <v>0</v>
      </c>
      <c r="P631" t="n">
        <v>0</v>
      </c>
      <c r="Q631" t="n">
        <v>0</v>
      </c>
      <c r="R631" s="2" t="inlineStr"/>
    </row>
    <row r="632" ht="15" customHeight="1">
      <c r="A632" t="inlineStr">
        <is>
          <t>A 31827-2023</t>
        </is>
      </c>
      <c r="B632" s="1" t="n">
        <v>45118</v>
      </c>
      <c r="C632" s="1" t="n">
        <v>46184</v>
      </c>
      <c r="D632" t="inlineStr">
        <is>
          <t>STOCKHOLMS LÄN</t>
        </is>
      </c>
      <c r="E632" t="inlineStr">
        <is>
          <t>NORRTÄLJE</t>
        </is>
      </c>
      <c r="F632" t="inlineStr">
        <is>
          <t>Kyrkan</t>
        </is>
      </c>
      <c r="G632" t="n">
        <v>4.9</v>
      </c>
      <c r="H632" t="n">
        <v>0</v>
      </c>
      <c r="I632" t="n">
        <v>0</v>
      </c>
      <c r="J632" t="n">
        <v>0</v>
      </c>
      <c r="K632" t="n">
        <v>0</v>
      </c>
      <c r="L632" t="n">
        <v>0</v>
      </c>
      <c r="M632" t="n">
        <v>0</v>
      </c>
      <c r="N632" t="n">
        <v>0</v>
      </c>
      <c r="O632" t="n">
        <v>0</v>
      </c>
      <c r="P632" t="n">
        <v>0</v>
      </c>
      <c r="Q632" t="n">
        <v>0</v>
      </c>
      <c r="R632" s="2" t="inlineStr"/>
    </row>
    <row r="633" ht="15" customHeight="1">
      <c r="A633" t="inlineStr">
        <is>
          <t>A 58993-2022</t>
        </is>
      </c>
      <c r="B633" s="1" t="n">
        <v>44903</v>
      </c>
      <c r="C633" s="1" t="n">
        <v>46184</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28900-2022</t>
        </is>
      </c>
      <c r="B634" s="1" t="n">
        <v>44749.55258101852</v>
      </c>
      <c r="C634" s="1" t="n">
        <v>46184</v>
      </c>
      <c r="D634" t="inlineStr">
        <is>
          <t>STOCKHOLMS LÄN</t>
        </is>
      </c>
      <c r="E634" t="inlineStr">
        <is>
          <t>NORRTÄLJE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4230-2026</t>
        </is>
      </c>
      <c r="B635" s="1" t="n">
        <v>46044.89366898148</v>
      </c>
      <c r="C635" s="1" t="n">
        <v>46184</v>
      </c>
      <c r="D635" t="inlineStr">
        <is>
          <t>STOCKHOLMS LÄN</t>
        </is>
      </c>
      <c r="E635" t="inlineStr">
        <is>
          <t>NORRTÄLJE</t>
        </is>
      </c>
      <c r="G635" t="n">
        <v>10.8</v>
      </c>
      <c r="H635" t="n">
        <v>0</v>
      </c>
      <c r="I635" t="n">
        <v>0</v>
      </c>
      <c r="J635" t="n">
        <v>0</v>
      </c>
      <c r="K635" t="n">
        <v>0</v>
      </c>
      <c r="L635" t="n">
        <v>0</v>
      </c>
      <c r="M635" t="n">
        <v>0</v>
      </c>
      <c r="N635" t="n">
        <v>0</v>
      </c>
      <c r="O635" t="n">
        <v>0</v>
      </c>
      <c r="P635" t="n">
        <v>0</v>
      </c>
      <c r="Q635" t="n">
        <v>0</v>
      </c>
      <c r="R635" s="2" t="inlineStr"/>
    </row>
    <row r="636" ht="15" customHeight="1">
      <c r="A636" t="inlineStr">
        <is>
          <t>A 4232-2026</t>
        </is>
      </c>
      <c r="B636" s="1" t="n">
        <v>46044.89594907407</v>
      </c>
      <c r="C636" s="1" t="n">
        <v>46184</v>
      </c>
      <c r="D636" t="inlineStr">
        <is>
          <t>STOCKHOLMS LÄN</t>
        </is>
      </c>
      <c r="E636" t="inlineStr">
        <is>
          <t>NORRTÄLJE</t>
        </is>
      </c>
      <c r="G636" t="n">
        <v>3.8</v>
      </c>
      <c r="H636" t="n">
        <v>0</v>
      </c>
      <c r="I636" t="n">
        <v>0</v>
      </c>
      <c r="J636" t="n">
        <v>0</v>
      </c>
      <c r="K636" t="n">
        <v>0</v>
      </c>
      <c r="L636" t="n">
        <v>0</v>
      </c>
      <c r="M636" t="n">
        <v>0</v>
      </c>
      <c r="N636" t="n">
        <v>0</v>
      </c>
      <c r="O636" t="n">
        <v>0</v>
      </c>
      <c r="P636" t="n">
        <v>0</v>
      </c>
      <c r="Q636" t="n">
        <v>0</v>
      </c>
      <c r="R636" s="2" t="inlineStr"/>
    </row>
    <row r="637" ht="15" customHeight="1">
      <c r="A637" t="inlineStr">
        <is>
          <t>A 58297-2023</t>
        </is>
      </c>
      <c r="B637" s="1" t="n">
        <v>45245</v>
      </c>
      <c r="C637" s="1" t="n">
        <v>46184</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3933-2026</t>
        </is>
      </c>
      <c r="B638" s="1" t="n">
        <v>46043.79916666666</v>
      </c>
      <c r="C638" s="1" t="n">
        <v>46184</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20304-2023</t>
        </is>
      </c>
      <c r="B639" s="1" t="n">
        <v>45056</v>
      </c>
      <c r="C639" s="1" t="n">
        <v>46184</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22157-2023</t>
        </is>
      </c>
      <c r="B640" s="1" t="n">
        <v>45069</v>
      </c>
      <c r="C640" s="1" t="n">
        <v>46184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c r="U640">
        <f>HYPERLINK("https://klasma.github.io/Logging_0188/knärot/A 22157-2023 karta knärot.png", "A 22157-2023")</f>
        <v/>
      </c>
      <c r="V640">
        <f>HYPERLINK("https://klasma.github.io/Logging_0188/klagomål/A 22157-2023 FSC-klagomål.docx", "A 22157-2023")</f>
        <v/>
      </c>
      <c r="W640">
        <f>HYPERLINK("https://klasma.github.io/Logging_0188/klagomålsmail/A 22157-2023 FSC-klagomål mail.docx", "A 22157-2023")</f>
        <v/>
      </c>
      <c r="X640">
        <f>HYPERLINK("https://klasma.github.io/Logging_0188/tillsyn/A 22157-2023 tillsynsbegäran.docx", "A 22157-2023")</f>
        <v/>
      </c>
      <c r="Y640">
        <f>HYPERLINK("https://klasma.github.io/Logging_0188/tillsynsmail/A 22157-2023 tillsynsbegäran mail.docx", "A 22157-2023")</f>
        <v/>
      </c>
    </row>
    <row r="641" ht="15" customHeight="1">
      <c r="A641" t="inlineStr">
        <is>
          <t>A 11929-2024</t>
        </is>
      </c>
      <c r="B641" s="1" t="n">
        <v>45376.64532407407</v>
      </c>
      <c r="C641" s="1" t="n">
        <v>46184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4549-2026</t>
        </is>
      </c>
      <c r="B642" s="1" t="n">
        <v>46047</v>
      </c>
      <c r="C642" s="1" t="n">
        <v>46184</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4886-2026</t>
        </is>
      </c>
      <c r="B643" s="1" t="n">
        <v>46048.66328703704</v>
      </c>
      <c r="C643" s="1" t="n">
        <v>46184</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8296-2023</t>
        </is>
      </c>
      <c r="B644" s="1" t="n">
        <v>44974</v>
      </c>
      <c r="C644" s="1" t="n">
        <v>46184</v>
      </c>
      <c r="D644" t="inlineStr">
        <is>
          <t>STOCKHOLMS LÄN</t>
        </is>
      </c>
      <c r="E644" t="inlineStr">
        <is>
          <t>NORRTÄLJE</t>
        </is>
      </c>
      <c r="G644" t="n">
        <v>3.8</v>
      </c>
      <c r="H644" t="n">
        <v>0</v>
      </c>
      <c r="I644" t="n">
        <v>0</v>
      </c>
      <c r="J644" t="n">
        <v>0</v>
      </c>
      <c r="K644" t="n">
        <v>0</v>
      </c>
      <c r="L644" t="n">
        <v>0</v>
      </c>
      <c r="M644" t="n">
        <v>0</v>
      </c>
      <c r="N644" t="n">
        <v>0</v>
      </c>
      <c r="O644" t="n">
        <v>0</v>
      </c>
      <c r="P644" t="n">
        <v>0</v>
      </c>
      <c r="Q644" t="n">
        <v>0</v>
      </c>
      <c r="R644" s="2" t="inlineStr"/>
    </row>
    <row r="645" ht="15" customHeight="1">
      <c r="A645" t="inlineStr">
        <is>
          <t>A 24575-2024</t>
        </is>
      </c>
      <c r="B645" s="1" t="n">
        <v>45460.45523148148</v>
      </c>
      <c r="C645" s="1" t="n">
        <v>46184</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52593-2024</t>
        </is>
      </c>
      <c r="B646" s="1" t="n">
        <v>45609.70778935185</v>
      </c>
      <c r="C646" s="1" t="n">
        <v>46184</v>
      </c>
      <c r="D646" t="inlineStr">
        <is>
          <t>STOCKHOLMS LÄN</t>
        </is>
      </c>
      <c r="E646" t="inlineStr">
        <is>
          <t>NORRTÄLJE</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52617-2024</t>
        </is>
      </c>
      <c r="B647" s="1" t="n">
        <v>45609.85146990741</v>
      </c>
      <c r="C647" s="1" t="n">
        <v>46184</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5226-2026</t>
        </is>
      </c>
      <c r="B648" s="1" t="n">
        <v>46049.79961805556</v>
      </c>
      <c r="C648" s="1" t="n">
        <v>46184</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5224-2026</t>
        </is>
      </c>
      <c r="B649" s="1" t="n">
        <v>46049.79521990741</v>
      </c>
      <c r="C649" s="1" t="n">
        <v>46184</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5227-2026</t>
        </is>
      </c>
      <c r="B650" s="1" t="n">
        <v>46049.80460648148</v>
      </c>
      <c r="C650" s="1" t="n">
        <v>46184</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5241-2026</t>
        </is>
      </c>
      <c r="B651" s="1" t="n">
        <v>46049.86471064815</v>
      </c>
      <c r="C651" s="1" t="n">
        <v>46184</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59904-2023</t>
        </is>
      </c>
      <c r="B652" s="1" t="n">
        <v>45257</v>
      </c>
      <c r="C652" s="1" t="n">
        <v>46184</v>
      </c>
      <c r="D652" t="inlineStr">
        <is>
          <t>STOCKHOLMS LÄN</t>
        </is>
      </c>
      <c r="E652" t="inlineStr">
        <is>
          <t>NORRTÄLJE</t>
        </is>
      </c>
      <c r="G652" t="n">
        <v>17.4</v>
      </c>
      <c r="H652" t="n">
        <v>0</v>
      </c>
      <c r="I652" t="n">
        <v>0</v>
      </c>
      <c r="J652" t="n">
        <v>0</v>
      </c>
      <c r="K652" t="n">
        <v>0</v>
      </c>
      <c r="L652" t="n">
        <v>0</v>
      </c>
      <c r="M652" t="n">
        <v>0</v>
      </c>
      <c r="N652" t="n">
        <v>0</v>
      </c>
      <c r="O652" t="n">
        <v>0</v>
      </c>
      <c r="P652" t="n">
        <v>0</v>
      </c>
      <c r="Q652" t="n">
        <v>0</v>
      </c>
      <c r="R652" s="2" t="inlineStr"/>
    </row>
    <row r="653" ht="15" customHeight="1">
      <c r="A653" t="inlineStr">
        <is>
          <t>A 9914-2023</t>
        </is>
      </c>
      <c r="B653" s="1" t="n">
        <v>44985</v>
      </c>
      <c r="C653" s="1" t="n">
        <v>46184</v>
      </c>
      <c r="D653" t="inlineStr">
        <is>
          <t>STOCKHOLMS LÄN</t>
        </is>
      </c>
      <c r="E653" t="inlineStr">
        <is>
          <t>NORRTÄLJE</t>
        </is>
      </c>
      <c r="G653" t="n">
        <v>4.2</v>
      </c>
      <c r="H653" t="n">
        <v>0</v>
      </c>
      <c r="I653" t="n">
        <v>0</v>
      </c>
      <c r="J653" t="n">
        <v>0</v>
      </c>
      <c r="K653" t="n">
        <v>0</v>
      </c>
      <c r="L653" t="n">
        <v>0</v>
      </c>
      <c r="M653" t="n">
        <v>0</v>
      </c>
      <c r="N653" t="n">
        <v>0</v>
      </c>
      <c r="O653" t="n">
        <v>0</v>
      </c>
      <c r="P653" t="n">
        <v>0</v>
      </c>
      <c r="Q653" t="n">
        <v>0</v>
      </c>
      <c r="R653" s="2" t="inlineStr"/>
    </row>
    <row r="654" ht="15" customHeight="1">
      <c r="A654" t="inlineStr">
        <is>
          <t>A 39610-2025</t>
        </is>
      </c>
      <c r="B654" s="1" t="n">
        <v>45890</v>
      </c>
      <c r="C654" s="1" t="n">
        <v>46184</v>
      </c>
      <c r="D654" t="inlineStr">
        <is>
          <t>STOCKHOLMS LÄN</t>
        </is>
      </c>
      <c r="E654" t="inlineStr">
        <is>
          <t>NORRTÄLJE</t>
        </is>
      </c>
      <c r="G654" t="n">
        <v>28.6</v>
      </c>
      <c r="H654" t="n">
        <v>0</v>
      </c>
      <c r="I654" t="n">
        <v>0</v>
      </c>
      <c r="J654" t="n">
        <v>0</v>
      </c>
      <c r="K654" t="n">
        <v>0</v>
      </c>
      <c r="L654" t="n">
        <v>0</v>
      </c>
      <c r="M654" t="n">
        <v>0</v>
      </c>
      <c r="N654" t="n">
        <v>0</v>
      </c>
      <c r="O654" t="n">
        <v>0</v>
      </c>
      <c r="P654" t="n">
        <v>0</v>
      </c>
      <c r="Q654" t="n">
        <v>0</v>
      </c>
      <c r="R654" s="2" t="inlineStr"/>
    </row>
    <row r="655" ht="15" customHeight="1">
      <c r="A655" t="inlineStr">
        <is>
          <t>A 5934-2026</t>
        </is>
      </c>
      <c r="B655" s="1" t="n">
        <v>46052.47082175926</v>
      </c>
      <c r="C655" s="1" t="n">
        <v>46184</v>
      </c>
      <c r="D655" t="inlineStr">
        <is>
          <t>STOCKHOLMS LÄN</t>
        </is>
      </c>
      <c r="E655" t="inlineStr">
        <is>
          <t>NORRTÄLJE</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15905-2023</t>
        </is>
      </c>
      <c r="B656" s="1" t="n">
        <v>45022</v>
      </c>
      <c r="C656" s="1" t="n">
        <v>46184</v>
      </c>
      <c r="D656" t="inlineStr">
        <is>
          <t>STOCKHOLMS LÄN</t>
        </is>
      </c>
      <c r="E656" t="inlineStr">
        <is>
          <t>NORRTÄLJE</t>
        </is>
      </c>
      <c r="G656" t="n">
        <v>3.2</v>
      </c>
      <c r="H656" t="n">
        <v>0</v>
      </c>
      <c r="I656" t="n">
        <v>0</v>
      </c>
      <c r="J656" t="n">
        <v>0</v>
      </c>
      <c r="K656" t="n">
        <v>0</v>
      </c>
      <c r="L656" t="n">
        <v>0</v>
      </c>
      <c r="M656" t="n">
        <v>0</v>
      </c>
      <c r="N656" t="n">
        <v>0</v>
      </c>
      <c r="O656" t="n">
        <v>0</v>
      </c>
      <c r="P656" t="n">
        <v>0</v>
      </c>
      <c r="Q656" t="n">
        <v>0</v>
      </c>
      <c r="R656" s="2" t="inlineStr"/>
    </row>
    <row r="657" ht="15" customHeight="1">
      <c r="A657" t="inlineStr">
        <is>
          <t>A 15956-2023</t>
        </is>
      </c>
      <c r="B657" s="1" t="n">
        <v>45022.61003472222</v>
      </c>
      <c r="C657" s="1" t="n">
        <v>46184</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47626-2022</t>
        </is>
      </c>
      <c r="B658" s="1" t="n">
        <v>44854</v>
      </c>
      <c r="C658" s="1" t="n">
        <v>46184</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6724-2026</t>
        </is>
      </c>
      <c r="B659" s="1" t="n">
        <v>46056.67717592593</v>
      </c>
      <c r="C659" s="1" t="n">
        <v>46184</v>
      </c>
      <c r="D659" t="inlineStr">
        <is>
          <t>STOCKHOLMS LÄN</t>
        </is>
      </c>
      <c r="E659" t="inlineStr">
        <is>
          <t>NORRTÄLJE</t>
        </is>
      </c>
      <c r="F659" t="inlineStr">
        <is>
          <t>Holmen skog AB</t>
        </is>
      </c>
      <c r="G659" t="n">
        <v>16.2</v>
      </c>
      <c r="H659" t="n">
        <v>0</v>
      </c>
      <c r="I659" t="n">
        <v>0</v>
      </c>
      <c r="J659" t="n">
        <v>0</v>
      </c>
      <c r="K659" t="n">
        <v>0</v>
      </c>
      <c r="L659" t="n">
        <v>0</v>
      </c>
      <c r="M659" t="n">
        <v>0</v>
      </c>
      <c r="N659" t="n">
        <v>0</v>
      </c>
      <c r="O659" t="n">
        <v>0</v>
      </c>
      <c r="P659" t="n">
        <v>0</v>
      </c>
      <c r="Q659" t="n">
        <v>0</v>
      </c>
      <c r="R659" s="2" t="inlineStr"/>
    </row>
    <row r="660" ht="15" customHeight="1">
      <c r="A660" t="inlineStr">
        <is>
          <t>A 6828-2026</t>
        </is>
      </c>
      <c r="B660" s="1" t="n">
        <v>46057</v>
      </c>
      <c r="C660" s="1" t="n">
        <v>46184</v>
      </c>
      <c r="D660" t="inlineStr">
        <is>
          <t>STOCKHOLMS LÄN</t>
        </is>
      </c>
      <c r="E660" t="inlineStr">
        <is>
          <t>NORRTÄLJE</t>
        </is>
      </c>
      <c r="F660" t="inlineStr">
        <is>
          <t>Holmen skog AB</t>
        </is>
      </c>
      <c r="G660" t="n">
        <v>2.8</v>
      </c>
      <c r="H660" t="n">
        <v>0</v>
      </c>
      <c r="I660" t="n">
        <v>0</v>
      </c>
      <c r="J660" t="n">
        <v>0</v>
      </c>
      <c r="K660" t="n">
        <v>0</v>
      </c>
      <c r="L660" t="n">
        <v>0</v>
      </c>
      <c r="M660" t="n">
        <v>0</v>
      </c>
      <c r="N660" t="n">
        <v>0</v>
      </c>
      <c r="O660" t="n">
        <v>0</v>
      </c>
      <c r="P660" t="n">
        <v>0</v>
      </c>
      <c r="Q660" t="n">
        <v>0</v>
      </c>
      <c r="R660" s="2" t="inlineStr"/>
    </row>
    <row r="661" ht="15" customHeight="1">
      <c r="A661" t="inlineStr">
        <is>
          <t>A 6838-2026</t>
        </is>
      </c>
      <c r="B661" s="1" t="n">
        <v>46057.41151620371</v>
      </c>
      <c r="C661" s="1" t="n">
        <v>46184</v>
      </c>
      <c r="D661" t="inlineStr">
        <is>
          <t>STOCKHOLMS LÄN</t>
        </is>
      </c>
      <c r="E661" t="inlineStr">
        <is>
          <t>NORRTÄLJE</t>
        </is>
      </c>
      <c r="F661" t="inlineStr">
        <is>
          <t>Holmen skog AB</t>
        </is>
      </c>
      <c r="G661" t="n">
        <v>1.7</v>
      </c>
      <c r="H661" t="n">
        <v>0</v>
      </c>
      <c r="I661" t="n">
        <v>0</v>
      </c>
      <c r="J661" t="n">
        <v>0</v>
      </c>
      <c r="K661" t="n">
        <v>0</v>
      </c>
      <c r="L661" t="n">
        <v>0</v>
      </c>
      <c r="M661" t="n">
        <v>0</v>
      </c>
      <c r="N661" t="n">
        <v>0</v>
      </c>
      <c r="O661" t="n">
        <v>0</v>
      </c>
      <c r="P661" t="n">
        <v>0</v>
      </c>
      <c r="Q661" t="n">
        <v>0</v>
      </c>
      <c r="R661" s="2" t="inlineStr"/>
    </row>
    <row r="662" ht="15" customHeight="1">
      <c r="A662" t="inlineStr">
        <is>
          <t>A 62206-2022</t>
        </is>
      </c>
      <c r="B662" s="1" t="n">
        <v>44922</v>
      </c>
      <c r="C662" s="1" t="n">
        <v>46184</v>
      </c>
      <c r="D662" t="inlineStr">
        <is>
          <t>STOCKHOLMS LÄN</t>
        </is>
      </c>
      <c r="E662" t="inlineStr">
        <is>
          <t>NORRTÄLJE</t>
        </is>
      </c>
      <c r="G662" t="n">
        <v>2.9</v>
      </c>
      <c r="H662" t="n">
        <v>0</v>
      </c>
      <c r="I662" t="n">
        <v>0</v>
      </c>
      <c r="J662" t="n">
        <v>0</v>
      </c>
      <c r="K662" t="n">
        <v>0</v>
      </c>
      <c r="L662" t="n">
        <v>0</v>
      </c>
      <c r="M662" t="n">
        <v>0</v>
      </c>
      <c r="N662" t="n">
        <v>0</v>
      </c>
      <c r="O662" t="n">
        <v>0</v>
      </c>
      <c r="P662" t="n">
        <v>0</v>
      </c>
      <c r="Q662" t="n">
        <v>0</v>
      </c>
      <c r="R662" s="2" t="inlineStr"/>
    </row>
    <row r="663" ht="15" customHeight="1">
      <c r="A663" t="inlineStr">
        <is>
          <t>A 6874-2026</t>
        </is>
      </c>
      <c r="B663" s="1" t="n">
        <v>46057.45295138889</v>
      </c>
      <c r="C663" s="1" t="n">
        <v>46184</v>
      </c>
      <c r="D663" t="inlineStr">
        <is>
          <t>STOCKHOLMS LÄN</t>
        </is>
      </c>
      <c r="E663" t="inlineStr">
        <is>
          <t>NORRTÄLJE</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20618-2022</t>
        </is>
      </c>
      <c r="B664" s="1" t="n">
        <v>44700.50659722222</v>
      </c>
      <c r="C664" s="1" t="n">
        <v>46184</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11900-2022</t>
        </is>
      </c>
      <c r="B665" s="1" t="n">
        <v>44635</v>
      </c>
      <c r="C665" s="1" t="n">
        <v>46184</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27885-2022</t>
        </is>
      </c>
      <c r="B666" s="1" t="n">
        <v>44743.67418981482</v>
      </c>
      <c r="C666" s="1" t="n">
        <v>46184</v>
      </c>
      <c r="D666" t="inlineStr">
        <is>
          <t>STOCKHOLMS LÄN</t>
        </is>
      </c>
      <c r="E666" t="inlineStr">
        <is>
          <t>NORRTÄLJE</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7308-2026</t>
        </is>
      </c>
      <c r="B667" s="1" t="n">
        <v>46058.66025462963</v>
      </c>
      <c r="C667" s="1" t="n">
        <v>46184</v>
      </c>
      <c r="D667" t="inlineStr">
        <is>
          <t>STOCKHOLMS LÄN</t>
        </is>
      </c>
      <c r="E667" t="inlineStr">
        <is>
          <t>NORRTÄLJE</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7532-2026</t>
        </is>
      </c>
      <c r="B668" s="1" t="n">
        <v>46059</v>
      </c>
      <c r="C668" s="1" t="n">
        <v>46184</v>
      </c>
      <c r="D668" t="inlineStr">
        <is>
          <t>STOCKHOLMS LÄN</t>
        </is>
      </c>
      <c r="E668" t="inlineStr">
        <is>
          <t>NORRTÄLJE</t>
        </is>
      </c>
      <c r="G668" t="n">
        <v>5.2</v>
      </c>
      <c r="H668" t="n">
        <v>0</v>
      </c>
      <c r="I668" t="n">
        <v>0</v>
      </c>
      <c r="J668" t="n">
        <v>0</v>
      </c>
      <c r="K668" t="n">
        <v>0</v>
      </c>
      <c r="L668" t="n">
        <v>0</v>
      </c>
      <c r="M668" t="n">
        <v>0</v>
      </c>
      <c r="N668" t="n">
        <v>0</v>
      </c>
      <c r="O668" t="n">
        <v>0</v>
      </c>
      <c r="P668" t="n">
        <v>0</v>
      </c>
      <c r="Q668" t="n">
        <v>0</v>
      </c>
      <c r="R668" s="2" t="inlineStr"/>
    </row>
    <row r="669" ht="15" customHeight="1">
      <c r="A669" t="inlineStr">
        <is>
          <t>A 8055-2026</t>
        </is>
      </c>
      <c r="B669" s="1" t="n">
        <v>46063.62002314815</v>
      </c>
      <c r="C669" s="1" t="n">
        <v>46184</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7793-2026</t>
        </is>
      </c>
      <c r="B670" s="1" t="n">
        <v>46062.59496527778</v>
      </c>
      <c r="C670" s="1" t="n">
        <v>46184</v>
      </c>
      <c r="D670" t="inlineStr">
        <is>
          <t>STOCKHOLMS LÄN</t>
        </is>
      </c>
      <c r="E670" t="inlineStr">
        <is>
          <t>NORRTÄLJE</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8096-2026</t>
        </is>
      </c>
      <c r="B671" s="1" t="n">
        <v>46063.714375</v>
      </c>
      <c r="C671" s="1" t="n">
        <v>46184</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7582-2026</t>
        </is>
      </c>
      <c r="B672" s="1" t="n">
        <v>46061</v>
      </c>
      <c r="C672" s="1" t="n">
        <v>46184</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8091-2026</t>
        </is>
      </c>
      <c r="B673" s="1" t="n">
        <v>46063.70944444444</v>
      </c>
      <c r="C673" s="1" t="n">
        <v>46184</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60224-2023</t>
        </is>
      </c>
      <c r="B674" s="1" t="n">
        <v>45257</v>
      </c>
      <c r="C674" s="1" t="n">
        <v>46184</v>
      </c>
      <c r="D674" t="inlineStr">
        <is>
          <t>STOCKHOLMS LÄN</t>
        </is>
      </c>
      <c r="E674" t="inlineStr">
        <is>
          <t>NORRTÄLJE</t>
        </is>
      </c>
      <c r="G674" t="n">
        <v>8.1</v>
      </c>
      <c r="H674" t="n">
        <v>0</v>
      </c>
      <c r="I674" t="n">
        <v>0</v>
      </c>
      <c r="J674" t="n">
        <v>0</v>
      </c>
      <c r="K674" t="n">
        <v>0</v>
      </c>
      <c r="L674" t="n">
        <v>0</v>
      </c>
      <c r="M674" t="n">
        <v>0</v>
      </c>
      <c r="N674" t="n">
        <v>0</v>
      </c>
      <c r="O674" t="n">
        <v>0</v>
      </c>
      <c r="P674" t="n">
        <v>0</v>
      </c>
      <c r="Q674" t="n">
        <v>0</v>
      </c>
      <c r="R674" s="2" t="inlineStr"/>
    </row>
    <row r="675" ht="15" customHeight="1">
      <c r="A675" t="inlineStr">
        <is>
          <t>A 8410-2026</t>
        </is>
      </c>
      <c r="B675" s="1" t="n">
        <v>46065.34261574074</v>
      </c>
      <c r="C675" s="1" t="n">
        <v>46184</v>
      </c>
      <c r="D675" t="inlineStr">
        <is>
          <t>STOCKHOLMS LÄN</t>
        </is>
      </c>
      <c r="E675" t="inlineStr">
        <is>
          <t>NORRTÄLJE</t>
        </is>
      </c>
      <c r="G675" t="n">
        <v>3.9</v>
      </c>
      <c r="H675" t="n">
        <v>0</v>
      </c>
      <c r="I675" t="n">
        <v>0</v>
      </c>
      <c r="J675" t="n">
        <v>0</v>
      </c>
      <c r="K675" t="n">
        <v>0</v>
      </c>
      <c r="L675" t="n">
        <v>0</v>
      </c>
      <c r="M675" t="n">
        <v>0</v>
      </c>
      <c r="N675" t="n">
        <v>0</v>
      </c>
      <c r="O675" t="n">
        <v>0</v>
      </c>
      <c r="P675" t="n">
        <v>0</v>
      </c>
      <c r="Q675" t="n">
        <v>0</v>
      </c>
      <c r="R675" s="2" t="inlineStr"/>
    </row>
    <row r="676" ht="15" customHeight="1">
      <c r="A676" t="inlineStr">
        <is>
          <t>A 5158-2024</t>
        </is>
      </c>
      <c r="B676" s="1" t="n">
        <v>45330.50098379629</v>
      </c>
      <c r="C676" s="1" t="n">
        <v>46184</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8489-2026</t>
        </is>
      </c>
      <c r="B677" s="1" t="n">
        <v>46065.48268518518</v>
      </c>
      <c r="C677" s="1" t="n">
        <v>46184</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8465-2026</t>
        </is>
      </c>
      <c r="B678" s="1" t="n">
        <v>46065.44141203703</v>
      </c>
      <c r="C678" s="1" t="n">
        <v>46184</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8454-2026</t>
        </is>
      </c>
      <c r="B679" s="1" t="n">
        <v>46065.42506944444</v>
      </c>
      <c r="C679" s="1" t="n">
        <v>46184</v>
      </c>
      <c r="D679" t="inlineStr">
        <is>
          <t>STOCKHOLMS LÄN</t>
        </is>
      </c>
      <c r="E679" t="inlineStr">
        <is>
          <t>NORRTÄLJE</t>
        </is>
      </c>
      <c r="G679" t="n">
        <v>3.2</v>
      </c>
      <c r="H679" t="n">
        <v>0</v>
      </c>
      <c r="I679" t="n">
        <v>0</v>
      </c>
      <c r="J679" t="n">
        <v>0</v>
      </c>
      <c r="K679" t="n">
        <v>0</v>
      </c>
      <c r="L679" t="n">
        <v>0</v>
      </c>
      <c r="M679" t="n">
        <v>0</v>
      </c>
      <c r="N679" t="n">
        <v>0</v>
      </c>
      <c r="O679" t="n">
        <v>0</v>
      </c>
      <c r="P679" t="n">
        <v>0</v>
      </c>
      <c r="Q679" t="n">
        <v>0</v>
      </c>
      <c r="R679" s="2" t="inlineStr"/>
    </row>
    <row r="680" ht="15" customHeight="1">
      <c r="A680" t="inlineStr">
        <is>
          <t>A 17551-2025</t>
        </is>
      </c>
      <c r="B680" s="1" t="n">
        <v>45757.61421296297</v>
      </c>
      <c r="C680" s="1" t="n">
        <v>46184</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8989-2026</t>
        </is>
      </c>
      <c r="B681" s="1" t="n">
        <v>46069.45789351852</v>
      </c>
      <c r="C681" s="1" t="n">
        <v>46184</v>
      </c>
      <c r="D681" t="inlineStr">
        <is>
          <t>STOCKHOLMS LÄN</t>
        </is>
      </c>
      <c r="E681" t="inlineStr">
        <is>
          <t>NORRTÄLJE</t>
        </is>
      </c>
      <c r="F681" t="inlineStr">
        <is>
          <t>Holmen skog AB</t>
        </is>
      </c>
      <c r="G681" t="n">
        <v>0.8</v>
      </c>
      <c r="H681" t="n">
        <v>0</v>
      </c>
      <c r="I681" t="n">
        <v>0</v>
      </c>
      <c r="J681" t="n">
        <v>0</v>
      </c>
      <c r="K681" t="n">
        <v>0</v>
      </c>
      <c r="L681" t="n">
        <v>0</v>
      </c>
      <c r="M681" t="n">
        <v>0</v>
      </c>
      <c r="N681" t="n">
        <v>0</v>
      </c>
      <c r="O681" t="n">
        <v>0</v>
      </c>
      <c r="P681" t="n">
        <v>0</v>
      </c>
      <c r="Q681" t="n">
        <v>0</v>
      </c>
      <c r="R681" s="2" t="inlineStr"/>
    </row>
    <row r="682" ht="15" customHeight="1">
      <c r="A682" t="inlineStr">
        <is>
          <t>A 55010-2024</t>
        </is>
      </c>
      <c r="B682" s="1" t="n">
        <v>45621.34425925926</v>
      </c>
      <c r="C682" s="1" t="n">
        <v>46184</v>
      </c>
      <c r="D682" t="inlineStr">
        <is>
          <t>STOCKHOLMS LÄN</t>
        </is>
      </c>
      <c r="E682" t="inlineStr">
        <is>
          <t>NORRTÄLJE</t>
        </is>
      </c>
      <c r="F682" t="inlineStr">
        <is>
          <t>Sveaskog</t>
        </is>
      </c>
      <c r="G682" t="n">
        <v>5.7</v>
      </c>
      <c r="H682" t="n">
        <v>0</v>
      </c>
      <c r="I682" t="n">
        <v>0</v>
      </c>
      <c r="J682" t="n">
        <v>0</v>
      </c>
      <c r="K682" t="n">
        <v>0</v>
      </c>
      <c r="L682" t="n">
        <v>0</v>
      </c>
      <c r="M682" t="n">
        <v>0</v>
      </c>
      <c r="N682" t="n">
        <v>0</v>
      </c>
      <c r="O682" t="n">
        <v>0</v>
      </c>
      <c r="P682" t="n">
        <v>0</v>
      </c>
      <c r="Q682" t="n">
        <v>0</v>
      </c>
      <c r="R682" s="2" t="inlineStr"/>
    </row>
    <row r="683" ht="15" customHeight="1">
      <c r="A683" t="inlineStr">
        <is>
          <t>A 31105-2022</t>
        </is>
      </c>
      <c r="B683" s="1" t="n">
        <v>44769.66039351852</v>
      </c>
      <c r="C683" s="1" t="n">
        <v>46184</v>
      </c>
      <c r="D683" t="inlineStr">
        <is>
          <t>STOCKHOLMS LÄN</t>
        </is>
      </c>
      <c r="E683" t="inlineStr">
        <is>
          <t>NORRTÄLJE</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8985-2026</t>
        </is>
      </c>
      <c r="B684" s="1" t="n">
        <v>46069.45234953704</v>
      </c>
      <c r="C684" s="1" t="n">
        <v>46184</v>
      </c>
      <c r="D684" t="inlineStr">
        <is>
          <t>STOCKHOLMS LÄN</t>
        </is>
      </c>
      <c r="E684" t="inlineStr">
        <is>
          <t>NORRTÄLJE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8962-2026</t>
        </is>
      </c>
      <c r="B685" s="1" t="n">
        <v>46069.41644675926</v>
      </c>
      <c r="C685" s="1" t="n">
        <v>46184</v>
      </c>
      <c r="D685" t="inlineStr">
        <is>
          <t>STOCKHOLMS LÄN</t>
        </is>
      </c>
      <c r="E685" t="inlineStr">
        <is>
          <t>NORRTÄLJE</t>
        </is>
      </c>
      <c r="F685" t="inlineStr">
        <is>
          <t>Holmen skog AB</t>
        </is>
      </c>
      <c r="G685" t="n">
        <v>4.1</v>
      </c>
      <c r="H685" t="n">
        <v>0</v>
      </c>
      <c r="I685" t="n">
        <v>0</v>
      </c>
      <c r="J685" t="n">
        <v>0</v>
      </c>
      <c r="K685" t="n">
        <v>0</v>
      </c>
      <c r="L685" t="n">
        <v>0</v>
      </c>
      <c r="M685" t="n">
        <v>0</v>
      </c>
      <c r="N685" t="n">
        <v>0</v>
      </c>
      <c r="O685" t="n">
        <v>0</v>
      </c>
      <c r="P685" t="n">
        <v>0</v>
      </c>
      <c r="Q685" t="n">
        <v>0</v>
      </c>
      <c r="R685" s="2" t="inlineStr"/>
    </row>
    <row r="686" ht="15" customHeight="1">
      <c r="A686" t="inlineStr">
        <is>
          <t>A 30620-2022</t>
        </is>
      </c>
      <c r="B686" s="1" t="n">
        <v>44763.40914351852</v>
      </c>
      <c r="C686" s="1" t="n">
        <v>46184</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28365-2022</t>
        </is>
      </c>
      <c r="B687" s="1" t="n">
        <v>44747</v>
      </c>
      <c r="C687" s="1" t="n">
        <v>46184</v>
      </c>
      <c r="D687" t="inlineStr">
        <is>
          <t>STOCKHOLMS LÄN</t>
        </is>
      </c>
      <c r="E687" t="inlineStr">
        <is>
          <t>NORRTÄLJE</t>
        </is>
      </c>
      <c r="G687" t="n">
        <v>5.1</v>
      </c>
      <c r="H687" t="n">
        <v>0</v>
      </c>
      <c r="I687" t="n">
        <v>0</v>
      </c>
      <c r="J687" t="n">
        <v>0</v>
      </c>
      <c r="K687" t="n">
        <v>0</v>
      </c>
      <c r="L687" t="n">
        <v>0</v>
      </c>
      <c r="M687" t="n">
        <v>0</v>
      </c>
      <c r="N687" t="n">
        <v>0</v>
      </c>
      <c r="O687" t="n">
        <v>0</v>
      </c>
      <c r="P687" t="n">
        <v>0</v>
      </c>
      <c r="Q687" t="n">
        <v>0</v>
      </c>
      <c r="R687" s="2" t="inlineStr"/>
    </row>
    <row r="688" ht="15" customHeight="1">
      <c r="A688" t="inlineStr">
        <is>
          <t>A 42955-2022</t>
        </is>
      </c>
      <c r="B688" s="1" t="n">
        <v>44833.40876157407</v>
      </c>
      <c r="C688" s="1" t="n">
        <v>46184</v>
      </c>
      <c r="D688" t="inlineStr">
        <is>
          <t>STOCKHOLMS LÄN</t>
        </is>
      </c>
      <c r="E688" t="inlineStr">
        <is>
          <t>NORRTÄLJE</t>
        </is>
      </c>
      <c r="G688" t="n">
        <v>13.1</v>
      </c>
      <c r="H688" t="n">
        <v>0</v>
      </c>
      <c r="I688" t="n">
        <v>0</v>
      </c>
      <c r="J688" t="n">
        <v>0</v>
      </c>
      <c r="K688" t="n">
        <v>0</v>
      </c>
      <c r="L688" t="n">
        <v>0</v>
      </c>
      <c r="M688" t="n">
        <v>0</v>
      </c>
      <c r="N688" t="n">
        <v>0</v>
      </c>
      <c r="O688" t="n">
        <v>0</v>
      </c>
      <c r="P688" t="n">
        <v>0</v>
      </c>
      <c r="Q688" t="n">
        <v>0</v>
      </c>
      <c r="R688" s="2" t="inlineStr"/>
    </row>
    <row r="689" ht="15" customHeight="1">
      <c r="A689" t="inlineStr">
        <is>
          <t>A 9720-2026</t>
        </is>
      </c>
      <c r="B689" s="1" t="n">
        <v>46072.45061342593</v>
      </c>
      <c r="C689" s="1" t="n">
        <v>46184</v>
      </c>
      <c r="D689" t="inlineStr">
        <is>
          <t>STOCKHOLMS LÄN</t>
        </is>
      </c>
      <c r="E689" t="inlineStr">
        <is>
          <t>NORRTÄLJE</t>
        </is>
      </c>
      <c r="G689" t="n">
        <v>3.6</v>
      </c>
      <c r="H689" t="n">
        <v>0</v>
      </c>
      <c r="I689" t="n">
        <v>0</v>
      </c>
      <c r="J689" t="n">
        <v>0</v>
      </c>
      <c r="K689" t="n">
        <v>0</v>
      </c>
      <c r="L689" t="n">
        <v>0</v>
      </c>
      <c r="M689" t="n">
        <v>0</v>
      </c>
      <c r="N689" t="n">
        <v>0</v>
      </c>
      <c r="O689" t="n">
        <v>0</v>
      </c>
      <c r="P689" t="n">
        <v>0</v>
      </c>
      <c r="Q689" t="n">
        <v>0</v>
      </c>
      <c r="R689" s="2" t="inlineStr"/>
    </row>
    <row r="690" ht="15" customHeight="1">
      <c r="A690" t="inlineStr">
        <is>
          <t>A 13767-2025</t>
        </is>
      </c>
      <c r="B690" s="1" t="n">
        <v>45737.43347222222</v>
      </c>
      <c r="C690" s="1" t="n">
        <v>46184</v>
      </c>
      <c r="D690" t="inlineStr">
        <is>
          <t>STOCKHOLMS LÄN</t>
        </is>
      </c>
      <c r="E690" t="inlineStr">
        <is>
          <t>NORRTÄLJE</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10646-2026</t>
        </is>
      </c>
      <c r="B691" s="1" t="n">
        <v>46078.34157407407</v>
      </c>
      <c r="C691" s="1" t="n">
        <v>46184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15422-2024</t>
        </is>
      </c>
      <c r="B692" s="1" t="n">
        <v>45401.3653125</v>
      </c>
      <c r="C692" s="1" t="n">
        <v>46184</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10399-2026</t>
        </is>
      </c>
      <c r="B693" s="1" t="n">
        <v>46077</v>
      </c>
      <c r="C693" s="1" t="n">
        <v>46184</v>
      </c>
      <c r="D693" t="inlineStr">
        <is>
          <t>STOCKHOLMS LÄN</t>
        </is>
      </c>
      <c r="E693" t="inlineStr">
        <is>
          <t>NORRTÄLJE</t>
        </is>
      </c>
      <c r="F693" t="inlineStr">
        <is>
          <t>Övriga Aktiebolag</t>
        </is>
      </c>
      <c r="G693" t="n">
        <v>0.2</v>
      </c>
      <c r="H693" t="n">
        <v>0</v>
      </c>
      <c r="I693" t="n">
        <v>0</v>
      </c>
      <c r="J693" t="n">
        <v>0</v>
      </c>
      <c r="K693" t="n">
        <v>0</v>
      </c>
      <c r="L693" t="n">
        <v>0</v>
      </c>
      <c r="M693" t="n">
        <v>0</v>
      </c>
      <c r="N693" t="n">
        <v>0</v>
      </c>
      <c r="O693" t="n">
        <v>0</v>
      </c>
      <c r="P693" t="n">
        <v>0</v>
      </c>
      <c r="Q693" t="n">
        <v>0</v>
      </c>
      <c r="R693" s="2" t="inlineStr"/>
    </row>
    <row r="694" ht="15" customHeight="1">
      <c r="A694" t="inlineStr">
        <is>
          <t>A 30508-2023</t>
        </is>
      </c>
      <c r="B694" s="1" t="n">
        <v>45111</v>
      </c>
      <c r="C694" s="1" t="n">
        <v>46184</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10586-2026</t>
        </is>
      </c>
      <c r="B695" s="1" t="n">
        <v>46077.68192129629</v>
      </c>
      <c r="C695" s="1" t="n">
        <v>46184</v>
      </c>
      <c r="D695" t="inlineStr">
        <is>
          <t>STOCKHOLMS LÄN</t>
        </is>
      </c>
      <c r="E695" t="inlineStr">
        <is>
          <t>NORRTÄLJE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10429-2026</t>
        </is>
      </c>
      <c r="B696" s="1" t="n">
        <v>46077.3822337963</v>
      </c>
      <c r="C696" s="1" t="n">
        <v>46184</v>
      </c>
      <c r="D696" t="inlineStr">
        <is>
          <t>STOCKHOLMS LÄN</t>
        </is>
      </c>
      <c r="E696" t="inlineStr">
        <is>
          <t>NORRTÄLJE</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16008-2025</t>
        </is>
      </c>
      <c r="B697" s="1" t="n">
        <v>45749</v>
      </c>
      <c r="C697" s="1" t="n">
        <v>46184</v>
      </c>
      <c r="D697" t="inlineStr">
        <is>
          <t>STOCKHOLMS LÄN</t>
        </is>
      </c>
      <c r="E697" t="inlineStr">
        <is>
          <t>NORRTÄLJE</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10553-2026</t>
        </is>
      </c>
      <c r="B698" s="1" t="n">
        <v>46077.62944444444</v>
      </c>
      <c r="C698" s="1" t="n">
        <v>46184</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10444-2026</t>
        </is>
      </c>
      <c r="B699" s="1" t="n">
        <v>46077.42230324074</v>
      </c>
      <c r="C699" s="1" t="n">
        <v>46184</v>
      </c>
      <c r="D699" t="inlineStr">
        <is>
          <t>STOCKHOLMS LÄN</t>
        </is>
      </c>
      <c r="E699" t="inlineStr">
        <is>
          <t>NORRTÄLJE</t>
        </is>
      </c>
      <c r="F699" t="inlineStr">
        <is>
          <t>Holmen skog AB</t>
        </is>
      </c>
      <c r="G699" t="n">
        <v>4.9</v>
      </c>
      <c r="H699" t="n">
        <v>0</v>
      </c>
      <c r="I699" t="n">
        <v>0</v>
      </c>
      <c r="J699" t="n">
        <v>0</v>
      </c>
      <c r="K699" t="n">
        <v>0</v>
      </c>
      <c r="L699" t="n">
        <v>0</v>
      </c>
      <c r="M699" t="n">
        <v>0</v>
      </c>
      <c r="N699" t="n">
        <v>0</v>
      </c>
      <c r="O699" t="n">
        <v>0</v>
      </c>
      <c r="P699" t="n">
        <v>0</v>
      </c>
      <c r="Q699" t="n">
        <v>0</v>
      </c>
      <c r="R699" s="2" t="inlineStr"/>
    </row>
    <row r="700" ht="15" customHeight="1">
      <c r="A700" t="inlineStr">
        <is>
          <t>A 21158-2022</t>
        </is>
      </c>
      <c r="B700" s="1" t="n">
        <v>44704</v>
      </c>
      <c r="C700" s="1" t="n">
        <v>46184</v>
      </c>
      <c r="D700" t="inlineStr">
        <is>
          <t>STOCKHOLMS LÄN</t>
        </is>
      </c>
      <c r="E700" t="inlineStr">
        <is>
          <t>NORRTÄLJE</t>
        </is>
      </c>
      <c r="G700" t="n">
        <v>17.8</v>
      </c>
      <c r="H700" t="n">
        <v>0</v>
      </c>
      <c r="I700" t="n">
        <v>0</v>
      </c>
      <c r="J700" t="n">
        <v>0</v>
      </c>
      <c r="K700" t="n">
        <v>0</v>
      </c>
      <c r="L700" t="n">
        <v>0</v>
      </c>
      <c r="M700" t="n">
        <v>0</v>
      </c>
      <c r="N700" t="n">
        <v>0</v>
      </c>
      <c r="O700" t="n">
        <v>0</v>
      </c>
      <c r="P700" t="n">
        <v>0</v>
      </c>
      <c r="Q700" t="n">
        <v>0</v>
      </c>
      <c r="R700" s="2" t="inlineStr"/>
    </row>
    <row r="701" ht="15" customHeight="1">
      <c r="A701" t="inlineStr">
        <is>
          <t>A 32101-2022</t>
        </is>
      </c>
      <c r="B701" s="1" t="n">
        <v>44778.69210648148</v>
      </c>
      <c r="C701" s="1" t="n">
        <v>46184</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23150-2024</t>
        </is>
      </c>
      <c r="B702" s="1" t="n">
        <v>45450.64643518518</v>
      </c>
      <c r="C702" s="1" t="n">
        <v>46184</v>
      </c>
      <c r="D702" t="inlineStr">
        <is>
          <t>STOCKHOLMS LÄN</t>
        </is>
      </c>
      <c r="E702" t="inlineStr">
        <is>
          <t>NORRTÄLJE</t>
        </is>
      </c>
      <c r="F702" t="inlineStr">
        <is>
          <t>Kommuner</t>
        </is>
      </c>
      <c r="G702" t="n">
        <v>2.7</v>
      </c>
      <c r="H702" t="n">
        <v>0</v>
      </c>
      <c r="I702" t="n">
        <v>0</v>
      </c>
      <c r="J702" t="n">
        <v>0</v>
      </c>
      <c r="K702" t="n">
        <v>0</v>
      </c>
      <c r="L702" t="n">
        <v>0</v>
      </c>
      <c r="M702" t="n">
        <v>0</v>
      </c>
      <c r="N702" t="n">
        <v>0</v>
      </c>
      <c r="O702" t="n">
        <v>0</v>
      </c>
      <c r="P702" t="n">
        <v>0</v>
      </c>
      <c r="Q702" t="n">
        <v>0</v>
      </c>
      <c r="R702" s="2" t="inlineStr"/>
    </row>
    <row r="703" ht="15" customHeight="1">
      <c r="A703" t="inlineStr">
        <is>
          <t>A 24933-2023</t>
        </is>
      </c>
      <c r="B703" s="1" t="n">
        <v>45085.5309375</v>
      </c>
      <c r="C703" s="1" t="n">
        <v>46184</v>
      </c>
      <c r="D703" t="inlineStr">
        <is>
          <t>STOCKHOLMS LÄN</t>
        </is>
      </c>
      <c r="E703" t="inlineStr">
        <is>
          <t>NORRTÄLJE</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56631-2024</t>
        </is>
      </c>
      <c r="B704" s="1" t="n">
        <v>45625</v>
      </c>
      <c r="C704" s="1" t="n">
        <v>46184</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652-2025</t>
        </is>
      </c>
      <c r="B705" s="1" t="n">
        <v>45664</v>
      </c>
      <c r="C705" s="1" t="n">
        <v>46184</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11648-2026</t>
        </is>
      </c>
      <c r="B706" s="1" t="n">
        <v>46084.51575231482</v>
      </c>
      <c r="C706" s="1" t="n">
        <v>46184</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12234-2026</t>
        </is>
      </c>
      <c r="B707" s="1" t="n">
        <v>46087.4091087963</v>
      </c>
      <c r="C707" s="1" t="n">
        <v>46184</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11499-2023</t>
        </is>
      </c>
      <c r="B708" s="1" t="n">
        <v>44993.66707175926</v>
      </c>
      <c r="C708" s="1" t="n">
        <v>46184</v>
      </c>
      <c r="D708" t="inlineStr">
        <is>
          <t>STOCKHOLMS LÄN</t>
        </is>
      </c>
      <c r="E708" t="inlineStr">
        <is>
          <t>NORRTÄLJE</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576-2023</t>
        </is>
      </c>
      <c r="B709" s="1" t="n">
        <v>44925</v>
      </c>
      <c r="C709" s="1" t="n">
        <v>46184</v>
      </c>
      <c r="D709" t="inlineStr">
        <is>
          <t>STOCKHOLMS LÄN</t>
        </is>
      </c>
      <c r="E709" t="inlineStr">
        <is>
          <t>NORRTÄLJE</t>
        </is>
      </c>
      <c r="G709" t="n">
        <v>7.2</v>
      </c>
      <c r="H709" t="n">
        <v>0</v>
      </c>
      <c r="I709" t="n">
        <v>0</v>
      </c>
      <c r="J709" t="n">
        <v>0</v>
      </c>
      <c r="K709" t="n">
        <v>0</v>
      </c>
      <c r="L709" t="n">
        <v>0</v>
      </c>
      <c r="M709" t="n">
        <v>0</v>
      </c>
      <c r="N709" t="n">
        <v>0</v>
      </c>
      <c r="O709" t="n">
        <v>0</v>
      </c>
      <c r="P709" t="n">
        <v>0</v>
      </c>
      <c r="Q709" t="n">
        <v>0</v>
      </c>
      <c r="R709" s="2" t="inlineStr"/>
    </row>
    <row r="710" ht="15" customHeight="1">
      <c r="A710" t="inlineStr">
        <is>
          <t>A 10678-2025</t>
        </is>
      </c>
      <c r="B710" s="1" t="n">
        <v>45721.89123842592</v>
      </c>
      <c r="C710" s="1" t="n">
        <v>46184</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31936-2022</t>
        </is>
      </c>
      <c r="B711" s="1" t="n">
        <v>44777</v>
      </c>
      <c r="C711" s="1" t="n">
        <v>46184</v>
      </c>
      <c r="D711" t="inlineStr">
        <is>
          <t>STOCKHOLMS LÄN</t>
        </is>
      </c>
      <c r="E711" t="inlineStr">
        <is>
          <t>NORRTÄLJE</t>
        </is>
      </c>
      <c r="G711" t="n">
        <v>5.2</v>
      </c>
      <c r="H711" t="n">
        <v>0</v>
      </c>
      <c r="I711" t="n">
        <v>0</v>
      </c>
      <c r="J711" t="n">
        <v>0</v>
      </c>
      <c r="K711" t="n">
        <v>0</v>
      </c>
      <c r="L711" t="n">
        <v>0</v>
      </c>
      <c r="M711" t="n">
        <v>0</v>
      </c>
      <c r="N711" t="n">
        <v>0</v>
      </c>
      <c r="O711" t="n">
        <v>0</v>
      </c>
      <c r="P711" t="n">
        <v>0</v>
      </c>
      <c r="Q711" t="n">
        <v>0</v>
      </c>
      <c r="R711" s="2" t="inlineStr"/>
    </row>
    <row r="712" ht="15" customHeight="1">
      <c r="A712" t="inlineStr">
        <is>
          <t>A 13544-2026</t>
        </is>
      </c>
      <c r="B712" s="1" t="n">
        <v>46094.68538194444</v>
      </c>
      <c r="C712" s="1" t="n">
        <v>46184</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59873-2024</t>
        </is>
      </c>
      <c r="B713" s="1" t="n">
        <v>45640.57305555556</v>
      </c>
      <c r="C713" s="1" t="n">
        <v>46184</v>
      </c>
      <c r="D713" t="inlineStr">
        <is>
          <t>STOCKHOLMS LÄN</t>
        </is>
      </c>
      <c r="E713" t="inlineStr">
        <is>
          <t>NORRTÄLJE</t>
        </is>
      </c>
      <c r="G713" t="n">
        <v>3.3</v>
      </c>
      <c r="H713" t="n">
        <v>0</v>
      </c>
      <c r="I713" t="n">
        <v>0</v>
      </c>
      <c r="J713" t="n">
        <v>0</v>
      </c>
      <c r="K713" t="n">
        <v>0</v>
      </c>
      <c r="L713" t="n">
        <v>0</v>
      </c>
      <c r="M713" t="n">
        <v>0</v>
      </c>
      <c r="N713" t="n">
        <v>0</v>
      </c>
      <c r="O713" t="n">
        <v>0</v>
      </c>
      <c r="P713" t="n">
        <v>0</v>
      </c>
      <c r="Q713" t="n">
        <v>0</v>
      </c>
      <c r="R713" s="2" t="inlineStr"/>
    </row>
    <row r="714" ht="15" customHeight="1">
      <c r="A714" t="inlineStr">
        <is>
          <t>A 13204-2026</t>
        </is>
      </c>
      <c r="B714" s="1" t="n">
        <v>46093.60788194444</v>
      </c>
      <c r="C714" s="1" t="n">
        <v>46184</v>
      </c>
      <c r="D714" t="inlineStr">
        <is>
          <t>STOCKHOLMS LÄN</t>
        </is>
      </c>
      <c r="E714" t="inlineStr">
        <is>
          <t>NORRTÄLJE</t>
        </is>
      </c>
      <c r="G714" t="n">
        <v>3.5</v>
      </c>
      <c r="H714" t="n">
        <v>0</v>
      </c>
      <c r="I714" t="n">
        <v>0</v>
      </c>
      <c r="J714" t="n">
        <v>0</v>
      </c>
      <c r="K714" t="n">
        <v>0</v>
      </c>
      <c r="L714" t="n">
        <v>0</v>
      </c>
      <c r="M714" t="n">
        <v>0</v>
      </c>
      <c r="N714" t="n">
        <v>0</v>
      </c>
      <c r="O714" t="n">
        <v>0</v>
      </c>
      <c r="P714" t="n">
        <v>0</v>
      </c>
      <c r="Q714" t="n">
        <v>0</v>
      </c>
      <c r="R714" s="2" t="inlineStr"/>
    </row>
    <row r="715" ht="15" customHeight="1">
      <c r="A715" t="inlineStr">
        <is>
          <t>A 35916-2024</t>
        </is>
      </c>
      <c r="B715" s="1" t="n">
        <v>45533</v>
      </c>
      <c r="C715" s="1" t="n">
        <v>46184</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46184</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13545-2026</t>
        </is>
      </c>
      <c r="B717" s="1" t="n">
        <v>46094.6911574074</v>
      </c>
      <c r="C717" s="1" t="n">
        <v>46184</v>
      </c>
      <c r="D717" t="inlineStr">
        <is>
          <t>STOCKHOLMS LÄN</t>
        </is>
      </c>
      <c r="E717" t="inlineStr">
        <is>
          <t>NORRTÄLJE</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13109-2026</t>
        </is>
      </c>
      <c r="B718" s="1" t="n">
        <v>46093.42730324074</v>
      </c>
      <c r="C718" s="1" t="n">
        <v>46184</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63161-2023</t>
        </is>
      </c>
      <c r="B719" s="1" t="n">
        <v>45273</v>
      </c>
      <c r="C719" s="1" t="n">
        <v>46184</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13546-2026</t>
        </is>
      </c>
      <c r="B720" s="1" t="n">
        <v>46094.69196759259</v>
      </c>
      <c r="C720" s="1" t="n">
        <v>46184</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58041-2024</t>
        </is>
      </c>
      <c r="B721" s="1" t="n">
        <v>45631.74673611111</v>
      </c>
      <c r="C721" s="1" t="n">
        <v>46184</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30268-2024</t>
        </is>
      </c>
      <c r="B722" s="1" t="n">
        <v>45490.60572916667</v>
      </c>
      <c r="C722" s="1" t="n">
        <v>46184</v>
      </c>
      <c r="D722" t="inlineStr">
        <is>
          <t>STOCKHOLMS LÄN</t>
        </is>
      </c>
      <c r="E722" t="inlineStr">
        <is>
          <t>NORRTÄLJE</t>
        </is>
      </c>
      <c r="G722" t="n">
        <v>5.6</v>
      </c>
      <c r="H722" t="n">
        <v>0</v>
      </c>
      <c r="I722" t="n">
        <v>0</v>
      </c>
      <c r="J722" t="n">
        <v>0</v>
      </c>
      <c r="K722" t="n">
        <v>0</v>
      </c>
      <c r="L722" t="n">
        <v>0</v>
      </c>
      <c r="M722" t="n">
        <v>0</v>
      </c>
      <c r="N722" t="n">
        <v>0</v>
      </c>
      <c r="O722" t="n">
        <v>0</v>
      </c>
      <c r="P722" t="n">
        <v>0</v>
      </c>
      <c r="Q722" t="n">
        <v>0</v>
      </c>
      <c r="R722" s="2" t="inlineStr"/>
    </row>
    <row r="723" ht="15" customHeight="1">
      <c r="A723" t="inlineStr">
        <is>
          <t>A 19025-2025</t>
        </is>
      </c>
      <c r="B723" s="1" t="n">
        <v>45764.6359837963</v>
      </c>
      <c r="C723" s="1" t="n">
        <v>46184</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54276-2021</t>
        </is>
      </c>
      <c r="B724" s="1" t="n">
        <v>44470</v>
      </c>
      <c r="C724" s="1" t="n">
        <v>46184</v>
      </c>
      <c r="D724" t="inlineStr">
        <is>
          <t>STOCKHOLMS LÄN</t>
        </is>
      </c>
      <c r="E724" t="inlineStr">
        <is>
          <t>NORRTÄLJE</t>
        </is>
      </c>
      <c r="G724" t="n">
        <v>7.3</v>
      </c>
      <c r="H724" t="n">
        <v>0</v>
      </c>
      <c r="I724" t="n">
        <v>0</v>
      </c>
      <c r="J724" t="n">
        <v>0</v>
      </c>
      <c r="K724" t="n">
        <v>0</v>
      </c>
      <c r="L724" t="n">
        <v>0</v>
      </c>
      <c r="M724" t="n">
        <v>0</v>
      </c>
      <c r="N724" t="n">
        <v>0</v>
      </c>
      <c r="O724" t="n">
        <v>0</v>
      </c>
      <c r="P724" t="n">
        <v>0</v>
      </c>
      <c r="Q724" t="n">
        <v>0</v>
      </c>
      <c r="R724" s="2" t="inlineStr"/>
    </row>
    <row r="725" ht="15" customHeight="1">
      <c r="A725" t="inlineStr">
        <is>
          <t>A 4316-2023</t>
        </is>
      </c>
      <c r="B725" s="1" t="n">
        <v>44953.67443287037</v>
      </c>
      <c r="C725" s="1" t="n">
        <v>46184</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41587-2023</t>
        </is>
      </c>
      <c r="B726" s="1" t="n">
        <v>45175</v>
      </c>
      <c r="C726" s="1" t="n">
        <v>46184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17304-2024</t>
        </is>
      </c>
      <c r="B727" s="1" t="n">
        <v>45414</v>
      </c>
      <c r="C727" s="1" t="n">
        <v>46184</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11280-2023</t>
        </is>
      </c>
      <c r="B728" s="1" t="n">
        <v>44992</v>
      </c>
      <c r="C728" s="1" t="n">
        <v>46184</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26668-2024</t>
        </is>
      </c>
      <c r="B729" s="1" t="n">
        <v>45469</v>
      </c>
      <c r="C729" s="1" t="n">
        <v>46184</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14475-2026</t>
        </is>
      </c>
      <c r="B730" s="1" t="n">
        <v>46100.57251157407</v>
      </c>
      <c r="C730" s="1" t="n">
        <v>46184</v>
      </c>
      <c r="D730" t="inlineStr">
        <is>
          <t>STOCKHOLMS LÄN</t>
        </is>
      </c>
      <c r="E730" t="inlineStr">
        <is>
          <t>NORRTÄLJE</t>
        </is>
      </c>
      <c r="G730" t="n">
        <v>12.3</v>
      </c>
      <c r="H730" t="n">
        <v>0</v>
      </c>
      <c r="I730" t="n">
        <v>0</v>
      </c>
      <c r="J730" t="n">
        <v>0</v>
      </c>
      <c r="K730" t="n">
        <v>0</v>
      </c>
      <c r="L730" t="n">
        <v>0</v>
      </c>
      <c r="M730" t="n">
        <v>0</v>
      </c>
      <c r="N730" t="n">
        <v>0</v>
      </c>
      <c r="O730" t="n">
        <v>0</v>
      </c>
      <c r="P730" t="n">
        <v>0</v>
      </c>
      <c r="Q730" t="n">
        <v>0</v>
      </c>
      <c r="R730" s="2" t="inlineStr"/>
    </row>
    <row r="731" ht="15" customHeight="1">
      <c r="A731" t="inlineStr">
        <is>
          <t>A 14348-2026</t>
        </is>
      </c>
      <c r="B731" s="1" t="n">
        <v>46100.34112268518</v>
      </c>
      <c r="C731" s="1" t="n">
        <v>46184</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31926-2022</t>
        </is>
      </c>
      <c r="B732" s="1" t="n">
        <v>44777</v>
      </c>
      <c r="C732" s="1" t="n">
        <v>46184</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21480-2022</t>
        </is>
      </c>
      <c r="B733" s="1" t="n">
        <v>44704</v>
      </c>
      <c r="C733" s="1" t="n">
        <v>46184</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24024-2024</t>
        </is>
      </c>
      <c r="B734" s="1" t="n">
        <v>45456</v>
      </c>
      <c r="C734" s="1" t="n">
        <v>46184</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28809-2023</t>
        </is>
      </c>
      <c r="B735" s="1" t="n">
        <v>45104</v>
      </c>
      <c r="C735" s="1" t="n">
        <v>46184</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28813-2023</t>
        </is>
      </c>
      <c r="B736" s="1" t="n">
        <v>45104</v>
      </c>
      <c r="C736" s="1" t="n">
        <v>46184</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40656-2022</t>
        </is>
      </c>
      <c r="B737" s="1" t="n">
        <v>44824.36069444445</v>
      </c>
      <c r="C737" s="1" t="n">
        <v>46184</v>
      </c>
      <c r="D737" t="inlineStr">
        <is>
          <t>STOCKHOLMS LÄN</t>
        </is>
      </c>
      <c r="E737" t="inlineStr">
        <is>
          <t>NORRTÄLJE</t>
        </is>
      </c>
      <c r="G737" t="n">
        <v>2.7</v>
      </c>
      <c r="H737" t="n">
        <v>0</v>
      </c>
      <c r="I737" t="n">
        <v>0</v>
      </c>
      <c r="J737" t="n">
        <v>0</v>
      </c>
      <c r="K737" t="n">
        <v>0</v>
      </c>
      <c r="L737" t="n">
        <v>0</v>
      </c>
      <c r="M737" t="n">
        <v>0</v>
      </c>
      <c r="N737" t="n">
        <v>0</v>
      </c>
      <c r="O737" t="n">
        <v>0</v>
      </c>
      <c r="P737" t="n">
        <v>0</v>
      </c>
      <c r="Q737" t="n">
        <v>0</v>
      </c>
      <c r="R737" s="2" t="inlineStr"/>
    </row>
    <row r="738" ht="15" customHeight="1">
      <c r="A738" t="inlineStr">
        <is>
          <t>A 60694-2024</t>
        </is>
      </c>
      <c r="B738" s="1" t="n">
        <v>45644.47878472223</v>
      </c>
      <c r="C738" s="1" t="n">
        <v>46184</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33353-2023</t>
        </is>
      </c>
      <c r="B739" s="1" t="n">
        <v>45128</v>
      </c>
      <c r="C739" s="1" t="n">
        <v>46184</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3966-2024</t>
        </is>
      </c>
      <c r="B740" s="1" t="n">
        <v>45322</v>
      </c>
      <c r="C740" s="1" t="n">
        <v>46184</v>
      </c>
      <c r="D740" t="inlineStr">
        <is>
          <t>STOCKHOLMS LÄN</t>
        </is>
      </c>
      <c r="E740" t="inlineStr">
        <is>
          <t>NORRTÄLJE</t>
        </is>
      </c>
      <c r="G740" t="n">
        <v>5.3</v>
      </c>
      <c r="H740" t="n">
        <v>0</v>
      </c>
      <c r="I740" t="n">
        <v>0</v>
      </c>
      <c r="J740" t="n">
        <v>0</v>
      </c>
      <c r="K740" t="n">
        <v>0</v>
      </c>
      <c r="L740" t="n">
        <v>0</v>
      </c>
      <c r="M740" t="n">
        <v>0</v>
      </c>
      <c r="N740" t="n">
        <v>0</v>
      </c>
      <c r="O740" t="n">
        <v>0</v>
      </c>
      <c r="P740" t="n">
        <v>0</v>
      </c>
      <c r="Q740" t="n">
        <v>0</v>
      </c>
      <c r="R740" s="2" t="inlineStr"/>
    </row>
    <row r="741" ht="15" customHeight="1">
      <c r="A741" t="inlineStr">
        <is>
          <t>A 21780-2026</t>
        </is>
      </c>
      <c r="B741" s="1" t="n">
        <v>46150.37418981481</v>
      </c>
      <c r="C741" s="1" t="n">
        <v>46184</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23262-2023</t>
        </is>
      </c>
      <c r="B742" s="1" t="n">
        <v>45075.90270833333</v>
      </c>
      <c r="C742" s="1" t="n">
        <v>46184</v>
      </c>
      <c r="D742" t="inlineStr">
        <is>
          <t>STOCKHOLMS LÄN</t>
        </is>
      </c>
      <c r="E742" t="inlineStr">
        <is>
          <t>NORRTÄLJE</t>
        </is>
      </c>
      <c r="F742" t="inlineStr">
        <is>
          <t>Kommuner</t>
        </is>
      </c>
      <c r="G742" t="n">
        <v>1.9</v>
      </c>
      <c r="H742" t="n">
        <v>0</v>
      </c>
      <c r="I742" t="n">
        <v>0</v>
      </c>
      <c r="J742" t="n">
        <v>0</v>
      </c>
      <c r="K742" t="n">
        <v>0</v>
      </c>
      <c r="L742" t="n">
        <v>0</v>
      </c>
      <c r="M742" t="n">
        <v>0</v>
      </c>
      <c r="N742" t="n">
        <v>0</v>
      </c>
      <c r="O742" t="n">
        <v>0</v>
      </c>
      <c r="P742" t="n">
        <v>0</v>
      </c>
      <c r="Q742" t="n">
        <v>0</v>
      </c>
      <c r="R742" s="2" t="inlineStr"/>
    </row>
    <row r="743" ht="15" customHeight="1">
      <c r="A743" t="inlineStr">
        <is>
          <t>A 23268-2023</t>
        </is>
      </c>
      <c r="B743" s="1" t="n">
        <v>45075.91042824074</v>
      </c>
      <c r="C743" s="1" t="n">
        <v>46184</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23270-2023</t>
        </is>
      </c>
      <c r="B744" s="1" t="n">
        <v>45075.91265046296</v>
      </c>
      <c r="C744" s="1" t="n">
        <v>46184</v>
      </c>
      <c r="D744" t="inlineStr">
        <is>
          <t>STOCKHOLMS LÄN</t>
        </is>
      </c>
      <c r="E744" t="inlineStr">
        <is>
          <t>NORRTÄLJE</t>
        </is>
      </c>
      <c r="G744" t="n">
        <v>12.3</v>
      </c>
      <c r="H744" t="n">
        <v>0</v>
      </c>
      <c r="I744" t="n">
        <v>0</v>
      </c>
      <c r="J744" t="n">
        <v>0</v>
      </c>
      <c r="K744" t="n">
        <v>0</v>
      </c>
      <c r="L744" t="n">
        <v>0</v>
      </c>
      <c r="M744" t="n">
        <v>0</v>
      </c>
      <c r="N744" t="n">
        <v>0</v>
      </c>
      <c r="O744" t="n">
        <v>0</v>
      </c>
      <c r="P744" t="n">
        <v>0</v>
      </c>
      <c r="Q744" t="n">
        <v>0</v>
      </c>
      <c r="R744" s="2" t="inlineStr"/>
    </row>
    <row r="745" ht="15" customHeight="1">
      <c r="A745" t="inlineStr">
        <is>
          <t>A 23274-2023</t>
        </is>
      </c>
      <c r="B745" s="1" t="n">
        <v>45075.92153935185</v>
      </c>
      <c r="C745" s="1" t="n">
        <v>46184</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21818-2026</t>
        </is>
      </c>
      <c r="B746" s="1" t="n">
        <v>46150.47383101852</v>
      </c>
      <c r="C746" s="1" t="n">
        <v>46184</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17843-2024</t>
        </is>
      </c>
      <c r="B747" s="1" t="n">
        <v>45418</v>
      </c>
      <c r="C747" s="1" t="n">
        <v>46184</v>
      </c>
      <c r="D747" t="inlineStr">
        <is>
          <t>STOCKHOLMS LÄN</t>
        </is>
      </c>
      <c r="E747" t="inlineStr">
        <is>
          <t>NORRTÄLJE</t>
        </is>
      </c>
      <c r="G747" t="n">
        <v>5.4</v>
      </c>
      <c r="H747" t="n">
        <v>0</v>
      </c>
      <c r="I747" t="n">
        <v>0</v>
      </c>
      <c r="J747" t="n">
        <v>0</v>
      </c>
      <c r="K747" t="n">
        <v>0</v>
      </c>
      <c r="L747" t="n">
        <v>0</v>
      </c>
      <c r="M747" t="n">
        <v>0</v>
      </c>
      <c r="N747" t="n">
        <v>0</v>
      </c>
      <c r="O747" t="n">
        <v>0</v>
      </c>
      <c r="P747" t="n">
        <v>0</v>
      </c>
      <c r="Q747" t="n">
        <v>0</v>
      </c>
      <c r="R747" s="2" t="inlineStr"/>
    </row>
    <row r="748" ht="15" customHeight="1">
      <c r="A748" t="inlineStr">
        <is>
          <t>A 21786-2026</t>
        </is>
      </c>
      <c r="B748" s="1" t="n">
        <v>46150.3862037037</v>
      </c>
      <c r="C748" s="1" t="n">
        <v>46184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26636-2023</t>
        </is>
      </c>
      <c r="B749" s="1" t="n">
        <v>45092</v>
      </c>
      <c r="C749" s="1" t="n">
        <v>46184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26637-2023</t>
        </is>
      </c>
      <c r="B750" s="1" t="n">
        <v>45092</v>
      </c>
      <c r="C750" s="1" t="n">
        <v>46184</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21815-2026</t>
        </is>
      </c>
      <c r="B751" s="1" t="n">
        <v>46150.47024305556</v>
      </c>
      <c r="C751" s="1" t="n">
        <v>46184</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72704-2021</t>
        </is>
      </c>
      <c r="B752" s="1" t="n">
        <v>44546</v>
      </c>
      <c r="C752" s="1" t="n">
        <v>46184</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52743-2024</t>
        </is>
      </c>
      <c r="B753" s="1" t="n">
        <v>45610.47414351852</v>
      </c>
      <c r="C753" s="1" t="n">
        <v>46184</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16852-2024</t>
        </is>
      </c>
      <c r="B754" s="1" t="n">
        <v>45411.54768518519</v>
      </c>
      <c r="C754" s="1" t="n">
        <v>46184</v>
      </c>
      <c r="D754" t="inlineStr">
        <is>
          <t>STOCKHOLMS LÄN</t>
        </is>
      </c>
      <c r="E754" t="inlineStr">
        <is>
          <t>NORRTÄLJE</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21820-2026</t>
        </is>
      </c>
      <c r="B755" s="1" t="n">
        <v>46150.4799537037</v>
      </c>
      <c r="C755" s="1" t="n">
        <v>46184</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16243-2026</t>
        </is>
      </c>
      <c r="B756" s="1" t="n">
        <v>46111.45902777778</v>
      </c>
      <c r="C756" s="1" t="n">
        <v>46184</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16229-2026</t>
        </is>
      </c>
      <c r="B757" s="1" t="n">
        <v>46111.45084490741</v>
      </c>
      <c r="C757" s="1" t="n">
        <v>46184</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55755-2023</t>
        </is>
      </c>
      <c r="B758" s="1" t="n">
        <v>45239</v>
      </c>
      <c r="C758" s="1" t="n">
        <v>46184</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17348-2024</t>
        </is>
      </c>
      <c r="B759" s="1" t="n">
        <v>45414.58650462963</v>
      </c>
      <c r="C759" s="1" t="n">
        <v>46184</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13089-2022</t>
        </is>
      </c>
      <c r="B760" s="1" t="n">
        <v>44643</v>
      </c>
      <c r="C760" s="1" t="n">
        <v>46184</v>
      </c>
      <c r="D760" t="inlineStr">
        <is>
          <t>STOCKHOLMS LÄN</t>
        </is>
      </c>
      <c r="E760" t="inlineStr">
        <is>
          <t>NORRTÄLJE</t>
        </is>
      </c>
      <c r="G760" t="n">
        <v>4.5</v>
      </c>
      <c r="H760" t="n">
        <v>0</v>
      </c>
      <c r="I760" t="n">
        <v>0</v>
      </c>
      <c r="J760" t="n">
        <v>0</v>
      </c>
      <c r="K760" t="n">
        <v>0</v>
      </c>
      <c r="L760" t="n">
        <v>0</v>
      </c>
      <c r="M760" t="n">
        <v>0</v>
      </c>
      <c r="N760" t="n">
        <v>0</v>
      </c>
      <c r="O760" t="n">
        <v>0</v>
      </c>
      <c r="P760" t="n">
        <v>0</v>
      </c>
      <c r="Q760" t="n">
        <v>0</v>
      </c>
      <c r="R760" s="2" t="inlineStr"/>
    </row>
    <row r="761" ht="15" customHeight="1">
      <c r="A761" t="inlineStr">
        <is>
          <t>A 17025-2026</t>
        </is>
      </c>
      <c r="B761" s="1" t="n">
        <v>46113</v>
      </c>
      <c r="C761" s="1" t="n">
        <v>46184</v>
      </c>
      <c r="D761" t="inlineStr">
        <is>
          <t>STOCKHOLMS LÄN</t>
        </is>
      </c>
      <c r="E761" t="inlineStr">
        <is>
          <t>NORRTÄLJE</t>
        </is>
      </c>
      <c r="G761" t="n">
        <v>5.4</v>
      </c>
      <c r="H761" t="n">
        <v>0</v>
      </c>
      <c r="I761" t="n">
        <v>0</v>
      </c>
      <c r="J761" t="n">
        <v>0</v>
      </c>
      <c r="K761" t="n">
        <v>0</v>
      </c>
      <c r="L761" t="n">
        <v>0</v>
      </c>
      <c r="M761" t="n">
        <v>0</v>
      </c>
      <c r="N761" t="n">
        <v>0</v>
      </c>
      <c r="O761" t="n">
        <v>0</v>
      </c>
      <c r="P761" t="n">
        <v>0</v>
      </c>
      <c r="Q761" t="n">
        <v>0</v>
      </c>
      <c r="R761" s="2" t="inlineStr"/>
    </row>
    <row r="762" ht="15" customHeight="1">
      <c r="A762" t="inlineStr">
        <is>
          <t>A 23998-2024</t>
        </is>
      </c>
      <c r="B762" s="1" t="n">
        <v>45456</v>
      </c>
      <c r="C762" s="1" t="n">
        <v>46184</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15447-2023</t>
        </is>
      </c>
      <c r="B763" s="1" t="n">
        <v>45020</v>
      </c>
      <c r="C763" s="1" t="n">
        <v>46184</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54358-2022</t>
        </is>
      </c>
      <c r="B764" s="1" t="n">
        <v>44882</v>
      </c>
      <c r="C764" s="1" t="n">
        <v>46184</v>
      </c>
      <c r="D764" t="inlineStr">
        <is>
          <t>STOCKHOLMS LÄN</t>
        </is>
      </c>
      <c r="E764" t="inlineStr">
        <is>
          <t>NORRTÄLJE</t>
        </is>
      </c>
      <c r="G764" t="n">
        <v>3.3</v>
      </c>
      <c r="H764" t="n">
        <v>0</v>
      </c>
      <c r="I764" t="n">
        <v>0</v>
      </c>
      <c r="J764" t="n">
        <v>0</v>
      </c>
      <c r="K764" t="n">
        <v>0</v>
      </c>
      <c r="L764" t="n">
        <v>0</v>
      </c>
      <c r="M764" t="n">
        <v>0</v>
      </c>
      <c r="N764" t="n">
        <v>0</v>
      </c>
      <c r="O764" t="n">
        <v>0</v>
      </c>
      <c r="P764" t="n">
        <v>0</v>
      </c>
      <c r="Q764" t="n">
        <v>0</v>
      </c>
      <c r="R764" s="2" t="inlineStr"/>
    </row>
    <row r="765" ht="15" customHeight="1">
      <c r="A765" t="inlineStr">
        <is>
          <t>A 22618-2026</t>
        </is>
      </c>
      <c r="B765" s="1" t="n">
        <v>46155.61440972222</v>
      </c>
      <c r="C765" s="1" t="n">
        <v>46184</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23263-2023</t>
        </is>
      </c>
      <c r="B766" s="1" t="n">
        <v>45075</v>
      </c>
      <c r="C766" s="1" t="n">
        <v>46184</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23264-2023</t>
        </is>
      </c>
      <c r="B767" s="1" t="n">
        <v>45075</v>
      </c>
      <c r="C767" s="1" t="n">
        <v>46184</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23267-2023</t>
        </is>
      </c>
      <c r="B768" s="1" t="n">
        <v>45075.90934027778</v>
      </c>
      <c r="C768" s="1" t="n">
        <v>46184</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23269-2023</t>
        </is>
      </c>
      <c r="B769" s="1" t="n">
        <v>45075.91148148148</v>
      </c>
      <c r="C769" s="1" t="n">
        <v>46184</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19911-2025</t>
        </is>
      </c>
      <c r="B770" s="1" t="n">
        <v>45771</v>
      </c>
      <c r="C770" s="1" t="n">
        <v>46184</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5831-2022</t>
        </is>
      </c>
      <c r="B771" s="1" t="n">
        <v>44596</v>
      </c>
      <c r="C771" s="1" t="n">
        <v>46184</v>
      </c>
      <c r="D771" t="inlineStr">
        <is>
          <t>STOCKHOLMS LÄN</t>
        </is>
      </c>
      <c r="E771" t="inlineStr">
        <is>
          <t>NORRTÄLJE</t>
        </is>
      </c>
      <c r="G771" t="n">
        <v>4.8</v>
      </c>
      <c r="H771" t="n">
        <v>0</v>
      </c>
      <c r="I771" t="n">
        <v>0</v>
      </c>
      <c r="J771" t="n">
        <v>0</v>
      </c>
      <c r="K771" t="n">
        <v>0</v>
      </c>
      <c r="L771" t="n">
        <v>0</v>
      </c>
      <c r="M771" t="n">
        <v>0</v>
      </c>
      <c r="N771" t="n">
        <v>0</v>
      </c>
      <c r="O771" t="n">
        <v>0</v>
      </c>
      <c r="P771" t="n">
        <v>0</v>
      </c>
      <c r="Q771" t="n">
        <v>0</v>
      </c>
      <c r="R771" s="2" t="inlineStr"/>
    </row>
    <row r="772" ht="15" customHeight="1">
      <c r="A772" t="inlineStr">
        <is>
          <t>A 5867-2022</t>
        </is>
      </c>
      <c r="B772" s="1" t="n">
        <v>44596.66335648148</v>
      </c>
      <c r="C772" s="1" t="n">
        <v>46184</v>
      </c>
      <c r="D772" t="inlineStr">
        <is>
          <t>STOCKHOLMS LÄN</t>
        </is>
      </c>
      <c r="E772" t="inlineStr">
        <is>
          <t>NORRTÄLJE</t>
        </is>
      </c>
      <c r="F772" t="inlineStr">
        <is>
          <t>Naturvårdsverket</t>
        </is>
      </c>
      <c r="G772" t="n">
        <v>1.6</v>
      </c>
      <c r="H772" t="n">
        <v>0</v>
      </c>
      <c r="I772" t="n">
        <v>0</v>
      </c>
      <c r="J772" t="n">
        <v>0</v>
      </c>
      <c r="K772" t="n">
        <v>0</v>
      </c>
      <c r="L772" t="n">
        <v>0</v>
      </c>
      <c r="M772" t="n">
        <v>0</v>
      </c>
      <c r="N772" t="n">
        <v>0</v>
      </c>
      <c r="O772" t="n">
        <v>0</v>
      </c>
      <c r="P772" t="n">
        <v>0</v>
      </c>
      <c r="Q772" t="n">
        <v>0</v>
      </c>
      <c r="R772" s="2" t="inlineStr"/>
    </row>
    <row r="773" ht="15" customHeight="1">
      <c r="A773" t="inlineStr">
        <is>
          <t>A 48633-2023</t>
        </is>
      </c>
      <c r="B773" s="1" t="n">
        <v>45208.58004629629</v>
      </c>
      <c r="C773" s="1" t="n">
        <v>46184</v>
      </c>
      <c r="D773" t="inlineStr">
        <is>
          <t>STOCKHOLMS LÄN</t>
        </is>
      </c>
      <c r="E773" t="inlineStr">
        <is>
          <t>NORRTÄLJE</t>
        </is>
      </c>
      <c r="G773" t="n">
        <v>3.3</v>
      </c>
      <c r="H773" t="n">
        <v>0</v>
      </c>
      <c r="I773" t="n">
        <v>0</v>
      </c>
      <c r="J773" t="n">
        <v>0</v>
      </c>
      <c r="K773" t="n">
        <v>0</v>
      </c>
      <c r="L773" t="n">
        <v>0</v>
      </c>
      <c r="M773" t="n">
        <v>0</v>
      </c>
      <c r="N773" t="n">
        <v>0</v>
      </c>
      <c r="O773" t="n">
        <v>0</v>
      </c>
      <c r="P773" t="n">
        <v>0</v>
      </c>
      <c r="Q773" t="n">
        <v>0</v>
      </c>
      <c r="R773" s="2" t="inlineStr"/>
    </row>
    <row r="774" ht="15" customHeight="1">
      <c r="A774" t="inlineStr">
        <is>
          <t>A 39669-2024</t>
        </is>
      </c>
      <c r="B774" s="1" t="n">
        <v>45552.52827546297</v>
      </c>
      <c r="C774" s="1" t="n">
        <v>46184</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17347-2026</t>
        </is>
      </c>
      <c r="B775" s="1" t="n">
        <v>46119</v>
      </c>
      <c r="C775" s="1" t="n">
        <v>46184</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43170-2023</t>
        </is>
      </c>
      <c r="B776" s="1" t="n">
        <v>45183</v>
      </c>
      <c r="C776" s="1" t="n">
        <v>46184</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9-2024</t>
        </is>
      </c>
      <c r="B777" s="1" t="n">
        <v>45293</v>
      </c>
      <c r="C777" s="1" t="n">
        <v>46184</v>
      </c>
      <c r="D777" t="inlineStr">
        <is>
          <t>STOCKHOLMS LÄN</t>
        </is>
      </c>
      <c r="E777" t="inlineStr">
        <is>
          <t>NORRTÄLJE</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17207-2026</t>
        </is>
      </c>
      <c r="B778" s="1" t="n">
        <v>46119.31914351852</v>
      </c>
      <c r="C778" s="1" t="n">
        <v>46184</v>
      </c>
      <c r="D778" t="inlineStr">
        <is>
          <t>STOCKHOLMS LÄN</t>
        </is>
      </c>
      <c r="E778" t="inlineStr">
        <is>
          <t>NORRTÄLJE</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16913-2025</t>
        </is>
      </c>
      <c r="B779" s="1" t="n">
        <v>45755.36583333334</v>
      </c>
      <c r="C779" s="1" t="n">
        <v>46184</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4035-2023</t>
        </is>
      </c>
      <c r="B780" s="1" t="n">
        <v>44952.57989583333</v>
      </c>
      <c r="C780" s="1" t="n">
        <v>46184</v>
      </c>
      <c r="D780" t="inlineStr">
        <is>
          <t>STOCKHOLMS LÄN</t>
        </is>
      </c>
      <c r="E780" t="inlineStr">
        <is>
          <t>NORRTÄLJE</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33793-2022</t>
        </is>
      </c>
      <c r="B781" s="1" t="n">
        <v>44790</v>
      </c>
      <c r="C781" s="1" t="n">
        <v>46184</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53600-2022</t>
        </is>
      </c>
      <c r="B782" s="1" t="n">
        <v>44879.70518518519</v>
      </c>
      <c r="C782" s="1" t="n">
        <v>46184</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17345-2026</t>
        </is>
      </c>
      <c r="B783" s="1" t="n">
        <v>46119</v>
      </c>
      <c r="C783" s="1" t="n">
        <v>46184</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17215-2026</t>
        </is>
      </c>
      <c r="B784" s="1" t="n">
        <v>46119.36524305555</v>
      </c>
      <c r="C784" s="1" t="n">
        <v>46184</v>
      </c>
      <c r="D784" t="inlineStr">
        <is>
          <t>STOCKHOLMS LÄN</t>
        </is>
      </c>
      <c r="E784" t="inlineStr">
        <is>
          <t>NORRTÄLJE</t>
        </is>
      </c>
      <c r="F784" t="inlineStr">
        <is>
          <t>Holmen skog AB</t>
        </is>
      </c>
      <c r="G784" t="n">
        <v>3.8</v>
      </c>
      <c r="H784" t="n">
        <v>0</v>
      </c>
      <c r="I784" t="n">
        <v>0</v>
      </c>
      <c r="J784" t="n">
        <v>0</v>
      </c>
      <c r="K784" t="n">
        <v>0</v>
      </c>
      <c r="L784" t="n">
        <v>0</v>
      </c>
      <c r="M784" t="n">
        <v>0</v>
      </c>
      <c r="N784" t="n">
        <v>0</v>
      </c>
      <c r="O784" t="n">
        <v>0</v>
      </c>
      <c r="P784" t="n">
        <v>0</v>
      </c>
      <c r="Q784" t="n">
        <v>0</v>
      </c>
      <c r="R784" s="2" t="inlineStr"/>
    </row>
    <row r="785" ht="15" customHeight="1">
      <c r="A785" t="inlineStr">
        <is>
          <t>A 13-2024</t>
        </is>
      </c>
      <c r="B785" s="1" t="n">
        <v>45293.37263888889</v>
      </c>
      <c r="C785" s="1" t="n">
        <v>46184</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19-2024</t>
        </is>
      </c>
      <c r="B786" s="1" t="n">
        <v>45293</v>
      </c>
      <c r="C786" s="1" t="n">
        <v>46184</v>
      </c>
      <c r="D786" t="inlineStr">
        <is>
          <t>STOCKHOLMS LÄN</t>
        </is>
      </c>
      <c r="E786" t="inlineStr">
        <is>
          <t>NORRTÄLJE</t>
        </is>
      </c>
      <c r="G786" t="n">
        <v>0.3</v>
      </c>
      <c r="H786" t="n">
        <v>0</v>
      </c>
      <c r="I786" t="n">
        <v>0</v>
      </c>
      <c r="J786" t="n">
        <v>0</v>
      </c>
      <c r="K786" t="n">
        <v>0</v>
      </c>
      <c r="L786" t="n">
        <v>0</v>
      </c>
      <c r="M786" t="n">
        <v>0</v>
      </c>
      <c r="N786" t="n">
        <v>0</v>
      </c>
      <c r="O786" t="n">
        <v>0</v>
      </c>
      <c r="P786" t="n">
        <v>0</v>
      </c>
      <c r="Q786" t="n">
        <v>0</v>
      </c>
      <c r="R786" s="2" t="inlineStr"/>
    </row>
    <row r="787" ht="15" customHeight="1">
      <c r="A787" t="inlineStr">
        <is>
          <t>A 31559-2022</t>
        </is>
      </c>
      <c r="B787" s="1" t="n">
        <v>44775</v>
      </c>
      <c r="C787" s="1" t="n">
        <v>46184</v>
      </c>
      <c r="D787" t="inlineStr">
        <is>
          <t>STOCKHOLMS LÄN</t>
        </is>
      </c>
      <c r="E787" t="inlineStr">
        <is>
          <t>NORRTÄLJE</t>
        </is>
      </c>
      <c r="G787" t="n">
        <v>5.6</v>
      </c>
      <c r="H787" t="n">
        <v>0</v>
      </c>
      <c r="I787" t="n">
        <v>0</v>
      </c>
      <c r="J787" t="n">
        <v>0</v>
      </c>
      <c r="K787" t="n">
        <v>0</v>
      </c>
      <c r="L787" t="n">
        <v>0</v>
      </c>
      <c r="M787" t="n">
        <v>0</v>
      </c>
      <c r="N787" t="n">
        <v>0</v>
      </c>
      <c r="O787" t="n">
        <v>0</v>
      </c>
      <c r="P787" t="n">
        <v>0</v>
      </c>
      <c r="Q787" t="n">
        <v>0</v>
      </c>
      <c r="R787" s="2" t="inlineStr"/>
    </row>
    <row r="788" ht="15" customHeight="1">
      <c r="A788" t="inlineStr">
        <is>
          <t>A 35161-2022</t>
        </is>
      </c>
      <c r="B788" s="1" t="n">
        <v>44797</v>
      </c>
      <c r="C788" s="1" t="n">
        <v>46184</v>
      </c>
      <c r="D788" t="inlineStr">
        <is>
          <t>STOCKHOLMS LÄN</t>
        </is>
      </c>
      <c r="E788" t="inlineStr">
        <is>
          <t>NORRTÄLJE</t>
        </is>
      </c>
      <c r="G788" t="n">
        <v>6</v>
      </c>
      <c r="H788" t="n">
        <v>0</v>
      </c>
      <c r="I788" t="n">
        <v>0</v>
      </c>
      <c r="J788" t="n">
        <v>0</v>
      </c>
      <c r="K788" t="n">
        <v>0</v>
      </c>
      <c r="L788" t="n">
        <v>0</v>
      </c>
      <c r="M788" t="n">
        <v>0</v>
      </c>
      <c r="N788" t="n">
        <v>0</v>
      </c>
      <c r="O788" t="n">
        <v>0</v>
      </c>
      <c r="P788" t="n">
        <v>0</v>
      </c>
      <c r="Q788" t="n">
        <v>0</v>
      </c>
      <c r="R788" s="2" t="inlineStr"/>
    </row>
    <row r="789" ht="15" customHeight="1">
      <c r="A789" t="inlineStr">
        <is>
          <t>A 58989-2021</t>
        </is>
      </c>
      <c r="B789" s="1" t="n">
        <v>44490.02482638889</v>
      </c>
      <c r="C789" s="1" t="n">
        <v>46184</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46988-2024</t>
        </is>
      </c>
      <c r="B790" s="1" t="n">
        <v>45586</v>
      </c>
      <c r="C790" s="1" t="n">
        <v>46184</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17651-2026</t>
        </is>
      </c>
      <c r="B791" s="1" t="n">
        <v>46121.55334490741</v>
      </c>
      <c r="C791" s="1" t="n">
        <v>46184</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13701-2022</t>
        </is>
      </c>
      <c r="B792" s="1" t="n">
        <v>44648</v>
      </c>
      <c r="C792" s="1" t="n">
        <v>46184</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14132-2025</t>
        </is>
      </c>
      <c r="B793" s="1" t="n">
        <v>45740.47550925926</v>
      </c>
      <c r="C793" s="1" t="n">
        <v>46184</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14133-2025</t>
        </is>
      </c>
      <c r="B794" s="1" t="n">
        <v>45740.47724537037</v>
      </c>
      <c r="C794" s="1" t="n">
        <v>46184</v>
      </c>
      <c r="D794" t="inlineStr">
        <is>
          <t>STOCKHOLMS LÄN</t>
        </is>
      </c>
      <c r="E794" t="inlineStr">
        <is>
          <t>NORRTÄLJE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24887-2023</t>
        </is>
      </c>
      <c r="B795" s="1" t="n">
        <v>45085</v>
      </c>
      <c r="C795" s="1" t="n">
        <v>46184</v>
      </c>
      <c r="D795" t="inlineStr">
        <is>
          <t>STOCKHOLMS LÄN</t>
        </is>
      </c>
      <c r="E795" t="inlineStr">
        <is>
          <t>NORRTÄLJE</t>
        </is>
      </c>
      <c r="G795" t="n">
        <v>13.9</v>
      </c>
      <c r="H795" t="n">
        <v>0</v>
      </c>
      <c r="I795" t="n">
        <v>0</v>
      </c>
      <c r="J795" t="n">
        <v>0</v>
      </c>
      <c r="K795" t="n">
        <v>0</v>
      </c>
      <c r="L795" t="n">
        <v>0</v>
      </c>
      <c r="M795" t="n">
        <v>0</v>
      </c>
      <c r="N795" t="n">
        <v>0</v>
      </c>
      <c r="O795" t="n">
        <v>0</v>
      </c>
      <c r="P795" t="n">
        <v>0</v>
      </c>
      <c r="Q795" t="n">
        <v>0</v>
      </c>
      <c r="R795" s="2" t="inlineStr"/>
    </row>
    <row r="796" ht="15" customHeight="1">
      <c r="A796" t="inlineStr">
        <is>
          <t>A 38612-2022</t>
        </is>
      </c>
      <c r="B796" s="1" t="n">
        <v>44813</v>
      </c>
      <c r="C796" s="1" t="n">
        <v>46184</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4326-2023</t>
        </is>
      </c>
      <c r="B797" s="1" t="n">
        <v>44953.70481481482</v>
      </c>
      <c r="C797" s="1" t="n">
        <v>46184</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54504-2024</t>
        </is>
      </c>
      <c r="B798" s="1" t="n">
        <v>45617.58453703704</v>
      </c>
      <c r="C798" s="1" t="n">
        <v>46184</v>
      </c>
      <c r="D798" t="inlineStr">
        <is>
          <t>STOCKHOLMS LÄN</t>
        </is>
      </c>
      <c r="E798" t="inlineStr">
        <is>
          <t>NORRTÄLJE</t>
        </is>
      </c>
      <c r="G798" t="n">
        <v>3.4</v>
      </c>
      <c r="H798" t="n">
        <v>0</v>
      </c>
      <c r="I798" t="n">
        <v>0</v>
      </c>
      <c r="J798" t="n">
        <v>0</v>
      </c>
      <c r="K798" t="n">
        <v>0</v>
      </c>
      <c r="L798" t="n">
        <v>0</v>
      </c>
      <c r="M798" t="n">
        <v>0</v>
      </c>
      <c r="N798" t="n">
        <v>0</v>
      </c>
      <c r="O798" t="n">
        <v>0</v>
      </c>
      <c r="P798" t="n">
        <v>0</v>
      </c>
      <c r="Q798" t="n">
        <v>0</v>
      </c>
      <c r="R798" s="2" t="inlineStr"/>
    </row>
    <row r="799" ht="15" customHeight="1">
      <c r="A799" t="inlineStr">
        <is>
          <t>A 21745-2023</t>
        </is>
      </c>
      <c r="B799" s="1" t="n">
        <v>45065.55917824074</v>
      </c>
      <c r="C799" s="1" t="n">
        <v>46184</v>
      </c>
      <c r="D799" t="inlineStr">
        <is>
          <t>STOCKHOLMS LÄN</t>
        </is>
      </c>
      <c r="E799" t="inlineStr">
        <is>
          <t>NORRTÄLJE</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21894-2023</t>
        </is>
      </c>
      <c r="B800" s="1" t="n">
        <v>45068.51783564815</v>
      </c>
      <c r="C800" s="1" t="n">
        <v>46184</v>
      </c>
      <c r="D800" t="inlineStr">
        <is>
          <t>STOCKHOLMS LÄN</t>
        </is>
      </c>
      <c r="E800" t="inlineStr">
        <is>
          <t>NORRTÄLJE</t>
        </is>
      </c>
      <c r="G800" t="n">
        <v>2.5</v>
      </c>
      <c r="H800" t="n">
        <v>0</v>
      </c>
      <c r="I800" t="n">
        <v>0</v>
      </c>
      <c r="J800" t="n">
        <v>0</v>
      </c>
      <c r="K800" t="n">
        <v>0</v>
      </c>
      <c r="L800" t="n">
        <v>0</v>
      </c>
      <c r="M800" t="n">
        <v>0</v>
      </c>
      <c r="N800" t="n">
        <v>0</v>
      </c>
      <c r="O800" t="n">
        <v>0</v>
      </c>
      <c r="P800" t="n">
        <v>0</v>
      </c>
      <c r="Q800" t="n">
        <v>0</v>
      </c>
      <c r="R800" s="2" t="inlineStr"/>
    </row>
    <row r="801" ht="15" customHeight="1">
      <c r="A801" t="inlineStr">
        <is>
          <t>A 13276-2022</t>
        </is>
      </c>
      <c r="B801" s="1" t="n">
        <v>44644</v>
      </c>
      <c r="C801" s="1" t="n">
        <v>46184</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28182-2022</t>
        </is>
      </c>
      <c r="B802" s="1" t="n">
        <v>44746.58530092592</v>
      </c>
      <c r="C802" s="1" t="n">
        <v>46184</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34461-2023</t>
        </is>
      </c>
      <c r="B803" s="1" t="n">
        <v>45139</v>
      </c>
      <c r="C803" s="1" t="n">
        <v>46184</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46184</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23855-2026</t>
        </is>
      </c>
      <c r="B805" s="1" t="n">
        <v>46167.38663194444</v>
      </c>
      <c r="C805" s="1" t="n">
        <v>46184</v>
      </c>
      <c r="D805" t="inlineStr">
        <is>
          <t>STOCKHOLMS LÄN</t>
        </is>
      </c>
      <c r="E805" t="inlineStr">
        <is>
          <t>NORRTÄLJE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17382-2024</t>
        </is>
      </c>
      <c r="B806" s="1" t="n">
        <v>45414.65855324074</v>
      </c>
      <c r="C806" s="1" t="n">
        <v>46184</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6070-2022</t>
        </is>
      </c>
      <c r="B807" s="1" t="n">
        <v>44599.58428240741</v>
      </c>
      <c r="C807" s="1" t="n">
        <v>46184</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17039-2024</t>
        </is>
      </c>
      <c r="B808" s="1" t="n">
        <v>45412.4104050926</v>
      </c>
      <c r="C808" s="1" t="n">
        <v>46184</v>
      </c>
      <c r="D808" t="inlineStr">
        <is>
          <t>STOCKHOLMS LÄN</t>
        </is>
      </c>
      <c r="E808" t="inlineStr">
        <is>
          <t>NORRTÄLJE</t>
        </is>
      </c>
      <c r="G808" t="n">
        <v>5.9</v>
      </c>
      <c r="H808" t="n">
        <v>0</v>
      </c>
      <c r="I808" t="n">
        <v>0</v>
      </c>
      <c r="J808" t="n">
        <v>0</v>
      </c>
      <c r="K808" t="n">
        <v>0</v>
      </c>
      <c r="L808" t="n">
        <v>0</v>
      </c>
      <c r="M808" t="n">
        <v>0</v>
      </c>
      <c r="N808" t="n">
        <v>0</v>
      </c>
      <c r="O808" t="n">
        <v>0</v>
      </c>
      <c r="P808" t="n">
        <v>0</v>
      </c>
      <c r="Q808" t="n">
        <v>0</v>
      </c>
      <c r="R808" s="2" t="inlineStr"/>
    </row>
    <row r="809" ht="15" customHeight="1">
      <c r="A809" t="inlineStr">
        <is>
          <t>A 21753-2026</t>
        </is>
      </c>
      <c r="B809" s="1" t="n">
        <v>46149</v>
      </c>
      <c r="C809" s="1" t="n">
        <v>46184</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48180-2023</t>
        </is>
      </c>
      <c r="B810" s="1" t="n">
        <v>45205</v>
      </c>
      <c r="C810" s="1" t="n">
        <v>46184</v>
      </c>
      <c r="D810" t="inlineStr">
        <is>
          <t>STOCKHOLMS LÄN</t>
        </is>
      </c>
      <c r="E810" t="inlineStr">
        <is>
          <t>NORRTÄLJE</t>
        </is>
      </c>
      <c r="G810" t="n">
        <v>1.5</v>
      </c>
      <c r="H810" t="n">
        <v>0</v>
      </c>
      <c r="I810" t="n">
        <v>0</v>
      </c>
      <c r="J810" t="n">
        <v>0</v>
      </c>
      <c r="K810" t="n">
        <v>0</v>
      </c>
      <c r="L810" t="n">
        <v>0</v>
      </c>
      <c r="M810" t="n">
        <v>0</v>
      </c>
      <c r="N810" t="n">
        <v>0</v>
      </c>
      <c r="O810" t="n">
        <v>0</v>
      </c>
      <c r="P810" t="n">
        <v>0</v>
      </c>
      <c r="Q810" t="n">
        <v>0</v>
      </c>
      <c r="R810" s="2" t="inlineStr"/>
    </row>
    <row r="811" ht="15" customHeight="1">
      <c r="A811" t="inlineStr">
        <is>
          <t>A 35695-2023</t>
        </is>
      </c>
      <c r="B811" s="1" t="n">
        <v>45147.65407407407</v>
      </c>
      <c r="C811" s="1" t="n">
        <v>46184</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45173-2023</t>
        </is>
      </c>
      <c r="B812" s="1" t="n">
        <v>45191</v>
      </c>
      <c r="C812" s="1" t="n">
        <v>46184</v>
      </c>
      <c r="D812" t="inlineStr">
        <is>
          <t>STOCKHOLMS LÄN</t>
        </is>
      </c>
      <c r="E812" t="inlineStr">
        <is>
          <t>NORRTÄLJE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15836-2026</t>
        </is>
      </c>
      <c r="B813" s="1" t="n">
        <v>46107</v>
      </c>
      <c r="C813" s="1" t="n">
        <v>46184</v>
      </c>
      <c r="D813" t="inlineStr">
        <is>
          <t>STOCKHOLMS LÄN</t>
        </is>
      </c>
      <c r="E813" t="inlineStr">
        <is>
          <t>NORRTÄLJE</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24705-2023</t>
        </is>
      </c>
      <c r="B814" s="1" t="n">
        <v>45084.54459490741</v>
      </c>
      <c r="C814" s="1" t="n">
        <v>46184</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21696-2024</t>
        </is>
      </c>
      <c r="B815" s="1" t="n">
        <v>45442.45686342593</v>
      </c>
      <c r="C815" s="1" t="n">
        <v>46184</v>
      </c>
      <c r="D815" t="inlineStr">
        <is>
          <t>STOCKHOLMS LÄN</t>
        </is>
      </c>
      <c r="E815" t="inlineStr">
        <is>
          <t>NORRTÄLJE</t>
        </is>
      </c>
      <c r="G815" t="n">
        <v>2.9</v>
      </c>
      <c r="H815" t="n">
        <v>0</v>
      </c>
      <c r="I815" t="n">
        <v>0</v>
      </c>
      <c r="J815" t="n">
        <v>0</v>
      </c>
      <c r="K815" t="n">
        <v>0</v>
      </c>
      <c r="L815" t="n">
        <v>0</v>
      </c>
      <c r="M815" t="n">
        <v>0</v>
      </c>
      <c r="N815" t="n">
        <v>0</v>
      </c>
      <c r="O815" t="n">
        <v>0</v>
      </c>
      <c r="P815" t="n">
        <v>0</v>
      </c>
      <c r="Q815" t="n">
        <v>0</v>
      </c>
      <c r="R815" s="2" t="inlineStr"/>
    </row>
    <row r="816" ht="15" customHeight="1">
      <c r="A816" t="inlineStr">
        <is>
          <t>A 67990-2021</t>
        </is>
      </c>
      <c r="B816" s="1" t="n">
        <v>44525</v>
      </c>
      <c r="C816" s="1" t="n">
        <v>46184</v>
      </c>
      <c r="D816" t="inlineStr">
        <is>
          <t>STOCKHOLMS LÄN</t>
        </is>
      </c>
      <c r="E816" t="inlineStr">
        <is>
          <t>NORRTÄLJE</t>
        </is>
      </c>
      <c r="F816" t="inlineStr">
        <is>
          <t>Sveaskog</t>
        </is>
      </c>
      <c r="G816" t="n">
        <v>7.8</v>
      </c>
      <c r="H816" t="n">
        <v>0</v>
      </c>
      <c r="I816" t="n">
        <v>0</v>
      </c>
      <c r="J816" t="n">
        <v>0</v>
      </c>
      <c r="K816" t="n">
        <v>0</v>
      </c>
      <c r="L816" t="n">
        <v>0</v>
      </c>
      <c r="M816" t="n">
        <v>0</v>
      </c>
      <c r="N816" t="n">
        <v>0</v>
      </c>
      <c r="O816" t="n">
        <v>0</v>
      </c>
      <c r="P816" t="n">
        <v>0</v>
      </c>
      <c r="Q816" t="n">
        <v>0</v>
      </c>
      <c r="R816" s="2" t="inlineStr"/>
    </row>
    <row r="817" ht="15" customHeight="1">
      <c r="A817" t="inlineStr">
        <is>
          <t>A 71552-2021</t>
        </is>
      </c>
      <c r="B817" s="1" t="n">
        <v>44540</v>
      </c>
      <c r="C817" s="1" t="n">
        <v>46184</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73992-2021</t>
        </is>
      </c>
      <c r="B818" s="1" t="n">
        <v>44556</v>
      </c>
      <c r="C818" s="1" t="n">
        <v>46184</v>
      </c>
      <c r="D818" t="inlineStr">
        <is>
          <t>STOCKHOLMS LÄN</t>
        </is>
      </c>
      <c r="E818" t="inlineStr">
        <is>
          <t>NORRTÄLJE</t>
        </is>
      </c>
      <c r="G818" t="n">
        <v>12.5</v>
      </c>
      <c r="H818" t="n">
        <v>0</v>
      </c>
      <c r="I818" t="n">
        <v>0</v>
      </c>
      <c r="J818" t="n">
        <v>0</v>
      </c>
      <c r="K818" t="n">
        <v>0</v>
      </c>
      <c r="L818" t="n">
        <v>0</v>
      </c>
      <c r="M818" t="n">
        <v>0</v>
      </c>
      <c r="N818" t="n">
        <v>0</v>
      </c>
      <c r="O818" t="n">
        <v>0</v>
      </c>
      <c r="P818" t="n">
        <v>0</v>
      </c>
      <c r="Q818" t="n">
        <v>0</v>
      </c>
      <c r="R818" s="2" t="inlineStr"/>
    </row>
    <row r="819" ht="15" customHeight="1">
      <c r="A819" t="inlineStr">
        <is>
          <t>A 14937-2026</t>
        </is>
      </c>
      <c r="B819" s="1" t="n">
        <v>46104</v>
      </c>
      <c r="C819" s="1" t="n">
        <v>46184</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26113-2024</t>
        </is>
      </c>
      <c r="B820" s="1" t="n">
        <v>45468.45541666666</v>
      </c>
      <c r="C820" s="1" t="n">
        <v>46184</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26116-2024</t>
        </is>
      </c>
      <c r="B821" s="1" t="n">
        <v>45468.45747685185</v>
      </c>
      <c r="C821" s="1" t="n">
        <v>46184</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24835-2025</t>
        </is>
      </c>
      <c r="B822" s="1" t="n">
        <v>45799</v>
      </c>
      <c r="C822" s="1" t="n">
        <v>46184</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34391-2023</t>
        </is>
      </c>
      <c r="B823" s="1" t="n">
        <v>45139.51457175926</v>
      </c>
      <c r="C823" s="1" t="n">
        <v>46184</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24891-2026</t>
        </is>
      </c>
      <c r="B824" s="1" t="n">
        <v>46174.45833333334</v>
      </c>
      <c r="C824" s="1" t="n">
        <v>46184</v>
      </c>
      <c r="D824" t="inlineStr">
        <is>
          <t>STOCKHOLMS LÄN</t>
        </is>
      </c>
      <c r="E824" t="inlineStr">
        <is>
          <t>NORRTÄLJE</t>
        </is>
      </c>
      <c r="G824" t="n">
        <v>4</v>
      </c>
      <c r="H824" t="n">
        <v>0</v>
      </c>
      <c r="I824" t="n">
        <v>0</v>
      </c>
      <c r="J824" t="n">
        <v>0</v>
      </c>
      <c r="K824" t="n">
        <v>0</v>
      </c>
      <c r="L824" t="n">
        <v>0</v>
      </c>
      <c r="M824" t="n">
        <v>0</v>
      </c>
      <c r="N824" t="n">
        <v>0</v>
      </c>
      <c r="O824" t="n">
        <v>0</v>
      </c>
      <c r="P824" t="n">
        <v>0</v>
      </c>
      <c r="Q824" t="n">
        <v>0</v>
      </c>
      <c r="R824" s="2" t="inlineStr"/>
    </row>
    <row r="825" ht="15" customHeight="1">
      <c r="A825" t="inlineStr">
        <is>
          <t>A 67921-2021</t>
        </is>
      </c>
      <c r="B825" s="1" t="n">
        <v>44525</v>
      </c>
      <c r="C825" s="1" t="n">
        <v>46184</v>
      </c>
      <c r="D825" t="inlineStr">
        <is>
          <t>STOCKHOLMS LÄN</t>
        </is>
      </c>
      <c r="E825" t="inlineStr">
        <is>
          <t>NORRTÄLJE</t>
        </is>
      </c>
      <c r="G825" t="n">
        <v>6.3</v>
      </c>
      <c r="H825" t="n">
        <v>0</v>
      </c>
      <c r="I825" t="n">
        <v>0</v>
      </c>
      <c r="J825" t="n">
        <v>0</v>
      </c>
      <c r="K825" t="n">
        <v>0</v>
      </c>
      <c r="L825" t="n">
        <v>0</v>
      </c>
      <c r="M825" t="n">
        <v>0</v>
      </c>
      <c r="N825" t="n">
        <v>0</v>
      </c>
      <c r="O825" t="n">
        <v>0</v>
      </c>
      <c r="P825" t="n">
        <v>0</v>
      </c>
      <c r="Q825" t="n">
        <v>0</v>
      </c>
      <c r="R825" s="2" t="inlineStr"/>
    </row>
    <row r="826" ht="15" customHeight="1">
      <c r="A826" t="inlineStr">
        <is>
          <t>A 25681-2024</t>
        </is>
      </c>
      <c r="B826" s="1" t="n">
        <v>45463.80486111111</v>
      </c>
      <c r="C826" s="1" t="n">
        <v>46184</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58853-2024</t>
        </is>
      </c>
      <c r="B827" s="1" t="n">
        <v>45636.38974537037</v>
      </c>
      <c r="C827" s="1" t="n">
        <v>46184</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35438-2023</t>
        </is>
      </c>
      <c r="B828" s="1" t="n">
        <v>45146</v>
      </c>
      <c r="C828" s="1" t="n">
        <v>46184</v>
      </c>
      <c r="D828" t="inlineStr">
        <is>
          <t>STOCKHOLMS LÄN</t>
        </is>
      </c>
      <c r="E828" t="inlineStr">
        <is>
          <t>NORRTÄLJE</t>
        </is>
      </c>
      <c r="F828" t="inlineStr">
        <is>
          <t>Kommuner</t>
        </is>
      </c>
      <c r="G828" t="n">
        <v>1.9</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46184</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26115-2024</t>
        </is>
      </c>
      <c r="B830" s="1" t="n">
        <v>45468.45628472222</v>
      </c>
      <c r="C830" s="1" t="n">
        <v>46184</v>
      </c>
      <c r="D830" t="inlineStr">
        <is>
          <t>STOCKHOLMS LÄN</t>
        </is>
      </c>
      <c r="E830" t="inlineStr">
        <is>
          <t>NORRTÄLJE</t>
        </is>
      </c>
      <c r="G830" t="n">
        <v>0.3</v>
      </c>
      <c r="H830" t="n">
        <v>0</v>
      </c>
      <c r="I830" t="n">
        <v>0</v>
      </c>
      <c r="J830" t="n">
        <v>0</v>
      </c>
      <c r="K830" t="n">
        <v>0</v>
      </c>
      <c r="L830" t="n">
        <v>0</v>
      </c>
      <c r="M830" t="n">
        <v>0</v>
      </c>
      <c r="N830" t="n">
        <v>0</v>
      </c>
      <c r="O830" t="n">
        <v>0</v>
      </c>
      <c r="P830" t="n">
        <v>0</v>
      </c>
      <c r="Q830" t="n">
        <v>0</v>
      </c>
      <c r="R830" s="2" t="inlineStr"/>
    </row>
    <row r="831" ht="15" customHeight="1">
      <c r="A831" t="inlineStr">
        <is>
          <t>A 19118-2022</t>
        </is>
      </c>
      <c r="B831" s="1" t="n">
        <v>44691.5652662037</v>
      </c>
      <c r="C831" s="1" t="n">
        <v>46184</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19129-2026</t>
        </is>
      </c>
      <c r="B832" s="1" t="n">
        <v>46132.48601851852</v>
      </c>
      <c r="C832" s="1" t="n">
        <v>46184</v>
      </c>
      <c r="D832" t="inlineStr">
        <is>
          <t>STOCKHOLMS LÄN</t>
        </is>
      </c>
      <c r="E832" t="inlineStr">
        <is>
          <t>NORRTÄLJE</t>
        </is>
      </c>
      <c r="G832" t="n">
        <v>1.7</v>
      </c>
      <c r="H832" t="n">
        <v>0</v>
      </c>
      <c r="I832" t="n">
        <v>0</v>
      </c>
      <c r="J832" t="n">
        <v>0</v>
      </c>
      <c r="K832" t="n">
        <v>0</v>
      </c>
      <c r="L832" t="n">
        <v>0</v>
      </c>
      <c r="M832" t="n">
        <v>0</v>
      </c>
      <c r="N832" t="n">
        <v>0</v>
      </c>
      <c r="O832" t="n">
        <v>0</v>
      </c>
      <c r="P832" t="n">
        <v>0</v>
      </c>
      <c r="Q832" t="n">
        <v>0</v>
      </c>
      <c r="R832" s="2" t="inlineStr"/>
    </row>
    <row r="833" ht="15" customHeight="1">
      <c r="A833" t="inlineStr">
        <is>
          <t>A 8739-2024</t>
        </is>
      </c>
      <c r="B833" s="1" t="n">
        <v>45356.47784722222</v>
      </c>
      <c r="C833" s="1" t="n">
        <v>46184</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19358-2026</t>
        </is>
      </c>
      <c r="B834" s="1" t="n">
        <v>46133.4978125</v>
      </c>
      <c r="C834" s="1" t="n">
        <v>46184</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38759-2022</t>
        </is>
      </c>
      <c r="B835" s="1" t="n">
        <v>44816</v>
      </c>
      <c r="C835" s="1" t="n">
        <v>46184</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19170-2026</t>
        </is>
      </c>
      <c r="B836" s="1" t="n">
        <v>46132.5859837963</v>
      </c>
      <c r="C836" s="1" t="n">
        <v>46184</v>
      </c>
      <c r="D836" t="inlineStr">
        <is>
          <t>STOCKHOLMS LÄN</t>
        </is>
      </c>
      <c r="E836" t="inlineStr">
        <is>
          <t>NORRTÄLJE</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19688-2026</t>
        </is>
      </c>
      <c r="B837" s="1" t="n">
        <v>46134.67685185185</v>
      </c>
      <c r="C837" s="1" t="n">
        <v>46184</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19352-2026</t>
        </is>
      </c>
      <c r="B838" s="1" t="n">
        <v>46133.47344907407</v>
      </c>
      <c r="C838" s="1" t="n">
        <v>46184</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32857-2021</t>
        </is>
      </c>
      <c r="B839" s="1" t="n">
        <v>44375</v>
      </c>
      <c r="C839" s="1" t="n">
        <v>46184</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29714-2023</t>
        </is>
      </c>
      <c r="B840" s="1" t="n">
        <v>45107.42538194444</v>
      </c>
      <c r="C840" s="1" t="n">
        <v>46184</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23271-2023</t>
        </is>
      </c>
      <c r="B841" s="1" t="n">
        <v>45075.91362268518</v>
      </c>
      <c r="C841" s="1" t="n">
        <v>46184</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23273-2023</t>
        </is>
      </c>
      <c r="B842" s="1" t="n">
        <v>45075.91971064815</v>
      </c>
      <c r="C842" s="1" t="n">
        <v>46184</v>
      </c>
      <c r="D842" t="inlineStr">
        <is>
          <t>STOCKHOLMS LÄN</t>
        </is>
      </c>
      <c r="E842" t="inlineStr">
        <is>
          <t>NORRTÄLJE</t>
        </is>
      </c>
      <c r="G842" t="n">
        <v>7.5</v>
      </c>
      <c r="H842" t="n">
        <v>0</v>
      </c>
      <c r="I842" t="n">
        <v>0</v>
      </c>
      <c r="J842" t="n">
        <v>0</v>
      </c>
      <c r="K842" t="n">
        <v>0</v>
      </c>
      <c r="L842" t="n">
        <v>0</v>
      </c>
      <c r="M842" t="n">
        <v>0</v>
      </c>
      <c r="N842" t="n">
        <v>0</v>
      </c>
      <c r="O842" t="n">
        <v>0</v>
      </c>
      <c r="P842" t="n">
        <v>0</v>
      </c>
      <c r="Q842" t="n">
        <v>0</v>
      </c>
      <c r="R842" s="2" t="inlineStr"/>
    </row>
    <row r="843" ht="15" customHeight="1">
      <c r="A843" t="inlineStr">
        <is>
          <t>A 19759-2026</t>
        </is>
      </c>
      <c r="B843" s="1" t="n">
        <v>46135.41234953704</v>
      </c>
      <c r="C843" s="1" t="n">
        <v>46184</v>
      </c>
      <c r="D843" t="inlineStr">
        <is>
          <t>STOCKHOLMS LÄN</t>
        </is>
      </c>
      <c r="E843" t="inlineStr">
        <is>
          <t>NORRTÄLJE</t>
        </is>
      </c>
      <c r="G843" t="n">
        <v>1.9</v>
      </c>
      <c r="H843" t="n">
        <v>0</v>
      </c>
      <c r="I843" t="n">
        <v>0</v>
      </c>
      <c r="J843" t="n">
        <v>0</v>
      </c>
      <c r="K843" t="n">
        <v>0</v>
      </c>
      <c r="L843" t="n">
        <v>0</v>
      </c>
      <c r="M843" t="n">
        <v>0</v>
      </c>
      <c r="N843" t="n">
        <v>0</v>
      </c>
      <c r="O843" t="n">
        <v>0</v>
      </c>
      <c r="P843" t="n">
        <v>0</v>
      </c>
      <c r="Q843" t="n">
        <v>0</v>
      </c>
      <c r="R843" s="2" t="inlineStr"/>
    </row>
    <row r="844" ht="15" customHeight="1">
      <c r="A844" t="inlineStr">
        <is>
          <t>A 17209-2026</t>
        </is>
      </c>
      <c r="B844" s="1" t="n">
        <v>46119.33341435185</v>
      </c>
      <c r="C844" s="1" t="n">
        <v>46184</v>
      </c>
      <c r="D844" t="inlineStr">
        <is>
          <t>STOCKHOLMS LÄN</t>
        </is>
      </c>
      <c r="E844" t="inlineStr">
        <is>
          <t>NORRTÄLJE</t>
        </is>
      </c>
      <c r="F844" t="inlineStr">
        <is>
          <t>Holmen skog AB</t>
        </is>
      </c>
      <c r="G844" t="n">
        <v>2.7</v>
      </c>
      <c r="H844" t="n">
        <v>0</v>
      </c>
      <c r="I844" t="n">
        <v>0</v>
      </c>
      <c r="J844" t="n">
        <v>0</v>
      </c>
      <c r="K844" t="n">
        <v>0</v>
      </c>
      <c r="L844" t="n">
        <v>0</v>
      </c>
      <c r="M844" t="n">
        <v>0</v>
      </c>
      <c r="N844" t="n">
        <v>0</v>
      </c>
      <c r="O844" t="n">
        <v>0</v>
      </c>
      <c r="P844" t="n">
        <v>0</v>
      </c>
      <c r="Q844" t="n">
        <v>0</v>
      </c>
      <c r="R844" s="2" t="inlineStr"/>
    </row>
    <row r="845" ht="15" customHeight="1">
      <c r="A845" t="inlineStr">
        <is>
          <t>A 25507-2026</t>
        </is>
      </c>
      <c r="B845" s="1" t="n">
        <v>46177.4653587963</v>
      </c>
      <c r="C845" s="1" t="n">
        <v>46184</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25529-2026</t>
        </is>
      </c>
      <c r="B846" s="1" t="n">
        <v>46177.53180555555</v>
      </c>
      <c r="C846" s="1" t="n">
        <v>46184</v>
      </c>
      <c r="D846" t="inlineStr">
        <is>
          <t>STOCKHOLMS LÄN</t>
        </is>
      </c>
      <c r="E846" t="inlineStr">
        <is>
          <t>NORRTÄLJE</t>
        </is>
      </c>
      <c r="G846" t="n">
        <v>6.3</v>
      </c>
      <c r="H846" t="n">
        <v>0</v>
      </c>
      <c r="I846" t="n">
        <v>0</v>
      </c>
      <c r="J846" t="n">
        <v>0</v>
      </c>
      <c r="K846" t="n">
        <v>0</v>
      </c>
      <c r="L846" t="n">
        <v>0</v>
      </c>
      <c r="M846" t="n">
        <v>0</v>
      </c>
      <c r="N846" t="n">
        <v>0</v>
      </c>
      <c r="O846" t="n">
        <v>0</v>
      </c>
      <c r="P846" t="n">
        <v>0</v>
      </c>
      <c r="Q846" t="n">
        <v>0</v>
      </c>
      <c r="R846" s="2" t="inlineStr"/>
    </row>
    <row r="847" ht="15" customHeight="1">
      <c r="A847" t="inlineStr">
        <is>
          <t>A 30802-2022</t>
        </is>
      </c>
      <c r="B847" s="1" t="n">
        <v>44764</v>
      </c>
      <c r="C847" s="1" t="n">
        <v>46184</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41301-2025</t>
        </is>
      </c>
      <c r="B848" s="1" t="n">
        <v>45898.68826388889</v>
      </c>
      <c r="C848" s="1" t="n">
        <v>46184</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55503-2025</t>
        </is>
      </c>
      <c r="B849" s="1" t="n">
        <v>45971</v>
      </c>
      <c r="C849" s="1" t="n">
        <v>46184</v>
      </c>
      <c r="D849" t="inlineStr">
        <is>
          <t>STOCKHOLMS LÄN</t>
        </is>
      </c>
      <c r="E849" t="inlineStr">
        <is>
          <t>NORRTÄLJE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55369-2023</t>
        </is>
      </c>
      <c r="B850" s="1" t="n">
        <v>45238</v>
      </c>
      <c r="C850" s="1" t="n">
        <v>46184</v>
      </c>
      <c r="D850" t="inlineStr">
        <is>
          <t>STOCKHOLMS LÄN</t>
        </is>
      </c>
      <c r="E850" t="inlineStr">
        <is>
          <t>NORRTÄLJE</t>
        </is>
      </c>
      <c r="G850" t="n">
        <v>0.4</v>
      </c>
      <c r="H850" t="n">
        <v>0</v>
      </c>
      <c r="I850" t="n">
        <v>0</v>
      </c>
      <c r="J850" t="n">
        <v>0</v>
      </c>
      <c r="K850" t="n">
        <v>0</v>
      </c>
      <c r="L850" t="n">
        <v>0</v>
      </c>
      <c r="M850" t="n">
        <v>0</v>
      </c>
      <c r="N850" t="n">
        <v>0</v>
      </c>
      <c r="O850" t="n">
        <v>0</v>
      </c>
      <c r="P850" t="n">
        <v>0</v>
      </c>
      <c r="Q850" t="n">
        <v>0</v>
      </c>
      <c r="R850" s="2" t="inlineStr"/>
    </row>
    <row r="851" ht="15" customHeight="1">
      <c r="A851" t="inlineStr">
        <is>
          <t>A 25919-2026</t>
        </is>
      </c>
      <c r="B851" s="1" t="n">
        <v>46178.7539699074</v>
      </c>
      <c r="C851" s="1" t="n">
        <v>46184</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61113-2023</t>
        </is>
      </c>
      <c r="B852" s="1" t="n">
        <v>45261</v>
      </c>
      <c r="C852" s="1" t="n">
        <v>46184</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34295-2024</t>
        </is>
      </c>
      <c r="B853" s="1" t="n">
        <v>45524</v>
      </c>
      <c r="C853" s="1" t="n">
        <v>46184</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47521-2024</t>
        </is>
      </c>
      <c r="B854" s="1" t="n">
        <v>45587.62565972222</v>
      </c>
      <c r="C854" s="1" t="n">
        <v>46184</v>
      </c>
      <c r="D854" t="inlineStr">
        <is>
          <t>STOCKHOLMS LÄN</t>
        </is>
      </c>
      <c r="E854" t="inlineStr">
        <is>
          <t>NORRTÄLJE</t>
        </is>
      </c>
      <c r="G854" t="n">
        <v>4.7</v>
      </c>
      <c r="H854" t="n">
        <v>0</v>
      </c>
      <c r="I854" t="n">
        <v>0</v>
      </c>
      <c r="J854" t="n">
        <v>0</v>
      </c>
      <c r="K854" t="n">
        <v>0</v>
      </c>
      <c r="L854" t="n">
        <v>0</v>
      </c>
      <c r="M854" t="n">
        <v>0</v>
      </c>
      <c r="N854" t="n">
        <v>0</v>
      </c>
      <c r="O854" t="n">
        <v>0</v>
      </c>
      <c r="P854" t="n">
        <v>0</v>
      </c>
      <c r="Q854" t="n">
        <v>0</v>
      </c>
      <c r="R854" s="2" t="inlineStr"/>
    </row>
    <row r="855" ht="15" customHeight="1">
      <c r="A855" t="inlineStr">
        <is>
          <t>A 58311-2023</t>
        </is>
      </c>
      <c r="B855" s="1" t="n">
        <v>45245</v>
      </c>
      <c r="C855" s="1" t="n">
        <v>46184</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23692-2024</t>
        </is>
      </c>
      <c r="B856" s="1" t="n">
        <v>45454.65774305556</v>
      </c>
      <c r="C856" s="1" t="n">
        <v>46184</v>
      </c>
      <c r="D856" t="inlineStr">
        <is>
          <t>STOCKHOLMS LÄN</t>
        </is>
      </c>
      <c r="E856" t="inlineStr">
        <is>
          <t>NORRTÄLJE</t>
        </is>
      </c>
      <c r="G856" t="n">
        <v>3.7</v>
      </c>
      <c r="H856" t="n">
        <v>0</v>
      </c>
      <c r="I856" t="n">
        <v>0</v>
      </c>
      <c r="J856" t="n">
        <v>0</v>
      </c>
      <c r="K856" t="n">
        <v>0</v>
      </c>
      <c r="L856" t="n">
        <v>0</v>
      </c>
      <c r="M856" t="n">
        <v>0</v>
      </c>
      <c r="N856" t="n">
        <v>0</v>
      </c>
      <c r="O856" t="n">
        <v>0</v>
      </c>
      <c r="P856" t="n">
        <v>0</v>
      </c>
      <c r="Q856" t="n">
        <v>0</v>
      </c>
      <c r="R856" s="2" t="inlineStr"/>
    </row>
    <row r="857" ht="15" customHeight="1">
      <c r="A857" t="inlineStr">
        <is>
          <t>A 8315-2025</t>
        </is>
      </c>
      <c r="B857" s="1" t="n">
        <v>45708.61761574074</v>
      </c>
      <c r="C857" s="1" t="n">
        <v>46184</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35254-2025</t>
        </is>
      </c>
      <c r="B858" s="1" t="n">
        <v>45853</v>
      </c>
      <c r="C858" s="1" t="n">
        <v>46184</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54273-2021</t>
        </is>
      </c>
      <c r="B859" s="1" t="n">
        <v>44470.72987268519</v>
      </c>
      <c r="C859" s="1" t="n">
        <v>46184</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1654-2025</t>
        </is>
      </c>
      <c r="B860" s="1" t="n">
        <v>45670.65921296296</v>
      </c>
      <c r="C860" s="1" t="n">
        <v>46184</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11041-2025</t>
        </is>
      </c>
      <c r="B861" s="1" t="n">
        <v>45723</v>
      </c>
      <c r="C861" s="1" t="n">
        <v>46184</v>
      </c>
      <c r="D861" t="inlineStr">
        <is>
          <t>STOCKHOLMS LÄN</t>
        </is>
      </c>
      <c r="E861" t="inlineStr">
        <is>
          <t>NORRTÄLJE</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52251-2025</t>
        </is>
      </c>
      <c r="B862" s="1" t="n">
        <v>45953.49185185185</v>
      </c>
      <c r="C862" s="1" t="n">
        <v>46184</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13785-2024</t>
        </is>
      </c>
      <c r="B863" s="1" t="n">
        <v>45391.3395949074</v>
      </c>
      <c r="C863" s="1" t="n">
        <v>46184</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25696-2026</t>
        </is>
      </c>
      <c r="B864" s="1" t="n">
        <v>46178.35767361111</v>
      </c>
      <c r="C864" s="1" t="n">
        <v>46184</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20336-2024</t>
        </is>
      </c>
      <c r="B865" s="1" t="n">
        <v>45435.43123842592</v>
      </c>
      <c r="C865" s="1" t="n">
        <v>46184</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52254-2025</t>
        </is>
      </c>
      <c r="B866" s="1" t="n">
        <v>45953.49519675926</v>
      </c>
      <c r="C866" s="1" t="n">
        <v>46184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53792-2023</t>
        </is>
      </c>
      <c r="B867" s="1" t="n">
        <v>45231.34144675926</v>
      </c>
      <c r="C867" s="1" t="n">
        <v>46184</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26083-2026</t>
        </is>
      </c>
      <c r="B868" s="1" t="n">
        <v>46181.63171296296</v>
      </c>
      <c r="C868" s="1" t="n">
        <v>46184</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21329-2022</t>
        </is>
      </c>
      <c r="B869" s="1" t="n">
        <v>44705.60626157407</v>
      </c>
      <c r="C869" s="1" t="n">
        <v>46184</v>
      </c>
      <c r="D869" t="inlineStr">
        <is>
          <t>STOCKHOLMS LÄN</t>
        </is>
      </c>
      <c r="E869" t="inlineStr">
        <is>
          <t>NORRTÄLJE</t>
        </is>
      </c>
      <c r="G869" t="n">
        <v>4.1</v>
      </c>
      <c r="H869" t="n">
        <v>0</v>
      </c>
      <c r="I869" t="n">
        <v>0</v>
      </c>
      <c r="J869" t="n">
        <v>0</v>
      </c>
      <c r="K869" t="n">
        <v>0</v>
      </c>
      <c r="L869" t="n">
        <v>0</v>
      </c>
      <c r="M869" t="n">
        <v>0</v>
      </c>
      <c r="N869" t="n">
        <v>0</v>
      </c>
      <c r="O869" t="n">
        <v>0</v>
      </c>
      <c r="P869" t="n">
        <v>0</v>
      </c>
      <c r="Q869" t="n">
        <v>0</v>
      </c>
      <c r="R869" s="2" t="inlineStr"/>
    </row>
    <row r="870" ht="15" customHeight="1">
      <c r="A870" t="inlineStr">
        <is>
          <t>A 50569-2022</t>
        </is>
      </c>
      <c r="B870" s="1" t="n">
        <v>44866.63775462963</v>
      </c>
      <c r="C870" s="1" t="n">
        <v>46184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24501-2023</t>
        </is>
      </c>
      <c r="B871" s="1" t="n">
        <v>45082</v>
      </c>
      <c r="C871" s="1" t="n">
        <v>46184</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24520-2023</t>
        </is>
      </c>
      <c r="B872" s="1" t="n">
        <v>45082.68922453704</v>
      </c>
      <c r="C872" s="1" t="n">
        <v>46184</v>
      </c>
      <c r="D872" t="inlineStr">
        <is>
          <t>STOCKHOLMS LÄN</t>
        </is>
      </c>
      <c r="E872" t="inlineStr">
        <is>
          <t>NORRTÄLJE</t>
        </is>
      </c>
      <c r="G872" t="n">
        <v>4.3</v>
      </c>
      <c r="H872" t="n">
        <v>0</v>
      </c>
      <c r="I872" t="n">
        <v>0</v>
      </c>
      <c r="J872" t="n">
        <v>0</v>
      </c>
      <c r="K872" t="n">
        <v>0</v>
      </c>
      <c r="L872" t="n">
        <v>0</v>
      </c>
      <c r="M872" t="n">
        <v>0</v>
      </c>
      <c r="N872" t="n">
        <v>0</v>
      </c>
      <c r="O872" t="n">
        <v>0</v>
      </c>
      <c r="P872" t="n">
        <v>0</v>
      </c>
      <c r="Q872" t="n">
        <v>0</v>
      </c>
      <c r="R872" s="2" t="inlineStr"/>
    </row>
    <row r="873" ht="15" customHeight="1">
      <c r="A873" t="inlineStr">
        <is>
          <t>A 60654-2023</t>
        </is>
      </c>
      <c r="B873" s="1" t="n">
        <v>45260.43225694444</v>
      </c>
      <c r="C873" s="1" t="n">
        <v>46184</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60656-2023</t>
        </is>
      </c>
      <c r="B874" s="1" t="n">
        <v>45260.4333449074</v>
      </c>
      <c r="C874" s="1" t="n">
        <v>46184</v>
      </c>
      <c r="D874" t="inlineStr">
        <is>
          <t>STOCKHOLMS LÄN</t>
        </is>
      </c>
      <c r="E874" t="inlineStr">
        <is>
          <t>NORRTÄLJE</t>
        </is>
      </c>
      <c r="G874" t="n">
        <v>4.8</v>
      </c>
      <c r="H874" t="n">
        <v>0</v>
      </c>
      <c r="I874" t="n">
        <v>0</v>
      </c>
      <c r="J874" t="n">
        <v>0</v>
      </c>
      <c r="K874" t="n">
        <v>0</v>
      </c>
      <c r="L874" t="n">
        <v>0</v>
      </c>
      <c r="M874" t="n">
        <v>0</v>
      </c>
      <c r="N874" t="n">
        <v>0</v>
      </c>
      <c r="O874" t="n">
        <v>0</v>
      </c>
      <c r="P874" t="n">
        <v>0</v>
      </c>
      <c r="Q874" t="n">
        <v>0</v>
      </c>
      <c r="R874" s="2" t="inlineStr"/>
    </row>
    <row r="875" ht="15" customHeight="1">
      <c r="A875" t="inlineStr">
        <is>
          <t>A 54496-2024</t>
        </is>
      </c>
      <c r="B875" s="1" t="n">
        <v>45617.57439814815</v>
      </c>
      <c r="C875" s="1" t="n">
        <v>46184</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41966-2025</t>
        </is>
      </c>
      <c r="B876" s="1" t="n">
        <v>45903.47456018518</v>
      </c>
      <c r="C876" s="1" t="n">
        <v>46184</v>
      </c>
      <c r="D876" t="inlineStr">
        <is>
          <t>STOCKHOLMS LÄN</t>
        </is>
      </c>
      <c r="E876" t="inlineStr">
        <is>
          <t>NORRTÄLJE</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32094-2025</t>
        </is>
      </c>
      <c r="B877" s="1" t="n">
        <v>45835.46034722222</v>
      </c>
      <c r="C877" s="1" t="n">
        <v>46184</v>
      </c>
      <c r="D877" t="inlineStr">
        <is>
          <t>STOCKHOLMS LÄN</t>
        </is>
      </c>
      <c r="E877" t="inlineStr">
        <is>
          <t>NORRTÄLJE</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7806-2025</t>
        </is>
      </c>
      <c r="B878" s="1" t="n">
        <v>45706.61178240741</v>
      </c>
      <c r="C878" s="1" t="n">
        <v>46184</v>
      </c>
      <c r="D878" t="inlineStr">
        <is>
          <t>STOCKHOLMS LÄN</t>
        </is>
      </c>
      <c r="E878" t="inlineStr">
        <is>
          <t>NORRTÄLJE</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21386-2023</t>
        </is>
      </c>
      <c r="B879" s="1" t="n">
        <v>45063.35880787037</v>
      </c>
      <c r="C879" s="1" t="n">
        <v>46184</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10642-2025</t>
        </is>
      </c>
      <c r="B880" s="1" t="n">
        <v>45721.65858796296</v>
      </c>
      <c r="C880" s="1" t="n">
        <v>46184</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25697-2026</t>
        </is>
      </c>
      <c r="B881" s="1" t="n">
        <v>46178.35802083334</v>
      </c>
      <c r="C881" s="1" t="n">
        <v>46184</v>
      </c>
      <c r="D881" t="inlineStr">
        <is>
          <t>STOCKHOLMS LÄN</t>
        </is>
      </c>
      <c r="E881" t="inlineStr">
        <is>
          <t>NORRTÄLJE</t>
        </is>
      </c>
      <c r="G881" t="n">
        <v>4.6</v>
      </c>
      <c r="H881" t="n">
        <v>0</v>
      </c>
      <c r="I881" t="n">
        <v>0</v>
      </c>
      <c r="J881" t="n">
        <v>0</v>
      </c>
      <c r="K881" t="n">
        <v>0</v>
      </c>
      <c r="L881" t="n">
        <v>0</v>
      </c>
      <c r="M881" t="n">
        <v>0</v>
      </c>
      <c r="N881" t="n">
        <v>0</v>
      </c>
      <c r="O881" t="n">
        <v>0</v>
      </c>
      <c r="P881" t="n">
        <v>0</v>
      </c>
      <c r="Q881" t="n">
        <v>0</v>
      </c>
      <c r="R881" s="2" t="inlineStr"/>
    </row>
    <row r="882" ht="15" customHeight="1">
      <c r="A882" t="inlineStr">
        <is>
          <t>A 8792-2025</t>
        </is>
      </c>
      <c r="B882" s="1" t="n">
        <v>45712</v>
      </c>
      <c r="C882" s="1" t="n">
        <v>46184</v>
      </c>
      <c r="D882" t="inlineStr">
        <is>
          <t>STOCKHOLMS LÄN</t>
        </is>
      </c>
      <c r="E882" t="inlineStr">
        <is>
          <t>NORRTÄLJE</t>
        </is>
      </c>
      <c r="F882" t="inlineStr">
        <is>
          <t>Övriga Aktiebolag</t>
        </is>
      </c>
      <c r="G882" t="n">
        <v>6.6</v>
      </c>
      <c r="H882" t="n">
        <v>0</v>
      </c>
      <c r="I882" t="n">
        <v>0</v>
      </c>
      <c r="J882" t="n">
        <v>0</v>
      </c>
      <c r="K882" t="n">
        <v>0</v>
      </c>
      <c r="L882" t="n">
        <v>0</v>
      </c>
      <c r="M882" t="n">
        <v>0</v>
      </c>
      <c r="N882" t="n">
        <v>0</v>
      </c>
      <c r="O882" t="n">
        <v>0</v>
      </c>
      <c r="P882" t="n">
        <v>0</v>
      </c>
      <c r="Q882" t="n">
        <v>0</v>
      </c>
      <c r="R882" s="2" t="inlineStr"/>
    </row>
    <row r="883" ht="15" customHeight="1">
      <c r="A883" t="inlineStr">
        <is>
          <t>A 20144-2023</t>
        </is>
      </c>
      <c r="B883" s="1" t="n">
        <v>45055.43509259259</v>
      </c>
      <c r="C883" s="1" t="n">
        <v>46184</v>
      </c>
      <c r="D883" t="inlineStr">
        <is>
          <t>STOCKHOLMS LÄN</t>
        </is>
      </c>
      <c r="E883" t="inlineStr">
        <is>
          <t>NORRTÄLJE</t>
        </is>
      </c>
      <c r="G883" t="n">
        <v>1.4</v>
      </c>
      <c r="H883" t="n">
        <v>0</v>
      </c>
      <c r="I883" t="n">
        <v>0</v>
      </c>
      <c r="J883" t="n">
        <v>0</v>
      </c>
      <c r="K883" t="n">
        <v>0</v>
      </c>
      <c r="L883" t="n">
        <v>0</v>
      </c>
      <c r="M883" t="n">
        <v>0</v>
      </c>
      <c r="N883" t="n">
        <v>0</v>
      </c>
      <c r="O883" t="n">
        <v>0</v>
      </c>
      <c r="P883" t="n">
        <v>0</v>
      </c>
      <c r="Q883" t="n">
        <v>0</v>
      </c>
      <c r="R883" s="2" t="inlineStr"/>
    </row>
    <row r="884" ht="15" customHeight="1">
      <c r="A884" t="inlineStr">
        <is>
          <t>A 53312-2024</t>
        </is>
      </c>
      <c r="B884" s="1" t="n">
        <v>45614.39627314815</v>
      </c>
      <c r="C884" s="1" t="n">
        <v>46184</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39202-2024</t>
        </is>
      </c>
      <c r="B885" s="1" t="n">
        <v>45548.72306712963</v>
      </c>
      <c r="C885" s="1" t="n">
        <v>46184</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22756-2022</t>
        </is>
      </c>
      <c r="B886" s="1" t="n">
        <v>44714.92253472222</v>
      </c>
      <c r="C886" s="1" t="n">
        <v>46184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4581-2025</t>
        </is>
      </c>
      <c r="B887" s="1" t="n">
        <v>45687</v>
      </c>
      <c r="C887" s="1" t="n">
        <v>46184</v>
      </c>
      <c r="D887" t="inlineStr">
        <is>
          <t>STOCKHOLMS LÄN</t>
        </is>
      </c>
      <c r="E887" t="inlineStr">
        <is>
          <t>NORRTÄLJE</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60765-2023</t>
        </is>
      </c>
      <c r="B888" s="1" t="n">
        <v>45260</v>
      </c>
      <c r="C888" s="1" t="n">
        <v>46184</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24351-2025</t>
        </is>
      </c>
      <c r="B889" s="1" t="n">
        <v>45797.58399305555</v>
      </c>
      <c r="C889" s="1" t="n">
        <v>46184</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27806-2025</t>
        </is>
      </c>
      <c r="B890" s="1" t="n">
        <v>45817.30329861111</v>
      </c>
      <c r="C890" s="1" t="n">
        <v>46184</v>
      </c>
      <c r="D890" t="inlineStr">
        <is>
          <t>STOCKHOLMS LÄN</t>
        </is>
      </c>
      <c r="E890" t="inlineStr">
        <is>
          <t>NORRTÄLJE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59276-2023</t>
        </is>
      </c>
      <c r="B891" s="1" t="n">
        <v>45253.55641203704</v>
      </c>
      <c r="C891" s="1" t="n">
        <v>46184</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46914-2022</t>
        </is>
      </c>
      <c r="B892" s="1" t="n">
        <v>44851</v>
      </c>
      <c r="C892" s="1" t="n">
        <v>46184</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18541-2023</t>
        </is>
      </c>
      <c r="B893" s="1" t="n">
        <v>45042.74291666667</v>
      </c>
      <c r="C893" s="1" t="n">
        <v>46184</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3509-2022</t>
        </is>
      </c>
      <c r="B894" s="1" t="n">
        <v>44585</v>
      </c>
      <c r="C894" s="1" t="n">
        <v>46184</v>
      </c>
      <c r="D894" t="inlineStr">
        <is>
          <t>STOCKHOLMS LÄN</t>
        </is>
      </c>
      <c r="E894" t="inlineStr">
        <is>
          <t>NORRTÄLJE</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26407-2024</t>
        </is>
      </c>
      <c r="B895" s="1" t="n">
        <v>45469</v>
      </c>
      <c r="C895" s="1" t="n">
        <v>46184</v>
      </c>
      <c r="D895" t="inlineStr">
        <is>
          <t>STOCKHOLMS LÄN</t>
        </is>
      </c>
      <c r="E895" t="inlineStr">
        <is>
          <t>NORRTÄLJE</t>
        </is>
      </c>
      <c r="G895" t="n">
        <v>3.5</v>
      </c>
      <c r="H895" t="n">
        <v>0</v>
      </c>
      <c r="I895" t="n">
        <v>0</v>
      </c>
      <c r="J895" t="n">
        <v>0</v>
      </c>
      <c r="K895" t="n">
        <v>0</v>
      </c>
      <c r="L895" t="n">
        <v>0</v>
      </c>
      <c r="M895" t="n">
        <v>0</v>
      </c>
      <c r="N895" t="n">
        <v>0</v>
      </c>
      <c r="O895" t="n">
        <v>0</v>
      </c>
      <c r="P895" t="n">
        <v>0</v>
      </c>
      <c r="Q895" t="n">
        <v>0</v>
      </c>
      <c r="R895" s="2" t="inlineStr"/>
    </row>
    <row r="896" ht="15" customHeight="1">
      <c r="A896" t="inlineStr">
        <is>
          <t>A 12890-2024</t>
        </is>
      </c>
      <c r="B896" s="1" t="n">
        <v>45385.36243055556</v>
      </c>
      <c r="C896" s="1" t="n">
        <v>46184</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13314-2025</t>
        </is>
      </c>
      <c r="B897" s="1" t="n">
        <v>45735.59287037037</v>
      </c>
      <c r="C897" s="1" t="n">
        <v>46184</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6678-2025</t>
        </is>
      </c>
      <c r="B898" s="1" t="n">
        <v>45700</v>
      </c>
      <c r="C898" s="1" t="n">
        <v>46184</v>
      </c>
      <c r="D898" t="inlineStr">
        <is>
          <t>STOCKHOLMS LÄN</t>
        </is>
      </c>
      <c r="E898" t="inlineStr">
        <is>
          <t>NORRTÄLJE</t>
        </is>
      </c>
      <c r="F898" t="inlineStr">
        <is>
          <t>Övriga Aktiebolag</t>
        </is>
      </c>
      <c r="G898" t="n">
        <v>6.6</v>
      </c>
      <c r="H898" t="n">
        <v>0</v>
      </c>
      <c r="I898" t="n">
        <v>0</v>
      </c>
      <c r="J898" t="n">
        <v>0</v>
      </c>
      <c r="K898" t="n">
        <v>0</v>
      </c>
      <c r="L898" t="n">
        <v>0</v>
      </c>
      <c r="M898" t="n">
        <v>0</v>
      </c>
      <c r="N898" t="n">
        <v>0</v>
      </c>
      <c r="O898" t="n">
        <v>0</v>
      </c>
      <c r="P898" t="n">
        <v>0</v>
      </c>
      <c r="Q898" t="n">
        <v>0</v>
      </c>
      <c r="R898" s="2" t="inlineStr"/>
    </row>
    <row r="899" ht="15" customHeight="1">
      <c r="A899" t="inlineStr">
        <is>
          <t>A 47419-2023</t>
        </is>
      </c>
      <c r="B899" s="1" t="n">
        <v>45202.65660879629</v>
      </c>
      <c r="C899" s="1" t="n">
        <v>46184</v>
      </c>
      <c r="D899" t="inlineStr">
        <is>
          <t>STOCKHOLMS LÄN</t>
        </is>
      </c>
      <c r="E899" t="inlineStr">
        <is>
          <t>NORRTÄLJE</t>
        </is>
      </c>
      <c r="G899" t="n">
        <v>11.4</v>
      </c>
      <c r="H899" t="n">
        <v>0</v>
      </c>
      <c r="I899" t="n">
        <v>0</v>
      </c>
      <c r="J899" t="n">
        <v>0</v>
      </c>
      <c r="K899" t="n">
        <v>0</v>
      </c>
      <c r="L899" t="n">
        <v>0</v>
      </c>
      <c r="M899" t="n">
        <v>0</v>
      </c>
      <c r="N899" t="n">
        <v>0</v>
      </c>
      <c r="O899" t="n">
        <v>0</v>
      </c>
      <c r="P899" t="n">
        <v>0</v>
      </c>
      <c r="Q899" t="n">
        <v>0</v>
      </c>
      <c r="R899" s="2" t="inlineStr"/>
    </row>
    <row r="900" ht="15" customHeight="1">
      <c r="A900" t="inlineStr">
        <is>
          <t>A 23070-2023</t>
        </is>
      </c>
      <c r="B900" s="1" t="n">
        <v>45075</v>
      </c>
      <c r="C900" s="1" t="n">
        <v>46184</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27824-2022</t>
        </is>
      </c>
      <c r="B901" s="1" t="n">
        <v>44743.59331018518</v>
      </c>
      <c r="C901" s="1" t="n">
        <v>46184</v>
      </c>
      <c r="D901" t="inlineStr">
        <is>
          <t>STOCKHOLMS LÄN</t>
        </is>
      </c>
      <c r="E901" t="inlineStr">
        <is>
          <t>NORRTÄLJE</t>
        </is>
      </c>
      <c r="F901" t="inlineStr">
        <is>
          <t>Kommuner</t>
        </is>
      </c>
      <c r="G901" t="n">
        <v>3.1</v>
      </c>
      <c r="H901" t="n">
        <v>0</v>
      </c>
      <c r="I901" t="n">
        <v>0</v>
      </c>
      <c r="J901" t="n">
        <v>0</v>
      </c>
      <c r="K901" t="n">
        <v>0</v>
      </c>
      <c r="L901" t="n">
        <v>0</v>
      </c>
      <c r="M901" t="n">
        <v>0</v>
      </c>
      <c r="N901" t="n">
        <v>0</v>
      </c>
      <c r="O901" t="n">
        <v>0</v>
      </c>
      <c r="P901" t="n">
        <v>0</v>
      </c>
      <c r="Q901" t="n">
        <v>0</v>
      </c>
      <c r="R901" s="2" t="inlineStr"/>
    </row>
    <row r="902" ht="15" customHeight="1">
      <c r="A902" t="inlineStr">
        <is>
          <t>A 1283-2025</t>
        </is>
      </c>
      <c r="B902" s="1" t="n">
        <v>45667.49878472222</v>
      </c>
      <c r="C902" s="1" t="n">
        <v>46184</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25619-2022</t>
        </is>
      </c>
      <c r="B903" s="1" t="n">
        <v>44732</v>
      </c>
      <c r="C903" s="1" t="n">
        <v>46184</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25917-2026</t>
        </is>
      </c>
      <c r="B904" s="1" t="n">
        <v>46178.74501157407</v>
      </c>
      <c r="C904" s="1" t="n">
        <v>46184</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25968-2026</t>
        </is>
      </c>
      <c r="B905" s="1" t="n">
        <v>46181.37493055555</v>
      </c>
      <c r="C905" s="1" t="n">
        <v>46184</v>
      </c>
      <c r="D905" t="inlineStr">
        <is>
          <t>STOCKHOLMS LÄN</t>
        </is>
      </c>
      <c r="E905" t="inlineStr">
        <is>
          <t>NORRTÄLJE</t>
        </is>
      </c>
      <c r="F905" t="inlineStr">
        <is>
          <t>Kyrkan</t>
        </is>
      </c>
      <c r="G905" t="n">
        <v>3.6</v>
      </c>
      <c r="H905" t="n">
        <v>0</v>
      </c>
      <c r="I905" t="n">
        <v>0</v>
      </c>
      <c r="J905" t="n">
        <v>0</v>
      </c>
      <c r="K905" t="n">
        <v>0</v>
      </c>
      <c r="L905" t="n">
        <v>0</v>
      </c>
      <c r="M905" t="n">
        <v>0</v>
      </c>
      <c r="N905" t="n">
        <v>0</v>
      </c>
      <c r="O905" t="n">
        <v>0</v>
      </c>
      <c r="P905" t="n">
        <v>0</v>
      </c>
      <c r="Q905" t="n">
        <v>0</v>
      </c>
      <c r="R905" s="2" t="inlineStr"/>
    </row>
    <row r="906" ht="15" customHeight="1">
      <c r="A906" t="inlineStr">
        <is>
          <t>A 36246-2021</t>
        </is>
      </c>
      <c r="B906" s="1" t="n">
        <v>44390</v>
      </c>
      <c r="C906" s="1" t="n">
        <v>46184</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19952-2023</t>
        </is>
      </c>
      <c r="B907" s="1" t="n">
        <v>45054.54091435186</v>
      </c>
      <c r="C907" s="1" t="n">
        <v>46184</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19994-2023</t>
        </is>
      </c>
      <c r="B908" s="1" t="n">
        <v>45054</v>
      </c>
      <c r="C908" s="1" t="n">
        <v>46184</v>
      </c>
      <c r="D908" t="inlineStr">
        <is>
          <t>STOCKHOLMS LÄN</t>
        </is>
      </c>
      <c r="E908" t="inlineStr">
        <is>
          <t>NORRTÄLJE</t>
        </is>
      </c>
      <c r="G908" t="n">
        <v>4.3</v>
      </c>
      <c r="H908" t="n">
        <v>0</v>
      </c>
      <c r="I908" t="n">
        <v>0</v>
      </c>
      <c r="J908" t="n">
        <v>0</v>
      </c>
      <c r="K908" t="n">
        <v>0</v>
      </c>
      <c r="L908" t="n">
        <v>0</v>
      </c>
      <c r="M908" t="n">
        <v>0</v>
      </c>
      <c r="N908" t="n">
        <v>0</v>
      </c>
      <c r="O908" t="n">
        <v>0</v>
      </c>
      <c r="P908" t="n">
        <v>0</v>
      </c>
      <c r="Q908" t="n">
        <v>0</v>
      </c>
      <c r="R908" s="2" t="inlineStr"/>
    </row>
    <row r="909" ht="15" customHeight="1">
      <c r="A909" t="inlineStr">
        <is>
          <t>A 574-2023</t>
        </is>
      </c>
      <c r="B909" s="1" t="n">
        <v>44925</v>
      </c>
      <c r="C909" s="1" t="n">
        <v>46184</v>
      </c>
      <c r="D909" t="inlineStr">
        <is>
          <t>STOCKHOLMS LÄN</t>
        </is>
      </c>
      <c r="E909" t="inlineStr">
        <is>
          <t>NORRTÄLJE</t>
        </is>
      </c>
      <c r="G909" t="n">
        <v>5</v>
      </c>
      <c r="H909" t="n">
        <v>0</v>
      </c>
      <c r="I909" t="n">
        <v>0</v>
      </c>
      <c r="J909" t="n">
        <v>0</v>
      </c>
      <c r="K909" t="n">
        <v>0</v>
      </c>
      <c r="L909" t="n">
        <v>0</v>
      </c>
      <c r="M909" t="n">
        <v>0</v>
      </c>
      <c r="N909" t="n">
        <v>0</v>
      </c>
      <c r="O909" t="n">
        <v>0</v>
      </c>
      <c r="P909" t="n">
        <v>0</v>
      </c>
      <c r="Q909" t="n">
        <v>0</v>
      </c>
      <c r="R909" s="2" t="inlineStr"/>
    </row>
    <row r="910" ht="15" customHeight="1">
      <c r="A910" t="inlineStr">
        <is>
          <t>A 30283-2022</t>
        </is>
      </c>
      <c r="B910" s="1" t="n">
        <v>44760</v>
      </c>
      <c r="C910" s="1" t="n">
        <v>46184</v>
      </c>
      <c r="D910" t="inlineStr">
        <is>
          <t>STOCKHOLMS LÄN</t>
        </is>
      </c>
      <c r="E910" t="inlineStr">
        <is>
          <t>NORRTÄLJE</t>
        </is>
      </c>
      <c r="G910" t="n">
        <v>6.2</v>
      </c>
      <c r="H910" t="n">
        <v>0</v>
      </c>
      <c r="I910" t="n">
        <v>0</v>
      </c>
      <c r="J910" t="n">
        <v>0</v>
      </c>
      <c r="K910" t="n">
        <v>0</v>
      </c>
      <c r="L910" t="n">
        <v>0</v>
      </c>
      <c r="M910" t="n">
        <v>0</v>
      </c>
      <c r="N910" t="n">
        <v>0</v>
      </c>
      <c r="O910" t="n">
        <v>0</v>
      </c>
      <c r="P910" t="n">
        <v>0</v>
      </c>
      <c r="Q910" t="n">
        <v>0</v>
      </c>
      <c r="R910" s="2" t="inlineStr"/>
    </row>
    <row r="911" ht="15" customHeight="1">
      <c r="A911" t="inlineStr">
        <is>
          <t>A 30290-2022</t>
        </is>
      </c>
      <c r="B911" s="1" t="n">
        <v>44760</v>
      </c>
      <c r="C911" s="1" t="n">
        <v>46184</v>
      </c>
      <c r="D911" t="inlineStr">
        <is>
          <t>STOCKHOLMS LÄN</t>
        </is>
      </c>
      <c r="E911" t="inlineStr">
        <is>
          <t>NORRTÄLJE</t>
        </is>
      </c>
      <c r="G911" t="n">
        <v>4.8</v>
      </c>
      <c r="H911" t="n">
        <v>0</v>
      </c>
      <c r="I911" t="n">
        <v>0</v>
      </c>
      <c r="J911" t="n">
        <v>0</v>
      </c>
      <c r="K911" t="n">
        <v>0</v>
      </c>
      <c r="L911" t="n">
        <v>0</v>
      </c>
      <c r="M911" t="n">
        <v>0</v>
      </c>
      <c r="N911" t="n">
        <v>0</v>
      </c>
      <c r="O911" t="n">
        <v>0</v>
      </c>
      <c r="P911" t="n">
        <v>0</v>
      </c>
      <c r="Q911" t="n">
        <v>0</v>
      </c>
      <c r="R911" s="2" t="inlineStr"/>
    </row>
    <row r="912" ht="15" customHeight="1">
      <c r="A912" t="inlineStr">
        <is>
          <t>A 29684-2021</t>
        </is>
      </c>
      <c r="B912" s="1" t="n">
        <v>44362.37172453704</v>
      </c>
      <c r="C912" s="1" t="n">
        <v>46184</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37628-2025</t>
        </is>
      </c>
      <c r="B913" s="1" t="n">
        <v>45880.46189814815</v>
      </c>
      <c r="C913" s="1" t="n">
        <v>46184</v>
      </c>
      <c r="D913" t="inlineStr">
        <is>
          <t>STOCKHOLMS LÄN</t>
        </is>
      </c>
      <c r="E913" t="inlineStr">
        <is>
          <t>NORRTÄLJE</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32122-2025</t>
        </is>
      </c>
      <c r="B914" s="1" t="n">
        <v>45835.4928125</v>
      </c>
      <c r="C914" s="1" t="n">
        <v>46184</v>
      </c>
      <c r="D914" t="inlineStr">
        <is>
          <t>STOCKHOLMS LÄN</t>
        </is>
      </c>
      <c r="E914" t="inlineStr">
        <is>
          <t>NORRTÄLJE</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30221-2024</t>
        </is>
      </c>
      <c r="B915" s="1" t="n">
        <v>45490.45342592592</v>
      </c>
      <c r="C915" s="1" t="n">
        <v>46184</v>
      </c>
      <c r="D915" t="inlineStr">
        <is>
          <t>STOCKHOLMS LÄN</t>
        </is>
      </c>
      <c r="E915" t="inlineStr">
        <is>
          <t>NORRTÄLJE</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60884-2024</t>
        </is>
      </c>
      <c r="B916" s="1" t="n">
        <v>45644.90815972222</v>
      </c>
      <c r="C916" s="1" t="n">
        <v>46184</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44813.59915509259</v>
      </c>
      <c r="C917" s="1" t="n">
        <v>46184</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27813-2025</t>
        </is>
      </c>
      <c r="B918" s="1" t="n">
        <v>45817.32538194444</v>
      </c>
      <c r="C918" s="1" t="n">
        <v>46184</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10090-2022</t>
        </is>
      </c>
      <c r="B919" s="1" t="n">
        <v>44621</v>
      </c>
      <c r="C919" s="1" t="n">
        <v>46184</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14724-2022</t>
        </is>
      </c>
      <c r="B920" s="1" t="n">
        <v>44656</v>
      </c>
      <c r="C920" s="1" t="n">
        <v>46184</v>
      </c>
      <c r="D920" t="inlineStr">
        <is>
          <t>STOCKHOLMS LÄN</t>
        </is>
      </c>
      <c r="E920" t="inlineStr">
        <is>
          <t>NORRTÄLJE</t>
        </is>
      </c>
      <c r="F920" t="inlineStr">
        <is>
          <t>Sveaskog</t>
        </is>
      </c>
      <c r="G920" t="n">
        <v>9</v>
      </c>
      <c r="H920" t="n">
        <v>0</v>
      </c>
      <c r="I920" t="n">
        <v>0</v>
      </c>
      <c r="J920" t="n">
        <v>0</v>
      </c>
      <c r="K920" t="n">
        <v>0</v>
      </c>
      <c r="L920" t="n">
        <v>0</v>
      </c>
      <c r="M920" t="n">
        <v>0</v>
      </c>
      <c r="N920" t="n">
        <v>0</v>
      </c>
      <c r="O920" t="n">
        <v>0</v>
      </c>
      <c r="P920" t="n">
        <v>0</v>
      </c>
      <c r="Q920" t="n">
        <v>0</v>
      </c>
      <c r="R920" s="2" t="inlineStr"/>
    </row>
    <row r="921" ht="15" customHeight="1">
      <c r="A921" t="inlineStr">
        <is>
          <t>A 59534-2024</t>
        </is>
      </c>
      <c r="B921" s="1" t="n">
        <v>45638.5987037037</v>
      </c>
      <c r="C921" s="1" t="n">
        <v>46184</v>
      </c>
      <c r="D921" t="inlineStr">
        <is>
          <t>STOCKHOLMS LÄN</t>
        </is>
      </c>
      <c r="E921" t="inlineStr">
        <is>
          <t>NORRTÄLJE</t>
        </is>
      </c>
      <c r="F921" t="inlineStr">
        <is>
          <t>Holmen skog AB</t>
        </is>
      </c>
      <c r="G921" t="n">
        <v>1.3</v>
      </c>
      <c r="H921" t="n">
        <v>0</v>
      </c>
      <c r="I921" t="n">
        <v>0</v>
      </c>
      <c r="J921" t="n">
        <v>0</v>
      </c>
      <c r="K921" t="n">
        <v>0</v>
      </c>
      <c r="L921" t="n">
        <v>0</v>
      </c>
      <c r="M921" t="n">
        <v>0</v>
      </c>
      <c r="N921" t="n">
        <v>0</v>
      </c>
      <c r="O921" t="n">
        <v>0</v>
      </c>
      <c r="P921" t="n">
        <v>0</v>
      </c>
      <c r="Q921" t="n">
        <v>0</v>
      </c>
      <c r="R921" s="2" t="inlineStr"/>
    </row>
    <row r="922" ht="15" customHeight="1">
      <c r="A922" t="inlineStr">
        <is>
          <t>A 43300-2023</t>
        </is>
      </c>
      <c r="B922" s="1" t="n">
        <v>45183</v>
      </c>
      <c r="C922" s="1" t="n">
        <v>46184</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25654-2023</t>
        </is>
      </c>
      <c r="B923" s="1" t="n">
        <v>45089</v>
      </c>
      <c r="C923" s="1" t="n">
        <v>46184</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23125-2022</t>
        </is>
      </c>
      <c r="B924" s="1" t="n">
        <v>44719</v>
      </c>
      <c r="C924" s="1" t="n">
        <v>46184</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20121-2022</t>
        </is>
      </c>
      <c r="B925" s="1" t="n">
        <v>44698</v>
      </c>
      <c r="C925" s="1" t="n">
        <v>46184</v>
      </c>
      <c r="D925" t="inlineStr">
        <is>
          <t>STOCKHOLMS LÄN</t>
        </is>
      </c>
      <c r="E925" t="inlineStr">
        <is>
          <t>NORRTÄLJE</t>
        </is>
      </c>
      <c r="G925" t="n">
        <v>4.2</v>
      </c>
      <c r="H925" t="n">
        <v>0</v>
      </c>
      <c r="I925" t="n">
        <v>0</v>
      </c>
      <c r="J925" t="n">
        <v>0</v>
      </c>
      <c r="K925" t="n">
        <v>0</v>
      </c>
      <c r="L925" t="n">
        <v>0</v>
      </c>
      <c r="M925" t="n">
        <v>0</v>
      </c>
      <c r="N925" t="n">
        <v>0</v>
      </c>
      <c r="O925" t="n">
        <v>0</v>
      </c>
      <c r="P925" t="n">
        <v>0</v>
      </c>
      <c r="Q925" t="n">
        <v>0</v>
      </c>
      <c r="R925" s="2" t="inlineStr"/>
    </row>
    <row r="926" ht="15" customHeight="1">
      <c r="A926" t="inlineStr">
        <is>
          <t>A 33385-2024</t>
        </is>
      </c>
      <c r="B926" s="1" t="n">
        <v>45519</v>
      </c>
      <c r="C926" s="1" t="n">
        <v>46184</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41172-2023</t>
        </is>
      </c>
      <c r="B927" s="1" t="n">
        <v>45170</v>
      </c>
      <c r="C927" s="1" t="n">
        <v>46184</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73307-2021</t>
        </is>
      </c>
      <c r="B928" s="1" t="n">
        <v>44549</v>
      </c>
      <c r="C928" s="1" t="n">
        <v>46184</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50534-2024</t>
        </is>
      </c>
      <c r="B929" s="1" t="n">
        <v>45601.56726851852</v>
      </c>
      <c r="C929" s="1" t="n">
        <v>46184</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26525-2026</t>
        </is>
      </c>
      <c r="B930" s="1" t="n">
        <v>46183.591875</v>
      </c>
      <c r="C930" s="1" t="n">
        <v>46184</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27554-2025</t>
        </is>
      </c>
      <c r="B931" s="1" t="n">
        <v>45813.4709375</v>
      </c>
      <c r="C931" s="1" t="n">
        <v>46184</v>
      </c>
      <c r="D931" t="inlineStr">
        <is>
          <t>STOCKHOLMS LÄN</t>
        </is>
      </c>
      <c r="E931" t="inlineStr">
        <is>
          <t>NORRTÄLJE</t>
        </is>
      </c>
      <c r="F931" t="inlineStr">
        <is>
          <t>Övriga Aktiebolag</t>
        </is>
      </c>
      <c r="G931" t="n">
        <v>2.5</v>
      </c>
      <c r="H931" t="n">
        <v>0</v>
      </c>
      <c r="I931" t="n">
        <v>0</v>
      </c>
      <c r="J931" t="n">
        <v>0</v>
      </c>
      <c r="K931" t="n">
        <v>0</v>
      </c>
      <c r="L931" t="n">
        <v>0</v>
      </c>
      <c r="M931" t="n">
        <v>0</v>
      </c>
      <c r="N931" t="n">
        <v>0</v>
      </c>
      <c r="O931" t="n">
        <v>0</v>
      </c>
      <c r="P931" t="n">
        <v>0</v>
      </c>
      <c r="Q931" t="n">
        <v>0</v>
      </c>
      <c r="R931" s="2" t="inlineStr"/>
    </row>
    <row r="932" ht="15" customHeight="1">
      <c r="A932" t="inlineStr">
        <is>
          <t>A 65499-2021</t>
        </is>
      </c>
      <c r="B932" s="1" t="n">
        <v>44516</v>
      </c>
      <c r="C932" s="1" t="n">
        <v>46184</v>
      </c>
      <c r="D932" t="inlineStr">
        <is>
          <t>STOCKHOLMS LÄN</t>
        </is>
      </c>
      <c r="E932" t="inlineStr">
        <is>
          <t>NORRTÄLJE</t>
        </is>
      </c>
      <c r="F932" t="inlineStr">
        <is>
          <t>Kommuner</t>
        </is>
      </c>
      <c r="G932" t="n">
        <v>5.2</v>
      </c>
      <c r="H932" t="n">
        <v>0</v>
      </c>
      <c r="I932" t="n">
        <v>0</v>
      </c>
      <c r="J932" t="n">
        <v>0</v>
      </c>
      <c r="K932" t="n">
        <v>0</v>
      </c>
      <c r="L932" t="n">
        <v>0</v>
      </c>
      <c r="M932" t="n">
        <v>0</v>
      </c>
      <c r="N932" t="n">
        <v>0</v>
      </c>
      <c r="O932" t="n">
        <v>0</v>
      </c>
      <c r="P932" t="n">
        <v>0</v>
      </c>
      <c r="Q932" t="n">
        <v>0</v>
      </c>
      <c r="R932" s="2" t="inlineStr"/>
    </row>
    <row r="933" ht="15" customHeight="1">
      <c r="A933" t="inlineStr">
        <is>
          <t>A 65511-2021</t>
        </is>
      </c>
      <c r="B933" s="1" t="n">
        <v>44516.40674768519</v>
      </c>
      <c r="C933" s="1" t="n">
        <v>46184</v>
      </c>
      <c r="D933" t="inlineStr">
        <is>
          <t>STOCKHOLMS LÄN</t>
        </is>
      </c>
      <c r="E933" t="inlineStr">
        <is>
          <t>NORRTÄLJE</t>
        </is>
      </c>
      <c r="F933" t="inlineStr">
        <is>
          <t>Kommuner</t>
        </is>
      </c>
      <c r="G933" t="n">
        <v>2.8</v>
      </c>
      <c r="H933" t="n">
        <v>0</v>
      </c>
      <c r="I933" t="n">
        <v>0</v>
      </c>
      <c r="J933" t="n">
        <v>0</v>
      </c>
      <c r="K933" t="n">
        <v>0</v>
      </c>
      <c r="L933" t="n">
        <v>0</v>
      </c>
      <c r="M933" t="n">
        <v>0</v>
      </c>
      <c r="N933" t="n">
        <v>0</v>
      </c>
      <c r="O933" t="n">
        <v>0</v>
      </c>
      <c r="P933" t="n">
        <v>0</v>
      </c>
      <c r="Q933" t="n">
        <v>0</v>
      </c>
      <c r="R933" s="2" t="inlineStr"/>
    </row>
    <row r="934" ht="15" customHeight="1">
      <c r="A934" t="inlineStr">
        <is>
          <t>A 22833-2024</t>
        </is>
      </c>
      <c r="B934" s="1" t="n">
        <v>45448.56746527777</v>
      </c>
      <c r="C934" s="1" t="n">
        <v>46184</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32514-2022</t>
        </is>
      </c>
      <c r="B935" s="1" t="n">
        <v>44782</v>
      </c>
      <c r="C935" s="1" t="n">
        <v>46184</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29362-2022</t>
        </is>
      </c>
      <c r="B936" s="1" t="n">
        <v>44753</v>
      </c>
      <c r="C936" s="1" t="n">
        <v>46184</v>
      </c>
      <c r="D936" t="inlineStr">
        <is>
          <t>STOCKHOLMS LÄN</t>
        </is>
      </c>
      <c r="E936" t="inlineStr">
        <is>
          <t>NORRTÄLJE</t>
        </is>
      </c>
      <c r="G936" t="n">
        <v>3.8</v>
      </c>
      <c r="H936" t="n">
        <v>0</v>
      </c>
      <c r="I936" t="n">
        <v>0</v>
      </c>
      <c r="J936" t="n">
        <v>0</v>
      </c>
      <c r="K936" t="n">
        <v>0</v>
      </c>
      <c r="L936" t="n">
        <v>0</v>
      </c>
      <c r="M936" t="n">
        <v>0</v>
      </c>
      <c r="N936" t="n">
        <v>0</v>
      </c>
      <c r="O936" t="n">
        <v>0</v>
      </c>
      <c r="P936" t="n">
        <v>0</v>
      </c>
      <c r="Q936" t="n">
        <v>0</v>
      </c>
      <c r="R936" s="2" t="inlineStr"/>
    </row>
    <row r="937" ht="15" customHeight="1">
      <c r="A937" t="inlineStr">
        <is>
          <t>A 58492-2022</t>
        </is>
      </c>
      <c r="B937" s="1" t="n">
        <v>44902</v>
      </c>
      <c r="C937" s="1" t="n">
        <v>46184</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51315-2021</t>
        </is>
      </c>
      <c r="B938" s="1" t="n">
        <v>44461</v>
      </c>
      <c r="C938" s="1" t="n">
        <v>46184</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34773-2022</t>
        </is>
      </c>
      <c r="B939" s="1" t="n">
        <v>44795</v>
      </c>
      <c r="C939" s="1" t="n">
        <v>46184</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33173-2024</t>
        </is>
      </c>
      <c r="B940" s="1" t="n">
        <v>45518</v>
      </c>
      <c r="C940" s="1" t="n">
        <v>46184</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26416-2026</t>
        </is>
      </c>
      <c r="B941" s="1" t="n">
        <v>46183.42100694445</v>
      </c>
      <c r="C941" s="1" t="n">
        <v>46184</v>
      </c>
      <c r="D941" t="inlineStr">
        <is>
          <t>STOCKHOLMS LÄN</t>
        </is>
      </c>
      <c r="E941" t="inlineStr">
        <is>
          <t>NORRTÄLJE</t>
        </is>
      </c>
      <c r="G941" t="n">
        <v>3.7</v>
      </c>
      <c r="H941" t="n">
        <v>0</v>
      </c>
      <c r="I941" t="n">
        <v>0</v>
      </c>
      <c r="J941" t="n">
        <v>0</v>
      </c>
      <c r="K941" t="n">
        <v>0</v>
      </c>
      <c r="L941" t="n">
        <v>0</v>
      </c>
      <c r="M941" t="n">
        <v>0</v>
      </c>
      <c r="N941" t="n">
        <v>0</v>
      </c>
      <c r="O941" t="n">
        <v>0</v>
      </c>
      <c r="P941" t="n">
        <v>0</v>
      </c>
      <c r="Q941" t="n">
        <v>0</v>
      </c>
      <c r="R941" s="2" t="inlineStr"/>
    </row>
    <row r="942" ht="15" customHeight="1">
      <c r="A942" t="inlineStr">
        <is>
          <t>A 26418-2026</t>
        </is>
      </c>
      <c r="B942" s="1" t="n">
        <v>46183.4243287037</v>
      </c>
      <c r="C942" s="1" t="n">
        <v>46184</v>
      </c>
      <c r="D942" t="inlineStr">
        <is>
          <t>STOCKHOLMS LÄN</t>
        </is>
      </c>
      <c r="E942" t="inlineStr">
        <is>
          <t>NORRTÄLJE</t>
        </is>
      </c>
      <c r="G942" t="n">
        <v>2.2</v>
      </c>
      <c r="H942" t="n">
        <v>0</v>
      </c>
      <c r="I942" t="n">
        <v>0</v>
      </c>
      <c r="J942" t="n">
        <v>0</v>
      </c>
      <c r="K942" t="n">
        <v>0</v>
      </c>
      <c r="L942" t="n">
        <v>0</v>
      </c>
      <c r="M942" t="n">
        <v>0</v>
      </c>
      <c r="N942" t="n">
        <v>0</v>
      </c>
      <c r="O942" t="n">
        <v>0</v>
      </c>
      <c r="P942" t="n">
        <v>0</v>
      </c>
      <c r="Q942" t="n">
        <v>0</v>
      </c>
      <c r="R942" s="2" t="inlineStr"/>
    </row>
    <row r="943" ht="15" customHeight="1">
      <c r="A943" t="inlineStr">
        <is>
          <t>A 4484-2025</t>
        </is>
      </c>
      <c r="B943" s="1" t="n">
        <v>45686.65545138889</v>
      </c>
      <c r="C943" s="1" t="n">
        <v>46184</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25733-2025</t>
        </is>
      </c>
      <c r="B944" s="1" t="n">
        <v>45800</v>
      </c>
      <c r="C944" s="1" t="n">
        <v>46184</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33878-2024</t>
        </is>
      </c>
      <c r="B945" s="1" t="n">
        <v>45522.44414351852</v>
      </c>
      <c r="C945" s="1" t="n">
        <v>46184</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9246-2024</t>
        </is>
      </c>
      <c r="B946" s="1" t="n">
        <v>45357</v>
      </c>
      <c r="C946" s="1" t="n">
        <v>46184</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35698-2023</t>
        </is>
      </c>
      <c r="B947" s="1" t="n">
        <v>45147</v>
      </c>
      <c r="C947" s="1" t="n">
        <v>46184</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62398-2022</t>
        </is>
      </c>
      <c r="B948" s="1" t="n">
        <v>44923.90159722222</v>
      </c>
      <c r="C948" s="1" t="n">
        <v>46184</v>
      </c>
      <c r="D948" t="inlineStr">
        <is>
          <t>STOCKHOLMS LÄN</t>
        </is>
      </c>
      <c r="E948" t="inlineStr">
        <is>
          <t>NORRTÄLJE</t>
        </is>
      </c>
      <c r="G948" t="n">
        <v>4</v>
      </c>
      <c r="H948" t="n">
        <v>0</v>
      </c>
      <c r="I948" t="n">
        <v>0</v>
      </c>
      <c r="J948" t="n">
        <v>0</v>
      </c>
      <c r="K948" t="n">
        <v>0</v>
      </c>
      <c r="L948" t="n">
        <v>0</v>
      </c>
      <c r="M948" t="n">
        <v>0</v>
      </c>
      <c r="N948" t="n">
        <v>0</v>
      </c>
      <c r="O948" t="n">
        <v>0</v>
      </c>
      <c r="P948" t="n">
        <v>0</v>
      </c>
      <c r="Q948" t="n">
        <v>0</v>
      </c>
      <c r="R948" s="2" t="inlineStr"/>
    </row>
    <row r="949" ht="15" customHeight="1">
      <c r="A949" t="inlineStr">
        <is>
          <t>A 26557-2026</t>
        </is>
      </c>
      <c r="B949" s="1" t="n">
        <v>46183.63876157408</v>
      </c>
      <c r="C949" s="1" t="n">
        <v>46184</v>
      </c>
      <c r="D949" t="inlineStr">
        <is>
          <t>STOCKHOLMS LÄN</t>
        </is>
      </c>
      <c r="E949" t="inlineStr">
        <is>
          <t>NORRTÄLJE</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26210-2026</t>
        </is>
      </c>
      <c r="B950" s="1" t="n">
        <v>46182.43133101852</v>
      </c>
      <c r="C950" s="1" t="n">
        <v>46184</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49700-2023</t>
        </is>
      </c>
      <c r="B951" s="1" t="n">
        <v>45212</v>
      </c>
      <c r="C951" s="1" t="n">
        <v>46184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32071-2023</t>
        </is>
      </c>
      <c r="B952" s="1" t="n">
        <v>45119.57728009259</v>
      </c>
      <c r="C952" s="1" t="n">
        <v>46184</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1425-2025</t>
        </is>
      </c>
      <c r="B953" s="1" t="n">
        <v>45668.67446759259</v>
      </c>
      <c r="C953" s="1" t="n">
        <v>46184</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17775-2022</t>
        </is>
      </c>
      <c r="B954" s="1" t="n">
        <v>44682.78430555556</v>
      </c>
      <c r="C954" s="1" t="n">
        <v>46184</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38720-2022</t>
        </is>
      </c>
      <c r="B955" s="1" t="n">
        <v>44815.74539351852</v>
      </c>
      <c r="C955" s="1" t="n">
        <v>46184</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10215-2023</t>
        </is>
      </c>
      <c r="B956" s="1" t="n">
        <v>44986.5887962963</v>
      </c>
      <c r="C956" s="1" t="n">
        <v>46184</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25609-2023</t>
        </is>
      </c>
      <c r="B957" s="1" t="n">
        <v>45089</v>
      </c>
      <c r="C957" s="1" t="n">
        <v>46184</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37273-2024</t>
        </is>
      </c>
      <c r="B958" s="1" t="n">
        <v>45540</v>
      </c>
      <c r="C958" s="1" t="n">
        <v>46184</v>
      </c>
      <c r="D958" t="inlineStr">
        <is>
          <t>STOCKHOLMS LÄN</t>
        </is>
      </c>
      <c r="E958" t="inlineStr">
        <is>
          <t>NORRTÄLJE</t>
        </is>
      </c>
      <c r="F958" t="inlineStr">
        <is>
          <t>Sveaskog</t>
        </is>
      </c>
      <c r="G958" t="n">
        <v>12.5</v>
      </c>
      <c r="H958" t="n">
        <v>0</v>
      </c>
      <c r="I958" t="n">
        <v>0</v>
      </c>
      <c r="J958" t="n">
        <v>0</v>
      </c>
      <c r="K958" t="n">
        <v>0</v>
      </c>
      <c r="L958" t="n">
        <v>0</v>
      </c>
      <c r="M958" t="n">
        <v>0</v>
      </c>
      <c r="N958" t="n">
        <v>0</v>
      </c>
      <c r="O958" t="n">
        <v>0</v>
      </c>
      <c r="P958" t="n">
        <v>0</v>
      </c>
      <c r="Q958" t="n">
        <v>0</v>
      </c>
      <c r="R958" s="2" t="inlineStr"/>
    </row>
    <row r="959" ht="15" customHeight="1">
      <c r="A959" t="inlineStr">
        <is>
          <t>A 2287-2024</t>
        </is>
      </c>
      <c r="B959" s="1" t="n">
        <v>45310</v>
      </c>
      <c r="C959" s="1" t="n">
        <v>46184</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50469-2022</t>
        </is>
      </c>
      <c r="B960" s="1" t="n">
        <v>44866.49827546296</v>
      </c>
      <c r="C960" s="1" t="n">
        <v>46184</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51116-2022</t>
        </is>
      </c>
      <c r="B961" s="1" t="n">
        <v>44868.45741898148</v>
      </c>
      <c r="C961" s="1" t="n">
        <v>46184</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44495.5893287037</v>
      </c>
      <c r="C962" s="1" t="n">
        <v>46184</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5839-2023</t>
        </is>
      </c>
      <c r="B963" s="1" t="n">
        <v>44963</v>
      </c>
      <c r="C963" s="1" t="n">
        <v>46184</v>
      </c>
      <c r="D963" t="inlineStr">
        <is>
          <t>STOCKHOLMS LÄN</t>
        </is>
      </c>
      <c r="E963" t="inlineStr">
        <is>
          <t>NORRTÄLJE</t>
        </is>
      </c>
      <c r="G963" t="n">
        <v>3.6</v>
      </c>
      <c r="H963" t="n">
        <v>0</v>
      </c>
      <c r="I963" t="n">
        <v>0</v>
      </c>
      <c r="J963" t="n">
        <v>0</v>
      </c>
      <c r="K963" t="n">
        <v>0</v>
      </c>
      <c r="L963" t="n">
        <v>0</v>
      </c>
      <c r="M963" t="n">
        <v>0</v>
      </c>
      <c r="N963" t="n">
        <v>0</v>
      </c>
      <c r="O963" t="n">
        <v>0</v>
      </c>
      <c r="P963" t="n">
        <v>0</v>
      </c>
      <c r="Q963" t="n">
        <v>0</v>
      </c>
      <c r="R963" s="2" t="inlineStr"/>
    </row>
    <row r="964" ht="15" customHeight="1">
      <c r="A964" t="inlineStr">
        <is>
          <t>A 38985-2022</t>
        </is>
      </c>
      <c r="B964" s="1" t="n">
        <v>44816</v>
      </c>
      <c r="C964" s="1" t="n">
        <v>46184</v>
      </c>
      <c r="D964" t="inlineStr">
        <is>
          <t>STOCKHOLMS LÄN</t>
        </is>
      </c>
      <c r="E964" t="inlineStr">
        <is>
          <t>NORRTÄLJE</t>
        </is>
      </c>
      <c r="G964" t="n">
        <v>10.1</v>
      </c>
      <c r="H964" t="n">
        <v>0</v>
      </c>
      <c r="I964" t="n">
        <v>0</v>
      </c>
      <c r="J964" t="n">
        <v>0</v>
      </c>
      <c r="K964" t="n">
        <v>0</v>
      </c>
      <c r="L964" t="n">
        <v>0</v>
      </c>
      <c r="M964" t="n">
        <v>0</v>
      </c>
      <c r="N964" t="n">
        <v>0</v>
      </c>
      <c r="O964" t="n">
        <v>0</v>
      </c>
      <c r="P964" t="n">
        <v>0</v>
      </c>
      <c r="Q964" t="n">
        <v>0</v>
      </c>
      <c r="R964" s="2" t="inlineStr"/>
    </row>
    <row r="965" ht="15" customHeight="1">
      <c r="A965" t="inlineStr">
        <is>
          <t>A 5665-2025</t>
        </is>
      </c>
      <c r="B965" s="1" t="n">
        <v>45693</v>
      </c>
      <c r="C965" s="1" t="n">
        <v>46184</v>
      </c>
      <c r="D965" t="inlineStr">
        <is>
          <t>STOCKHOLMS LÄN</t>
        </is>
      </c>
      <c r="E965" t="inlineStr">
        <is>
          <t>NORRTÄLJE</t>
        </is>
      </c>
      <c r="G965" t="n">
        <v>4</v>
      </c>
      <c r="H965" t="n">
        <v>0</v>
      </c>
      <c r="I965" t="n">
        <v>0</v>
      </c>
      <c r="J965" t="n">
        <v>0</v>
      </c>
      <c r="K965" t="n">
        <v>0</v>
      </c>
      <c r="L965" t="n">
        <v>0</v>
      </c>
      <c r="M965" t="n">
        <v>0</v>
      </c>
      <c r="N965" t="n">
        <v>0</v>
      </c>
      <c r="O965" t="n">
        <v>0</v>
      </c>
      <c r="P965" t="n">
        <v>0</v>
      </c>
      <c r="Q965" t="n">
        <v>0</v>
      </c>
      <c r="R965" s="2" t="inlineStr"/>
    </row>
    <row r="966" ht="15" customHeight="1">
      <c r="A966" t="inlineStr">
        <is>
          <t>A 40761-2024</t>
        </is>
      </c>
      <c r="B966" s="1" t="n">
        <v>45558.46283564815</v>
      </c>
      <c r="C966" s="1" t="n">
        <v>46184</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4553-2023</t>
        </is>
      </c>
      <c r="B967" s="1" t="n">
        <v>44956.65920138889</v>
      </c>
      <c r="C967" s="1" t="n">
        <v>46184</v>
      </c>
      <c r="D967" t="inlineStr">
        <is>
          <t>STOCKHOLMS LÄN</t>
        </is>
      </c>
      <c r="E967" t="inlineStr">
        <is>
          <t>NORRTÄLJE</t>
        </is>
      </c>
      <c r="G967" t="n">
        <v>7.5</v>
      </c>
      <c r="H967" t="n">
        <v>0</v>
      </c>
      <c r="I967" t="n">
        <v>0</v>
      </c>
      <c r="J967" t="n">
        <v>0</v>
      </c>
      <c r="K967" t="n">
        <v>0</v>
      </c>
      <c r="L967" t="n">
        <v>0</v>
      </c>
      <c r="M967" t="n">
        <v>0</v>
      </c>
      <c r="N967" t="n">
        <v>0</v>
      </c>
      <c r="O967" t="n">
        <v>0</v>
      </c>
      <c r="P967" t="n">
        <v>0</v>
      </c>
      <c r="Q967" t="n">
        <v>0</v>
      </c>
      <c r="R967" s="2" t="inlineStr"/>
    </row>
    <row r="968" ht="15" customHeight="1">
      <c r="A968" t="inlineStr">
        <is>
          <t>A 4593-2023</t>
        </is>
      </c>
      <c r="B968" s="1" t="n">
        <v>44956</v>
      </c>
      <c r="C968" s="1" t="n">
        <v>46184</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51978-2023</t>
        </is>
      </c>
      <c r="B969" s="1" t="n">
        <v>45223</v>
      </c>
      <c r="C969" s="1" t="n">
        <v>46184</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18092-2022</t>
        </is>
      </c>
      <c r="B970" s="1" t="n">
        <v>44684</v>
      </c>
      <c r="C970" s="1" t="n">
        <v>46184</v>
      </c>
      <c r="D970" t="inlineStr">
        <is>
          <t>STOCKHOLMS LÄN</t>
        </is>
      </c>
      <c r="E970" t="inlineStr">
        <is>
          <t>NORRTÄLJE</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59310-2023</t>
        </is>
      </c>
      <c r="B971" s="1" t="n">
        <v>45253.61146990741</v>
      </c>
      <c r="C971" s="1" t="n">
        <v>46184</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9329-2023</t>
        </is>
      </c>
      <c r="B972" s="1" t="n">
        <v>44980</v>
      </c>
      <c r="C972" s="1" t="n">
        <v>46184</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41335-2023</t>
        </is>
      </c>
      <c r="B973" s="1" t="n">
        <v>45174.68702546296</v>
      </c>
      <c r="C973" s="1" t="n">
        <v>46184</v>
      </c>
      <c r="D973" t="inlineStr">
        <is>
          <t>STOCKHOLMS LÄN</t>
        </is>
      </c>
      <c r="E973" t="inlineStr">
        <is>
          <t>NORRTÄLJE</t>
        </is>
      </c>
      <c r="F973" t="inlineStr">
        <is>
          <t>Holmen skog AB</t>
        </is>
      </c>
      <c r="G973" t="n">
        <v>4.4</v>
      </c>
      <c r="H973" t="n">
        <v>0</v>
      </c>
      <c r="I973" t="n">
        <v>0</v>
      </c>
      <c r="J973" t="n">
        <v>0</v>
      </c>
      <c r="K973" t="n">
        <v>0</v>
      </c>
      <c r="L973" t="n">
        <v>0</v>
      </c>
      <c r="M973" t="n">
        <v>0</v>
      </c>
      <c r="N973" t="n">
        <v>0</v>
      </c>
      <c r="O973" t="n">
        <v>0</v>
      </c>
      <c r="P973" t="n">
        <v>0</v>
      </c>
      <c r="Q973" t="n">
        <v>0</v>
      </c>
      <c r="R973" s="2" t="inlineStr"/>
    </row>
    <row r="974" ht="15" customHeight="1">
      <c r="A974" t="inlineStr">
        <is>
          <t>A 33040-2021</t>
        </is>
      </c>
      <c r="B974" s="1" t="n">
        <v>44376.50728009259</v>
      </c>
      <c r="C974" s="1" t="n">
        <v>46184</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33053-2021</t>
        </is>
      </c>
      <c r="B975" s="1" t="n">
        <v>44376</v>
      </c>
      <c r="C975" s="1" t="n">
        <v>46184</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43150-2023</t>
        </is>
      </c>
      <c r="B976" s="1" t="n">
        <v>45183</v>
      </c>
      <c r="C976" s="1" t="n">
        <v>46184</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54259-2023</t>
        </is>
      </c>
      <c r="B977" s="1" t="n">
        <v>45232</v>
      </c>
      <c r="C977" s="1" t="n">
        <v>46184</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27381-2024</t>
        </is>
      </c>
      <c r="B978" s="1" t="n">
        <v>45473.94501157408</v>
      </c>
      <c r="C978" s="1" t="n">
        <v>46184</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23265-2023</t>
        </is>
      </c>
      <c r="B979" s="1" t="n">
        <v>45075.90703703704</v>
      </c>
      <c r="C979" s="1" t="n">
        <v>46184</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26117-2024</t>
        </is>
      </c>
      <c r="B980" s="1" t="n">
        <v>45468.45877314815</v>
      </c>
      <c r="C980" s="1" t="n">
        <v>46184</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1847-2023</t>
        </is>
      </c>
      <c r="B981" s="1" t="n">
        <v>44938</v>
      </c>
      <c r="C981" s="1" t="n">
        <v>46184</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37010-2022</t>
        </is>
      </c>
      <c r="B982" s="1" t="n">
        <v>44806.41576388889</v>
      </c>
      <c r="C982" s="1" t="n">
        <v>46184</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951-2023</t>
        </is>
      </c>
      <c r="B983" s="1" t="n">
        <v>44934</v>
      </c>
      <c r="C983" s="1" t="n">
        <v>46184</v>
      </c>
      <c r="D983" t="inlineStr">
        <is>
          <t>STOCKHOLMS LÄN</t>
        </is>
      </c>
      <c r="E983" t="inlineStr">
        <is>
          <t>NORRTÄLJE</t>
        </is>
      </c>
      <c r="G983" t="n">
        <v>3.7</v>
      </c>
      <c r="H983" t="n">
        <v>0</v>
      </c>
      <c r="I983" t="n">
        <v>0</v>
      </c>
      <c r="J983" t="n">
        <v>0</v>
      </c>
      <c r="K983" t="n">
        <v>0</v>
      </c>
      <c r="L983" t="n">
        <v>0</v>
      </c>
      <c r="M983" t="n">
        <v>0</v>
      </c>
      <c r="N983" t="n">
        <v>0</v>
      </c>
      <c r="O983" t="n">
        <v>0</v>
      </c>
      <c r="P983" t="n">
        <v>0</v>
      </c>
      <c r="Q983" t="n">
        <v>0</v>
      </c>
      <c r="R983" s="2" t="inlineStr"/>
    </row>
    <row r="984" ht="15" customHeight="1">
      <c r="A984" t="inlineStr">
        <is>
          <t>A 12629-2024</t>
        </is>
      </c>
      <c r="B984" s="1" t="n">
        <v>45383</v>
      </c>
      <c r="C984" s="1" t="n">
        <v>46184</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35708-2022</t>
        </is>
      </c>
      <c r="B985" s="1" t="n">
        <v>44799.65013888889</v>
      </c>
      <c r="C985" s="1" t="n">
        <v>46184</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21731-2023</t>
        </is>
      </c>
      <c r="B986" s="1" t="n">
        <v>45063</v>
      </c>
      <c r="C986" s="1" t="n">
        <v>46184</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23266-2023</t>
        </is>
      </c>
      <c r="B987" s="1" t="n">
        <v>45075.90817129629</v>
      </c>
      <c r="C987" s="1" t="n">
        <v>46184</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58260-2023</t>
        </is>
      </c>
      <c r="B988" s="1" t="n">
        <v>45245</v>
      </c>
      <c r="C988" s="1" t="n">
        <v>46184</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58261-2023</t>
        </is>
      </c>
      <c r="B989" s="1" t="n">
        <v>45245</v>
      </c>
      <c r="C989" s="1" t="n">
        <v>46184</v>
      </c>
      <c r="D989" t="inlineStr">
        <is>
          <t>STOCKHOLMS LÄN</t>
        </is>
      </c>
      <c r="E989" t="inlineStr">
        <is>
          <t>NORRTÄLJE</t>
        </is>
      </c>
      <c r="G989" t="n">
        <v>53.5</v>
      </c>
      <c r="H989" t="n">
        <v>0</v>
      </c>
      <c r="I989" t="n">
        <v>0</v>
      </c>
      <c r="J989" t="n">
        <v>0</v>
      </c>
      <c r="K989" t="n">
        <v>0</v>
      </c>
      <c r="L989" t="n">
        <v>0</v>
      </c>
      <c r="M989" t="n">
        <v>0</v>
      </c>
      <c r="N989" t="n">
        <v>0</v>
      </c>
      <c r="O989" t="n">
        <v>0</v>
      </c>
      <c r="P989" t="n">
        <v>0</v>
      </c>
      <c r="Q989" t="n">
        <v>0</v>
      </c>
      <c r="R989" s="2" t="inlineStr"/>
    </row>
    <row r="990" ht="15" customHeight="1">
      <c r="A990" t="inlineStr">
        <is>
          <t>A 29266-2022</t>
        </is>
      </c>
      <c r="B990" s="1" t="n">
        <v>44750.66068287037</v>
      </c>
      <c r="C990" s="1" t="n">
        <v>46184</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29278-2022</t>
        </is>
      </c>
      <c r="B991" s="1" t="n">
        <v>44750</v>
      </c>
      <c r="C991" s="1" t="n">
        <v>46184</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23060-2023</t>
        </is>
      </c>
      <c r="B992" s="1" t="n">
        <v>45075</v>
      </c>
      <c r="C992" s="1" t="n">
        <v>46184</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32103-2022</t>
        </is>
      </c>
      <c r="B993" s="1" t="n">
        <v>44778</v>
      </c>
      <c r="C993" s="1" t="n">
        <v>46184</v>
      </c>
      <c r="D993" t="inlineStr">
        <is>
          <t>STOCKHOLMS LÄN</t>
        </is>
      </c>
      <c r="E993" t="inlineStr">
        <is>
          <t>NORRTÄLJE</t>
        </is>
      </c>
      <c r="G993" t="n">
        <v>3.4</v>
      </c>
      <c r="H993" t="n">
        <v>0</v>
      </c>
      <c r="I993" t="n">
        <v>0</v>
      </c>
      <c r="J993" t="n">
        <v>0</v>
      </c>
      <c r="K993" t="n">
        <v>0</v>
      </c>
      <c r="L993" t="n">
        <v>0</v>
      </c>
      <c r="M993" t="n">
        <v>0</v>
      </c>
      <c r="N993" t="n">
        <v>0</v>
      </c>
      <c r="O993" t="n">
        <v>0</v>
      </c>
      <c r="P993" t="n">
        <v>0</v>
      </c>
      <c r="Q993" t="n">
        <v>0</v>
      </c>
      <c r="R993" s="2" t="inlineStr"/>
    </row>
    <row r="994" ht="15" customHeight="1">
      <c r="A994" t="inlineStr">
        <is>
          <t>A 6401-2024</t>
        </is>
      </c>
      <c r="B994" s="1" t="n">
        <v>45338</v>
      </c>
      <c r="C994" s="1" t="n">
        <v>46184</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59504-2023</t>
        </is>
      </c>
      <c r="B995" s="1" t="n">
        <v>45254</v>
      </c>
      <c r="C995" s="1" t="n">
        <v>46184</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52321-2024</t>
        </is>
      </c>
      <c r="B996" s="1" t="n">
        <v>45608</v>
      </c>
      <c r="C996" s="1" t="n">
        <v>46184</v>
      </c>
      <c r="D996" t="inlineStr">
        <is>
          <t>STOCKHOLMS LÄN</t>
        </is>
      </c>
      <c r="E996" t="inlineStr">
        <is>
          <t>NORRTÄLJE</t>
        </is>
      </c>
      <c r="G996" t="n">
        <v>18.1</v>
      </c>
      <c r="H996" t="n">
        <v>0</v>
      </c>
      <c r="I996" t="n">
        <v>0</v>
      </c>
      <c r="J996" t="n">
        <v>0</v>
      </c>
      <c r="K996" t="n">
        <v>0</v>
      </c>
      <c r="L996" t="n">
        <v>0</v>
      </c>
      <c r="M996" t="n">
        <v>0</v>
      </c>
      <c r="N996" t="n">
        <v>0</v>
      </c>
      <c r="O996" t="n">
        <v>0</v>
      </c>
      <c r="P996" t="n">
        <v>0</v>
      </c>
      <c r="Q996" t="n">
        <v>0</v>
      </c>
      <c r="R996" s="2" t="inlineStr"/>
    </row>
    <row r="997" ht="15" customHeight="1">
      <c r="A997" t="inlineStr">
        <is>
          <t>A 20370-2025</t>
        </is>
      </c>
      <c r="B997" s="1" t="n">
        <v>45775.41451388889</v>
      </c>
      <c r="C997" s="1" t="n">
        <v>46184</v>
      </c>
      <c r="D997" t="inlineStr">
        <is>
          <t>STOCKHOLMS LÄN</t>
        </is>
      </c>
      <c r="E997" t="inlineStr">
        <is>
          <t>NORRTÄLJE</t>
        </is>
      </c>
      <c r="G997" t="n">
        <v>2.9</v>
      </c>
      <c r="H997" t="n">
        <v>0</v>
      </c>
      <c r="I997" t="n">
        <v>0</v>
      </c>
      <c r="J997" t="n">
        <v>0</v>
      </c>
      <c r="K997" t="n">
        <v>0</v>
      </c>
      <c r="L997" t="n">
        <v>0</v>
      </c>
      <c r="M997" t="n">
        <v>0</v>
      </c>
      <c r="N997" t="n">
        <v>0</v>
      </c>
      <c r="O997" t="n">
        <v>0</v>
      </c>
      <c r="P997" t="n">
        <v>0</v>
      </c>
      <c r="Q997" t="n">
        <v>0</v>
      </c>
      <c r="R997" s="2" t="inlineStr"/>
    </row>
    <row r="998" ht="15" customHeight="1">
      <c r="A998" t="inlineStr">
        <is>
          <t>A 19580-2022</t>
        </is>
      </c>
      <c r="B998" s="1" t="n">
        <v>44693</v>
      </c>
      <c r="C998" s="1" t="n">
        <v>46184</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30731-2023</t>
        </is>
      </c>
      <c r="B999" s="1" t="n">
        <v>45112</v>
      </c>
      <c r="C999" s="1" t="n">
        <v>46184</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4580-2025</t>
        </is>
      </c>
      <c r="B1000" s="1" t="n">
        <v>45687.5038425926</v>
      </c>
      <c r="C1000" s="1" t="n">
        <v>46184</v>
      </c>
      <c r="D1000" t="inlineStr">
        <is>
          <t>STOCKHOLMS LÄN</t>
        </is>
      </c>
      <c r="E1000" t="inlineStr">
        <is>
          <t>NORRTÄLJE</t>
        </is>
      </c>
      <c r="F1000" t="inlineStr">
        <is>
          <t>Holmen skog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31057-2022</t>
        </is>
      </c>
      <c r="B1001" s="1" t="n">
        <v>44769</v>
      </c>
      <c r="C1001" s="1" t="n">
        <v>46184</v>
      </c>
      <c r="D1001" t="inlineStr">
        <is>
          <t>STOCKHOLMS LÄN</t>
        </is>
      </c>
      <c r="E1001" t="inlineStr">
        <is>
          <t>NORRTÄLJE</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31140-2023</t>
        </is>
      </c>
      <c r="B1002" s="1" t="n">
        <v>45113</v>
      </c>
      <c r="C1002" s="1" t="n">
        <v>46184</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31149-2023</t>
        </is>
      </c>
      <c r="B1003" s="1" t="n">
        <v>45113</v>
      </c>
      <c r="C1003" s="1" t="n">
        <v>46184</v>
      </c>
      <c r="D1003" t="inlineStr">
        <is>
          <t>STOCKHOLMS LÄN</t>
        </is>
      </c>
      <c r="E1003" t="inlineStr">
        <is>
          <t>NORRTÄLJE</t>
        </is>
      </c>
      <c r="G1003" t="n">
        <v>7.1</v>
      </c>
      <c r="H1003" t="n">
        <v>0</v>
      </c>
      <c r="I1003" t="n">
        <v>0</v>
      </c>
      <c r="J1003" t="n">
        <v>0</v>
      </c>
      <c r="K1003" t="n">
        <v>0</v>
      </c>
      <c r="L1003" t="n">
        <v>0</v>
      </c>
      <c r="M1003" t="n">
        <v>0</v>
      </c>
      <c r="N1003" t="n">
        <v>0</v>
      </c>
      <c r="O1003" t="n">
        <v>0</v>
      </c>
      <c r="P1003" t="n">
        <v>0</v>
      </c>
      <c r="Q1003" t="n">
        <v>0</v>
      </c>
      <c r="R1003" s="2" t="inlineStr"/>
    </row>
    <row r="1004">
      <c r="A1004" t="inlineStr">
        <is>
          <t>A 4658-2024</t>
        </is>
      </c>
      <c r="B1004" s="1" t="n">
        <v>45328.46336805556</v>
      </c>
      <c r="C1004" s="1" t="n">
        <v>46184</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2026-06-11T09:25:57Z</dcterms:created>
  <dcterms:modified xmlns:dcterms="http://purl.org/dc/terms/" xmlns:xsi="http://www.w3.org/2001/XMLSchema-instance" xsi:type="dcterms:W3CDTF">2026-06-11T09:25:58Z</dcterms:modified>
</cp:coreProperties>
</file>